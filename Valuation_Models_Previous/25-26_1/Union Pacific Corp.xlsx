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omments3.xml" ContentType="application/vnd.openxmlformats-officedocument.spreadsheetml.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6.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25-26/1st cycle/Team 05 - Mafalda Bento/"/>
    </mc:Choice>
  </mc:AlternateContent>
  <xr:revisionPtr revIDLastSave="5471" documentId="13_ncr:1_{BDEE416E-2A64-4B30-B1CD-90D81214DDE9}" xr6:coauthVersionLast="47" xr6:coauthVersionMax="47" xr10:uidLastSave="{51B1D330-E846-41CE-8D0E-18353ECCC5DF}"/>
  <bookViews>
    <workbookView xWindow="-110" yWindow="-110" windowWidth="19420" windowHeight="10300" tabRatio="731" firstSheet="7" activeTab="16" xr2:uid="{00000000-000D-0000-FFFF-FFFF00000000}"/>
  </bookViews>
  <sheets>
    <sheet name="Dashboard" sheetId="66" r:id="rId1"/>
    <sheet name="Key Info" sheetId="85" r:id="rId2"/>
    <sheet name="ESG" sheetId="2" r:id="rId3"/>
    <sheet name="Industry" sheetId="3" r:id="rId4"/>
    <sheet name="Segments" sheetId="84" r:id="rId5"/>
    <sheet name="Peers" sheetId="89" r:id="rId6"/>
    <sheet name="Trading Comps" sheetId="87" r:id="rId7"/>
    <sheet name="WACC" sheetId="6" r:id="rId8"/>
    <sheet name="FCFF" sheetId="78" r:id="rId9"/>
    <sheet name="Anexo_projections" sheetId="92" r:id="rId10"/>
    <sheet name="LBO" sheetId="65" state="hidden" r:id="rId11"/>
    <sheet name="Sensitivity" sheetId="91" r:id="rId12"/>
    <sheet name="IS" sheetId="74" r:id="rId13"/>
    <sheet name="BS" sheetId="76" r:id="rId14"/>
    <sheet name="CF" sheetId="77" r:id="rId15"/>
    <sheet name="Error Check" sheetId="79" r:id="rId16"/>
    <sheet name="Inputs" sheetId="83" r:id="rId17"/>
    <sheet name="Stock Data" sheetId="86" r:id="rId18"/>
  </sheets>
  <definedNames>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15">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2">_xlfn.LAMBDA(_xldudf_BOARDFLARE_EXEC("workbook-settings:coolfucntion"))</definedName>
    <definedName name="COOLFUCNTION" comment="No description available" localSheetId="10">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3" hidden="1">{"'Sheet1'!$A$1:$H$145"}</definedName>
    <definedName name="HTML_Control" localSheetId="14" hidden="1">{"'Sheet1'!$A$1:$H$145"}</definedName>
    <definedName name="HTML_Control" localSheetId="15" hidden="1">{"'Sheet1'!$A$1:$H$145"}</definedName>
    <definedName name="HTML_Control" localSheetId="2" hidden="1">{"'Sheet1'!$A$1:$H$145"}</definedName>
    <definedName name="HTML_Control" localSheetId="8" hidden="1">{"'Sheet1'!$A$1:$H$145"}</definedName>
    <definedName name="HTML_Control" localSheetId="3" hidden="1">{"'Sheet1'!$A$1:$H$145"}</definedName>
    <definedName name="HTML_Control" localSheetId="12" hidden="1">{"'Sheet1'!$A$1:$H$145"}</definedName>
    <definedName name="HTML_Control" localSheetId="10"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3">#REF!</definedName>
    <definedName name="Sectors" localSheetId="14">#REF!</definedName>
    <definedName name="Sectors" localSheetId="15">#REF!</definedName>
    <definedName name="Sectors" localSheetId="2">#REF!</definedName>
    <definedName name="Sectors" localSheetId="8">#REF!</definedName>
    <definedName name="Sectors" localSheetId="12">#REF!</definedName>
    <definedName name="Sectors" localSheetId="4">#REF!</definedName>
    <definedName name="Sectors">#REF!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6" l="1"/>
  <c r="E28" i="6"/>
  <c r="AL170" i="78"/>
  <c r="Z146" i="78"/>
  <c r="AF146" i="78" s="1"/>
  <c r="D31" i="6"/>
  <c r="D30" i="6"/>
  <c r="AK46" i="92"/>
  <c r="AM47" i="92"/>
  <c r="AK47" i="92"/>
  <c r="AI47" i="92"/>
  <c r="BM13" i="92"/>
  <c r="AD32" i="78"/>
  <c r="D16" i="6"/>
  <c r="D17" i="6" s="1"/>
  <c r="AI42" i="76"/>
  <c r="AL164" i="78"/>
  <c r="H115" i="89" a="1"/>
  <c r="I114" i="89" a="1"/>
  <c r="Z147" i="78" l="1"/>
  <c r="AF147" i="78" s="1"/>
  <c r="AH147" i="78" s="1"/>
  <c r="AJ147" i="78" s="1"/>
  <c r="AL147" i="78" s="1"/>
  <c r="I114" i="89"/>
  <c r="H115" i="89"/>
  <c r="AH146" i="78" l="1"/>
  <c r="AJ146" i="78" l="1"/>
  <c r="AL146" i="78" s="1"/>
  <c r="AA61" i="92" l="1"/>
  <c r="AA54" i="92"/>
  <c r="AA11" i="92"/>
  <c r="AA56" i="92" s="1"/>
  <c r="Q18" i="6"/>
  <c r="P18" i="6"/>
  <c r="M13" i="6"/>
  <c r="AA47" i="92"/>
  <c r="AX24" i="84"/>
  <c r="AV24" i="84"/>
  <c r="AT24" i="84"/>
  <c r="AR24" i="84"/>
  <c r="AL24" i="84"/>
  <c r="BW18" i="92"/>
  <c r="BU18" i="92"/>
  <c r="BS18" i="92"/>
  <c r="BM18" i="92"/>
  <c r="BY18" i="92" l="1"/>
  <c r="Z52" i="78" l="1"/>
  <c r="W86" i="78"/>
  <c r="V86" i="78"/>
  <c r="S86" i="78"/>
  <c r="R86" i="78"/>
  <c r="Q86" i="78"/>
  <c r="P86" i="78"/>
  <c r="M86" i="78"/>
  <c r="L86" i="78"/>
  <c r="K86" i="78"/>
  <c r="J86" i="78"/>
  <c r="F86" i="78"/>
  <c r="E86" i="78"/>
  <c r="D86" i="78"/>
  <c r="G86" i="78"/>
  <c r="H86" i="78"/>
  <c r="N86" i="78"/>
  <c r="T86" i="78"/>
  <c r="V40" i="78"/>
  <c r="W40" i="78"/>
  <c r="Y70" i="78"/>
  <c r="BG24" i="92" l="1"/>
  <c r="BA24" i="92"/>
  <c r="AU24" i="92"/>
  <c r="BG18" i="92"/>
  <c r="BA18" i="92"/>
  <c r="AU18" i="92"/>
  <c r="BG21" i="92"/>
  <c r="BG20" i="92" s="1"/>
  <c r="BA21" i="92"/>
  <c r="BA20" i="92" s="1"/>
  <c r="AU21" i="92"/>
  <c r="AU20" i="92" s="1"/>
  <c r="BM20" i="92" s="1"/>
  <c r="Z115" i="78"/>
  <c r="BG13" i="92"/>
  <c r="BA13" i="92"/>
  <c r="AU13" i="92"/>
  <c r="BM10" i="92" s="1"/>
  <c r="BM11" i="92" s="1"/>
  <c r="BG11" i="92"/>
  <c r="BA11" i="92"/>
  <c r="BG7" i="92"/>
  <c r="BG15" i="92" s="1"/>
  <c r="BA7" i="92"/>
  <c r="BA15" i="92" s="1"/>
  <c r="AU7" i="92"/>
  <c r="AU15" i="92" s="1"/>
  <c r="AW4" i="92"/>
  <c r="BC4" i="92" s="1"/>
  <c r="BI4" i="92" s="1"/>
  <c r="BO4" i="92" s="1"/>
  <c r="BU4" i="92" s="1"/>
  <c r="BW4" i="92" s="1"/>
  <c r="BY4" i="92" s="1"/>
  <c r="T30" i="74"/>
  <c r="AF30" i="74"/>
  <c r="Z30" i="74"/>
  <c r="Z24" i="74"/>
  <c r="H24" i="74"/>
  <c r="N24" i="74"/>
  <c r="T24" i="74"/>
  <c r="AF24" i="74"/>
  <c r="AL14" i="78"/>
  <c r="AJ14" i="78"/>
  <c r="AH14" i="78"/>
  <c r="AF14" i="78"/>
  <c r="Z14" i="78"/>
  <c r="AK21" i="78"/>
  <c r="AK31" i="78" s="1"/>
  <c r="AI21" i="78"/>
  <c r="AI31" i="78" s="1"/>
  <c r="AG21" i="78"/>
  <c r="AA21" i="78"/>
  <c r="T13" i="78"/>
  <c r="T12" i="78"/>
  <c r="T11" i="78"/>
  <c r="N13" i="78"/>
  <c r="N12" i="78"/>
  <c r="N11" i="78"/>
  <c r="H13" i="78"/>
  <c r="H12" i="78"/>
  <c r="H11" i="78"/>
  <c r="AA37" i="92"/>
  <c r="AA38" i="92"/>
  <c r="AG38" i="92" s="1"/>
  <c r="AA19" i="92"/>
  <c r="AG19" i="92" s="1"/>
  <c r="AI19" i="92" s="1"/>
  <c r="AK19" i="92" s="1"/>
  <c r="AM19" i="92" s="1"/>
  <c r="AA29" i="92"/>
  <c r="AG29" i="92" s="1"/>
  <c r="AI29" i="92" s="1"/>
  <c r="AK29" i="92" s="1"/>
  <c r="AM29" i="92" s="1"/>
  <c r="AM31" i="92" s="1"/>
  <c r="AA27" i="92"/>
  <c r="AA23" i="92"/>
  <c r="AG23" i="92" s="1"/>
  <c r="AI23" i="92" s="1"/>
  <c r="AK23" i="92" s="1"/>
  <c r="AM23" i="92" s="1"/>
  <c r="AA21" i="92"/>
  <c r="AG21" i="92" s="1"/>
  <c r="AI21" i="92" s="1"/>
  <c r="AK21" i="92" s="1"/>
  <c r="AM21" i="92" s="1"/>
  <c r="AA17" i="92"/>
  <c r="AA13" i="92"/>
  <c r="AG11" i="92"/>
  <c r="AA9" i="92"/>
  <c r="AG9" i="92" s="1"/>
  <c r="AA7" i="92"/>
  <c r="AA52" i="92" s="1"/>
  <c r="U30" i="92"/>
  <c r="O30" i="92"/>
  <c r="U28" i="92"/>
  <c r="U31" i="92" s="1"/>
  <c r="O28" i="92"/>
  <c r="O31" i="92" s="1"/>
  <c r="U24" i="92"/>
  <c r="O24" i="92"/>
  <c r="U22" i="92"/>
  <c r="O22" i="92"/>
  <c r="U20" i="92"/>
  <c r="O20" i="92"/>
  <c r="U18" i="92"/>
  <c r="O18" i="92"/>
  <c r="U14" i="92"/>
  <c r="O14" i="92"/>
  <c r="U12" i="92"/>
  <c r="O12" i="92"/>
  <c r="U10" i="92"/>
  <c r="O10" i="92"/>
  <c r="U8" i="92"/>
  <c r="O8" i="92"/>
  <c r="AA46" i="92"/>
  <c r="AA44" i="92"/>
  <c r="AA43" i="92"/>
  <c r="AG43" i="92" s="1"/>
  <c r="AA42" i="92"/>
  <c r="AA41" i="92"/>
  <c r="AG36" i="92"/>
  <c r="AI36" i="92" s="1"/>
  <c r="O73" i="92"/>
  <c r="U73" i="92"/>
  <c r="U71" i="92"/>
  <c r="O71" i="92"/>
  <c r="U68" i="92"/>
  <c r="O68" i="92"/>
  <c r="O66" i="92"/>
  <c r="U66" i="92"/>
  <c r="U64" i="92"/>
  <c r="O64" i="92"/>
  <c r="U62" i="92"/>
  <c r="O62" i="92"/>
  <c r="U59" i="92"/>
  <c r="O59" i="92"/>
  <c r="U57" i="92"/>
  <c r="O57" i="92"/>
  <c r="U55" i="92"/>
  <c r="O55" i="92"/>
  <c r="U53" i="92"/>
  <c r="O53" i="92"/>
  <c r="I31" i="92"/>
  <c r="I25" i="92"/>
  <c r="I15" i="92"/>
  <c r="U74" i="92"/>
  <c r="U69" i="92"/>
  <c r="U60" i="92"/>
  <c r="O74" i="92"/>
  <c r="O69" i="92"/>
  <c r="O60" i="92"/>
  <c r="I74" i="92"/>
  <c r="I69" i="92"/>
  <c r="I60" i="92"/>
  <c r="K4" i="92"/>
  <c r="Q4" i="92" s="1"/>
  <c r="W4" i="92" s="1"/>
  <c r="AC4" i="92" s="1"/>
  <c r="AI4" i="92" s="1"/>
  <c r="AK4" i="92" s="1"/>
  <c r="AM4" i="92" s="1"/>
  <c r="AG13" i="92" l="1"/>
  <c r="AI13" i="92" s="1"/>
  <c r="AA58" i="92"/>
  <c r="AG58" i="92"/>
  <c r="AI11" i="92"/>
  <c r="AG56" i="92"/>
  <c r="AI9" i="92"/>
  <c r="AG54" i="92"/>
  <c r="AA53" i="92"/>
  <c r="BS16" i="92"/>
  <c r="BS20" i="92"/>
  <c r="BM16" i="92"/>
  <c r="BS13" i="92"/>
  <c r="BS10" i="92" s="1"/>
  <c r="BS11" i="92" s="1"/>
  <c r="BA23" i="92"/>
  <c r="BG23" i="92"/>
  <c r="AU23" i="92"/>
  <c r="BM23" i="92" s="1"/>
  <c r="BU10" i="92"/>
  <c r="AA70" i="92"/>
  <c r="AA62" i="92"/>
  <c r="BM15" i="92"/>
  <c r="BS15" i="92" s="1"/>
  <c r="AI72" i="92"/>
  <c r="O25" i="92"/>
  <c r="O45" i="92" s="1"/>
  <c r="AA31" i="92"/>
  <c r="AA63" i="92"/>
  <c r="AA64" i="92" s="1"/>
  <c r="U25" i="92"/>
  <c r="U32" i="92" s="1"/>
  <c r="AG65" i="92"/>
  <c r="O15" i="92"/>
  <c r="AA55" i="92"/>
  <c r="AG72" i="92"/>
  <c r="AA57" i="92"/>
  <c r="U15" i="92"/>
  <c r="U39" i="92" s="1"/>
  <c r="AA25" i="92"/>
  <c r="AA65" i="92"/>
  <c r="AA66" i="92" s="1"/>
  <c r="AA67" i="92"/>
  <c r="AA72" i="92"/>
  <c r="AI38" i="92"/>
  <c r="AG37" i="92"/>
  <c r="AA15" i="92"/>
  <c r="AG27" i="92"/>
  <c r="AG17" i="92"/>
  <c r="AG7" i="92"/>
  <c r="AK36" i="92"/>
  <c r="AM36" i="92" s="1"/>
  <c r="AG35" i="92"/>
  <c r="AG46" i="92"/>
  <c r="AI46" i="92" s="1"/>
  <c r="AI43" i="92"/>
  <c r="AI65" i="92" s="1"/>
  <c r="AG44" i="92"/>
  <c r="AG67" i="92" s="1"/>
  <c r="AG42" i="92"/>
  <c r="AG41" i="92"/>
  <c r="O48" i="92"/>
  <c r="I39" i="92"/>
  <c r="U48" i="92"/>
  <c r="I75" i="92"/>
  <c r="O75" i="92"/>
  <c r="I32" i="92"/>
  <c r="I45" i="92"/>
  <c r="I48" i="92"/>
  <c r="U75" i="92"/>
  <c r="E31" i="6"/>
  <c r="E33" i="6" s="1"/>
  <c r="AK13" i="92" l="1"/>
  <c r="AI58" i="92"/>
  <c r="AK11" i="92"/>
  <c r="AI56" i="92"/>
  <c r="AK9" i="92"/>
  <c r="AI54" i="92"/>
  <c r="BU16" i="92"/>
  <c r="BW16" i="92"/>
  <c r="BU20" i="92"/>
  <c r="BW20" i="92"/>
  <c r="BY20" i="92" s="1"/>
  <c r="BS23" i="92"/>
  <c r="BU11" i="92"/>
  <c r="BW10" i="92"/>
  <c r="O32" i="92"/>
  <c r="O49" i="92" s="1"/>
  <c r="U45" i="92"/>
  <c r="O39" i="92"/>
  <c r="U40" i="92" s="1"/>
  <c r="AI66" i="92"/>
  <c r="AG57" i="92"/>
  <c r="AG61" i="92"/>
  <c r="AG62" i="92" s="1"/>
  <c r="AI57" i="92"/>
  <c r="AG70" i="92"/>
  <c r="AM72" i="92"/>
  <c r="AK72" i="92"/>
  <c r="AK38" i="92"/>
  <c r="AI42" i="92"/>
  <c r="AI63" i="92" s="1"/>
  <c r="AG63" i="92"/>
  <c r="AG64" i="92" s="1"/>
  <c r="AA32" i="92"/>
  <c r="AG66" i="92"/>
  <c r="AI35" i="92"/>
  <c r="AK35" i="92" s="1"/>
  <c r="AG52" i="92"/>
  <c r="AI37" i="92"/>
  <c r="AG31" i="92"/>
  <c r="AI27" i="92"/>
  <c r="AG25" i="92"/>
  <c r="AI17" i="92"/>
  <c r="AG15" i="92"/>
  <c r="AI7" i="92"/>
  <c r="U49" i="92"/>
  <c r="AK43" i="92"/>
  <c r="I49" i="92"/>
  <c r="AI44" i="92"/>
  <c r="AI41" i="92"/>
  <c r="AE32" i="78"/>
  <c r="AC32" i="78"/>
  <c r="D13" i="6"/>
  <c r="AM13" i="92" l="1"/>
  <c r="AM58" i="92" s="1"/>
  <c r="AK58" i="92"/>
  <c r="AM11" i="92"/>
  <c r="AM56" i="92" s="1"/>
  <c r="AK56" i="92"/>
  <c r="AK57" i="92" s="1"/>
  <c r="AK54" i="92"/>
  <c r="AM9" i="92"/>
  <c r="AM54" i="92" s="1"/>
  <c r="BY16" i="92"/>
  <c r="AA39" i="92"/>
  <c r="AA59" i="92" s="1"/>
  <c r="BU23" i="92"/>
  <c r="BW23" i="92" s="1"/>
  <c r="BY10" i="92"/>
  <c r="BW11" i="92"/>
  <c r="O40" i="92"/>
  <c r="AK42" i="92"/>
  <c r="AK63" i="92" s="1"/>
  <c r="AK64" i="92" s="1"/>
  <c r="AM38" i="92"/>
  <c r="AK44" i="92"/>
  <c r="AI67" i="92"/>
  <c r="AI64" i="92"/>
  <c r="AM43" i="92"/>
  <c r="AM65" i="92" s="1"/>
  <c r="AK65" i="92"/>
  <c r="AK66" i="92" s="1"/>
  <c r="AK41" i="92"/>
  <c r="AM41" i="92" s="1"/>
  <c r="AI61" i="92"/>
  <c r="AI62" i="92" s="1"/>
  <c r="AI70" i="92"/>
  <c r="AM35" i="92"/>
  <c r="AI52" i="92"/>
  <c r="AI53" i="92" s="1"/>
  <c r="AK37" i="92"/>
  <c r="AK27" i="92"/>
  <c r="AI31" i="92"/>
  <c r="AG32" i="92"/>
  <c r="AK17" i="92"/>
  <c r="AI25" i="92"/>
  <c r="AI15" i="92"/>
  <c r="AK7" i="92"/>
  <c r="AK52" i="92" s="1"/>
  <c r="AG39" i="92" l="1"/>
  <c r="AI39" i="92" s="1"/>
  <c r="AM57" i="92"/>
  <c r="AM55" i="92"/>
  <c r="AK53" i="92"/>
  <c r="BY23" i="92"/>
  <c r="BY11" i="92"/>
  <c r="AM42" i="92"/>
  <c r="AM63" i="92" s="1"/>
  <c r="AM64" i="92" s="1"/>
  <c r="AK70" i="92"/>
  <c r="AM46" i="92"/>
  <c r="AK61" i="92"/>
  <c r="AK62" i="92" s="1"/>
  <c r="AM44" i="92"/>
  <c r="AM67" i="92" s="1"/>
  <c r="AK67" i="92"/>
  <c r="AM37" i="92"/>
  <c r="AM66" i="92"/>
  <c r="AI32" i="92"/>
  <c r="AM27" i="92"/>
  <c r="AK31" i="92"/>
  <c r="AM17" i="92"/>
  <c r="AM25" i="92" s="1"/>
  <c r="AK25" i="92"/>
  <c r="AM7" i="92"/>
  <c r="AM15" i="92" s="1"/>
  <c r="AK15" i="92"/>
  <c r="X64" i="78"/>
  <c r="AK39" i="92" l="1"/>
  <c r="AM39" i="92" s="1"/>
  <c r="AM61" i="92"/>
  <c r="AM62" i="92" s="1"/>
  <c r="AM52" i="92"/>
  <c r="AM53" i="92" s="1"/>
  <c r="AM32" i="92"/>
  <c r="AM70" i="92"/>
  <c r="AK32" i="92"/>
  <c r="AB88" i="78"/>
  <c r="AC88" i="78"/>
  <c r="AD88" i="78"/>
  <c r="AE88" i="78"/>
  <c r="Y88" i="78"/>
  <c r="X88" i="78"/>
  <c r="W166" i="83"/>
  <c r="Q167" i="83"/>
  <c r="R167" i="83"/>
  <c r="S167" i="83"/>
  <c r="T167" i="83"/>
  <c r="U167" i="83"/>
  <c r="V167" i="83"/>
  <c r="W167" i="83"/>
  <c r="P167" i="83"/>
  <c r="Q154" i="83"/>
  <c r="R154" i="83"/>
  <c r="S154" i="83"/>
  <c r="T154" i="83"/>
  <c r="U154" i="83"/>
  <c r="V154" i="83"/>
  <c r="W154" i="83"/>
  <c r="Q155" i="83"/>
  <c r="R155" i="83"/>
  <c r="S155" i="83"/>
  <c r="T155" i="83"/>
  <c r="U155" i="83"/>
  <c r="V155" i="83"/>
  <c r="W155" i="83"/>
  <c r="Q156" i="83"/>
  <c r="R156" i="83"/>
  <c r="S156" i="83"/>
  <c r="T156" i="83"/>
  <c r="U156" i="83"/>
  <c r="V156" i="83"/>
  <c r="W156" i="83"/>
  <c r="Q157" i="83"/>
  <c r="R157" i="83"/>
  <c r="S157" i="83"/>
  <c r="T157" i="83"/>
  <c r="U157" i="83"/>
  <c r="V157" i="83"/>
  <c r="W157" i="83"/>
  <c r="Q158" i="83"/>
  <c r="R158" i="83"/>
  <c r="S158" i="83"/>
  <c r="T158" i="83"/>
  <c r="U158" i="83"/>
  <c r="V158" i="83"/>
  <c r="W158" i="83"/>
  <c r="P155" i="83"/>
  <c r="P156" i="83"/>
  <c r="P157" i="83"/>
  <c r="P158" i="83"/>
  <c r="P154" i="83"/>
  <c r="Q153" i="83"/>
  <c r="P153" i="83"/>
  <c r="Q149" i="83"/>
  <c r="R149" i="83"/>
  <c r="S149" i="83"/>
  <c r="T149" i="83"/>
  <c r="U149" i="83"/>
  <c r="V149" i="83"/>
  <c r="W149" i="83"/>
  <c r="P149" i="83"/>
  <c r="Q140" i="83"/>
  <c r="R140" i="83"/>
  <c r="S140" i="83"/>
  <c r="T140" i="83"/>
  <c r="U140" i="83"/>
  <c r="V140" i="83"/>
  <c r="W140" i="83"/>
  <c r="P140" i="83"/>
  <c r="P135" i="83"/>
  <c r="AE73" i="78"/>
  <c r="AD73" i="78"/>
  <c r="AC73" i="78"/>
  <c r="AB73" i="78"/>
  <c r="Y73" i="78"/>
  <c r="X73" i="78"/>
  <c r="T89" i="78"/>
  <c r="H89" i="78"/>
  <c r="N89" i="78"/>
  <c r="W89" i="78"/>
  <c r="V89" i="78"/>
  <c r="S89" i="78"/>
  <c r="R89" i="78"/>
  <c r="Q89" i="78"/>
  <c r="P89" i="78"/>
  <c r="M89" i="78"/>
  <c r="L89" i="78"/>
  <c r="K89" i="78"/>
  <c r="J89" i="78"/>
  <c r="G89" i="78"/>
  <c r="F89" i="78"/>
  <c r="E89" i="78"/>
  <c r="D89" i="78"/>
  <c r="AE85" i="78"/>
  <c r="AD85" i="78"/>
  <c r="AC85" i="78"/>
  <c r="AB85" i="78"/>
  <c r="Y85" i="78"/>
  <c r="X85" i="78"/>
  <c r="W85" i="78"/>
  <c r="V85" i="78"/>
  <c r="S85" i="78"/>
  <c r="R85" i="78"/>
  <c r="Q85" i="78"/>
  <c r="P85" i="78"/>
  <c r="M85" i="78"/>
  <c r="L85" i="78"/>
  <c r="K85" i="78"/>
  <c r="J85" i="78"/>
  <c r="G85" i="78"/>
  <c r="F85" i="78"/>
  <c r="E85" i="78"/>
  <c r="D77" i="78"/>
  <c r="L50" i="65"/>
  <c r="K50" i="65"/>
  <c r="J50" i="65"/>
  <c r="T74" i="78"/>
  <c r="H74" i="78"/>
  <c r="N74" i="78"/>
  <c r="W74" i="78"/>
  <c r="V74" i="78"/>
  <c r="S74" i="78"/>
  <c r="R74" i="78"/>
  <c r="Q74" i="78"/>
  <c r="P74" i="78"/>
  <c r="M74" i="78"/>
  <c r="L74" i="78"/>
  <c r="K74" i="78"/>
  <c r="J74" i="78"/>
  <c r="G74" i="78"/>
  <c r="F74" i="78"/>
  <c r="E74" i="78"/>
  <c r="D74" i="78"/>
  <c r="X55" i="78"/>
  <c r="X109" i="78" l="1"/>
  <c r="M12" i="3" l="1"/>
  <c r="D38" i="78"/>
  <c r="AI24" i="74"/>
  <c r="AH24" i="74"/>
  <c r="AE24" i="74"/>
  <c r="AD24" i="74"/>
  <c r="AC24" i="74"/>
  <c r="AB24" i="74"/>
  <c r="Y24" i="74"/>
  <c r="X24" i="74"/>
  <c r="W24" i="74"/>
  <c r="V24" i="74"/>
  <c r="S24" i="74"/>
  <c r="R24" i="74"/>
  <c r="Q24" i="74"/>
  <c r="P24" i="74"/>
  <c r="M24" i="74"/>
  <c r="L24" i="74"/>
  <c r="K24" i="74"/>
  <c r="J24" i="74"/>
  <c r="G24" i="74"/>
  <c r="F24" i="74"/>
  <c r="E24" i="74"/>
  <c r="D24" i="74"/>
  <c r="D34" i="78" l="1"/>
  <c r="F35" i="78" l="1"/>
  <c r="N24" i="84"/>
  <c r="H24" i="84"/>
  <c r="D24" i="84"/>
  <c r="J24" i="84"/>
  <c r="E24" i="84"/>
  <c r="K24" i="84"/>
  <c r="F24" i="84"/>
  <c r="G24" i="84" s="1"/>
  <c r="L24" i="84"/>
  <c r="G23" i="84"/>
  <c r="G22" i="84"/>
  <c r="G21" i="84"/>
  <c r="M23" i="84"/>
  <c r="M22" i="84"/>
  <c r="M21" i="84"/>
  <c r="P24" i="84"/>
  <c r="V24" i="84"/>
  <c r="S23" i="84"/>
  <c r="S22" i="84"/>
  <c r="S21" i="84"/>
  <c r="Y23" i="84"/>
  <c r="Y22" i="84"/>
  <c r="Y21" i="84"/>
  <c r="W24" i="84"/>
  <c r="Q24" i="84"/>
  <c r="R24" i="84"/>
  <c r="AE23" i="84"/>
  <c r="AE22" i="84"/>
  <c r="AE21" i="84"/>
  <c r="AD24" i="84"/>
  <c r="X24" i="84"/>
  <c r="T24" i="84"/>
  <c r="S24" i="84" s="1"/>
  <c r="Z24" i="84"/>
  <c r="AF24" i="84"/>
  <c r="AI24" i="84"/>
  <c r="AC24" i="84"/>
  <c r="AH24" i="84"/>
  <c r="AB24" i="84"/>
  <c r="H19" i="85"/>
  <c r="M24" i="84" l="1"/>
  <c r="AE24" i="84"/>
  <c r="T14" i="78"/>
  <c r="T21" i="78" s="1"/>
  <c r="U77" i="92"/>
  <c r="U79" i="92" s="1"/>
  <c r="Y24" i="84"/>
  <c r="O77" i="92"/>
  <c r="O79" i="92" s="1"/>
  <c r="N14" i="78"/>
  <c r="N21" i="78" s="1"/>
  <c r="I77" i="92"/>
  <c r="I79" i="92" s="1"/>
  <c r="H14" i="78"/>
  <c r="H21" i="78" s="1"/>
  <c r="S7" i="83"/>
  <c r="R161" i="78" l="1"/>
  <c r="H21" i="85" l="1"/>
  <c r="H22" i="85"/>
  <c r="AE43" i="78" l="1"/>
  <c r="AD43" i="78"/>
  <c r="AC43" i="78"/>
  <c r="AB43" i="78"/>
  <c r="Y43" i="78"/>
  <c r="X43" i="78"/>
  <c r="X97" i="78" s="1"/>
  <c r="AE34" i="78"/>
  <c r="AD34" i="78"/>
  <c r="AC34" i="78"/>
  <c r="AB34" i="78"/>
  <c r="Y34" i="78"/>
  <c r="X34" i="78"/>
  <c r="W112" i="78" l="1"/>
  <c r="J115" i="78"/>
  <c r="T115" i="78"/>
  <c r="V112" i="78"/>
  <c r="F112" i="78"/>
  <c r="T112" i="78"/>
  <c r="L112" i="78"/>
  <c r="L115" i="78"/>
  <c r="Q115" i="78"/>
  <c r="J112" i="78"/>
  <c r="D115" i="78"/>
  <c r="E115" i="78"/>
  <c r="M112" i="78"/>
  <c r="R115" i="78"/>
  <c r="D112" i="78"/>
  <c r="D28" i="6"/>
  <c r="N112" i="78"/>
  <c r="M115" i="78"/>
  <c r="P115" i="78"/>
  <c r="W115" i="78"/>
  <c r="F115" i="78"/>
  <c r="V115" i="78"/>
  <c r="E112" i="78"/>
  <c r="H112" i="78"/>
  <c r="S112" i="78"/>
  <c r="Q112" i="78"/>
  <c r="P112" i="78"/>
  <c r="G115" i="78"/>
  <c r="R112" i="78"/>
  <c r="N115" i="78"/>
  <c r="G112" i="78"/>
  <c r="K115" i="78"/>
  <c r="S115" i="78"/>
  <c r="K112" i="78"/>
  <c r="H115" i="78"/>
  <c r="AB106" i="78"/>
  <c r="AB109" i="78" s="1"/>
  <c r="AC106" i="78"/>
  <c r="AC109" i="78" s="1"/>
  <c r="AD106" i="78"/>
  <c r="AD109" i="78" s="1"/>
  <c r="AE106" i="78"/>
  <c r="AE109" i="78" s="1"/>
  <c r="G28" i="6" l="1"/>
  <c r="H28" i="6" s="1"/>
  <c r="Y109" i="78"/>
  <c r="Z106" i="78"/>
  <c r="F20" i="85"/>
  <c r="H30" i="85" l="1"/>
  <c r="H31" i="85"/>
  <c r="H28" i="85" l="1"/>
  <c r="H27" i="85" l="1"/>
  <c r="H25" i="85"/>
  <c r="H26" i="85"/>
  <c r="H23" i="85" l="1"/>
  <c r="C21" i="89" l="1"/>
  <c r="C30" i="89" s="1"/>
  <c r="C39" i="89" s="1"/>
  <c r="C47" i="89" s="1"/>
  <c r="C57" i="89" s="1"/>
  <c r="C65" i="89" s="1"/>
  <c r="C71" i="89" s="1"/>
  <c r="C81" i="89" s="1"/>
  <c r="C86" i="89" s="1"/>
  <c r="J82" i="78"/>
  <c r="M82" i="78"/>
  <c r="D82" i="78"/>
  <c r="D83" i="78" s="1"/>
  <c r="V82" i="78"/>
  <c r="Q82" i="78"/>
  <c r="E82" i="78"/>
  <c r="K82" i="78"/>
  <c r="P82" i="78"/>
  <c r="W82" i="78"/>
  <c r="F82" i="78"/>
  <c r="L82" i="78"/>
  <c r="G82" i="78"/>
  <c r="S82" i="78"/>
  <c r="R82" i="78"/>
  <c r="D52" i="78" l="1"/>
  <c r="N12" i="89" l="1" a="1"/>
  <c r="I12" i="89" a="1"/>
  <c r="Q133" i="83"/>
  <c r="R133" i="83" s="1"/>
  <c r="S133" i="83" s="1"/>
  <c r="T133" i="83" s="1"/>
  <c r="U133" i="83" s="1"/>
  <c r="V133" i="83" s="1"/>
  <c r="W133" i="83" s="1"/>
  <c r="Q142" i="83"/>
  <c r="R142" i="83" s="1"/>
  <c r="S142" i="83" s="1"/>
  <c r="T142" i="83" s="1"/>
  <c r="U142" i="83" s="1"/>
  <c r="V142" i="83" s="1"/>
  <c r="W142" i="83" s="1"/>
  <c r="Q151" i="83"/>
  <c r="R151" i="83" s="1"/>
  <c r="S151" i="83" s="1"/>
  <c r="T151" i="83" s="1"/>
  <c r="U151" i="83" s="1"/>
  <c r="V151" i="83" s="1"/>
  <c r="W151" i="83" s="1"/>
  <c r="Q160" i="83"/>
  <c r="R160" i="83" s="1"/>
  <c r="S160" i="83" s="1"/>
  <c r="T160" i="83" s="1"/>
  <c r="U160" i="83" s="1"/>
  <c r="V160" i="83" s="1"/>
  <c r="W160" i="83" s="1"/>
  <c r="N12" i="89" l="1"/>
  <c r="N21" i="89" s="1"/>
  <c r="N30" i="89" s="1"/>
  <c r="N39" i="89" s="1"/>
  <c r="N47" i="89" s="1"/>
  <c r="N57" i="89" s="1"/>
  <c r="N65" i="89" s="1"/>
  <c r="N71" i="89" s="1"/>
  <c r="N81" i="89" s="1"/>
  <c r="N86" i="89" s="1"/>
  <c r="R21" i="89"/>
  <c r="R30" i="89" s="1"/>
  <c r="R39" i="89" s="1"/>
  <c r="R47" i="89" s="1"/>
  <c r="R57" i="89" s="1"/>
  <c r="R65" i="89" s="1"/>
  <c r="R71" i="89" s="1"/>
  <c r="R81" i="89" s="1"/>
  <c r="R86" i="89" s="1"/>
  <c r="P21" i="89"/>
  <c r="P30" i="89" s="1"/>
  <c r="P39" i="89" s="1"/>
  <c r="P47" i="89" s="1"/>
  <c r="P57" i="89" s="1"/>
  <c r="P65" i="89" s="1"/>
  <c r="P71" i="89" s="1"/>
  <c r="P81" i="89" s="1"/>
  <c r="P86" i="89" s="1"/>
  <c r="O21" i="89"/>
  <c r="O30" i="89" s="1"/>
  <c r="O39" i="89" s="1"/>
  <c r="O47" i="89" s="1"/>
  <c r="O57" i="89" s="1"/>
  <c r="O65" i="89" s="1"/>
  <c r="O71" i="89" s="1"/>
  <c r="O81" i="89" s="1"/>
  <c r="O86" i="89" s="1"/>
  <c r="Q21" i="89"/>
  <c r="Q30" i="89" s="1"/>
  <c r="Q39" i="89" s="1"/>
  <c r="Q47" i="89" s="1"/>
  <c r="Q57" i="89" s="1"/>
  <c r="Q65" i="89" s="1"/>
  <c r="Q71" i="89" s="1"/>
  <c r="Q81" i="89" s="1"/>
  <c r="Q86" i="89" s="1"/>
  <c r="I12" i="89"/>
  <c r="I21" i="89" s="1"/>
  <c r="I30" i="89" s="1"/>
  <c r="I39" i="89" s="1"/>
  <c r="I47" i="89" s="1"/>
  <c r="I57" i="89" s="1"/>
  <c r="I65" i="89" s="1"/>
  <c r="I71" i="89" s="1"/>
  <c r="I81" i="89" s="1"/>
  <c r="I86" i="89" s="1"/>
  <c r="M21" i="89"/>
  <c r="M30" i="89" s="1"/>
  <c r="M39" i="89" s="1"/>
  <c r="M47" i="89" s="1"/>
  <c r="M57" i="89" s="1"/>
  <c r="M65" i="89" s="1"/>
  <c r="M71" i="89" s="1"/>
  <c r="M81" i="89" s="1"/>
  <c r="M86" i="89" s="1"/>
  <c r="K21" i="89"/>
  <c r="K30" i="89" s="1"/>
  <c r="K39" i="89" s="1"/>
  <c r="K47" i="89" s="1"/>
  <c r="K57" i="89" s="1"/>
  <c r="K65" i="89" s="1"/>
  <c r="K71" i="89" s="1"/>
  <c r="K81" i="89" s="1"/>
  <c r="K86" i="89" s="1"/>
  <c r="L21" i="89"/>
  <c r="L30" i="89" s="1"/>
  <c r="L39" i="89" s="1"/>
  <c r="L47" i="89" s="1"/>
  <c r="L57" i="89" s="1"/>
  <c r="L65" i="89" s="1"/>
  <c r="L71" i="89" s="1"/>
  <c r="L81" i="89" s="1"/>
  <c r="L86" i="89" s="1"/>
  <c r="J21" i="89"/>
  <c r="J30" i="89" s="1"/>
  <c r="J39" i="89" s="1"/>
  <c r="J47" i="89" s="1"/>
  <c r="J57" i="89" s="1"/>
  <c r="J65" i="89" s="1"/>
  <c r="J71" i="89" s="1"/>
  <c r="J81" i="89" s="1"/>
  <c r="J86" i="89" s="1"/>
  <c r="D21" i="89"/>
  <c r="D30" i="89" s="1"/>
  <c r="D39" i="89" s="1"/>
  <c r="D47" i="89" s="1"/>
  <c r="D57" i="89" s="1"/>
  <c r="D65" i="89" s="1"/>
  <c r="D71" i="89" s="1"/>
  <c r="D81" i="89" s="1"/>
  <c r="D86" i="89" s="1"/>
  <c r="H21" i="89"/>
  <c r="H30" i="89" s="1"/>
  <c r="H39" i="89" s="1"/>
  <c r="H47" i="89" s="1"/>
  <c r="H57" i="89" s="1"/>
  <c r="H65" i="89" s="1"/>
  <c r="H71" i="89" s="1"/>
  <c r="H81" i="89" s="1"/>
  <c r="H86" i="89" s="1"/>
  <c r="G21" i="89"/>
  <c r="G30" i="89" s="1"/>
  <c r="G39" i="89" s="1"/>
  <c r="G47" i="89" s="1"/>
  <c r="G57" i="89" s="1"/>
  <c r="G65" i="89" s="1"/>
  <c r="G71" i="89" s="1"/>
  <c r="G81" i="89" s="1"/>
  <c r="G86" i="89" s="1"/>
  <c r="E21" i="89"/>
  <c r="E30" i="89" s="1"/>
  <c r="E39" i="89" s="1"/>
  <c r="E47" i="89" s="1"/>
  <c r="E57" i="89" s="1"/>
  <c r="E65" i="89" s="1"/>
  <c r="E71" i="89" s="1"/>
  <c r="E81" i="89" s="1"/>
  <c r="E86" i="89" s="1"/>
  <c r="F21" i="89"/>
  <c r="F30" i="89" s="1"/>
  <c r="F39" i="89" s="1"/>
  <c r="F47" i="89" s="1"/>
  <c r="F57" i="89" s="1"/>
  <c r="F65" i="89" s="1"/>
  <c r="F71" i="89" s="1"/>
  <c r="F81" i="89" s="1"/>
  <c r="F86" i="89" s="1"/>
  <c r="H32" i="6" l="1"/>
  <c r="G32" i="6"/>
  <c r="F32" i="6"/>
  <c r="O9" i="6"/>
  <c r="P9" i="6" s="1"/>
  <c r="Q9" i="6" s="1"/>
  <c r="R9" i="6" s="1"/>
  <c r="F31" i="6"/>
  <c r="G31" i="6"/>
  <c r="H31" i="6"/>
  <c r="E9" i="6"/>
  <c r="F9" i="6" s="1"/>
  <c r="G9" i="6" s="1"/>
  <c r="H9" i="6" s="1"/>
  <c r="H33" i="6" l="1"/>
  <c r="G33" i="6"/>
  <c r="F33" i="6"/>
  <c r="B29" i="87" l="1"/>
  <c r="B30" i="87"/>
  <c r="B31" i="87"/>
  <c r="B32" i="87"/>
  <c r="B33" i="87"/>
  <c r="B43" i="87"/>
  <c r="B44" i="87"/>
  <c r="B45" i="87"/>
  <c r="B41" i="87"/>
  <c r="B42" i="87"/>
  <c r="B17" i="87"/>
  <c r="B18" i="87"/>
  <c r="B19" i="87"/>
  <c r="B20" i="87"/>
  <c r="B21" i="87"/>
  <c r="H169" i="83" l="1"/>
  <c r="I169" i="83" s="1"/>
  <c r="J169" i="83" s="1"/>
  <c r="K169" i="83" s="1"/>
  <c r="L169" i="83" s="1"/>
  <c r="M169" i="83" s="1"/>
  <c r="N169" i="83" s="1"/>
  <c r="H160" i="83"/>
  <c r="I160" i="83" s="1"/>
  <c r="J160" i="83" s="1"/>
  <c r="K160" i="83" s="1"/>
  <c r="L160" i="83" s="1"/>
  <c r="M160" i="83" s="1"/>
  <c r="N160" i="83" s="1"/>
  <c r="H151" i="83"/>
  <c r="I151" i="83" s="1"/>
  <c r="J151" i="83" s="1"/>
  <c r="K151" i="83" s="1"/>
  <c r="L151" i="83" s="1"/>
  <c r="M151" i="83" s="1"/>
  <c r="N151" i="83" s="1"/>
  <c r="H142" i="83"/>
  <c r="I142" i="83" s="1"/>
  <c r="J142" i="83" s="1"/>
  <c r="K142" i="83" s="1"/>
  <c r="L142" i="83" s="1"/>
  <c r="M142" i="83" s="1"/>
  <c r="N142" i="83" s="1"/>
  <c r="H133" i="83" l="1"/>
  <c r="B5" i="86"/>
  <c r="I133" i="83" l="1"/>
  <c r="B6" i="86"/>
  <c r="I5" i="86"/>
  <c r="Q5" i="86" s="1"/>
  <c r="J133" i="83" l="1"/>
  <c r="B7" i="86"/>
  <c r="I6" i="86"/>
  <c r="Q6" i="86" s="1"/>
  <c r="AM4" i="86"/>
  <c r="T4" i="86"/>
  <c r="S4" i="86"/>
  <c r="A61" i="83"/>
  <c r="M21" i="3"/>
  <c r="M19" i="3"/>
  <c r="M17" i="3"/>
  <c r="M15" i="3"/>
  <c r="M13" i="3"/>
  <c r="M18" i="3"/>
  <c r="M16" i="3"/>
  <c r="M14" i="3"/>
  <c r="M20"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W4" i="86"/>
  <c r="N17" i="79"/>
  <c r="AF13" i="79"/>
  <c r="AF17" i="79"/>
  <c r="AL16" i="79"/>
  <c r="AR15" i="79"/>
  <c r="N14" i="79"/>
  <c r="T13" i="79"/>
  <c r="T17" i="79"/>
  <c r="Z16" i="79"/>
  <c r="AF15" i="79"/>
  <c r="AR13" i="79"/>
  <c r="AR17" i="79"/>
  <c r="K133" i="83"/>
  <c r="V4" i="86"/>
  <c r="AM5" i="86"/>
  <c r="B8" i="86"/>
  <c r="I7" i="86"/>
  <c r="Q7" i="86" s="1"/>
  <c r="AF16" i="79"/>
  <c r="H17" i="79"/>
  <c r="N16" i="79"/>
  <c r="T16" i="79"/>
  <c r="N15" i="79"/>
  <c r="T14" i="79"/>
  <c r="Z13" i="79"/>
  <c r="Z17" i="79"/>
  <c r="AL15" i="79"/>
  <c r="Z15" i="79"/>
  <c r="AR16" i="79"/>
  <c r="T15" i="79"/>
  <c r="N13" i="79"/>
  <c r="AL17" i="79"/>
  <c r="AR14" i="79"/>
  <c r="AL13" i="79"/>
  <c r="AL14" i="79"/>
  <c r="AF14" i="79"/>
  <c r="Z14" i="79"/>
  <c r="C194" i="66" l="1"/>
  <c r="C191" i="66"/>
  <c r="L133" i="83"/>
  <c r="AM6" i="86"/>
  <c r="B9" i="86"/>
  <c r="I8" i="86"/>
  <c r="Q8" i="86" s="1"/>
  <c r="C195" i="66" l="1"/>
  <c r="C190" i="66"/>
  <c r="M133" i="83"/>
  <c r="AM7" i="86"/>
  <c r="B10" i="86"/>
  <c r="I9" i="86"/>
  <c r="Q9" i="86" s="1"/>
  <c r="L59" i="65"/>
  <c r="K59" i="65"/>
  <c r="J59" i="65"/>
  <c r="G112" i="65"/>
  <c r="F112" i="65"/>
  <c r="E112" i="65"/>
  <c r="L108" i="65" l="1"/>
  <c r="L105" i="65"/>
  <c r="K102" i="65"/>
  <c r="K105" i="65"/>
  <c r="J108" i="65"/>
  <c r="J105" i="65"/>
  <c r="C196" i="66"/>
  <c r="C189" i="66"/>
  <c r="N133" i="83"/>
  <c r="B11" i="86"/>
  <c r="I10" i="86"/>
  <c r="Q10" i="86" s="1"/>
  <c r="AM8" i="86"/>
  <c r="J131" i="65"/>
  <c r="K131" i="65"/>
  <c r="L131" i="65"/>
  <c r="J71" i="65"/>
  <c r="J120" i="65" s="1"/>
  <c r="K71" i="65"/>
  <c r="K120" i="65" s="1"/>
  <c r="L71" i="65"/>
  <c r="L120" i="65" s="1"/>
  <c r="J102" i="65"/>
  <c r="K108" i="65"/>
  <c r="L60" i="65"/>
  <c r="L102" i="65"/>
  <c r="K60" i="65"/>
  <c r="C197" i="66" l="1"/>
  <c r="C188" i="66"/>
  <c r="AM9" i="86"/>
  <c r="B12" i="86"/>
  <c r="I11" i="86"/>
  <c r="Q11" i="86" s="1"/>
  <c r="C198" i="66" l="1"/>
  <c r="C187" i="66"/>
  <c r="B13" i="86"/>
  <c r="I12" i="86"/>
  <c r="Q12" i="86" s="1"/>
  <c r="AM10" i="86"/>
  <c r="C199" i="66" l="1"/>
  <c r="C186" i="66"/>
  <c r="AM11" i="86"/>
  <c r="B14" i="86"/>
  <c r="I13" i="86"/>
  <c r="Q13" i="86" s="1"/>
  <c r="C200" i="66" l="1"/>
  <c r="C185" i="66"/>
  <c r="B15" i="86"/>
  <c r="I14" i="86"/>
  <c r="Q14" i="86" s="1"/>
  <c r="AM12" i="86"/>
  <c r="C201" i="66" l="1"/>
  <c r="C184" i="66"/>
  <c r="AM13" i="86"/>
  <c r="B16" i="86"/>
  <c r="I15" i="86"/>
  <c r="Q15" i="86" s="1"/>
  <c r="C202" i="66" l="1"/>
  <c r="C183" i="66"/>
  <c r="AM14" i="86"/>
  <c r="B17" i="86"/>
  <c r="I16" i="86"/>
  <c r="Q16" i="86" s="1"/>
  <c r="C203" i="66" l="1"/>
  <c r="C182" i="66"/>
  <c r="B18" i="86"/>
  <c r="I17" i="86"/>
  <c r="Q17" i="86" s="1"/>
  <c r="AM15" i="86"/>
  <c r="Q63" i="83"/>
  <c r="C181" i="66" l="1"/>
  <c r="C204" i="66"/>
  <c r="AM16" i="86"/>
  <c r="B19" i="86"/>
  <c r="I18" i="86"/>
  <c r="Q18" i="86" s="1"/>
  <c r="Q64" i="83"/>
  <c r="C205" i="66" l="1"/>
  <c r="C180" i="66"/>
  <c r="Q65" i="83"/>
  <c r="B20" i="86"/>
  <c r="I19" i="86"/>
  <c r="Q19" i="86" s="1"/>
  <c r="AM17" i="86"/>
  <c r="C206" i="66" l="1"/>
  <c r="C179" i="66"/>
  <c r="Q66" i="83"/>
  <c r="AM18" i="86"/>
  <c r="B21" i="86"/>
  <c r="I20" i="86"/>
  <c r="Q20" i="86" s="1"/>
  <c r="B30" i="83"/>
  <c r="E14" i="65"/>
  <c r="B62" i="83"/>
  <c r="B73" i="83"/>
  <c r="F73" i="83"/>
  <c r="G73" i="83" s="1"/>
  <c r="H73" i="83" s="1"/>
  <c r="I73" i="83" s="1"/>
  <c r="J73" i="83" s="1"/>
  <c r="K73" i="83" s="1"/>
  <c r="L73" i="83" s="1"/>
  <c r="M73" i="83" s="1"/>
  <c r="N73" i="83" s="1"/>
  <c r="C207" i="66" l="1"/>
  <c r="C178" i="66"/>
  <c r="D4" i="86"/>
  <c r="K4" i="86" s="1"/>
  <c r="C4" i="86"/>
  <c r="Q67" i="83"/>
  <c r="B22" i="86"/>
  <c r="I21" i="86"/>
  <c r="Q21" i="86" s="1"/>
  <c r="AM19" i="86"/>
  <c r="AD18" i="84"/>
  <c r="AD26" i="84"/>
  <c r="AD68" i="79"/>
  <c r="R26" i="84"/>
  <c r="R18" i="84"/>
  <c r="R68" i="79"/>
  <c r="F26" i="84"/>
  <c r="F18" i="84"/>
  <c r="F68" i="79"/>
  <c r="X26" i="84"/>
  <c r="X18" i="84"/>
  <c r="X68" i="79"/>
  <c r="L18" i="84"/>
  <c r="L26" i="84"/>
  <c r="L68" i="79"/>
  <c r="B117" i="83"/>
  <c r="B106" i="83"/>
  <c r="B95" i="83"/>
  <c r="B84" i="83"/>
  <c r="E84" i="83"/>
  <c r="E95" i="83" s="1"/>
  <c r="E106" i="83" s="1"/>
  <c r="E117" i="83" s="1"/>
  <c r="F62" i="83"/>
  <c r="C208" i="66" l="1"/>
  <c r="C177" i="66"/>
  <c r="E4" i="86"/>
  <c r="H4" i="86"/>
  <c r="F4" i="86"/>
  <c r="G4" i="86"/>
  <c r="J4" i="86"/>
  <c r="Q68" i="83"/>
  <c r="Z4" i="86"/>
  <c r="AM20" i="86"/>
  <c r="B23" i="86"/>
  <c r="I22" i="86"/>
  <c r="Q22" i="86" s="1"/>
  <c r="G62" i="83"/>
  <c r="F84" i="83"/>
  <c r="F95" i="83" s="1"/>
  <c r="F106" i="83" s="1"/>
  <c r="F117" i="83" s="1"/>
  <c r="G84" i="83"/>
  <c r="G95" i="83" s="1"/>
  <c r="C209" i="66" l="1"/>
  <c r="C176" i="66"/>
  <c r="N4" i="86"/>
  <c r="M4" i="86"/>
  <c r="O4" i="86"/>
  <c r="L4" i="86"/>
  <c r="Y4" i="86"/>
  <c r="AF4" i="86" s="1"/>
  <c r="R4" i="86"/>
  <c r="Q69" i="83"/>
  <c r="AG4" i="86"/>
  <c r="B24" i="86"/>
  <c r="I23" i="86"/>
  <c r="Q23" i="86" s="1"/>
  <c r="AM21" i="86"/>
  <c r="H84" i="83"/>
  <c r="I84" i="83" s="1"/>
  <c r="J84" i="83" s="1"/>
  <c r="K84" i="83" s="1"/>
  <c r="L84" i="83" s="1"/>
  <c r="M84" i="83" s="1"/>
  <c r="N84" i="83" s="1"/>
  <c r="H62" i="83"/>
  <c r="H95" i="83"/>
  <c r="I95" i="83" s="1"/>
  <c r="J95" i="83" s="1"/>
  <c r="K95" i="83" s="1"/>
  <c r="L95" i="83" s="1"/>
  <c r="M95" i="83" s="1"/>
  <c r="N95" i="83" s="1"/>
  <c r="G106" i="83"/>
  <c r="AC4" i="86" l="1"/>
  <c r="AB4" i="86"/>
  <c r="AD4" i="86"/>
  <c r="C210" i="66"/>
  <c r="C175" i="66"/>
  <c r="AA4" i="86"/>
  <c r="U4" i="86"/>
  <c r="Q70" i="83"/>
  <c r="AK4" i="86"/>
  <c r="AI4" i="86"/>
  <c r="AH4" i="86"/>
  <c r="AJ4" i="86"/>
  <c r="B25" i="86"/>
  <c r="I24" i="86"/>
  <c r="Q24" i="86" s="1"/>
  <c r="AM22" i="86"/>
  <c r="I62" i="83"/>
  <c r="H106" i="83"/>
  <c r="I106" i="83" s="1"/>
  <c r="J106" i="83" s="1"/>
  <c r="K106" i="83" s="1"/>
  <c r="L106" i="83" s="1"/>
  <c r="M106" i="83" s="1"/>
  <c r="N106" i="83" s="1"/>
  <c r="G117" i="83"/>
  <c r="H117" i="83" s="1"/>
  <c r="I117" i="83" s="1"/>
  <c r="J117" i="83" s="1"/>
  <c r="K117" i="83" s="1"/>
  <c r="L117" i="83" s="1"/>
  <c r="M117" i="83" s="1"/>
  <c r="N117" i="83" s="1"/>
  <c r="R70" i="83"/>
  <c r="S70" i="83"/>
  <c r="C211" i="66" l="1"/>
  <c r="C174" i="66"/>
  <c r="U70" i="83"/>
  <c r="B26" i="86"/>
  <c r="I25" i="86"/>
  <c r="Q25" i="86" s="1"/>
  <c r="AM23" i="86"/>
  <c r="J62" i="83"/>
  <c r="S69" i="83"/>
  <c r="R69" i="83"/>
  <c r="C212" i="66" l="1"/>
  <c r="C173" i="66"/>
  <c r="U69" i="83"/>
  <c r="B27" i="86"/>
  <c r="I26" i="86"/>
  <c r="Q26" i="86" s="1"/>
  <c r="AM24" i="86"/>
  <c r="K62" i="83"/>
  <c r="R68" i="83"/>
  <c r="S68" i="83"/>
  <c r="U68" i="83" l="1"/>
  <c r="C213" i="66"/>
  <c r="C172" i="66"/>
  <c r="AM25" i="86"/>
  <c r="B28" i="86"/>
  <c r="I27" i="86"/>
  <c r="Q27" i="86" s="1"/>
  <c r="L62" i="83"/>
  <c r="S67" i="83"/>
  <c r="R67" i="83"/>
  <c r="C214" i="66" l="1"/>
  <c r="C171" i="66"/>
  <c r="U67" i="83"/>
  <c r="B29" i="86"/>
  <c r="I28" i="86"/>
  <c r="Q28" i="86" s="1"/>
  <c r="AM26" i="86"/>
  <c r="M62" i="83"/>
  <c r="R66" i="83"/>
  <c r="S66" i="83"/>
  <c r="C215" i="66" l="1"/>
  <c r="C170" i="66"/>
  <c r="U66" i="83"/>
  <c r="B30" i="86"/>
  <c r="I29" i="86"/>
  <c r="Q29" i="86" s="1"/>
  <c r="AM27" i="86"/>
  <c r="N62" i="83"/>
  <c r="S65" i="83"/>
  <c r="R65" i="83"/>
  <c r="R64" i="83" s="1"/>
  <c r="C169" i="66" l="1"/>
  <c r="C216" i="66"/>
  <c r="U65" i="83"/>
  <c r="AM28" i="86"/>
  <c r="B31" i="86"/>
  <c r="I30" i="86"/>
  <c r="Q30" i="86" s="1"/>
  <c r="S64" i="83"/>
  <c r="C217" i="66" l="1"/>
  <c r="C168" i="66"/>
  <c r="U64" i="83"/>
  <c r="B32" i="86"/>
  <c r="I31" i="86"/>
  <c r="Q31" i="86" s="1"/>
  <c r="AM29" i="86"/>
  <c r="S63" i="83"/>
  <c r="R63" i="83"/>
  <c r="C218" i="66" l="1"/>
  <c r="C167" i="66"/>
  <c r="U63" i="83"/>
  <c r="AM30" i="86"/>
  <c r="B33" i="86"/>
  <c r="I32" i="86"/>
  <c r="Q32" i="86" s="1"/>
  <c r="E32" i="6"/>
  <c r="J14" i="83" l="1"/>
  <c r="C219" i="66"/>
  <c r="C166" i="66"/>
  <c r="B34" i="86"/>
  <c r="I33" i="86"/>
  <c r="Q33" i="86" s="1"/>
  <c r="AM31" i="86"/>
  <c r="W55" i="78"/>
  <c r="V55" i="78"/>
  <c r="W52" i="78"/>
  <c r="V52" i="78"/>
  <c r="R65" i="78"/>
  <c r="R64" i="78"/>
  <c r="T55" i="78"/>
  <c r="G83" i="65" s="1"/>
  <c r="S55" i="78"/>
  <c r="R55" i="78"/>
  <c r="Q55" i="78"/>
  <c r="P55" i="78"/>
  <c r="T52" i="78"/>
  <c r="G80" i="65" s="1"/>
  <c r="S52" i="78"/>
  <c r="R52" i="78"/>
  <c r="Q52" i="78"/>
  <c r="P52" i="78"/>
  <c r="L65" i="78"/>
  <c r="L64" i="78"/>
  <c r="N55" i="78"/>
  <c r="F83" i="65" s="1"/>
  <c r="M55" i="78"/>
  <c r="L55" i="78"/>
  <c r="K55" i="78"/>
  <c r="J55" i="78"/>
  <c r="N52" i="78"/>
  <c r="F80" i="65" s="1"/>
  <c r="M52" i="78"/>
  <c r="L52" i="78"/>
  <c r="K52" i="78"/>
  <c r="J52" i="78"/>
  <c r="C220" i="66" l="1"/>
  <c r="C165" i="66"/>
  <c r="AX18" i="84"/>
  <c r="AX26" i="84"/>
  <c r="AX68" i="79"/>
  <c r="AT26" i="84"/>
  <c r="AT18" i="84"/>
  <c r="AT68" i="79"/>
  <c r="B35" i="86"/>
  <c r="I34" i="86"/>
  <c r="Q34" i="86" s="1"/>
  <c r="AM32" i="86"/>
  <c r="AB70" i="78"/>
  <c r="AB76" i="78"/>
  <c r="AB58" i="78"/>
  <c r="AC70" i="78"/>
  <c r="AC58" i="78"/>
  <c r="AC76" i="78"/>
  <c r="AD76" i="78"/>
  <c r="AD70" i="78"/>
  <c r="AD58" i="78"/>
  <c r="AE58" i="78"/>
  <c r="AE70" i="78"/>
  <c r="AE76" i="78"/>
  <c r="X70" i="78"/>
  <c r="X58" i="78"/>
  <c r="X76" i="78"/>
  <c r="Y76" i="78"/>
  <c r="Y58" i="78"/>
  <c r="H55" i="78"/>
  <c r="E83" i="65" s="1"/>
  <c r="G55" i="78"/>
  <c r="F55" i="78"/>
  <c r="E55" i="78"/>
  <c r="H52" i="78"/>
  <c r="E80" i="65" s="1"/>
  <c r="G52" i="78"/>
  <c r="F52" i="78"/>
  <c r="E52" i="78"/>
  <c r="D55" i="78"/>
  <c r="AD139" i="78"/>
  <c r="AF139" i="78" s="1"/>
  <c r="X139" i="78"/>
  <c r="Z139" i="78" s="1"/>
  <c r="AD118" i="78"/>
  <c r="AF118" i="78" s="1"/>
  <c r="X118" i="78"/>
  <c r="Y118" i="78" s="1"/>
  <c r="R118" i="78"/>
  <c r="Q118" i="78" s="1"/>
  <c r="L118" i="78"/>
  <c r="N118" i="78" s="1"/>
  <c r="F118" i="78"/>
  <c r="E118" i="78" s="1"/>
  <c r="D118" i="78"/>
  <c r="AM24" i="78"/>
  <c r="AD24" i="78"/>
  <c r="AF24" i="78" s="1"/>
  <c r="X24" i="78"/>
  <c r="Y24" i="78" s="1"/>
  <c r="R24" i="78"/>
  <c r="T24" i="78" s="1"/>
  <c r="L24" i="78"/>
  <c r="K24" i="78" s="1"/>
  <c r="D24" i="78"/>
  <c r="F24" i="78"/>
  <c r="J8" i="78"/>
  <c r="P8" i="78" s="1"/>
  <c r="V8" i="78" s="1"/>
  <c r="AB8" i="78" s="1"/>
  <c r="AH8" i="78" s="1"/>
  <c r="AJ8" i="78" s="1"/>
  <c r="AL8" i="78" s="1"/>
  <c r="AL139" i="78" s="1"/>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I50" i="65" l="1"/>
  <c r="I59" i="65" s="1"/>
  <c r="I105" i="65" s="1"/>
  <c r="C221" i="66"/>
  <c r="C164" i="66"/>
  <c r="AR18" i="79"/>
  <c r="AP171" i="79"/>
  <c r="AP26" i="84"/>
  <c r="AP18" i="84"/>
  <c r="AP68" i="79"/>
  <c r="AQ18" i="84"/>
  <c r="AQ26" i="84"/>
  <c r="AQ68" i="79"/>
  <c r="AV18" i="84"/>
  <c r="AV26" i="84"/>
  <c r="AV68" i="79"/>
  <c r="AO18" i="84"/>
  <c r="AO26" i="84"/>
  <c r="AO68" i="79"/>
  <c r="AN18" i="84"/>
  <c r="AN26" i="84"/>
  <c r="AN68" i="79"/>
  <c r="AM33" i="86"/>
  <c r="B36" i="86"/>
  <c r="I35" i="86"/>
  <c r="Q35" i="86" s="1"/>
  <c r="AJ18" i="84"/>
  <c r="AJ26" i="84"/>
  <c r="AJ68" i="79"/>
  <c r="AK26" i="84"/>
  <c r="AK18" i="84"/>
  <c r="AK68" i="79"/>
  <c r="AK171" i="79"/>
  <c r="AC134" i="78"/>
  <c r="AO171" i="79"/>
  <c r="AX171" i="79"/>
  <c r="AV171" i="79"/>
  <c r="AE134" i="78"/>
  <c r="AQ171" i="79"/>
  <c r="AF109" i="78"/>
  <c r="AR139" i="79" s="1"/>
  <c r="AB134" i="78"/>
  <c r="AN171" i="79"/>
  <c r="AB97" i="78"/>
  <c r="AB130" i="78" s="1"/>
  <c r="AT171" i="79"/>
  <c r="AX139" i="79"/>
  <c r="X134" i="78"/>
  <c r="AJ171" i="79"/>
  <c r="AD37" i="78"/>
  <c r="AD134" i="78"/>
  <c r="AB37" i="78"/>
  <c r="AV98" i="79"/>
  <c r="AE97" i="78"/>
  <c r="AE130" i="78" s="1"/>
  <c r="AD97" i="78"/>
  <c r="AD130" i="78" s="1"/>
  <c r="AE37" i="78"/>
  <c r="AE40" i="78" s="1"/>
  <c r="AF43" i="78"/>
  <c r="AC97" i="78"/>
  <c r="AC130" i="78" s="1"/>
  <c r="Y134" i="78"/>
  <c r="Y97" i="78"/>
  <c r="X37" i="78"/>
  <c r="AJ98" i="79"/>
  <c r="Y37" i="78"/>
  <c r="AC37" i="78"/>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V24" i="78"/>
  <c r="AJ24" i="78"/>
  <c r="K118" i="78"/>
  <c r="AE139" i="78"/>
  <c r="W139" i="78"/>
  <c r="Y139" i="78"/>
  <c r="S118" i="78"/>
  <c r="AC118" i="78"/>
  <c r="AE118" i="78"/>
  <c r="Q24" i="78"/>
  <c r="S24" i="78"/>
  <c r="AC24" i="78"/>
  <c r="AE24" i="78"/>
  <c r="H24" i="78"/>
  <c r="G24" i="78"/>
  <c r="E24" i="78"/>
  <c r="I71" i="65" l="1"/>
  <c r="I120" i="65" s="1"/>
  <c r="I108" i="65"/>
  <c r="I102" i="65"/>
  <c r="I131" i="65"/>
  <c r="J60" i="65"/>
  <c r="C222" i="66"/>
  <c r="C163" i="66"/>
  <c r="R18" i="6"/>
  <c r="H18" i="6" s="1"/>
  <c r="AR26" i="84"/>
  <c r="AR18" i="84"/>
  <c r="AT139" i="79"/>
  <c r="AR68" i="79"/>
  <c r="AV139" i="79"/>
  <c r="B37" i="86"/>
  <c r="I36" i="86"/>
  <c r="Q36" i="86" s="1"/>
  <c r="AM34" i="86"/>
  <c r="AV109" i="79"/>
  <c r="AT131" i="79"/>
  <c r="AT109" i="79"/>
  <c r="AX138" i="79"/>
  <c r="AF134" i="78"/>
  <c r="AT98" i="79"/>
  <c r="Y103" i="78"/>
  <c r="AC103" i="78"/>
  <c r="AO98" i="79"/>
  <c r="AO109" i="79"/>
  <c r="AL98" i="79"/>
  <c r="AK98" i="79"/>
  <c r="AP109" i="79"/>
  <c r="AD103" i="78"/>
  <c r="AP98" i="79"/>
  <c r="AE103" i="78"/>
  <c r="AQ98" i="79"/>
  <c r="AN109" i="79"/>
  <c r="AB103" i="78"/>
  <c r="AB132" i="78" s="1"/>
  <c r="AN98" i="79"/>
  <c r="AB40" i="78"/>
  <c r="AB41" i="78" s="1"/>
  <c r="AD40" i="78"/>
  <c r="AR21" i="79"/>
  <c r="AJ109" i="79"/>
  <c r="AQ71" i="79"/>
  <c r="AE41" i="78"/>
  <c r="AE46" i="78"/>
  <c r="Y130" i="78"/>
  <c r="X130" i="78"/>
  <c r="AF97" i="78"/>
  <c r="X40" i="78"/>
  <c r="AF37" i="78"/>
  <c r="Y40" i="78"/>
  <c r="AC40" i="78"/>
  <c r="C223" i="66" l="1"/>
  <c r="C162" i="66"/>
  <c r="C161" i="66" s="1"/>
  <c r="C160" i="66" s="1"/>
  <c r="C159" i="66" s="1"/>
  <c r="C158" i="66" s="1"/>
  <c r="C157" i="66" s="1"/>
  <c r="C156" i="66" s="1"/>
  <c r="C155" i="66" s="1"/>
  <c r="C154" i="66" s="1"/>
  <c r="J15" i="83"/>
  <c r="J17" i="83"/>
  <c r="J16" i="83"/>
  <c r="D97" i="79"/>
  <c r="F18" i="6"/>
  <c r="O18" i="6"/>
  <c r="E18" i="6" s="1"/>
  <c r="AV131" i="79"/>
  <c r="AM35" i="86"/>
  <c r="B38" i="86"/>
  <c r="I37" i="86"/>
  <c r="Q37" i="86" s="1"/>
  <c r="AR109" i="79"/>
  <c r="AR131" i="79"/>
  <c r="AV134" i="79"/>
  <c r="AQ109" i="79"/>
  <c r="AK109" i="79"/>
  <c r="AV128" i="79"/>
  <c r="AR128" i="79"/>
  <c r="AV71" i="79"/>
  <c r="AT128" i="79"/>
  <c r="AR30" i="79"/>
  <c r="AX71" i="79"/>
  <c r="AV132" i="79"/>
  <c r="AR138" i="79"/>
  <c r="AR171" i="79"/>
  <c r="AT138" i="79"/>
  <c r="AV138" i="79"/>
  <c r="AT133" i="79"/>
  <c r="AL109" i="79"/>
  <c r="AR98" i="79"/>
  <c r="AP71" i="79"/>
  <c r="AD41" i="78"/>
  <c r="AD46" i="78"/>
  <c r="AO71" i="79"/>
  <c r="AR27" i="79"/>
  <c r="AK71" i="79"/>
  <c r="AJ71" i="79"/>
  <c r="AB46" i="78"/>
  <c r="AB104" i="78"/>
  <c r="AC104" i="78"/>
  <c r="AC132" i="78"/>
  <c r="AF130" i="78"/>
  <c r="Y104" i="78"/>
  <c r="Y132" i="78"/>
  <c r="AD104" i="78"/>
  <c r="AD132" i="78"/>
  <c r="AE104" i="78"/>
  <c r="AE132" i="78"/>
  <c r="X41" i="78"/>
  <c r="X46" i="78"/>
  <c r="AC46" i="78"/>
  <c r="AC41" i="78"/>
  <c r="Y46" i="78"/>
  <c r="Y41" i="78"/>
  <c r="D98" i="79"/>
  <c r="C224" i="66" l="1"/>
  <c r="G18" i="6"/>
  <c r="B39" i="86"/>
  <c r="I38" i="86"/>
  <c r="Q38" i="86" s="1"/>
  <c r="AM36" i="86"/>
  <c r="AR134" i="79"/>
  <c r="AT134" i="79"/>
  <c r="AV133" i="79"/>
  <c r="AR133" i="79"/>
  <c r="AT132" i="79"/>
  <c r="AR132" i="79"/>
  <c r="AR24" i="79"/>
  <c r="AF46" i="78"/>
  <c r="AR22" i="79"/>
  <c r="AN71" i="79"/>
  <c r="AT71" i="79"/>
  <c r="C225" i="66" l="1"/>
  <c r="E68" i="79"/>
  <c r="G68" i="79"/>
  <c r="G18" i="84"/>
  <c r="G26" i="84"/>
  <c r="E18" i="84"/>
  <c r="E26" i="84"/>
  <c r="H68" i="79"/>
  <c r="H18" i="84"/>
  <c r="H26" i="84"/>
  <c r="H80" i="79"/>
  <c r="H87" i="79"/>
  <c r="AM37" i="86"/>
  <c r="B40" i="86"/>
  <c r="I39" i="86"/>
  <c r="Q39" i="86" s="1"/>
  <c r="AR29" i="79"/>
  <c r="AR23" i="79"/>
  <c r="AR71" i="79"/>
  <c r="R73" i="78"/>
  <c r="R70" i="78"/>
  <c r="H77" i="79"/>
  <c r="H71" i="79"/>
  <c r="H86" i="79"/>
  <c r="H83" i="79"/>
  <c r="H74" i="79"/>
  <c r="AD97" i="79"/>
  <c r="C226" i="66" l="1"/>
  <c r="B41" i="86"/>
  <c r="I40" i="86"/>
  <c r="Q40" i="86" s="1"/>
  <c r="AM38" i="86"/>
  <c r="H125" i="79"/>
  <c r="C227" i="66" l="1"/>
  <c r="AM39" i="86"/>
  <c r="B42" i="86"/>
  <c r="I41" i="86"/>
  <c r="Q41" i="86" s="1"/>
  <c r="N125" i="79"/>
  <c r="C228" i="66" l="1"/>
  <c r="B43" i="86"/>
  <c r="I42" i="86"/>
  <c r="Q42" i="86" s="1"/>
  <c r="AM40" i="86"/>
  <c r="S94" i="78"/>
  <c r="Q94" i="78"/>
  <c r="R94" i="78"/>
  <c r="P94" i="78"/>
  <c r="M94" i="78"/>
  <c r="K94" i="78"/>
  <c r="W94" i="78"/>
  <c r="V94" i="78"/>
  <c r="L94" i="78"/>
  <c r="J94" i="78"/>
  <c r="E94" i="78"/>
  <c r="E128" i="78" s="1"/>
  <c r="F94" i="78"/>
  <c r="F128" i="78" s="1"/>
  <c r="G94" i="78"/>
  <c r="G128" i="78" s="1"/>
  <c r="D94" i="78"/>
  <c r="D128" i="78" s="1"/>
  <c r="AL125" i="79"/>
  <c r="T125" i="79"/>
  <c r="N127" i="79"/>
  <c r="AF125" i="79"/>
  <c r="H127" i="79"/>
  <c r="Z125" i="79"/>
  <c r="H128" i="79"/>
  <c r="N128" i="79"/>
  <c r="C229" i="66" l="1"/>
  <c r="AM41" i="86"/>
  <c r="B44" i="86"/>
  <c r="I43" i="86"/>
  <c r="Q43" i="86" s="1"/>
  <c r="AL128" i="79"/>
  <c r="L97" i="78"/>
  <c r="L130" i="78" s="1"/>
  <c r="P97" i="78"/>
  <c r="P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G125" i="65" s="1"/>
  <c r="R128" i="78"/>
  <c r="V128" i="78"/>
  <c r="Q128" i="78"/>
  <c r="Z127" i="79"/>
  <c r="N94" i="78"/>
  <c r="F125" i="65" s="1"/>
  <c r="W128" i="78"/>
  <c r="S128" i="78"/>
  <c r="G97" i="78"/>
  <c r="G130" i="78" s="1"/>
  <c r="E97" i="78"/>
  <c r="E130" i="78" s="1"/>
  <c r="F97" i="78"/>
  <c r="F130" i="78" s="1"/>
  <c r="D97" i="78"/>
  <c r="D130" i="78" s="1"/>
  <c r="T127" i="79"/>
  <c r="H94" i="78"/>
  <c r="E125" i="65" s="1"/>
  <c r="H129" i="79"/>
  <c r="N129" i="79"/>
  <c r="C230" i="66" l="1"/>
  <c r="D22" i="6"/>
  <c r="B45" i="86"/>
  <c r="I44" i="86"/>
  <c r="Q44" i="86" s="1"/>
  <c r="AM42" i="86"/>
  <c r="AL165" i="78"/>
  <c r="Z165" i="78"/>
  <c r="AF165" i="78"/>
  <c r="N128" i="78"/>
  <c r="V130" i="78"/>
  <c r="Z97" i="78"/>
  <c r="Z130" i="78" s="1"/>
  <c r="Z128" i="79"/>
  <c r="N97" i="78"/>
  <c r="N130" i="78" s="1"/>
  <c r="AF128" i="79"/>
  <c r="T97" i="78"/>
  <c r="T130" i="78" s="1"/>
  <c r="T128" i="78"/>
  <c r="H128" i="78"/>
  <c r="T128" i="79"/>
  <c r="H97" i="78"/>
  <c r="AL129" i="79"/>
  <c r="AF129" i="79"/>
  <c r="Z129" i="79"/>
  <c r="T129" i="79"/>
  <c r="H131" i="79"/>
  <c r="N131" i="79"/>
  <c r="C231" i="66" l="1"/>
  <c r="AM43" i="86"/>
  <c r="B46" i="86"/>
  <c r="I45" i="86"/>
  <c r="Q45" i="86" s="1"/>
  <c r="H130" i="78"/>
  <c r="H132" i="79"/>
  <c r="N132" i="79"/>
  <c r="C232" i="66" l="1"/>
  <c r="AM44" i="86"/>
  <c r="B47" i="86"/>
  <c r="I46" i="86"/>
  <c r="Q46" i="86" s="1"/>
  <c r="AF131" i="79"/>
  <c r="Z131" i="79"/>
  <c r="T131" i="79"/>
  <c r="AF132" i="79"/>
  <c r="Z132" i="79"/>
  <c r="T132" i="79"/>
  <c r="H133" i="79"/>
  <c r="N133" i="79"/>
  <c r="C233" i="66" l="1"/>
  <c r="B48" i="86"/>
  <c r="I47" i="86"/>
  <c r="Q47" i="86" s="1"/>
  <c r="AM45" i="86"/>
  <c r="V103" i="78"/>
  <c r="Q103" i="78"/>
  <c r="Q132" i="78" s="1"/>
  <c r="P103" i="78"/>
  <c r="P132" i="78" s="1"/>
  <c r="J103" i="78"/>
  <c r="J132" i="78" s="1"/>
  <c r="M103" i="78"/>
  <c r="M132" i="78" s="1"/>
  <c r="L103" i="78"/>
  <c r="L132" i="78" s="1"/>
  <c r="S103" i="78"/>
  <c r="S132" i="78" s="1"/>
  <c r="K103" i="78"/>
  <c r="K132" i="78" s="1"/>
  <c r="R103" i="78"/>
  <c r="R132" i="78" s="1"/>
  <c r="W103" i="78"/>
  <c r="W132" i="78" s="1"/>
  <c r="J168" i="79"/>
  <c r="K168" i="79"/>
  <c r="G103" i="78"/>
  <c r="M168" i="79"/>
  <c r="F103" i="78"/>
  <c r="L168" i="79"/>
  <c r="E103" i="78"/>
  <c r="D103" i="78"/>
  <c r="F168" i="79"/>
  <c r="E168" i="79"/>
  <c r="D168" i="79"/>
  <c r="G168" i="79"/>
  <c r="AF134" i="79"/>
  <c r="T134" i="79"/>
  <c r="Z133" i="79"/>
  <c r="H134" i="79"/>
  <c r="Z134" i="79"/>
  <c r="N134" i="79"/>
  <c r="T133" i="79"/>
  <c r="C234" i="66" l="1"/>
  <c r="AM46" i="86"/>
  <c r="B49" i="86"/>
  <c r="I48" i="86"/>
  <c r="Q48" i="86" s="1"/>
  <c r="S109" i="78"/>
  <c r="Q109" i="78"/>
  <c r="P109" i="78"/>
  <c r="P106" i="78"/>
  <c r="Q106" i="78"/>
  <c r="J106" i="78"/>
  <c r="W109" i="78"/>
  <c r="V106" i="78"/>
  <c r="M106" i="78"/>
  <c r="V109" i="78"/>
  <c r="K106" i="78"/>
  <c r="K109" i="78"/>
  <c r="W106" i="78"/>
  <c r="M109" i="78"/>
  <c r="L106" i="78"/>
  <c r="L109" i="78"/>
  <c r="S106" i="78"/>
  <c r="R109" i="78"/>
  <c r="R106" i="78"/>
  <c r="J109" i="78"/>
  <c r="AF133" i="79"/>
  <c r="T103" i="78"/>
  <c r="N103" i="78"/>
  <c r="V132" i="78"/>
  <c r="D132" i="78"/>
  <c r="E132" i="78"/>
  <c r="F132" i="78"/>
  <c r="G132" i="78"/>
  <c r="H103" i="78"/>
  <c r="E128" i="65" s="1"/>
  <c r="D109" i="78"/>
  <c r="X168" i="79"/>
  <c r="G106" i="78"/>
  <c r="AE168" i="79"/>
  <c r="P168" i="79"/>
  <c r="AD168" i="79"/>
  <c r="E109" i="78"/>
  <c r="AH168" i="79"/>
  <c r="Y168" i="79"/>
  <c r="S168" i="79"/>
  <c r="G109" i="78"/>
  <c r="F106" i="78"/>
  <c r="V168" i="79"/>
  <c r="AB168" i="79"/>
  <c r="R168" i="79"/>
  <c r="E106" i="78"/>
  <c r="AI168" i="79"/>
  <c r="AC168" i="79"/>
  <c r="D106" i="78"/>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6" i="78"/>
  <c r="Z143" i="79"/>
  <c r="H139" i="79"/>
  <c r="H144" i="79"/>
  <c r="Z144" i="79"/>
  <c r="T140" i="79"/>
  <c r="G171" i="79"/>
  <c r="F171" i="79"/>
  <c r="E171" i="79"/>
  <c r="D171" i="79"/>
  <c r="C235" i="66" l="1"/>
  <c r="B50" i="86"/>
  <c r="I49" i="86"/>
  <c r="Q49" i="86" s="1"/>
  <c r="AM47" i="86"/>
  <c r="N132" i="78"/>
  <c r="F128" i="65"/>
  <c r="T132" i="78"/>
  <c r="G128" i="65"/>
  <c r="W134" i="78"/>
  <c r="K110" i="78"/>
  <c r="S134" i="78"/>
  <c r="R134" i="78"/>
  <c r="J110" i="78"/>
  <c r="L110" i="78"/>
  <c r="P134" i="78"/>
  <c r="M134" i="78"/>
  <c r="P110" i="78"/>
  <c r="Q110" i="78"/>
  <c r="R110" i="78"/>
  <c r="L134" i="78"/>
  <c r="Z139" i="79"/>
  <c r="N109" i="78"/>
  <c r="M110" i="78"/>
  <c r="AF139" i="79"/>
  <c r="T109" i="78"/>
  <c r="K134" i="78"/>
  <c r="V110" i="78"/>
  <c r="Z109" i="78"/>
  <c r="AL139" i="79" s="1"/>
  <c r="V134" i="78"/>
  <c r="Z138" i="79"/>
  <c r="N106" i="78"/>
  <c r="W110" i="78"/>
  <c r="J134" i="78"/>
  <c r="Q134" i="78"/>
  <c r="AF138" i="79"/>
  <c r="T106" i="78"/>
  <c r="S110" i="78"/>
  <c r="E110" i="78"/>
  <c r="F110" i="78"/>
  <c r="D110" i="78"/>
  <c r="H132" i="78"/>
  <c r="D134" i="78"/>
  <c r="G134" i="78"/>
  <c r="G110" i="78"/>
  <c r="F134" i="78"/>
  <c r="E134" i="78"/>
  <c r="T139" i="79"/>
  <c r="H109" i="78"/>
  <c r="E131" i="65" s="1"/>
  <c r="T138" i="79"/>
  <c r="T135" i="79"/>
  <c r="T168" i="79"/>
  <c r="AF135" i="79"/>
  <c r="AF168" i="79"/>
  <c r="Z135" i="79"/>
  <c r="Z168" i="79"/>
  <c r="H146" i="79"/>
  <c r="H145" i="79"/>
  <c r="M171" i="79"/>
  <c r="L171" i="79"/>
  <c r="K171" i="79"/>
  <c r="J171" i="79"/>
  <c r="C236" i="66" l="1"/>
  <c r="AM48" i="86"/>
  <c r="B51" i="86"/>
  <c r="I50" i="86"/>
  <c r="Q50" i="86" s="1"/>
  <c r="G131" i="65"/>
  <c r="F131" i="65"/>
  <c r="AL171" i="79"/>
  <c r="AL138" i="79"/>
  <c r="Z134" i="78"/>
  <c r="N134" i="78"/>
  <c r="T134" i="78"/>
  <c r="N110" i="78"/>
  <c r="T110" i="78"/>
  <c r="H134" i="78"/>
  <c r="H110" i="78"/>
  <c r="N146" i="79"/>
  <c r="H171" i="79"/>
  <c r="N145" i="79"/>
  <c r="S171" i="79"/>
  <c r="R171" i="79"/>
  <c r="Q171" i="79"/>
  <c r="P171" i="79"/>
  <c r="C237" i="66" l="1"/>
  <c r="B52" i="86"/>
  <c r="I51" i="86"/>
  <c r="Q51" i="86" s="1"/>
  <c r="AM49" i="86"/>
  <c r="N171" i="79"/>
  <c r="T146" i="79"/>
  <c r="Y171" i="79"/>
  <c r="X171" i="79"/>
  <c r="W171" i="79"/>
  <c r="V171" i="79"/>
  <c r="T145" i="79"/>
  <c r="C238" i="66" l="1"/>
  <c r="AM50" i="86"/>
  <c r="B53" i="86"/>
  <c r="I52" i="86"/>
  <c r="Q52" i="86" s="1"/>
  <c r="T171" i="79"/>
  <c r="Z146" i="79"/>
  <c r="Z145" i="79"/>
  <c r="AE171" i="79"/>
  <c r="AD171" i="79"/>
  <c r="AC171" i="79"/>
  <c r="AB171" i="79"/>
  <c r="C239" i="66" l="1"/>
  <c r="B54" i="86"/>
  <c r="I53" i="86"/>
  <c r="Q53" i="86" s="1"/>
  <c r="AM51" i="86"/>
  <c r="Z171" i="79"/>
  <c r="AF146" i="79"/>
  <c r="AL146" i="79"/>
  <c r="AF145" i="79"/>
  <c r="AI171" i="79"/>
  <c r="AL145" i="79"/>
  <c r="C240" i="66" l="1"/>
  <c r="AM52" i="86"/>
  <c r="B55" i="86"/>
  <c r="I54" i="86"/>
  <c r="Q54" i="86" s="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B56" i="86"/>
  <c r="I55" i="86"/>
  <c r="Q55" i="86" s="1"/>
  <c r="AM53" i="86"/>
  <c r="H155" i="79"/>
  <c r="H154" i="79"/>
  <c r="M174" i="79"/>
  <c r="L174" i="79"/>
  <c r="K174" i="79"/>
  <c r="J174" i="79"/>
  <c r="C242" i="66" l="1"/>
  <c r="AM54" i="86"/>
  <c r="B57" i="86"/>
  <c r="I56" i="86"/>
  <c r="Q56" i="86" s="1"/>
  <c r="N155" i="79"/>
  <c r="H174" i="79"/>
  <c r="N154" i="79"/>
  <c r="S174" i="79"/>
  <c r="R174" i="79"/>
  <c r="Q174" i="79"/>
  <c r="P174" i="79"/>
  <c r="C243" i="66" l="1"/>
  <c r="AM55" i="86"/>
  <c r="B58" i="86"/>
  <c r="I57" i="86"/>
  <c r="Q57" i="86" s="1"/>
  <c r="N174" i="79"/>
  <c r="T155" i="79"/>
  <c r="T154" i="79"/>
  <c r="Y174" i="79"/>
  <c r="X174" i="79"/>
  <c r="W174" i="79"/>
  <c r="V174" i="79"/>
  <c r="C244" i="66" l="1"/>
  <c r="B59" i="86"/>
  <c r="I58" i="86"/>
  <c r="Q58" i="86" s="1"/>
  <c r="AM56" i="86"/>
  <c r="T174" i="79"/>
  <c r="Z155" i="79"/>
  <c r="Z154" i="79"/>
  <c r="AE174" i="79"/>
  <c r="AD174" i="79"/>
  <c r="AC174" i="79"/>
  <c r="AB174" i="79"/>
  <c r="C245" i="66" l="1"/>
  <c r="AM57" i="86"/>
  <c r="B60" i="86"/>
  <c r="I59" i="86"/>
  <c r="Q59" i="86" s="1"/>
  <c r="Z174" i="79"/>
  <c r="AF155" i="79"/>
  <c r="AL155" i="79"/>
  <c r="AF154" i="79"/>
  <c r="AI174" i="79"/>
  <c r="AL154" i="79"/>
  <c r="C246" i="66" l="1"/>
  <c r="B61" i="86"/>
  <c r="I60" i="86"/>
  <c r="Q60" i="86" s="1"/>
  <c r="AM58" i="86"/>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B62" i="86"/>
  <c r="I61" i="86"/>
  <c r="Q61" i="86" s="1"/>
  <c r="AM59" i="86"/>
  <c r="Z159" i="79"/>
  <c r="Z176" i="79"/>
  <c r="Z177" i="79"/>
  <c r="AF159" i="79"/>
  <c r="AF176" i="79"/>
  <c r="AF177" i="79"/>
  <c r="N159" i="79"/>
  <c r="N176" i="79"/>
  <c r="N177" i="79"/>
  <c r="T159" i="79"/>
  <c r="T176" i="79"/>
  <c r="T177" i="79"/>
  <c r="J97" i="79"/>
  <c r="K97" i="79"/>
  <c r="M97" i="79"/>
  <c r="L97" i="79"/>
  <c r="H159" i="79"/>
  <c r="H176" i="79"/>
  <c r="N97" i="79"/>
  <c r="C248" i="66" l="1"/>
  <c r="B63" i="86"/>
  <c r="I62" i="86"/>
  <c r="Q62" i="86" s="1"/>
  <c r="AM60" i="86"/>
  <c r="Q97" i="79"/>
  <c r="P97" i="79"/>
  <c r="R97" i="79"/>
  <c r="S97" i="79"/>
  <c r="T97" i="79"/>
  <c r="C249" i="66" l="1"/>
  <c r="AM61" i="86"/>
  <c r="B64" i="86"/>
  <c r="I63" i="86"/>
  <c r="Q63" i="86" s="1"/>
  <c r="X97" i="79"/>
  <c r="Y97" i="79"/>
  <c r="W97" i="79"/>
  <c r="V97" i="79"/>
  <c r="Z97" i="79"/>
  <c r="C250" i="66" l="1"/>
  <c r="AM62" i="86"/>
  <c r="B65" i="86"/>
  <c r="I64" i="86"/>
  <c r="Q64" i="86" s="1"/>
  <c r="AB97" i="79"/>
  <c r="AE97" i="79"/>
  <c r="AC97" i="79"/>
  <c r="AF97" i="79"/>
  <c r="C251" i="66" l="1"/>
  <c r="B66" i="86"/>
  <c r="I65" i="86"/>
  <c r="Q65" i="86" s="1"/>
  <c r="AM63" i="86"/>
  <c r="P73" i="78"/>
  <c r="V73" i="78"/>
  <c r="W73" i="78"/>
  <c r="AL132" i="79" s="1"/>
  <c r="J70" i="78"/>
  <c r="L70" i="78"/>
  <c r="Q70" i="78"/>
  <c r="K73" i="78"/>
  <c r="M73" i="78"/>
  <c r="W70"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AM64" i="86"/>
  <c r="B67" i="86"/>
  <c r="I66" i="86"/>
  <c r="Q66" i="86" s="1"/>
  <c r="AL131" i="79"/>
  <c r="H98" i="79"/>
  <c r="G98" i="79"/>
  <c r="L98" i="79"/>
  <c r="K98" i="79"/>
  <c r="J98" i="79"/>
  <c r="C253" i="66" l="1"/>
  <c r="AM65" i="86"/>
  <c r="B68" i="86"/>
  <c r="I67" i="86"/>
  <c r="Q67" i="86" s="1"/>
  <c r="N98" i="79"/>
  <c r="M98" i="79"/>
  <c r="C254" i="66" l="1"/>
  <c r="AM66" i="86"/>
  <c r="B69" i="86"/>
  <c r="I68" i="86"/>
  <c r="Q68" i="86" s="1"/>
  <c r="R98" i="79"/>
  <c r="F76" i="78"/>
  <c r="Q98" i="79"/>
  <c r="E76" i="78"/>
  <c r="H76" i="78"/>
  <c r="E108" i="65" s="1"/>
  <c r="G76" i="78"/>
  <c r="P98" i="79"/>
  <c r="D76" i="78"/>
  <c r="S98" i="79"/>
  <c r="C255" i="66" l="1"/>
  <c r="B70" i="86"/>
  <c r="I69" i="86"/>
  <c r="Q69" i="86" s="1"/>
  <c r="AM67" i="86"/>
  <c r="V98" i="79"/>
  <c r="J76" i="78"/>
  <c r="W98" i="79"/>
  <c r="K76" i="78"/>
  <c r="X98" i="79"/>
  <c r="L76" i="78"/>
  <c r="N76" i="78"/>
  <c r="F108" i="65" s="1"/>
  <c r="M76" i="78"/>
  <c r="T98" i="79"/>
  <c r="Y98" i="79"/>
  <c r="C256" i="66" l="1"/>
  <c r="Z98" i="79"/>
  <c r="AM68" i="86"/>
  <c r="B71" i="86"/>
  <c r="I70" i="86"/>
  <c r="Q70" i="86" s="1"/>
  <c r="T76" i="78"/>
  <c r="G108" i="65" s="1"/>
  <c r="S76" i="78"/>
  <c r="AB98" i="79"/>
  <c r="P76" i="78"/>
  <c r="AD98" i="79"/>
  <c r="R76" i="78"/>
  <c r="AC98" i="79"/>
  <c r="Q76" i="78"/>
  <c r="AE98" i="79"/>
  <c r="C257" i="66" l="1"/>
  <c r="B72" i="86"/>
  <c r="I71" i="86"/>
  <c r="Q71" i="86" s="1"/>
  <c r="AM69" i="86"/>
  <c r="AF98" i="79"/>
  <c r="V83" i="78"/>
  <c r="J83" i="78"/>
  <c r="W83" i="78"/>
  <c r="Q83" i="78"/>
  <c r="R83" i="78"/>
  <c r="R79" i="78"/>
  <c r="R53" i="78" s="1"/>
  <c r="P83" i="78"/>
  <c r="K79" i="78"/>
  <c r="K53" i="78" s="1"/>
  <c r="S83" i="78"/>
  <c r="K83" i="78"/>
  <c r="L79" i="78"/>
  <c r="L53" i="78" s="1"/>
  <c r="W79" i="78"/>
  <c r="P79" i="78"/>
  <c r="P53" i="78" s="1"/>
  <c r="V79" i="78"/>
  <c r="V53" i="78" s="1"/>
  <c r="M83" i="78"/>
  <c r="M79" i="78"/>
  <c r="M53" i="78" s="1"/>
  <c r="J79" i="78"/>
  <c r="J53" i="78" s="1"/>
  <c r="S79" i="78"/>
  <c r="S53" i="78" s="1"/>
  <c r="L83" i="78"/>
  <c r="Q79" i="78"/>
  <c r="Q53" i="78" s="1"/>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79" i="78"/>
  <c r="T82" i="78"/>
  <c r="N79" i="78"/>
  <c r="F103" i="79"/>
  <c r="E103" i="79"/>
  <c r="D103" i="79"/>
  <c r="C258" i="66" l="1"/>
  <c r="E56" i="78"/>
  <c r="E83" i="78"/>
  <c r="F114" i="65"/>
  <c r="F84" i="65" s="1"/>
  <c r="N83" i="78"/>
  <c r="F115" i="65" s="1"/>
  <c r="G56" i="78"/>
  <c r="G83" i="78"/>
  <c r="E114" i="65"/>
  <c r="E84" i="65" s="1"/>
  <c r="H83" i="78"/>
  <c r="E115" i="65" s="1"/>
  <c r="D56" i="78"/>
  <c r="F56" i="78"/>
  <c r="F83" i="78"/>
  <c r="G114" i="65"/>
  <c r="H83" i="65" s="1"/>
  <c r="T83" i="78"/>
  <c r="G115" i="65" s="1"/>
  <c r="AM70" i="86"/>
  <c r="B73" i="86"/>
  <c r="I72" i="86"/>
  <c r="Q72" i="86" s="1"/>
  <c r="N53" i="78"/>
  <c r="F81" i="65" s="1"/>
  <c r="F111" i="65"/>
  <c r="T53" i="78"/>
  <c r="G81" i="65" s="1"/>
  <c r="G111" i="65"/>
  <c r="H80" i="65" s="1"/>
  <c r="H53" i="78"/>
  <c r="L56" i="78"/>
  <c r="L95" i="78"/>
  <c r="T56" i="78"/>
  <c r="T95" i="78"/>
  <c r="G126" i="65" s="1"/>
  <c r="X52" i="78"/>
  <c r="X79" i="78" s="1"/>
  <c r="W53" i="78"/>
  <c r="P56" i="78"/>
  <c r="P95" i="78"/>
  <c r="Q56" i="78"/>
  <c r="Q95" i="78"/>
  <c r="M56" i="78"/>
  <c r="M95" i="78"/>
  <c r="N56" i="78"/>
  <c r="N95" i="78"/>
  <c r="F126" i="65" s="1"/>
  <c r="K56" i="78"/>
  <c r="K95" i="78"/>
  <c r="S56" i="78"/>
  <c r="S95" i="78"/>
  <c r="R56" i="78"/>
  <c r="R95" i="78"/>
  <c r="X82" i="78"/>
  <c r="AJ102" i="79" s="1"/>
  <c r="W56" i="78"/>
  <c r="W95" i="78"/>
  <c r="J56" i="78"/>
  <c r="J95" i="78"/>
  <c r="V56"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Z49" i="78" l="1"/>
  <c r="Z94" i="78" s="1"/>
  <c r="C259" i="66"/>
  <c r="G84" i="65"/>
  <c r="B74" i="86"/>
  <c r="I73" i="86"/>
  <c r="Q73" i="86" s="1"/>
  <c r="AM71" i="86"/>
  <c r="H77" i="65"/>
  <c r="Y55" i="78"/>
  <c r="Y82" i="78" s="1"/>
  <c r="AK102" i="79" s="1"/>
  <c r="X49" i="78"/>
  <c r="N103" i="79"/>
  <c r="M103" i="79"/>
  <c r="R103" i="79"/>
  <c r="Q103" i="79"/>
  <c r="P103" i="79"/>
  <c r="C260" i="66" l="1"/>
  <c r="AM72" i="86"/>
  <c r="B75" i="86"/>
  <c r="I74" i="86"/>
  <c r="Q74" i="86" s="1"/>
  <c r="Z55" i="78"/>
  <c r="AB55" i="78"/>
  <c r="Z82" i="78"/>
  <c r="X94" i="78"/>
  <c r="X128" i="78" s="1"/>
  <c r="X61" i="78"/>
  <c r="AJ77" i="79" s="1"/>
  <c r="T103" i="79"/>
  <c r="S103" i="79"/>
  <c r="X103" i="79"/>
  <c r="W103" i="79"/>
  <c r="V103" i="79"/>
  <c r="C261" i="66" l="1"/>
  <c r="B76" i="86"/>
  <c r="I75" i="86"/>
  <c r="Q75" i="86" s="1"/>
  <c r="AM73" i="86"/>
  <c r="Z56" i="78"/>
  <c r="AL102" i="79"/>
  <c r="AJ74" i="79"/>
  <c r="X62" i="78"/>
  <c r="X122" i="78"/>
  <c r="X126" i="78" s="1"/>
  <c r="X112" i="78" s="1"/>
  <c r="AB82" i="78"/>
  <c r="Z103" i="79"/>
  <c r="Y103" i="79"/>
  <c r="AD103" i="79"/>
  <c r="AC103" i="79"/>
  <c r="AB103" i="79"/>
  <c r="C262" i="66" l="1"/>
  <c r="AM74" i="86"/>
  <c r="B77" i="86"/>
  <c r="I76" i="86"/>
  <c r="Q76" i="86" s="1"/>
  <c r="AC55" i="78"/>
  <c r="AC82" i="78" s="1"/>
  <c r="AN102" i="79"/>
  <c r="AF103" i="79"/>
  <c r="AE103" i="79"/>
  <c r="AI103" i="79"/>
  <c r="AH103" i="79"/>
  <c r="C263" i="66" l="1"/>
  <c r="B78" i="86"/>
  <c r="I77" i="86"/>
  <c r="Q77" i="86" s="1"/>
  <c r="AM75" i="86"/>
  <c r="AD55" i="78"/>
  <c r="AO102" i="79"/>
  <c r="D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B79" i="86"/>
  <c r="I78" i="86"/>
  <c r="Q78" i="86" s="1"/>
  <c r="AM76" i="86"/>
  <c r="AL133" i="79"/>
  <c r="AD82" i="78"/>
  <c r="G109" i="79"/>
  <c r="H109" i="79"/>
  <c r="L109" i="79"/>
  <c r="K109" i="79"/>
  <c r="J109" i="79"/>
  <c r="C265" i="66" l="1"/>
  <c r="AM77" i="86"/>
  <c r="B80" i="86"/>
  <c r="I79" i="86"/>
  <c r="Q79" i="86" s="1"/>
  <c r="AE55" i="78"/>
  <c r="AP102" i="79"/>
  <c r="N109" i="79"/>
  <c r="M109" i="79"/>
  <c r="C266" i="66" l="1"/>
  <c r="B81" i="86"/>
  <c r="I80" i="86"/>
  <c r="Q80" i="86" s="1"/>
  <c r="AM78" i="86"/>
  <c r="AE82" i="78"/>
  <c r="AF55" i="78"/>
  <c r="Q109" i="79"/>
  <c r="E88" i="78"/>
  <c r="R109" i="79"/>
  <c r="F88" i="78"/>
  <c r="H88" i="78"/>
  <c r="E120" i="65" s="1"/>
  <c r="G88" i="78"/>
  <c r="P109" i="79"/>
  <c r="D88" i="78"/>
  <c r="S109" i="79"/>
  <c r="C267" i="66" l="1"/>
  <c r="AM79" i="86"/>
  <c r="B82" i="86"/>
  <c r="I81" i="86"/>
  <c r="Q81" i="86" s="1"/>
  <c r="AF82" i="78"/>
  <c r="AF56" i="78" s="1"/>
  <c r="AQ102" i="79"/>
  <c r="X109" i="79"/>
  <c r="L88" i="78"/>
  <c r="V109" i="79"/>
  <c r="J88" i="78"/>
  <c r="N88" i="78"/>
  <c r="F120" i="65" s="1"/>
  <c r="M88" i="78"/>
  <c r="W109" i="79"/>
  <c r="K88" i="78"/>
  <c r="T109" i="79"/>
  <c r="Y109" i="79"/>
  <c r="C268" i="66" l="1"/>
  <c r="B83" i="86"/>
  <c r="I82" i="86"/>
  <c r="Q82" i="86" s="1"/>
  <c r="AM80" i="86"/>
  <c r="AH55" i="78"/>
  <c r="AR102" i="79"/>
  <c r="Z109" i="79"/>
  <c r="AB109" i="79"/>
  <c r="P88" i="78"/>
  <c r="AC109" i="79"/>
  <c r="Q88" i="78"/>
  <c r="AD109" i="79"/>
  <c r="R88" i="78"/>
  <c r="T88" i="78"/>
  <c r="G120" i="65" s="1"/>
  <c r="S88" i="78"/>
  <c r="AE109" i="79"/>
  <c r="C269" i="66" l="1"/>
  <c r="AF109" i="79"/>
  <c r="AM81" i="86"/>
  <c r="B84" i="86"/>
  <c r="I83" i="86"/>
  <c r="Q83" i="86" s="1"/>
  <c r="AT102" i="79"/>
  <c r="AF164" i="78"/>
  <c r="Z164" i="78"/>
  <c r="AI109" i="79"/>
  <c r="W88" i="78"/>
  <c r="AH109" i="79"/>
  <c r="V88" i="78"/>
  <c r="F112" i="79"/>
  <c r="E112" i="79"/>
  <c r="D112" i="79"/>
  <c r="C28" i="6" l="1"/>
  <c r="C270" i="66"/>
  <c r="B85" i="86"/>
  <c r="I84" i="86"/>
  <c r="Q84" i="86" s="1"/>
  <c r="AM82" i="86"/>
  <c r="X103" i="78"/>
  <c r="AV102" i="79"/>
  <c r="H112" i="79"/>
  <c r="G112" i="79"/>
  <c r="L112" i="79"/>
  <c r="K112" i="79"/>
  <c r="J112" i="79"/>
  <c r="C271" i="66" l="1"/>
  <c r="AM83" i="86"/>
  <c r="B86" i="86"/>
  <c r="I85" i="86"/>
  <c r="Q85" i="86" s="1"/>
  <c r="N112" i="79"/>
  <c r="X132" i="78"/>
  <c r="X136" i="78" s="1"/>
  <c r="AJ176" i="79"/>
  <c r="AL134" i="79"/>
  <c r="AJ168" i="79"/>
  <c r="M112" i="79"/>
  <c r="R112" i="79"/>
  <c r="Q112" i="79"/>
  <c r="P112" i="79"/>
  <c r="C272" i="66" l="1"/>
  <c r="B87" i="86"/>
  <c r="I86" i="86"/>
  <c r="Q86" i="86" s="1"/>
  <c r="AM84" i="86"/>
  <c r="T112" i="79"/>
  <c r="S112" i="79"/>
  <c r="X112" i="79"/>
  <c r="W112" i="79"/>
  <c r="V112" i="79"/>
  <c r="C273" i="66" l="1"/>
  <c r="AM85" i="86"/>
  <c r="B88" i="86"/>
  <c r="I87" i="86"/>
  <c r="Q87" i="86" s="1"/>
  <c r="Z112" i="79"/>
  <c r="Y112" i="79"/>
  <c r="AD112" i="79"/>
  <c r="AC112" i="79"/>
  <c r="AB112" i="79"/>
  <c r="C274" i="66" l="1"/>
  <c r="B89" i="86"/>
  <c r="I88" i="86"/>
  <c r="Q88" i="86" s="1"/>
  <c r="AM86" i="86"/>
  <c r="AF112" i="79"/>
  <c r="AE112" i="79"/>
  <c r="AI112" i="79"/>
  <c r="AH112" i="79"/>
  <c r="C275" i="66" l="1"/>
  <c r="AM87" i="86"/>
  <c r="B90" i="86"/>
  <c r="I89" i="86"/>
  <c r="Q89" i="86" s="1"/>
  <c r="AL166" i="78"/>
  <c r="AF166" i="78"/>
  <c r="Z166"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B91" i="86"/>
  <c r="I90" i="86"/>
  <c r="Q90" i="86" s="1"/>
  <c r="AM88" i="86"/>
  <c r="G116" i="79"/>
  <c r="H116" i="79"/>
  <c r="L116" i="79"/>
  <c r="K116" i="79"/>
  <c r="J116" i="79"/>
  <c r="C277" i="66" l="1"/>
  <c r="AM89" i="86"/>
  <c r="B92" i="86"/>
  <c r="I91" i="86"/>
  <c r="Q91" i="86" s="1"/>
  <c r="N116" i="79"/>
  <c r="M116" i="79"/>
  <c r="R116" i="79"/>
  <c r="Q116" i="79"/>
  <c r="P116" i="79"/>
  <c r="C278" i="66" l="1"/>
  <c r="AM90" i="86"/>
  <c r="B93" i="86"/>
  <c r="I92" i="86"/>
  <c r="Q92" i="86" s="1"/>
  <c r="T116" i="79"/>
  <c r="S116" i="79"/>
  <c r="X116" i="79"/>
  <c r="W116" i="79"/>
  <c r="V116" i="79"/>
  <c r="C279" i="66" l="1"/>
  <c r="B94" i="86"/>
  <c r="I93" i="86"/>
  <c r="Q93" i="86" s="1"/>
  <c r="AM91" i="86"/>
  <c r="Z116" i="79"/>
  <c r="Y116" i="79"/>
  <c r="AD116" i="79"/>
  <c r="AC116" i="79"/>
  <c r="AB116" i="79"/>
  <c r="C43" i="6"/>
  <c r="C44" i="6" s="1"/>
  <c r="C280" i="66" l="1"/>
  <c r="AM92" i="86"/>
  <c r="B95" i="86"/>
  <c r="I94" i="86"/>
  <c r="Q94" i="86" s="1"/>
  <c r="AF116" i="79"/>
  <c r="AE116" i="79"/>
  <c r="AI116" i="79"/>
  <c r="AH116" i="79"/>
  <c r="C281" i="66" l="1"/>
  <c r="AM93" i="86"/>
  <c r="B96" i="86"/>
  <c r="I95" i="86"/>
  <c r="Q95" i="86" s="1"/>
  <c r="F31" i="78"/>
  <c r="F32" i="78"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5" i="78"/>
  <c r="K64" i="78"/>
  <c r="N65" i="78"/>
  <c r="N37" i="78"/>
  <c r="F65" i="65" s="1"/>
  <c r="N64" i="78"/>
  <c r="V18" i="84"/>
  <c r="Q64" i="78"/>
  <c r="Y18" i="84"/>
  <c r="K65" i="78"/>
  <c r="Q65" i="78"/>
  <c r="W64" i="78"/>
  <c r="Q68" i="79"/>
  <c r="W65" i="78"/>
  <c r="X65" i="78" s="1"/>
  <c r="Y65" i="78" s="1"/>
  <c r="T64" i="78"/>
  <c r="N49" i="78"/>
  <c r="N50" i="78" s="1"/>
  <c r="P18" i="84"/>
  <c r="P26" i="84"/>
  <c r="AI26" i="84"/>
  <c r="M18" i="84"/>
  <c r="F97" i="65"/>
  <c r="AE18" i="84"/>
  <c r="G94" i="65"/>
  <c r="F91" i="65"/>
  <c r="S26" i="84"/>
  <c r="N34" i="78"/>
  <c r="F62" i="65" s="1"/>
  <c r="S65" i="78"/>
  <c r="N43" i="78"/>
  <c r="F71" i="65" s="1"/>
  <c r="Z26" i="84"/>
  <c r="W26" i="84"/>
  <c r="F89" i="65"/>
  <c r="AC68" i="79"/>
  <c r="P64" i="78"/>
  <c r="S64" i="78"/>
  <c r="N18" i="84"/>
  <c r="N40" i="78"/>
  <c r="F68" i="65" s="1"/>
  <c r="K68" i="79"/>
  <c r="M65" i="78"/>
  <c r="M64" i="78"/>
  <c r="N46" i="78"/>
  <c r="N61" i="78"/>
  <c r="AB26" i="84"/>
  <c r="S18" i="84"/>
  <c r="D31" i="78"/>
  <c r="D71" i="78" s="1"/>
  <c r="G31" i="78"/>
  <c r="G71" i="78" s="1"/>
  <c r="AB18" i="84"/>
  <c r="S68" i="79"/>
  <c r="AB68" i="79"/>
  <c r="T104" i="78"/>
  <c r="G129" i="65" s="1"/>
  <c r="K26" i="84"/>
  <c r="K18" i="84"/>
  <c r="P68" i="79"/>
  <c r="Z68" i="79"/>
  <c r="N87" i="79"/>
  <c r="Y68" i="79"/>
  <c r="N31" i="78"/>
  <c r="F59" i="65" s="1"/>
  <c r="Z18" i="84"/>
  <c r="Y26" i="84"/>
  <c r="Q26" i="84"/>
  <c r="E31" i="78"/>
  <c r="E71" i="78" s="1"/>
  <c r="Q18" i="84"/>
  <c r="W68" i="79"/>
  <c r="W18" i="84"/>
  <c r="H104" i="78"/>
  <c r="E129" i="65" s="1"/>
  <c r="Z86" i="79"/>
  <c r="Z87" i="79"/>
  <c r="Z77" i="79"/>
  <c r="Z74" i="79"/>
  <c r="N74" i="79"/>
  <c r="N77" i="79"/>
  <c r="V26" i="84"/>
  <c r="N83" i="79"/>
  <c r="N124" i="78"/>
  <c r="N86" i="79"/>
  <c r="Z71" i="79"/>
  <c r="F94" i="65"/>
  <c r="Z83" i="79"/>
  <c r="V68" i="79"/>
  <c r="Z18" i="79"/>
  <c r="AC18" i="84"/>
  <c r="AC26" i="84"/>
  <c r="N68" i="79"/>
  <c r="N71" i="79"/>
  <c r="N58" i="78"/>
  <c r="N26" i="84"/>
  <c r="Z80" i="79"/>
  <c r="M68" i="79"/>
  <c r="N80" i="79"/>
  <c r="AE68" i="79"/>
  <c r="M26" i="84"/>
  <c r="AE26" i="84"/>
  <c r="AI68" i="79"/>
  <c r="AI18" i="84"/>
  <c r="G97" i="65"/>
  <c r="E97" i="65"/>
  <c r="T65" i="78"/>
  <c r="H40" i="78"/>
  <c r="E68" i="65" s="1"/>
  <c r="G89" i="65"/>
  <c r="D18" i="84"/>
  <c r="T37" i="78"/>
  <c r="G65" i="65" s="1"/>
  <c r="E89" i="65"/>
  <c r="E94" i="65"/>
  <c r="T34" i="78"/>
  <c r="G62" i="65" s="1"/>
  <c r="D24" i="6"/>
  <c r="E91" i="65"/>
  <c r="H49" i="78"/>
  <c r="H50" i="78" s="1"/>
  <c r="H37" i="78"/>
  <c r="E65" i="65" s="1"/>
  <c r="T26" i="84"/>
  <c r="H18" i="79"/>
  <c r="T18" i="84"/>
  <c r="D68" i="79"/>
  <c r="D26" i="84"/>
  <c r="H58" i="78"/>
  <c r="T58" i="78"/>
  <c r="T68" i="79"/>
  <c r="AF26" i="84"/>
  <c r="T18" i="79"/>
  <c r="AF18" i="79"/>
  <c r="AF68" i="79"/>
  <c r="H124" i="78"/>
  <c r="T80" i="79"/>
  <c r="AF18" i="84"/>
  <c r="AF80" i="79"/>
  <c r="T124" i="78"/>
  <c r="G91" i="65"/>
  <c r="B97" i="86"/>
  <c r="I96" i="86"/>
  <c r="Q96" i="86" s="1"/>
  <c r="AM94" i="86"/>
  <c r="J26" i="84"/>
  <c r="N18" i="79"/>
  <c r="J18" i="84"/>
  <c r="J68" i="79"/>
  <c r="AH18" i="84"/>
  <c r="AH26" i="84"/>
  <c r="AH68" i="79"/>
  <c r="J65" i="78"/>
  <c r="V65" i="78"/>
  <c r="J64" i="78"/>
  <c r="V64" i="78"/>
  <c r="T61" i="78"/>
  <c r="T40" i="78"/>
  <c r="G68" i="65" s="1"/>
  <c r="K31" i="78"/>
  <c r="J31" i="78"/>
  <c r="L31" i="78"/>
  <c r="T31" i="78"/>
  <c r="G59" i="65" s="1"/>
  <c r="T49" i="78"/>
  <c r="M31" i="78"/>
  <c r="T43" i="78"/>
  <c r="G71" i="65" s="1"/>
  <c r="T46" i="78"/>
  <c r="N104" i="78"/>
  <c r="F129" i="65" s="1"/>
  <c r="F118" i="65"/>
  <c r="F71" i="78"/>
  <c r="F107" i="78"/>
  <c r="F77" i="78"/>
  <c r="AF77" i="79"/>
  <c r="H34" i="78"/>
  <c r="H64" i="78"/>
  <c r="AF87" i="79"/>
  <c r="AF86" i="79"/>
  <c r="H43" i="78"/>
  <c r="AF83" i="79"/>
  <c r="H46" i="78"/>
  <c r="H65" i="78"/>
  <c r="H31" i="78"/>
  <c r="E59" i="65" s="1"/>
  <c r="E60" i="65" s="1"/>
  <c r="T77" i="79"/>
  <c r="H61" i="78"/>
  <c r="T71" i="79"/>
  <c r="T74" i="79"/>
  <c r="AF71" i="79"/>
  <c r="T87" i="79"/>
  <c r="T86" i="79"/>
  <c r="T83" i="79"/>
  <c r="AF74" i="79"/>
  <c r="D25" i="6" l="1"/>
  <c r="D35" i="6"/>
  <c r="D29" i="6" s="1"/>
  <c r="T47" i="78"/>
  <c r="E74" i="65"/>
  <c r="E75" i="65" s="1"/>
  <c r="H47" i="78"/>
  <c r="G86" i="65"/>
  <c r="G87" i="65" s="1"/>
  <c r="F86" i="65"/>
  <c r="F87" i="65" s="1"/>
  <c r="E86" i="65"/>
  <c r="E87" i="65" s="1"/>
  <c r="F74" i="65"/>
  <c r="F75" i="65" s="1"/>
  <c r="N47" i="78"/>
  <c r="C283" i="66"/>
  <c r="F63" i="65"/>
  <c r="D104" i="78"/>
  <c r="D107" i="78"/>
  <c r="N38" i="78"/>
  <c r="G95" i="65"/>
  <c r="N122" i="78"/>
  <c r="N126" i="78" s="1"/>
  <c r="G104" i="78"/>
  <c r="F95" i="65"/>
  <c r="F77" i="65"/>
  <c r="F78" i="65" s="1"/>
  <c r="D32" i="78"/>
  <c r="G77" i="78"/>
  <c r="F106" i="65"/>
  <c r="AJ87" i="79"/>
  <c r="F121" i="65"/>
  <c r="G107" i="78"/>
  <c r="G32" i="78"/>
  <c r="F104" i="78"/>
  <c r="E32" i="78"/>
  <c r="E107" i="78"/>
  <c r="E104" i="78"/>
  <c r="E77" i="78"/>
  <c r="N107" i="78"/>
  <c r="F132" i="65" s="1"/>
  <c r="N77" i="78"/>
  <c r="F109" i="65" s="1"/>
  <c r="F92" i="65"/>
  <c r="N71" i="78"/>
  <c r="F103" i="65" s="1"/>
  <c r="F72" i="65"/>
  <c r="N62" i="78"/>
  <c r="N44" i="78"/>
  <c r="N59" i="78"/>
  <c r="N41" i="78"/>
  <c r="F98" i="65"/>
  <c r="F69" i="65"/>
  <c r="N35" i="78"/>
  <c r="E24" i="6"/>
  <c r="F24" i="6" s="1"/>
  <c r="G118" i="65"/>
  <c r="G106" i="65"/>
  <c r="E77" i="65"/>
  <c r="E78" i="65" s="1"/>
  <c r="E95" i="65"/>
  <c r="T38" i="78"/>
  <c r="AM95" i="86"/>
  <c r="B98" i="86"/>
  <c r="I97" i="86"/>
  <c r="Q97" i="86" s="1"/>
  <c r="G60" i="65"/>
  <c r="E118" i="65"/>
  <c r="E62" i="65"/>
  <c r="G98" i="65"/>
  <c r="G69" i="65"/>
  <c r="G63" i="65"/>
  <c r="G92" i="65"/>
  <c r="E98" i="65"/>
  <c r="E121" i="65"/>
  <c r="E71" i="65"/>
  <c r="E72" i="65" s="1"/>
  <c r="G74" i="65"/>
  <c r="G75" i="65" s="1"/>
  <c r="G72" i="65"/>
  <c r="E92" i="65"/>
  <c r="F60" i="65"/>
  <c r="T50" i="78"/>
  <c r="G77" i="65"/>
  <c r="G78" i="65" s="1"/>
  <c r="E69" i="65"/>
  <c r="Z65" i="78"/>
  <c r="AL87" i="79" s="1"/>
  <c r="AB65" i="78"/>
  <c r="AK87" i="79"/>
  <c r="T59" i="78"/>
  <c r="Q31" i="78"/>
  <c r="S31" i="78"/>
  <c r="Y32" i="78"/>
  <c r="P31" i="78"/>
  <c r="R31" i="78"/>
  <c r="X32" i="78"/>
  <c r="G121" i="65"/>
  <c r="T44" i="78"/>
  <c r="M32" i="78"/>
  <c r="M71" i="78"/>
  <c r="M107" i="78"/>
  <c r="M104" i="78"/>
  <c r="M77" i="78"/>
  <c r="T107" i="78"/>
  <c r="G132" i="65" s="1"/>
  <c r="T71" i="78"/>
  <c r="G103" i="65" s="1"/>
  <c r="T32" i="78"/>
  <c r="T77" i="78"/>
  <c r="G109" i="65" s="1"/>
  <c r="J32" i="78"/>
  <c r="J104" i="78"/>
  <c r="J107" i="78"/>
  <c r="J71" i="78"/>
  <c r="J77" i="78"/>
  <c r="K32" i="78"/>
  <c r="K77" i="78"/>
  <c r="K107" i="78"/>
  <c r="K104" i="78"/>
  <c r="K71" i="78"/>
  <c r="L32" i="78"/>
  <c r="L71" i="78"/>
  <c r="L104" i="78"/>
  <c r="L77" i="78"/>
  <c r="L107" i="78"/>
  <c r="T35" i="78"/>
  <c r="T41" i="78"/>
  <c r="T122" i="78"/>
  <c r="T126" i="78" s="1"/>
  <c r="T62" i="78"/>
  <c r="H107" i="78"/>
  <c r="E132" i="65" s="1"/>
  <c r="N32" i="78"/>
  <c r="E106" i="65"/>
  <c r="H38" i="78"/>
  <c r="H71" i="78"/>
  <c r="E103" i="65" s="1"/>
  <c r="H77" i="78"/>
  <c r="E109" i="65" s="1"/>
  <c r="H44" i="78"/>
  <c r="H59" i="78"/>
  <c r="H122" i="78"/>
  <c r="H126" i="78" s="1"/>
  <c r="H62" i="78"/>
  <c r="H32" i="78"/>
  <c r="H41" i="78"/>
  <c r="H35" i="78"/>
  <c r="Z35" i="78" l="1"/>
  <c r="H136" i="78"/>
  <c r="H113" i="78"/>
  <c r="T136" i="78"/>
  <c r="T113" i="78"/>
  <c r="N136" i="78"/>
  <c r="N113" i="78"/>
  <c r="C284" i="66"/>
  <c r="G24" i="6"/>
  <c r="AM96" i="86"/>
  <c r="B99" i="86"/>
  <c r="I98" i="86"/>
  <c r="Q98" i="86" s="1"/>
  <c r="E11" i="65"/>
  <c r="E63" i="65"/>
  <c r="AC65" i="78"/>
  <c r="W31" i="78"/>
  <c r="V31" i="78"/>
  <c r="AB32" i="78"/>
  <c r="R32" i="78"/>
  <c r="R77" i="78"/>
  <c r="R107" i="78"/>
  <c r="R104" i="78"/>
  <c r="R71" i="78"/>
  <c r="S32" i="78"/>
  <c r="S107" i="78"/>
  <c r="S71" i="78"/>
  <c r="S77" i="78"/>
  <c r="S104" i="78"/>
  <c r="P32" i="78"/>
  <c r="P77" i="78"/>
  <c r="P71" i="78"/>
  <c r="P104" i="78"/>
  <c r="P107" i="78"/>
  <c r="Q32" i="78"/>
  <c r="Q104" i="78"/>
  <c r="Q71" i="78"/>
  <c r="Q107" i="78"/>
  <c r="Q77" i="78"/>
  <c r="C285" i="66" l="1"/>
  <c r="H24" i="6"/>
  <c r="B100" i="86"/>
  <c r="I99" i="86"/>
  <c r="Q99" i="86" s="1"/>
  <c r="AM97" i="86"/>
  <c r="X104" i="78"/>
  <c r="AD65" i="78"/>
  <c r="AO87" i="79"/>
  <c r="AN87" i="79"/>
  <c r="V32" i="78"/>
  <c r="V104" i="78"/>
  <c r="V107" i="78"/>
  <c r="V77" i="78"/>
  <c r="V71" i="78"/>
  <c r="W32" i="78"/>
  <c r="W104" i="78"/>
  <c r="W71" i="78"/>
  <c r="W107" i="78"/>
  <c r="W77" i="78"/>
  <c r="H21" i="79"/>
  <c r="H50" i="65" l="1"/>
  <c r="H59" i="65" s="1"/>
  <c r="H105" i="65" s="1"/>
  <c r="C286" i="66"/>
  <c r="B101" i="86"/>
  <c r="I100" i="86"/>
  <c r="Q100" i="86" s="1"/>
  <c r="AM98" i="86"/>
  <c r="AE65" i="78"/>
  <c r="G34" i="78"/>
  <c r="F34" i="78"/>
  <c r="E34" i="78"/>
  <c r="T21" i="79"/>
  <c r="N21" i="79"/>
  <c r="H108" i="65" l="1"/>
  <c r="H102" i="65"/>
  <c r="H131" i="65"/>
  <c r="H71" i="65"/>
  <c r="H120" i="65" s="1"/>
  <c r="I60" i="65"/>
  <c r="H60" i="65"/>
  <c r="C287" i="66"/>
  <c r="AM99" i="86"/>
  <c r="B102" i="86"/>
  <c r="I101" i="86"/>
  <c r="Q101" i="86" s="1"/>
  <c r="AL18" i="84"/>
  <c r="AL68" i="79"/>
  <c r="AL18" i="79"/>
  <c r="AP87" i="79"/>
  <c r="AF65" i="78"/>
  <c r="AQ87" i="79"/>
  <c r="E35" i="78"/>
  <c r="G35" i="78"/>
  <c r="W34" i="78"/>
  <c r="Q34" i="78"/>
  <c r="W37" i="78"/>
  <c r="L34" i="78"/>
  <c r="K37" i="78"/>
  <c r="M34" i="78"/>
  <c r="J34" i="78"/>
  <c r="R37" i="78"/>
  <c r="J37" i="78"/>
  <c r="R34" i="78"/>
  <c r="K34" i="78"/>
  <c r="V37" i="78"/>
  <c r="P37" i="78"/>
  <c r="S34" i="78"/>
  <c r="L37" i="78"/>
  <c r="P34" i="78"/>
  <c r="M37" i="78"/>
  <c r="V34" i="78"/>
  <c r="S37" i="78"/>
  <c r="Q37" i="78"/>
  <c r="D35" i="78"/>
  <c r="E37" i="78"/>
  <c r="E38" i="78" s="1"/>
  <c r="G40" i="78"/>
  <c r="G41" i="78" s="1"/>
  <c r="D37" i="78"/>
  <c r="F40" i="78"/>
  <c r="F41" i="78" s="1"/>
  <c r="F37" i="78"/>
  <c r="F38" i="78" s="1"/>
  <c r="D40" i="78"/>
  <c r="D41" i="78" s="1"/>
  <c r="E40" i="78"/>
  <c r="E41" i="78" s="1"/>
  <c r="G37" i="78"/>
  <c r="G38" i="78" s="1"/>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C288" i="66" l="1"/>
  <c r="B103" i="86"/>
  <c r="I102" i="86"/>
  <c r="Q102" i="86" s="1"/>
  <c r="AM100" i="86"/>
  <c r="AJ86" i="79"/>
  <c r="J38" i="78"/>
  <c r="L38" i="78"/>
  <c r="AH65" i="78"/>
  <c r="AR60" i="79"/>
  <c r="W38" i="78"/>
  <c r="M38" i="78"/>
  <c r="Q38" i="78"/>
  <c r="S38" i="78"/>
  <c r="W41" i="78"/>
  <c r="Q40" i="78"/>
  <c r="Q41" i="78" s="1"/>
  <c r="P40" i="78"/>
  <c r="P41" i="78" s="1"/>
  <c r="K40" i="78"/>
  <c r="K41" i="78" s="1"/>
  <c r="M40" i="78"/>
  <c r="M41" i="78" s="1"/>
  <c r="S40" i="78"/>
  <c r="S41" i="78" s="1"/>
  <c r="J40" i="78"/>
  <c r="J41" i="78" s="1"/>
  <c r="R40" i="78"/>
  <c r="R41" i="78" s="1"/>
  <c r="L40" i="78"/>
  <c r="L41" i="78" s="1"/>
  <c r="V35" i="78"/>
  <c r="P35" i="78"/>
  <c r="P38" i="78"/>
  <c r="V38" i="78"/>
  <c r="Z37" i="78"/>
  <c r="Z79" i="78" s="1"/>
  <c r="AF52" i="78" s="1"/>
  <c r="R35" i="78"/>
  <c r="R38" i="78"/>
  <c r="J35" i="78"/>
  <c r="M35" i="78"/>
  <c r="K38" i="78"/>
  <c r="L35" i="78"/>
  <c r="K35" i="78"/>
  <c r="Q35" i="78"/>
  <c r="S35" i="78"/>
  <c r="W35" i="78"/>
  <c r="D43" i="78"/>
  <c r="D44" i="78" s="1"/>
  <c r="E43" i="78"/>
  <c r="E44" i="78" s="1"/>
  <c r="F43" i="78"/>
  <c r="F44" i="78" s="1"/>
  <c r="G43" i="78"/>
  <c r="G44" i="78" s="1"/>
  <c r="H27" i="79"/>
  <c r="AI71" i="79"/>
  <c r="AH71" i="79"/>
  <c r="AE71" i="79"/>
  <c r="AD71" i="79"/>
  <c r="AC71" i="79"/>
  <c r="AF24" i="79"/>
  <c r="AB71" i="79"/>
  <c r="Y71" i="79"/>
  <c r="X71" i="79"/>
  <c r="W71" i="79"/>
  <c r="Z24" i="79"/>
  <c r="V71" i="79"/>
  <c r="N27" i="79"/>
  <c r="T27" i="79"/>
  <c r="C289" i="66" l="1"/>
  <c r="N18" i="6"/>
  <c r="D18" i="6" s="1"/>
  <c r="D19" i="6" s="1"/>
  <c r="AM101" i="86"/>
  <c r="B104" i="86"/>
  <c r="I103" i="86"/>
  <c r="Q103" i="86" s="1"/>
  <c r="AJ65" i="78"/>
  <c r="AL21" i="79"/>
  <c r="AR87" i="79"/>
  <c r="J49" i="78"/>
  <c r="J50" i="78" s="1"/>
  <c r="Q43" i="78"/>
  <c r="K49" i="78"/>
  <c r="K50" i="78" s="1"/>
  <c r="K43" i="78"/>
  <c r="J43" i="78"/>
  <c r="M43" i="78"/>
  <c r="V49" i="78"/>
  <c r="W49" i="78"/>
  <c r="W50" i="78" s="1"/>
  <c r="Q49" i="78"/>
  <c r="Q50" i="78" s="1"/>
  <c r="S49" i="78"/>
  <c r="S50" i="78" s="1"/>
  <c r="M49" i="78"/>
  <c r="M50" i="78" s="1"/>
  <c r="P49" i="78"/>
  <c r="P50" i="78" s="1"/>
  <c r="L43" i="78"/>
  <c r="W43" i="78"/>
  <c r="R49" i="78"/>
  <c r="R50" i="78" s="1"/>
  <c r="V43" i="78"/>
  <c r="S43" i="78"/>
  <c r="R43" i="78"/>
  <c r="L49" i="78"/>
  <c r="L50" i="78" s="1"/>
  <c r="P43" i="78"/>
  <c r="V41" i="78"/>
  <c r="E46" i="78"/>
  <c r="E47" i="78" s="1"/>
  <c r="G49" i="78"/>
  <c r="G50" i="78" s="1"/>
  <c r="F49" i="78"/>
  <c r="F50" i="78" s="1"/>
  <c r="D49" i="78"/>
  <c r="D50" i="78" s="1"/>
  <c r="G46" i="78"/>
  <c r="G47" i="78" s="1"/>
  <c r="E49" i="78"/>
  <c r="E50" i="78" s="1"/>
  <c r="F46" i="78"/>
  <c r="F47" i="78" s="1"/>
  <c r="D46" i="78"/>
  <c r="D47" i="78" s="1"/>
  <c r="T29" i="79"/>
  <c r="N29" i="79"/>
  <c r="H29" i="79"/>
  <c r="T28" i="79"/>
  <c r="N28" i="79"/>
  <c r="AF28" i="79"/>
  <c r="Z28" i="79"/>
  <c r="AF27" i="79"/>
  <c r="Z27" i="79"/>
  <c r="H28" i="79"/>
  <c r="C290" i="66" l="1"/>
  <c r="B105" i="86"/>
  <c r="I104" i="86"/>
  <c r="Q104" i="86" s="1"/>
  <c r="AM102" i="86"/>
  <c r="AL23" i="79"/>
  <c r="AT87" i="79"/>
  <c r="AL65" i="78"/>
  <c r="AX87" i="79" s="1"/>
  <c r="AV87" i="79"/>
  <c r="Y64" i="78"/>
  <c r="W46" i="78"/>
  <c r="W47" i="78" s="1"/>
  <c r="R46" i="78"/>
  <c r="R47" i="78" s="1"/>
  <c r="M46" i="78"/>
  <c r="M47" i="78" s="1"/>
  <c r="Q46" i="78"/>
  <c r="Q47" i="78" s="1"/>
  <c r="L46" i="78"/>
  <c r="L47" i="78" s="1"/>
  <c r="P46" i="78"/>
  <c r="P47" i="78" s="1"/>
  <c r="S46" i="78"/>
  <c r="S47" i="78" s="1"/>
  <c r="V46" i="78"/>
  <c r="V47" i="78" s="1"/>
  <c r="J46" i="78"/>
  <c r="J47" i="78" s="1"/>
  <c r="K46" i="78"/>
  <c r="K47" i="78" s="1"/>
  <c r="S44" i="78"/>
  <c r="V44" i="78"/>
  <c r="Z43" i="78"/>
  <c r="W44" i="78"/>
  <c r="M44" i="78"/>
  <c r="J44" i="78"/>
  <c r="K44" i="78"/>
  <c r="L44" i="78"/>
  <c r="V50" i="78"/>
  <c r="Q44" i="78"/>
  <c r="P44" i="78"/>
  <c r="R44" i="78"/>
  <c r="H31" i="79"/>
  <c r="AF29" i="79"/>
  <c r="Z29" i="79"/>
  <c r="C291" i="66" l="1"/>
  <c r="B106" i="86"/>
  <c r="I105" i="86"/>
  <c r="Q105" i="86" s="1"/>
  <c r="AM103" i="86"/>
  <c r="AK86" i="79"/>
  <c r="AL27" i="79"/>
  <c r="AL24" i="79"/>
  <c r="AL71" i="79"/>
  <c r="Z64" i="78"/>
  <c r="AL86" i="79" s="1"/>
  <c r="Z46" i="78"/>
  <c r="H30" i="79"/>
  <c r="N31" i="79"/>
  <c r="N30" i="79"/>
  <c r="C292" i="66" l="1"/>
  <c r="AM104" i="86"/>
  <c r="B107" i="86"/>
  <c r="I106" i="86"/>
  <c r="Q106" i="86" s="1"/>
  <c r="AL29" i="79"/>
  <c r="T31" i="79"/>
  <c r="C293" i="66" l="1"/>
  <c r="B108" i="86"/>
  <c r="I107" i="86"/>
  <c r="Q107" i="86" s="1"/>
  <c r="AM105" i="86"/>
  <c r="AB64" i="78"/>
  <c r="T30" i="79"/>
  <c r="Z31" i="79"/>
  <c r="C294" i="66" l="1"/>
  <c r="B109" i="86"/>
  <c r="I108" i="86"/>
  <c r="Q108" i="86" s="1"/>
  <c r="AM106" i="86"/>
  <c r="AN86" i="79"/>
  <c r="Z30" i="79"/>
  <c r="AF31" i="79"/>
  <c r="C295" i="66" l="1"/>
  <c r="AM107" i="86"/>
  <c r="B110" i="86"/>
  <c r="I109" i="86"/>
  <c r="Q109" i="86" s="1"/>
  <c r="AF30" i="79"/>
  <c r="C296" i="66" l="1"/>
  <c r="B111" i="86"/>
  <c r="I110" i="86"/>
  <c r="Q110" i="86" s="1"/>
  <c r="AM108" i="86"/>
  <c r="AC64" i="78"/>
  <c r="M61" i="78"/>
  <c r="L61" i="78"/>
  <c r="Q61" i="78"/>
  <c r="P58" i="78"/>
  <c r="P59" i="78" s="1"/>
  <c r="Q58" i="78"/>
  <c r="Q59" i="78" s="1"/>
  <c r="V61" i="78"/>
  <c r="V122" i="78" s="1"/>
  <c r="R61" i="78"/>
  <c r="R58" i="78"/>
  <c r="R59" i="78" s="1"/>
  <c r="S58" i="78"/>
  <c r="S59" i="78" s="1"/>
  <c r="M58" i="78"/>
  <c r="M59" i="78" s="1"/>
  <c r="P61" i="78"/>
  <c r="J61" i="78"/>
  <c r="L58" i="78"/>
  <c r="L59" i="78" s="1"/>
  <c r="W61" i="78"/>
  <c r="W122" i="78" s="1"/>
  <c r="J58" i="78"/>
  <c r="J59" i="78" s="1"/>
  <c r="K61" i="78"/>
  <c r="S61" i="78"/>
  <c r="K58" i="78"/>
  <c r="K59" i="78" s="1"/>
  <c r="W58" i="78"/>
  <c r="W59" i="78" s="1"/>
  <c r="V58" i="78"/>
  <c r="D58" i="78"/>
  <c r="D59" i="78" s="1"/>
  <c r="F61" i="78"/>
  <c r="F122" i="78" s="1"/>
  <c r="G58" i="78"/>
  <c r="G59" i="78" s="1"/>
  <c r="E61" i="78"/>
  <c r="E122" i="78" s="1"/>
  <c r="F58" i="78"/>
  <c r="F59" i="78" s="1"/>
  <c r="E58" i="78"/>
  <c r="E59" i="78" s="1"/>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C297" i="66" l="1"/>
  <c r="B112" i="86"/>
  <c r="I111" i="86"/>
  <c r="Q111" i="86" s="1"/>
  <c r="AM109" i="86"/>
  <c r="F62" i="78"/>
  <c r="AO86" i="79"/>
  <c r="E62" i="78"/>
  <c r="W62" i="78"/>
  <c r="P122" i="78"/>
  <c r="P62" i="78"/>
  <c r="R122" i="78"/>
  <c r="R62" i="78"/>
  <c r="V62" i="78"/>
  <c r="K122" i="78"/>
  <c r="K62" i="78"/>
  <c r="J122" i="78"/>
  <c r="J62" i="78"/>
  <c r="Q122" i="78"/>
  <c r="Q62" i="78"/>
  <c r="L122" i="78"/>
  <c r="L62" i="78"/>
  <c r="S122" i="78"/>
  <c r="S62" i="78"/>
  <c r="V59" i="78"/>
  <c r="M122" i="78"/>
  <c r="M62" i="78"/>
  <c r="G122" i="78"/>
  <c r="D62" i="78"/>
  <c r="H40" i="79"/>
  <c r="N41" i="79"/>
  <c r="N40" i="79"/>
  <c r="C298" i="66" l="1"/>
  <c r="AM110" i="86"/>
  <c r="B113" i="86"/>
  <c r="I112" i="86"/>
  <c r="Q112" i="86" s="1"/>
  <c r="AL30" i="79"/>
  <c r="T41" i="79"/>
  <c r="T40" i="79"/>
  <c r="C299" i="66" l="1"/>
  <c r="AM111" i="86"/>
  <c r="B114" i="86"/>
  <c r="I113" i="86"/>
  <c r="Q113" i="86" s="1"/>
  <c r="AD64" i="78"/>
  <c r="Z41" i="79"/>
  <c r="C300" i="66" l="1"/>
  <c r="AM112" i="86"/>
  <c r="B115" i="86"/>
  <c r="I114" i="86"/>
  <c r="Q114" i="86" s="1"/>
  <c r="AP86" i="79"/>
  <c r="Z40" i="79"/>
  <c r="AF41" i="79"/>
  <c r="C301" i="66" l="1"/>
  <c r="B116" i="86"/>
  <c r="I115" i="86"/>
  <c r="Q115" i="86" s="1"/>
  <c r="AM113" i="86"/>
  <c r="AF40" i="79"/>
  <c r="AL41" i="79"/>
  <c r="AL40" i="79"/>
  <c r="C302" i="66" l="1"/>
  <c r="AM114" i="86"/>
  <c r="B117" i="86"/>
  <c r="I116" i="86"/>
  <c r="Q116" i="86" s="1"/>
  <c r="AE64" i="78"/>
  <c r="J124" i="78"/>
  <c r="J126" i="78" s="1"/>
  <c r="P124" i="78"/>
  <c r="P126" i="78" s="1"/>
  <c r="R124" i="78"/>
  <c r="R126" i="78" s="1"/>
  <c r="L124" i="78"/>
  <c r="L126" i="78" s="1"/>
  <c r="M124" i="78"/>
  <c r="M126" i="78" s="1"/>
  <c r="W124" i="78"/>
  <c r="W126" i="78" s="1"/>
  <c r="Q124" i="78"/>
  <c r="Q126" i="78" s="1"/>
  <c r="V124" i="78"/>
  <c r="S124" i="78"/>
  <c r="S126" i="78" s="1"/>
  <c r="K124" i="78"/>
  <c r="K126" i="78" s="1"/>
  <c r="E124" i="78"/>
  <c r="E126" i="78" s="1"/>
  <c r="F124" i="78"/>
  <c r="F126" i="78" s="1"/>
  <c r="G124" i="78"/>
  <c r="G126" i="78" s="1"/>
  <c r="D124" i="78"/>
  <c r="D126"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36" i="78" l="1"/>
  <c r="G113" i="78"/>
  <c r="E136" i="78"/>
  <c r="E113" i="78"/>
  <c r="R136" i="78"/>
  <c r="R113" i="78"/>
  <c r="D136" i="78"/>
  <c r="D113" i="78"/>
  <c r="K136" i="78"/>
  <c r="K113" i="78"/>
  <c r="L136" i="78"/>
  <c r="L113" i="78"/>
  <c r="S136" i="78"/>
  <c r="S113" i="78"/>
  <c r="Q136" i="78"/>
  <c r="Q113" i="78"/>
  <c r="M136" i="78"/>
  <c r="M113" i="78"/>
  <c r="J136" i="78"/>
  <c r="J113" i="78"/>
  <c r="F136" i="78"/>
  <c r="F113" i="78"/>
  <c r="W136" i="78"/>
  <c r="W113" i="78"/>
  <c r="P136" i="78"/>
  <c r="P113" i="78"/>
  <c r="C303" i="66"/>
  <c r="B118" i="86"/>
  <c r="I117" i="86"/>
  <c r="Q117" i="86" s="1"/>
  <c r="AM115" i="86"/>
  <c r="AQ86" i="79"/>
  <c r="V126" i="78"/>
  <c r="D32" i="6"/>
  <c r="AH64" i="78"/>
  <c r="AF64" i="78"/>
  <c r="H46" i="79"/>
  <c r="N47" i="79"/>
  <c r="D80" i="79"/>
  <c r="M80" i="79"/>
  <c r="L80" i="79"/>
  <c r="K80" i="79"/>
  <c r="D33" i="6" l="1"/>
  <c r="V136" i="78"/>
  <c r="V113" i="78"/>
  <c r="C304" i="66"/>
  <c r="AM116" i="86"/>
  <c r="B119" i="86"/>
  <c r="I118" i="86"/>
  <c r="Q118" i="86" s="1"/>
  <c r="AJ64" i="78"/>
  <c r="AR86" i="79"/>
  <c r="AR59" i="79"/>
  <c r="T47" i="79"/>
  <c r="N46" i="79"/>
  <c r="J80" i="79"/>
  <c r="S80" i="79"/>
  <c r="R80" i="79"/>
  <c r="Q80" i="79"/>
  <c r="C305" i="66" l="1"/>
  <c r="B120" i="86"/>
  <c r="I119" i="86"/>
  <c r="Q119" i="86" s="1"/>
  <c r="AM117" i="86"/>
  <c r="AT86" i="79"/>
  <c r="AL64" i="78"/>
  <c r="AX86" i="79" s="1"/>
  <c r="Z47" i="79"/>
  <c r="T46" i="79"/>
  <c r="P80" i="79"/>
  <c r="Y80" i="79"/>
  <c r="X80" i="79"/>
  <c r="W80" i="79"/>
  <c r="C306" i="66" l="1"/>
  <c r="AM118" i="86"/>
  <c r="B121" i="86"/>
  <c r="I120" i="86"/>
  <c r="Q120" i="86" s="1"/>
  <c r="AL168" i="78"/>
  <c r="Z168" i="78"/>
  <c r="AF168" i="78"/>
  <c r="AV86" i="79"/>
  <c r="AF47" i="79"/>
  <c r="Z46" i="79"/>
  <c r="V80" i="79"/>
  <c r="AE80" i="79"/>
  <c r="AD80" i="79"/>
  <c r="AC80" i="79"/>
  <c r="C307" i="66" l="1"/>
  <c r="B122" i="86"/>
  <c r="I121" i="86"/>
  <c r="Q121" i="86" s="1"/>
  <c r="AM119" i="86"/>
  <c r="AL47" i="79"/>
  <c r="AF46" i="79"/>
  <c r="AB80" i="79"/>
  <c r="AI80" i="79"/>
  <c r="C308" i="66" l="1"/>
  <c r="B123" i="86"/>
  <c r="I122" i="86"/>
  <c r="Q122" i="86" s="1"/>
  <c r="AM120" i="86"/>
  <c r="Z50" i="79"/>
  <c r="AL50" i="79"/>
  <c r="N50" i="79"/>
  <c r="H50" i="79"/>
  <c r="T50" i="79"/>
  <c r="AF50" i="79"/>
  <c r="AL46" i="79"/>
  <c r="AH80" i="79"/>
  <c r="C309" i="66" l="1"/>
  <c r="AM121" i="86"/>
  <c r="B124" i="86"/>
  <c r="I123" i="86"/>
  <c r="Q123" i="86" s="1"/>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AM122" i="86"/>
  <c r="B125" i="86"/>
  <c r="I124" i="86"/>
  <c r="Q124" i="86" s="1"/>
  <c r="L173" i="65"/>
  <c r="E100" i="65"/>
  <c r="E123" i="65"/>
  <c r="F57" i="65"/>
  <c r="G57" i="65" s="1"/>
  <c r="F38" i="65"/>
  <c r="G38" i="65" s="1"/>
  <c r="H38" i="65" s="1"/>
  <c r="I38" i="65" s="1"/>
  <c r="J38" i="65" s="1"/>
  <c r="K38" i="65" s="1"/>
  <c r="L38" i="65" s="1"/>
  <c r="C311" i="66" l="1"/>
  <c r="B126" i="86"/>
  <c r="I125" i="86"/>
  <c r="Q125" i="86" s="1"/>
  <c r="AM123" i="86"/>
  <c r="G123" i="65"/>
  <c r="H57" i="65"/>
  <c r="G100" i="65"/>
  <c r="F123" i="65"/>
  <c r="F100" i="65"/>
  <c r="C312" i="66" l="1"/>
  <c r="AM124" i="86"/>
  <c r="B127" i="86"/>
  <c r="I126" i="86"/>
  <c r="Q126" i="86" s="1"/>
  <c r="H123" i="65"/>
  <c r="I57" i="65"/>
  <c r="H134" i="65"/>
  <c r="H142" i="65" s="1"/>
  <c r="H100" i="65"/>
  <c r="C313" i="66" l="1"/>
  <c r="AM125" i="86"/>
  <c r="B128" i="86"/>
  <c r="I127" i="86"/>
  <c r="Q127" i="86" s="1"/>
  <c r="I123" i="65"/>
  <c r="J57" i="65"/>
  <c r="I134" i="65"/>
  <c r="I142" i="65" s="1"/>
  <c r="I100" i="65"/>
  <c r="C314" i="66" l="1"/>
  <c r="AM126" i="86"/>
  <c r="B129" i="86"/>
  <c r="I128" i="86"/>
  <c r="Q128" i="86" s="1"/>
  <c r="J100" i="65"/>
  <c r="J123" i="65"/>
  <c r="K57" i="65"/>
  <c r="J134" i="65"/>
  <c r="J142" i="65" s="1"/>
  <c r="C315" i="66" l="1"/>
  <c r="B130" i="86"/>
  <c r="I129" i="86"/>
  <c r="Q129" i="86" s="1"/>
  <c r="AM127" i="86"/>
  <c r="K100" i="65"/>
  <c r="L57" i="65"/>
  <c r="K123" i="65"/>
  <c r="K134" i="65"/>
  <c r="K142" i="65" s="1"/>
  <c r="C316" i="66" l="1"/>
  <c r="B131" i="86"/>
  <c r="I130" i="86"/>
  <c r="Q130" i="86" s="1"/>
  <c r="AM128" i="86"/>
  <c r="L100" i="65"/>
  <c r="L123" i="65"/>
  <c r="L134" i="65"/>
  <c r="L142" i="65" s="1"/>
  <c r="C317" i="66" l="1"/>
  <c r="B132" i="86"/>
  <c r="I131" i="86"/>
  <c r="Q131" i="86" s="1"/>
  <c r="AM129" i="86"/>
  <c r="C318" i="66" l="1"/>
  <c r="B133" i="86"/>
  <c r="I132" i="86"/>
  <c r="Q132" i="86" s="1"/>
  <c r="AM130" i="86"/>
  <c r="C319" i="66" l="1"/>
  <c r="AM131" i="86"/>
  <c r="B134" i="86"/>
  <c r="I133" i="86"/>
  <c r="Q133" i="86" s="1"/>
  <c r="C320" i="66" l="1"/>
  <c r="AM132" i="86"/>
  <c r="B135" i="86"/>
  <c r="I134" i="86"/>
  <c r="Q134" i="86" s="1"/>
  <c r="C321" i="66" l="1"/>
  <c r="B136" i="86"/>
  <c r="I135" i="86"/>
  <c r="Q135" i="86" s="1"/>
  <c r="AM133" i="86"/>
  <c r="C322" i="66" l="1"/>
  <c r="AM134" i="86"/>
  <c r="B137" i="86"/>
  <c r="I136" i="86"/>
  <c r="Q136" i="86" s="1"/>
  <c r="C323" i="66" l="1"/>
  <c r="AM135" i="86"/>
  <c r="B138" i="86"/>
  <c r="I137" i="86"/>
  <c r="Q137" i="86" s="1"/>
  <c r="C324" i="66" l="1"/>
  <c r="AM136" i="86"/>
  <c r="B139" i="86"/>
  <c r="I138" i="86"/>
  <c r="Q138" i="86" s="1"/>
  <c r="C325" i="66" l="1"/>
  <c r="AM137" i="86"/>
  <c r="B140" i="86"/>
  <c r="I139" i="86"/>
  <c r="Q139" i="86" s="1"/>
  <c r="D59" i="65"/>
  <c r="C326" i="66" l="1"/>
  <c r="B141" i="86"/>
  <c r="I140" i="86"/>
  <c r="Q140" i="86" s="1"/>
  <c r="AM138" i="86"/>
  <c r="C327" i="66" l="1"/>
  <c r="AM139" i="86"/>
  <c r="B142" i="86"/>
  <c r="I141" i="86"/>
  <c r="Q141" i="86" s="1"/>
  <c r="J27" i="65"/>
  <c r="C328" i="66" l="1"/>
  <c r="B143" i="86"/>
  <c r="I142" i="86"/>
  <c r="Q142" i="86" s="1"/>
  <c r="AM140" i="86"/>
  <c r="E13" i="65"/>
  <c r="C329" i="66" l="1"/>
  <c r="AM141" i="86"/>
  <c r="B144" i="86"/>
  <c r="I143" i="86"/>
  <c r="Q143" i="86" s="1"/>
  <c r="H62" i="65"/>
  <c r="L11" i="65"/>
  <c r="E15" i="65"/>
  <c r="J28" i="65" s="1"/>
  <c r="L13" i="65"/>
  <c r="L12" i="65"/>
  <c r="E17" i="65"/>
  <c r="J30" i="65" s="1"/>
  <c r="K30" i="65" s="1"/>
  <c r="K27" i="65"/>
  <c r="C330" i="66" l="1"/>
  <c r="AM142" i="86"/>
  <c r="B145" i="86"/>
  <c r="I144" i="86"/>
  <c r="Q144" i="86" s="1"/>
  <c r="H65" i="65"/>
  <c r="H68" i="65" s="1"/>
  <c r="H74" i="65" s="1"/>
  <c r="H114" i="65" s="1"/>
  <c r="H117" i="65"/>
  <c r="H139" i="65"/>
  <c r="C29" i="65"/>
  <c r="G160" i="65"/>
  <c r="H157" i="65" s="1"/>
  <c r="H158" i="65" s="1"/>
  <c r="K28" i="65"/>
  <c r="J34" i="65"/>
  <c r="C27" i="65"/>
  <c r="G148" i="65"/>
  <c r="C28" i="65"/>
  <c r="G154" i="65"/>
  <c r="H151" i="65" s="1"/>
  <c r="H152" i="65" s="1"/>
  <c r="H128" i="65" l="1"/>
  <c r="H138" i="65" s="1"/>
  <c r="C331" i="66"/>
  <c r="AM143" i="86"/>
  <c r="B146" i="86"/>
  <c r="I145" i="86"/>
  <c r="Q145" i="86" s="1"/>
  <c r="I83" i="65"/>
  <c r="H69" i="65"/>
  <c r="H111" i="65"/>
  <c r="H125" i="65"/>
  <c r="I62" i="65"/>
  <c r="I139" i="65"/>
  <c r="H145" i="65"/>
  <c r="G166" i="65"/>
  <c r="D27" i="65"/>
  <c r="C30" i="65"/>
  <c r="D29" i="65"/>
  <c r="L30" i="65"/>
  <c r="L34" i="65"/>
  <c r="K34" i="65"/>
  <c r="C34" i="65"/>
  <c r="E27" i="65" s="1"/>
  <c r="L27" i="65"/>
  <c r="D28" i="65"/>
  <c r="L28" i="65"/>
  <c r="H129" i="65" l="1"/>
  <c r="C332" i="66"/>
  <c r="H86" i="65"/>
  <c r="B147" i="86"/>
  <c r="I146" i="86"/>
  <c r="Q146" i="86" s="1"/>
  <c r="AM144" i="86"/>
  <c r="H126" i="65"/>
  <c r="I65" i="65"/>
  <c r="I68" i="65" s="1"/>
  <c r="I69" i="65" s="1"/>
  <c r="I80" i="65"/>
  <c r="I77" i="65" s="1"/>
  <c r="H78" i="65"/>
  <c r="I117" i="65"/>
  <c r="E28" i="65"/>
  <c r="H137" i="65"/>
  <c r="E29" i="65"/>
  <c r="J62" i="65"/>
  <c r="J139" i="65"/>
  <c r="H163" i="65"/>
  <c r="H146" i="65"/>
  <c r="H164" i="65" s="1"/>
  <c r="H89" i="65" s="1"/>
  <c r="D30" i="65"/>
  <c r="E30" i="65"/>
  <c r="C32" i="65"/>
  <c r="E34" i="65"/>
  <c r="D34" i="65"/>
  <c r="I125" i="65" l="1"/>
  <c r="C333" i="66"/>
  <c r="I74" i="65"/>
  <c r="I114" i="65" s="1"/>
  <c r="AM145" i="86"/>
  <c r="B148" i="86"/>
  <c r="I147" i="86"/>
  <c r="Q147" i="86" s="1"/>
  <c r="I111" i="65"/>
  <c r="J80" i="65" s="1"/>
  <c r="J65" i="65"/>
  <c r="J68" i="65" s="1"/>
  <c r="J74" i="65" s="1"/>
  <c r="I128" i="65"/>
  <c r="J117" i="65"/>
  <c r="H91" i="65"/>
  <c r="H94" i="65" s="1"/>
  <c r="L139" i="65"/>
  <c r="L62" i="65"/>
  <c r="K62" i="65"/>
  <c r="K139" i="65"/>
  <c r="L178" i="65"/>
  <c r="D32" i="65"/>
  <c r="E32" i="65"/>
  <c r="I86" i="65" l="1"/>
  <c r="J128" i="65"/>
  <c r="J129" i="65" s="1"/>
  <c r="C334" i="66"/>
  <c r="J69" i="65"/>
  <c r="I126" i="65"/>
  <c r="J111" i="65"/>
  <c r="K80" i="65" s="1"/>
  <c r="B149" i="86"/>
  <c r="I148" i="86"/>
  <c r="Q148" i="86" s="1"/>
  <c r="AM146" i="86"/>
  <c r="K65" i="65"/>
  <c r="K68" i="65" s="1"/>
  <c r="K69" i="65" s="1"/>
  <c r="L65" i="65"/>
  <c r="L68" i="65" s="1"/>
  <c r="L69" i="65" s="1"/>
  <c r="I129" i="65"/>
  <c r="I138" i="65"/>
  <c r="L117" i="65"/>
  <c r="K117" i="65"/>
  <c r="J83" i="65"/>
  <c r="J77" i="65" s="1"/>
  <c r="J125" i="65" s="1"/>
  <c r="I78" i="65"/>
  <c r="H97" i="65"/>
  <c r="H92" i="65"/>
  <c r="I137" i="65"/>
  <c r="J138" i="65" l="1"/>
  <c r="C335" i="66"/>
  <c r="L74" i="65"/>
  <c r="K74" i="65"/>
  <c r="K111" i="65"/>
  <c r="L80" i="65" s="1"/>
  <c r="L111" i="65" s="1"/>
  <c r="AM147" i="86"/>
  <c r="B150" i="86"/>
  <c r="I149" i="86"/>
  <c r="Q149" i="86" s="1"/>
  <c r="J114" i="65"/>
  <c r="K83" i="65" s="1"/>
  <c r="K77" i="65" s="1"/>
  <c r="K125" i="65" s="1"/>
  <c r="H98" i="65"/>
  <c r="H136" i="65"/>
  <c r="H140" i="65" s="1"/>
  <c r="L128" i="65"/>
  <c r="L129" i="65" s="1"/>
  <c r="K128" i="65"/>
  <c r="K129" i="65" s="1"/>
  <c r="J86" i="65"/>
  <c r="J137" i="65"/>
  <c r="K138" i="65" l="1"/>
  <c r="C336" i="66"/>
  <c r="L138" i="65"/>
  <c r="J126" i="65"/>
  <c r="B151" i="86"/>
  <c r="I150" i="86"/>
  <c r="Q150" i="86" s="1"/>
  <c r="AM148" i="86"/>
  <c r="J78" i="65"/>
  <c r="K114" i="65"/>
  <c r="K126" i="65" s="1"/>
  <c r="K86" i="65"/>
  <c r="K137" i="65"/>
  <c r="H147" i="65"/>
  <c r="C337" i="66" l="1"/>
  <c r="AM149" i="86"/>
  <c r="B152" i="86"/>
  <c r="I151" i="86"/>
  <c r="Q151" i="86" s="1"/>
  <c r="L83" i="65"/>
  <c r="L77" i="65" s="1"/>
  <c r="L125" i="65" s="1"/>
  <c r="K78" i="65"/>
  <c r="H153" i="65"/>
  <c r="H148" i="65"/>
  <c r="C338" i="66" l="1"/>
  <c r="L114" i="65"/>
  <c r="L78" i="65" s="1"/>
  <c r="L86" i="65"/>
  <c r="L172" i="65" s="1"/>
  <c r="L174" i="65" s="1"/>
  <c r="B153" i="86"/>
  <c r="I152" i="86"/>
  <c r="Q152" i="86" s="1"/>
  <c r="AM150" i="86"/>
  <c r="L137" i="65"/>
  <c r="I145" i="65"/>
  <c r="H154" i="65"/>
  <c r="I151" i="65" s="1"/>
  <c r="I152" i="65" s="1"/>
  <c r="H159" i="65"/>
  <c r="C339" i="66" l="1"/>
  <c r="L126" i="65"/>
  <c r="B154" i="86"/>
  <c r="I153" i="86"/>
  <c r="Q153" i="86" s="1"/>
  <c r="AM151" i="86"/>
  <c r="H160" i="65"/>
  <c r="I157" i="65" s="1"/>
  <c r="I158" i="65" s="1"/>
  <c r="H165" i="65"/>
  <c r="I146" i="65"/>
  <c r="C340" i="66" l="1"/>
  <c r="AM152" i="86"/>
  <c r="B155" i="86"/>
  <c r="I154" i="86"/>
  <c r="Q154" i="86" s="1"/>
  <c r="I164" i="65"/>
  <c r="I89" i="65" s="1"/>
  <c r="H166" i="65"/>
  <c r="I163" i="65"/>
  <c r="C341" i="66" l="1"/>
  <c r="AM153" i="86"/>
  <c r="B156" i="86"/>
  <c r="I155" i="86"/>
  <c r="Q155" i="86" s="1"/>
  <c r="I91" i="65"/>
  <c r="C342" i="66" l="1"/>
  <c r="AM154" i="86"/>
  <c r="B157" i="86"/>
  <c r="I156" i="86"/>
  <c r="Q156" i="86" s="1"/>
  <c r="I94" i="65"/>
  <c r="I97" i="65" s="1"/>
  <c r="I92" i="65"/>
  <c r="C343" i="66" l="1"/>
  <c r="B158" i="86"/>
  <c r="I157" i="86"/>
  <c r="Q157" i="86" s="1"/>
  <c r="AM155" i="86"/>
  <c r="I98" i="65"/>
  <c r="I136" i="65"/>
  <c r="I140" i="65" s="1"/>
  <c r="I147" i="65" s="1"/>
  <c r="I153" i="65" s="1"/>
  <c r="I154" i="65" s="1"/>
  <c r="J151" i="65" s="1"/>
  <c r="J152" i="65" s="1"/>
  <c r="C344" i="66" l="1"/>
  <c r="B159" i="86"/>
  <c r="K159" i="86" s="1"/>
  <c r="I158" i="86"/>
  <c r="Q158" i="86" s="1"/>
  <c r="AM156" i="86"/>
  <c r="I159" i="65"/>
  <c r="I160" i="65" s="1"/>
  <c r="J157" i="65" s="1"/>
  <c r="J158" i="65" s="1"/>
  <c r="I148" i="65"/>
  <c r="B160" i="86" l="1"/>
  <c r="B161" i="86" s="1"/>
  <c r="C345" i="66"/>
  <c r="AM157" i="86"/>
  <c r="I159" i="86"/>
  <c r="Q159" i="86" s="1"/>
  <c r="I165" i="65"/>
  <c r="J145" i="65"/>
  <c r="I166" i="65"/>
  <c r="K158" i="86"/>
  <c r="AB159" i="86"/>
  <c r="AD159" i="86"/>
  <c r="Z159" i="86"/>
  <c r="D159" i="86"/>
  <c r="G159" i="86"/>
  <c r="F159" i="86"/>
  <c r="AC159" i="86"/>
  <c r="J159" i="86"/>
  <c r="C159" i="86"/>
  <c r="N159" i="86"/>
  <c r="E159" i="86"/>
  <c r="O159" i="86"/>
  <c r="L159" i="86"/>
  <c r="AA159" i="86"/>
  <c r="H159" i="86"/>
  <c r="M159" i="86"/>
  <c r="I160" i="86" l="1"/>
  <c r="Q160" i="86" s="1"/>
  <c r="B162" i="86"/>
  <c r="I162" i="86" s="1"/>
  <c r="Q162" i="86" s="1"/>
  <c r="I161" i="86"/>
  <c r="Q161" i="86" s="1"/>
  <c r="C346" i="66"/>
  <c r="AG159" i="86"/>
  <c r="AH159" i="86"/>
  <c r="AK159" i="86"/>
  <c r="AI159" i="86"/>
  <c r="AJ159" i="86"/>
  <c r="AM158" i="86"/>
  <c r="J163" i="65"/>
  <c r="J146" i="65"/>
  <c r="J164" i="65" s="1"/>
  <c r="J89" i="65" s="1"/>
  <c r="M158" i="86"/>
  <c r="AC158" i="86"/>
  <c r="D158" i="86"/>
  <c r="H158" i="86"/>
  <c r="J158" i="86"/>
  <c r="AA158" i="86"/>
  <c r="AB158" i="86"/>
  <c r="L158" i="86"/>
  <c r="Z158" i="86"/>
  <c r="O158" i="86"/>
  <c r="E158" i="86"/>
  <c r="G158" i="86"/>
  <c r="N158" i="86"/>
  <c r="C158" i="86"/>
  <c r="AD158" i="86"/>
  <c r="F158" i="86"/>
  <c r="K157" i="86"/>
  <c r="C347" i="66" l="1"/>
  <c r="AK158" i="86"/>
  <c r="AH158" i="86"/>
  <c r="AG158" i="86"/>
  <c r="AI158" i="86"/>
  <c r="AJ158" i="86"/>
  <c r="AM159" i="86"/>
  <c r="J91" i="65"/>
  <c r="K156" i="86"/>
  <c r="Z157" i="86"/>
  <c r="F157" i="86"/>
  <c r="O157" i="86"/>
  <c r="M157" i="86"/>
  <c r="AD157" i="86"/>
  <c r="C157" i="86"/>
  <c r="AA157" i="86"/>
  <c r="N157" i="86"/>
  <c r="L157" i="86"/>
  <c r="G157" i="86"/>
  <c r="H157" i="86"/>
  <c r="E157" i="86"/>
  <c r="J157" i="86"/>
  <c r="AC157" i="86"/>
  <c r="D157" i="86"/>
  <c r="AB157" i="86"/>
  <c r="C348" i="66" l="1"/>
  <c r="AG157" i="86"/>
  <c r="AJ157" i="86"/>
  <c r="AH157" i="86"/>
  <c r="AK157" i="86"/>
  <c r="AI157" i="86"/>
  <c r="AM160" i="86"/>
  <c r="J94" i="65"/>
  <c r="J97" i="65" s="1"/>
  <c r="J92" i="65"/>
  <c r="AB156" i="86"/>
  <c r="D156" i="86"/>
  <c r="AC156" i="86"/>
  <c r="L156" i="86"/>
  <c r="Z156" i="86"/>
  <c r="J156" i="86"/>
  <c r="C156" i="86"/>
  <c r="E156" i="86"/>
  <c r="AA156" i="86"/>
  <c r="H156" i="86"/>
  <c r="M156" i="86"/>
  <c r="G156" i="86"/>
  <c r="F156" i="86"/>
  <c r="K155" i="86"/>
  <c r="AD156" i="86"/>
  <c r="N156" i="86"/>
  <c r="O156" i="86"/>
  <c r="C349" i="66" l="1"/>
  <c r="AH156" i="86"/>
  <c r="AJ156" i="86"/>
  <c r="AK156" i="86"/>
  <c r="AG156" i="86"/>
  <c r="AI156" i="86"/>
  <c r="AM161" i="86"/>
  <c r="J98" i="65"/>
  <c r="J136" i="65"/>
  <c r="J140" i="65" s="1"/>
  <c r="O155" i="86"/>
  <c r="N155" i="86"/>
  <c r="AD155" i="86"/>
  <c r="K154" i="86"/>
  <c r="F155" i="86"/>
  <c r="G155" i="86"/>
  <c r="M155" i="86"/>
  <c r="H155" i="86"/>
  <c r="AA155" i="86"/>
  <c r="E155" i="86"/>
  <c r="C155" i="86"/>
  <c r="J155" i="86"/>
  <c r="Z155" i="86"/>
  <c r="L155" i="86"/>
  <c r="AC155" i="86"/>
  <c r="D155" i="86"/>
  <c r="AB155" i="86"/>
  <c r="Y159" i="86" l="1"/>
  <c r="AF159" i="86" s="1"/>
  <c r="C350" i="66"/>
  <c r="AI155" i="86"/>
  <c r="AG155" i="86"/>
  <c r="AK155" i="86"/>
  <c r="AJ155" i="86"/>
  <c r="AH155" i="86"/>
  <c r="AM162" i="86"/>
  <c r="J147" i="65"/>
  <c r="AB154" i="86"/>
  <c r="AA154" i="86"/>
  <c r="O154" i="86"/>
  <c r="D154" i="86"/>
  <c r="J154" i="86"/>
  <c r="AC154" i="86"/>
  <c r="M154" i="86"/>
  <c r="L154" i="86"/>
  <c r="G154" i="86"/>
  <c r="Z154" i="86"/>
  <c r="C154" i="86"/>
  <c r="E154" i="86"/>
  <c r="H154" i="86"/>
  <c r="F154" i="86"/>
  <c r="K153" i="86"/>
  <c r="N154" i="86"/>
  <c r="AD154" i="86"/>
  <c r="Y158" i="86" l="1"/>
  <c r="AF158" i="86" s="1"/>
  <c r="C351" i="66"/>
  <c r="AH154" i="86"/>
  <c r="AK154" i="86"/>
  <c r="AG154" i="86"/>
  <c r="AI154" i="86"/>
  <c r="AJ154" i="86"/>
  <c r="AM163" i="86"/>
  <c r="J153" i="65"/>
  <c r="J148" i="65"/>
  <c r="AD153" i="86"/>
  <c r="N153" i="86"/>
  <c r="M153" i="86"/>
  <c r="AA153" i="86"/>
  <c r="K152" i="86"/>
  <c r="Z153" i="86"/>
  <c r="J153" i="86"/>
  <c r="F153" i="86"/>
  <c r="D153" i="86"/>
  <c r="H153" i="86"/>
  <c r="G153" i="86"/>
  <c r="E153" i="86"/>
  <c r="O153" i="86"/>
  <c r="C153" i="86"/>
  <c r="AC153" i="86"/>
  <c r="L153" i="86"/>
  <c r="AB153" i="86"/>
  <c r="Y157" i="86" l="1"/>
  <c r="AF157" i="86" s="1"/>
  <c r="C352" i="66"/>
  <c r="AK153" i="86"/>
  <c r="AH153" i="86"/>
  <c r="AI153" i="86"/>
  <c r="AG153" i="86"/>
  <c r="AJ153" i="86"/>
  <c r="AM164" i="86"/>
  <c r="K145" i="65"/>
  <c r="J154" i="65"/>
  <c r="K151" i="65" s="1"/>
  <c r="K152" i="65" s="1"/>
  <c r="J159" i="65"/>
  <c r="AB152" i="86"/>
  <c r="L152" i="86"/>
  <c r="AC152" i="86"/>
  <c r="C152" i="86"/>
  <c r="O152" i="86"/>
  <c r="E152" i="86"/>
  <c r="D152" i="86"/>
  <c r="Z152" i="86"/>
  <c r="M152" i="86"/>
  <c r="AD152" i="86"/>
  <c r="G152" i="86"/>
  <c r="H152" i="86"/>
  <c r="F152" i="86"/>
  <c r="J152" i="86"/>
  <c r="K151" i="86"/>
  <c r="AA152" i="86"/>
  <c r="N152" i="86"/>
  <c r="Y156" i="86" l="1"/>
  <c r="AF156" i="86" s="1"/>
  <c r="C353" i="66"/>
  <c r="AI152" i="86"/>
  <c r="AH152" i="86"/>
  <c r="AG152" i="86"/>
  <c r="AK152" i="86"/>
  <c r="AJ152" i="86"/>
  <c r="AM165" i="86"/>
  <c r="J160" i="65"/>
  <c r="K157" i="65" s="1"/>
  <c r="K158" i="65" s="1"/>
  <c r="J165" i="65"/>
  <c r="K146" i="65"/>
  <c r="N151" i="86"/>
  <c r="AA151" i="86"/>
  <c r="K150" i="86"/>
  <c r="J151" i="86"/>
  <c r="F151" i="86"/>
  <c r="H151" i="86"/>
  <c r="G151" i="86"/>
  <c r="AD151" i="86"/>
  <c r="M151" i="86"/>
  <c r="Z151" i="86"/>
  <c r="D151" i="86"/>
  <c r="E151" i="86"/>
  <c r="O151" i="86"/>
  <c r="C151" i="86"/>
  <c r="AC151" i="86"/>
  <c r="L151" i="86"/>
  <c r="AB151" i="86"/>
  <c r="Y155" i="86" l="1"/>
  <c r="AF155" i="86" s="1"/>
  <c r="C354" i="66"/>
  <c r="AH151" i="86"/>
  <c r="AK151" i="86"/>
  <c r="AG151" i="86"/>
  <c r="AI151" i="86"/>
  <c r="AJ151" i="86"/>
  <c r="AM166" i="86"/>
  <c r="K164" i="65"/>
  <c r="K89" i="65" s="1"/>
  <c r="K163" i="65"/>
  <c r="J166" i="65"/>
  <c r="AB150" i="86"/>
  <c r="AC150" i="86"/>
  <c r="C150" i="86"/>
  <c r="E150" i="86"/>
  <c r="AD150" i="86"/>
  <c r="G150" i="86"/>
  <c r="H150" i="86"/>
  <c r="F150" i="86"/>
  <c r="AA150" i="86"/>
  <c r="L150" i="86"/>
  <c r="O150" i="86"/>
  <c r="D150" i="86"/>
  <c r="M150" i="86"/>
  <c r="J150" i="86"/>
  <c r="N150" i="86"/>
  <c r="Z150" i="86"/>
  <c r="K149" i="86"/>
  <c r="Y154" i="86" l="1"/>
  <c r="AF154" i="86" s="1"/>
  <c r="C355" i="66"/>
  <c r="AJ150" i="86"/>
  <c r="AI150" i="86"/>
  <c r="AG150" i="86"/>
  <c r="AK150" i="86"/>
  <c r="AH150" i="86"/>
  <c r="AM167" i="86"/>
  <c r="K91" i="65"/>
  <c r="K148" i="86"/>
  <c r="L149" i="86"/>
  <c r="G149" i="86"/>
  <c r="Z149" i="86"/>
  <c r="AA149" i="86"/>
  <c r="AD149" i="86"/>
  <c r="E149" i="86"/>
  <c r="AC149" i="86"/>
  <c r="N149" i="86"/>
  <c r="M149" i="86"/>
  <c r="O149" i="86"/>
  <c r="H149" i="86"/>
  <c r="AB149" i="86"/>
  <c r="J149" i="86"/>
  <c r="D149" i="86"/>
  <c r="F149" i="86"/>
  <c r="C149" i="86"/>
  <c r="Y153" i="86" l="1"/>
  <c r="AF153" i="86" s="1"/>
  <c r="C356" i="66"/>
  <c r="AK149" i="86"/>
  <c r="AG149" i="86"/>
  <c r="AI149" i="86"/>
  <c r="AJ149" i="86"/>
  <c r="AH149" i="86"/>
  <c r="AM168" i="86"/>
  <c r="K94" i="65"/>
  <c r="K97" i="65" s="1"/>
  <c r="K92" i="65"/>
  <c r="C148" i="86"/>
  <c r="F148" i="86"/>
  <c r="D148" i="86"/>
  <c r="J148" i="86"/>
  <c r="AB148" i="86"/>
  <c r="H148" i="86"/>
  <c r="O148" i="86"/>
  <c r="M148" i="86"/>
  <c r="N148" i="86"/>
  <c r="AC148" i="86"/>
  <c r="AD148" i="86"/>
  <c r="AA148" i="86"/>
  <c r="Z148" i="86"/>
  <c r="G148" i="86"/>
  <c r="L148" i="86"/>
  <c r="K147" i="86"/>
  <c r="E148" i="86"/>
  <c r="Y152" i="86" l="1"/>
  <c r="AF152" i="86" s="1"/>
  <c r="C357" i="66"/>
  <c r="AJ148" i="86"/>
  <c r="AI148" i="86"/>
  <c r="AG148" i="86"/>
  <c r="AK148" i="86"/>
  <c r="AH148" i="86"/>
  <c r="AM169" i="86"/>
  <c r="K98" i="65"/>
  <c r="K136" i="65"/>
  <c r="K140" i="65" s="1"/>
  <c r="E147" i="86"/>
  <c r="K146" i="86"/>
  <c r="L147" i="86"/>
  <c r="G147" i="86"/>
  <c r="Z147" i="86"/>
  <c r="AA147" i="86"/>
  <c r="AD147" i="86"/>
  <c r="AC147" i="86"/>
  <c r="N147" i="86"/>
  <c r="M147" i="86"/>
  <c r="O147" i="86"/>
  <c r="H147" i="86"/>
  <c r="J147" i="86"/>
  <c r="D147" i="86"/>
  <c r="C147" i="86"/>
  <c r="F147" i="86"/>
  <c r="AB147" i="86"/>
  <c r="Y151" i="86" l="1"/>
  <c r="AF151" i="86" s="1"/>
  <c r="C358" i="66"/>
  <c r="AM170" i="86"/>
  <c r="AI147" i="86"/>
  <c r="AK147" i="86"/>
  <c r="AG147" i="86"/>
  <c r="AJ147" i="86"/>
  <c r="AH147" i="86"/>
  <c r="K147" i="65"/>
  <c r="K153" i="65" s="1"/>
  <c r="K154" i="65" s="1"/>
  <c r="L151" i="65" s="1"/>
  <c r="L152" i="65" s="1"/>
  <c r="AB146" i="86"/>
  <c r="F146" i="86"/>
  <c r="C146" i="86"/>
  <c r="D146" i="86"/>
  <c r="J146" i="86"/>
  <c r="H146" i="86"/>
  <c r="O146" i="86"/>
  <c r="M146" i="86"/>
  <c r="N146" i="86"/>
  <c r="AC146" i="86"/>
  <c r="AD146" i="86"/>
  <c r="AA146" i="86"/>
  <c r="Z146" i="86"/>
  <c r="G146" i="86"/>
  <c r="L146" i="86"/>
  <c r="K145" i="86"/>
  <c r="E146" i="86"/>
  <c r="Y150" i="86" l="1"/>
  <c r="AF150" i="86" s="1"/>
  <c r="C359" i="66"/>
  <c r="AJ146" i="86"/>
  <c r="AG146" i="86"/>
  <c r="AI146" i="86"/>
  <c r="AK146" i="86"/>
  <c r="AH146" i="86"/>
  <c r="AM171" i="86"/>
  <c r="K148" i="65"/>
  <c r="L145" i="65" s="1"/>
  <c r="L146" i="65" s="1"/>
  <c r="K159" i="65"/>
  <c r="E145" i="86"/>
  <c r="K144" i="86"/>
  <c r="L145" i="86"/>
  <c r="AD145" i="86"/>
  <c r="G145" i="86"/>
  <c r="Z145" i="86"/>
  <c r="AA145" i="86"/>
  <c r="AC145" i="86"/>
  <c r="N145" i="86"/>
  <c r="M145" i="86"/>
  <c r="O145" i="86"/>
  <c r="H145" i="86"/>
  <c r="J145" i="86"/>
  <c r="D145" i="86"/>
  <c r="C145" i="86"/>
  <c r="F145" i="86"/>
  <c r="AB145" i="86"/>
  <c r="Y149" i="86" l="1"/>
  <c r="AF149" i="86" s="1"/>
  <c r="C360" i="66"/>
  <c r="AG145" i="86"/>
  <c r="AK145" i="86"/>
  <c r="AI145" i="86"/>
  <c r="AJ145" i="86"/>
  <c r="AH145" i="86"/>
  <c r="AM172" i="86"/>
  <c r="K165" i="65"/>
  <c r="K160" i="65"/>
  <c r="AB144" i="86"/>
  <c r="G144" i="86"/>
  <c r="F144" i="86"/>
  <c r="O144" i="86"/>
  <c r="C144" i="86"/>
  <c r="K143" i="86"/>
  <c r="D144" i="86"/>
  <c r="J144" i="86"/>
  <c r="H144" i="86"/>
  <c r="M144" i="86"/>
  <c r="N144" i="86"/>
  <c r="AC144" i="86"/>
  <c r="AA144" i="86"/>
  <c r="Z144" i="86"/>
  <c r="AD144" i="86"/>
  <c r="L144" i="86"/>
  <c r="E144" i="86"/>
  <c r="Y148" i="86" l="1"/>
  <c r="AF148" i="86" s="1"/>
  <c r="C361" i="66"/>
  <c r="AH144" i="86"/>
  <c r="AG144" i="86"/>
  <c r="AJ144" i="86"/>
  <c r="AI144" i="86"/>
  <c r="AK144" i="86"/>
  <c r="AM173" i="86"/>
  <c r="L157" i="65"/>
  <c r="K166" i="65"/>
  <c r="E143" i="86"/>
  <c r="L143" i="86"/>
  <c r="AD143" i="86"/>
  <c r="Z143" i="86"/>
  <c r="AA143" i="86"/>
  <c r="AC143" i="86"/>
  <c r="N143" i="86"/>
  <c r="M143" i="86"/>
  <c r="H143" i="86"/>
  <c r="J143" i="86"/>
  <c r="D143" i="86"/>
  <c r="C143" i="86"/>
  <c r="F143" i="86"/>
  <c r="G143" i="86"/>
  <c r="K142" i="86"/>
  <c r="O143" i="86"/>
  <c r="AB143" i="86"/>
  <c r="Y147" i="86" l="1"/>
  <c r="AF147" i="86" s="1"/>
  <c r="C362" i="66"/>
  <c r="AH143" i="86"/>
  <c r="AJ143" i="86"/>
  <c r="AI143" i="86"/>
  <c r="AG143" i="86"/>
  <c r="AK143" i="86"/>
  <c r="AM174" i="86"/>
  <c r="L163" i="65"/>
  <c r="L158" i="65"/>
  <c r="L164" i="65" s="1"/>
  <c r="AB142" i="86"/>
  <c r="O142" i="86"/>
  <c r="K141" i="86"/>
  <c r="G142" i="86"/>
  <c r="F142" i="86"/>
  <c r="C142" i="86"/>
  <c r="D142" i="86"/>
  <c r="J142" i="86"/>
  <c r="H142" i="86"/>
  <c r="M142" i="86"/>
  <c r="N142" i="86"/>
  <c r="AC142" i="86"/>
  <c r="AA142" i="86"/>
  <c r="Z142" i="86"/>
  <c r="AD142" i="86"/>
  <c r="L142" i="86"/>
  <c r="E142" i="86"/>
  <c r="Y146" i="86" l="1"/>
  <c r="AF146" i="86" s="1"/>
  <c r="C363" i="66"/>
  <c r="AJ142" i="86"/>
  <c r="AI142" i="86"/>
  <c r="AG142" i="86"/>
  <c r="AK142" i="86"/>
  <c r="AH142" i="86"/>
  <c r="AM175" i="86"/>
  <c r="L89" i="65"/>
  <c r="L91" i="65" s="1"/>
  <c r="E141" i="86"/>
  <c r="N141" i="86"/>
  <c r="L141" i="86"/>
  <c r="Z141" i="86"/>
  <c r="C141" i="86"/>
  <c r="AD141" i="86"/>
  <c r="O141" i="86"/>
  <c r="AA141" i="86"/>
  <c r="G141" i="86"/>
  <c r="AC141" i="86"/>
  <c r="M141" i="86"/>
  <c r="H141" i="86"/>
  <c r="J141" i="86"/>
  <c r="D141" i="86"/>
  <c r="F141" i="86"/>
  <c r="K140" i="86"/>
  <c r="AB141" i="86"/>
  <c r="Y145" i="86" l="1"/>
  <c r="AF145" i="86" s="1"/>
  <c r="C364" i="66"/>
  <c r="AI141" i="86"/>
  <c r="AJ141" i="86"/>
  <c r="AH141" i="86"/>
  <c r="AG141" i="86"/>
  <c r="AK141" i="86"/>
  <c r="AM176" i="86"/>
  <c r="L94" i="65"/>
  <c r="L97" i="65" s="1"/>
  <c r="L98" i="65" s="1"/>
  <c r="L92" i="65"/>
  <c r="AB140" i="86"/>
  <c r="H140" i="86"/>
  <c r="K139" i="86"/>
  <c r="F140" i="86"/>
  <c r="D140" i="86"/>
  <c r="J140" i="86"/>
  <c r="M140" i="86"/>
  <c r="L140" i="86"/>
  <c r="AC140" i="86"/>
  <c r="G140" i="86"/>
  <c r="AA140" i="86"/>
  <c r="O140" i="86"/>
  <c r="AD140" i="86"/>
  <c r="C140" i="86"/>
  <c r="Z140" i="86"/>
  <c r="N140" i="86"/>
  <c r="E140" i="86"/>
  <c r="Y144" i="86" l="1"/>
  <c r="AF144" i="86" s="1"/>
  <c r="C365" i="66"/>
  <c r="AH140" i="86"/>
  <c r="AG140" i="86"/>
  <c r="AI140" i="86"/>
  <c r="AJ140" i="86"/>
  <c r="AK140" i="86"/>
  <c r="AM177" i="86"/>
  <c r="L136" i="65"/>
  <c r="L140" i="65" s="1"/>
  <c r="L147" i="65" s="1"/>
  <c r="E139" i="86"/>
  <c r="AA139" i="86"/>
  <c r="D139" i="86"/>
  <c r="H139" i="86"/>
  <c r="N139" i="86"/>
  <c r="AC139" i="86"/>
  <c r="J139" i="86"/>
  <c r="Z139" i="86"/>
  <c r="G139" i="86"/>
  <c r="M139" i="86"/>
  <c r="AB139" i="86"/>
  <c r="C139" i="86"/>
  <c r="O139" i="86"/>
  <c r="L139" i="86"/>
  <c r="K138" i="86"/>
  <c r="AD139" i="86"/>
  <c r="F139" i="86"/>
  <c r="Y143" i="86" l="1"/>
  <c r="AF143" i="86" s="1"/>
  <c r="C366" i="66"/>
  <c r="AH139" i="86"/>
  <c r="AI139" i="86"/>
  <c r="AG139" i="86"/>
  <c r="AK139" i="86"/>
  <c r="AJ139" i="86"/>
  <c r="AM178" i="86"/>
  <c r="L153" i="65"/>
  <c r="L148" i="65"/>
  <c r="F138" i="86"/>
  <c r="AD138" i="86"/>
  <c r="G138" i="86"/>
  <c r="H138" i="86"/>
  <c r="E138" i="86"/>
  <c r="K137" i="86"/>
  <c r="C138" i="86"/>
  <c r="Z138" i="86"/>
  <c r="AC138" i="86"/>
  <c r="N138" i="86"/>
  <c r="D138" i="86"/>
  <c r="L138" i="86"/>
  <c r="O138" i="86"/>
  <c r="AB138" i="86"/>
  <c r="M138" i="86"/>
  <c r="J138" i="86"/>
  <c r="AA138" i="86"/>
  <c r="Y142" i="86" l="1"/>
  <c r="AF142" i="86" s="1"/>
  <c r="C367" i="66"/>
  <c r="AG138" i="86"/>
  <c r="AK138" i="86"/>
  <c r="AI138" i="86"/>
  <c r="AJ138" i="86"/>
  <c r="AH138" i="86"/>
  <c r="AM179" i="86"/>
  <c r="L154" i="65"/>
  <c r="L159" i="65"/>
  <c r="AA137" i="86"/>
  <c r="M137" i="86"/>
  <c r="K136" i="86"/>
  <c r="H137" i="86"/>
  <c r="AD137" i="86"/>
  <c r="J137" i="86"/>
  <c r="AB137" i="86"/>
  <c r="O137" i="86"/>
  <c r="L137" i="86"/>
  <c r="D137" i="86"/>
  <c r="N137" i="86"/>
  <c r="AC137" i="86"/>
  <c r="Z137" i="86"/>
  <c r="C137" i="86"/>
  <c r="E137" i="86"/>
  <c r="G137" i="86"/>
  <c r="F137" i="86"/>
  <c r="Y141" i="86" l="1"/>
  <c r="AF141" i="86" s="1"/>
  <c r="C368" i="66"/>
  <c r="AJ137" i="86"/>
  <c r="AI137" i="86"/>
  <c r="AK137" i="86"/>
  <c r="AG137" i="86"/>
  <c r="AH137" i="86"/>
  <c r="AM180" i="86"/>
  <c r="L160" i="65"/>
  <c r="L166" i="65" s="1"/>
  <c r="L175" i="65" s="1"/>
  <c r="L176" i="65" s="1"/>
  <c r="L180" i="65" s="1"/>
  <c r="L165" i="65"/>
  <c r="F136" i="86"/>
  <c r="N136" i="86"/>
  <c r="G136" i="86"/>
  <c r="AC136" i="86"/>
  <c r="E136" i="86"/>
  <c r="C136" i="86"/>
  <c r="H136" i="86"/>
  <c r="M136" i="86"/>
  <c r="Z136" i="86"/>
  <c r="D136" i="86"/>
  <c r="O136" i="86"/>
  <c r="AB136" i="86"/>
  <c r="AD136" i="86"/>
  <c r="K135" i="86"/>
  <c r="L136" i="86"/>
  <c r="J136" i="86"/>
  <c r="AA136" i="86"/>
  <c r="Y140" i="86" l="1"/>
  <c r="AF140" i="86" s="1"/>
  <c r="C369" i="66"/>
  <c r="AG136" i="86"/>
  <c r="AK136" i="86"/>
  <c r="AI136" i="86"/>
  <c r="AJ136" i="86"/>
  <c r="AH136" i="86"/>
  <c r="AM181" i="86"/>
  <c r="L16" i="65"/>
  <c r="L181" i="65"/>
  <c r="L17" i="65" s="1"/>
  <c r="AA135" i="86"/>
  <c r="J135" i="86"/>
  <c r="O135" i="86"/>
  <c r="L135" i="86"/>
  <c r="N135" i="86"/>
  <c r="K134" i="86"/>
  <c r="AD135" i="86"/>
  <c r="AB135" i="86"/>
  <c r="D135" i="86"/>
  <c r="Z135" i="86"/>
  <c r="M135" i="86"/>
  <c r="H135" i="86"/>
  <c r="C135" i="86"/>
  <c r="E135" i="86"/>
  <c r="AC135" i="86"/>
  <c r="G135" i="86"/>
  <c r="F135" i="86"/>
  <c r="Y139" i="86" l="1"/>
  <c r="AF139" i="86" s="1"/>
  <c r="C370" i="66"/>
  <c r="AI135" i="86"/>
  <c r="AG135" i="86"/>
  <c r="AH135" i="86"/>
  <c r="AK135" i="86"/>
  <c r="AJ135" i="86"/>
  <c r="AM182" i="86"/>
  <c r="F134" i="86"/>
  <c r="G134" i="86"/>
  <c r="AC134" i="86"/>
  <c r="E134" i="86"/>
  <c r="C134" i="86"/>
  <c r="H134" i="86"/>
  <c r="M134" i="86"/>
  <c r="D134" i="86"/>
  <c r="AB134" i="86"/>
  <c r="AD134" i="86"/>
  <c r="K133" i="86"/>
  <c r="N134" i="86"/>
  <c r="L134" i="86"/>
  <c r="O134" i="86"/>
  <c r="AA134" i="86"/>
  <c r="J134" i="86"/>
  <c r="Z134" i="86"/>
  <c r="Y138" i="86" l="1"/>
  <c r="AF138" i="86" s="1"/>
  <c r="C371" i="66"/>
  <c r="AI134" i="86"/>
  <c r="AK134" i="86"/>
  <c r="AH134" i="86"/>
  <c r="AG134" i="86"/>
  <c r="AJ134" i="86"/>
  <c r="AM183" i="86"/>
  <c r="Z133" i="86"/>
  <c r="J133" i="86"/>
  <c r="AA133" i="86"/>
  <c r="O133" i="86"/>
  <c r="L133" i="86"/>
  <c r="N133" i="86"/>
  <c r="K132" i="86"/>
  <c r="AD133" i="86"/>
  <c r="AB133" i="86"/>
  <c r="D133" i="86"/>
  <c r="M133" i="86"/>
  <c r="H133" i="86"/>
  <c r="C133" i="86"/>
  <c r="E133" i="86"/>
  <c r="AC133" i="86"/>
  <c r="G133" i="86"/>
  <c r="F133" i="86"/>
  <c r="Y137" i="86" l="1"/>
  <c r="AF137" i="86" s="1"/>
  <c r="C372" i="66"/>
  <c r="AG133" i="86"/>
  <c r="AH133" i="86"/>
  <c r="AJ133" i="86"/>
  <c r="AK133" i="86"/>
  <c r="AI133" i="86"/>
  <c r="AM184" i="86"/>
  <c r="F132" i="86"/>
  <c r="L132" i="86"/>
  <c r="G132" i="86"/>
  <c r="M132" i="86"/>
  <c r="N132" i="86"/>
  <c r="Z132" i="86"/>
  <c r="AC132" i="86"/>
  <c r="AD132" i="86"/>
  <c r="E132" i="86"/>
  <c r="C132" i="86"/>
  <c r="H132" i="86"/>
  <c r="D132" i="86"/>
  <c r="AB132" i="86"/>
  <c r="O132" i="86"/>
  <c r="J132" i="86"/>
  <c r="AA132" i="86"/>
  <c r="K131" i="86"/>
  <c r="Y136" i="86" l="1"/>
  <c r="AF136" i="86" s="1"/>
  <c r="C373" i="66"/>
  <c r="AK132" i="86"/>
  <c r="AG132" i="86"/>
  <c r="AH132" i="86"/>
  <c r="AI132" i="86"/>
  <c r="AJ132" i="86"/>
  <c r="AM185" i="86"/>
  <c r="K130" i="86"/>
  <c r="F131" i="86"/>
  <c r="AA131" i="86"/>
  <c r="H131" i="86"/>
  <c r="L131" i="86"/>
  <c r="J131" i="86"/>
  <c r="AD131" i="86"/>
  <c r="O131" i="86"/>
  <c r="M131" i="86"/>
  <c r="AB131" i="86"/>
  <c r="N131" i="86"/>
  <c r="D131" i="86"/>
  <c r="Z131" i="86"/>
  <c r="C131" i="86"/>
  <c r="E131" i="86"/>
  <c r="G131" i="86"/>
  <c r="AC131" i="86"/>
  <c r="Y135" i="86" l="1"/>
  <c r="AF135" i="86" s="1"/>
  <c r="C374" i="66"/>
  <c r="AG131" i="86"/>
  <c r="AJ131" i="86"/>
  <c r="AI131" i="86"/>
  <c r="AH131" i="86"/>
  <c r="AK131" i="86"/>
  <c r="AM186" i="86"/>
  <c r="AC130" i="86"/>
  <c r="M130" i="86"/>
  <c r="G130" i="86"/>
  <c r="E130" i="86"/>
  <c r="J130" i="86"/>
  <c r="K129" i="86"/>
  <c r="C130" i="86"/>
  <c r="AA130" i="86"/>
  <c r="Z130" i="86"/>
  <c r="O130" i="86"/>
  <c r="D130" i="86"/>
  <c r="N130" i="86"/>
  <c r="L130" i="86"/>
  <c r="AB130" i="86"/>
  <c r="H130" i="86"/>
  <c r="AD130" i="86"/>
  <c r="F130" i="86"/>
  <c r="Y134" i="86" l="1"/>
  <c r="AF134" i="86" s="1"/>
  <c r="C375" i="66"/>
  <c r="AK130" i="86"/>
  <c r="AH130" i="86"/>
  <c r="AI130" i="86"/>
  <c r="AJ130" i="86"/>
  <c r="AG130" i="86"/>
  <c r="AM187" i="86"/>
  <c r="F129" i="86"/>
  <c r="AD129" i="86"/>
  <c r="E129" i="86"/>
  <c r="H129" i="86"/>
  <c r="AA129" i="86"/>
  <c r="AB129" i="86"/>
  <c r="M129" i="86"/>
  <c r="L129" i="86"/>
  <c r="K128" i="86"/>
  <c r="N129" i="86"/>
  <c r="J129" i="86"/>
  <c r="D129" i="86"/>
  <c r="O129" i="86"/>
  <c r="Z129" i="86"/>
  <c r="G129" i="86"/>
  <c r="AC129" i="86"/>
  <c r="C129" i="86"/>
  <c r="Y133" i="86" l="1"/>
  <c r="AF133" i="86" s="1"/>
  <c r="C376" i="66"/>
  <c r="AK129" i="86"/>
  <c r="AG129" i="86"/>
  <c r="AI129" i="86"/>
  <c r="AH129" i="86"/>
  <c r="AJ129" i="86"/>
  <c r="AM188" i="86"/>
  <c r="AJ101" i="79"/>
  <c r="AJ103" i="79"/>
  <c r="Y52" i="78"/>
  <c r="X50" i="78"/>
  <c r="X95" i="78"/>
  <c r="C128" i="86"/>
  <c r="AC128" i="86"/>
  <c r="G128" i="86"/>
  <c r="J128" i="86"/>
  <c r="Z128" i="86"/>
  <c r="O128" i="86"/>
  <c r="D128" i="86"/>
  <c r="N128" i="86"/>
  <c r="K127" i="86"/>
  <c r="L128" i="86"/>
  <c r="M128" i="86"/>
  <c r="AA128" i="86"/>
  <c r="H128" i="86"/>
  <c r="E128" i="86"/>
  <c r="AD128" i="86"/>
  <c r="F128" i="86"/>
  <c r="AB128" i="86"/>
  <c r="Y132" i="86" l="1"/>
  <c r="AF132" i="86" s="1"/>
  <c r="C377" i="66"/>
  <c r="AI128" i="86"/>
  <c r="AH128" i="86"/>
  <c r="AG128" i="86"/>
  <c r="AK128" i="86"/>
  <c r="AJ128" i="86"/>
  <c r="AM189" i="86"/>
  <c r="Y49" i="78"/>
  <c r="Y79" i="78"/>
  <c r="AB127" i="86"/>
  <c r="AC127" i="86"/>
  <c r="F127" i="86"/>
  <c r="G127" i="86"/>
  <c r="AD127" i="86"/>
  <c r="M127" i="86"/>
  <c r="E127" i="86"/>
  <c r="O127" i="86"/>
  <c r="H127" i="86"/>
  <c r="AA127" i="86"/>
  <c r="Z127" i="86"/>
  <c r="C127" i="86"/>
  <c r="L127" i="86"/>
  <c r="K126" i="86"/>
  <c r="N127" i="86"/>
  <c r="D127" i="86"/>
  <c r="J127" i="86"/>
  <c r="Y131" i="86" l="1"/>
  <c r="AF131" i="86" s="1"/>
  <c r="C378" i="66"/>
  <c r="AK127" i="86"/>
  <c r="AG127" i="86"/>
  <c r="AH127" i="86"/>
  <c r="AI127" i="86"/>
  <c r="AJ127" i="86"/>
  <c r="AM190" i="86"/>
  <c r="AK101" i="79"/>
  <c r="AK103" i="79"/>
  <c r="BM21" i="92"/>
  <c r="BM19" i="92" s="1"/>
  <c r="AB52" i="78"/>
  <c r="Y50" i="78"/>
  <c r="Y94" i="78"/>
  <c r="Y128" i="78" s="1"/>
  <c r="Y61" i="78"/>
  <c r="J126" i="86"/>
  <c r="N126" i="86"/>
  <c r="K125" i="86"/>
  <c r="AA126" i="86"/>
  <c r="E126" i="86"/>
  <c r="AD126" i="86"/>
  <c r="D126" i="86"/>
  <c r="L126" i="86"/>
  <c r="C126" i="86"/>
  <c r="H126" i="86"/>
  <c r="M126" i="86"/>
  <c r="G126" i="86"/>
  <c r="AC126" i="86"/>
  <c r="O126" i="86"/>
  <c r="Z126" i="86"/>
  <c r="F126" i="86"/>
  <c r="AB126" i="86"/>
  <c r="Y130" i="86" l="1"/>
  <c r="AF130" i="86" s="1"/>
  <c r="C379" i="66"/>
  <c r="AI126" i="86"/>
  <c r="AH126" i="86"/>
  <c r="AJ126" i="86"/>
  <c r="AK126" i="86"/>
  <c r="AG126" i="86"/>
  <c r="AM191" i="86"/>
  <c r="AK168" i="79"/>
  <c r="Y122" i="78"/>
  <c r="Y126" i="78" s="1"/>
  <c r="AK74" i="79"/>
  <c r="Y95" i="78"/>
  <c r="AB79" i="78"/>
  <c r="AB49" i="78"/>
  <c r="Y62" i="78"/>
  <c r="AB125" i="86"/>
  <c r="F125" i="86"/>
  <c r="Z125" i="86"/>
  <c r="M125" i="86"/>
  <c r="C125" i="86"/>
  <c r="L125" i="86"/>
  <c r="D125" i="86"/>
  <c r="J125" i="86"/>
  <c r="O125" i="86"/>
  <c r="H125" i="86"/>
  <c r="AD125" i="86"/>
  <c r="AA125" i="86"/>
  <c r="N125" i="86"/>
  <c r="AC125" i="86"/>
  <c r="E125" i="86"/>
  <c r="K124" i="86"/>
  <c r="G125" i="86"/>
  <c r="Y129" i="86" l="1"/>
  <c r="AF129" i="86" s="1"/>
  <c r="Y136" i="78"/>
  <c r="Y112" i="78"/>
  <c r="AL77" i="79"/>
  <c r="C380" i="66"/>
  <c r="AG125" i="86"/>
  <c r="AI125" i="86"/>
  <c r="AK125" i="86"/>
  <c r="AJ125" i="86"/>
  <c r="AH125" i="86"/>
  <c r="AM192" i="86"/>
  <c r="AL168" i="79"/>
  <c r="AL127" i="79"/>
  <c r="AN103" i="79"/>
  <c r="AN101" i="79"/>
  <c r="AL101" i="79"/>
  <c r="AL103" i="79"/>
  <c r="AK77" i="79"/>
  <c r="AL28" i="79"/>
  <c r="Z95" i="78"/>
  <c r="Z128" i="78"/>
  <c r="AC52" i="78"/>
  <c r="AC49" i="78" s="1"/>
  <c r="AB50" i="78"/>
  <c r="AB94" i="78"/>
  <c r="AB128" i="78" s="1"/>
  <c r="AB61" i="78"/>
  <c r="G124" i="86"/>
  <c r="K123" i="86"/>
  <c r="E124" i="86"/>
  <c r="AD124" i="86"/>
  <c r="J124" i="86"/>
  <c r="F124" i="86"/>
  <c r="L124" i="86"/>
  <c r="M124" i="86"/>
  <c r="AC124" i="86"/>
  <c r="N124" i="86"/>
  <c r="H124" i="86"/>
  <c r="D124" i="86"/>
  <c r="C124" i="86"/>
  <c r="Z124" i="86"/>
  <c r="AB124" i="86"/>
  <c r="AA124" i="86"/>
  <c r="O124" i="86"/>
  <c r="Y128" i="86" l="1"/>
  <c r="AF128" i="86" s="1"/>
  <c r="AL33" i="79"/>
  <c r="C381" i="66"/>
  <c r="AJ124" i="86"/>
  <c r="AK124" i="86"/>
  <c r="AI124" i="86"/>
  <c r="AG124" i="86"/>
  <c r="AH124" i="86"/>
  <c r="AM193" i="86"/>
  <c r="AN168" i="79"/>
  <c r="AB122" i="78"/>
  <c r="AB126" i="78" s="1"/>
  <c r="AN74" i="79"/>
  <c r="AL74" i="79"/>
  <c r="AL31" i="79"/>
  <c r="AC79" i="78"/>
  <c r="AD52" i="78" s="1"/>
  <c r="AD49" i="78" s="1"/>
  <c r="AB62" i="78"/>
  <c r="AB95" i="78"/>
  <c r="AC94" i="78"/>
  <c r="AC61" i="78"/>
  <c r="AO77" i="79" s="1"/>
  <c r="O123" i="86"/>
  <c r="AA123" i="86"/>
  <c r="AB123" i="86"/>
  <c r="C123" i="86"/>
  <c r="D123" i="86"/>
  <c r="H123" i="86"/>
  <c r="N123" i="86"/>
  <c r="AC123" i="86"/>
  <c r="M123" i="86"/>
  <c r="L123" i="86"/>
  <c r="F123" i="86"/>
  <c r="J123" i="86"/>
  <c r="AD123" i="86"/>
  <c r="E123" i="86"/>
  <c r="G123" i="86"/>
  <c r="Z123" i="86"/>
  <c r="K122" i="86"/>
  <c r="Y127" i="86" l="1"/>
  <c r="AF127" i="86" s="1"/>
  <c r="AB136" i="78"/>
  <c r="AB112" i="78"/>
  <c r="C382" i="66"/>
  <c r="AH123" i="86"/>
  <c r="AK123" i="86"/>
  <c r="AI123" i="86"/>
  <c r="AG123" i="86"/>
  <c r="AJ123" i="86"/>
  <c r="AM194" i="86"/>
  <c r="AC50" i="78"/>
  <c r="AO74" i="79"/>
  <c r="AN77" i="79"/>
  <c r="AD79" i="78"/>
  <c r="AC95" i="78"/>
  <c r="AC128" i="78"/>
  <c r="AC62" i="78"/>
  <c r="AC122" i="78"/>
  <c r="AC126" i="78" s="1"/>
  <c r="AC112" i="78" s="1"/>
  <c r="AD94" i="78"/>
  <c r="AD61" i="78"/>
  <c r="K121" i="86"/>
  <c r="Z122" i="86"/>
  <c r="J122" i="86"/>
  <c r="G122" i="86"/>
  <c r="E122" i="86"/>
  <c r="AD122" i="86"/>
  <c r="F122" i="86"/>
  <c r="L122" i="86"/>
  <c r="M122" i="86"/>
  <c r="AC122" i="86"/>
  <c r="N122" i="86"/>
  <c r="H122" i="86"/>
  <c r="D122" i="86"/>
  <c r="C122" i="86"/>
  <c r="AB122" i="86"/>
  <c r="AA122" i="86"/>
  <c r="O122" i="86"/>
  <c r="AF49" i="78" l="1"/>
  <c r="Y126" i="86"/>
  <c r="AF126" i="86" s="1"/>
  <c r="C383" i="66"/>
  <c r="AI122" i="86"/>
  <c r="AK122" i="86"/>
  <c r="AH122" i="86"/>
  <c r="AJ122" i="86"/>
  <c r="AG122" i="86"/>
  <c r="AM195" i="86"/>
  <c r="AO168" i="79"/>
  <c r="AD50" i="78"/>
  <c r="AE52" i="78"/>
  <c r="AE79" i="78" s="1"/>
  <c r="AP101" i="79"/>
  <c r="AP103" i="79"/>
  <c r="AO101" i="79"/>
  <c r="AO103" i="79"/>
  <c r="AP77" i="79"/>
  <c r="AP74" i="79"/>
  <c r="AD95" i="78"/>
  <c r="AD128" i="78"/>
  <c r="AD62" i="78"/>
  <c r="AD122" i="78"/>
  <c r="AD126" i="78" s="1"/>
  <c r="AC136" i="78"/>
  <c r="O121" i="86"/>
  <c r="AA121" i="86"/>
  <c r="C121" i="86"/>
  <c r="D121" i="86"/>
  <c r="H121" i="86"/>
  <c r="N121" i="86"/>
  <c r="M121" i="86"/>
  <c r="F121" i="86"/>
  <c r="AD121" i="86"/>
  <c r="E121" i="86"/>
  <c r="J121" i="86"/>
  <c r="AB121" i="86"/>
  <c r="AC121" i="86"/>
  <c r="L121" i="86"/>
  <c r="G121" i="86"/>
  <c r="K120" i="86"/>
  <c r="Z121" i="86"/>
  <c r="AF79" i="78" l="1"/>
  <c r="BS21" i="92" s="1"/>
  <c r="BS19" i="92" s="1"/>
  <c r="AF94" i="78"/>
  <c r="AD112" i="78"/>
  <c r="Y125" i="86"/>
  <c r="AF125" i="86" s="1"/>
  <c r="C384" i="66"/>
  <c r="AH121" i="86"/>
  <c r="AK121" i="86"/>
  <c r="AG121" i="86"/>
  <c r="AJ121" i="86"/>
  <c r="AI121" i="86"/>
  <c r="AM196" i="86"/>
  <c r="AE49" i="78"/>
  <c r="AD136" i="78"/>
  <c r="AQ101" i="79"/>
  <c r="AR101" i="79"/>
  <c r="AP168" i="79"/>
  <c r="Z120" i="86"/>
  <c r="K119" i="86"/>
  <c r="G120" i="86"/>
  <c r="L120" i="86"/>
  <c r="AC120" i="86"/>
  <c r="AB120" i="86"/>
  <c r="J120" i="86"/>
  <c r="E120" i="86"/>
  <c r="AD120" i="86"/>
  <c r="F120" i="86"/>
  <c r="M120" i="86"/>
  <c r="N120" i="86"/>
  <c r="H120" i="86"/>
  <c r="D120" i="86"/>
  <c r="C120" i="86"/>
  <c r="AA120" i="86"/>
  <c r="O120" i="86"/>
  <c r="AH52" i="78" l="1"/>
  <c r="AH49" i="78" s="1"/>
  <c r="Y124" i="86"/>
  <c r="AF124" i="86" s="1"/>
  <c r="C385" i="66"/>
  <c r="AG120" i="86"/>
  <c r="AK120" i="86"/>
  <c r="AJ120" i="86"/>
  <c r="AH120" i="86"/>
  <c r="AI120" i="86"/>
  <c r="AM197" i="86"/>
  <c r="AR103" i="79"/>
  <c r="AE94" i="78"/>
  <c r="AE128" i="78" s="1"/>
  <c r="AQ168" i="79" s="1"/>
  <c r="AE61" i="78"/>
  <c r="AE122" i="78" s="1"/>
  <c r="AE126" i="78" s="1"/>
  <c r="AE50" i="78"/>
  <c r="AQ103" i="79"/>
  <c r="O119" i="86"/>
  <c r="AA119" i="86"/>
  <c r="Z119" i="86"/>
  <c r="C119" i="86"/>
  <c r="D119" i="86"/>
  <c r="H119" i="86"/>
  <c r="N119" i="86"/>
  <c r="M119" i="86"/>
  <c r="F119" i="86"/>
  <c r="AD119" i="86"/>
  <c r="E119" i="86"/>
  <c r="J119" i="86"/>
  <c r="AB119" i="86"/>
  <c r="AC119" i="86"/>
  <c r="L119" i="86"/>
  <c r="G119" i="86"/>
  <c r="K118" i="86"/>
  <c r="Y123" i="86" l="1"/>
  <c r="AF123" i="86" s="1"/>
  <c r="AE112" i="78"/>
  <c r="AT77" i="79"/>
  <c r="C386" i="66"/>
  <c r="AF95" i="78"/>
  <c r="AE95" i="78"/>
  <c r="AV127" i="79"/>
  <c r="AJ119" i="86"/>
  <c r="AK119" i="86"/>
  <c r="AI119" i="86"/>
  <c r="AH119" i="86"/>
  <c r="AG119" i="86"/>
  <c r="AM198" i="86"/>
  <c r="AR28" i="79"/>
  <c r="AE62" i="78"/>
  <c r="AQ74" i="79"/>
  <c r="AE136" i="78"/>
  <c r="AT103" i="79"/>
  <c r="K117" i="86"/>
  <c r="G118" i="86"/>
  <c r="O118" i="86"/>
  <c r="L118" i="86"/>
  <c r="AC118" i="86"/>
  <c r="AB118" i="86"/>
  <c r="J118" i="86"/>
  <c r="E118" i="86"/>
  <c r="AD118" i="86"/>
  <c r="F118" i="86"/>
  <c r="M118" i="86"/>
  <c r="N118" i="86"/>
  <c r="H118" i="86"/>
  <c r="D118" i="86"/>
  <c r="C118" i="86"/>
  <c r="Z118" i="86"/>
  <c r="AA118" i="86"/>
  <c r="Y122" i="86" l="1"/>
  <c r="AF122" i="86" s="1"/>
  <c r="AF128" i="78"/>
  <c r="AT74" i="79"/>
  <c r="AR77" i="79"/>
  <c r="C387" i="66"/>
  <c r="AR127" i="79"/>
  <c r="AT127" i="79"/>
  <c r="AR168" i="79"/>
  <c r="AQ77" i="79"/>
  <c r="AI118" i="86"/>
  <c r="AH118" i="86"/>
  <c r="AK118" i="86"/>
  <c r="AG118" i="86"/>
  <c r="AJ118" i="86"/>
  <c r="AM199" i="86"/>
  <c r="AT101" i="79"/>
  <c r="AA117" i="86"/>
  <c r="H117" i="86"/>
  <c r="Z117" i="86"/>
  <c r="AD117" i="86"/>
  <c r="C117" i="86"/>
  <c r="AB117" i="86"/>
  <c r="D117" i="86"/>
  <c r="K116" i="86"/>
  <c r="O117" i="86"/>
  <c r="N117" i="86"/>
  <c r="AC117" i="86"/>
  <c r="M117" i="86"/>
  <c r="F117" i="86"/>
  <c r="E117" i="86"/>
  <c r="L117" i="86"/>
  <c r="G117" i="86"/>
  <c r="J117" i="86"/>
  <c r="Y121" i="86" l="1"/>
  <c r="AF121" i="86" s="1"/>
  <c r="AR33" i="79"/>
  <c r="AR74" i="79"/>
  <c r="C388" i="66"/>
  <c r="AK117" i="86"/>
  <c r="AH117" i="86"/>
  <c r="AJ117" i="86"/>
  <c r="AG117" i="86"/>
  <c r="AI117" i="86"/>
  <c r="AR31" i="79"/>
  <c r="AM200" i="86"/>
  <c r="AV101" i="79"/>
  <c r="J116" i="86"/>
  <c r="O116" i="86"/>
  <c r="G116" i="86"/>
  <c r="D116" i="86"/>
  <c r="L116" i="86"/>
  <c r="N116" i="86"/>
  <c r="Z116" i="86"/>
  <c r="E116" i="86"/>
  <c r="F116" i="86"/>
  <c r="K115" i="86"/>
  <c r="M116" i="86"/>
  <c r="C116" i="86"/>
  <c r="AA116" i="86"/>
  <c r="AC116" i="86"/>
  <c r="AD116" i="86"/>
  <c r="AB116" i="86"/>
  <c r="H116" i="86"/>
  <c r="Y120" i="86" l="1"/>
  <c r="AF120" i="86" s="1"/>
  <c r="C389" i="66"/>
  <c r="AJ116" i="86"/>
  <c r="AH116" i="86"/>
  <c r="AI116" i="86"/>
  <c r="AG116" i="86"/>
  <c r="AK116" i="86"/>
  <c r="AM201" i="86"/>
  <c r="AV103" i="79"/>
  <c r="AV77" i="79"/>
  <c r="AV74" i="79"/>
  <c r="H115" i="86"/>
  <c r="AB115" i="86"/>
  <c r="AD115" i="86"/>
  <c r="AC115" i="86"/>
  <c r="M115" i="86"/>
  <c r="AA115" i="86"/>
  <c r="O115" i="86"/>
  <c r="C115" i="86"/>
  <c r="K114" i="86"/>
  <c r="F115" i="86"/>
  <c r="E115" i="86"/>
  <c r="N115" i="86"/>
  <c r="L115" i="86"/>
  <c r="G115" i="86"/>
  <c r="J115" i="86"/>
  <c r="Z115" i="86"/>
  <c r="D115" i="86"/>
  <c r="Y119" i="86" l="1"/>
  <c r="AF119" i="86" s="1"/>
  <c r="AX74" i="79"/>
  <c r="C390" i="66"/>
  <c r="AK115" i="86"/>
  <c r="AH115" i="86"/>
  <c r="AG115" i="86"/>
  <c r="AI115" i="86"/>
  <c r="AJ115" i="86"/>
  <c r="AM202" i="86"/>
  <c r="AX77" i="79"/>
  <c r="D114" i="86"/>
  <c r="Z114" i="86"/>
  <c r="J114" i="86"/>
  <c r="G114" i="86"/>
  <c r="N114" i="86"/>
  <c r="E114" i="86"/>
  <c r="F114" i="86"/>
  <c r="K113" i="86"/>
  <c r="C114" i="86"/>
  <c r="O114" i="86"/>
  <c r="AA114" i="86"/>
  <c r="M114" i="86"/>
  <c r="AC114" i="86"/>
  <c r="AD114" i="86"/>
  <c r="AB114" i="86"/>
  <c r="H114" i="86"/>
  <c r="L114" i="86"/>
  <c r="Y118" i="86" l="1"/>
  <c r="AF118" i="86" s="1"/>
  <c r="C391" i="66"/>
  <c r="AH114" i="86"/>
  <c r="AI114" i="86"/>
  <c r="AJ114" i="86"/>
  <c r="AK114" i="86"/>
  <c r="AG114" i="86"/>
  <c r="AM203" i="86"/>
  <c r="L113" i="86"/>
  <c r="N113" i="86"/>
  <c r="H113" i="86"/>
  <c r="G113" i="86"/>
  <c r="AB113" i="86"/>
  <c r="AD113" i="86"/>
  <c r="AA113" i="86"/>
  <c r="D113" i="86"/>
  <c r="AC113" i="86"/>
  <c r="J113" i="86"/>
  <c r="M113" i="86"/>
  <c r="O113" i="86"/>
  <c r="C113" i="86"/>
  <c r="K112" i="86"/>
  <c r="F113" i="86"/>
  <c r="Z113" i="86"/>
  <c r="E113" i="86"/>
  <c r="Y117" i="86" l="1"/>
  <c r="AF117" i="86" s="1"/>
  <c r="C392" i="66"/>
  <c r="AK113" i="86"/>
  <c r="AI113" i="86"/>
  <c r="AH113" i="86"/>
  <c r="AG113" i="86"/>
  <c r="AJ113" i="86"/>
  <c r="AM204" i="86"/>
  <c r="E112" i="86"/>
  <c r="D112" i="86"/>
  <c r="Z112" i="86"/>
  <c r="C112" i="86"/>
  <c r="M112" i="86"/>
  <c r="AC112" i="86"/>
  <c r="AB112" i="86"/>
  <c r="L112" i="86"/>
  <c r="F112" i="86"/>
  <c r="O112" i="86"/>
  <c r="J112" i="86"/>
  <c r="AA112" i="86"/>
  <c r="H112" i="86"/>
  <c r="K111" i="86"/>
  <c r="G112" i="86"/>
  <c r="N112" i="86"/>
  <c r="AD112" i="86"/>
  <c r="Y116" i="86" l="1"/>
  <c r="AF116" i="86" s="1"/>
  <c r="C393" i="66"/>
  <c r="AJ112" i="86"/>
  <c r="AG112" i="86"/>
  <c r="AI112" i="86"/>
  <c r="AH112" i="86"/>
  <c r="AK112" i="86"/>
  <c r="AM205" i="86"/>
  <c r="AD111" i="86"/>
  <c r="N111" i="86"/>
  <c r="G111" i="86"/>
  <c r="K110" i="86"/>
  <c r="H111" i="86"/>
  <c r="AA111" i="86"/>
  <c r="J111" i="86"/>
  <c r="O111" i="86"/>
  <c r="F111" i="86"/>
  <c r="L111" i="86"/>
  <c r="AB111" i="86"/>
  <c r="AC111" i="86"/>
  <c r="M111" i="86"/>
  <c r="C111" i="86"/>
  <c r="Z111" i="86"/>
  <c r="D111" i="86"/>
  <c r="E111" i="86"/>
  <c r="Y115" i="86" l="1"/>
  <c r="AF115" i="86" s="1"/>
  <c r="C394" i="66"/>
  <c r="AJ111" i="86"/>
  <c r="AH111" i="86"/>
  <c r="AI111" i="86"/>
  <c r="AK111" i="86"/>
  <c r="AG111" i="86"/>
  <c r="AM206" i="86"/>
  <c r="H87" i="65"/>
  <c r="I87" i="65"/>
  <c r="J87" i="65"/>
  <c r="K87" i="65"/>
  <c r="L87" i="65"/>
  <c r="E110" i="86"/>
  <c r="AC110" i="86"/>
  <c r="G110" i="86"/>
  <c r="D110" i="86"/>
  <c r="M110" i="86"/>
  <c r="K109" i="86"/>
  <c r="Z110" i="86"/>
  <c r="F110" i="86"/>
  <c r="C110" i="86"/>
  <c r="AD110" i="86"/>
  <c r="J110" i="86"/>
  <c r="AB110" i="86"/>
  <c r="L110" i="86"/>
  <c r="O110" i="86"/>
  <c r="N110" i="86"/>
  <c r="AA110" i="86"/>
  <c r="H110" i="86"/>
  <c r="Y114" i="86" l="1"/>
  <c r="AF114" i="86" s="1"/>
  <c r="C395" i="66"/>
  <c r="AG110" i="86"/>
  <c r="AK110" i="86"/>
  <c r="AI110" i="86"/>
  <c r="AH110" i="86"/>
  <c r="AJ110" i="86"/>
  <c r="AM207" i="86"/>
  <c r="H109" i="86"/>
  <c r="N109" i="86"/>
  <c r="O109" i="86"/>
  <c r="L109" i="86"/>
  <c r="AB109" i="86"/>
  <c r="AD109" i="86"/>
  <c r="C109" i="86"/>
  <c r="Z109" i="86"/>
  <c r="M109" i="86"/>
  <c r="G109" i="86"/>
  <c r="AA109" i="86"/>
  <c r="J109" i="86"/>
  <c r="F109" i="86"/>
  <c r="K108" i="86"/>
  <c r="D109" i="86"/>
  <c r="AC109" i="86"/>
  <c r="E109" i="86"/>
  <c r="Y113" i="86" l="1"/>
  <c r="AF113" i="86" s="1"/>
  <c r="C396" i="66"/>
  <c r="AH109" i="86"/>
  <c r="AI109" i="86"/>
  <c r="AK109" i="86"/>
  <c r="AJ109" i="86"/>
  <c r="AG109" i="86"/>
  <c r="AM208" i="86"/>
  <c r="E108" i="86"/>
  <c r="AC108" i="86"/>
  <c r="J108" i="86"/>
  <c r="M108" i="86"/>
  <c r="C108" i="86"/>
  <c r="AB108" i="86"/>
  <c r="L108" i="86"/>
  <c r="N108" i="86"/>
  <c r="D108" i="86"/>
  <c r="F108" i="86"/>
  <c r="AA108" i="86"/>
  <c r="G108" i="86"/>
  <c r="AD108" i="86"/>
  <c r="O108" i="86"/>
  <c r="H108" i="86"/>
  <c r="K107" i="86"/>
  <c r="Z108" i="86"/>
  <c r="Y112" i="86" l="1"/>
  <c r="AF112" i="86" s="1"/>
  <c r="C397" i="66"/>
  <c r="AH108" i="86"/>
  <c r="AK108" i="86"/>
  <c r="AJ108" i="86"/>
  <c r="AI108" i="86"/>
  <c r="AG108" i="86"/>
  <c r="AM209" i="86"/>
  <c r="Z107" i="86"/>
  <c r="K106" i="86"/>
  <c r="H107" i="86"/>
  <c r="AD107" i="86"/>
  <c r="G107" i="86"/>
  <c r="AA107" i="86"/>
  <c r="F107" i="86"/>
  <c r="N107" i="86"/>
  <c r="AB107" i="86"/>
  <c r="C107" i="86"/>
  <c r="AC107" i="86"/>
  <c r="O107" i="86"/>
  <c r="D107" i="86"/>
  <c r="L107" i="86"/>
  <c r="M107" i="86"/>
  <c r="J107" i="86"/>
  <c r="E107" i="86"/>
  <c r="Y111" i="86" l="1"/>
  <c r="AF111" i="86" s="1"/>
  <c r="C398" i="66"/>
  <c r="AJ107" i="86"/>
  <c r="AK107" i="86"/>
  <c r="AH107" i="86"/>
  <c r="AI107" i="86"/>
  <c r="AG107" i="86"/>
  <c r="AM210" i="86"/>
  <c r="E106" i="86"/>
  <c r="J106" i="86"/>
  <c r="F106" i="86"/>
  <c r="M106" i="86"/>
  <c r="L106" i="86"/>
  <c r="AC106" i="86"/>
  <c r="D106" i="86"/>
  <c r="O106" i="86"/>
  <c r="H106" i="86"/>
  <c r="C106" i="86"/>
  <c r="AB106" i="86"/>
  <c r="N106" i="86"/>
  <c r="G106" i="86"/>
  <c r="AD106" i="86"/>
  <c r="K105" i="86"/>
  <c r="AA106" i="86"/>
  <c r="Z106" i="86"/>
  <c r="Y110" i="86" l="1"/>
  <c r="AF110" i="86" s="1"/>
  <c r="C399" i="66"/>
  <c r="AI106" i="86"/>
  <c r="AK106" i="86"/>
  <c r="AJ106" i="86"/>
  <c r="AH106" i="86"/>
  <c r="AG106" i="86"/>
  <c r="AM211" i="86"/>
  <c r="Z105" i="86"/>
  <c r="D105" i="86"/>
  <c r="AA105" i="86"/>
  <c r="AB105" i="86"/>
  <c r="J105" i="86"/>
  <c r="K104" i="86"/>
  <c r="O105" i="86"/>
  <c r="AD105" i="86"/>
  <c r="G105" i="86"/>
  <c r="M105" i="86"/>
  <c r="N105" i="86"/>
  <c r="F105" i="86"/>
  <c r="C105" i="86"/>
  <c r="H105" i="86"/>
  <c r="AC105" i="86"/>
  <c r="L105" i="86"/>
  <c r="E105" i="86"/>
  <c r="Y109" i="86" l="1"/>
  <c r="AF109" i="86" s="1"/>
  <c r="C400" i="66"/>
  <c r="AJ105" i="86"/>
  <c r="AK105" i="86"/>
  <c r="AI105" i="86"/>
  <c r="AH105" i="86"/>
  <c r="AG105" i="86"/>
  <c r="AM212" i="86"/>
  <c r="E104" i="86"/>
  <c r="AD104" i="86"/>
  <c r="L104" i="86"/>
  <c r="N104" i="86"/>
  <c r="AB104" i="86"/>
  <c r="Z104" i="86"/>
  <c r="AC104" i="86"/>
  <c r="O104" i="86"/>
  <c r="H104" i="86"/>
  <c r="J104" i="86"/>
  <c r="C104" i="86"/>
  <c r="F104" i="86"/>
  <c r="M104" i="86"/>
  <c r="G104" i="86"/>
  <c r="K103" i="86"/>
  <c r="D104" i="86"/>
  <c r="AA104" i="86"/>
  <c r="Y108" i="86" l="1"/>
  <c r="AF108" i="86" s="1"/>
  <c r="C401" i="66"/>
  <c r="AI104" i="86"/>
  <c r="AJ104" i="86"/>
  <c r="AH104" i="86"/>
  <c r="AK104" i="86"/>
  <c r="AG104" i="86"/>
  <c r="AM213" i="86"/>
  <c r="AA103" i="86"/>
  <c r="D103" i="86"/>
  <c r="C103" i="86"/>
  <c r="K102" i="86"/>
  <c r="E103" i="86"/>
  <c r="G103" i="86"/>
  <c r="AD103" i="86"/>
  <c r="M103" i="86"/>
  <c r="F103" i="86"/>
  <c r="J103" i="86"/>
  <c r="H103" i="86"/>
  <c r="O103" i="86"/>
  <c r="AC103" i="86"/>
  <c r="Z103" i="86"/>
  <c r="AB103" i="86"/>
  <c r="N103" i="86"/>
  <c r="L103" i="86"/>
  <c r="Y107" i="86" l="1"/>
  <c r="AF107" i="86" s="1"/>
  <c r="C402" i="66"/>
  <c r="AH103" i="86"/>
  <c r="AJ103" i="86"/>
  <c r="AK103" i="86"/>
  <c r="AI103" i="86"/>
  <c r="AG103" i="86"/>
  <c r="AM214" i="86"/>
  <c r="L102" i="86"/>
  <c r="N102" i="86"/>
  <c r="AB102" i="86"/>
  <c r="H102" i="86"/>
  <c r="Z102" i="86"/>
  <c r="AC102" i="86"/>
  <c r="O102" i="86"/>
  <c r="J102" i="86"/>
  <c r="F102" i="86"/>
  <c r="M102" i="86"/>
  <c r="AD102" i="86"/>
  <c r="G102" i="86"/>
  <c r="E102" i="86"/>
  <c r="K101" i="86"/>
  <c r="C102" i="86"/>
  <c r="D102" i="86"/>
  <c r="AA102" i="86"/>
  <c r="Y106" i="86" l="1"/>
  <c r="AF106" i="86" s="1"/>
  <c r="C403" i="66"/>
  <c r="AI102" i="86"/>
  <c r="AK102" i="86"/>
  <c r="AH102" i="86"/>
  <c r="AJ102" i="86"/>
  <c r="AG102" i="86"/>
  <c r="AM215" i="86"/>
  <c r="AA101" i="86"/>
  <c r="D101" i="86"/>
  <c r="C101" i="86"/>
  <c r="K100" i="86"/>
  <c r="E101" i="86"/>
  <c r="G101" i="86"/>
  <c r="AD101" i="86"/>
  <c r="M101" i="86"/>
  <c r="F101" i="86"/>
  <c r="J101" i="86"/>
  <c r="O101" i="86"/>
  <c r="AC101" i="86"/>
  <c r="Z101" i="86"/>
  <c r="H101" i="86"/>
  <c r="AB101" i="86"/>
  <c r="N101" i="86"/>
  <c r="L101" i="86"/>
  <c r="Y105" i="86" l="1"/>
  <c r="AF105" i="86" s="1"/>
  <c r="C404" i="66"/>
  <c r="AJ101" i="86"/>
  <c r="AH101" i="86"/>
  <c r="AK101" i="86"/>
  <c r="AG101" i="86"/>
  <c r="AI101" i="86"/>
  <c r="AM216" i="86"/>
  <c r="L100" i="86"/>
  <c r="J100" i="86"/>
  <c r="N100" i="86"/>
  <c r="O100" i="86"/>
  <c r="AD100" i="86"/>
  <c r="AB100" i="86"/>
  <c r="H100" i="86"/>
  <c r="F100" i="86"/>
  <c r="G100" i="86"/>
  <c r="C100" i="86"/>
  <c r="Z100" i="86"/>
  <c r="M100" i="86"/>
  <c r="AC100" i="86"/>
  <c r="E100" i="86"/>
  <c r="AA100" i="86"/>
  <c r="K99" i="86"/>
  <c r="D100" i="86"/>
  <c r="Y104" i="86" l="1"/>
  <c r="AF104" i="86" s="1"/>
  <c r="C405" i="66"/>
  <c r="AK100" i="86"/>
  <c r="AH100" i="86"/>
  <c r="AJ100" i="86"/>
  <c r="AG100" i="86"/>
  <c r="AI100" i="86"/>
  <c r="AM217" i="86"/>
  <c r="D99" i="86"/>
  <c r="AA99" i="86"/>
  <c r="AC99" i="86"/>
  <c r="M99" i="86"/>
  <c r="C99" i="86"/>
  <c r="G99" i="86"/>
  <c r="AB99" i="86"/>
  <c r="AD99" i="86"/>
  <c r="N99" i="86"/>
  <c r="K98" i="86"/>
  <c r="Z99" i="86"/>
  <c r="F99" i="86"/>
  <c r="L99" i="86"/>
  <c r="E99" i="86"/>
  <c r="H99" i="86"/>
  <c r="O99" i="86"/>
  <c r="J99" i="86"/>
  <c r="Y103" i="86" l="1"/>
  <c r="AF103" i="86" s="1"/>
  <c r="C406" i="66"/>
  <c r="AI99" i="86"/>
  <c r="AG99" i="86"/>
  <c r="AK99" i="86"/>
  <c r="AH99" i="86"/>
  <c r="AJ99" i="86"/>
  <c r="AM218" i="86"/>
  <c r="J98" i="86"/>
  <c r="L98" i="86"/>
  <c r="F98" i="86"/>
  <c r="AD98" i="86"/>
  <c r="C98" i="86"/>
  <c r="O98" i="86"/>
  <c r="K97" i="86"/>
  <c r="AB98" i="86"/>
  <c r="D98" i="86"/>
  <c r="H98" i="86"/>
  <c r="N98" i="86"/>
  <c r="AC98" i="86"/>
  <c r="E98" i="86"/>
  <c r="Z98" i="86"/>
  <c r="G98" i="86"/>
  <c r="M98" i="86"/>
  <c r="AA98" i="86"/>
  <c r="Y102" i="86" l="1"/>
  <c r="AF102" i="86" s="1"/>
  <c r="C407" i="66"/>
  <c r="AJ98" i="86"/>
  <c r="AH98" i="86"/>
  <c r="AG98" i="86"/>
  <c r="AK98" i="86"/>
  <c r="AI98" i="86"/>
  <c r="AM219" i="86"/>
  <c r="AA97" i="86"/>
  <c r="M97" i="86"/>
  <c r="G97" i="86"/>
  <c r="Z97" i="86"/>
  <c r="E97" i="86"/>
  <c r="AC97" i="86"/>
  <c r="N97" i="86"/>
  <c r="H97" i="86"/>
  <c r="D97" i="86"/>
  <c r="AB97" i="86"/>
  <c r="K96" i="86"/>
  <c r="O97" i="86"/>
  <c r="C97" i="86"/>
  <c r="AD97" i="86"/>
  <c r="F97" i="86"/>
  <c r="L97" i="86"/>
  <c r="J97" i="86"/>
  <c r="Y101" i="86" l="1"/>
  <c r="AF101" i="86" s="1"/>
  <c r="C408" i="66"/>
  <c r="AI97" i="86"/>
  <c r="AG97" i="86"/>
  <c r="AK97" i="86"/>
  <c r="AH97" i="86"/>
  <c r="AJ97" i="86"/>
  <c r="AM220" i="86"/>
  <c r="J96" i="86"/>
  <c r="K95" i="86"/>
  <c r="G96" i="86"/>
  <c r="L96" i="86"/>
  <c r="Z96" i="86"/>
  <c r="F96" i="86"/>
  <c r="D96" i="86"/>
  <c r="AD96" i="86"/>
  <c r="AB96" i="86"/>
  <c r="C96" i="86"/>
  <c r="O96" i="86"/>
  <c r="N96" i="86"/>
  <c r="M96" i="86"/>
  <c r="H96" i="86"/>
  <c r="AC96" i="86"/>
  <c r="E96" i="86"/>
  <c r="AA96" i="86"/>
  <c r="Y100" i="86" l="1"/>
  <c r="AF100" i="86" s="1"/>
  <c r="C409" i="66"/>
  <c r="AG96" i="86"/>
  <c r="AH96" i="86"/>
  <c r="AK96" i="86"/>
  <c r="AJ96" i="86"/>
  <c r="AI96" i="86"/>
  <c r="AM221" i="86"/>
  <c r="AA95" i="86"/>
  <c r="E95" i="86"/>
  <c r="N95" i="86"/>
  <c r="C95" i="86"/>
  <c r="F95" i="86"/>
  <c r="Z95" i="86"/>
  <c r="L95" i="86"/>
  <c r="K94" i="86"/>
  <c r="AC95" i="86"/>
  <c r="H95" i="86"/>
  <c r="M95" i="86"/>
  <c r="O95" i="86"/>
  <c r="AB95" i="86"/>
  <c r="D95" i="86"/>
  <c r="G95" i="86"/>
  <c r="J95" i="86"/>
  <c r="AD95" i="86"/>
  <c r="Y99" i="86" l="1"/>
  <c r="AF99" i="86" s="1"/>
  <c r="C410" i="66"/>
  <c r="AK95" i="86"/>
  <c r="AH95" i="86"/>
  <c r="AJ95" i="86"/>
  <c r="AG95" i="86"/>
  <c r="AI95" i="86"/>
  <c r="AM222" i="86"/>
  <c r="AD94" i="86"/>
  <c r="M94" i="86"/>
  <c r="J94" i="86"/>
  <c r="G94" i="86"/>
  <c r="F94" i="86"/>
  <c r="D94" i="86"/>
  <c r="AA94" i="86"/>
  <c r="AB94" i="86"/>
  <c r="E94" i="86"/>
  <c r="O94" i="86"/>
  <c r="H94" i="86"/>
  <c r="AC94" i="86"/>
  <c r="K93" i="86"/>
  <c r="L94" i="86"/>
  <c r="Z94" i="86"/>
  <c r="N94" i="86"/>
  <c r="C94" i="86"/>
  <c r="Y98" i="86" l="1"/>
  <c r="AF98" i="86" s="1"/>
  <c r="C411" i="66"/>
  <c r="AG94" i="86"/>
  <c r="AJ94" i="86"/>
  <c r="AH94" i="86"/>
  <c r="AK94" i="86"/>
  <c r="AI94" i="86"/>
  <c r="AM223" i="86"/>
  <c r="C93" i="86"/>
  <c r="N93" i="86"/>
  <c r="Z93" i="86"/>
  <c r="L93" i="86"/>
  <c r="K92" i="86"/>
  <c r="AC93" i="86"/>
  <c r="H93" i="86"/>
  <c r="O93" i="86"/>
  <c r="E93" i="86"/>
  <c r="AB93" i="86"/>
  <c r="D93" i="86"/>
  <c r="F93" i="86"/>
  <c r="G93" i="86"/>
  <c r="M93" i="86"/>
  <c r="AA93" i="86"/>
  <c r="J93" i="86"/>
  <c r="AD93" i="86"/>
  <c r="Y97" i="86" l="1"/>
  <c r="AF97" i="86" s="1"/>
  <c r="C412" i="66"/>
  <c r="AI93" i="86"/>
  <c r="AH93" i="86"/>
  <c r="AJ93" i="86"/>
  <c r="AK93" i="86"/>
  <c r="AG93" i="86"/>
  <c r="AM224" i="86"/>
  <c r="AD92" i="86"/>
  <c r="H92" i="86"/>
  <c r="J92" i="86"/>
  <c r="AA92" i="86"/>
  <c r="AB92" i="86"/>
  <c r="N92" i="86"/>
  <c r="M92" i="86"/>
  <c r="Z92" i="86"/>
  <c r="G92" i="86"/>
  <c r="K91" i="86"/>
  <c r="F92" i="86"/>
  <c r="D92" i="86"/>
  <c r="E92" i="86"/>
  <c r="L92" i="86"/>
  <c r="O92" i="86"/>
  <c r="AC92" i="86"/>
  <c r="C92" i="86"/>
  <c r="Y96" i="86" l="1"/>
  <c r="AF96" i="86" s="1"/>
  <c r="C413" i="66"/>
  <c r="AG92" i="86"/>
  <c r="AJ92" i="86"/>
  <c r="AK92" i="86"/>
  <c r="AH92" i="86"/>
  <c r="AI92" i="86"/>
  <c r="AM225" i="86"/>
  <c r="C91" i="86"/>
  <c r="F91" i="86"/>
  <c r="AC91" i="86"/>
  <c r="AB91" i="86"/>
  <c r="AD91" i="86"/>
  <c r="O91" i="86"/>
  <c r="H91" i="86"/>
  <c r="L91" i="86"/>
  <c r="N91" i="86"/>
  <c r="E91" i="86"/>
  <c r="AA91" i="86"/>
  <c r="D91" i="86"/>
  <c r="K90" i="86"/>
  <c r="G91" i="86"/>
  <c r="Z91" i="86"/>
  <c r="M91" i="86"/>
  <c r="J91" i="86"/>
  <c r="Y95" i="86" l="1"/>
  <c r="AF95" i="86" s="1"/>
  <c r="C414" i="66"/>
  <c r="AH91" i="86"/>
  <c r="AJ91" i="86"/>
  <c r="AK91" i="86"/>
  <c r="AI91" i="86"/>
  <c r="AG91" i="86"/>
  <c r="AM226" i="86"/>
  <c r="M90" i="86"/>
  <c r="Z90" i="86"/>
  <c r="G90" i="86"/>
  <c r="K89" i="86"/>
  <c r="D90" i="86"/>
  <c r="E90" i="86"/>
  <c r="N90" i="86"/>
  <c r="L90" i="86"/>
  <c r="H90" i="86"/>
  <c r="AD90" i="86"/>
  <c r="AC90" i="86"/>
  <c r="C90" i="86"/>
  <c r="J90" i="86"/>
  <c r="AA90" i="86"/>
  <c r="O90" i="86"/>
  <c r="AB90" i="86"/>
  <c r="F90" i="86"/>
  <c r="Y94" i="86" l="1"/>
  <c r="AF94" i="86" s="1"/>
  <c r="C415" i="66"/>
  <c r="AG90" i="86"/>
  <c r="AK90" i="86"/>
  <c r="AJ90" i="86"/>
  <c r="AI90" i="86"/>
  <c r="AH90" i="86"/>
  <c r="AM227" i="86"/>
  <c r="F89" i="86"/>
  <c r="AB89" i="86"/>
  <c r="N89" i="86"/>
  <c r="K88" i="86"/>
  <c r="G89" i="86"/>
  <c r="M89" i="86"/>
  <c r="O89" i="86"/>
  <c r="J89" i="86"/>
  <c r="C89" i="86"/>
  <c r="AD89" i="86"/>
  <c r="L89" i="86"/>
  <c r="D89" i="86"/>
  <c r="Z89" i="86"/>
  <c r="AA89" i="86"/>
  <c r="AC89" i="86"/>
  <c r="E89" i="86"/>
  <c r="H89" i="86"/>
  <c r="Y93" i="86" l="1"/>
  <c r="AF93" i="86" s="1"/>
  <c r="C416" i="66"/>
  <c r="AI89" i="86"/>
  <c r="AG89" i="86"/>
  <c r="AJ89" i="86"/>
  <c r="AH89" i="86"/>
  <c r="AK89" i="86"/>
  <c r="AM228" i="86"/>
  <c r="H88" i="86"/>
  <c r="AD88" i="86"/>
  <c r="E88" i="86"/>
  <c r="C88" i="86"/>
  <c r="AC88" i="86"/>
  <c r="AA88" i="86"/>
  <c r="J88" i="86"/>
  <c r="Z88" i="86"/>
  <c r="O88" i="86"/>
  <c r="D88" i="86"/>
  <c r="L88" i="86"/>
  <c r="AB88" i="86"/>
  <c r="M88" i="86"/>
  <c r="N88" i="86"/>
  <c r="G88" i="86"/>
  <c r="K87" i="86"/>
  <c r="F88" i="86"/>
  <c r="Y92" i="86" l="1"/>
  <c r="AF92" i="86" s="1"/>
  <c r="C417" i="66"/>
  <c r="AH88" i="86"/>
  <c r="AJ88" i="86"/>
  <c r="AG88" i="86"/>
  <c r="AK88" i="86"/>
  <c r="AI88" i="86"/>
  <c r="AM229" i="86"/>
  <c r="F87" i="86"/>
  <c r="K86" i="86"/>
  <c r="G87" i="86"/>
  <c r="M87" i="86"/>
  <c r="L87" i="86"/>
  <c r="O87" i="86"/>
  <c r="Z87" i="86"/>
  <c r="AA87" i="86"/>
  <c r="E87" i="86"/>
  <c r="N87" i="86"/>
  <c r="AB87" i="86"/>
  <c r="D87" i="86"/>
  <c r="J87" i="86"/>
  <c r="AC87" i="86"/>
  <c r="C87" i="86"/>
  <c r="AD87" i="86"/>
  <c r="H87" i="86"/>
  <c r="Y91" i="86" l="1"/>
  <c r="AF91" i="86" s="1"/>
  <c r="C418" i="66"/>
  <c r="AK87" i="86"/>
  <c r="AG87" i="86"/>
  <c r="AH87" i="86"/>
  <c r="AJ87" i="86"/>
  <c r="AI87" i="86"/>
  <c r="AM230" i="86"/>
  <c r="H86" i="86"/>
  <c r="AD86" i="86"/>
  <c r="C86" i="86"/>
  <c r="AC86" i="86"/>
  <c r="J86" i="86"/>
  <c r="D86" i="86"/>
  <c r="AB86" i="86"/>
  <c r="O86" i="86"/>
  <c r="M86" i="86"/>
  <c r="K85" i="86"/>
  <c r="F86" i="86"/>
  <c r="N86" i="86"/>
  <c r="E86" i="86"/>
  <c r="AA86" i="86"/>
  <c r="Z86" i="86"/>
  <c r="L86" i="86"/>
  <c r="G86" i="86"/>
  <c r="Y90" i="86" l="1"/>
  <c r="AF90" i="86" s="1"/>
  <c r="C419" i="66"/>
  <c r="AI86" i="86"/>
  <c r="AH86" i="86"/>
  <c r="AG86" i="86"/>
  <c r="AK86" i="86"/>
  <c r="AJ86" i="86"/>
  <c r="AM231" i="86"/>
  <c r="G85" i="86"/>
  <c r="N85" i="86"/>
  <c r="L85" i="86"/>
  <c r="Z85" i="86"/>
  <c r="AA85" i="86"/>
  <c r="E85" i="86"/>
  <c r="F85" i="86"/>
  <c r="K84" i="86"/>
  <c r="M85" i="86"/>
  <c r="O85" i="86"/>
  <c r="AB85" i="86"/>
  <c r="D85" i="86"/>
  <c r="J85" i="86"/>
  <c r="AC85" i="86"/>
  <c r="C85" i="86"/>
  <c r="AD85" i="86"/>
  <c r="H85" i="86"/>
  <c r="Y89" i="86" l="1"/>
  <c r="AF89" i="86" s="1"/>
  <c r="C420" i="66"/>
  <c r="AH85" i="86"/>
  <c r="AJ85" i="86"/>
  <c r="AG85" i="86"/>
  <c r="AK85" i="86"/>
  <c r="AI85" i="86"/>
  <c r="AM232" i="86"/>
  <c r="C84" i="86"/>
  <c r="AC84" i="86"/>
  <c r="J84" i="86"/>
  <c r="D84" i="86"/>
  <c r="AB84" i="86"/>
  <c r="O84" i="86"/>
  <c r="M84" i="86"/>
  <c r="K83" i="86"/>
  <c r="F84" i="86"/>
  <c r="E84" i="86"/>
  <c r="AA84" i="86"/>
  <c r="L84" i="86"/>
  <c r="N84" i="86"/>
  <c r="G84" i="86"/>
  <c r="H84" i="86"/>
  <c r="AD84" i="86"/>
  <c r="Z84" i="86"/>
  <c r="Y88" i="86" l="1"/>
  <c r="AF88" i="86" s="1"/>
  <c r="C421" i="66"/>
  <c r="AJ84" i="86"/>
  <c r="AH84" i="86"/>
  <c r="AI84" i="86"/>
  <c r="AG84" i="86"/>
  <c r="AK84" i="86"/>
  <c r="AM233" i="86"/>
  <c r="Z83" i="86"/>
  <c r="N83" i="86"/>
  <c r="AA83" i="86"/>
  <c r="F83" i="86"/>
  <c r="M83" i="86"/>
  <c r="J83" i="86"/>
  <c r="C83" i="86"/>
  <c r="AD83" i="86"/>
  <c r="H83" i="86"/>
  <c r="G83" i="86"/>
  <c r="L83" i="86"/>
  <c r="E83" i="86"/>
  <c r="K82" i="86"/>
  <c r="O83" i="86"/>
  <c r="AB83" i="86"/>
  <c r="AC83" i="86"/>
  <c r="D83" i="86"/>
  <c r="Y87" i="86" l="1"/>
  <c r="AF87" i="86" s="1"/>
  <c r="C422" i="66"/>
  <c r="AK83" i="86"/>
  <c r="AG83" i="86"/>
  <c r="AI83" i="86"/>
  <c r="AH83" i="86"/>
  <c r="AJ83" i="86"/>
  <c r="AM234" i="86"/>
  <c r="D82" i="86"/>
  <c r="G82" i="86"/>
  <c r="AC82" i="86"/>
  <c r="L82" i="86"/>
  <c r="AB82" i="86"/>
  <c r="O82" i="86"/>
  <c r="K81" i="86"/>
  <c r="H82" i="86"/>
  <c r="C82" i="86"/>
  <c r="E82" i="86"/>
  <c r="AD82" i="86"/>
  <c r="J82" i="86"/>
  <c r="M82" i="86"/>
  <c r="F82" i="86"/>
  <c r="AA82" i="86"/>
  <c r="N82" i="86"/>
  <c r="Z82" i="86"/>
  <c r="Y86" i="86" l="1"/>
  <c r="AF86" i="86" s="1"/>
  <c r="C423" i="66"/>
  <c r="AH82" i="86"/>
  <c r="AG82" i="86"/>
  <c r="AJ82" i="86"/>
  <c r="AI82" i="86"/>
  <c r="AK82" i="86"/>
  <c r="AM235" i="86"/>
  <c r="Z81" i="86"/>
  <c r="AD81" i="86"/>
  <c r="N81" i="86"/>
  <c r="AA81" i="86"/>
  <c r="J81" i="86"/>
  <c r="O81" i="86"/>
  <c r="F81" i="86"/>
  <c r="M81" i="86"/>
  <c r="L81" i="86"/>
  <c r="D81" i="86"/>
  <c r="E81" i="86"/>
  <c r="H81" i="86"/>
  <c r="AC81" i="86"/>
  <c r="C81" i="86"/>
  <c r="K80" i="86"/>
  <c r="AB81" i="86"/>
  <c r="G81" i="86"/>
  <c r="Y85" i="86" l="1"/>
  <c r="AF85" i="86" s="1"/>
  <c r="C424" i="66"/>
  <c r="AI81" i="86"/>
  <c r="AJ81" i="86"/>
  <c r="AK81" i="86"/>
  <c r="AH81" i="86"/>
  <c r="AG81" i="86"/>
  <c r="AM236" i="86"/>
  <c r="G80" i="86"/>
  <c r="J80" i="86"/>
  <c r="AB80" i="86"/>
  <c r="K79" i="86"/>
  <c r="E80" i="86"/>
  <c r="AD80" i="86"/>
  <c r="C80" i="86"/>
  <c r="N80" i="86"/>
  <c r="AC80" i="86"/>
  <c r="H80" i="86"/>
  <c r="D80" i="86"/>
  <c r="L80" i="86"/>
  <c r="M80" i="86"/>
  <c r="F80" i="86"/>
  <c r="O80" i="86"/>
  <c r="AA80" i="86"/>
  <c r="Z80" i="86"/>
  <c r="Y84" i="86" l="1"/>
  <c r="AF84" i="86" s="1"/>
  <c r="C425" i="66"/>
  <c r="AH80" i="86"/>
  <c r="AI80" i="86"/>
  <c r="AJ80" i="86"/>
  <c r="AK80" i="86"/>
  <c r="AG80" i="86"/>
  <c r="AM237" i="86"/>
  <c r="Z79" i="86"/>
  <c r="AA79" i="86"/>
  <c r="O79" i="86"/>
  <c r="F79" i="86"/>
  <c r="M79" i="86"/>
  <c r="L79" i="86"/>
  <c r="D79" i="86"/>
  <c r="H79" i="86"/>
  <c r="AC79" i="86"/>
  <c r="N79" i="86"/>
  <c r="C79" i="86"/>
  <c r="AD79" i="86"/>
  <c r="E79" i="86"/>
  <c r="K78" i="86"/>
  <c r="AB79" i="86"/>
  <c r="J79" i="86"/>
  <c r="G79" i="86"/>
  <c r="Y83" i="86" l="1"/>
  <c r="AF83" i="86" s="1"/>
  <c r="C426" i="66"/>
  <c r="AK79" i="86"/>
  <c r="AG79" i="86"/>
  <c r="AI79" i="86"/>
  <c r="AH79" i="86"/>
  <c r="AJ79" i="86"/>
  <c r="AM238" i="86"/>
  <c r="G78" i="86"/>
  <c r="J78" i="86"/>
  <c r="C78" i="86"/>
  <c r="AA78" i="86"/>
  <c r="AB78" i="86"/>
  <c r="D78" i="86"/>
  <c r="K77" i="86"/>
  <c r="AC78" i="86"/>
  <c r="E78" i="86"/>
  <c r="N78" i="86"/>
  <c r="AD78" i="86"/>
  <c r="H78" i="86"/>
  <c r="Z78" i="86"/>
  <c r="L78" i="86"/>
  <c r="M78" i="86"/>
  <c r="F78" i="86"/>
  <c r="O78" i="86"/>
  <c r="Y82" i="86" l="1"/>
  <c r="AF82" i="86" s="1"/>
  <c r="C427" i="66"/>
  <c r="AH78" i="86"/>
  <c r="AI78" i="86"/>
  <c r="AG78" i="86"/>
  <c r="AK78" i="86"/>
  <c r="AJ78" i="86"/>
  <c r="AM239" i="86"/>
  <c r="O77" i="86"/>
  <c r="F77" i="86"/>
  <c r="AD77" i="86"/>
  <c r="E77" i="86"/>
  <c r="M77" i="86"/>
  <c r="L77" i="86"/>
  <c r="AC77" i="86"/>
  <c r="Z77" i="86"/>
  <c r="N77" i="86"/>
  <c r="H77" i="86"/>
  <c r="J77" i="86"/>
  <c r="K76" i="86"/>
  <c r="G77" i="86"/>
  <c r="D77" i="86"/>
  <c r="AB77" i="86"/>
  <c r="AA77" i="86"/>
  <c r="C77" i="86"/>
  <c r="Y81" i="86" l="1"/>
  <c r="AF81" i="86" s="1"/>
  <c r="C428" i="66"/>
  <c r="AK77" i="86"/>
  <c r="AG77" i="86"/>
  <c r="AI77" i="86"/>
  <c r="AJ77" i="86"/>
  <c r="AH77" i="86"/>
  <c r="AM240" i="86"/>
  <c r="C76" i="86"/>
  <c r="AA76" i="86"/>
  <c r="AB76" i="86"/>
  <c r="D76" i="86"/>
  <c r="G76" i="86"/>
  <c r="H76" i="86"/>
  <c r="N76" i="86"/>
  <c r="Z76" i="86"/>
  <c r="AC76" i="86"/>
  <c r="L76" i="86"/>
  <c r="M76" i="86"/>
  <c r="E76" i="86"/>
  <c r="AD76" i="86"/>
  <c r="J76" i="86"/>
  <c r="K75" i="86"/>
  <c r="O76" i="86"/>
  <c r="F76" i="86"/>
  <c r="Y80" i="86" l="1"/>
  <c r="AF80" i="86" s="1"/>
  <c r="C429" i="66"/>
  <c r="AI76" i="86"/>
  <c r="AG76" i="86"/>
  <c r="AH76" i="86"/>
  <c r="AJ76" i="86"/>
  <c r="AK76" i="86"/>
  <c r="AM241" i="86"/>
  <c r="F75" i="86"/>
  <c r="AB75" i="86"/>
  <c r="O75" i="86"/>
  <c r="Z75" i="86"/>
  <c r="K74" i="86"/>
  <c r="C75" i="86"/>
  <c r="J75" i="86"/>
  <c r="M75" i="86"/>
  <c r="H75" i="86"/>
  <c r="AD75" i="86"/>
  <c r="E75" i="86"/>
  <c r="G75" i="86"/>
  <c r="L75" i="86"/>
  <c r="AC75" i="86"/>
  <c r="N75" i="86"/>
  <c r="D75" i="86"/>
  <c r="AA75" i="86"/>
  <c r="Y79" i="86" l="1"/>
  <c r="AF79" i="86" s="1"/>
  <c r="C430" i="66"/>
  <c r="AI75" i="86"/>
  <c r="AK75" i="86"/>
  <c r="AH75" i="86"/>
  <c r="AG75" i="86"/>
  <c r="AJ75" i="86"/>
  <c r="AM242" i="86"/>
  <c r="AA74" i="86"/>
  <c r="L74" i="86"/>
  <c r="D74" i="86"/>
  <c r="M74" i="86"/>
  <c r="J74" i="86"/>
  <c r="C74" i="86"/>
  <c r="K73" i="86"/>
  <c r="O74" i="86"/>
  <c r="N74" i="86"/>
  <c r="AC74" i="86"/>
  <c r="AB74" i="86"/>
  <c r="G74" i="86"/>
  <c r="E74" i="86"/>
  <c r="H74" i="86"/>
  <c r="Z74" i="86"/>
  <c r="AD74" i="86"/>
  <c r="F74" i="86"/>
  <c r="Y78" i="86" l="1"/>
  <c r="AF78" i="86" s="1"/>
  <c r="C431" i="66"/>
  <c r="AG74" i="86"/>
  <c r="AK74" i="86"/>
  <c r="AH74" i="86"/>
  <c r="AI74" i="86"/>
  <c r="AJ74" i="86"/>
  <c r="AM243" i="86"/>
  <c r="F73" i="86"/>
  <c r="Z73" i="86"/>
  <c r="E73" i="86"/>
  <c r="AB73" i="86"/>
  <c r="N73" i="86"/>
  <c r="M73" i="86"/>
  <c r="L73" i="86"/>
  <c r="AD73" i="86"/>
  <c r="G73" i="86"/>
  <c r="AC73" i="86"/>
  <c r="O73" i="86"/>
  <c r="K72" i="86"/>
  <c r="D73" i="86"/>
  <c r="AA73" i="86"/>
  <c r="H73" i="86"/>
  <c r="C73" i="86"/>
  <c r="J73" i="86"/>
  <c r="Y77" i="86" l="1"/>
  <c r="AF77" i="86" s="1"/>
  <c r="C432" i="66"/>
  <c r="AJ73" i="86"/>
  <c r="AH73" i="86"/>
  <c r="AI73" i="86"/>
  <c r="AK73" i="86"/>
  <c r="AG73" i="86"/>
  <c r="AM244" i="86"/>
  <c r="H72" i="86"/>
  <c r="AA72" i="86"/>
  <c r="D72" i="86"/>
  <c r="K71" i="86"/>
  <c r="O72" i="86"/>
  <c r="AC72" i="86"/>
  <c r="G72" i="86"/>
  <c r="AD72" i="86"/>
  <c r="L72" i="86"/>
  <c r="M72" i="86"/>
  <c r="N72" i="86"/>
  <c r="AB72" i="86"/>
  <c r="E72" i="86"/>
  <c r="Z72" i="86"/>
  <c r="F72" i="86"/>
  <c r="J72" i="86"/>
  <c r="C72" i="86"/>
  <c r="Y76" i="86" l="1"/>
  <c r="AF76" i="86" s="1"/>
  <c r="C433" i="66"/>
  <c r="AI72" i="86"/>
  <c r="AH72" i="86"/>
  <c r="AG72" i="86"/>
  <c r="AK72" i="86"/>
  <c r="AJ72" i="86"/>
  <c r="AM245" i="86"/>
  <c r="C71" i="86"/>
  <c r="J71" i="86"/>
  <c r="AB71" i="86"/>
  <c r="F71" i="86"/>
  <c r="Z71" i="86"/>
  <c r="E71" i="86"/>
  <c r="N71" i="86"/>
  <c r="M71" i="86"/>
  <c r="L71" i="86"/>
  <c r="AD71" i="86"/>
  <c r="AC71" i="86"/>
  <c r="O71" i="86"/>
  <c r="D71" i="86"/>
  <c r="AA71" i="86"/>
  <c r="H71" i="86"/>
  <c r="G71" i="86"/>
  <c r="K70" i="86"/>
  <c r="Y75" i="86" l="1"/>
  <c r="AF75" i="86" s="1"/>
  <c r="C434" i="66"/>
  <c r="AK71" i="86"/>
  <c r="AG71" i="86"/>
  <c r="AJ71" i="86"/>
  <c r="AI71" i="86"/>
  <c r="AH71" i="86"/>
  <c r="AM246" i="86"/>
  <c r="K69" i="86"/>
  <c r="AD70" i="86"/>
  <c r="G70" i="86"/>
  <c r="F70" i="86"/>
  <c r="H70" i="86"/>
  <c r="AC70" i="86"/>
  <c r="J70" i="86"/>
  <c r="AA70" i="86"/>
  <c r="AB70" i="86"/>
  <c r="D70" i="86"/>
  <c r="C70" i="86"/>
  <c r="O70" i="86"/>
  <c r="L70" i="86"/>
  <c r="M70" i="86"/>
  <c r="Z70" i="86"/>
  <c r="N70" i="86"/>
  <c r="E70" i="86"/>
  <c r="Y74" i="86" l="1"/>
  <c r="AF74" i="86" s="1"/>
  <c r="C435" i="66"/>
  <c r="AI70" i="86"/>
  <c r="AH70" i="86"/>
  <c r="AK70" i="86"/>
  <c r="AJ70" i="86"/>
  <c r="AG70" i="86"/>
  <c r="AM247" i="86"/>
  <c r="E69" i="86"/>
  <c r="N69" i="86"/>
  <c r="Z69" i="86"/>
  <c r="M69" i="86"/>
  <c r="O69" i="86"/>
  <c r="D69" i="86"/>
  <c r="AA69" i="86"/>
  <c r="AC69" i="86"/>
  <c r="F69" i="86"/>
  <c r="AD69" i="86"/>
  <c r="L69" i="86"/>
  <c r="C69" i="86"/>
  <c r="AB69" i="86"/>
  <c r="J69" i="86"/>
  <c r="H69" i="86"/>
  <c r="G69" i="86"/>
  <c r="K68" i="86"/>
  <c r="Y73" i="86" l="1"/>
  <c r="AF73" i="86" s="1"/>
  <c r="C436" i="66"/>
  <c r="AI69" i="86"/>
  <c r="AG69" i="86"/>
  <c r="AJ69" i="86"/>
  <c r="AK69" i="86"/>
  <c r="AH69" i="86"/>
  <c r="AM248" i="86"/>
  <c r="K67" i="86"/>
  <c r="L68" i="86"/>
  <c r="G68" i="86"/>
  <c r="O68" i="86"/>
  <c r="H68" i="86"/>
  <c r="AA68" i="86"/>
  <c r="J68" i="86"/>
  <c r="AB68" i="86"/>
  <c r="C68" i="86"/>
  <c r="N68" i="86"/>
  <c r="AD68" i="86"/>
  <c r="F68" i="86"/>
  <c r="AC68" i="86"/>
  <c r="D68" i="86"/>
  <c r="M68" i="86"/>
  <c r="E68" i="86"/>
  <c r="Z68" i="86"/>
  <c r="Y72" i="86" l="1"/>
  <c r="AF72" i="86" s="1"/>
  <c r="C437" i="66"/>
  <c r="AH68" i="86"/>
  <c r="AK68" i="86"/>
  <c r="AG68" i="86"/>
  <c r="AJ68" i="86"/>
  <c r="AI68" i="86"/>
  <c r="AM249" i="86"/>
  <c r="Z67" i="86"/>
  <c r="E67" i="86"/>
  <c r="AC67" i="86"/>
  <c r="F67" i="86"/>
  <c r="AD67" i="86"/>
  <c r="N67" i="86"/>
  <c r="C67" i="86"/>
  <c r="AB67" i="86"/>
  <c r="J67" i="86"/>
  <c r="AA67" i="86"/>
  <c r="H67" i="86"/>
  <c r="O67" i="86"/>
  <c r="G67" i="86"/>
  <c r="L67" i="86"/>
  <c r="K66" i="86"/>
  <c r="M67" i="86"/>
  <c r="D67" i="86"/>
  <c r="Y71" i="86" l="1"/>
  <c r="AF71" i="86" s="1"/>
  <c r="C438" i="66"/>
  <c r="AJ67" i="86"/>
  <c r="AG67" i="86"/>
  <c r="AK67" i="86"/>
  <c r="AI67" i="86"/>
  <c r="AH67" i="86"/>
  <c r="AM250" i="86"/>
  <c r="D66" i="86"/>
  <c r="M66" i="86"/>
  <c r="J66" i="86"/>
  <c r="K65" i="86"/>
  <c r="H66" i="86"/>
  <c r="C66" i="86"/>
  <c r="L66" i="86"/>
  <c r="E66" i="86"/>
  <c r="G66" i="86"/>
  <c r="AA66" i="86"/>
  <c r="O66" i="86"/>
  <c r="AB66" i="86"/>
  <c r="Z66" i="86"/>
  <c r="AC66" i="86"/>
  <c r="N66" i="86"/>
  <c r="AD66" i="86"/>
  <c r="F66" i="86"/>
  <c r="Y70" i="86" l="1"/>
  <c r="AF70" i="86" s="1"/>
  <c r="C439" i="66"/>
  <c r="AG66" i="86"/>
  <c r="AH66" i="86"/>
  <c r="AI66" i="86"/>
  <c r="AK66" i="86"/>
  <c r="AJ66" i="86"/>
  <c r="AM251" i="86"/>
  <c r="F65" i="86"/>
  <c r="O65" i="86"/>
  <c r="AD65" i="86"/>
  <c r="AA65" i="86"/>
  <c r="N65" i="86"/>
  <c r="L65" i="86"/>
  <c r="AC65" i="86"/>
  <c r="M65" i="86"/>
  <c r="Z65" i="86"/>
  <c r="H65" i="86"/>
  <c r="AB65" i="86"/>
  <c r="K64" i="86"/>
  <c r="J65" i="86"/>
  <c r="G65" i="86"/>
  <c r="E65" i="86"/>
  <c r="D65" i="86"/>
  <c r="C65" i="86"/>
  <c r="Y69" i="86" l="1"/>
  <c r="AF69" i="86" s="1"/>
  <c r="C440" i="66"/>
  <c r="AG65" i="86"/>
  <c r="AH65" i="86"/>
  <c r="AJ65" i="86"/>
  <c r="AK65" i="86"/>
  <c r="AI65" i="86"/>
  <c r="AM252" i="86"/>
  <c r="C64" i="86"/>
  <c r="J64" i="86"/>
  <c r="D64" i="86"/>
  <c r="AB64" i="86"/>
  <c r="O64" i="86"/>
  <c r="E64" i="86"/>
  <c r="F64" i="86"/>
  <c r="G64" i="86"/>
  <c r="K63" i="86"/>
  <c r="H64" i="86"/>
  <c r="Z64" i="86"/>
  <c r="M64" i="86"/>
  <c r="AC64" i="86"/>
  <c r="L64" i="86"/>
  <c r="N64" i="86"/>
  <c r="AD64" i="86"/>
  <c r="AA64" i="86"/>
  <c r="Y68" i="86" l="1"/>
  <c r="AF68" i="86" s="1"/>
  <c r="C441" i="66"/>
  <c r="AH64" i="86"/>
  <c r="AG64" i="86"/>
  <c r="AJ64" i="86"/>
  <c r="AI64" i="86"/>
  <c r="AK64" i="86"/>
  <c r="AM253" i="86"/>
  <c r="AA63" i="86"/>
  <c r="Z63" i="86"/>
  <c r="AD63" i="86"/>
  <c r="J63" i="86"/>
  <c r="N63" i="86"/>
  <c r="O63" i="86"/>
  <c r="L63" i="86"/>
  <c r="AB63" i="86"/>
  <c r="AC63" i="86"/>
  <c r="M63" i="86"/>
  <c r="H63" i="86"/>
  <c r="G63" i="86"/>
  <c r="E63" i="86"/>
  <c r="K62" i="86"/>
  <c r="D63" i="86"/>
  <c r="C63" i="86"/>
  <c r="F63" i="86"/>
  <c r="Y67" i="86" l="1"/>
  <c r="AF67" i="86" s="1"/>
  <c r="C442" i="66"/>
  <c r="AJ63" i="86"/>
  <c r="AH63" i="86"/>
  <c r="AG63" i="86"/>
  <c r="AK63" i="86"/>
  <c r="AI63" i="86"/>
  <c r="AM254" i="86"/>
  <c r="F62" i="86"/>
  <c r="C62" i="86"/>
  <c r="Z62" i="86"/>
  <c r="D62" i="86"/>
  <c r="H62" i="86"/>
  <c r="K61" i="86"/>
  <c r="E62" i="86"/>
  <c r="G62" i="86"/>
  <c r="M62" i="86"/>
  <c r="AC62" i="86"/>
  <c r="AB62" i="86"/>
  <c r="L62" i="86"/>
  <c r="O62" i="86"/>
  <c r="N62" i="86"/>
  <c r="J62" i="86"/>
  <c r="AD62" i="86"/>
  <c r="AA62" i="86"/>
  <c r="Y66" i="86" l="1"/>
  <c r="AF66" i="86" s="1"/>
  <c r="C443" i="66"/>
  <c r="AK62" i="86"/>
  <c r="AJ62" i="86"/>
  <c r="AH62" i="86"/>
  <c r="AG62" i="86"/>
  <c r="AI62" i="86"/>
  <c r="AM255" i="86"/>
  <c r="AA61" i="86"/>
  <c r="AB61" i="86"/>
  <c r="E61" i="86"/>
  <c r="H61" i="86"/>
  <c r="AD61" i="86"/>
  <c r="J61" i="86"/>
  <c r="AC61" i="86"/>
  <c r="K60" i="86"/>
  <c r="D61" i="86"/>
  <c r="Z61" i="86"/>
  <c r="N61" i="86"/>
  <c r="G61" i="86"/>
  <c r="O61" i="86"/>
  <c r="M61" i="86"/>
  <c r="C61" i="86"/>
  <c r="L61" i="86"/>
  <c r="F61" i="86"/>
  <c r="Y65" i="86" l="1"/>
  <c r="AF65" i="86" s="1"/>
  <c r="C444" i="66"/>
  <c r="AJ61" i="86"/>
  <c r="AG61" i="86"/>
  <c r="AH61" i="86"/>
  <c r="AI61" i="86"/>
  <c r="AK61" i="86"/>
  <c r="AM256" i="86"/>
  <c r="F60" i="86"/>
  <c r="J60" i="86"/>
  <c r="L60" i="86"/>
  <c r="K59" i="86"/>
  <c r="C60" i="86"/>
  <c r="D60" i="86"/>
  <c r="AB60" i="86"/>
  <c r="M60" i="86"/>
  <c r="H60" i="86"/>
  <c r="O60" i="86"/>
  <c r="E60" i="86"/>
  <c r="G60" i="86"/>
  <c r="N60" i="86"/>
  <c r="Z60" i="86"/>
  <c r="AD60" i="86"/>
  <c r="AA60" i="86"/>
  <c r="AC60" i="86"/>
  <c r="Y64" i="86" l="1"/>
  <c r="AF64" i="86" s="1"/>
  <c r="C445" i="66"/>
  <c r="AH60" i="86"/>
  <c r="AG60" i="86"/>
  <c r="AJ60" i="86"/>
  <c r="AK60" i="86"/>
  <c r="AI60" i="86"/>
  <c r="AM257" i="86"/>
  <c r="AA59" i="86"/>
  <c r="AD59" i="86"/>
  <c r="Z59" i="86"/>
  <c r="N59" i="86"/>
  <c r="G59" i="86"/>
  <c r="E59" i="86"/>
  <c r="O59" i="86"/>
  <c r="H59" i="86"/>
  <c r="M59" i="86"/>
  <c r="AB59" i="86"/>
  <c r="D59" i="86"/>
  <c r="C59" i="86"/>
  <c r="K58" i="86"/>
  <c r="L59" i="86"/>
  <c r="J59" i="86"/>
  <c r="F59" i="86"/>
  <c r="AC59" i="86"/>
  <c r="Y63" i="86" l="1"/>
  <c r="AF63" i="86" s="1"/>
  <c r="C446" i="66"/>
  <c r="AJ59" i="86"/>
  <c r="AG59" i="86"/>
  <c r="AK59" i="86"/>
  <c r="AI59" i="86"/>
  <c r="AH59" i="86"/>
  <c r="AM258" i="86"/>
  <c r="AC58" i="86"/>
  <c r="F58" i="86"/>
  <c r="L58" i="86"/>
  <c r="K57" i="86"/>
  <c r="C58" i="86"/>
  <c r="D58" i="86"/>
  <c r="M58" i="86"/>
  <c r="H58" i="86"/>
  <c r="O58" i="86"/>
  <c r="E58" i="86"/>
  <c r="N58" i="86"/>
  <c r="AA58" i="86"/>
  <c r="AB58" i="86"/>
  <c r="G58" i="86"/>
  <c r="Z58" i="86"/>
  <c r="AD58" i="86"/>
  <c r="J58" i="86"/>
  <c r="Y62" i="86" l="1"/>
  <c r="AF62" i="86" s="1"/>
  <c r="C447" i="66"/>
  <c r="AG58" i="86"/>
  <c r="AK58" i="86"/>
  <c r="AH58" i="86"/>
  <c r="AJ58" i="86"/>
  <c r="AI58" i="86"/>
  <c r="AM259" i="86"/>
  <c r="J57" i="86"/>
  <c r="G57" i="86"/>
  <c r="AB57" i="86"/>
  <c r="AA57" i="86"/>
  <c r="N57" i="86"/>
  <c r="E57" i="86"/>
  <c r="O57" i="86"/>
  <c r="H57" i="86"/>
  <c r="M57" i="86"/>
  <c r="D57" i="86"/>
  <c r="C57" i="86"/>
  <c r="K56" i="86"/>
  <c r="L57" i="86"/>
  <c r="F57" i="86"/>
  <c r="AC57" i="86"/>
  <c r="AD57" i="86"/>
  <c r="Z57" i="86"/>
  <c r="Y61" i="86" l="1"/>
  <c r="AF61" i="86" s="1"/>
  <c r="C448" i="66"/>
  <c r="AJ57" i="86"/>
  <c r="AH57" i="86"/>
  <c r="AK57" i="86"/>
  <c r="AI57" i="86"/>
  <c r="AG57" i="86"/>
  <c r="AM260" i="86"/>
  <c r="Z56" i="86"/>
  <c r="AA56" i="86"/>
  <c r="AD56" i="86"/>
  <c r="AC56" i="86"/>
  <c r="N56" i="86"/>
  <c r="F56" i="86"/>
  <c r="E56" i="86"/>
  <c r="G56" i="86"/>
  <c r="L56" i="86"/>
  <c r="K55" i="86"/>
  <c r="C56" i="86"/>
  <c r="D56" i="86"/>
  <c r="M56" i="86"/>
  <c r="H56" i="86"/>
  <c r="AB56" i="86"/>
  <c r="J56" i="86"/>
  <c r="O56" i="86"/>
  <c r="Y60" i="86" l="1"/>
  <c r="AF60" i="86" s="1"/>
  <c r="C449" i="66"/>
  <c r="AK56" i="86"/>
  <c r="AH56" i="86"/>
  <c r="AG56" i="86"/>
  <c r="AI56" i="86"/>
  <c r="AJ56" i="86"/>
  <c r="AM261" i="86"/>
  <c r="O55" i="86"/>
  <c r="J55" i="86"/>
  <c r="AB55" i="86"/>
  <c r="AA55" i="86"/>
  <c r="H55" i="86"/>
  <c r="Z55" i="86"/>
  <c r="M55" i="86"/>
  <c r="D55" i="86"/>
  <c r="C55" i="86"/>
  <c r="K54" i="86"/>
  <c r="L55" i="86"/>
  <c r="G55" i="86"/>
  <c r="E55" i="86"/>
  <c r="F55" i="86"/>
  <c r="AC55" i="86"/>
  <c r="AD55" i="86"/>
  <c r="N55" i="86"/>
  <c r="Y59" i="86" l="1"/>
  <c r="AF59" i="86" s="1"/>
  <c r="C450" i="66"/>
  <c r="AJ55" i="86"/>
  <c r="AH55" i="86"/>
  <c r="AK55" i="86"/>
  <c r="AI55" i="86"/>
  <c r="AG55" i="86"/>
  <c r="AM262" i="86"/>
  <c r="N54" i="86"/>
  <c r="AD54" i="86"/>
  <c r="H54" i="86"/>
  <c r="AC54" i="86"/>
  <c r="F54" i="86"/>
  <c r="AA54" i="86"/>
  <c r="E54" i="86"/>
  <c r="O54" i="86"/>
  <c r="G54" i="86"/>
  <c r="J54" i="86"/>
  <c r="L54" i="86"/>
  <c r="K53" i="86"/>
  <c r="C54" i="86"/>
  <c r="D54" i="86"/>
  <c r="Z54" i="86"/>
  <c r="AB54" i="86"/>
  <c r="M54" i="86"/>
  <c r="Y58" i="86" l="1"/>
  <c r="AF58" i="86" s="1"/>
  <c r="C451" i="66"/>
  <c r="AG54" i="86"/>
  <c r="AI54" i="86"/>
  <c r="AK54" i="86"/>
  <c r="AJ54" i="86"/>
  <c r="AH54" i="86"/>
  <c r="AM263" i="86"/>
  <c r="M53" i="86"/>
  <c r="O53" i="86"/>
  <c r="AB53" i="86"/>
  <c r="G53" i="86"/>
  <c r="Z53" i="86"/>
  <c r="E53" i="86"/>
  <c r="D53" i="86"/>
  <c r="AA53" i="86"/>
  <c r="N53" i="86"/>
  <c r="C53" i="86"/>
  <c r="F53" i="86"/>
  <c r="K52" i="86"/>
  <c r="L53" i="86"/>
  <c r="H53" i="86"/>
  <c r="J53" i="86"/>
  <c r="AC53" i="86"/>
  <c r="AD53" i="86"/>
  <c r="Y57" i="86" l="1"/>
  <c r="AF57" i="86" s="1"/>
  <c r="C452" i="66"/>
  <c r="AI53" i="86"/>
  <c r="AK53" i="86"/>
  <c r="AJ53" i="86"/>
  <c r="AH53" i="86"/>
  <c r="AG53" i="86"/>
  <c r="AM264" i="86"/>
  <c r="AD52" i="86"/>
  <c r="E52" i="86"/>
  <c r="AC52" i="86"/>
  <c r="N52" i="86"/>
  <c r="M52" i="86"/>
  <c r="J52" i="86"/>
  <c r="AA52" i="86"/>
  <c r="H52" i="86"/>
  <c r="L52" i="86"/>
  <c r="G52" i="86"/>
  <c r="K51" i="86"/>
  <c r="F52" i="86"/>
  <c r="C52" i="86"/>
  <c r="D52" i="86"/>
  <c r="Z52" i="86"/>
  <c r="AB52" i="86"/>
  <c r="O52" i="86"/>
  <c r="Y56" i="86" l="1"/>
  <c r="AF56" i="86" s="1"/>
  <c r="C453" i="66"/>
  <c r="AI52" i="86"/>
  <c r="AJ52" i="86"/>
  <c r="AG52" i="86"/>
  <c r="AK52" i="86"/>
  <c r="AH52" i="86"/>
  <c r="AM265" i="86"/>
  <c r="O51" i="86"/>
  <c r="H51" i="86"/>
  <c r="AB51" i="86"/>
  <c r="J51" i="86"/>
  <c r="Z51" i="86"/>
  <c r="N51" i="86"/>
  <c r="D51" i="86"/>
  <c r="E51" i="86"/>
  <c r="C51" i="86"/>
  <c r="AC51" i="86"/>
  <c r="F51" i="86"/>
  <c r="K50" i="86"/>
  <c r="G51" i="86"/>
  <c r="L51" i="86"/>
  <c r="M51" i="86"/>
  <c r="AD51" i="86"/>
  <c r="AA51" i="86"/>
  <c r="Y55" i="86" l="1"/>
  <c r="AF55" i="86" s="1"/>
  <c r="C454" i="66"/>
  <c r="AK51" i="86"/>
  <c r="AG51" i="86"/>
  <c r="AI51" i="86"/>
  <c r="AJ51" i="86"/>
  <c r="AH51" i="86"/>
  <c r="AM266" i="86"/>
  <c r="AA50" i="86"/>
  <c r="AB50" i="86"/>
  <c r="AD50" i="86"/>
  <c r="C50" i="86"/>
  <c r="H50" i="86"/>
  <c r="M50" i="86"/>
  <c r="E50" i="86"/>
  <c r="L50" i="86"/>
  <c r="AC50" i="86"/>
  <c r="O50" i="86"/>
  <c r="G50" i="86"/>
  <c r="K49" i="86"/>
  <c r="Z50" i="86"/>
  <c r="F50" i="86"/>
  <c r="J50" i="86"/>
  <c r="N50" i="86"/>
  <c r="D50" i="86"/>
  <c r="Y54" i="86" l="1"/>
  <c r="AF54" i="86" s="1"/>
  <c r="C455" i="66"/>
  <c r="AJ50" i="86"/>
  <c r="AK50" i="86"/>
  <c r="AG50" i="86"/>
  <c r="AH50" i="86"/>
  <c r="AI50" i="86"/>
  <c r="AM267" i="86"/>
  <c r="D49" i="86"/>
  <c r="O49" i="86"/>
  <c r="N49" i="86"/>
  <c r="AC49" i="86"/>
  <c r="J49" i="86"/>
  <c r="L49" i="86"/>
  <c r="F49" i="86"/>
  <c r="M49" i="86"/>
  <c r="Z49" i="86"/>
  <c r="H49" i="86"/>
  <c r="K48" i="86"/>
  <c r="AB49" i="86"/>
  <c r="G49" i="86"/>
  <c r="AD49" i="86"/>
  <c r="C49" i="86"/>
  <c r="AA49" i="86"/>
  <c r="E49" i="86"/>
  <c r="Y53" i="86" l="1"/>
  <c r="AF53" i="86" s="1"/>
  <c r="C456" i="66"/>
  <c r="AI49" i="86"/>
  <c r="AH49" i="86"/>
  <c r="AG49" i="86"/>
  <c r="AK49" i="86"/>
  <c r="AJ49" i="86"/>
  <c r="AM268" i="86"/>
  <c r="E48" i="86"/>
  <c r="Z48" i="86"/>
  <c r="AA48" i="86"/>
  <c r="H48" i="86"/>
  <c r="C48" i="86"/>
  <c r="M48" i="86"/>
  <c r="O48" i="86"/>
  <c r="AD48" i="86"/>
  <c r="L48" i="86"/>
  <c r="G48" i="86"/>
  <c r="J48" i="86"/>
  <c r="AB48" i="86"/>
  <c r="K47" i="86"/>
  <c r="N48" i="86"/>
  <c r="AC48" i="86"/>
  <c r="F48" i="86"/>
  <c r="D48" i="86"/>
  <c r="Y52" i="86" l="1"/>
  <c r="AF52" i="86" s="1"/>
  <c r="C457" i="66"/>
  <c r="AG48" i="86"/>
  <c r="AK48" i="86"/>
  <c r="AJ48" i="86"/>
  <c r="AH48" i="86"/>
  <c r="AI48" i="86"/>
  <c r="AM269" i="86"/>
  <c r="D47" i="86"/>
  <c r="J47" i="86"/>
  <c r="M47" i="86"/>
  <c r="E47" i="86"/>
  <c r="F47" i="86"/>
  <c r="K46" i="86"/>
  <c r="G47" i="86"/>
  <c r="O47" i="86"/>
  <c r="AA47" i="86"/>
  <c r="Z47" i="86"/>
  <c r="AC47" i="86"/>
  <c r="AB47" i="86"/>
  <c r="AD47" i="86"/>
  <c r="H47" i="86"/>
  <c r="N47" i="86"/>
  <c r="L47" i="86"/>
  <c r="C47" i="86"/>
  <c r="Y51" i="86" l="1"/>
  <c r="AF51" i="86" s="1"/>
  <c r="C458" i="66"/>
  <c r="AK47" i="86"/>
  <c r="AH47" i="86"/>
  <c r="AJ47" i="86"/>
  <c r="AI47" i="86"/>
  <c r="AG47" i="86"/>
  <c r="AM270" i="86"/>
  <c r="L46" i="86"/>
  <c r="AB46" i="86"/>
  <c r="AC46" i="86"/>
  <c r="G46" i="86"/>
  <c r="J46" i="86"/>
  <c r="N46" i="86"/>
  <c r="Z46" i="86"/>
  <c r="O46" i="86"/>
  <c r="E46" i="86"/>
  <c r="D46" i="86"/>
  <c r="C46" i="86"/>
  <c r="H46" i="86"/>
  <c r="AA46" i="86"/>
  <c r="F46" i="86"/>
  <c r="M46" i="86"/>
  <c r="AD46" i="86"/>
  <c r="K45" i="86"/>
  <c r="Y50" i="86" l="1"/>
  <c r="AF50" i="86" s="1"/>
  <c r="C459" i="66"/>
  <c r="AH46" i="86"/>
  <c r="AG46" i="86"/>
  <c r="AI46" i="86"/>
  <c r="AJ46" i="86"/>
  <c r="AK46" i="86"/>
  <c r="AM271" i="86"/>
  <c r="K44" i="86"/>
  <c r="AD45" i="86"/>
  <c r="M45" i="86"/>
  <c r="F45" i="86"/>
  <c r="AA45" i="86"/>
  <c r="H45" i="86"/>
  <c r="C45" i="86"/>
  <c r="D45" i="86"/>
  <c r="E45" i="86"/>
  <c r="O45" i="86"/>
  <c r="Z45" i="86"/>
  <c r="N45" i="86"/>
  <c r="J45" i="86"/>
  <c r="G45" i="86"/>
  <c r="AC45" i="86"/>
  <c r="AB45" i="86"/>
  <c r="L45" i="86"/>
  <c r="Y49" i="86" l="1"/>
  <c r="AF49" i="86" s="1"/>
  <c r="C460" i="66"/>
  <c r="AK45" i="86"/>
  <c r="AJ45" i="86"/>
  <c r="AI45" i="86"/>
  <c r="AG45" i="86"/>
  <c r="AH45" i="86"/>
  <c r="AM272" i="86"/>
  <c r="L44" i="86"/>
  <c r="AA44" i="86"/>
  <c r="AB44" i="86"/>
  <c r="O44" i="86"/>
  <c r="AD44" i="86"/>
  <c r="AC44" i="86"/>
  <c r="E44" i="86"/>
  <c r="G44" i="86"/>
  <c r="F44" i="86"/>
  <c r="J44" i="86"/>
  <c r="D44" i="86"/>
  <c r="K43" i="86"/>
  <c r="N44" i="86"/>
  <c r="Z44" i="86"/>
  <c r="M44" i="86"/>
  <c r="H44" i="86"/>
  <c r="C44" i="86"/>
  <c r="Y48" i="86" l="1"/>
  <c r="AF48" i="86" s="1"/>
  <c r="C461" i="66"/>
  <c r="AI44" i="86"/>
  <c r="AK44" i="86"/>
  <c r="AG44" i="86"/>
  <c r="AH44" i="86"/>
  <c r="AJ44" i="86"/>
  <c r="AM273" i="86"/>
  <c r="C43" i="86"/>
  <c r="Z43" i="86"/>
  <c r="N43" i="86"/>
  <c r="K42" i="86"/>
  <c r="D43" i="86"/>
  <c r="J43" i="86"/>
  <c r="F43" i="86"/>
  <c r="E43" i="86"/>
  <c r="AC43" i="86"/>
  <c r="AD43" i="86"/>
  <c r="O43" i="86"/>
  <c r="AB43" i="86"/>
  <c r="AA43" i="86"/>
  <c r="L43" i="86"/>
  <c r="H43" i="86"/>
  <c r="M43" i="86"/>
  <c r="G43" i="86"/>
  <c r="Y47" i="86" l="1"/>
  <c r="AF47" i="86" s="1"/>
  <c r="C462" i="66"/>
  <c r="AH43" i="86"/>
  <c r="AG43" i="86"/>
  <c r="AK43" i="86"/>
  <c r="AJ43" i="86"/>
  <c r="AI43" i="86"/>
  <c r="AM274" i="86"/>
  <c r="G42" i="86"/>
  <c r="O42" i="86"/>
  <c r="M42" i="86"/>
  <c r="AD42" i="86"/>
  <c r="H42" i="86"/>
  <c r="F42" i="86"/>
  <c r="C42" i="86"/>
  <c r="L42" i="86"/>
  <c r="AC42" i="86"/>
  <c r="N42" i="86"/>
  <c r="AA42" i="86"/>
  <c r="E42" i="86"/>
  <c r="D42" i="86"/>
  <c r="AB42" i="86"/>
  <c r="Z42" i="86"/>
  <c r="K41" i="86"/>
  <c r="J42" i="86"/>
  <c r="Y46" i="86" l="1"/>
  <c r="AF46" i="86" s="1"/>
  <c r="C463" i="66"/>
  <c r="AK42" i="86"/>
  <c r="AG42" i="86"/>
  <c r="AI42" i="86"/>
  <c r="AH42" i="86"/>
  <c r="AJ42" i="86"/>
  <c r="AM275" i="86"/>
  <c r="J41" i="86"/>
  <c r="N41" i="86"/>
  <c r="K40" i="86"/>
  <c r="AA41" i="86"/>
  <c r="Z41" i="86"/>
  <c r="H41" i="86"/>
  <c r="AB41" i="86"/>
  <c r="L41" i="86"/>
  <c r="D41" i="86"/>
  <c r="G41" i="86"/>
  <c r="E41" i="86"/>
  <c r="F41" i="86"/>
  <c r="AC41" i="86"/>
  <c r="C41" i="86"/>
  <c r="AD41" i="86"/>
  <c r="M41" i="86"/>
  <c r="O41" i="86"/>
  <c r="Y45" i="86" l="1"/>
  <c r="AF45" i="86" s="1"/>
  <c r="C464" i="66"/>
  <c r="AJ41" i="86"/>
  <c r="AH41" i="86"/>
  <c r="AI41" i="86"/>
  <c r="AG41" i="86"/>
  <c r="AK41" i="86"/>
  <c r="AM276" i="86"/>
  <c r="O40" i="86"/>
  <c r="M40" i="86"/>
  <c r="H40" i="86"/>
  <c r="AD40" i="86"/>
  <c r="G40" i="86"/>
  <c r="AA40" i="86"/>
  <c r="C40" i="86"/>
  <c r="D40" i="86"/>
  <c r="AC40" i="86"/>
  <c r="F40" i="86"/>
  <c r="E40" i="86"/>
  <c r="Z40" i="86"/>
  <c r="L40" i="86"/>
  <c r="AB40" i="86"/>
  <c r="N40" i="86"/>
  <c r="J40" i="86"/>
  <c r="K39" i="86"/>
  <c r="Y44" i="86" l="1"/>
  <c r="AF44" i="86" s="1"/>
  <c r="C465" i="66"/>
  <c r="AG40" i="86"/>
  <c r="AI40" i="86"/>
  <c r="AH40" i="86"/>
  <c r="AJ40" i="86"/>
  <c r="AK40" i="86"/>
  <c r="AM277" i="86"/>
  <c r="K38" i="86"/>
  <c r="J39" i="86"/>
  <c r="F39" i="86"/>
  <c r="AA39" i="86"/>
  <c r="N39" i="86"/>
  <c r="AC39" i="86"/>
  <c r="G39" i="86"/>
  <c r="AB39" i="86"/>
  <c r="D39" i="86"/>
  <c r="H39" i="86"/>
  <c r="L39" i="86"/>
  <c r="C39" i="86"/>
  <c r="Z39" i="86"/>
  <c r="AD39" i="86"/>
  <c r="E39" i="86"/>
  <c r="M39" i="86"/>
  <c r="O39" i="86"/>
  <c r="Y43" i="86" l="1"/>
  <c r="AF43" i="86" s="1"/>
  <c r="C466" i="66"/>
  <c r="AJ39" i="86"/>
  <c r="AH39" i="86"/>
  <c r="AI39" i="86"/>
  <c r="AG39" i="86"/>
  <c r="AK39" i="86"/>
  <c r="AM278" i="86"/>
  <c r="O38" i="86"/>
  <c r="N38" i="86"/>
  <c r="M38" i="86"/>
  <c r="E38" i="86"/>
  <c r="D38" i="86"/>
  <c r="AD38" i="86"/>
  <c r="Z38" i="86"/>
  <c r="AA38" i="86"/>
  <c r="C38" i="86"/>
  <c r="H38" i="86"/>
  <c r="J38" i="86"/>
  <c r="L38" i="86"/>
  <c r="AC38" i="86"/>
  <c r="AB38" i="86"/>
  <c r="G38" i="86"/>
  <c r="F38" i="86"/>
  <c r="K37" i="86"/>
  <c r="Y42" i="86" l="1"/>
  <c r="AF42" i="86" s="1"/>
  <c r="C467" i="66"/>
  <c r="AG38" i="86"/>
  <c r="AI38" i="86"/>
  <c r="AH38" i="86"/>
  <c r="AK38" i="86"/>
  <c r="AJ38" i="86"/>
  <c r="AM279" i="86"/>
  <c r="K36" i="86"/>
  <c r="AA37" i="86"/>
  <c r="F37" i="86"/>
  <c r="H37" i="86"/>
  <c r="AD37" i="86"/>
  <c r="G37" i="86"/>
  <c r="AB37" i="86"/>
  <c r="C37" i="86"/>
  <c r="AC37" i="86"/>
  <c r="Z37" i="86"/>
  <c r="D37" i="86"/>
  <c r="L37" i="86"/>
  <c r="J37" i="86"/>
  <c r="E37" i="86"/>
  <c r="M37" i="86"/>
  <c r="N37" i="86"/>
  <c r="O37" i="86"/>
  <c r="Y41" i="86" l="1"/>
  <c r="AF41" i="86" s="1"/>
  <c r="C468" i="66"/>
  <c r="AK37" i="86"/>
  <c r="AH37" i="86"/>
  <c r="AI37" i="86"/>
  <c r="AG37" i="86"/>
  <c r="AJ37" i="86"/>
  <c r="AM280" i="86"/>
  <c r="O36" i="86"/>
  <c r="G36" i="86"/>
  <c r="N36" i="86"/>
  <c r="Z36" i="86"/>
  <c r="F36" i="86"/>
  <c r="M36" i="86"/>
  <c r="AC36" i="86"/>
  <c r="E36" i="86"/>
  <c r="C36" i="86"/>
  <c r="J36" i="86"/>
  <c r="AD36" i="86"/>
  <c r="L36" i="86"/>
  <c r="AB36" i="86"/>
  <c r="D36" i="86"/>
  <c r="H36" i="86"/>
  <c r="AA36" i="86"/>
  <c r="K35" i="86"/>
  <c r="Y40" i="86" l="1"/>
  <c r="AF40" i="86" s="1"/>
  <c r="C469" i="66"/>
  <c r="AG36" i="86"/>
  <c r="AI36" i="86"/>
  <c r="AH36" i="86"/>
  <c r="AJ36" i="86"/>
  <c r="AK36" i="86"/>
  <c r="AM281" i="86"/>
  <c r="K34" i="86"/>
  <c r="F35" i="86"/>
  <c r="AA35" i="86"/>
  <c r="J35" i="86"/>
  <c r="Z35" i="86"/>
  <c r="H35" i="86"/>
  <c r="D35" i="86"/>
  <c r="C35" i="86"/>
  <c r="N35" i="86"/>
  <c r="AB35" i="86"/>
  <c r="AC35" i="86"/>
  <c r="L35" i="86"/>
  <c r="M35" i="86"/>
  <c r="G35" i="86"/>
  <c r="AD35" i="86"/>
  <c r="E35" i="86"/>
  <c r="O35" i="86"/>
  <c r="Y39" i="86" l="1"/>
  <c r="AF39" i="86" s="1"/>
  <c r="C470" i="66"/>
  <c r="AJ35" i="86"/>
  <c r="AH35" i="86"/>
  <c r="AI35" i="86"/>
  <c r="AG35" i="86"/>
  <c r="AK35" i="86"/>
  <c r="AM282" i="86"/>
  <c r="O34" i="86"/>
  <c r="E34" i="86"/>
  <c r="AD34" i="86"/>
  <c r="G34" i="86"/>
  <c r="M34" i="86"/>
  <c r="L34" i="86"/>
  <c r="AC34" i="86"/>
  <c r="AB34" i="86"/>
  <c r="N34" i="86"/>
  <c r="C34" i="86"/>
  <c r="D34" i="86"/>
  <c r="H34" i="86"/>
  <c r="Z34" i="86"/>
  <c r="AA34" i="86"/>
  <c r="F34" i="86"/>
  <c r="K33" i="86"/>
  <c r="J34" i="86"/>
  <c r="Y38" i="86" l="1"/>
  <c r="AF38" i="86" s="1"/>
  <c r="C471" i="66"/>
  <c r="AK34" i="86"/>
  <c r="AG34" i="86"/>
  <c r="AI34" i="86"/>
  <c r="AH34" i="86"/>
  <c r="AJ34" i="86"/>
  <c r="AM283" i="86"/>
  <c r="J33" i="86"/>
  <c r="C33" i="86"/>
  <c r="AC33" i="86"/>
  <c r="K32" i="86"/>
  <c r="G33" i="86"/>
  <c r="F33" i="86"/>
  <c r="N33" i="86"/>
  <c r="AA33" i="86"/>
  <c r="AB33" i="86"/>
  <c r="Z33" i="86"/>
  <c r="L33" i="86"/>
  <c r="H33" i="86"/>
  <c r="D33" i="86"/>
  <c r="M33" i="86"/>
  <c r="AD33" i="86"/>
  <c r="E33" i="86"/>
  <c r="O33" i="86"/>
  <c r="Y37" i="86" l="1"/>
  <c r="AF37" i="86" s="1"/>
  <c r="C472" i="66"/>
  <c r="AG33" i="86"/>
  <c r="AH33" i="86"/>
  <c r="AI33" i="86"/>
  <c r="AJ33" i="86"/>
  <c r="AK33" i="86"/>
  <c r="AM284" i="86"/>
  <c r="O32" i="86"/>
  <c r="AD32" i="86"/>
  <c r="H32" i="86"/>
  <c r="AB32" i="86"/>
  <c r="F32" i="86"/>
  <c r="K31" i="86"/>
  <c r="AC32" i="86"/>
  <c r="C32" i="86"/>
  <c r="E32" i="86"/>
  <c r="D32" i="86"/>
  <c r="L32" i="86"/>
  <c r="Z32" i="86"/>
  <c r="N32" i="86"/>
  <c r="G32" i="86"/>
  <c r="J32" i="86"/>
  <c r="M32" i="86"/>
  <c r="AA32" i="86"/>
  <c r="Y36" i="86" l="1"/>
  <c r="AF36" i="86" s="1"/>
  <c r="C473" i="66"/>
  <c r="AI32" i="86"/>
  <c r="AH32" i="86"/>
  <c r="AG32" i="86"/>
  <c r="AK32" i="86"/>
  <c r="AJ32" i="86"/>
  <c r="AM285" i="86"/>
  <c r="AA31" i="86"/>
  <c r="G31" i="86"/>
  <c r="Z31" i="86"/>
  <c r="D31" i="86"/>
  <c r="C31" i="86"/>
  <c r="H31" i="86"/>
  <c r="O31" i="86"/>
  <c r="M31" i="86"/>
  <c r="J31" i="86"/>
  <c r="N31" i="86"/>
  <c r="L31" i="86"/>
  <c r="E31" i="86"/>
  <c r="AC31" i="86"/>
  <c r="AB31" i="86"/>
  <c r="AD31" i="86"/>
  <c r="K30" i="86"/>
  <c r="F31" i="86"/>
  <c r="Y35" i="86" l="1"/>
  <c r="AF35" i="86" s="1"/>
  <c r="C474" i="66"/>
  <c r="AG31" i="86"/>
  <c r="AH31" i="86"/>
  <c r="AK31" i="86"/>
  <c r="AJ31" i="86"/>
  <c r="AI31" i="86"/>
  <c r="AM286" i="86"/>
  <c r="F30" i="86"/>
  <c r="K29" i="86"/>
  <c r="D30" i="86"/>
  <c r="AD30" i="86"/>
  <c r="N30" i="86"/>
  <c r="AB30" i="86"/>
  <c r="M30" i="86"/>
  <c r="AC30" i="86"/>
  <c r="J30" i="86"/>
  <c r="O30" i="86"/>
  <c r="C30" i="86"/>
  <c r="AA30" i="86"/>
  <c r="E30" i="86"/>
  <c r="L30" i="86"/>
  <c r="H30" i="86"/>
  <c r="Z30" i="86"/>
  <c r="G30" i="86"/>
  <c r="Y34" i="86" l="1"/>
  <c r="AF34" i="86" s="1"/>
  <c r="C475" i="66"/>
  <c r="AK30" i="86"/>
  <c r="AJ30" i="86"/>
  <c r="AH30" i="86"/>
  <c r="AI30" i="86"/>
  <c r="AG30" i="86"/>
  <c r="AM287" i="86"/>
  <c r="G29" i="86"/>
  <c r="Z29" i="86"/>
  <c r="O29" i="86"/>
  <c r="N29" i="86"/>
  <c r="H29" i="86"/>
  <c r="J29" i="86"/>
  <c r="AD29" i="86"/>
  <c r="D29" i="86"/>
  <c r="L29" i="86"/>
  <c r="AC29" i="86"/>
  <c r="AB29" i="86"/>
  <c r="E29" i="86"/>
  <c r="AA29" i="86"/>
  <c r="C29" i="86"/>
  <c r="M29" i="86"/>
  <c r="K28" i="86"/>
  <c r="F29" i="86"/>
  <c r="Y33" i="86" l="1"/>
  <c r="AF33" i="86" s="1"/>
  <c r="C476" i="66"/>
  <c r="AH29" i="86"/>
  <c r="AK29" i="86"/>
  <c r="AJ29" i="86"/>
  <c r="AG29" i="86"/>
  <c r="AI29" i="86"/>
  <c r="AM288" i="86"/>
  <c r="F28" i="86"/>
  <c r="AB28" i="86"/>
  <c r="J28" i="86"/>
  <c r="K27" i="86"/>
  <c r="D28" i="86"/>
  <c r="O28" i="86"/>
  <c r="M28" i="86"/>
  <c r="AC28" i="86"/>
  <c r="C28" i="86"/>
  <c r="AD28" i="86"/>
  <c r="AA28" i="86"/>
  <c r="H28" i="86"/>
  <c r="E28" i="86"/>
  <c r="G28" i="86"/>
  <c r="L28" i="86"/>
  <c r="N28" i="86"/>
  <c r="Z28" i="86"/>
  <c r="Y32" i="86" l="1"/>
  <c r="AF32" i="86" s="1"/>
  <c r="C477" i="66"/>
  <c r="AG28" i="86"/>
  <c r="AJ28" i="86"/>
  <c r="AK28" i="86"/>
  <c r="AH28" i="86"/>
  <c r="AI28" i="86"/>
  <c r="AM289" i="86"/>
  <c r="Z27" i="86"/>
  <c r="AD27" i="86"/>
  <c r="D27" i="86"/>
  <c r="N27" i="86"/>
  <c r="AC27" i="86"/>
  <c r="K26" i="86"/>
  <c r="L27" i="86"/>
  <c r="AA27" i="86"/>
  <c r="G27" i="86"/>
  <c r="M27" i="86"/>
  <c r="J27" i="86"/>
  <c r="E27" i="86"/>
  <c r="O27" i="86"/>
  <c r="H27" i="86"/>
  <c r="C27" i="86"/>
  <c r="AB27" i="86"/>
  <c r="F27" i="86"/>
  <c r="Y31" i="86" l="1"/>
  <c r="AF31" i="86" s="1"/>
  <c r="C478" i="66"/>
  <c r="AH27" i="86"/>
  <c r="AK27" i="86"/>
  <c r="AJ27" i="86"/>
  <c r="AI27" i="86"/>
  <c r="AG27" i="86"/>
  <c r="AM290" i="86"/>
  <c r="F26" i="86"/>
  <c r="M26" i="86"/>
  <c r="AB26" i="86"/>
  <c r="AA26" i="86"/>
  <c r="C26" i="86"/>
  <c r="J26" i="86"/>
  <c r="H26" i="86"/>
  <c r="L26" i="86"/>
  <c r="AC26" i="86"/>
  <c r="O26" i="86"/>
  <c r="K25" i="86"/>
  <c r="E26" i="86"/>
  <c r="G26" i="86"/>
  <c r="N26" i="86"/>
  <c r="D26" i="86"/>
  <c r="AD26" i="86"/>
  <c r="Z26" i="86"/>
  <c r="Y30" i="86" l="1"/>
  <c r="AF30" i="86" s="1"/>
  <c r="C479" i="66"/>
  <c r="AH26" i="86"/>
  <c r="AG26" i="86"/>
  <c r="AI26" i="86"/>
  <c r="AJ26" i="86"/>
  <c r="AK26" i="86"/>
  <c r="AM291" i="86"/>
  <c r="Z25" i="86"/>
  <c r="AD25" i="86"/>
  <c r="O25" i="86"/>
  <c r="J25" i="86"/>
  <c r="D25" i="86"/>
  <c r="L25" i="86"/>
  <c r="AB25" i="86"/>
  <c r="N25" i="86"/>
  <c r="AC25" i="86"/>
  <c r="G25" i="86"/>
  <c r="H25" i="86"/>
  <c r="E25" i="86"/>
  <c r="C25" i="86"/>
  <c r="K24" i="86"/>
  <c r="AA25" i="86"/>
  <c r="M25" i="86"/>
  <c r="F25" i="86"/>
  <c r="Y29" i="86" l="1"/>
  <c r="AF29" i="86" s="1"/>
  <c r="C480" i="66"/>
  <c r="AJ25" i="86"/>
  <c r="AI25" i="86"/>
  <c r="AG25" i="86"/>
  <c r="AH25" i="86"/>
  <c r="AK25" i="86"/>
  <c r="AM292" i="86"/>
  <c r="F24" i="86"/>
  <c r="AA24" i="86"/>
  <c r="G24" i="86"/>
  <c r="AD24" i="86"/>
  <c r="K23" i="86"/>
  <c r="C24" i="86"/>
  <c r="AC24" i="86"/>
  <c r="D24" i="86"/>
  <c r="E24" i="86"/>
  <c r="AB24" i="86"/>
  <c r="H24" i="86"/>
  <c r="J24" i="86"/>
  <c r="N24" i="86"/>
  <c r="L24" i="86"/>
  <c r="O24" i="86"/>
  <c r="Z24" i="86"/>
  <c r="M24" i="86"/>
  <c r="Y28" i="86" l="1"/>
  <c r="AF28" i="86" s="1"/>
  <c r="C481" i="66"/>
  <c r="AJ24" i="86"/>
  <c r="AH24" i="86"/>
  <c r="AG24" i="86"/>
  <c r="AI24" i="86"/>
  <c r="AK24" i="86"/>
  <c r="AM293" i="86"/>
  <c r="M23" i="86"/>
  <c r="Z23" i="86"/>
  <c r="AC23" i="86"/>
  <c r="G23" i="86"/>
  <c r="O23" i="86"/>
  <c r="E23" i="86"/>
  <c r="L23" i="86"/>
  <c r="AB23" i="86"/>
  <c r="AD23" i="86"/>
  <c r="N23" i="86"/>
  <c r="C23" i="86"/>
  <c r="J23" i="86"/>
  <c r="K22" i="86"/>
  <c r="H23" i="86"/>
  <c r="AA23" i="86"/>
  <c r="D23" i="86"/>
  <c r="F23" i="86"/>
  <c r="Y27" i="86" l="1"/>
  <c r="AF27" i="86" s="1"/>
  <c r="C482" i="66"/>
  <c r="AK23" i="86"/>
  <c r="AI23" i="86"/>
  <c r="AG23" i="86"/>
  <c r="AH23" i="86"/>
  <c r="AJ23" i="86"/>
  <c r="AM294" i="86"/>
  <c r="F22" i="86"/>
  <c r="AA22" i="86"/>
  <c r="H22" i="86"/>
  <c r="K21" i="86"/>
  <c r="J22" i="86"/>
  <c r="AD22" i="86"/>
  <c r="L22" i="86"/>
  <c r="O22" i="86"/>
  <c r="AC22" i="86"/>
  <c r="M22" i="86"/>
  <c r="D22" i="86"/>
  <c r="C22" i="86"/>
  <c r="N22" i="86"/>
  <c r="AB22" i="86"/>
  <c r="E22" i="86"/>
  <c r="G22" i="86"/>
  <c r="Z22" i="86"/>
  <c r="Y26" i="86" l="1"/>
  <c r="AF26" i="86" s="1"/>
  <c r="C483" i="66"/>
  <c r="AJ22" i="86"/>
  <c r="AH22" i="86"/>
  <c r="AI22" i="86"/>
  <c r="AG22" i="86"/>
  <c r="AK22" i="86"/>
  <c r="AM295" i="86"/>
  <c r="Z21" i="86"/>
  <c r="L21" i="86"/>
  <c r="F21" i="86"/>
  <c r="G21" i="86"/>
  <c r="O21" i="86"/>
  <c r="H21" i="86"/>
  <c r="E21" i="86"/>
  <c r="M21" i="86"/>
  <c r="AB21" i="86"/>
  <c r="AC21" i="86"/>
  <c r="N21" i="86"/>
  <c r="AD21" i="86"/>
  <c r="C21" i="86"/>
  <c r="J21" i="86"/>
  <c r="D21" i="86"/>
  <c r="K20" i="86"/>
  <c r="AA21" i="86"/>
  <c r="Y25" i="86" l="1"/>
  <c r="AF25" i="86" s="1"/>
  <c r="C484" i="66"/>
  <c r="AJ21" i="86"/>
  <c r="AH21" i="86"/>
  <c r="AG21" i="86"/>
  <c r="AI21" i="86"/>
  <c r="AK21" i="86"/>
  <c r="AM296" i="86"/>
  <c r="AA20" i="86"/>
  <c r="AB20" i="86"/>
  <c r="K19" i="86"/>
  <c r="AC20" i="86"/>
  <c r="E20" i="86"/>
  <c r="F20" i="86"/>
  <c r="D20" i="86"/>
  <c r="H20" i="86"/>
  <c r="J20" i="86"/>
  <c r="G20" i="86"/>
  <c r="C20" i="86"/>
  <c r="AD20" i="86"/>
  <c r="N20" i="86"/>
  <c r="M20" i="86"/>
  <c r="L20" i="86"/>
  <c r="Z20" i="86"/>
  <c r="O20" i="86"/>
  <c r="Y24" i="86" l="1"/>
  <c r="AF24" i="86" s="1"/>
  <c r="C485" i="66"/>
  <c r="AK20" i="86"/>
  <c r="AI20" i="86"/>
  <c r="AG20" i="86"/>
  <c r="AJ20" i="86"/>
  <c r="AH20" i="86"/>
  <c r="AM297" i="86"/>
  <c r="O19" i="86"/>
  <c r="C19" i="86"/>
  <c r="E19" i="86"/>
  <c r="Z19" i="86"/>
  <c r="G19" i="86"/>
  <c r="L19" i="86"/>
  <c r="H19" i="86"/>
  <c r="AC19" i="86"/>
  <c r="K18" i="86"/>
  <c r="M19" i="86"/>
  <c r="D19" i="86"/>
  <c r="N19" i="86"/>
  <c r="AD19" i="86"/>
  <c r="AA19" i="86"/>
  <c r="J19" i="86"/>
  <c r="F19" i="86"/>
  <c r="AB19" i="86"/>
  <c r="Y23" i="86" l="1"/>
  <c r="AF23" i="86" s="1"/>
  <c r="C486" i="66"/>
  <c r="AJ19" i="86"/>
  <c r="AG19" i="86"/>
  <c r="AI19" i="86"/>
  <c r="AH19" i="86"/>
  <c r="AK19" i="86"/>
  <c r="AM298" i="86"/>
  <c r="AB18" i="86"/>
  <c r="E18" i="86"/>
  <c r="F18" i="86"/>
  <c r="K17" i="86"/>
  <c r="J18" i="86"/>
  <c r="M18" i="86"/>
  <c r="AA18" i="86"/>
  <c r="AD18" i="86"/>
  <c r="N18" i="86"/>
  <c r="G18" i="86"/>
  <c r="D18" i="86"/>
  <c r="Z18" i="86"/>
  <c r="AC18" i="86"/>
  <c r="H18" i="86"/>
  <c r="L18" i="86"/>
  <c r="C18" i="86"/>
  <c r="O18" i="86"/>
  <c r="Y22" i="86" l="1"/>
  <c r="AF22" i="86" s="1"/>
  <c r="C487" i="66"/>
  <c r="AI18" i="86"/>
  <c r="AH18" i="86"/>
  <c r="AG18" i="86"/>
  <c r="AJ18" i="86"/>
  <c r="AK18" i="86"/>
  <c r="AM299" i="86"/>
  <c r="O17" i="86"/>
  <c r="AA17" i="86"/>
  <c r="C17" i="86"/>
  <c r="N17" i="86"/>
  <c r="L17" i="86"/>
  <c r="G17" i="86"/>
  <c r="H17" i="86"/>
  <c r="AD17" i="86"/>
  <c r="AC17" i="86"/>
  <c r="M17" i="86"/>
  <c r="F17" i="86"/>
  <c r="Z17" i="86"/>
  <c r="J17" i="86"/>
  <c r="K16" i="86"/>
  <c r="D17" i="86"/>
  <c r="E17" i="86"/>
  <c r="AB17" i="86"/>
  <c r="Y21" i="86" l="1"/>
  <c r="AF21" i="86" s="1"/>
  <c r="C488" i="66"/>
  <c r="AJ17" i="86"/>
  <c r="AG17" i="86"/>
  <c r="AH17" i="86"/>
  <c r="AK17" i="86"/>
  <c r="AI17" i="86"/>
  <c r="AM300" i="86"/>
  <c r="AB16" i="86"/>
  <c r="G16" i="86"/>
  <c r="E16" i="86"/>
  <c r="M16" i="86"/>
  <c r="D16" i="86"/>
  <c r="H16" i="86"/>
  <c r="C16" i="86"/>
  <c r="K15" i="86"/>
  <c r="AC16" i="86"/>
  <c r="J16" i="86"/>
  <c r="AA16" i="86"/>
  <c r="Z16" i="86"/>
  <c r="L16" i="86"/>
  <c r="F16" i="86"/>
  <c r="AD16" i="86"/>
  <c r="N16" i="86"/>
  <c r="O16" i="86"/>
  <c r="Y20" i="86" l="1"/>
  <c r="AF20" i="86" s="1"/>
  <c r="C489" i="66"/>
  <c r="AH16" i="86"/>
  <c r="AJ16" i="86"/>
  <c r="AI16" i="86"/>
  <c r="AK16" i="86"/>
  <c r="AG16" i="86"/>
  <c r="AM301" i="86"/>
  <c r="O15" i="86"/>
  <c r="J15" i="86"/>
  <c r="N15" i="86"/>
  <c r="AC15" i="86"/>
  <c r="G15" i="86"/>
  <c r="AD15" i="86"/>
  <c r="H15" i="86"/>
  <c r="F15" i="86"/>
  <c r="D15" i="86"/>
  <c r="L15" i="86"/>
  <c r="C15" i="86"/>
  <c r="Z15" i="86"/>
  <c r="E15" i="86"/>
  <c r="AA15" i="86"/>
  <c r="K14" i="86"/>
  <c r="M15" i="86"/>
  <c r="AB15" i="86"/>
  <c r="Y19" i="86" l="1"/>
  <c r="AF19" i="86" s="1"/>
  <c r="C490" i="66"/>
  <c r="AH15" i="86"/>
  <c r="AK15" i="86"/>
  <c r="AI15" i="86"/>
  <c r="AJ15" i="86"/>
  <c r="AG15" i="86"/>
  <c r="AM302" i="86"/>
  <c r="AB14" i="86"/>
  <c r="L14" i="86"/>
  <c r="M14" i="86"/>
  <c r="D14" i="86"/>
  <c r="N14" i="86"/>
  <c r="K13" i="86"/>
  <c r="H14" i="86"/>
  <c r="AA14" i="86"/>
  <c r="J14" i="86"/>
  <c r="E14" i="86"/>
  <c r="AD14" i="86"/>
  <c r="Z14" i="86"/>
  <c r="AC14" i="86"/>
  <c r="C14" i="86"/>
  <c r="F14" i="86"/>
  <c r="G14" i="86"/>
  <c r="O14" i="86"/>
  <c r="Y18" i="86" l="1"/>
  <c r="AF18" i="86" s="1"/>
  <c r="C491" i="66"/>
  <c r="AI14" i="86"/>
  <c r="AG14" i="86"/>
  <c r="AJ14" i="86"/>
  <c r="AK14" i="86"/>
  <c r="AH14" i="86"/>
  <c r="AM303" i="86"/>
  <c r="O13" i="86"/>
  <c r="AB13" i="86"/>
  <c r="G13" i="86"/>
  <c r="Z13" i="86"/>
  <c r="F13" i="86"/>
  <c r="AC13" i="86"/>
  <c r="C13" i="86"/>
  <c r="AD13" i="86"/>
  <c r="N13" i="86"/>
  <c r="L13" i="86"/>
  <c r="E13" i="86"/>
  <c r="J13" i="86"/>
  <c r="AA13" i="86"/>
  <c r="H13" i="86"/>
  <c r="D13" i="86"/>
  <c r="M13" i="86"/>
  <c r="K12" i="86"/>
  <c r="Y17" i="86" l="1"/>
  <c r="AF17" i="86" s="1"/>
  <c r="C492" i="66"/>
  <c r="AK13" i="86"/>
  <c r="AJ13" i="86"/>
  <c r="AG13" i="86"/>
  <c r="AH13" i="86"/>
  <c r="AI13" i="86"/>
  <c r="AM304" i="86"/>
  <c r="K11" i="86"/>
  <c r="M12" i="86"/>
  <c r="D12" i="86"/>
  <c r="E12" i="86"/>
  <c r="AD12" i="86"/>
  <c r="G12" i="86"/>
  <c r="H12" i="86"/>
  <c r="L12" i="86"/>
  <c r="AC12" i="86"/>
  <c r="AA12" i="86"/>
  <c r="F12" i="86"/>
  <c r="O12" i="86"/>
  <c r="J12" i="86"/>
  <c r="N12" i="86"/>
  <c r="Z12" i="86"/>
  <c r="C12" i="86"/>
  <c r="AB12" i="86"/>
  <c r="Y16" i="86" l="1"/>
  <c r="AF16" i="86" s="1"/>
  <c r="C493" i="66"/>
  <c r="AH12" i="86"/>
  <c r="AG12" i="86"/>
  <c r="AJ12" i="86"/>
  <c r="AI12" i="86"/>
  <c r="AK12" i="86"/>
  <c r="AM305" i="86"/>
  <c r="AB11" i="86"/>
  <c r="C11" i="86"/>
  <c r="D11" i="86"/>
  <c r="K10" i="86"/>
  <c r="Z11" i="86"/>
  <c r="N11" i="86"/>
  <c r="J11" i="86"/>
  <c r="O11" i="86"/>
  <c r="F11" i="86"/>
  <c r="AA11" i="86"/>
  <c r="AC11" i="86"/>
  <c r="L11" i="86"/>
  <c r="H11" i="86"/>
  <c r="G11" i="86"/>
  <c r="AD11" i="86"/>
  <c r="E11" i="86"/>
  <c r="M11" i="86"/>
  <c r="Y15" i="86" l="1"/>
  <c r="AF15" i="86" s="1"/>
  <c r="C494" i="66"/>
  <c r="AG11" i="86"/>
  <c r="AJ11" i="86"/>
  <c r="AK11" i="86"/>
  <c r="AH11" i="86"/>
  <c r="AI11" i="86"/>
  <c r="AM306" i="86"/>
  <c r="M10" i="86"/>
  <c r="O10" i="86"/>
  <c r="E10" i="86"/>
  <c r="AA10" i="86"/>
  <c r="AD10" i="86"/>
  <c r="K9" i="86"/>
  <c r="G10" i="86"/>
  <c r="F10" i="86"/>
  <c r="AB10" i="86"/>
  <c r="H10" i="86"/>
  <c r="J10" i="86"/>
  <c r="L10" i="86"/>
  <c r="Z10" i="86"/>
  <c r="AC10" i="86"/>
  <c r="D10" i="86"/>
  <c r="N10" i="86"/>
  <c r="C10" i="86"/>
  <c r="Y14" i="86" l="1"/>
  <c r="AF14" i="86" s="1"/>
  <c r="C495" i="66"/>
  <c r="AJ10" i="86"/>
  <c r="AH10" i="86"/>
  <c r="AK10" i="86"/>
  <c r="AG10" i="86"/>
  <c r="AI10" i="86"/>
  <c r="AM307" i="86"/>
  <c r="C9" i="86"/>
  <c r="K8" i="86"/>
  <c r="N9" i="86"/>
  <c r="H9" i="86"/>
  <c r="AA9" i="86"/>
  <c r="D9" i="86"/>
  <c r="G9" i="86"/>
  <c r="AC9" i="86"/>
  <c r="AB9" i="86"/>
  <c r="E9" i="86"/>
  <c r="Z9" i="86"/>
  <c r="F9" i="86"/>
  <c r="L9" i="86"/>
  <c r="J9" i="86"/>
  <c r="AD9" i="86"/>
  <c r="O9" i="86"/>
  <c r="M9" i="86"/>
  <c r="Y13" i="86" l="1"/>
  <c r="AF13" i="86" s="1"/>
  <c r="C496" i="66"/>
  <c r="AG9" i="86"/>
  <c r="AH9" i="86"/>
  <c r="AK9" i="86"/>
  <c r="AI9" i="86"/>
  <c r="AJ9" i="86"/>
  <c r="AM308" i="86"/>
  <c r="M8" i="86"/>
  <c r="D8" i="86"/>
  <c r="O8" i="86"/>
  <c r="AB8" i="86"/>
  <c r="H8" i="86"/>
  <c r="AD8" i="86"/>
  <c r="E8" i="86"/>
  <c r="J8" i="86"/>
  <c r="G8" i="86"/>
  <c r="N8" i="86"/>
  <c r="L8" i="86"/>
  <c r="F8" i="86"/>
  <c r="AA8" i="86"/>
  <c r="K7" i="86"/>
  <c r="Z8" i="86"/>
  <c r="AC8" i="86"/>
  <c r="C8" i="86"/>
  <c r="Y12" i="86" l="1"/>
  <c r="AF12" i="86" s="1"/>
  <c r="C497" i="66"/>
  <c r="AK8" i="86"/>
  <c r="AH8" i="86"/>
  <c r="AG8" i="86"/>
  <c r="AJ8" i="86"/>
  <c r="AI8" i="86"/>
  <c r="AM309" i="86"/>
  <c r="C7" i="86"/>
  <c r="AD7" i="86"/>
  <c r="AC7" i="86"/>
  <c r="J7" i="86"/>
  <c r="Z7" i="86"/>
  <c r="N7" i="86"/>
  <c r="O7" i="86"/>
  <c r="K6" i="86"/>
  <c r="L7" i="86"/>
  <c r="AB7" i="86"/>
  <c r="AA7" i="86"/>
  <c r="E7" i="86"/>
  <c r="F7" i="86"/>
  <c r="D7" i="86"/>
  <c r="G7" i="86"/>
  <c r="H7" i="86"/>
  <c r="M7" i="86"/>
  <c r="Y11" i="86" l="1"/>
  <c r="AF11" i="86" s="1"/>
  <c r="C498" i="66"/>
  <c r="AG7" i="86"/>
  <c r="AJ7" i="86"/>
  <c r="AH7" i="86"/>
  <c r="AK7" i="86"/>
  <c r="AI7" i="86"/>
  <c r="AM310" i="86"/>
  <c r="M6" i="86"/>
  <c r="AB6" i="86"/>
  <c r="AC6" i="86"/>
  <c r="C6" i="86"/>
  <c r="H6" i="86"/>
  <c r="L6" i="86"/>
  <c r="G6" i="86"/>
  <c r="K5" i="86"/>
  <c r="D6" i="86"/>
  <c r="O6" i="86"/>
  <c r="F6" i="86"/>
  <c r="Z6" i="86"/>
  <c r="E6" i="86"/>
  <c r="J6" i="86"/>
  <c r="AA6" i="86"/>
  <c r="N6" i="86"/>
  <c r="AD6" i="86"/>
  <c r="Y10" i="86" l="1"/>
  <c r="AF10" i="86" s="1"/>
  <c r="C499" i="66"/>
  <c r="AK6" i="86"/>
  <c r="AJ6" i="86"/>
  <c r="AH6" i="86"/>
  <c r="AI6" i="86"/>
  <c r="AG6" i="86"/>
  <c r="AM311" i="86"/>
  <c r="AD5" i="86"/>
  <c r="F5" i="86"/>
  <c r="D5" i="86"/>
  <c r="C5" i="86"/>
  <c r="N5" i="86"/>
  <c r="L5" i="86"/>
  <c r="AA5" i="86"/>
  <c r="G5" i="86"/>
  <c r="AC5" i="86"/>
  <c r="J5" i="86"/>
  <c r="E5" i="86"/>
  <c r="H5" i="86"/>
  <c r="Z5" i="86"/>
  <c r="O5" i="86"/>
  <c r="AB5" i="86"/>
  <c r="M5" i="86"/>
  <c r="Y9" i="86" l="1"/>
  <c r="AF9" i="86" s="1"/>
  <c r="C500" i="66"/>
  <c r="AJ5" i="86"/>
  <c r="AG5" i="86"/>
  <c r="AH5" i="86"/>
  <c r="AI5" i="86"/>
  <c r="AK5" i="86"/>
  <c r="AM312" i="86"/>
  <c r="Y8" i="86" l="1"/>
  <c r="AF8" i="86" s="1"/>
  <c r="C501" i="66"/>
  <c r="AM313" i="86"/>
  <c r="Y7" i="86" l="1"/>
  <c r="AF7" i="86" s="1"/>
  <c r="C502" i="66"/>
  <c r="AM314" i="86"/>
  <c r="Y6" i="86" l="1"/>
  <c r="AF6" i="86" s="1"/>
  <c r="C503" i="66"/>
  <c r="AM315" i="86"/>
  <c r="Y5" i="86" l="1"/>
  <c r="AF5" i="86" s="1"/>
  <c r="C504" i="66"/>
  <c r="AM316" i="86"/>
  <c r="C505" i="66" l="1"/>
  <c r="AM317" i="86"/>
  <c r="C506" i="66" l="1"/>
  <c r="AM318" i="86"/>
  <c r="C507" i="66" l="1"/>
  <c r="AM319" i="86"/>
  <c r="C508" i="66" l="1"/>
  <c r="AM320" i="86"/>
  <c r="C509" i="66" l="1"/>
  <c r="AM321" i="86"/>
  <c r="C510" i="66" l="1"/>
  <c r="AM322" i="86"/>
  <c r="C511" i="66" l="1"/>
  <c r="AM323" i="86"/>
  <c r="C512" i="66" l="1"/>
  <c r="AM324" i="86"/>
  <c r="C513" i="66" l="1"/>
  <c r="AM325" i="86"/>
  <c r="C514" i="66" l="1"/>
  <c r="AM326" i="86"/>
  <c r="C515" i="66" l="1"/>
  <c r="AM327" i="86"/>
  <c r="C516" i="66" l="1"/>
  <c r="AM328" i="86"/>
  <c r="C517" i="66" l="1"/>
  <c r="AM329" i="86"/>
  <c r="C518" i="66" l="1"/>
  <c r="AM330" i="86"/>
  <c r="C519" i="66" l="1"/>
  <c r="AM331" i="86"/>
  <c r="C520" i="66" l="1"/>
  <c r="AM332" i="86"/>
  <c r="C521" i="66" l="1"/>
  <c r="AM333" i="86"/>
  <c r="C522" i="66" l="1"/>
  <c r="AM334" i="86"/>
  <c r="C523" i="66" l="1"/>
  <c r="AM335" i="86"/>
  <c r="C524" i="66" l="1"/>
  <c r="AM336" i="86"/>
  <c r="C525" i="66" l="1"/>
  <c r="AM337" i="86"/>
  <c r="C526" i="66" l="1"/>
  <c r="AM338" i="86"/>
  <c r="C527" i="66" l="1"/>
  <c r="AM339" i="86"/>
  <c r="C528" i="66" l="1"/>
  <c r="AM340" i="86"/>
  <c r="C529" i="66" l="1"/>
  <c r="AM341" i="86"/>
  <c r="C530" i="66" l="1"/>
  <c r="AM342" i="86"/>
  <c r="C531" i="66" l="1"/>
  <c r="AM343" i="86"/>
  <c r="C532" i="66" l="1"/>
  <c r="AM344" i="86"/>
  <c r="C533" i="66" l="1"/>
  <c r="AM345" i="86"/>
  <c r="C534" i="66" l="1"/>
  <c r="AM346" i="86"/>
  <c r="C535" i="66" l="1"/>
  <c r="AM347" i="86"/>
  <c r="C536" i="66" l="1"/>
  <c r="AM348" i="86"/>
  <c r="C537" i="66" l="1"/>
  <c r="AM349" i="86"/>
  <c r="C538" i="66" l="1"/>
  <c r="AM350" i="86"/>
  <c r="C539" i="66" l="1"/>
  <c r="AM351" i="86"/>
  <c r="C540" i="66" l="1"/>
  <c r="AM352" i="86"/>
  <c r="C541" i="66" l="1"/>
  <c r="AM353" i="86"/>
  <c r="C542" i="66" l="1"/>
  <c r="AM354" i="86"/>
  <c r="C543" i="66" l="1"/>
  <c r="AM355" i="86"/>
  <c r="C544" i="66" l="1"/>
  <c r="AM356" i="86"/>
  <c r="C545" i="66" l="1"/>
  <c r="AM357" i="86"/>
  <c r="C546" i="66" l="1"/>
  <c r="AM358" i="86"/>
  <c r="C547" i="66" l="1"/>
  <c r="AM359" i="86"/>
  <c r="C548" i="66" l="1"/>
  <c r="AM360" i="86"/>
  <c r="C549" i="66" l="1"/>
  <c r="AM361" i="86"/>
  <c r="C550" i="66" l="1"/>
  <c r="AM362" i="86"/>
  <c r="C551" i="66" l="1"/>
  <c r="AM363" i="86"/>
  <c r="C552" i="66" l="1"/>
  <c r="AM364" i="86"/>
  <c r="C553" i="66" l="1"/>
  <c r="AM365" i="86"/>
  <c r="C554" i="66" l="1"/>
  <c r="AM366" i="86"/>
  <c r="C555" i="66" l="1"/>
  <c r="AM367" i="86"/>
  <c r="C556" i="66" l="1"/>
  <c r="AM368" i="86"/>
  <c r="C557" i="66" l="1"/>
  <c r="AM369" i="86"/>
  <c r="C558" i="66" l="1"/>
  <c r="AM370" i="86"/>
  <c r="AM371" i="86" l="1"/>
  <c r="AM372" i="86" l="1"/>
  <c r="AM373" i="86" l="1"/>
  <c r="AM374" i="86" l="1"/>
  <c r="AM375" i="86" l="1"/>
  <c r="AM376" i="86" l="1"/>
  <c r="AM377" i="86" l="1"/>
  <c r="AM378" i="86" l="1"/>
  <c r="AM379" i="86" l="1"/>
  <c r="AM380" i="86" l="1"/>
  <c r="AM381" i="86" l="1"/>
  <c r="AM382" i="86" l="1"/>
  <c r="AM383" i="86" l="1"/>
  <c r="AM384" i="86" l="1"/>
  <c r="AM385" i="86" l="1"/>
  <c r="AM386" i="86" l="1"/>
  <c r="AM387" i="86" l="1"/>
  <c r="AM388" i="86" l="1"/>
  <c r="AM389" i="86" l="1"/>
  <c r="AM390" i="86" l="1"/>
  <c r="AM391" i="86" l="1"/>
  <c r="AM392" i="86" l="1"/>
  <c r="AM393" i="86" l="1"/>
  <c r="AM394" i="86" l="1"/>
  <c r="AM395" i="86" l="1"/>
  <c r="AM396" i="86" l="1"/>
  <c r="AM397" i="86" l="1"/>
  <c r="AM398" i="86" l="1"/>
  <c r="AM399" i="86" l="1"/>
  <c r="AM400" i="86" l="1"/>
  <c r="AM401" i="86" l="1"/>
  <c r="AM402" i="86" l="1"/>
  <c r="AM403" i="86" l="1"/>
  <c r="AM404" i="86" l="1"/>
  <c r="AM405" i="86" l="1"/>
  <c r="AM406" i="86" l="1"/>
  <c r="AM407" i="86" l="1"/>
  <c r="AM408" i="86" l="1"/>
  <c r="AM409" i="86" l="1"/>
  <c r="AM410" i="86" l="1"/>
  <c r="AM411" i="86" l="1"/>
  <c r="AM412" i="86" l="1"/>
  <c r="AM413" i="86" l="1"/>
  <c r="AM414" i="86" l="1"/>
  <c r="AM415" i="86" l="1"/>
  <c r="AM416" i="86" l="1"/>
  <c r="AM417" i="86" l="1"/>
  <c r="AM418" i="86" l="1"/>
  <c r="AM419" i="86" l="1"/>
  <c r="AM420" i="86" l="1"/>
  <c r="AM421" i="86" l="1"/>
  <c r="AM422" i="86" l="1"/>
  <c r="AM423" i="86" l="1"/>
  <c r="AM424" i="86" l="1"/>
  <c r="AM425" i="86" l="1"/>
  <c r="AM426" i="86" l="1"/>
  <c r="AM427" i="86" l="1"/>
  <c r="AM428" i="86" l="1"/>
  <c r="AM429" i="86" l="1"/>
  <c r="AM430" i="86" l="1"/>
  <c r="AM431" i="86" l="1"/>
  <c r="AM432" i="86" l="1"/>
  <c r="AM433" i="86" l="1"/>
  <c r="AM434" i="86" l="1"/>
  <c r="AM435" i="86" l="1"/>
  <c r="AM436" i="86" l="1"/>
  <c r="AM437" i="86" l="1"/>
  <c r="AM438" i="86" l="1"/>
  <c r="AM439" i="86" l="1"/>
  <c r="AM440" i="86" l="1"/>
  <c r="AM441" i="86" l="1"/>
  <c r="AM442" i="86" l="1"/>
  <c r="AM443" i="86" l="1"/>
  <c r="AM444" i="86" l="1"/>
  <c r="AM445" i="86" l="1"/>
  <c r="AM446" i="86" l="1"/>
  <c r="AM447" i="86" l="1"/>
  <c r="AM448" i="86" l="1"/>
  <c r="AM449" i="86" l="1"/>
  <c r="AM450" i="86" l="1"/>
  <c r="AM451" i="86" l="1"/>
  <c r="AM452" i="86" l="1"/>
  <c r="AM453" i="86" l="1"/>
  <c r="AM454" i="86" l="1"/>
  <c r="AM455" i="86" l="1"/>
  <c r="AM456" i="86" l="1"/>
  <c r="AM457" i="86" l="1"/>
  <c r="AM458" i="86" l="1"/>
  <c r="AM459" i="86" l="1"/>
  <c r="AM460" i="86" l="1"/>
  <c r="AM461" i="86" l="1"/>
  <c r="AM462" i="86" l="1"/>
  <c r="AM463" i="86" l="1"/>
  <c r="AM464" i="86" l="1"/>
  <c r="AM465" i="86" l="1"/>
  <c r="AM466" i="86" l="1"/>
  <c r="AM467" i="86" l="1"/>
  <c r="AM468" i="86" l="1"/>
  <c r="AM469" i="86" l="1"/>
  <c r="AM470" i="86" l="1"/>
  <c r="AM471" i="86" l="1"/>
  <c r="AM472" i="86" l="1"/>
  <c r="AM473" i="86" l="1"/>
  <c r="AM474" i="86" l="1"/>
  <c r="AM475" i="86" l="1"/>
  <c r="AM476" i="86" l="1"/>
  <c r="AM477" i="86" l="1"/>
  <c r="AM478" i="86" l="1"/>
  <c r="AM479" i="86" l="1"/>
  <c r="AM480" i="86" l="1"/>
  <c r="AM481" i="86" l="1"/>
  <c r="AM482" i="86" l="1"/>
  <c r="AM483" i="86" l="1"/>
  <c r="AM484" i="86" l="1"/>
  <c r="AM485" i="86" l="1"/>
  <c r="AM486" i="86" l="1"/>
  <c r="AM487" i="86" l="1"/>
  <c r="AM488" i="86" l="1"/>
  <c r="AM489" i="86" l="1"/>
  <c r="AM490" i="86" l="1"/>
  <c r="AM491" i="86" l="1"/>
  <c r="AM492" i="86" l="1"/>
  <c r="AM493" i="86" l="1"/>
  <c r="AM494" i="86" l="1"/>
  <c r="AM495" i="86" l="1"/>
  <c r="AM496" i="86" l="1"/>
  <c r="AM497" i="86" l="1"/>
  <c r="AM498" i="86" l="1"/>
  <c r="AM499" i="86" l="1"/>
  <c r="AM500" i="86" l="1"/>
  <c r="AM501" i="86" l="1"/>
  <c r="AM502" i="86" l="1"/>
  <c r="AM503" i="86" l="1"/>
  <c r="AM504" i="86" l="1"/>
  <c r="AM505" i="86" l="1"/>
  <c r="AM506" i="86" l="1"/>
  <c r="AM507" i="86" l="1"/>
  <c r="AM508" i="86" l="1"/>
  <c r="AM509" i="86" l="1"/>
  <c r="AM510" i="86" l="1"/>
  <c r="AM511" i="86" l="1"/>
  <c r="AM512" i="86" l="1"/>
  <c r="AM513" i="86" l="1"/>
  <c r="AM514" i="86" l="1"/>
  <c r="AM515" i="86" l="1"/>
  <c r="AM516" i="86" l="1"/>
  <c r="AM517" i="86" l="1"/>
  <c r="AM518" i="86" l="1"/>
  <c r="AM519" i="86" l="1"/>
  <c r="AM520" i="86" l="1"/>
  <c r="AM521" i="86" l="1"/>
  <c r="AM522" i="86" l="1"/>
  <c r="AM523" i="86" l="1"/>
  <c r="AM524" i="86" l="1"/>
  <c r="AM525" i="86" l="1"/>
  <c r="AM526" i="86" l="1"/>
  <c r="AM527" i="86" l="1"/>
  <c r="AM528" i="86" l="1"/>
  <c r="AM529" i="86" l="1"/>
  <c r="AM530" i="86" l="1"/>
  <c r="AM531" i="86" l="1"/>
  <c r="AM532" i="86" l="1"/>
  <c r="AM533" i="86" l="1"/>
  <c r="AM534" i="86" l="1"/>
  <c r="AM535" i="86" l="1"/>
  <c r="AM536" i="86" l="1"/>
  <c r="AM537" i="86" l="1"/>
  <c r="AM538" i="86" l="1"/>
  <c r="AM539" i="86" l="1"/>
  <c r="AM540" i="86" l="1"/>
  <c r="AM541" i="86" l="1"/>
  <c r="AM542" i="86" l="1"/>
  <c r="AM543" i="86" l="1"/>
  <c r="AM544" i="86" l="1"/>
  <c r="AM545" i="86" l="1"/>
  <c r="AM546" i="86" l="1"/>
  <c r="AM547" i="86" l="1"/>
  <c r="AM548" i="86" l="1"/>
  <c r="AM549" i="86" l="1"/>
  <c r="AM550" i="86" l="1"/>
  <c r="AM551" i="86" l="1"/>
  <c r="AM552" i="86" l="1"/>
  <c r="AM553" i="86" l="1"/>
  <c r="AM554" i="86" l="1"/>
  <c r="AM555" i="86" l="1"/>
  <c r="AM556" i="86" l="1"/>
  <c r="AM557" i="86" l="1"/>
  <c r="AM558" i="86" l="1"/>
  <c r="AM559" i="86" l="1"/>
  <c r="AM560" i="86" l="1"/>
  <c r="AM561" i="86" l="1"/>
  <c r="AM562" i="86" l="1"/>
  <c r="AM563" i="86" l="1"/>
  <c r="AM564" i="86" l="1"/>
  <c r="AM565" i="86" l="1"/>
  <c r="AM566" i="86" l="1"/>
  <c r="AM567" i="86" l="1"/>
  <c r="AM568" i="86" l="1"/>
  <c r="AM569" i="86" l="1"/>
  <c r="AM570" i="86" l="1"/>
  <c r="AM571" i="86" l="1"/>
  <c r="AM572" i="86" l="1"/>
  <c r="AM573" i="86" l="1"/>
  <c r="AM574" i="86" l="1"/>
  <c r="AM575" i="86" l="1"/>
  <c r="AM576" i="86" l="1"/>
  <c r="AM577" i="86" l="1"/>
  <c r="AM578" i="86" l="1"/>
  <c r="AM579" i="86" l="1"/>
  <c r="AM580" i="86" l="1"/>
  <c r="AM581" i="86" l="1"/>
  <c r="AM582" i="86" l="1"/>
  <c r="AM583" i="86" l="1"/>
  <c r="AM584" i="86" l="1"/>
  <c r="AM585" i="86" l="1"/>
  <c r="AM586" i="86" l="1"/>
  <c r="AM587" i="86" l="1"/>
  <c r="AM588" i="86" l="1"/>
  <c r="AM589" i="86" l="1"/>
  <c r="AM590" i="86" l="1"/>
  <c r="AM591" i="86" l="1"/>
  <c r="AM592" i="86" l="1"/>
  <c r="AM593" i="86" l="1"/>
  <c r="AM594" i="86" l="1"/>
  <c r="AM595" i="86" l="1"/>
  <c r="AM596" i="86" l="1"/>
  <c r="AM597" i="86" l="1"/>
  <c r="AM598" i="86" l="1"/>
  <c r="AM599" i="86" l="1"/>
  <c r="AM600" i="86" l="1"/>
  <c r="AM601" i="86" l="1"/>
  <c r="AM602" i="86" l="1"/>
  <c r="AM603" i="86" l="1"/>
  <c r="AM604" i="86" l="1"/>
  <c r="AM605" i="86" l="1"/>
  <c r="AM606" i="86" l="1"/>
  <c r="AM607" i="86" l="1"/>
  <c r="AM608" i="86" l="1"/>
  <c r="AM609" i="86" l="1"/>
  <c r="AM610" i="86" l="1"/>
  <c r="AM611" i="86" l="1"/>
  <c r="AM612" i="86" l="1"/>
  <c r="AM613" i="86" l="1"/>
  <c r="AM614" i="86" l="1"/>
  <c r="AM615" i="86" l="1"/>
  <c r="AM616" i="86" l="1"/>
  <c r="AM617" i="86" l="1"/>
  <c r="AM618" i="86" l="1"/>
  <c r="AM619" i="86" l="1"/>
  <c r="AM620" i="86" l="1"/>
  <c r="AM621" i="86" l="1"/>
  <c r="AM622" i="86" l="1"/>
  <c r="AM623" i="86" l="1"/>
  <c r="AM624" i="86" l="1"/>
  <c r="AM625" i="86" l="1"/>
  <c r="AM626" i="86" l="1"/>
  <c r="AM627" i="86" l="1"/>
  <c r="AM628" i="86" l="1"/>
  <c r="AM629" i="86" l="1"/>
  <c r="AM630" i="86" l="1"/>
  <c r="AM631" i="86" l="1"/>
  <c r="AM632" i="86" l="1"/>
  <c r="AM633" i="86" l="1"/>
  <c r="AM634" i="86" l="1"/>
  <c r="AM635" i="86" l="1"/>
  <c r="AM636" i="86" l="1"/>
  <c r="AM637" i="86" l="1"/>
  <c r="AM638" i="86" l="1"/>
  <c r="AM639" i="86" l="1"/>
  <c r="AM640" i="86" l="1"/>
  <c r="AM641" i="86" l="1"/>
  <c r="AM642" i="86" l="1"/>
  <c r="AM643" i="86" l="1"/>
  <c r="AM644" i="86" l="1"/>
  <c r="AM645" i="86" l="1"/>
  <c r="AM646" i="86" l="1"/>
  <c r="AM647" i="86" l="1"/>
  <c r="AM648" i="86" l="1"/>
  <c r="AM649" i="86" l="1"/>
  <c r="AM650" i="86" l="1"/>
  <c r="AM651" i="86" l="1"/>
  <c r="AM652" i="86" l="1"/>
  <c r="AM653" i="86" l="1"/>
  <c r="AM654" i="86" l="1"/>
  <c r="AM655" i="86" l="1"/>
  <c r="AM656" i="86" l="1"/>
  <c r="AM657" i="86" l="1"/>
  <c r="AM658" i="86" l="1"/>
  <c r="AM659" i="86" l="1"/>
  <c r="AM660" i="86" l="1"/>
  <c r="AM661" i="86" l="1"/>
  <c r="AM662" i="86" l="1"/>
  <c r="AM663" i="86" l="1"/>
  <c r="AM664" i="86" l="1"/>
  <c r="AM665" i="86" l="1"/>
  <c r="AM666" i="86" l="1"/>
  <c r="AM667" i="86" l="1"/>
  <c r="AM668" i="86" l="1"/>
  <c r="AM669" i="86" l="1"/>
  <c r="AM670" i="86" l="1"/>
  <c r="AM671" i="86" l="1"/>
  <c r="AM672" i="86" l="1"/>
  <c r="AM673" i="86" l="1"/>
  <c r="AM674" i="86" l="1"/>
  <c r="AM675" i="86" l="1"/>
  <c r="AM676" i="86" l="1"/>
  <c r="AM677" i="86" l="1"/>
  <c r="AM678" i="86" l="1"/>
  <c r="AM679" i="86" l="1"/>
  <c r="AM680" i="86" l="1"/>
  <c r="AM681" i="86" l="1"/>
  <c r="AM682" i="86" l="1"/>
  <c r="AM683" i="86" l="1"/>
  <c r="AM684" i="86" l="1"/>
  <c r="AM685" i="86" l="1"/>
  <c r="AM686" i="86" l="1"/>
  <c r="AM687" i="86" l="1"/>
  <c r="AM688" i="86" l="1"/>
  <c r="AM689" i="86" l="1"/>
  <c r="AM690" i="86" l="1"/>
  <c r="AM691" i="86" l="1"/>
  <c r="AM692" i="86" l="1"/>
  <c r="AM693" i="86" l="1"/>
  <c r="AM694" i="86" l="1"/>
  <c r="AM695" i="86" l="1"/>
  <c r="AM696" i="86" l="1"/>
  <c r="AM697" i="86" l="1"/>
  <c r="AM698" i="86" l="1"/>
  <c r="AM699" i="86" l="1"/>
  <c r="AM700" i="86" l="1"/>
  <c r="AM701" i="86" l="1"/>
  <c r="AM702" i="86" l="1"/>
  <c r="AM703" i="86" l="1"/>
  <c r="AM704" i="86" l="1"/>
  <c r="AM705" i="86" l="1"/>
  <c r="AM706" i="86" l="1"/>
  <c r="AM707" i="86" l="1"/>
  <c r="AM708" i="86" l="1"/>
  <c r="AM709" i="86" l="1"/>
  <c r="AM710" i="86" l="1"/>
  <c r="AM711" i="86" l="1"/>
  <c r="AM712" i="86" l="1"/>
  <c r="AM713" i="86" l="1"/>
  <c r="AM714" i="86" l="1"/>
  <c r="AM715" i="86" l="1"/>
  <c r="AM716" i="86" l="1"/>
  <c r="AM717" i="86" l="1"/>
  <c r="AM718" i="86" l="1"/>
  <c r="AM719" i="86" l="1"/>
  <c r="AM720" i="86" l="1"/>
  <c r="AM721" i="86" l="1"/>
  <c r="AM722" i="86" l="1"/>
  <c r="AM723" i="86" l="1"/>
  <c r="AM724" i="86" l="1"/>
  <c r="AM725" i="86" l="1"/>
  <c r="AM726" i="86" l="1"/>
  <c r="AM727" i="86" l="1"/>
  <c r="AM728" i="86" l="1"/>
  <c r="AM729" i="86" l="1"/>
  <c r="AM730" i="86" l="1"/>
  <c r="AM731" i="86" l="1"/>
  <c r="AM732" i="86" l="1"/>
  <c r="AM733" i="86" l="1"/>
  <c r="AM734" i="86" l="1"/>
  <c r="AM735" i="86" l="1"/>
  <c r="AM736" i="86" l="1"/>
  <c r="AM737" i="86" l="1"/>
  <c r="AM738" i="86" l="1"/>
  <c r="AM739" i="86" l="1"/>
  <c r="AM740" i="86" l="1"/>
  <c r="AM741" i="86" l="1"/>
  <c r="AM742" i="86" l="1"/>
  <c r="AM743" i="86" l="1"/>
  <c r="AM744" i="86" l="1"/>
  <c r="AM745" i="86" l="1"/>
  <c r="AM746" i="86" l="1"/>
  <c r="AM747" i="86" l="1"/>
  <c r="AM748" i="86" l="1"/>
  <c r="AM749" i="86" l="1"/>
  <c r="AM750" i="86" l="1"/>
  <c r="AM751" i="86" l="1"/>
  <c r="AM752" i="86" l="1"/>
  <c r="AM753" i="86" l="1"/>
  <c r="AM754" i="86" l="1"/>
  <c r="AM755" i="86" l="1"/>
  <c r="AM756" i="86" l="1"/>
  <c r="AM757" i="86" l="1"/>
  <c r="AM758" i="86" l="1"/>
  <c r="AM759" i="86" l="1"/>
  <c r="AM760" i="86" l="1"/>
  <c r="AM761" i="86" l="1"/>
  <c r="AM762" i="86" l="1"/>
  <c r="AM763" i="86" l="1"/>
  <c r="AM764" i="86" l="1"/>
  <c r="AM765" i="86" l="1"/>
  <c r="AM766" i="86" l="1"/>
  <c r="AM767" i="86" l="1"/>
  <c r="AM768" i="86" l="1"/>
  <c r="AM769" i="86" l="1"/>
  <c r="AM770" i="86" l="1"/>
  <c r="AM771" i="86" l="1"/>
  <c r="AM772" i="86" l="1"/>
  <c r="AM773" i="86" l="1"/>
  <c r="AM774" i="86" l="1"/>
  <c r="AM775" i="86" l="1"/>
  <c r="AM776" i="86" l="1"/>
  <c r="AM777" i="86" l="1"/>
  <c r="AM778" i="86" l="1"/>
  <c r="AM779" i="86" l="1"/>
  <c r="AM780" i="86" l="1"/>
  <c r="AM781" i="86" l="1"/>
  <c r="AM782" i="86" l="1"/>
  <c r="AM783" i="86" l="1"/>
  <c r="AM784" i="86" l="1"/>
  <c r="AM785" i="86" l="1"/>
  <c r="AM786" i="86" l="1"/>
  <c r="AM787" i="86" l="1"/>
  <c r="AM788" i="86" l="1"/>
  <c r="AM789" i="86" l="1"/>
  <c r="AM790" i="86" l="1"/>
  <c r="AM791" i="86" l="1"/>
  <c r="AM792" i="86" l="1"/>
  <c r="AM793" i="86" l="1"/>
  <c r="AM794" i="86" l="1"/>
  <c r="AM795" i="86" l="1"/>
  <c r="AM796" i="86" l="1"/>
  <c r="AM797" i="86" l="1"/>
  <c r="AM798" i="86" l="1"/>
  <c r="AM799" i="86" l="1"/>
  <c r="AM800" i="86" l="1"/>
  <c r="AM801" i="86" l="1"/>
  <c r="AM802" i="86" l="1"/>
  <c r="AM803" i="86" l="1"/>
  <c r="AM804" i="86" l="1"/>
  <c r="AM805" i="86" l="1"/>
  <c r="AM806" i="86" l="1"/>
  <c r="AM807" i="86" l="1"/>
  <c r="AM808" i="86" l="1"/>
  <c r="AM809" i="86" l="1"/>
  <c r="AM810" i="86" l="1"/>
  <c r="AM811" i="86" l="1"/>
  <c r="AM812" i="86" l="1"/>
  <c r="AM813" i="86" l="1"/>
  <c r="AM814" i="86" l="1"/>
  <c r="AM815" i="86" l="1"/>
  <c r="AM816" i="86" l="1"/>
  <c r="AM817" i="86" l="1"/>
  <c r="AM818" i="86" l="1"/>
  <c r="AM819" i="86" l="1"/>
  <c r="AM820" i="86" l="1"/>
  <c r="AM821" i="86" l="1"/>
  <c r="AM822" i="86" l="1"/>
  <c r="AM823" i="86" l="1"/>
  <c r="AM824" i="86" l="1"/>
  <c r="AM825" i="86" l="1"/>
  <c r="AM826" i="86" l="1"/>
  <c r="AM827" i="86" l="1"/>
  <c r="AM828" i="86" l="1"/>
  <c r="AM829" i="86" l="1"/>
  <c r="AM830" i="86" l="1"/>
  <c r="AM831" i="86" l="1"/>
  <c r="AM832" i="86" l="1"/>
  <c r="AM833" i="86" l="1"/>
  <c r="AM834" i="86" l="1"/>
  <c r="AM835" i="86" l="1"/>
  <c r="AM836" i="86" l="1"/>
  <c r="AM837" i="86" l="1"/>
  <c r="AM838" i="86" l="1"/>
  <c r="AM839" i="86" l="1"/>
  <c r="AM840" i="86" l="1"/>
  <c r="AM841" i="86" l="1"/>
  <c r="AM842" i="86" l="1"/>
  <c r="AM843" i="86" l="1"/>
  <c r="AM844" i="86" l="1"/>
  <c r="AM845" i="86" l="1"/>
  <c r="AM846" i="86" l="1"/>
  <c r="AM847" i="86" l="1"/>
  <c r="AM848" i="86" l="1"/>
  <c r="AM849" i="86" l="1"/>
  <c r="AM850" i="86" l="1"/>
  <c r="AM851" i="86" l="1"/>
  <c r="AM852" i="86" l="1"/>
  <c r="AM853" i="86" l="1"/>
  <c r="AM854" i="86" l="1"/>
  <c r="AM855" i="86" l="1"/>
  <c r="AM856" i="86" l="1"/>
  <c r="AM857" i="86" l="1"/>
  <c r="AM858" i="86" l="1"/>
  <c r="AM859" i="86" l="1"/>
  <c r="AM860" i="86" l="1"/>
  <c r="AM861" i="86" l="1"/>
  <c r="AM862" i="86" l="1"/>
  <c r="AM863" i="86" l="1"/>
  <c r="AM864" i="86" l="1"/>
  <c r="AM865" i="86" l="1"/>
  <c r="AM866" i="86" l="1"/>
  <c r="AM867" i="86" l="1"/>
  <c r="AM868" i="86" l="1"/>
  <c r="AM869" i="86" l="1"/>
  <c r="AM870" i="86" l="1"/>
  <c r="AM871" i="86" l="1"/>
  <c r="AM872" i="86" l="1"/>
  <c r="AM873" i="86" l="1"/>
  <c r="AM874" i="86" l="1"/>
  <c r="AM875" i="86" l="1"/>
  <c r="AM876" i="86" l="1"/>
  <c r="AM877" i="86" l="1"/>
  <c r="AM878" i="86" l="1"/>
  <c r="AM879" i="86" l="1"/>
  <c r="AM880" i="86" l="1"/>
  <c r="AM881" i="86" l="1"/>
  <c r="AM882" i="86" l="1"/>
  <c r="AM883" i="86" l="1"/>
  <c r="AM884" i="86" l="1"/>
  <c r="AM885" i="86" l="1"/>
  <c r="AM886" i="86" l="1"/>
  <c r="AM887" i="86" l="1"/>
  <c r="AM888" i="86" l="1"/>
  <c r="AM889" i="86" l="1"/>
  <c r="AM890" i="86" l="1"/>
  <c r="AM891" i="86" l="1"/>
  <c r="AM892" i="86" l="1"/>
  <c r="AM893" i="86" l="1"/>
  <c r="AM894" i="86" l="1"/>
  <c r="AM895" i="86" l="1"/>
  <c r="AM896" i="86" l="1"/>
  <c r="AM897" i="86" l="1"/>
  <c r="AM898" i="86" l="1"/>
  <c r="AM899" i="86" l="1"/>
  <c r="AM900" i="86" l="1"/>
  <c r="AM901" i="86" l="1"/>
  <c r="AM902" i="86" l="1"/>
  <c r="AM903" i="86" l="1"/>
  <c r="AM904" i="86" l="1"/>
  <c r="AM905" i="86" l="1"/>
  <c r="AM906" i="86" l="1"/>
  <c r="AM907" i="86" l="1"/>
  <c r="AM908" i="86" l="1"/>
  <c r="AM909" i="86" l="1"/>
  <c r="AM910" i="86" l="1"/>
  <c r="AM911" i="86" l="1"/>
  <c r="AM912" i="86" l="1"/>
  <c r="AM913" i="86" l="1"/>
  <c r="AM914" i="86" l="1"/>
  <c r="AM915" i="86" l="1"/>
  <c r="AM916" i="86" l="1"/>
  <c r="AM917" i="86" l="1"/>
  <c r="AM918" i="86" l="1"/>
  <c r="AM919" i="86" l="1"/>
  <c r="AM920" i="86" l="1"/>
  <c r="AM921" i="86" l="1"/>
  <c r="AM922" i="86" l="1"/>
  <c r="AM923" i="86" l="1"/>
  <c r="AM924" i="86" l="1"/>
  <c r="AM925" i="86" l="1"/>
  <c r="AM926" i="86" l="1"/>
  <c r="AM927" i="86" l="1"/>
  <c r="AM928" i="86" l="1"/>
  <c r="AM929" i="86" l="1"/>
  <c r="AM930" i="86" l="1"/>
  <c r="AM931" i="86" l="1"/>
  <c r="AM932" i="86" l="1"/>
  <c r="AM933" i="86" l="1"/>
  <c r="AM934" i="86" l="1"/>
  <c r="AM935" i="86" l="1"/>
  <c r="AM936" i="86" l="1"/>
  <c r="AM937" i="86" l="1"/>
  <c r="AM938" i="86" l="1"/>
  <c r="AM939" i="86" l="1"/>
  <c r="AM940" i="86" l="1"/>
  <c r="AM941" i="86" l="1"/>
  <c r="AM942" i="86" l="1"/>
  <c r="AM943" i="86" l="1"/>
  <c r="AM944" i="86" l="1"/>
  <c r="AM945" i="86" l="1"/>
  <c r="AM946" i="86" l="1"/>
  <c r="AM947" i="86" l="1"/>
  <c r="AM948" i="86" l="1"/>
  <c r="AM949" i="86" l="1"/>
  <c r="AM950" i="86" l="1"/>
  <c r="AM951" i="86" l="1"/>
  <c r="AM952" i="86" l="1"/>
  <c r="AM953" i="86" l="1"/>
  <c r="AM954" i="86" l="1"/>
  <c r="AM955" i="86" l="1"/>
  <c r="AM956" i="86" l="1"/>
  <c r="AM957" i="86" l="1"/>
  <c r="AM958" i="86" l="1"/>
  <c r="AM959" i="86" l="1"/>
  <c r="AM960" i="86" l="1"/>
  <c r="AM961" i="86" l="1"/>
  <c r="AM962" i="86" l="1"/>
  <c r="AM963" i="86" l="1"/>
  <c r="AM964" i="86" l="1"/>
  <c r="AM965" i="86" l="1"/>
  <c r="AM966" i="86" l="1"/>
  <c r="AM967" i="86" l="1"/>
  <c r="AM968" i="86" l="1"/>
  <c r="AM969" i="86" l="1"/>
  <c r="AM970" i="86" l="1"/>
  <c r="AM971" i="86" l="1"/>
  <c r="AM972" i="86" l="1"/>
  <c r="AM973" i="86" l="1"/>
  <c r="AM974" i="86" l="1"/>
  <c r="AM975" i="86" l="1"/>
  <c r="AM976" i="86" l="1"/>
  <c r="AM977" i="86" l="1"/>
  <c r="AM978" i="86" l="1"/>
  <c r="AM979" i="86" l="1"/>
  <c r="AM980" i="86" l="1"/>
  <c r="AM981" i="86" l="1"/>
  <c r="AM982" i="86" l="1"/>
  <c r="AM983" i="86" l="1"/>
  <c r="AM984" i="86" l="1"/>
  <c r="AM985" i="86" l="1"/>
  <c r="AM986" i="86" l="1"/>
  <c r="AM987" i="86" l="1"/>
  <c r="AM988" i="86" l="1"/>
  <c r="AM989" i="86" l="1"/>
  <c r="AM990" i="86" l="1"/>
  <c r="AM991" i="86" l="1"/>
  <c r="AM992" i="86" l="1"/>
  <c r="AM993" i="86" l="1"/>
  <c r="AM994" i="86" l="1"/>
  <c r="AM995" i="86" l="1"/>
  <c r="AM996" i="86" l="1"/>
  <c r="AM997" i="86" l="1"/>
  <c r="AM998" i="86" l="1"/>
  <c r="AM999" i="86" l="1"/>
  <c r="AM1000" i="86" l="1"/>
  <c r="AM1001" i="86" l="1"/>
  <c r="AM1002" i="86" l="1"/>
  <c r="AM1003" i="86" l="1"/>
  <c r="AM1004" i="86" l="1"/>
  <c r="AM1005" i="86" l="1"/>
  <c r="AM1006" i="86" l="1"/>
  <c r="AM1007" i="86" l="1"/>
  <c r="AM1008" i="86" l="1"/>
  <c r="AM1009" i="86" l="1"/>
  <c r="AM1010" i="86" l="1"/>
  <c r="AM1011" i="86" l="1"/>
  <c r="AM1012" i="86" l="1"/>
  <c r="AM1013" i="86" l="1"/>
  <c r="AM1014" i="86" l="1"/>
  <c r="AM1015" i="86" l="1"/>
  <c r="AM1016" i="86" l="1"/>
  <c r="AM1017" i="86" l="1"/>
  <c r="AM1018" i="86" l="1"/>
  <c r="AM1019" i="86" l="1"/>
  <c r="AM1020" i="86" l="1"/>
  <c r="AM1021" i="86" l="1"/>
  <c r="AM1022" i="86" l="1"/>
  <c r="AM1023" i="86" l="1"/>
  <c r="AM1024" i="86" l="1"/>
  <c r="AM1025" i="86" l="1"/>
  <c r="AM1026" i="86" l="1"/>
  <c r="AM1027" i="86" l="1"/>
  <c r="AM1028" i="86" l="1"/>
  <c r="AM1029" i="86" l="1"/>
  <c r="AM1030" i="86" l="1"/>
  <c r="AM1031" i="86" l="1"/>
  <c r="AM1032" i="86" l="1"/>
  <c r="AM1033" i="86" l="1"/>
  <c r="AM1034" i="86" l="1"/>
  <c r="AM1035" i="86" l="1"/>
  <c r="AM1036" i="86" l="1"/>
  <c r="AM1037" i="86" l="1"/>
  <c r="AM1038" i="86" l="1"/>
  <c r="AM1039" i="86" l="1"/>
  <c r="AM1040" i="86" l="1"/>
  <c r="AM1041" i="86" l="1"/>
  <c r="AM1042" i="86" l="1"/>
  <c r="AM1043" i="86" l="1"/>
  <c r="AM1044" i="86" l="1"/>
  <c r="AM1045" i="86" l="1"/>
  <c r="AM1046" i="86" l="1"/>
  <c r="AM1047" i="86" l="1"/>
  <c r="AM1048" i="86" l="1"/>
  <c r="AM1049" i="86" l="1"/>
  <c r="AM1050" i="86" l="1"/>
  <c r="AM1051" i="86" l="1"/>
  <c r="D558" i="66" l="1"/>
  <c r="D557" i="66" l="1"/>
  <c r="D556" i="66" l="1"/>
  <c r="D555" i="66" l="1"/>
  <c r="D554" i="66" l="1"/>
  <c r="D553" i="66" l="1"/>
  <c r="D552" i="66" l="1"/>
  <c r="D551" i="66" l="1"/>
  <c r="D550" i="66" l="1"/>
  <c r="D549" i="66" l="1"/>
  <c r="D548" i="66" l="1"/>
  <c r="D547" i="66" l="1"/>
  <c r="D546" i="66" l="1"/>
  <c r="D545" i="66" l="1"/>
  <c r="D544" i="66" l="1"/>
  <c r="D543" i="66" l="1"/>
  <c r="D542" i="66" l="1"/>
  <c r="D541" i="66" l="1"/>
  <c r="D540" i="66" l="1"/>
  <c r="D539" i="66" l="1"/>
  <c r="D538" i="66" l="1"/>
  <c r="D537" i="66" l="1"/>
  <c r="D536" i="66" l="1"/>
  <c r="D535" i="66" l="1"/>
  <c r="D534" i="66" l="1"/>
  <c r="D533" i="66" l="1"/>
  <c r="D532" i="66" l="1"/>
  <c r="D531" i="66" l="1"/>
  <c r="D530" i="66" l="1"/>
  <c r="D529" i="66" l="1"/>
  <c r="D528" i="66" l="1"/>
  <c r="D527" i="66" l="1"/>
  <c r="D526" i="66" l="1"/>
  <c r="D525" i="66" l="1"/>
  <c r="D524" i="66" l="1"/>
  <c r="D523" i="66" l="1"/>
  <c r="D522" i="66" l="1"/>
  <c r="D521" i="66" l="1"/>
  <c r="D520" i="66" l="1"/>
  <c r="D519" i="66" l="1"/>
  <c r="D518" i="66" l="1"/>
  <c r="D517" i="66" l="1"/>
  <c r="D516" i="66" l="1"/>
  <c r="D515" i="66" l="1"/>
  <c r="D514" i="66" l="1"/>
  <c r="D513" i="66" l="1"/>
  <c r="D512" i="66" l="1"/>
  <c r="D511" i="66" l="1"/>
  <c r="D510" i="66" l="1"/>
  <c r="D509" i="66" l="1"/>
  <c r="D508" i="66" l="1"/>
  <c r="D507" i="66" l="1"/>
  <c r="D506" i="66" l="1"/>
  <c r="D505" i="66" l="1"/>
  <c r="D504" i="66" l="1"/>
  <c r="D503" i="66" l="1"/>
  <c r="D502" i="66" l="1"/>
  <c r="D501" i="66" l="1"/>
  <c r="D500" i="66" l="1"/>
  <c r="D499" i="66" l="1"/>
  <c r="D498" i="66" l="1"/>
  <c r="D497" i="66" l="1"/>
  <c r="D496" i="66" l="1"/>
  <c r="D495" i="66" l="1"/>
  <c r="D494" i="66" l="1"/>
  <c r="D493" i="66" l="1"/>
  <c r="D492" i="66" l="1"/>
  <c r="D491" i="66" l="1"/>
  <c r="D490" i="66" l="1"/>
  <c r="D489" i="66" l="1"/>
  <c r="D488" i="66" l="1"/>
  <c r="D487" i="66" l="1"/>
  <c r="D486" i="66" l="1"/>
  <c r="D485" i="66" l="1"/>
  <c r="D484" i="66" l="1"/>
  <c r="D483" i="66" l="1"/>
  <c r="D482" i="66" l="1"/>
  <c r="D481" i="66" l="1"/>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l="1"/>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6" i="66" l="1"/>
  <c r="D375" i="66" l="1"/>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l="1"/>
  <c r="D275" i="66" l="1"/>
  <c r="D274" i="66" l="1"/>
  <c r="D273" i="66" l="1"/>
  <c r="D272" i="66" l="1"/>
  <c r="D271" i="66" l="1"/>
  <c r="D270" i="66" l="1"/>
  <c r="D269" i="66" l="1"/>
  <c r="D268" i="66" l="1"/>
  <c r="D267" i="66" l="1"/>
  <c r="D266" i="66" l="1"/>
  <c r="D265" i="66" l="1"/>
  <c r="D264" i="66" l="1"/>
  <c r="D263" i="66" l="1"/>
  <c r="D262" i="66" l="1"/>
  <c r="D261" i="66" l="1"/>
  <c r="D260" i="66" l="1"/>
  <c r="D259" i="66" l="1"/>
  <c r="D258" i="66" l="1"/>
  <c r="D257" i="66" l="1"/>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l="1"/>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0" i="66" l="1"/>
  <c r="D201" i="66"/>
  <c r="D199" i="66" l="1"/>
  <c r="D198" i="66" l="1"/>
  <c r="D197" i="66" l="1"/>
  <c r="D196" i="66" l="1"/>
  <c r="D195" i="66" l="1"/>
  <c r="D193" i="66" l="1"/>
  <c r="E193" i="66" s="1"/>
  <c r="D194" i="66"/>
  <c r="Z170" i="78" l="1"/>
  <c r="AF170" i="78"/>
  <c r="H20" i="85" l="1"/>
  <c r="J13" i="83" l="1"/>
  <c r="M15" i="83" s="1"/>
  <c r="J18" i="83" l="1"/>
  <c r="M14" i="83" l="1"/>
  <c r="Z159" i="78" s="1"/>
  <c r="M13" i="83"/>
  <c r="D14" i="6"/>
  <c r="AF159" i="78" l="1"/>
  <c r="D23" i="6"/>
  <c r="D39" i="6" s="1"/>
  <c r="Z149" i="78" l="1"/>
  <c r="Z150" i="78" s="1"/>
  <c r="Z152" i="78" s="1"/>
  <c r="AG53" i="92"/>
  <c r="AA60" i="92" l="1"/>
  <c r="Z11" i="78" l="1"/>
  <c r="AL21" i="84"/>
  <c r="AI55" i="92"/>
  <c r="AK55" i="92"/>
  <c r="AG55" i="92"/>
  <c r="AM59" i="92"/>
  <c r="AG60" i="92"/>
  <c r="AI60" i="92"/>
  <c r="AM60" i="92"/>
  <c r="AK60" i="92"/>
  <c r="AK59" i="92"/>
  <c r="AG59" i="92"/>
  <c r="AI59" i="92"/>
  <c r="AA69" i="92"/>
  <c r="AA68" i="92"/>
  <c r="AF11" i="78" l="1"/>
  <c r="AR21" i="84"/>
  <c r="AJ11" i="78"/>
  <c r="AV21" i="84"/>
  <c r="AH11" i="78"/>
  <c r="AT21" i="84"/>
  <c r="AL11" i="78"/>
  <c r="AX21" i="84"/>
  <c r="Z12" i="78"/>
  <c r="AL22" i="84"/>
  <c r="AA45" i="92"/>
  <c r="AM68" i="92"/>
  <c r="AK68" i="92"/>
  <c r="AG69" i="92"/>
  <c r="AK69" i="92"/>
  <c r="AV22" i="84" s="1"/>
  <c r="AI68" i="92"/>
  <c r="AI69" i="92"/>
  <c r="AG68" i="92"/>
  <c r="AM69" i="92"/>
  <c r="AL12" i="78" l="1"/>
  <c r="AX22" i="84"/>
  <c r="AF12" i="78"/>
  <c r="AR22" i="84"/>
  <c r="AH12" i="78"/>
  <c r="AT22" i="84"/>
  <c r="AK45" i="92"/>
  <c r="AJ12" i="78"/>
  <c r="AM45" i="92"/>
  <c r="AI45" i="92"/>
  <c r="AG45" i="92"/>
  <c r="AA71" i="92"/>
  <c r="AK71" i="92"/>
  <c r="AI71" i="92"/>
  <c r="AG71" i="92"/>
  <c r="AM71" i="92"/>
  <c r="AA73" i="92"/>
  <c r="AA74" i="92"/>
  <c r="AM73" i="92"/>
  <c r="AK73" i="92"/>
  <c r="AI73" i="92"/>
  <c r="AI74" i="92"/>
  <c r="AK74" i="92"/>
  <c r="AV23" i="84" s="1"/>
  <c r="AM74" i="92"/>
  <c r="AG73" i="92"/>
  <c r="AG74" i="92"/>
  <c r="AR23" i="84" s="1"/>
  <c r="AK75" i="92" l="1"/>
  <c r="AK79" i="92" s="1"/>
  <c r="Z13" i="78"/>
  <c r="Z21" i="78" s="1"/>
  <c r="Z31" i="78" s="1"/>
  <c r="Z40" i="78" s="1"/>
  <c r="AL23" i="84"/>
  <c r="AL26" i="84" s="1"/>
  <c r="AM48" i="92"/>
  <c r="AX23" i="84"/>
  <c r="AI48" i="92"/>
  <c r="AT23" i="84"/>
  <c r="AA48" i="92"/>
  <c r="AK49" i="92"/>
  <c r="AA75" i="92"/>
  <c r="AK48" i="92"/>
  <c r="AJ13" i="78"/>
  <c r="AJ21" i="78" s="1"/>
  <c r="AJ31" i="78" s="1"/>
  <c r="AJ106" i="78" s="1"/>
  <c r="AM75" i="92"/>
  <c r="AL13" i="78"/>
  <c r="AL21" i="78" s="1"/>
  <c r="AL31" i="78" s="1"/>
  <c r="AG75" i="92"/>
  <c r="AF13" i="78"/>
  <c r="AF21" i="78" s="1"/>
  <c r="AF31" i="78" s="1"/>
  <c r="E13" i="6" s="1"/>
  <c r="E16" i="6" s="1"/>
  <c r="AI75" i="92"/>
  <c r="AH13" i="78"/>
  <c r="AH21" i="78" s="1"/>
  <c r="AH31" i="78" s="1"/>
  <c r="AH106" i="78" s="1"/>
  <c r="AG48" i="92"/>
  <c r="AL106" i="78" l="1"/>
  <c r="AL109" i="78" s="1"/>
  <c r="AL134" i="78" s="1"/>
  <c r="H13" i="6"/>
  <c r="H35" i="6" s="1"/>
  <c r="H29" i="6" s="1"/>
  <c r="BW7" i="92"/>
  <c r="BW14" i="92" s="1"/>
  <c r="Z32" i="78"/>
  <c r="Z34" i="78"/>
  <c r="Z47" i="78"/>
  <c r="Z41" i="78"/>
  <c r="Z107" i="78"/>
  <c r="Z76" i="78"/>
  <c r="Z73" i="78"/>
  <c r="Z70" i="78"/>
  <c r="Z88" i="78"/>
  <c r="AF40" i="78"/>
  <c r="AF41" i="78" s="1"/>
  <c r="AF73" i="78"/>
  <c r="AF88" i="78"/>
  <c r="AF76" i="78"/>
  <c r="AI49" i="92"/>
  <c r="AI79" i="92"/>
  <c r="AA49" i="92"/>
  <c r="AA79" i="92"/>
  <c r="AG49" i="92"/>
  <c r="AG79" i="92"/>
  <c r="AM49" i="92"/>
  <c r="AM79" i="92"/>
  <c r="AJ32" i="78"/>
  <c r="G13" i="6"/>
  <c r="AJ76" i="78"/>
  <c r="AJ70" i="78"/>
  <c r="AJ88" i="78"/>
  <c r="AJ73" i="78"/>
  <c r="AJ43" i="78"/>
  <c r="AJ97" i="78" s="1"/>
  <c r="AJ130" i="78" s="1"/>
  <c r="AJ34" i="78"/>
  <c r="AJ37" i="78" s="1"/>
  <c r="AJ40" i="78" s="1"/>
  <c r="AJ109" i="78"/>
  <c r="AJ134" i="78" s="1"/>
  <c r="AH73" i="78"/>
  <c r="AH43" i="78"/>
  <c r="AH97" i="78" s="1"/>
  <c r="AH130" i="78" s="1"/>
  <c r="AH34" i="78"/>
  <c r="AH37" i="78" s="1"/>
  <c r="AH94" i="78" s="1"/>
  <c r="AH128" i="78" s="1"/>
  <c r="AH76" i="78"/>
  <c r="F13" i="6"/>
  <c r="AH70" i="78"/>
  <c r="AH88" i="78"/>
  <c r="AH32" i="78"/>
  <c r="AF34" i="78"/>
  <c r="AF32" i="78"/>
  <c r="AL32" i="78"/>
  <c r="AL76" i="78"/>
  <c r="AL88" i="78"/>
  <c r="AL73" i="78"/>
  <c r="AL70" i="78"/>
  <c r="AF161" i="78"/>
  <c r="AL43" i="78"/>
  <c r="AL97" i="78" s="1"/>
  <c r="AL130" i="78" s="1"/>
  <c r="AL34" i="78"/>
  <c r="AL37" i="78" s="1"/>
  <c r="BW22" i="92" l="1"/>
  <c r="BU7" i="92"/>
  <c r="BU14" i="92" s="1"/>
  <c r="AI80" i="92"/>
  <c r="AK80" i="92"/>
  <c r="BS7" i="92"/>
  <c r="BS22" i="92" s="1"/>
  <c r="AG80" i="92"/>
  <c r="BM7" i="92"/>
  <c r="BM22" i="92" s="1"/>
  <c r="AA80" i="92"/>
  <c r="BY7" i="92"/>
  <c r="BY22" i="92" s="1"/>
  <c r="AM80" i="92"/>
  <c r="AH40" i="78"/>
  <c r="E35" i="6"/>
  <c r="E29" i="6" s="1"/>
  <c r="E22" i="6"/>
  <c r="AJ41" i="78"/>
  <c r="AJ46" i="78"/>
  <c r="G35" i="6"/>
  <c r="G29" i="6" s="1"/>
  <c r="H14" i="6"/>
  <c r="AL40" i="78"/>
  <c r="F35" i="6"/>
  <c r="F29" i="6" s="1"/>
  <c r="AH109" i="78"/>
  <c r="AH134" i="78" s="1"/>
  <c r="BU22" i="92" l="1"/>
  <c r="BY14" i="92"/>
  <c r="BS14" i="92"/>
  <c r="BS24" i="92" s="1"/>
  <c r="AF58" i="78" s="1"/>
  <c r="AF85" i="78" s="1"/>
  <c r="BM14" i="92"/>
  <c r="BM24" i="92" s="1"/>
  <c r="Z58" i="78" s="1"/>
  <c r="Z85" i="78" s="1"/>
  <c r="Z103" i="78" s="1"/>
  <c r="E14" i="6"/>
  <c r="AH41" i="78"/>
  <c r="AH46" i="78"/>
  <c r="AH82" i="78" s="1"/>
  <c r="AJ55" i="78" s="1"/>
  <c r="AJ82" i="78" s="1"/>
  <c r="AL55" i="78" s="1"/>
  <c r="AH79" i="78"/>
  <c r="F14" i="6"/>
  <c r="F22" i="6"/>
  <c r="E25" i="6"/>
  <c r="E23" i="6"/>
  <c r="AL46" i="78"/>
  <c r="AL41" i="78"/>
  <c r="G14" i="6"/>
  <c r="E19" i="6"/>
  <c r="E17" i="6"/>
  <c r="F16" i="6" s="1"/>
  <c r="E39" i="6" l="1"/>
  <c r="Z132" i="78"/>
  <c r="Z104" i="78"/>
  <c r="AF59" i="78"/>
  <c r="AF61" i="78"/>
  <c r="Z59" i="78"/>
  <c r="Z61" i="78"/>
  <c r="Z122" i="78" s="1"/>
  <c r="Z126" i="78" s="1"/>
  <c r="AJ52" i="78"/>
  <c r="AJ79" i="78" s="1"/>
  <c r="BU21" i="92"/>
  <c r="BU19" i="92" s="1"/>
  <c r="AH95" i="78"/>
  <c r="F17" i="6"/>
  <c r="G16" i="6" s="1"/>
  <c r="F19" i="6"/>
  <c r="G22" i="6"/>
  <c r="F23" i="6"/>
  <c r="F25" i="6"/>
  <c r="AL82" i="78"/>
  <c r="AF149" i="78" l="1"/>
  <c r="AF150" i="78" s="1"/>
  <c r="Z136" i="78"/>
  <c r="Z112" i="78"/>
  <c r="D42" i="6" s="1"/>
  <c r="D41" i="6"/>
  <c r="AF122" i="78"/>
  <c r="AF126" i="78" s="1"/>
  <c r="AF62" i="78"/>
  <c r="AJ49" i="78"/>
  <c r="AJ94" i="78" s="1"/>
  <c r="AJ128" i="78" s="1"/>
  <c r="Z62" i="78"/>
  <c r="BU24" i="92"/>
  <c r="AH58" i="78" s="1"/>
  <c r="AL52" i="78"/>
  <c r="AL49" i="78" s="1"/>
  <c r="BW21" i="92"/>
  <c r="F39" i="6"/>
  <c r="AH149" i="78" s="1"/>
  <c r="H22" i="6"/>
  <c r="G23" i="6"/>
  <c r="G25" i="6"/>
  <c r="G19" i="6"/>
  <c r="G17" i="6"/>
  <c r="H16" i="6" s="1"/>
  <c r="AH150" i="78" l="1"/>
  <c r="BW19" i="92"/>
  <c r="BW24" i="92" s="1"/>
  <c r="AJ58" i="78" s="1"/>
  <c r="AJ85" i="78" s="1" a="1"/>
  <c r="AJ85" i="78" s="1"/>
  <c r="AH61" i="78"/>
  <c r="AH122" i="78" s="1"/>
  <c r="AH126" i="78" s="1"/>
  <c r="AH85" i="78" a="1"/>
  <c r="AH85" i="78" s="1"/>
  <c r="D43" i="6"/>
  <c r="D44" i="6" s="1"/>
  <c r="D45" i="6" s="1"/>
  <c r="E41" i="6"/>
  <c r="AF112" i="78"/>
  <c r="E42" i="6" s="1"/>
  <c r="AH59" i="78"/>
  <c r="AJ95" i="78"/>
  <c r="AL79" i="78"/>
  <c r="H19" i="6"/>
  <c r="H17" i="6"/>
  <c r="G39" i="6"/>
  <c r="AJ149" i="78" s="1"/>
  <c r="H25" i="6"/>
  <c r="H23" i="6"/>
  <c r="AJ150" i="78" l="1"/>
  <c r="AH62" i="78"/>
  <c r="AJ103" i="78"/>
  <c r="AJ132" i="78" s="1"/>
  <c r="E43" i="6"/>
  <c r="E44" i="6" s="1"/>
  <c r="E45" i="6" s="1"/>
  <c r="BY21" i="92"/>
  <c r="BY19" i="92" s="1"/>
  <c r="F41" i="6"/>
  <c r="AH112" i="78"/>
  <c r="F42" i="6" s="1"/>
  <c r="AL94" i="78"/>
  <c r="H39" i="6"/>
  <c r="AL149" i="78" s="1"/>
  <c r="AL150" i="78" l="1"/>
  <c r="AJ104" i="78"/>
  <c r="BY24" i="92"/>
  <c r="AL58" i="78" s="1"/>
  <c r="AL85" i="78" s="1" a="1"/>
  <c r="AL85" i="78" s="1"/>
  <c r="AL103" i="78" s="1"/>
  <c r="F43" i="6"/>
  <c r="F44" i="6" s="1"/>
  <c r="F45" i="6" s="1"/>
  <c r="AL128" i="78"/>
  <c r="AL95" i="78"/>
  <c r="AL132" i="78" l="1"/>
  <c r="AL104" i="78"/>
  <c r="AL59" i="78"/>
  <c r="AL61" i="78"/>
  <c r="AF162" i="78"/>
  <c r="AJ59" i="78"/>
  <c r="AJ61" i="78"/>
  <c r="AJ62" i="78" s="1"/>
  <c r="AL62" i="78" l="1"/>
  <c r="AL122" i="78"/>
  <c r="Z161" i="78" s="1"/>
  <c r="AJ122" i="78"/>
  <c r="AJ126" i="78" s="1"/>
  <c r="Z162" i="78" l="1"/>
  <c r="AL126" i="78"/>
  <c r="AL136" i="78" s="1"/>
  <c r="AJ136" i="78"/>
  <c r="G41" i="6"/>
  <c r="AJ112" i="78"/>
  <c r="G42" i="6" s="1"/>
  <c r="AN136" i="78" l="1"/>
  <c r="AL152" i="78"/>
  <c r="H41" i="6"/>
  <c r="AL159" i="78"/>
  <c r="AL112" i="78"/>
  <c r="H42" i="6" s="1"/>
  <c r="AJ152" i="78"/>
  <c r="G43" i="6"/>
  <c r="AL161" i="78" l="1"/>
  <c r="AL162" i="78" s="1"/>
  <c r="H43" i="6"/>
  <c r="H44" i="6" s="1"/>
  <c r="G44" i="6"/>
  <c r="G45" i="6" s="1"/>
  <c r="H45" i="6" l="1"/>
  <c r="AF70" i="78"/>
  <c r="AH103" i="78" l="1"/>
  <c r="AH104" i="78" s="1"/>
  <c r="AF103" i="78"/>
  <c r="AH132" i="78" l="1"/>
  <c r="AH136" i="78" s="1"/>
  <c r="AH152" i="78" s="1"/>
  <c r="AF132" i="78"/>
  <c r="AF136" i="78" s="1"/>
  <c r="AF152" i="78" s="1"/>
  <c r="AF104" i="78"/>
  <c r="AF163" i="78" l="1"/>
  <c r="AF167" i="78" s="1"/>
  <c r="AF169" i="78" s="1"/>
  <c r="AL163" i="78"/>
  <c r="AL167" i="78" s="1"/>
  <c r="AL169" i="78" s="1"/>
  <c r="Z163" i="78"/>
  <c r="Z167" i="78" s="1"/>
  <c r="Z169" i="78" s="1"/>
  <c r="T33" i="91" l="1"/>
  <c r="AL171" i="78"/>
  <c r="T34" i="91"/>
  <c r="Z171" i="78"/>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T35" i="91"/>
  <c r="AF171" i="78"/>
  <c r="L160" i="66"/>
  <c r="R162" i="78" l="1"/>
  <c r="R164" i="78" s="1"/>
  <c r="X39" i="91" a="1"/>
  <c r="X39" i="91" s="1"/>
  <c r="X40" i="91" a="1"/>
  <c r="X40" i="91" s="1"/>
  <c r="Y38" i="91" a="1"/>
  <c r="Y38" i="91" s="1"/>
  <c r="Y44" i="91" a="1"/>
  <c r="Y44" i="91" s="1"/>
  <c r="Y40" i="91" a="1"/>
  <c r="Y40" i="91" s="1"/>
  <c r="Y39" i="91" a="1"/>
  <c r="Y39" i="91" s="1"/>
  <c r="X43" i="91" a="1"/>
  <c r="X43" i="91" s="1"/>
  <c r="X38" i="91" a="1"/>
  <c r="X38" i="91" s="1"/>
  <c r="X42" i="91" a="1"/>
  <c r="X42" i="91" s="1"/>
  <c r="Y41" i="91" a="1"/>
  <c r="Y41" i="91" s="1"/>
  <c r="X44" i="91" a="1"/>
  <c r="X44" i="91" s="1"/>
  <c r="Y42" i="91" a="1"/>
  <c r="Y42" i="91" s="1"/>
  <c r="X41" i="91" a="1"/>
  <c r="X41" i="91" s="1"/>
  <c r="Y43" i="91" a="1"/>
  <c r="Y43" i="91" s="1"/>
  <c r="R163" i="78" l="1"/>
  <c r="Z43" i="91"/>
  <c r="Z38" i="91"/>
  <c r="Z44" i="91"/>
  <c r="Z41" i="91"/>
  <c r="Z40" i="91"/>
  <c r="Z42" i="91"/>
  <c r="Z39" i="91"/>
  <c r="AD28" i="91" l="1" a="1"/>
  <c r="AD28" i="9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B24" authorId="0" shapeId="0" xr:uid="{366FFF6B-B800-46E3-AB92-3479D4817CED}">
      <text>
        <r>
          <rPr>
            <b/>
            <sz val="9"/>
            <color indexed="81"/>
            <rFont val="Tahoma"/>
            <family val="2"/>
          </rPr>
          <t>mafalda:</t>
        </r>
        <r>
          <rPr>
            <sz val="9"/>
            <color indexed="81"/>
            <rFont val="Tahoma"/>
            <family val="2"/>
          </rPr>
          <t xml:space="preserve">
This include other subsidiary revenues, accessorial revenues and others.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Guilherme Jesus Tomás</author>
  </authors>
  <commentList>
    <comment ref="F15" authorId="0" shapeId="0" xr:uid="{CA3A93CF-FD02-45CD-B78A-6C2F5F5B7149}">
      <text>
        <r>
          <rPr>
            <sz val="11"/>
            <color theme="1"/>
            <rFont val="Arial"/>
            <family val="2"/>
          </rPr>
          <t xml:space="preserve">Guilherme Jesus Tomás:
doubled its revenue in the last 10 years
</t>
        </r>
      </text>
    </comment>
    <comment ref="G18" authorId="0" shapeId="0" xr:uid="{4750286E-BE04-47F9-924A-1307525F340D}">
      <text>
        <r>
          <rPr>
            <sz val="11"/>
            <color theme="1"/>
            <rFont val="Arial"/>
            <family val="2"/>
          </rPr>
          <t>Guilherme Jesus Tomás:
Insurance / non operating profit (eastearn ohio incident)</t>
        </r>
      </text>
    </comment>
    <comment ref="G19" authorId="0" shapeId="0" xr:uid="{164CE5D8-E3F1-4890-A33B-97BCC99B5578}">
      <text>
        <r>
          <rPr>
            <sz val="11"/>
            <color theme="1"/>
            <rFont val="Arial"/>
            <family val="2"/>
          </rPr>
          <t xml:space="preserve">Guilherme Jesus Tomás:
It was negative in the 2 previous years (recuperation)
</t>
        </r>
      </text>
    </comment>
    <comment ref="B26" authorId="0" shapeId="0" xr:uid="{56B22545-A3E1-44A1-B01F-CC35D1BE586D}">
      <text>
        <r>
          <rPr>
            <sz val="11"/>
            <color theme="1"/>
            <rFont val="Arial"/>
            <family val="2"/>
          </rPr>
          <t>Guilherme Jesus Tomás:
solid values over the years (stable industry)</t>
        </r>
      </text>
    </comment>
    <comment ref="H32" authorId="0" shapeId="0" xr:uid="{83D365CD-1A3A-4F4B-B241-FFD2CA13BF25}">
      <text>
        <r>
          <rPr>
            <sz val="11"/>
            <color theme="1"/>
            <rFont val="Arial"/>
            <family val="2"/>
          </rPr>
          <t>Guilherme Jesus Tomás:
has negative ROIC-WACC</t>
        </r>
      </text>
    </comment>
    <comment ref="F36" authorId="0" shapeId="0" xr:uid="{8AB6C8B6-3419-426A-8970-06EFE68C8543}">
      <text>
        <r>
          <rPr>
            <sz val="11"/>
            <color theme="1"/>
            <rFont val="Arial"/>
            <family val="2"/>
          </rPr>
          <t xml:space="preserve">Guilherme Jesus Tomás:
used to be higher (has been decreasing)
</t>
        </r>
      </text>
    </comment>
    <comment ref="B41" authorId="0" shapeId="0" xr:uid="{A1BBCBCB-9584-4259-8AA4-3F983A7ECE0D}">
      <text>
        <r>
          <rPr>
            <sz val="11"/>
            <color theme="1"/>
            <rFont val="Arial"/>
            <family val="2"/>
          </rPr>
          <t>Guilherme Jesus Tomás: capital intensive industry</t>
        </r>
      </text>
    </comment>
    <comment ref="B53" authorId="0" shapeId="0" xr:uid="{971826A4-E905-451C-BA08-017C0BE68D97}">
      <text>
        <r>
          <rPr>
            <sz val="11"/>
            <color theme="1"/>
            <rFont val="Arial"/>
            <family val="2"/>
          </rPr>
          <t xml:space="preserve">Guilherme Jesus Tomás:
Negative value: receive prepayments or quick payments from customers, but have ongoing liabilities      </t>
        </r>
      </text>
    </comment>
    <comment ref="H61" authorId="0" shapeId="0" xr:uid="{F96DABFE-425B-43B7-9B9B-AE696EF8C064}">
      <text>
        <r>
          <rPr>
            <sz val="11"/>
            <color theme="1"/>
            <rFont val="Arial"/>
            <family val="2"/>
          </rPr>
          <t xml:space="preserve">Guilherme Jesus Tomás:
interest expense almost = 0
</t>
        </r>
      </text>
    </comment>
    <comment ref="H77" authorId="0" shapeId="0" xr:uid="{CE2C0D3B-8FE7-45DF-B09F-99F883A1622A}">
      <text>
        <r>
          <rPr>
            <sz val="11"/>
            <color theme="1"/>
            <rFont val="Arial"/>
            <family val="2"/>
          </rPr>
          <t xml:space="preserve">Guilherme Jesus Tomás:
wholly owned subsidiary of Berkshire Hathaway
</t>
        </r>
      </text>
    </comment>
    <comment ref="H78" authorId="0" shapeId="0" xr:uid="{4186E413-1E37-47A0-84AF-409EB7938FDF}">
      <text>
        <r>
          <rPr>
            <sz val="11"/>
            <color theme="1"/>
            <rFont val="Arial"/>
            <family val="2"/>
          </rPr>
          <t xml:space="preserve">Guilherme Jesus Tomás:
wholly owned subsidiary of Berkshire Hathaway
</t>
        </r>
      </text>
    </comment>
    <comment ref="H79" authorId="0" shapeId="0" xr:uid="{8751E40A-B092-4156-BDA2-E57AA01C1F56}">
      <text>
        <r>
          <rPr>
            <sz val="11"/>
            <color theme="1"/>
            <rFont val="Arial"/>
            <family val="2"/>
          </rPr>
          <t xml:space="preserve">Guilherme Jesus Tomás:
wholly owned subsidiary of Berkshire Hathaway
</t>
        </r>
      </text>
    </comment>
    <comment ref="I84" authorId="0" shapeId="0" xr:uid="{77E1538B-3418-4D5E-BDC1-BA6F1F719A4E}">
      <text>
        <r>
          <rPr>
            <sz val="11"/>
            <color theme="1"/>
            <rFont val="Arial"/>
            <family val="2"/>
          </rPr>
          <t>Guilherme Jesus Tomás:
negative Capex
bigger than the above</t>
        </r>
      </text>
    </comment>
    <comment ref="H114" authorId="0" shapeId="0" xr:uid="{AD557BEF-659E-4370-B61E-8B07B2A5B6EA}">
      <text>
        <r>
          <rPr>
            <sz val="11"/>
            <color theme="1"/>
            <rFont val="Arial"/>
            <family val="2"/>
          </rPr>
          <t xml:space="preserve">Guilherme Jesus Tomás:
wholly owned subsidiary of Berkshire Hathaway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N13" authorId="0" shapeId="0" xr:uid="{43A35F6F-B3A0-4F9D-989A-C733420FE293}">
      <text>
        <r>
          <rPr>
            <b/>
            <sz val="9"/>
            <color indexed="81"/>
            <rFont val="Tahoma"/>
            <family val="2"/>
          </rPr>
          <t>mafalda:</t>
        </r>
        <r>
          <rPr>
            <sz val="9"/>
            <color indexed="81"/>
            <rFont val="Tahoma"/>
            <family val="2"/>
          </rPr>
          <t xml:space="preserve">
UP freight revenues are 40% from outside of US. Canada, Mexico, and the country’s eastern gateways, originated or terminated there.
They don't disclose the real percentage just a proxy.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B21" authorId="0" shapeId="0" xr:uid="{5F7B2A96-6377-4709-9764-2867BEE19392}">
      <text>
        <r>
          <rPr>
            <b/>
            <sz val="9"/>
            <color indexed="81"/>
            <rFont val="Tahoma"/>
            <family val="2"/>
          </rPr>
          <t>mafalda:</t>
        </r>
        <r>
          <rPr>
            <sz val="9"/>
            <color indexed="81"/>
            <rFont val="Tahoma"/>
            <family val="2"/>
          </rPr>
          <t xml:space="preserve">
Projection without consideration of Norfolk Southern acquisition.</t>
        </r>
      </text>
    </comment>
    <comment ref="Z106" authorId="0" shapeId="0" xr:uid="{62093361-FD88-4F51-8A95-78B5C80CFB67}">
      <text>
        <r>
          <rPr>
            <b/>
            <sz val="9"/>
            <color indexed="81"/>
            <rFont val="Tahoma"/>
            <family val="2"/>
          </rPr>
          <t>mafalda:</t>
        </r>
        <r>
          <rPr>
            <sz val="9"/>
            <color indexed="81"/>
            <rFont val="Tahoma"/>
            <family val="2"/>
          </rPr>
          <t xml:space="preserve">
2025 Capital plan, has target of 3.4 Bi of CapEx.Include maintenance Capex and replace older assets, including modernization of their locomotive fleet and acquiring freight cars to support replacement and growth
 opportunities</t>
        </r>
      </text>
    </comment>
    <comment ref="AH107" authorId="0" shapeId="0" xr:uid="{E65B9117-EC33-449A-A624-72FF3E271F91}">
      <text>
        <r>
          <rPr>
            <b/>
            <sz val="9"/>
            <color indexed="81"/>
            <rFont val="Tahoma"/>
            <family val="2"/>
          </rPr>
          <t>mafalda:</t>
        </r>
        <r>
          <rPr>
            <sz val="9"/>
            <color indexed="81"/>
            <rFont val="Tahoma"/>
            <family val="2"/>
          </rPr>
          <t xml:space="preserve">
The company has forecasted 3.5-3.7 bi in CapEx until 2027. 
</t>
        </r>
      </text>
    </comment>
    <comment ref="AH113" authorId="0" shapeId="0" xr:uid="{A8144274-F052-433C-9B18-010D52D5D947}">
      <text>
        <r>
          <rPr>
            <b/>
            <sz val="9"/>
            <color indexed="81"/>
            <rFont val="Tahoma"/>
            <family val="2"/>
          </rPr>
          <t>mafalda:</t>
        </r>
        <r>
          <rPr>
            <sz val="9"/>
            <color indexed="81"/>
            <rFont val="Tahoma"/>
            <family val="2"/>
          </rPr>
          <t xml:space="preserve">
Company has in its intent of having steady increasing dividend payment in Business Plan.</t>
        </r>
      </text>
    </comment>
    <comment ref="W115" authorId="0" shapeId="0" xr:uid="{93C0D2F6-8B64-4262-A3F9-96A158097705}">
      <text>
        <r>
          <rPr>
            <b/>
            <sz val="9"/>
            <color indexed="81"/>
            <rFont val="Tahoma"/>
            <family val="2"/>
          </rPr>
          <t>mafalda:</t>
        </r>
        <r>
          <rPr>
            <sz val="9"/>
            <color indexed="81"/>
            <rFont val="Tahoma"/>
            <family val="2"/>
          </rPr>
          <t xml:space="preserve">
An accelerated stock repurchase agreement (ASRs), of $1.5 Bi with Barclays (LON:BARC) Bank PLC and Citibank</t>
        </r>
      </text>
    </comment>
    <comment ref="Z115" authorId="0" shapeId="0" xr:uid="{6DCCB286-FB80-4BAD-88E9-60F489D4DFC6}">
      <text>
        <r>
          <rPr>
            <b/>
            <sz val="9"/>
            <color indexed="81"/>
            <rFont val="Tahoma"/>
            <family val="2"/>
          </rPr>
          <t>mafalda:</t>
        </r>
        <r>
          <rPr>
            <sz val="9"/>
            <color indexed="81"/>
            <rFont val="Tahoma"/>
            <family val="2"/>
          </rPr>
          <t xml:space="preserve">
share repurchase of $4bi to $4.5bi.
</t>
        </r>
      </text>
    </comment>
    <comment ref="AH115" authorId="0" shapeId="0" xr:uid="{D366F97A-D52D-4E90-8900-13A6CFFA59AB}">
      <text>
        <r>
          <rPr>
            <b/>
            <sz val="9"/>
            <color indexed="81"/>
            <rFont val="Tahoma"/>
            <family val="2"/>
          </rPr>
          <t>mafalda:</t>
        </r>
        <r>
          <rPr>
            <sz val="9"/>
            <color indexed="81"/>
            <rFont val="Tahoma"/>
            <family val="2"/>
          </rPr>
          <t xml:space="preserve">
Business plan until 2027 is of $4-5Bi per year.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AA8" authorId="0" shapeId="0" xr:uid="{5BE333BE-87F9-4F5A-A266-B8E4A6747366}">
      <text>
        <r>
          <rPr>
            <b/>
            <sz val="9"/>
            <color indexed="81"/>
            <rFont val="Tahoma"/>
            <family val="2"/>
          </rPr>
          <t>mafalda:</t>
        </r>
        <r>
          <rPr>
            <sz val="9"/>
            <color indexed="81"/>
            <rFont val="Tahoma"/>
            <family val="2"/>
          </rPr>
          <t xml:space="preserve">
We expect a continue increase in carloads, as there was a tendency for increasing crop production, particularly for crops like corn and wheat in US, and it is expected to continue.</t>
        </r>
      </text>
    </comment>
    <comment ref="AA10" authorId="0" shapeId="0" xr:uid="{66D5D1C1-D7A1-4531-AAAC-8685D42B4DA7}">
      <text>
        <r>
          <rPr>
            <b/>
            <sz val="9"/>
            <color indexed="81"/>
            <rFont val="Tahoma"/>
            <family val="2"/>
          </rPr>
          <t>mafalda:</t>
        </r>
        <r>
          <rPr>
            <sz val="9"/>
            <color indexed="81"/>
            <rFont val="Tahoma"/>
            <family val="2"/>
          </rPr>
          <t xml:space="preserve">
Mckinsey forecasts there will be an increasing demand for fertilizers, due to the growing population and increased caloric needs. 
Mostly fertilizers are imported to the US.</t>
        </r>
      </text>
    </comment>
    <comment ref="BG11" authorId="0" shapeId="0" xr:uid="{7AB29868-35B9-44D8-9144-41429E29D881}">
      <text>
        <r>
          <rPr>
            <b/>
            <sz val="9"/>
            <color indexed="81"/>
            <rFont val="Tahoma"/>
            <family val="2"/>
          </rPr>
          <t>mafalda:</t>
        </r>
        <r>
          <rPr>
            <sz val="9"/>
            <color indexed="81"/>
            <rFont val="Tahoma"/>
            <family val="2"/>
          </rPr>
          <t xml:space="preserve">
2% increase due to wage inflation, also impact of labor agreements, offset by lower employee level.</t>
        </r>
      </text>
    </comment>
    <comment ref="BM12" authorId="0" shapeId="0" xr:uid="{51085B9D-B48B-41B7-87F4-7811A772DCBF}">
      <text>
        <r>
          <rPr>
            <b/>
            <sz val="9"/>
            <color indexed="81"/>
            <rFont val="Tahoma"/>
            <family val="2"/>
          </rPr>
          <t>mafalda:</t>
        </r>
        <r>
          <rPr>
            <sz val="9"/>
            <color indexed="81"/>
            <rFont val="Tahoma"/>
            <family val="2"/>
          </rPr>
          <t xml:space="preserve">
Lower employee levels as off 2nd quarter of 2025.Assumed a value close to 2nd quarter average.
As company is on a tendency to cut employees, turning more efficient.</t>
        </r>
      </text>
    </comment>
    <comment ref="AA14" authorId="0" shapeId="0" xr:uid="{AC479D8A-2AC4-4FC7-81CE-1863CDC9D75E}">
      <text>
        <r>
          <rPr>
            <b/>
            <sz val="9"/>
            <color indexed="81"/>
            <rFont val="Tahoma"/>
            <family val="2"/>
          </rPr>
          <t>mafalda:</t>
        </r>
        <r>
          <rPr>
            <sz val="9"/>
            <color indexed="81"/>
            <rFont val="Tahoma"/>
            <family val="2"/>
          </rPr>
          <t xml:space="preserve">
 Lower coal demand, resulting from ongoing competitive energy dynamics
 and reduced coal-fired electricity production. According to International Energy agency, demand for coal in the US went down by 4%, and is expected, with 2025 expected to climb by 7%</t>
        </r>
      </text>
    </comment>
    <comment ref="BM17" authorId="0" shapeId="0" xr:uid="{831070AD-7267-42A9-854E-2982D2A1F67D}">
      <text>
        <r>
          <rPr>
            <b/>
            <sz val="9"/>
            <color indexed="81"/>
            <rFont val="Tahoma"/>
            <family val="2"/>
          </rPr>
          <t>mafalda:</t>
        </r>
        <r>
          <rPr>
            <sz val="9"/>
            <color indexed="81"/>
            <rFont val="Tahoma"/>
            <family val="2"/>
          </rPr>
          <t xml:space="preserve">
Average of 2nd quarter according to report. Range of $2,42 to $2,73 per gallon in diesel.</t>
        </r>
      </text>
    </comment>
    <comment ref="BS17" authorId="0" shapeId="0" xr:uid="{F931950D-E5FC-440E-9F39-E7CE7C5BDAC7}">
      <text>
        <r>
          <rPr>
            <b/>
            <sz val="9"/>
            <color indexed="81"/>
            <rFont val="Tahoma"/>
            <family val="2"/>
          </rPr>
          <t>mafalda:</t>
        </r>
        <r>
          <rPr>
            <sz val="9"/>
            <color indexed="81"/>
            <rFont val="Tahoma"/>
            <family val="2"/>
          </rPr>
          <t xml:space="preserve">
Forecast of OPEC is 2,33, the value is higher, as usually average in previous years was above then OPEC average price.</t>
        </r>
      </text>
    </comment>
    <comment ref="AA18" authorId="0" shapeId="0" xr:uid="{67C42076-A86F-420F-B281-F4BB3650C365}">
      <text>
        <r>
          <rPr>
            <b/>
            <sz val="9"/>
            <color indexed="81"/>
            <rFont val="Tahoma"/>
            <family val="2"/>
          </rPr>
          <t>mafalda:</t>
        </r>
        <r>
          <rPr>
            <sz val="9"/>
            <color indexed="81"/>
            <rFont val="Tahoma"/>
            <family val="2"/>
          </rPr>
          <t xml:space="preserve">
Already in 2 quarters the main reason why industrials segment volume increased.</t>
        </r>
      </text>
    </comment>
    <comment ref="BY18" authorId="0" shapeId="0" xr:uid="{F6B780CC-275F-4573-99EB-FAB252E3F9E6}">
      <text>
        <r>
          <rPr>
            <b/>
            <sz val="9"/>
            <color indexed="81"/>
            <rFont val="Tahoma"/>
            <family val="2"/>
          </rPr>
          <t>mafalda:</t>
        </r>
        <r>
          <rPr>
            <sz val="9"/>
            <color indexed="81"/>
            <rFont val="Tahoma"/>
            <family val="2"/>
          </rPr>
          <t xml:space="preserve">
Value taking into account that company is also including in its fleet hybrid-battery electric locomotives. So likely to decrease the need for fuel.</t>
        </r>
      </text>
    </comment>
    <comment ref="AA20" authorId="0" shapeId="0" xr:uid="{F2B6C4BB-A963-46D0-92F8-CE92A06D4352}">
      <text>
        <r>
          <rPr>
            <b/>
            <sz val="9"/>
            <color indexed="81"/>
            <rFont val="Tahoma"/>
            <family val="2"/>
          </rPr>
          <t>mafalda:</t>
        </r>
        <r>
          <rPr>
            <sz val="9"/>
            <color indexed="81"/>
            <rFont val="Tahoma"/>
            <family val="2"/>
          </rPr>
          <t xml:space="preserve">
Cyclical industry, so we lead it to steady state, as there is expectancy for recession in following years.
</t>
        </r>
      </text>
    </comment>
    <comment ref="AA28" authorId="0" shapeId="0" xr:uid="{35B29F5C-DC8F-4B4B-BB1F-C35A3942B529}">
      <text>
        <r>
          <rPr>
            <b/>
            <sz val="9"/>
            <color indexed="81"/>
            <rFont val="Tahoma"/>
            <family val="2"/>
          </rPr>
          <t>mafalda:</t>
        </r>
        <r>
          <rPr>
            <sz val="9"/>
            <color indexed="81"/>
            <rFont val="Tahoma"/>
            <family val="2"/>
          </rPr>
          <t xml:space="preserve">
Tariff uncertainties decrease the demand.</t>
        </r>
      </text>
    </comment>
    <comment ref="AA30" authorId="0" shapeId="0" xr:uid="{80638055-814E-4F6B-B0E6-FC6B93485612}">
      <text>
        <r>
          <rPr>
            <b/>
            <sz val="9"/>
            <color indexed="81"/>
            <rFont val="Tahoma"/>
            <family val="2"/>
          </rPr>
          <t>mafalda:</t>
        </r>
        <r>
          <rPr>
            <sz val="9"/>
            <color indexed="81"/>
            <rFont val="Tahoma"/>
            <family val="2"/>
          </rPr>
          <t xml:space="preserve">
mafalda:
Open new intermodal terminal in Kansas, leading to increase of sales. 4th since 2021.  </t>
        </r>
      </text>
    </comment>
    <comment ref="AA72" authorId="0" shapeId="0" xr:uid="{652D7B92-96A7-414D-A06C-EADB6873D826}">
      <text>
        <r>
          <rPr>
            <b/>
            <sz val="9"/>
            <color indexed="81"/>
            <rFont val="Tahoma"/>
            <family val="2"/>
          </rPr>
          <t>mafalda:</t>
        </r>
        <r>
          <rPr>
            <sz val="9"/>
            <color indexed="81"/>
            <rFont val="Tahoma"/>
            <family val="2"/>
          </rPr>
          <t xml:space="preserve">
New opening of the Kansas terminal, so there is a belief that this sector shipments will improve.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<sst xmlns="http://schemas.openxmlformats.org/spreadsheetml/2006/main" count="3577" uniqueCount="1692">
  <si>
    <t>TODAY</t>
  </si>
  <si>
    <t>Analysts</t>
  </si>
  <si>
    <t>LIS – Equity Research</t>
  </si>
  <si>
    <t>Stock Performance</t>
  </si>
  <si>
    <t>Mafalda Joana Bento, Co-Head of Equity Research</t>
  </si>
  <si>
    <t>Recommendation:</t>
  </si>
  <si>
    <t>Hold</t>
  </si>
  <si>
    <t>Bsc in Economics, ISEG – Ulisboa</t>
  </si>
  <si>
    <t>Target Price (FCFF):</t>
  </si>
  <si>
    <t>mafaldajbento@aln.iseg.ulisboa.pt</t>
  </si>
  <si>
    <t>Downside:</t>
  </si>
  <si>
    <t>Deolize Neto, Analyst</t>
  </si>
  <si>
    <t>Bsc in Finance, ISEG – Ulisboa</t>
  </si>
  <si>
    <t>Ticker</t>
  </si>
  <si>
    <t>UNP</t>
  </si>
  <si>
    <t>l62144@aln.iseg.ulisboa.pt</t>
  </si>
  <si>
    <t>Stock Exchange</t>
  </si>
  <si>
    <t>NYS</t>
  </si>
  <si>
    <t>Guilherme Tomás, Analyst</t>
  </si>
  <si>
    <t>Bsc in Applied Mathematics, ISEG – Ulisboa</t>
  </si>
  <si>
    <t>Current Price</t>
  </si>
  <si>
    <t>l63853@aln.iseg.ulisboa.pt</t>
  </si>
  <si>
    <t>Beta</t>
  </si>
  <si>
    <t>% of 52-Week High</t>
  </si>
  <si>
    <t>100-Day Moving Average</t>
  </si>
  <si>
    <t>Reviewed by:</t>
  </si>
  <si>
    <t>Avg Vol (1 month)</t>
  </si>
  <si>
    <t>NAME, Analyst</t>
  </si>
  <si>
    <t>Shares Outstanding (millions)</t>
  </si>
  <si>
    <t>Bsc in XXX, ISEG – Ulisboa</t>
  </si>
  <si>
    <t>% Float</t>
  </si>
  <si>
    <t>email@aln.iseg.ulisboa.pt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</si>
  <si>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</si>
  <si>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</si>
  <si>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</si>
  <si>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</si>
  <si>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</si>
  <si>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</si>
  <si>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</si>
  <si>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</si>
  <si>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</si>
  <si>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</si>
  <si>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</si>
  <si>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</si>
  <si>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</si>
  <si>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</si>
  <si>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</si>
  <si>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</si>
  <si>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 xml:space="preserve">   Environmental</t>
  </si>
  <si>
    <t>N/A</t>
  </si>
  <si>
    <t xml:space="preserve">   Social</t>
  </si>
  <si>
    <t xml:space="preserve">   Governance &amp; Economic</t>
  </si>
  <si>
    <t>Sustainalytics</t>
  </si>
  <si>
    <t>ISS ESG Corporate Rating</t>
  </si>
  <si>
    <t>C+</t>
  </si>
  <si>
    <t xml:space="preserve">   SDG Impact Rating</t>
  </si>
  <si>
    <t xml:space="preserve">   Governance Quality Score</t>
  </si>
  <si>
    <t>MSCI ESG Ratings</t>
  </si>
  <si>
    <t>Key Info</t>
  </si>
  <si>
    <t>Environmental</t>
  </si>
  <si>
    <t>Overview</t>
  </si>
  <si>
    <t>Targets</t>
  </si>
  <si>
    <t>Improvements</t>
  </si>
  <si>
    <t>Comments</t>
  </si>
  <si>
    <t>GICS Sector</t>
  </si>
  <si>
    <t>Industrials</t>
  </si>
  <si>
    <t>GHG Scope 1 Emissions</t>
  </si>
  <si>
    <t>Reduce aboslute Scope 1,2,3 by 50.4% until 2030</t>
  </si>
  <si>
    <t>Managed to achieve 37% of their set target as of 2024</t>
  </si>
  <si>
    <t>GICS Industry Group</t>
  </si>
  <si>
    <t>Transportation</t>
  </si>
  <si>
    <t>GICS Industry</t>
  </si>
  <si>
    <t>Road &amp; Rail</t>
  </si>
  <si>
    <t>Water Consumption</t>
  </si>
  <si>
    <t>The company implements policies and has commitments to reduce water consumption volume as mentioned in their 2024 CDP Questionnaire</t>
  </si>
  <si>
    <t>While the company recognize the importance of water conservation and responsible water management, it is not a significant part of their day-to-day operations. The commitment to sustainability and environmental responsibility is primarily addressed through various initiatives related to energy efficiency, emissions reduction, and resource conservation.</t>
  </si>
  <si>
    <t>GICS Sub-Industry</t>
  </si>
  <si>
    <t>Railroads</t>
  </si>
  <si>
    <t>Energy Consumption</t>
  </si>
  <si>
    <t>According to the Investor Pitchbook in May 2024, increase low-carbon fuel share (goal: 20% low-carbon fuels by 2030); reduce absolute Scope 1/2 as above. Conserving energy and investing in developing energy alternatives. Achieve full implementation of EMS (Energy Management System) by 2026 on locomotive fleet.</t>
  </si>
  <si>
    <t>Fuel-efficiency programs (Energy Management System on locomotives) reduced fuel intensity; biofuel % climbed to &gt;6% (progress toward 20% goal).</t>
  </si>
  <si>
    <t>Headquarters</t>
  </si>
  <si>
    <t>Union Pacific Center, Omaha, Nebraska, United States</t>
  </si>
  <si>
    <t>Numer of Employees</t>
  </si>
  <si>
    <t>Waste Management</t>
  </si>
  <si>
    <t>Year-on-year volumes fluctuate; sustainability metrics now disclose disposal tonnages and some diversion measures. However, in average, there was a decrease in waste generated in 2024 from to 2023</t>
  </si>
  <si>
    <t>Annual Report</t>
  </si>
  <si>
    <t>Other</t>
  </si>
  <si>
    <t>Sustainability Report</t>
  </si>
  <si>
    <t>Recent Headlines</t>
  </si>
  <si>
    <t>Social</t>
  </si>
  <si>
    <t>https://www.businesswire.com/news/home/20250922776661/en/SMART-TD-and-Union-Pacific-Announce-Landmark-Agreement-Securing-Jobs-and-the-Future-of-Railroading</t>
  </si>
  <si>
    <t>Employee Turnover %</t>
  </si>
  <si>
    <t>There was a decline of ~ 1.62% from 2023 to 2024. (-534 employees)</t>
  </si>
  <si>
    <t>https://investor.unionpacific.com/news-releases/news-release-details/union-pacific-railroad-announces-pay-raises-and-labor-agreements</t>
  </si>
  <si>
    <t>Salaries &amp; Compensation</t>
  </si>
  <si>
    <t>Continue competitive compensation/pay equity</t>
  </si>
  <si>
    <t>Railroad craft workers got a 24% raise, boosting their average salary to $110,000 in 2024. Overall, the median annual compensation reported in sustainability metrics shows increases over time; althought there was a slight decrease of 4.67% from 2023 to 2024</t>
  </si>
  <si>
    <t>Largest US rail union endorses Union Pacific, Norfolk Southern merger | Reuters</t>
  </si>
  <si>
    <t>Reputation</t>
  </si>
  <si>
    <t>The target revolves in improving safety culture and mantain inclusion scores.</t>
  </si>
  <si>
    <t>Ranked 4th of 940 companies included in the JUST 100 Index in 2025; 2025 Industry Leader in JUST; Inclusion metrics strong (HRC score 100%) in 2022; Honored by the Women’s Choice Awards as a top workplace for women, diversity, and millennials in 2022; safety/regulatory attention is a material reputational risk and UP is responding with safety initiatives.</t>
  </si>
  <si>
    <t>https://www.wsj.com/articles/union-pacific-ordered-to-pay-damages-for-retaliating-against-worker-264ee9f0?</t>
  </si>
  <si>
    <t>Discrimination Events</t>
  </si>
  <si>
    <t xml:space="preserve">The company demonstrate its will to minimize incidents </t>
  </si>
  <si>
    <t>Company documents policies, pay-equity audits, and DEI programs; still some litigation and EEOC/ADA cases reported in past years.</t>
  </si>
  <si>
    <t xml:space="preserve">Some litigations are reported such as U.S. Equal Employment Opportunity Commission v. Union Pacific Railroad Company; </t>
  </si>
  <si>
    <t>https://www.theguardian.com/us-news/2025/aug/25/union-pacific-norfolk-southern-railroad-merger?</t>
  </si>
  <si>
    <t>Work Safety</t>
  </si>
  <si>
    <t>The company strives for continuos reduction and  making safety a core pillar.</t>
  </si>
  <si>
    <t>Based on its the most recent sustainability report - Building  America Report  - released in april 2024 for the year of 2023, the railroad reduced year-over-year serious injuries by 15% from 2022. The reportable derailment rate declined 6% compared with 2022, and over the past 10 years, track-related derailments declined 28%. Also there was 23% reduction in personal injury rates and a 20% decrease in derailment incidents compared to 2023.</t>
  </si>
  <si>
    <t>FRA review / audit concerns surfaced (safety culture issues flagged) when in July 2024 U.S. railroad Union Pacific  interfered in a federal safety audit after employees were coached to provide specific response to FRA questions if they were approached for a safety cullture interview, prompting the federal rail agency to end the review. Cantwell, the Senator,  said she was "deeply concerned about these FRA findings and the chilling effect the Union Pacific actions have on employee reporting of safety issues." She added she is concerned this indicates a weak safety culture and cited Union Pacific’s derailment rate that is 30% higher than the next-highest major railroad.</t>
  </si>
  <si>
    <t>Damage to consumer health</t>
  </si>
  <si>
    <t>Taking in account some comments from the "work safety" , the freight incidents that may affect communities (derailments) still is something that the company needs to work more deligent on it to improve with better system and technology, despite small improvements the company presents on its recent sustainability report.</t>
  </si>
  <si>
    <t>Pension Plan</t>
  </si>
  <si>
    <t>The Company provides retirement benefits through a tax-qualified defined benefit Pension Plan for eligible employees and a non-qualified Supplemental Pension Plan for executives (including the NEOs). The Pension Plan offers competitive retirement benefits to employees based on years of service, salary, bonus, and age. The Supplemental Pension Plan enhances retirement benefits for executives by covering compensation and deferred pay that exceed government limits.</t>
  </si>
  <si>
    <t>Supply chain</t>
  </si>
  <si>
    <t xml:space="preserve">Union Pacific Corporation conducts supplier category risk assessments, which include human rights and safety topics, and in-person supplier audits on topics such as safety. We also ask our critical and strategic Tier 1 suppliers to complete a self-assessment annually on various sustainability topics. </t>
  </si>
  <si>
    <t>Community involvement</t>
  </si>
  <si>
    <t xml:space="preserve">The 2024 Sustainability metrics reports that Union Pacific Corp aims to provide care for the community they served in many aspects. </t>
  </si>
  <si>
    <t>Regular community grant programs and volunteer hours reported in sustainability docs.</t>
  </si>
  <si>
    <t xml:space="preserve">The company disclosed on the report the amount  spent on the Community Ties Giving Program registering 19.9 Millions of US Dollars in 2024 </t>
  </si>
  <si>
    <t>Public Sector</t>
  </si>
  <si>
    <t>Maintain regulatory compliance; improve safety culture &amp; transparency.</t>
  </si>
  <si>
    <t>Regulatory scrutiny increased after safety audit issues; UP publicly responded to inquiries and is providing documentation per requests.</t>
  </si>
  <si>
    <t>Litigation</t>
  </si>
  <si>
    <t>Reduce litigation through improved compliance &amp; remediation</t>
  </si>
  <si>
    <t>To address these challenges, Union Pacific is streamlining management, enhancing safety at crossings, strengthening maintenance protocols, and working closely with regulators to ensure compliance with labor, safety, and environmental standards.</t>
  </si>
  <si>
    <t>Union Pacific currently faces active litigation involving employment discrimination, privacy violations, and environmental liability. Key cases include the James Hess employment suit, the Clay privacy case, and the Rowena Fire lawsuit, all of which remain in progress.</t>
  </si>
  <si>
    <t>Board of Directors</t>
  </si>
  <si>
    <t>Governance</t>
  </si>
  <si>
    <t>Name</t>
  </si>
  <si>
    <t>Position</t>
  </si>
  <si>
    <t>M/F  – Age</t>
  </si>
  <si>
    <t>Michael R. McCarthy</t>
  </si>
  <si>
    <t>Chair of the Board           Member of Corporate Governance, Nominating and Sustainability Committee. Member of Finance Committee</t>
  </si>
  <si>
    <t>M - 73</t>
  </si>
  <si>
    <t>Diversity (Gender, Age, Industry, Region)</t>
  </si>
  <si>
    <t>The board is composed of approximately 36 % women (4 women) and 64% man (7 man), which is quite acceptable althought it could be better, with an average age of the member is 66~67% and from multiple range of professional backgrounds, including finance, transportation, energy, and technology.</t>
  </si>
  <si>
    <t>Jim Vena</t>
  </si>
  <si>
    <t>Director/Board Member</t>
  </si>
  <si>
    <t>M - 66</t>
  </si>
  <si>
    <t>Deborah Hopkins</t>
  </si>
  <si>
    <t>Director/Board Member   -  Member of Compensation and Talent Committee. Chair of Finance Committee</t>
  </si>
  <si>
    <t>F - 70</t>
  </si>
  <si>
    <t>% Independence</t>
  </si>
  <si>
    <t>Maintain independent governance; committee oversight.</t>
  </si>
  <si>
    <t>10 out of 11 Directors are independent which makes approximately 91%.</t>
  </si>
  <si>
    <t>This composition underscores the company's commitment to strong corporate governance and shareholder interests.</t>
  </si>
  <si>
    <t>David B. Dillon</t>
  </si>
  <si>
    <t>Director/Board Member   - Chair of Audit Committee. Member of Corporate Governance, Nominating and Sustainability Committee.</t>
  </si>
  <si>
    <t>M - 74</t>
  </si>
  <si>
    <t>Sheri H. Edison</t>
  </si>
  <si>
    <t>Director/Board Member   - Member of Compensation and Talent Committee. Chair of Corporate Governance, Nominating and Sustainability Committee</t>
  </si>
  <si>
    <t>F - 68</t>
  </si>
  <si>
    <t>Average time as independent directors</t>
  </si>
  <si>
    <t>The average tenure of these independent directors is approximately 5.4 years. Union Pacific's board emphasizes a balance between experienced leadership and fresh perspectives, as reflected in its average board tenure.</t>
  </si>
  <si>
    <t>Christopher Williams</t>
  </si>
  <si>
    <t>Director/Board Member     - Member of Audit Committee. Member of Finance Committee</t>
  </si>
  <si>
    <t>M - 67</t>
  </si>
  <si>
    <t>John Tien</t>
  </si>
  <si>
    <t>Director/Board Member    Member of Audit Committee. Member of Finance Committee</t>
  </si>
  <si>
    <t>M - 61</t>
  </si>
  <si>
    <t>Departures of C-level executives</t>
  </si>
  <si>
    <t xml:space="preserve">Beth Whited announced her decision to step down from her role, effective July 1, 2025, after a distinguished 37-year career with the company and will shift to a strategic adviser role through early 2026. </t>
  </si>
  <si>
    <t>Jane Lute</t>
  </si>
  <si>
    <t>Director/Board Member     Member of Corporate Governance, Nominating and Sustainability Committee. Chair of Safety and Service Quality Committee</t>
  </si>
  <si>
    <t>Teresa M. Finley</t>
  </si>
  <si>
    <t>Director/Board Member     Member of Audit Committee. Member of Finance Committee</t>
  </si>
  <si>
    <t>F - 63</t>
  </si>
  <si>
    <t>CEO/Chairman duality</t>
  </si>
  <si>
    <t>Governance best practice: separate roles maintained.</t>
  </si>
  <si>
    <t>The split was explicitly implemented in Aug 2023 (new CEO + separate chairman).</t>
  </si>
  <si>
    <t>CEO (Jim Vena) is separate from Chairman (Mike McCarthy) — roles split in 2023; no CEO/Chairman duality currently.</t>
  </si>
  <si>
    <t>Doyle R. Simons</t>
  </si>
  <si>
    <t>Director/Board Member    Chair of Compensation and Talent Committee. Member of Safety and Service Quality Committee</t>
  </si>
  <si>
    <t>John P. Wiehoff</t>
  </si>
  <si>
    <t>M - 63</t>
  </si>
  <si>
    <t>Transparency when reporting</t>
  </si>
  <si>
    <t>Keep demonstrating a robust commitment to transparency in its financial, sustainability, and governance reporting.</t>
  </si>
  <si>
    <t xml:space="preserve">Overall, Union Pacific in 2025 has strong transparency practices — it publishes detailed financial reports, proxy statements, and sustainability reports, and maintains open communication with shareholders. Its sustainability reporting includes environmental initiatives and community engagement, overseen by its governance committees. </t>
  </si>
  <si>
    <t>Time taken to report</t>
  </si>
  <si>
    <t>Union Pacific follows a consistent reporting schedule: quarterly financial results are released soon after each quarter ends, sustainability reports are issued biennially with annual updates, and annual 10‑K filings occur each February, ensuring regular transparency for stakeholders.</t>
  </si>
  <si>
    <t>CEO or Chairman in other boards?</t>
  </si>
  <si>
    <t xml:space="preserve">Maintain a policy that requires its CEO and senior officers to seek approval from the Corporate Governance and Nominating Committee before accepting positions on outside boards of directors. This policy ensures that such commitments do not conflict with their responsibilities at Union Pacific. </t>
  </si>
  <si>
    <t>Regarding Union Pacific's leadership, CEO Jim Vena does not currently serve on any external boards. The company's governance guidelines stipulate that any invitation for the CEO to serve on an outside board must be presented to the Corporate Governance and Nominating Committee for consideration.</t>
  </si>
  <si>
    <t>Audit / Consulting</t>
  </si>
  <si>
    <t>Union Pacific Corp strives to maintan a policy requiring the Audit Committee to pre-approve all audit and non-audit services to ensure compliance with auditor independence standards. This policy includes reviewing and approving budgets for audit-related, tax, and other services, with no further approval needed for specific projects within these categories.</t>
  </si>
  <si>
    <t>Regarding non-audit services, Union Pacific reported no fees for tax services or other non-audit services in 2024, aligning with the SEC's regulations that limit the provision of such services by auditors to maintain independence.</t>
  </si>
  <si>
    <t>ESG-compensation related</t>
  </si>
  <si>
    <t>Evolve and expand ESG KPIs in scorecards; tie operational sustainability KPIs to incentives.</t>
  </si>
  <si>
    <t>Company explicitly states that trip plan compliance and biofuel goals (which affect emissions) are tied to executive compensation; UP is gradually integrating ESG KPIs into incentive plans.</t>
  </si>
  <si>
    <t>Management compensation schemes</t>
  </si>
  <si>
    <t>As of 2025, Union Pacific’s executive compensation heavily ties to performance, with about 91% of the CEO’s pay and 84% of other executives’ pay based on financial results and stock performance. Most long-term incentives come from performance stock units and stock options.</t>
  </si>
  <si>
    <t>Industry Growth Forecast</t>
  </si>
  <si>
    <t>Industry Index</t>
  </si>
  <si>
    <t xml:space="preserve">Market Size (Railroad) - www.futuremarketinsights.com/reports/railroad-market? ; www.thebusinessresearchcompany.com/market-insights/rail-freight-market-insights-2025? ; www.prnewswire.com/news-releases/rail-freight-industry-overview-2023-2027-estimated-market-size-competitive-landscape-and-major-trend--by-the-business-research-company-301944301.html? </t>
  </si>
  <si>
    <t>Market Share</t>
  </si>
  <si>
    <t>Market Size</t>
  </si>
  <si>
    <t>Industry Driver</t>
  </si>
  <si>
    <t>Description</t>
  </si>
  <si>
    <t>Porter's Five Forces</t>
  </si>
  <si>
    <t>Industrial Production and Economic Growth</t>
  </si>
  <si>
    <t>Demand for freight rail services is closely tied to industrial output, construction, agriculture, and overall economic health. Higher production volumes result in increased shipments of commodities like coal, grain, metals, and chemicals—key freight categories for Union Pacific.</t>
  </si>
  <si>
    <t>Environmental and Sustainability Regulations</t>
  </si>
  <si>
    <t>Rising demand for lower-emission transport and regulatory pressure are encouraging shifts from trucking to rail, which is more fuel-efficient per ton-mile. Union Pacific is targeting emissions reduction and investing in cleaner technologies to align with ESG goals.</t>
  </si>
  <si>
    <t>Urbanization and Infrastructure Development</t>
  </si>
  <si>
    <t>Urban expansion increases demand for construction materials, energy, and consumer goods—all of which rely on freight transport. Union Pacific benefits from hauling such freight into rapidly growing metro areas, supported by federal infrastructure investment.</t>
  </si>
  <si>
    <t>Shift in Modal Preferences (Rail vs. Trucking)</t>
  </si>
  <si>
    <t>Trucking faces headwinds like driver shortages, fuel volatility, and stricter regulations. These challenges make rail a more appealing option for shippers—especially for long-haul and bulk cargo. Union Pacific’s efficiency gives it a competitive edge.</t>
  </si>
  <si>
    <t>Rivalry Among Existing Competitors</t>
  </si>
  <si>
    <t>Threat of New Entrants</t>
  </si>
  <si>
    <t>Threat of Substitutes</t>
  </si>
  <si>
    <t>Bargaining Power of Customers</t>
  </si>
  <si>
    <t>Bargaining Power of Suppliers</t>
  </si>
  <si>
    <t>Segments</t>
  </si>
  <si>
    <t>Products</t>
  </si>
  <si>
    <t>Q1</t>
  </si>
  <si>
    <t>Q2</t>
  </si>
  <si>
    <t>Q3</t>
  </si>
  <si>
    <t>Q4</t>
  </si>
  <si>
    <t>FY</t>
  </si>
  <si>
    <t>Revenue by segment:</t>
  </si>
  <si>
    <t>Total revenue</t>
  </si>
  <si>
    <t>Operations</t>
  </si>
  <si>
    <t xml:space="preserve">Bulk </t>
  </si>
  <si>
    <t>Industrial</t>
  </si>
  <si>
    <t>Premium</t>
  </si>
  <si>
    <t>Other revenues</t>
  </si>
  <si>
    <t xml:space="preserve">Operations: </t>
  </si>
  <si>
    <t>Notes &amp; Forecasts</t>
  </si>
  <si>
    <t>Company only has one segment, railroad, but discloses data in terms of operations and other revenues. Although, they disclose data in their railroad network, by commodity group, Bulk, Industrial and Premium.</t>
  </si>
  <si>
    <t>Freight revenues</t>
  </si>
  <si>
    <r>
      <rPr>
        <b/>
        <sz val="11"/>
        <color theme="1"/>
        <rFont val="Arial Nova"/>
        <family val="2"/>
      </rPr>
      <t>Bulk</t>
    </r>
    <r>
      <rPr>
        <sz val="11"/>
        <color theme="1"/>
        <rFont val="Arial Nova"/>
        <family val="2"/>
      </rPr>
      <t xml:space="preserve">: This shipments consist of grain products, fertilizer, food and refrigerated, and coal and renewables. The company connects the large grain markets, from the Midwest and Western US, producing areas to export terminals in the Pacififc Northwest and Gulf Coast port as well as Mexico.                                                                                                                                                                                                                                                                                                                                                                                                                                                                                                                                                               </t>
    </r>
    <r>
      <rPr>
        <b/>
        <sz val="11"/>
        <color theme="1"/>
        <rFont val="Arial Nova"/>
        <family val="2"/>
      </rPr>
      <t>Industrial</t>
    </r>
    <r>
      <rPr>
        <sz val="11"/>
        <color theme="1"/>
        <rFont val="Arial Nova"/>
        <family val="2"/>
      </rPr>
      <t xml:space="preserve">: network facilitates movement of different commodities throughout North America. This group includes several categories, including construction, industrial chemicals, plastics, forest products, specialized products, metals and ores, petroleum, liquide petroleum gases, soda ash, and sand.                                                                                                                                                                                                                                                                                                                                                                                                                                                                                                             </t>
    </r>
    <r>
      <rPr>
        <b/>
        <sz val="11"/>
        <color theme="1"/>
        <rFont val="Arial Nova"/>
        <family val="2"/>
      </rPr>
      <t>Premium</t>
    </r>
    <r>
      <rPr>
        <sz val="11"/>
        <color theme="1"/>
        <rFont val="Arial Nova"/>
        <family val="2"/>
      </rPr>
      <t>:This group includes finished automobiles, automotive parts, and merchandise in intermodal containers, both domestic and international. International business consists of import and export traffic moving in 20 or 40-foot shipping containers, that mainly pass through West Coast ports, destined for one of the Company's many inland intermodal terminals. Domestic business includes container and trailer traffic picked up and delivered within North America for intermodal marketing companies as well as truckload carriers.</t>
    </r>
  </si>
  <si>
    <t>Peers</t>
  </si>
  <si>
    <t>Growth</t>
  </si>
  <si>
    <t>Union Pacific Corp</t>
  </si>
  <si>
    <t>CAN NATL RAILWAY</t>
  </si>
  <si>
    <t>CSX CORP</t>
  </si>
  <si>
    <t>CANADIAN PACIFIC</t>
  </si>
  <si>
    <t>NORFOLK SOUTHERN</t>
  </si>
  <si>
    <t>BNSF RAILWAY CO</t>
  </si>
  <si>
    <t>Revenue (LTM)</t>
  </si>
  <si>
    <t>Revenue (3-yr CAGR)</t>
  </si>
  <si>
    <t>Gross profit (LTM)</t>
  </si>
  <si>
    <t>-</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</si>
  <si>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</si>
  <si>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</si>
  <si>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</si>
  <si>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</si>
  <si>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</si>
  <si>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</si>
  <si>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</si>
  <si>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</si>
  <si>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</si>
  <si>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</si>
  <si>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</si>
  <si>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</si>
  <si>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</si>
  <si>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</si>
  <si>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</si>
  <si>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</si>
  <si>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</si>
  <si>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</si>
  <si>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</si>
  <si>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0,4x</t>
  </si>
  <si>
    <t>0,3x</t>
  </si>
  <si>
    <t>0,2x</t>
  </si>
  <si>
    <t>0,5x</t>
  </si>
  <si>
    <t>1,3x</t>
  </si>
  <si>
    <t>0,8x</t>
  </si>
  <si>
    <t>0,9x</t>
  </si>
  <si>
    <t>0,6x</t>
  </si>
  <si>
    <t>1,0x</t>
  </si>
  <si>
    <t>Net operating asset turnover</t>
  </si>
  <si>
    <t>0,7x</t>
  </si>
  <si>
    <t>2,2x</t>
  </si>
  <si>
    <t>1,5x</t>
  </si>
  <si>
    <t>1,1x</t>
  </si>
  <si>
    <t>2,6x</t>
  </si>
  <si>
    <t>1,2x</t>
  </si>
  <si>
    <t>Fixed asset turnover</t>
  </si>
  <si>
    <t>6,7x</t>
  </si>
  <si>
    <t>8,4x</t>
  </si>
  <si>
    <t>3,4x</t>
  </si>
  <si>
    <t>7,8x</t>
  </si>
  <si>
    <t>3,1x</t>
  </si>
  <si>
    <t>3,0x</t>
  </si>
  <si>
    <t>7,5x</t>
  </si>
  <si>
    <t>5,6x</t>
  </si>
  <si>
    <t>19,7x</t>
  </si>
  <si>
    <r>
      <t xml:space="preserve">Revenue per employee </t>
    </r>
    <r>
      <rPr>
        <i/>
        <sz val="7"/>
        <color theme="1"/>
        <rFont val="Arial Nova"/>
        <family val="2"/>
      </rPr>
      <t>thsnd of USD</t>
    </r>
  </si>
  <si>
    <t>1 262</t>
  </si>
  <si>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</si>
  <si>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</si>
  <si>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</si>
  <si>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</si>
  <si>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</si>
  <si>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</si>
  <si>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</si>
  <si>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</si>
  <si>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</si>
  <si>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</si>
  <si>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</si>
  <si>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r>
      <t>2,7</t>
    </r>
    <r>
      <rPr>
        <sz val="11"/>
        <color rgb="FF000000"/>
        <rFont val="Aptos Narrow"/>
        <family val="2"/>
      </rPr>
      <t>x</t>
    </r>
  </si>
  <si>
    <t>2,5x</t>
  </si>
  <si>
    <t>2,9x</t>
  </si>
  <si>
    <t>0,1x</t>
  </si>
  <si>
    <t>2,7x</t>
  </si>
  <si>
    <t>2,8x</t>
  </si>
  <si>
    <t>1,6x</t>
  </si>
  <si>
    <t>1,8x</t>
  </si>
  <si>
    <t>-0,6x</t>
  </si>
  <si>
    <t>3,5x</t>
  </si>
  <si>
    <t>Net debt / FCF</t>
  </si>
  <si>
    <t>5,3x</t>
  </si>
  <si>
    <t>6,6x</t>
  </si>
  <si>
    <t>9,1x</t>
  </si>
  <si>
    <t>9,5x</t>
  </si>
  <si>
    <t>-2,1x</t>
  </si>
  <si>
    <t>3,6x</t>
  </si>
  <si>
    <t>5,4x</t>
  </si>
  <si>
    <t>9,2x</t>
  </si>
  <si>
    <t>4,3x</t>
  </si>
  <si>
    <t>-0,7x</t>
  </si>
  <si>
    <t>11,4x</t>
  </si>
  <si>
    <t>Interest coverage</t>
  </si>
  <si>
    <t>7,7x</t>
  </si>
  <si>
    <t>7,0x</t>
  </si>
  <si>
    <t>6,3x</t>
  </si>
  <si>
    <t>5,0x</t>
  </si>
  <si>
    <t>1071,6x</t>
  </si>
  <si>
    <t>-3,9x</t>
  </si>
  <si>
    <t>6,8x</t>
  </si>
  <si>
    <t>12,2x</t>
  </si>
  <si>
    <t>4,0x</t>
  </si>
  <si>
    <t>3,7x</t>
  </si>
  <si>
    <t>15,1x</t>
  </si>
  <si>
    <t>11,9x</t>
  </si>
  <si>
    <t>Debt / capital</t>
  </si>
  <si>
    <t>Short term debt / total debt</t>
  </si>
  <si>
    <t>Liquidity</t>
  </si>
  <si>
    <t>Current ratio</t>
  </si>
  <si>
    <t>1,4x</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</si>
  <si>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</si>
  <si>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</si>
  <si>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</si>
  <si>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</si>
  <si>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</si>
  <si>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</si>
  <si>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</si>
  <si>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</si>
  <si>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</si>
  <si>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</si>
  <si>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</si>
  <si>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</si>
  <si>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5,2x</t>
  </si>
  <si>
    <t>5,8x</t>
  </si>
  <si>
    <t>6,4x</t>
  </si>
  <si>
    <t>24,4x</t>
  </si>
  <si>
    <t>4,8x</t>
  </si>
  <si>
    <t>4,7x</t>
  </si>
  <si>
    <t>4,1x</t>
  </si>
  <si>
    <t>8,6x</t>
  </si>
  <si>
    <t>6,5x</t>
  </si>
  <si>
    <t>FCF / net income</t>
  </si>
  <si>
    <t>3,3x</t>
  </si>
  <si>
    <t>2,3x</t>
  </si>
  <si>
    <t>28,9x</t>
  </si>
  <si>
    <t>3,2x</t>
  </si>
  <si>
    <t>Per Share &amp; Dilution</t>
  </si>
  <si>
    <t>Diluted share count YoY</t>
  </si>
  <si>
    <t>0,165%</t>
  </si>
  <si>
    <t>0,158%</t>
  </si>
  <si>
    <t>0,206%</t>
  </si>
  <si>
    <t>0,171%</t>
  </si>
  <si>
    <t>0,000%</t>
  </si>
  <si>
    <t>SBC / revenue</t>
  </si>
  <si>
    <t>SBC / CFO</t>
  </si>
  <si>
    <r>
      <t xml:space="preserve">EPS </t>
    </r>
    <r>
      <rPr>
        <i/>
        <sz val="7"/>
        <color theme="1"/>
        <rFont val="Arial Nova"/>
        <family val="2"/>
      </rPr>
      <t>in USD</t>
    </r>
  </si>
  <si>
    <t>11,54</t>
  </si>
  <si>
    <t>05,21</t>
  </si>
  <si>
    <t>01,65</t>
  </si>
  <si>
    <t>03,29</t>
  </si>
  <si>
    <t>13,24</t>
  </si>
  <si>
    <t>-18,01</t>
  </si>
  <si>
    <t>23,11</t>
  </si>
  <si>
    <t>23,66</t>
  </si>
  <si>
    <t>15,06</t>
  </si>
  <si>
    <t>08,70</t>
  </si>
  <si>
    <t>19,46</t>
  </si>
  <si>
    <t>11,36</t>
  </si>
  <si>
    <t>09,72</t>
  </si>
  <si>
    <t>10,01</t>
  </si>
  <si>
    <t>07,18</t>
  </si>
  <si>
    <t>Metrics</t>
  </si>
  <si>
    <t>BOEING CO/THE</t>
  </si>
  <si>
    <t>LOCKHEED MARTIN</t>
  </si>
  <si>
    <t>NORTHROP GRUMMAN</t>
  </si>
  <si>
    <t>GENERAL DYNAMICS</t>
  </si>
  <si>
    <t>3M CO</t>
  </si>
  <si>
    <t>DEERE &amp; CO</t>
  </si>
  <si>
    <t>ILLINOIS TOOL WO</t>
  </si>
  <si>
    <t>HONEYWELL INTL</t>
  </si>
  <si>
    <t>AUTOMATIC DATA</t>
  </si>
  <si>
    <t>WASTE MANAGEMENT</t>
  </si>
  <si>
    <t>#N/A N/A</t>
  </si>
  <si>
    <t>Current</t>
  </si>
  <si>
    <t>% of</t>
  </si>
  <si>
    <t>Enterprise Value /</t>
  </si>
  <si>
    <t>LTM</t>
  </si>
  <si>
    <t>Net</t>
  </si>
  <si>
    <t>Price /</t>
  </si>
  <si>
    <t>LT</t>
  </si>
  <si>
    <t>Share</t>
  </si>
  <si>
    <t>52-week</t>
  </si>
  <si>
    <t>Equity</t>
  </si>
  <si>
    <t>Enterprise</t>
  </si>
  <si>
    <t>2025E</t>
  </si>
  <si>
    <t>2026E</t>
  </si>
  <si>
    <t>EBITDA</t>
  </si>
  <si>
    <t>Debt /</t>
  </si>
  <si>
    <t>EPS</t>
  </si>
  <si>
    <t>S</t>
  </si>
  <si>
    <t>Company</t>
  </si>
  <si>
    <t>Price</t>
  </si>
  <si>
    <t>High</t>
  </si>
  <si>
    <t>Value</t>
  </si>
  <si>
    <t>Sales</t>
  </si>
  <si>
    <t>EBIT</t>
  </si>
  <si>
    <t>Margin</t>
  </si>
  <si>
    <t>UNION PAC CORP</t>
  </si>
  <si>
    <t>UNP US</t>
  </si>
  <si>
    <t>USD 227,98</t>
  </si>
  <si>
    <t>88,8%</t>
  </si>
  <si>
    <t>135 202</t>
  </si>
  <si>
    <t>169 336</t>
  </si>
  <si>
    <t>6,9x</t>
  </si>
  <si>
    <t>13,8x</t>
  </si>
  <si>
    <t>13,4x</t>
  </si>
  <si>
    <t>12,7x</t>
  </si>
  <si>
    <t>17,2x</t>
  </si>
  <si>
    <t>16,8x</t>
  </si>
  <si>
    <t>15,7x</t>
  </si>
  <si>
    <t> </t>
  </si>
  <si>
    <t>19,5x</t>
  </si>
  <si>
    <t>19,3x</t>
  </si>
  <si>
    <t>18,0x</t>
  </si>
  <si>
    <t>CNR CN</t>
  </si>
  <si>
    <t>CAD 127,52</t>
  </si>
  <si>
    <t>79,3%</t>
  </si>
  <si>
    <t>79 609</t>
  </si>
  <si>
    <t>109 390</t>
  </si>
  <si>
    <t>6,0x</t>
  </si>
  <si>
    <t>13,1x</t>
  </si>
  <si>
    <t>12,6x</t>
  </si>
  <si>
    <t>11,8x</t>
  </si>
  <si>
    <t>17,1x</t>
  </si>
  <si>
    <t>16,5x</t>
  </si>
  <si>
    <t>15,3x</t>
  </si>
  <si>
    <t>17,4x</t>
  </si>
  <si>
    <t>CSX US</t>
  </si>
  <si>
    <t>USD 34,07</t>
  </si>
  <si>
    <t>91,5%</t>
  </si>
  <si>
    <t>63 516</t>
  </si>
  <si>
    <t>80 093</t>
  </si>
  <si>
    <t>5,7x</t>
  </si>
  <si>
    <t>11,2x</t>
  </si>
  <si>
    <t>16,4x</t>
  </si>
  <si>
    <t>15,0x</t>
  </si>
  <si>
    <t>20,1x</t>
  </si>
  <si>
    <t>20,4x</t>
  </si>
  <si>
    <t>18,2x</t>
  </si>
  <si>
    <t>CP CN</t>
  </si>
  <si>
    <t>CAD 102,63</t>
  </si>
  <si>
    <t>86,4%</t>
  </si>
  <si>
    <t>93 765</t>
  </si>
  <si>
    <t>122 100</t>
  </si>
  <si>
    <t>8,2x</t>
  </si>
  <si>
    <t>8,0x</t>
  </si>
  <si>
    <t>15,6x</t>
  </si>
  <si>
    <t>15,4x</t>
  </si>
  <si>
    <t>14,1x</t>
  </si>
  <si>
    <t>20,8x</t>
  </si>
  <si>
    <t>22,0x</t>
  </si>
  <si>
    <t>21,5x</t>
  </si>
  <si>
    <t>19,4x</t>
  </si>
  <si>
    <t>NSC US</t>
  </si>
  <si>
    <t>USD 292,08</t>
  </si>
  <si>
    <t>99,1%</t>
  </si>
  <si>
    <t>65 606</t>
  </si>
  <si>
    <t>73 559</t>
  </si>
  <si>
    <t>12,4x</t>
  </si>
  <si>
    <t>16,1x</t>
  </si>
  <si>
    <t>15,5x</t>
  </si>
  <si>
    <t>21,9x</t>
  </si>
  <si>
    <t>22,9x</t>
  </si>
  <si>
    <t>20,9x</t>
  </si>
  <si>
    <t>BNI1 US</t>
  </si>
  <si>
    <t>USD #N/A N/A</t>
  </si>
  <si>
    <t>Mean</t>
  </si>
  <si>
    <t>6,2x</t>
  </si>
  <si>
    <t>13,3x</t>
  </si>
  <si>
    <t>13,2x</t>
  </si>
  <si>
    <t>17,6x</t>
  </si>
  <si>
    <t>17,5x</t>
  </si>
  <si>
    <t>16,0x</t>
  </si>
  <si>
    <t>48,2%</t>
  </si>
  <si>
    <t>18,6x</t>
  </si>
  <si>
    <t>8,6%</t>
  </si>
  <si>
    <t>Median</t>
  </si>
  <si>
    <t>6,1x</t>
  </si>
  <si>
    <t>5,9x</t>
  </si>
  <si>
    <t>16,7x</t>
  </si>
  <si>
    <t>48,6%</t>
  </si>
  <si>
    <t>21,0x</t>
  </si>
  <si>
    <t>18,8x</t>
  </si>
  <si>
    <t>9,0%</t>
  </si>
  <si>
    <t>BA US</t>
  </si>
  <si>
    <t>USD 215,1</t>
  </si>
  <si>
    <t>88,6%</t>
  </si>
  <si>
    <t>162 650</t>
  </si>
  <si>
    <t>194 431</t>
  </si>
  <si>
    <t>2,0x</t>
  </si>
  <si>
    <t>-23,3x</t>
  </si>
  <si>
    <t>66,7x</t>
  </si>
  <si>
    <t>25,4x</t>
  </si>
  <si>
    <t>-19,0x</t>
  </si>
  <si>
    <t>249,7x</t>
  </si>
  <si>
    <t>37,0x</t>
  </si>
  <si>
    <t>-13,6x</t>
  </si>
  <si>
    <t>-109,2x</t>
  </si>
  <si>
    <t>60,9x</t>
  </si>
  <si>
    <t>LMT US</t>
  </si>
  <si>
    <t>USD 486,25</t>
  </si>
  <si>
    <t>78,6%</t>
  </si>
  <si>
    <t>113 522</t>
  </si>
  <si>
    <t>126 738</t>
  </si>
  <si>
    <t>13,7x</t>
  </si>
  <si>
    <t>11,6x</t>
  </si>
  <si>
    <t>22,2x</t>
  </si>
  <si>
    <t>NOC US</t>
  </si>
  <si>
    <t>USD 586,27</t>
  </si>
  <si>
    <t>97,6%</t>
  </si>
  <si>
    <t>83 944</t>
  </si>
  <si>
    <t>87 252</t>
  </si>
  <si>
    <t>2,1x</t>
  </si>
  <si>
    <t>14,9x</t>
  </si>
  <si>
    <t>19,6x</t>
  </si>
  <si>
    <t>17,9x</t>
  </si>
  <si>
    <t>24,5x</t>
  </si>
  <si>
    <t>23,0x</t>
  </si>
  <si>
    <t>20,7x</t>
  </si>
  <si>
    <t>GD US</t>
  </si>
  <si>
    <t>USD 323,62</t>
  </si>
  <si>
    <t>98,0%</t>
  </si>
  <si>
    <t>87 052</t>
  </si>
  <si>
    <t>87 303</t>
  </si>
  <si>
    <t>1,7x</t>
  </si>
  <si>
    <t>14,4x</t>
  </si>
  <si>
    <t>13,0x</t>
  </si>
  <si>
    <t>16,9x</t>
  </si>
  <si>
    <t>16,6x</t>
  </si>
  <si>
    <t>21,3x</t>
  </si>
  <si>
    <t>21,1x</t>
  </si>
  <si>
    <t>19,1x</t>
  </si>
  <si>
    <t>MMM US</t>
  </si>
  <si>
    <t>USD 154,6</t>
  </si>
  <si>
    <t>94,2%</t>
  </si>
  <si>
    <t>82 345</t>
  </si>
  <si>
    <t>90 661</t>
  </si>
  <si>
    <t>3,8x</t>
  </si>
  <si>
    <t>15,2x</t>
  </si>
  <si>
    <t>18,1x</t>
  </si>
  <si>
    <t>2,4x</t>
  </si>
  <si>
    <t>10,4x</t>
  </si>
  <si>
    <t>63,7x</t>
  </si>
  <si>
    <t>19,8x</t>
  </si>
  <si>
    <t>11,3%</t>
  </si>
  <si>
    <t>-4,7x</t>
  </si>
  <si>
    <t>27,2x</t>
  </si>
  <si>
    <t>-48,0%</t>
  </si>
  <si>
    <t>12,8%</t>
  </si>
  <si>
    <t>7,6%</t>
  </si>
  <si>
    <t>DE US</t>
  </si>
  <si>
    <t>USD 468,94</t>
  </si>
  <si>
    <t>87,9%</t>
  </si>
  <si>
    <t>126 768</t>
  </si>
  <si>
    <t>142 321</t>
  </si>
  <si>
    <t>12,0x</t>
  </si>
  <si>
    <t>17,7x</t>
  </si>
  <si>
    <t>14,7x</t>
  </si>
  <si>
    <t>24,8x</t>
  </si>
  <si>
    <t>24,0x</t>
  </si>
  <si>
    <t>25,2x</t>
  </si>
  <si>
    <t>ITW US</t>
  </si>
  <si>
    <t>USD 259,56</t>
  </si>
  <si>
    <t>93,0%</t>
  </si>
  <si>
    <t>75 662</t>
  </si>
  <si>
    <t>80 223</t>
  </si>
  <si>
    <t>5,1x</t>
  </si>
  <si>
    <t>17,8x</t>
  </si>
  <si>
    <t>17,3x</t>
  </si>
  <si>
    <t>18,9x</t>
  </si>
  <si>
    <t>22,6x</t>
  </si>
  <si>
    <t>24,9x</t>
  </si>
  <si>
    <t>23,5x</t>
  </si>
  <si>
    <t>HON US</t>
  </si>
  <si>
    <t>USD 208,6</t>
  </si>
  <si>
    <t>85,9%</t>
  </si>
  <si>
    <t>132 439</t>
  </si>
  <si>
    <t>175 386</t>
  </si>
  <si>
    <t>4,4x</t>
  </si>
  <si>
    <t>21,6x</t>
  </si>
  <si>
    <t>18,5x</t>
  </si>
  <si>
    <t>18,4x</t>
  </si>
  <si>
    <t>ADP US</t>
  </si>
  <si>
    <t>USD 291,5</t>
  </si>
  <si>
    <t>88,4%</t>
  </si>
  <si>
    <t>118 070</t>
  </si>
  <si>
    <t>121 583</t>
  </si>
  <si>
    <t>19,9x</t>
  </si>
  <si>
    <t>20,6x</t>
  </si>
  <si>
    <t>22,5x</t>
  </si>
  <si>
    <t>22,7x</t>
  </si>
  <si>
    <t>29,0x</t>
  </si>
  <si>
    <t>26,7x</t>
  </si>
  <si>
    <t>WM US</t>
  </si>
  <si>
    <t>USD 219,42</t>
  </si>
  <si>
    <t>90,5%</t>
  </si>
  <si>
    <t>88 389</t>
  </si>
  <si>
    <t>115 704</t>
  </si>
  <si>
    <t>4,6x</t>
  </si>
  <si>
    <t>14,2x</t>
  </si>
  <si>
    <t>26,3x</t>
  </si>
  <si>
    <t>24,2x</t>
  </si>
  <si>
    <t>30,6x</t>
  </si>
  <si>
    <t>25,6x</t>
  </si>
  <si>
    <t>4.7x</t>
  </si>
  <si>
    <t>4,5x</t>
  </si>
  <si>
    <t>21,8x</t>
  </si>
  <si>
    <t>27,6%</t>
  </si>
  <si>
    <t>25,5x</t>
  </si>
  <si>
    <t>23,4x</t>
  </si>
  <si>
    <t>28,5%</t>
  </si>
  <si>
    <t>Overall</t>
  </si>
  <si>
    <t>19,2x</t>
  </si>
  <si>
    <t>16,2x</t>
  </si>
  <si>
    <t>38,0x</t>
  </si>
  <si>
    <t>18,7x</t>
  </si>
  <si>
    <t>29,0%</t>
  </si>
  <si>
    <t>14,8x</t>
  </si>
  <si>
    <t>4,2x</t>
  </si>
  <si>
    <t>13,9x</t>
  </si>
  <si>
    <t>17,0x</t>
  </si>
  <si>
    <t>29,1%</t>
  </si>
  <si>
    <t>20,2x</t>
  </si>
  <si>
    <t>70,5x</t>
  </si>
  <si>
    <t>25,3x</t>
  </si>
  <si>
    <t>283,9x</t>
  </si>
  <si>
    <t>37,6x</t>
  </si>
  <si>
    <t>52,5%</t>
  </si>
  <si>
    <t>30,5x</t>
  </si>
  <si>
    <t>62,9x</t>
  </si>
  <si>
    <t>Low</t>
  </si>
  <si>
    <t>-11,1%</t>
  </si>
  <si>
    <t>-14,0x</t>
  </si>
  <si>
    <t>-87,7x</t>
  </si>
  <si>
    <t>Rolling WACC</t>
  </si>
  <si>
    <t>Equity Risk Premium</t>
  </si>
  <si>
    <t>Weights</t>
  </si>
  <si>
    <t>ERP</t>
  </si>
  <si>
    <t>Equity:</t>
  </si>
  <si>
    <t>United States</t>
  </si>
  <si>
    <r>
      <t>Market Cap</t>
    </r>
    <r>
      <rPr>
        <sz val="9"/>
        <color rgb="FF000000"/>
        <rFont val="Arial Nova"/>
        <family val="2"/>
      </rPr>
      <t xml:space="preserve"> </t>
    </r>
    <r>
      <rPr>
        <i/>
        <sz val="9"/>
        <color rgb="FF000000"/>
        <rFont val="Arial Nova"/>
        <family val="2"/>
      </rPr>
      <t>(in billions)</t>
    </r>
  </si>
  <si>
    <t xml:space="preserve">Outside of US </t>
  </si>
  <si>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</si>
  <si>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</si>
  <si>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</si>
  <si>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</si>
  <si>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</si>
  <si>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</si>
  <si>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</si>
  <si>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</si>
  <si>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</si>
  <si>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</si>
  <si>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</si>
  <si>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</si>
  <si>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</si>
  <si>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</si>
  <si>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</si>
  <si>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</si>
  <si>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</si>
  <si>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</si>
  <si>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</si>
  <si>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</si>
  <si>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</si>
  <si>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</si>
  <si>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</si>
  <si>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</si>
  <si>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</si>
  <si>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Market Assumptions</t>
  </si>
  <si>
    <t>Revenue</t>
  </si>
  <si>
    <t>Operating Assumptions</t>
  </si>
  <si>
    <t>Income Statement</t>
  </si>
  <si>
    <t>% of growth</t>
  </si>
  <si>
    <t>Cost of Goods &amp; Services</t>
  </si>
  <si>
    <t>% of sales</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</si>
  <si>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</si>
  <si>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</si>
  <si>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</si>
  <si>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</si>
  <si>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</si>
  <si>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</si>
  <si>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</si>
  <si>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</si>
  <si>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</si>
  <si>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</si>
  <si>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</si>
  <si>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</si>
  <si>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</si>
  <si>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</si>
  <si>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</si>
  <si>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</si>
  <si>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</si>
  <si>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</si>
  <si>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</si>
  <si>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</si>
  <si>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</si>
  <si>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</si>
  <si>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</si>
  <si>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</si>
  <si>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</si>
  <si>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</si>
  <si>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</si>
  <si>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</si>
  <si>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</si>
  <si>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</si>
  <si>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</si>
  <si>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</si>
  <si>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</si>
  <si>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</si>
  <si>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</si>
  <si>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</si>
  <si>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</si>
  <si>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</si>
  <si>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</si>
  <si>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</si>
  <si>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</si>
  <si>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</si>
  <si>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</si>
  <si>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</si>
  <si>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</si>
  <si>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</si>
  <si>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</si>
  <si>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</si>
  <si>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 of revenues</t>
  </si>
  <si>
    <t>Prepaid expenses and Other Current Assets</t>
  </si>
  <si>
    <t>Net PP&amp;E (Property, Plant and Equipment)</t>
  </si>
  <si>
    <t>capex allocation rate</t>
  </si>
  <si>
    <t>Intangibles</t>
  </si>
  <si>
    <t>r&amp;d capitalization rate</t>
  </si>
  <si>
    <t>Accounts Payable</t>
  </si>
  <si>
    <t>% of Opex</t>
  </si>
  <si>
    <t>Accrued Expenses and Other Current Liabilities</t>
  </si>
  <si>
    <t>Cash Flow Statement</t>
  </si>
  <si>
    <t>Stock-Based Compensation Expense</t>
  </si>
  <si>
    <t>% of sg&amp;a</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</si>
  <si>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</si>
  <si>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</si>
  <si>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</si>
  <si>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</si>
  <si>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</si>
  <si>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</si>
  <si>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</si>
  <si>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</si>
  <si>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</si>
  <si>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 of NOPAT</t>
  </si>
  <si>
    <t>Repurchase of Stock</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</si>
  <si>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</si>
  <si>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</si>
  <si>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</si>
  <si>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</si>
  <si>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</si>
  <si>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</si>
  <si>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</si>
  <si>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</si>
  <si>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</si>
  <si>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</si>
  <si>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</si>
  <si>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</si>
  <si>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</si>
  <si>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</si>
  <si>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Gordon's Growth Model</t>
  </si>
  <si>
    <t>EBITDA Exit Multiple</t>
  </si>
  <si>
    <t>Revenue Exit Multiple</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</si>
  <si>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</si>
  <si>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</si>
  <si>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</si>
  <si>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</si>
  <si>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</si>
  <si>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</si>
  <si>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</si>
  <si>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</si>
  <si>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</si>
  <si>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</si>
  <si>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</si>
  <si>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</si>
  <si>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</si>
  <si>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</si>
  <si>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</si>
  <si>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</si>
  <si>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Opex forecast</t>
  </si>
  <si>
    <t>Revenue carloads</t>
  </si>
  <si>
    <t>Grain &amp; products</t>
  </si>
  <si>
    <t>Revenues</t>
  </si>
  <si>
    <t>%growth</t>
  </si>
  <si>
    <t xml:space="preserve">Fertilizer </t>
  </si>
  <si>
    <t>Operating Expenses</t>
  </si>
  <si>
    <t>Compensation &amp; benefits</t>
  </si>
  <si>
    <t>Food &amp; reefrigerated</t>
  </si>
  <si>
    <t>% growth</t>
  </si>
  <si>
    <t>Number of employees on average</t>
  </si>
  <si>
    <t>Coal &amp; renewables</t>
  </si>
  <si>
    <t>Average benefits per employee</t>
  </si>
  <si>
    <t>Purchased services and materials</t>
  </si>
  <si>
    <t>Bulk</t>
  </si>
  <si>
    <t>Fuel</t>
  </si>
  <si>
    <t>Industrial chemicals &amp; plastics</t>
  </si>
  <si>
    <t xml:space="preserve">Average fuel price </t>
  </si>
  <si>
    <t>Machines/venhicles that need fuel</t>
  </si>
  <si>
    <t>Metals &amp; minerals</t>
  </si>
  <si>
    <t>Equipment and other rents</t>
  </si>
  <si>
    <t>% of Net PP&amp;E</t>
  </si>
  <si>
    <t>Forest products</t>
  </si>
  <si>
    <t>Net PP&amp;E</t>
  </si>
  <si>
    <t>Energy &amp; specialized markets</t>
  </si>
  <si>
    <t>Total Opex</t>
  </si>
  <si>
    <t>Automotive</t>
  </si>
  <si>
    <t>Intermodal</t>
  </si>
  <si>
    <t>Average revenue per car</t>
  </si>
  <si>
    <t>Freight Revenues</t>
  </si>
  <si>
    <t>Total revenues</t>
  </si>
  <si>
    <t>Key Assumptions</t>
  </si>
  <si>
    <t>Forecast based on projections of company acquisition of Norfolk, synergies created might reach a 2.75 Bi in synergies, due to new revenues and productivity oportunities</t>
  </si>
  <si>
    <t>Entry</t>
  </si>
  <si>
    <t>Capital Structure</t>
  </si>
  <si>
    <t>Interest</t>
  </si>
  <si>
    <t>Weight</t>
  </si>
  <si>
    <t>Amount</t>
  </si>
  <si>
    <t xml:space="preserve">Repurchase of stock upon transaction is stopped </t>
  </si>
  <si>
    <t>LTM EBITDA</t>
  </si>
  <si>
    <t>Revolver</t>
  </si>
  <si>
    <t>If transaction is not happening we have a reverse termination fee paid by the UNP of 2.5 Bi to be paid included in the base forecast of FCFF</t>
  </si>
  <si>
    <t>Entry Multiple</t>
  </si>
  <si>
    <t>Bank Loan</t>
  </si>
  <si>
    <t xml:space="preserve">Debt/EBITDA has to be maintained at max 3.3x </t>
  </si>
  <si>
    <t>Enterprise Value</t>
  </si>
  <si>
    <t>Senior Notes</t>
  </si>
  <si>
    <t>Debt/EBITDA reduced to 2.2x in year 2 post acquisition ( 2029)</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</si>
  <si>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</si>
  <si>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</si>
  <si>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</si>
  <si>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</si>
  <si>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</si>
  <si>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</si>
  <si>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</si>
  <si>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</si>
  <si>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</si>
  <si>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</si>
  <si>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</si>
  <si>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</si>
  <si>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</si>
  <si>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</si>
  <si>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</si>
  <si>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</si>
  <si>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</si>
  <si>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</si>
  <si>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</si>
  <si>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</si>
  <si>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</si>
  <si>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</si>
  <si>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</si>
  <si>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</si>
  <si>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</si>
  <si>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days payable outstanding</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</si>
  <si>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</si>
  <si>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</si>
  <si>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</si>
  <si>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</si>
  <si>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</si>
  <si>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</si>
  <si>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</si>
  <si>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</si>
  <si>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</si>
  <si>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</si>
  <si>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</si>
  <si>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</si>
  <si>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</si>
  <si>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</si>
  <si>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</si>
  <si>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</si>
  <si>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</si>
  <si>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</si>
  <si>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</si>
  <si>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</si>
  <si>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</si>
  <si>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</si>
  <si>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</si>
  <si>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</si>
  <si>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</si>
  <si>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</si>
  <si>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t>
  </si>
  <si>
    <t>Δ</t>
  </si>
  <si>
    <t>Δ Applied</t>
  </si>
  <si>
    <t>PT Low</t>
  </si>
  <si>
    <t>PT High</t>
  </si>
  <si>
    <t>Δ Low</t>
  </si>
  <si>
    <t>Δ High</t>
  </si>
  <si>
    <t>Max</t>
  </si>
  <si>
    <t>Capex Intensity</t>
  </si>
  <si>
    <t>COGS Margin</t>
  </si>
  <si>
    <t>SG&amp;A Margin</t>
  </si>
  <si>
    <t>Terminal g</t>
  </si>
  <si>
    <t>VaR</t>
  </si>
  <si>
    <t>EBITDA Exit</t>
  </si>
  <si>
    <t>Historical VaR for UNP:</t>
  </si>
  <si>
    <t>Revenue Exit</t>
  </si>
  <si>
    <t xml:space="preserve">Confidence Level 95.0%: </t>
  </si>
  <si>
    <t>-0.0204</t>
  </si>
  <si>
    <t>Confidence Level 99.0%:</t>
  </si>
  <si>
    <t>-0.0447</t>
  </si>
  <si>
    <t>Parametric VaR for UNP:</t>
  </si>
  <si>
    <t>Confidence Level 95.0%:</t>
  </si>
  <si>
    <t>-0.02475041201637026</t>
  </si>
  <si>
    <t>-0.03510351834824588</t>
  </si>
  <si>
    <t>Monte Carlos VaR for UNP:</t>
  </si>
  <si>
    <t>0.27516547692197724</t>
  </si>
  <si>
    <t>0.18853451908821353</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</si>
  <si>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</si>
  <si>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</si>
  <si>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</si>
  <si>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</si>
  <si>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</si>
  <si>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</si>
  <si>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</si>
  <si>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</si>
  <si>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</si>
  <si>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</si>
  <si>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</si>
  <si>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</si>
  <si>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</si>
  <si>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</si>
  <si>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</si>
  <si>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</si>
  <si>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</si>
  <si>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</si>
  <si>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</si>
  <si>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</si>
  <si>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</si>
  <si>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</si>
  <si>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</si>
  <si>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</si>
  <si>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</si>
  <si>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</si>
  <si>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</si>
  <si>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</si>
  <si>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</si>
  <si>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</si>
  <si>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</si>
  <si>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</si>
  <si>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</si>
  <si>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</si>
  <si>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</si>
  <si>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</si>
  <si>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</si>
  <si>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</si>
  <si>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</si>
  <si>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</si>
  <si>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</si>
  <si>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</si>
  <si>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</si>
  <si>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</si>
  <si>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</si>
  <si>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</si>
  <si>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</si>
  <si>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</si>
  <si>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</si>
  <si>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</si>
  <si>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</si>
  <si>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</si>
  <si>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</si>
  <si>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</si>
  <si>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</si>
  <si>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</si>
  <si>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</si>
  <si>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</si>
  <si>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</si>
  <si>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</si>
  <si>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</si>
  <si>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</si>
  <si>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</si>
  <si>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</si>
  <si>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</si>
  <si>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</si>
  <si>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</si>
  <si>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</si>
  <si>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</si>
  <si>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</si>
  <si>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</si>
  <si>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</si>
  <si>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</si>
  <si>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</si>
  <si>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</si>
  <si>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</si>
  <si>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</si>
  <si>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</si>
  <si>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</si>
  <si>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</si>
  <si>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</si>
  <si>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</si>
  <si>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</si>
  <si>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</si>
  <si>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</si>
  <si>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</si>
  <si>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</si>
  <si>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</si>
  <si>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</si>
  <si>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</si>
  <si>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</si>
  <si>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</si>
  <si>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</si>
  <si>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</si>
  <si>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</si>
  <si>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</si>
  <si>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</si>
  <si>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</si>
  <si>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</si>
  <si>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</si>
  <si>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</si>
  <si>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</si>
  <si>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</si>
  <si>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</si>
  <si>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</si>
  <si>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 xml:space="preserve"> </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</si>
  <si>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</si>
  <si>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</si>
  <si>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</si>
  <si>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</si>
  <si>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</si>
  <si>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</si>
  <si>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</si>
  <si>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</si>
  <si>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</si>
  <si>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</si>
  <si>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</si>
  <si>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</si>
  <si>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</si>
  <si>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S&amp;P 500 INDEX</t>
  </si>
  <si>
    <t>spx index</t>
  </si>
  <si>
    <t>FORMAT</t>
  </si>
  <si>
    <t>MLN</t>
  </si>
  <si>
    <t>(+) Preferred Stock Market Capitalization</t>
  </si>
  <si>
    <t>EV / EBITDA</t>
  </si>
  <si>
    <t>TRANSPORT AMERIC</t>
  </si>
  <si>
    <t>tram index</t>
  </si>
  <si>
    <t>TICKER</t>
  </si>
  <si>
    <t>UNP US Equity</t>
  </si>
  <si>
    <t>(+) Non-controlling Interest</t>
  </si>
  <si>
    <t>P / E</t>
  </si>
  <si>
    <t>PREFERRED TICKER</t>
  </si>
  <si>
    <t xml:space="preserve">UNP </t>
  </si>
  <si>
    <t>(+) Total Debt</t>
  </si>
  <si>
    <t>P / Sales</t>
  </si>
  <si>
    <t>Peers Formatting</t>
  </si>
  <si>
    <t>Year-end</t>
  </si>
  <si>
    <t>(-) Cash &amp; Cash Equivalents &amp; Short-term Investments</t>
  </si>
  <si>
    <t>Quarter-end</t>
  </si>
  <si>
    <t>Tier I Peers</t>
  </si>
  <si>
    <t xml:space="preserve">CNR CN </t>
  </si>
  <si>
    <t>BA US Equity</t>
  </si>
  <si>
    <t>DE US Equity</t>
  </si>
  <si>
    <t xml:space="preserve">CSX CORP </t>
  </si>
  <si>
    <t>LMT US Equity</t>
  </si>
  <si>
    <t>ITW US Equity</t>
  </si>
  <si>
    <t xml:space="preserve">CP CN </t>
  </si>
  <si>
    <t>NOC US Equity</t>
  </si>
  <si>
    <t>HON US Equity</t>
  </si>
  <si>
    <t xml:space="preserve">NSC US </t>
  </si>
  <si>
    <t>GD US Equity</t>
  </si>
  <si>
    <t>ADP US Equity</t>
  </si>
  <si>
    <t>BNI1 US Equi</t>
  </si>
  <si>
    <t>MMM US Equity</t>
  </si>
  <si>
    <t>WM US Equity</t>
  </si>
  <si>
    <t>Stock Returns vs Peers</t>
  </si>
  <si>
    <t>Out. Shares</t>
  </si>
  <si>
    <t>Market Cap</t>
  </si>
  <si>
    <t>Price / Sales</t>
  </si>
  <si>
    <t>21 813</t>
  </si>
  <si>
    <t>19 941</t>
  </si>
  <si>
    <t>21 240</t>
  </si>
  <si>
    <t>22 832</t>
  </si>
  <si>
    <t>21 708</t>
  </si>
  <si>
    <t>19 533</t>
  </si>
  <si>
    <t>21 804</t>
  </si>
  <si>
    <t>24 875</t>
  </si>
  <si>
    <t>24 119</t>
  </si>
  <si>
    <t>24 250</t>
  </si>
  <si>
    <t>Operating Income</t>
  </si>
  <si>
    <t>8 052</t>
  </si>
  <si>
    <t>7 243</t>
  </si>
  <si>
    <t>8 106</t>
  </si>
  <si>
    <t>8 517</t>
  </si>
  <si>
    <t>8 554</t>
  </si>
  <si>
    <t>8 043</t>
  </si>
  <si>
    <t>9 338</t>
  </si>
  <si>
    <t>10 009</t>
  </si>
  <si>
    <t>9 082</t>
  </si>
  <si>
    <t>9 713</t>
  </si>
  <si>
    <t>10,3%</t>
  </si>
  <si>
    <t>8,8%</t>
  </si>
  <si>
    <t>21,1%</t>
  </si>
  <si>
    <t>12,1%</t>
  </si>
  <si>
    <t>11,5%</t>
  </si>
  <si>
    <t>12,2%</t>
  </si>
  <si>
    <t>12,6%</t>
  </si>
  <si>
    <t>11,7%</t>
  </si>
  <si>
    <t>8,0%</t>
  </si>
  <si>
    <t>7,7%</t>
  </si>
  <si>
    <t>9,4%</t>
  </si>
  <si>
    <t>7,3%</t>
  </si>
  <si>
    <t>8,9%</t>
  </si>
  <si>
    <t>7,0%</t>
  </si>
  <si>
    <t>8,7%</t>
  </si>
  <si>
    <t>8,5%</t>
  </si>
  <si>
    <t>Capex</t>
  </si>
  <si>
    <t>-4 650</t>
  </si>
  <si>
    <t>-3 505</t>
  </si>
  <si>
    <t>-3 238</t>
  </si>
  <si>
    <t>-3 437</t>
  </si>
  <si>
    <t>-3 453</t>
  </si>
  <si>
    <t>-2 927</t>
  </si>
  <si>
    <t>-2 936</t>
  </si>
  <si>
    <t>-3 620</t>
  </si>
  <si>
    <t>-3 606</t>
  </si>
  <si>
    <t>-3 452</t>
  </si>
  <si>
    <t>Debt to Equity</t>
  </si>
  <si>
    <t>68,6%</t>
  </si>
  <si>
    <t>75,3%</t>
  </si>
  <si>
    <t>68,2%</t>
  </si>
  <si>
    <t>109,6%</t>
  </si>
  <si>
    <t>149,1%</t>
  </si>
  <si>
    <t>167,1%</t>
  </si>
  <si>
    <t>222,4%</t>
  </si>
  <si>
    <t>287,4%</t>
  </si>
  <si>
    <t>231,1%</t>
  </si>
  <si>
    <t>192,2%</t>
  </si>
  <si>
    <t>Operating Margin</t>
  </si>
  <si>
    <t>36,9%</t>
  </si>
  <si>
    <t>36,3%</t>
  </si>
  <si>
    <t>38,2%</t>
  </si>
  <si>
    <t>37,3%</t>
  </si>
  <si>
    <t>39,4%</t>
  </si>
  <si>
    <t>41,2%</t>
  </si>
  <si>
    <t>42,8%</t>
  </si>
  <si>
    <t>40,2%</t>
  </si>
  <si>
    <t>37,7%</t>
  </si>
  <si>
    <t>40,1%</t>
  </si>
  <si>
    <t>ROIC-to-WACC</t>
  </si>
  <si>
    <t>1,1</t>
  </si>
  <si>
    <t>2,7</t>
  </si>
  <si>
    <t>1,3</t>
  </si>
  <si>
    <t>1,6</t>
  </si>
  <si>
    <t>1,4</t>
  </si>
  <si>
    <t>1,8</t>
  </si>
  <si>
    <t>Capex-to-Sales</t>
  </si>
  <si>
    <t>21,3%</t>
  </si>
  <si>
    <t>17,6%</t>
  </si>
  <si>
    <t>15,2%</t>
  </si>
  <si>
    <t>15,1%</t>
  </si>
  <si>
    <t>15,9%</t>
  </si>
  <si>
    <t>15,0%</t>
  </si>
  <si>
    <t>13,5%</t>
  </si>
  <si>
    <t>14,6%</t>
  </si>
  <si>
    <t>14,2%</t>
  </si>
  <si>
    <t>9 875</t>
  </si>
  <si>
    <t>9 092</t>
  </si>
  <si>
    <t>10 054</t>
  </si>
  <si>
    <t>11 054</t>
  </si>
  <si>
    <t>11 243</t>
  </si>
  <si>
    <t>10 315</t>
  </si>
  <si>
    <t>11 551</t>
  </si>
  <si>
    <t>13 153</t>
  </si>
  <si>
    <t>12 472</t>
  </si>
  <si>
    <t>12 444</t>
  </si>
  <si>
    <t>4 124</t>
  </si>
  <si>
    <t>3 801</t>
  </si>
  <si>
    <t>4 042</t>
  </si>
  <si>
    <t>4 261</t>
  </si>
  <si>
    <t>4 302</t>
  </si>
  <si>
    <t>3 928</t>
  </si>
  <si>
    <t>4 486</t>
  </si>
  <si>
    <t>5 276</t>
  </si>
  <si>
    <t>4 889</t>
  </si>
  <si>
    <t>4 618</t>
  </si>
  <si>
    <t>11,8%</t>
  </si>
  <si>
    <t>10,1%</t>
  </si>
  <si>
    <t>15,3%</t>
  </si>
  <si>
    <t>10,7%</t>
  </si>
  <si>
    <t>8,4%</t>
  </si>
  <si>
    <t>9,1%</t>
  </si>
  <si>
    <t>10,9%</t>
  </si>
  <si>
    <t>11,4%</t>
  </si>
  <si>
    <t>9,5%</t>
  </si>
  <si>
    <t>7,4%</t>
  </si>
  <si>
    <t>-2 119</t>
  </si>
  <si>
    <t>-2 036</t>
  </si>
  <si>
    <t>-2 061</t>
  </si>
  <si>
    <t>-2 725</t>
  </si>
  <si>
    <t>-2 913</t>
  </si>
  <si>
    <t>-2 137</t>
  </si>
  <si>
    <t>-2 307</t>
  </si>
  <si>
    <t>-2 114</t>
  </si>
  <si>
    <t>-2 362</t>
  </si>
  <si>
    <t>-2 591</t>
  </si>
  <si>
    <t>69,7%</t>
  </si>
  <si>
    <t>73,7%</t>
  </si>
  <si>
    <t>65,0%</t>
  </si>
  <si>
    <t>71,2%</t>
  </si>
  <si>
    <t>79,2%</t>
  </si>
  <si>
    <t>67,8%</t>
  </si>
  <si>
    <t>56,8%</t>
  </si>
  <si>
    <t>74,3%</t>
  </si>
  <si>
    <t>93,9%</t>
  </si>
  <si>
    <t>101,5%</t>
  </si>
  <si>
    <t>41,8%</t>
  </si>
  <si>
    <t>38,5%</t>
  </si>
  <si>
    <t>38,3%</t>
  </si>
  <si>
    <t>38,1%</t>
  </si>
  <si>
    <t>38,8%</t>
  </si>
  <si>
    <t>39,2%</t>
  </si>
  <si>
    <t>37,1%</t>
  </si>
  <si>
    <t>1,0</t>
  </si>
  <si>
    <t>1,2</t>
  </si>
  <si>
    <t>21,5%</t>
  </si>
  <si>
    <t>22,4%</t>
  </si>
  <si>
    <t>20,5%</t>
  </si>
  <si>
    <t>24,7%</t>
  </si>
  <si>
    <t>25,9%</t>
  </si>
  <si>
    <t>20,7%</t>
  </si>
  <si>
    <t>20,0%</t>
  </si>
  <si>
    <t>16,1%</t>
  </si>
  <si>
    <t>18,9%</t>
  </si>
  <si>
    <t>20,8%</t>
  </si>
  <si>
    <t>11 811</t>
  </si>
  <si>
    <t>11 069</t>
  </si>
  <si>
    <t>11 408</t>
  </si>
  <si>
    <t>12 250</t>
  </si>
  <si>
    <t>11 937</t>
  </si>
  <si>
    <t>10 583</t>
  </si>
  <si>
    <t>12 522</t>
  </si>
  <si>
    <t>14 853</t>
  </si>
  <si>
    <t>14 657</t>
  </si>
  <si>
    <t>14 540</t>
  </si>
  <si>
    <t>3 494</t>
  </si>
  <si>
    <t>3 261</t>
  </si>
  <si>
    <t>3 800</t>
  </si>
  <si>
    <t>4 715</t>
  </si>
  <si>
    <t>4 836</t>
  </si>
  <si>
    <t>4 327</t>
  </si>
  <si>
    <t>5 140</t>
  </si>
  <si>
    <t>5 785</t>
  </si>
  <si>
    <t>5 465</t>
  </si>
  <si>
    <t>5 342</t>
  </si>
  <si>
    <t>6,6%</t>
  </si>
  <si>
    <t>17,9%</t>
  </si>
  <si>
    <t>11,0%</t>
  </si>
  <si>
    <t>11,2%</t>
  </si>
  <si>
    <t>11,9%</t>
  </si>
  <si>
    <t>10,6%</t>
  </si>
  <si>
    <t>10,0%</t>
  </si>
  <si>
    <t>8,2%</t>
  </si>
  <si>
    <t>9,8%</t>
  </si>
  <si>
    <t>-2 562</t>
  </si>
  <si>
    <t>-2 398</t>
  </si>
  <si>
    <t>-2 040</t>
  </si>
  <si>
    <t>-1 745</t>
  </si>
  <si>
    <t>-1 657</t>
  </si>
  <si>
    <t>-1 626</t>
  </si>
  <si>
    <t>-1 791</t>
  </si>
  <si>
    <t>-2 133</t>
  </si>
  <si>
    <t>-2 257</t>
  </si>
  <si>
    <t>-2 529</t>
  </si>
  <si>
    <t>90,3%</t>
  </si>
  <si>
    <t>96,6%</t>
  </si>
  <si>
    <t>80,2%</t>
  </si>
  <si>
    <t>117,3%</t>
  </si>
  <si>
    <t>141,5%</t>
  </si>
  <si>
    <t>131,2%</t>
  </si>
  <si>
    <t>125,2%</t>
  </si>
  <si>
    <t>147,4%</t>
  </si>
  <si>
    <t>159,3%</t>
  </si>
  <si>
    <t>152,4%</t>
  </si>
  <si>
    <t>29,6%</t>
  </si>
  <si>
    <t>29,5%</t>
  </si>
  <si>
    <t>33,3%</t>
  </si>
  <si>
    <t>40,5%</t>
  </si>
  <si>
    <t>40,9%</t>
  </si>
  <si>
    <t>41,0%</t>
  </si>
  <si>
    <t>38,9%</t>
  </si>
  <si>
    <t>36,7%</t>
  </si>
  <si>
    <t>0,9</t>
  </si>
  <si>
    <t>0,8</t>
  </si>
  <si>
    <t>2,0</t>
  </si>
  <si>
    <t>1,5</t>
  </si>
  <si>
    <t>21,7%</t>
  </si>
  <si>
    <t>13,9%</t>
  </si>
  <si>
    <t>15,4%</t>
  </si>
  <si>
    <t>14,3%</t>
  </si>
  <si>
    <t>14,4%</t>
  </si>
  <si>
    <t>17,4%</t>
  </si>
  <si>
    <t>5 256</t>
  </si>
  <si>
    <t>4 707</t>
  </si>
  <si>
    <t>5 053</t>
  </si>
  <si>
    <t>5 647</t>
  </si>
  <si>
    <t>5 873</t>
  </si>
  <si>
    <t>5 755</t>
  </si>
  <si>
    <t>6 379</t>
  </si>
  <si>
    <t>10 162</t>
  </si>
  <si>
    <t>9 305</t>
  </si>
  <si>
    <t>10 619</t>
  </si>
  <si>
    <t>2 027</t>
  </si>
  <si>
    <t>1 756</t>
  </si>
  <si>
    <t>1 752</t>
  </si>
  <si>
    <t>2 315</t>
  </si>
  <si>
    <t>2 284</t>
  </si>
  <si>
    <t>2 461</t>
  </si>
  <si>
    <t>3 036</t>
  </si>
  <si>
    <t>3 908</t>
  </si>
  <si>
    <t>3 621</t>
  </si>
  <si>
    <t>4 120</t>
  </si>
  <si>
    <t>11,1%</t>
  </si>
  <si>
    <t>9,3%</t>
  </si>
  <si>
    <t>10,5%</t>
  </si>
  <si>
    <t>4,9%</t>
  </si>
  <si>
    <t>12,3%</t>
  </si>
  <si>
    <t>4,5%</t>
  </si>
  <si>
    <t>10,2%</t>
  </si>
  <si>
    <t>7,8%</t>
  </si>
  <si>
    <t>9,6%</t>
  </si>
  <si>
    <t>9,2%</t>
  </si>
  <si>
    <t>-1 192</t>
  </si>
  <si>
    <t>-1 033</t>
  </si>
  <si>
    <t>-1 197</t>
  </si>
  <si>
    <t>-1 241</t>
  </si>
  <si>
    <t>-1 247</t>
  </si>
  <si>
    <t>-1 222</t>
  </si>
  <si>
    <t>-1 852</t>
  </si>
  <si>
    <t>-2 062</t>
  </si>
  <si>
    <t>186,8%</t>
  </si>
  <si>
    <t>187,7%</t>
  </si>
  <si>
    <t>126,8%</t>
  </si>
  <si>
    <t>131,0%</t>
  </si>
  <si>
    <t>128,9%</t>
  </si>
  <si>
    <t>137,8%</t>
  </si>
  <si>
    <t>60,3%</t>
  </si>
  <si>
    <t>51,2%</t>
  </si>
  <si>
    <t>53,8%</t>
  </si>
  <si>
    <t>47,0%</t>
  </si>
  <si>
    <t>38,6%</t>
  </si>
  <si>
    <t>34,7%</t>
  </si>
  <si>
    <t>47,6%</t>
  </si>
  <si>
    <t>0,6</t>
  </si>
  <si>
    <t>0,5</t>
  </si>
  <si>
    <t>22,7%</t>
  </si>
  <si>
    <t>19,0%</t>
  </si>
  <si>
    <t>20,4%</t>
  </si>
  <si>
    <t>21,2%</t>
  </si>
  <si>
    <t>19,2%</t>
  </si>
  <si>
    <t>19,9%</t>
  </si>
  <si>
    <t>19,4%</t>
  </si>
  <si>
    <t>10 511</t>
  </si>
  <si>
    <t>9 888</t>
  </si>
  <si>
    <t>10 551</t>
  </si>
  <si>
    <t>11 458</t>
  </si>
  <si>
    <t>11 296</t>
  </si>
  <si>
    <t>9 789</t>
  </si>
  <si>
    <t>11 142</t>
  </si>
  <si>
    <t>12 745</t>
  </si>
  <si>
    <t>12 156</t>
  </si>
  <si>
    <t>12 123</t>
  </si>
  <si>
    <t>2 854</t>
  </si>
  <si>
    <t>3 028</t>
  </si>
  <si>
    <t>3 430</t>
  </si>
  <si>
    <t>3 788</t>
  </si>
  <si>
    <t>3 947</t>
  </si>
  <si>
    <t>3 348</t>
  </si>
  <si>
    <t>4 361</t>
  </si>
  <si>
    <t>4 727</t>
  </si>
  <si>
    <t>2 802</t>
  </si>
  <si>
    <t>4 089</t>
  </si>
  <si>
    <t>5,9%</t>
  </si>
  <si>
    <t>6,1%</t>
  </si>
  <si>
    <t>17,1%</t>
  </si>
  <si>
    <t>5,8%</t>
  </si>
  <si>
    <t>8,1%</t>
  </si>
  <si>
    <t>7,2%</t>
  </si>
  <si>
    <t>-2 385</t>
  </si>
  <si>
    <t>-1 887</t>
  </si>
  <si>
    <t>-1 723</t>
  </si>
  <si>
    <t>-1 951</t>
  </si>
  <si>
    <t>-2 019</t>
  </si>
  <si>
    <t>-1 494</t>
  </si>
  <si>
    <t>-1 470</t>
  </si>
  <si>
    <t>-1 948</t>
  </si>
  <si>
    <t>-2 349</t>
  </si>
  <si>
    <t>-2 381</t>
  </si>
  <si>
    <t>82,8%</t>
  </si>
  <si>
    <t>82,3%</t>
  </si>
  <si>
    <t>60,1%</t>
  </si>
  <si>
    <t>72,5%</t>
  </si>
  <si>
    <t>83,9%</t>
  </si>
  <si>
    <t>88,7%</t>
  </si>
  <si>
    <t>104,5%</t>
  </si>
  <si>
    <t>122,5%</t>
  </si>
  <si>
    <t>137,5%</t>
  </si>
  <si>
    <t>122,2%</t>
  </si>
  <si>
    <t>27,2%</t>
  </si>
  <si>
    <t>30,6%</t>
  </si>
  <si>
    <t>32,5%</t>
  </si>
  <si>
    <t>33,1%</t>
  </si>
  <si>
    <t>34,9%</t>
  </si>
  <si>
    <t>34,2%</t>
  </si>
  <si>
    <t>39,1%</t>
  </si>
  <si>
    <t>23,1%</t>
  </si>
  <si>
    <t>33,7%</t>
  </si>
  <si>
    <t>1,9</t>
  </si>
  <si>
    <t>0,7</t>
  </si>
  <si>
    <t>19,1%</t>
  </si>
  <si>
    <t>16,3%</t>
  </si>
  <si>
    <t>17,0%</t>
  </si>
  <si>
    <t>13,2%</t>
  </si>
  <si>
    <t>19,3%</t>
  </si>
  <si>
    <t>19,6%</t>
  </si>
  <si>
    <t>21 401</t>
  </si>
  <si>
    <t>19 278</t>
  </si>
  <si>
    <t>20 747</t>
  </si>
  <si>
    <t>22 999</t>
  </si>
  <si>
    <t>22 745</t>
  </si>
  <si>
    <t>20 557</t>
  </si>
  <si>
    <t>22 513</t>
  </si>
  <si>
    <t>25 202</t>
  </si>
  <si>
    <t>23 473</t>
  </si>
  <si>
    <t>23 351</t>
  </si>
  <si>
    <t>7 767</t>
  </si>
  <si>
    <t>6 637</t>
  </si>
  <si>
    <t>7 242</t>
  </si>
  <si>
    <t>7 796</t>
  </si>
  <si>
    <t>8 059</t>
  </si>
  <si>
    <t>7 809</t>
  </si>
  <si>
    <t>8 831</t>
  </si>
  <si>
    <t>8 623</t>
  </si>
  <si>
    <t>7 419</t>
  </si>
  <si>
    <t>7 501</t>
  </si>
  <si>
    <t>6,7%</t>
  </si>
  <si>
    <t>5,5%</t>
  </si>
  <si>
    <t>16,9%</t>
  </si>
  <si>
    <t>6,4%</t>
  </si>
  <si>
    <t>6,3%</t>
  </si>
  <si>
    <t>-5 624</t>
  </si>
  <si>
    <t>-3 839</t>
  </si>
  <si>
    <t>-3 261</t>
  </si>
  <si>
    <t>-3 187</t>
  </si>
  <si>
    <t>-3 608</t>
  </si>
  <si>
    <t>-3 063</t>
  </si>
  <si>
    <t>-2 911</t>
  </si>
  <si>
    <t>-3 532</t>
  </si>
  <si>
    <t>-3 920</t>
  </si>
  <si>
    <t>-3 690</t>
  </si>
  <si>
    <t>3,3%</t>
  </si>
  <si>
    <t>2,9%</t>
  </si>
  <si>
    <t>2,3%</t>
  </si>
  <si>
    <t>2,1%</t>
  </si>
  <si>
    <t>5,1%</t>
  </si>
  <si>
    <t>0,8%</t>
  </si>
  <si>
    <t>3,4%</t>
  </si>
  <si>
    <t>2,4%</t>
  </si>
  <si>
    <t>34,4%</t>
  </si>
  <si>
    <t>33,9%</t>
  </si>
  <si>
    <t>35,4%</t>
  </si>
  <si>
    <t>38,0%</t>
  </si>
  <si>
    <t>31,6%</t>
  </si>
  <si>
    <t>32,1%</t>
  </si>
  <si>
    <t>26,3%</t>
  </si>
  <si>
    <t>15,7%</t>
  </si>
  <si>
    <t>14,9%</t>
  </si>
  <si>
    <t>12,9%</t>
  </si>
  <si>
    <t>14,0%</t>
  </si>
  <si>
    <t>16,7%</t>
  </si>
  <si>
    <t>15,8%</t>
  </si>
  <si>
    <t>Environmental Data</t>
  </si>
  <si>
    <t>GHG_SCOPE_1</t>
  </si>
  <si>
    <t>11313,9</t>
  </si>
  <si>
    <t>10083,3</t>
  </si>
  <si>
    <t>8896,95</t>
  </si>
  <si>
    <t>9236,75</t>
  </si>
  <si>
    <t>9266,47</t>
  </si>
  <si>
    <t>9156,53</t>
  </si>
  <si>
    <t>9286,29</t>
  </si>
  <si>
    <t>0,495528</t>
  </si>
  <si>
    <t>0,46449696</t>
  </si>
  <si>
    <t>0,455483</t>
  </si>
  <si>
    <t>0,423626</t>
  </si>
  <si>
    <t>0,372521407</t>
  </si>
  <si>
    <t>0,37964</t>
  </si>
  <si>
    <t>0,38294</t>
  </si>
  <si>
    <t>CNR CN Equity</t>
  </si>
  <si>
    <t>5499,64</t>
  </si>
  <si>
    <t>5776,18</t>
  </si>
  <si>
    <t>5771,27</t>
  </si>
  <si>
    <t>5377,02</t>
  </si>
  <si>
    <t>5113,92</t>
  </si>
  <si>
    <t>4968,86</t>
  </si>
  <si>
    <t>4838,44</t>
  </si>
  <si>
    <t>0,5470364</t>
  </si>
  <si>
    <t>0,522565</t>
  </si>
  <si>
    <t>0,51332998</t>
  </si>
  <si>
    <t>0,521287</t>
  </si>
  <si>
    <t>0,442734</t>
  </si>
  <si>
    <t>0,383270409</t>
  </si>
  <si>
    <t>0,398389</t>
  </si>
  <si>
    <t>0,388809</t>
  </si>
  <si>
    <t>CSX US Equity</t>
  </si>
  <si>
    <t>4706,71</t>
  </si>
  <si>
    <t>4637,62</t>
  </si>
  <si>
    <t>4309,32</t>
  </si>
  <si>
    <t>3815,52</t>
  </si>
  <si>
    <t>3956,08</t>
  </si>
  <si>
    <t>4080,65</t>
  </si>
  <si>
    <t>4240,94</t>
  </si>
  <si>
    <t>4285,08</t>
  </si>
  <si>
    <t>0,4125798</t>
  </si>
  <si>
    <t>0,378581</t>
  </si>
  <si>
    <t>0,361005278</t>
  </si>
  <si>
    <t>0,360533</t>
  </si>
  <si>
    <t>0,31593</t>
  </si>
  <si>
    <t>0,274735744</t>
  </si>
  <si>
    <t>0,289346</t>
  </si>
  <si>
    <t>0,29471</t>
  </si>
  <si>
    <t>CP CN Equity</t>
  </si>
  <si>
    <t>3136,42</t>
  </si>
  <si>
    <t>2987,57</t>
  </si>
  <si>
    <t>2952,42</t>
  </si>
  <si>
    <t>3008,85</t>
  </si>
  <si>
    <t>4635,7</t>
  </si>
  <si>
    <t>4645,3</t>
  </si>
  <si>
    <t>0,5705991</t>
  </si>
  <si>
    <t>0,540485</t>
  </si>
  <si>
    <t>0,534062394</t>
  </si>
  <si>
    <t>0,51913</t>
  </si>
  <si>
    <t>0,462836</t>
  </si>
  <si>
    <t>0,296094333</t>
  </si>
  <si>
    <t>0,498175</t>
  </si>
  <si>
    <t>0,437445</t>
  </si>
  <si>
    <t>NSC US Equity</t>
  </si>
  <si>
    <t>4872,47</t>
  </si>
  <si>
    <t>4930,13</t>
  </si>
  <si>
    <t>4784,05</t>
  </si>
  <si>
    <t>3786,84</t>
  </si>
  <si>
    <t>4165,81</t>
  </si>
  <si>
    <t>4127,66</t>
  </si>
  <si>
    <t>4098,38</t>
  </si>
  <si>
    <t>4054,13</t>
  </si>
  <si>
    <t>0,4618017</t>
  </si>
  <si>
    <t>0,430278</t>
  </si>
  <si>
    <t>0,423517174</t>
  </si>
  <si>
    <t>0,386846</t>
  </si>
  <si>
    <t>0,373884</t>
  </si>
  <si>
    <t>0,323865045</t>
  </si>
  <si>
    <t>0,337149</t>
  </si>
  <si>
    <t>0,334416</t>
  </si>
  <si>
    <t>BNI1 US Equity</t>
  </si>
  <si>
    <t>ENERGY_CONSUMPTION</t>
  </si>
  <si>
    <t>20972,2</t>
  </si>
  <si>
    <t>22149,9</t>
  </si>
  <si>
    <t>22178,6</t>
  </si>
  <si>
    <t>20076,6</t>
  </si>
  <si>
    <t>19721,1</t>
  </si>
  <si>
    <t>19096,7</t>
  </si>
  <si>
    <t>19587,8</t>
  </si>
  <si>
    <t>18909,6</t>
  </si>
  <si>
    <t>18471,8</t>
  </si>
  <si>
    <t>17509,9</t>
  </si>
  <si>
    <t>15392,3</t>
  </si>
  <si>
    <t>16352,8</t>
  </si>
  <si>
    <t>16353,4</t>
  </si>
  <si>
    <t>17016,6</t>
  </si>
  <si>
    <t>10757,9</t>
  </si>
  <si>
    <t>11383,9</t>
  </si>
  <si>
    <t>11072,6</t>
  </si>
  <si>
    <t>10910,6</t>
  </si>
  <si>
    <t>11143,7</t>
  </si>
  <si>
    <t>20317,1</t>
  </si>
  <si>
    <t>19408,1</t>
  </si>
  <si>
    <t>16222,3</t>
  </si>
  <si>
    <t>32983,9</t>
  </si>
  <si>
    <t>31687,1</t>
  </si>
  <si>
    <t>16462,7</t>
  </si>
  <si>
    <t>16273,5</t>
  </si>
  <si>
    <t>WATER_CONSMPTN</t>
  </si>
  <si>
    <t>0,090012898</t>
  </si>
  <si>
    <t>0,095121</t>
  </si>
  <si>
    <t>0,106907</t>
  </si>
  <si>
    <t>0,065165829</t>
  </si>
  <si>
    <t>0,009951</t>
  </si>
  <si>
    <t>0,016907</t>
  </si>
  <si>
    <t>Total Waste</t>
  </si>
  <si>
    <t>TOTAL_WASTE</t>
  </si>
  <si>
    <t>1133,98</t>
  </si>
  <si>
    <t>1896,01</t>
  </si>
  <si>
    <t>1300,24</t>
  </si>
  <si>
    <t>1912,17</t>
  </si>
  <si>
    <t>1259,86</t>
  </si>
  <si>
    <t>1090,15</t>
  </si>
  <si>
    <t>0,0533889</t>
  </si>
  <si>
    <t>0,083042</t>
  </si>
  <si>
    <t>0,059896812</t>
  </si>
  <si>
    <t>0,097894</t>
  </si>
  <si>
    <t>0,043461</t>
  </si>
  <si>
    <t>0,039582874</t>
  </si>
  <si>
    <t>0,052235</t>
  </si>
  <si>
    <t>0,044955</t>
  </si>
  <si>
    <t>348,97</t>
  </si>
  <si>
    <t>295,38</t>
  </si>
  <si>
    <t>0,0311584</t>
  </si>
  <si>
    <t>0,030786</t>
  </si>
  <si>
    <t>0,035347578</t>
  </si>
  <si>
    <t>0,033832</t>
  </si>
  <si>
    <t>0,029916</t>
  </si>
  <si>
    <t>0,020189858</t>
  </si>
  <si>
    <t>0,023592</t>
  </si>
  <si>
    <t>0,023736</t>
  </si>
  <si>
    <t>0,0265576</t>
  </si>
  <si>
    <t>0,008259</t>
  </si>
  <si>
    <t>0,008417777</t>
  </si>
  <si>
    <t>0,00954</t>
  </si>
  <si>
    <t>0,035134</t>
  </si>
  <si>
    <t>0,013670235</t>
  </si>
  <si>
    <t>0,005169</t>
  </si>
  <si>
    <t>0,014591</t>
  </si>
  <si>
    <t>114,68</t>
  </si>
  <si>
    <t>119,69</t>
  </si>
  <si>
    <t>0,0156888</t>
  </si>
  <si>
    <t>0,018475</t>
  </si>
  <si>
    <t>0,015344064</t>
  </si>
  <si>
    <t>0,019927</t>
  </si>
  <si>
    <t>0,018763</t>
  </si>
  <si>
    <t>0,006750972</t>
  </si>
  <si>
    <t>0,009943</t>
  </si>
  <si>
    <t>0,01479</t>
  </si>
  <si>
    <t>0,0216743</t>
  </si>
  <si>
    <t>0,029182</t>
  </si>
  <si>
    <t>0,034824274</t>
  </si>
  <si>
    <t>0,036271</t>
  </si>
  <si>
    <t>0,02155</t>
  </si>
  <si>
    <t>0,016523186</t>
  </si>
  <si>
    <t>0,01342</t>
  </si>
  <si>
    <t>SALES_REV_TURN</t>
  </si>
  <si>
    <t>10053,52</t>
  </si>
  <si>
    <t>11053,51</t>
  </si>
  <si>
    <t>11242,81</t>
  </si>
  <si>
    <t>11550,77</t>
  </si>
  <si>
    <t>12472,38</t>
  </si>
  <si>
    <t>12444,27</t>
  </si>
  <si>
    <t>5872,76</t>
  </si>
  <si>
    <t>10619,17</t>
  </si>
  <si>
    <t>vs Index</t>
  </si>
  <si>
    <t>Stock Price</t>
  </si>
  <si>
    <t>Stock Returns</t>
  </si>
  <si>
    <t>Volume</t>
  </si>
  <si>
    <t>0,81448</t>
  </si>
  <si>
    <t>EQY_BETA</t>
  </si>
  <si>
    <t>0,615945</t>
  </si>
  <si>
    <t>RSI_PX_52WEEK</t>
  </si>
  <si>
    <t>MOV_AVG_100D</t>
  </si>
  <si>
    <t>VOLUME_AVG_30D</t>
  </si>
  <si>
    <t>EQY_SH_OUT</t>
  </si>
  <si>
    <t>EQY_FREE_FLOAT_PCT</t>
  </si>
  <si>
    <t>SI_PERCENT_EQUITY_FLOAT</t>
  </si>
  <si>
    <t>%Held by Insiders</t>
  </si>
  <si>
    <t>PCT_INSIDER_SHARES_OUT</t>
  </si>
  <si>
    <t>PCT_FLT_SHARES_INSTITUTIONS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</si>
</sst>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164" formatCode="0&quot;A&quot;"/>
    <numFmt numFmtId="165" formatCode="0&quot;E&quot;"/>
    <numFmt numFmtId="166" formatCode="_-* #,##0.00\ _€_-;\-* #,##0.00\ _€_-;_-* &quot;-&quot;??\ _€_-;_-@_-"/>
    <numFmt numFmtId="167" formatCode="0.0%"/>
    <numFmt numFmtId="168" formatCode="_(* #,##0_);_(* \(#,##0\);_(* &quot;-&quot;??_);_(@_)"/>
    <numFmt numFmtId="169" formatCode="0.0"/>
    <numFmt numFmtId="170" formatCode="_-[$₩-412]* #,##0_-;\-[$₩-412]* #,##0_-;_-[$₩-412]* &quot;-&quot;_-;_-@_-"/>
    <numFmt numFmtId="171" formatCode="0.0&quot;x&quot;"/>
    <numFmt numFmtId="172" formatCode="0.0\x"/>
    <numFmt numFmtId="173" formatCode="m/d/yy;@"/>
    <numFmt numFmtId="174" formatCode="#,##0.0_);\(#,##0.0\)"/>
    <numFmt numFmtId="175" formatCode="#,#00"/>
    <numFmt numFmtId="176" formatCode="#,#00.00"/>
    <numFmt numFmtId="177" formatCode="yyyy\-mm\-dd;@"/>
    <numFmt numFmtId="178" formatCode="#,##0_ ;\-#,##0\ "/>
    <numFmt numFmtId="179" formatCode="0.000"/>
    <numFmt numFmtId="180" formatCode="#,##0\ [$USD];\-#,##0\ [$USD]"/>
  </numFmts>
  <fonts count="104" x14ac:knownFonts="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b/>
      <sz val="8"/>
      <color rgb="FFFFFFFF"/>
      <name val="Arial Nova"/>
      <family val="2"/>
    </font>
    <font>
      <b/>
      <sz val="11"/>
      <color rgb="FF000000"/>
      <name val="Arial Nova"/>
      <family val="2"/>
    </font>
    <font>
      <sz val="12"/>
      <color rgb="FF3B3B3B"/>
      <name val="Arial Nova"/>
      <family val="2"/>
    </font>
    <font>
      <sz val="11"/>
      <color rgb="FF242424"/>
      <name val="Arial Nova"/>
      <family val="2"/>
    </font>
    <font>
      <sz val="9"/>
      <color theme="1"/>
      <name val="Arial"/>
      <family val="2"/>
    </font>
    <font>
      <sz val="8"/>
      <color theme="1"/>
      <name val="Arial"/>
      <family val="2"/>
    </font>
    <font>
      <sz val="11"/>
      <color rgb="FF8DEB91"/>
      <name val="Arial Nova"/>
      <family val="2"/>
    </font>
    <font>
      <i/>
      <sz val="9"/>
      <color rgb="FF0070C0"/>
      <name val="Arial Nova"/>
      <family val="2"/>
    </font>
    <font>
      <sz val="9"/>
      <color theme="1"/>
      <name val="Arial Nova"/>
      <family val="2"/>
    </font>
    <font>
      <b/>
      <sz val="11"/>
      <color rgb="FF00B050"/>
      <name val="Arial Nova"/>
      <family val="2"/>
    </font>
    <font>
      <sz val="9"/>
      <color rgb="FF8DEB91"/>
      <name val="Arial Nova"/>
      <family val="2"/>
    </font>
    <font>
      <sz val="9"/>
      <name val="Arial Nova"/>
      <family val="2"/>
    </font>
    <font>
      <b/>
      <sz val="11"/>
      <color rgb="FF8DEB91"/>
      <name val="Arial Nova"/>
      <family val="2"/>
    </font>
    <font>
      <sz val="11"/>
      <color rgb="FF000000"/>
      <name val="Aptos Narrow"/>
      <family val="2"/>
    </font>
    <font>
      <sz val="12"/>
      <name val="Courier New"/>
      <family val="3"/>
    </font>
    <font>
      <sz val="12"/>
      <name val="Arial"/>
      <family val="2"/>
    </font>
    <font>
      <b/>
      <sz val="12"/>
      <name val="Courier New"/>
      <family val="3"/>
    </font>
    <font>
      <b/>
      <sz val="12"/>
      <name val="Arial"/>
      <family val="2"/>
    </font>
    <font>
      <b/>
      <sz val="12"/>
      <name val="Arial Nova"/>
      <family val="2"/>
    </font>
    <font>
      <sz val="11"/>
      <name val="Courier New"/>
      <family val="3"/>
    </font>
  </fonts>
  <fills count="312">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rgb="FF801414"/>
        <bgColor rgb="FF000000"/>
      </patternFill>
    </fill>
    <fill>
      <patternFill patternType="solid">
        <fgColor rgb="FF8DEB91"/>
        <bgColor rgb="FF000000"/>
      </patternFill>
    </fill>
    <fill>
      <patternFill patternType="solid">
        <fgColor rgb="FFDBF1DC"/>
        <bgColor rgb="FF000000"/>
      </patternFill>
    </fill>
    <fill>
      <patternFill patternType="solid">
        <fgColor rgb="FFF5C0C0"/>
        <bgColor rgb="FF000000"/>
      </patternFill>
    </fill>
    <fill>
      <patternFill patternType="solid">
        <fgColor rgb="FFF3EBEB"/>
        <bgColor rgb="FF000000"/>
      </patternFill>
    </fill>
    <fill>
      <patternFill patternType="solid">
        <fgColor rgb="FFF3F0F0"/>
        <bgColor rgb="FF000000"/>
      </patternFill>
    </fill>
    <fill>
      <patternFill patternType="solid">
        <fgColor rgb="FFF0F2F0"/>
        <bgColor rgb="FF000000"/>
      </patternFill>
    </fill>
    <fill>
      <patternFill patternType="solid">
        <fgColor rgb="FFDEF1DF"/>
        <bgColor rgb="FF000000"/>
      </patternFill>
    </fill>
    <fill>
      <patternFill patternType="solid">
        <fgColor rgb="FFABEEAE"/>
        <bgColor rgb="FF000000"/>
      </patternFill>
    </fill>
    <fill>
      <patternFill patternType="solid">
        <fgColor rgb="FFFFFFFF"/>
        <bgColor rgb="FF000000"/>
      </patternFill>
    </fill>
    <fill>
      <patternFill patternType="solid">
        <fgColor rgb="FFF4FEF5"/>
        <bgColor rgb="FF000000"/>
      </patternFill>
    </fill>
    <fill>
      <patternFill patternType="solid">
        <fgColor rgb="FFFDF3F3"/>
        <bgColor rgb="FF000000"/>
      </patternFill>
    </fill>
    <fill>
      <patternFill patternType="solid">
        <fgColor rgb="FFEAFCEB"/>
        <bgColor rgb="FF000000"/>
      </patternFill>
    </fill>
    <fill>
      <patternFill patternType="solid">
        <fgColor rgb="FFF4E0E0"/>
        <bgColor rgb="FF000000"/>
      </patternFill>
    </fill>
    <fill>
      <patternFill patternType="solid">
        <fgColor rgb="FFEFF2EF"/>
        <bgColor rgb="FF000000"/>
      </patternFill>
    </fill>
    <fill>
      <patternFill patternType="solid">
        <fgColor rgb="FFF3E3E3"/>
        <bgColor rgb="FF000000"/>
      </patternFill>
    </fill>
    <fill>
      <patternFill patternType="solid">
        <fgColor rgb="FFF3EFEF"/>
        <bgColor rgb="FF000000"/>
      </patternFill>
    </fill>
    <fill>
      <patternFill patternType="solid">
        <fgColor rgb="FFF2F2F2"/>
        <bgColor rgb="FF000000"/>
      </patternFill>
    </fill>
    <fill>
      <patternFill patternType="solid">
        <fgColor rgb="FFF3F1F1"/>
        <bgColor rgb="FF000000"/>
      </patternFill>
    </fill>
    <fill>
      <patternFill patternType="solid">
        <fgColor rgb="FFFEFCFC"/>
        <bgColor rgb="FF000000"/>
      </patternFill>
    </fill>
    <fill>
      <patternFill patternType="solid">
        <fgColor rgb="FFBCF4BF"/>
        <bgColor rgb="FF000000"/>
      </patternFill>
    </fill>
    <fill>
      <patternFill patternType="solid">
        <fgColor rgb="FFFDF6F6"/>
        <bgColor rgb="FF000000"/>
      </patternFill>
    </fill>
    <fill>
      <patternFill patternType="solid">
        <fgColor rgb="FFFDFFFD"/>
        <bgColor rgb="FF000000"/>
      </patternFill>
    </fill>
    <fill>
      <patternFill patternType="solid">
        <fgColor rgb="FFFAE5E5"/>
        <bgColor rgb="FF000000"/>
      </patternFill>
    </fill>
    <fill>
      <patternFill patternType="solid">
        <fgColor rgb="FFCBF6CD"/>
        <bgColor rgb="FF000000"/>
      </patternFill>
    </fill>
    <fill>
      <patternFill patternType="solid">
        <fgColor rgb="FFF5C2C2"/>
        <bgColor rgb="FF000000"/>
      </patternFill>
    </fill>
    <fill>
      <patternFill patternType="solid">
        <fgColor rgb="FF9FEDA2"/>
        <bgColor rgb="FF000000"/>
      </patternFill>
    </fill>
    <fill>
      <patternFill patternType="solid">
        <fgColor rgb="FFF3E6E6"/>
        <bgColor rgb="FF000000"/>
      </patternFill>
    </fill>
    <fill>
      <patternFill patternType="solid">
        <fgColor rgb="FFF5CECE"/>
        <bgColor rgb="FF000000"/>
      </patternFill>
    </fill>
    <fill>
      <patternFill patternType="solid">
        <fgColor rgb="FFBBEFBD"/>
        <bgColor rgb="FF000000"/>
      </patternFill>
    </fill>
    <fill>
      <patternFill patternType="solid">
        <fgColor rgb="FF91EC95"/>
        <bgColor rgb="FF000000"/>
      </patternFill>
    </fill>
    <fill>
      <patternFill patternType="solid">
        <fgColor rgb="FFF4D6D6"/>
        <bgColor rgb="FF000000"/>
      </patternFill>
    </fill>
    <fill>
      <patternFill patternType="solid">
        <fgColor rgb="FFE5F2E5"/>
        <bgColor rgb="FF000000"/>
      </patternFill>
    </fill>
    <fill>
      <patternFill patternType="solid">
        <fgColor rgb="FFE7F2E8"/>
        <bgColor rgb="FF000000"/>
      </patternFill>
    </fill>
    <fill>
      <patternFill patternType="solid">
        <fgColor rgb="FFC2EFC4"/>
        <bgColor rgb="FF000000"/>
      </patternFill>
    </fill>
    <fill>
      <patternFill patternType="solid">
        <fgColor rgb="FFF4D8D8"/>
        <bgColor rgb="FF000000"/>
      </patternFill>
    </fill>
    <fill>
      <patternFill patternType="solid">
        <fgColor rgb="FFF4D5D5"/>
        <bgColor rgb="FF000000"/>
      </patternFill>
    </fill>
    <fill>
      <patternFill patternType="solid">
        <fgColor rgb="FFFCEFEF"/>
        <bgColor rgb="FF000000"/>
      </patternFill>
    </fill>
    <fill>
      <patternFill patternType="solid">
        <fgColor rgb="FFC5F5C7"/>
        <bgColor rgb="FF000000"/>
      </patternFill>
    </fill>
    <fill>
      <patternFill patternType="solid">
        <fgColor rgb="FFF8D5D5"/>
        <bgColor rgb="FF000000"/>
      </patternFill>
    </fill>
    <fill>
      <patternFill patternType="solid">
        <fgColor rgb="FFFAFEFA"/>
        <bgColor rgb="FF000000"/>
      </patternFill>
    </fill>
    <fill>
      <patternFill patternType="solid">
        <fgColor rgb="FF93EC97"/>
        <bgColor rgb="FF000000"/>
      </patternFill>
    </fill>
    <fill>
      <patternFill patternType="solid">
        <fgColor rgb="FFFCEEEE"/>
        <bgColor rgb="FF000000"/>
      </patternFill>
    </fill>
    <fill>
      <patternFill patternType="solid">
        <fgColor rgb="FFFAE0E0"/>
        <bgColor rgb="FF000000"/>
      </patternFill>
    </fill>
    <fill>
      <patternFill patternType="solid">
        <fgColor rgb="FF9DEEA0"/>
        <bgColor rgb="FF000000"/>
      </patternFill>
    </fill>
    <fill>
      <patternFill patternType="solid">
        <fgColor rgb="FFF9FEF9"/>
        <bgColor rgb="FF000000"/>
      </patternFill>
    </fill>
    <fill>
      <patternFill patternType="solid">
        <fgColor rgb="FFC4F5C6"/>
        <bgColor rgb="FF000000"/>
      </patternFill>
    </fill>
    <fill>
      <patternFill patternType="solid">
        <fgColor rgb="FFFEFBFB"/>
        <bgColor rgb="FF000000"/>
      </patternFill>
    </fill>
    <fill>
      <patternFill patternType="solid">
        <fgColor rgb="FFE5FBE6"/>
        <bgColor rgb="FF000000"/>
      </patternFill>
    </fill>
    <fill>
      <patternFill patternType="solid">
        <fgColor rgb="FF95ED99"/>
        <bgColor rgb="FF000000"/>
      </patternFill>
    </fill>
    <fill>
      <patternFill patternType="solid">
        <fgColor rgb="FF92EC96"/>
        <bgColor rgb="FF000000"/>
      </patternFill>
    </fill>
    <fill>
      <patternFill patternType="solid">
        <fgColor rgb="FFA6F0A9"/>
        <bgColor rgb="FF000000"/>
      </patternFill>
    </fill>
    <fill>
      <patternFill patternType="solid">
        <fgColor rgb="FFF9DDDD"/>
        <bgColor rgb="FF000000"/>
      </patternFill>
    </fill>
    <fill>
      <patternFill patternType="solid">
        <fgColor rgb="FFFFFAFA"/>
        <bgColor rgb="FF000000"/>
      </patternFill>
    </fill>
    <fill>
      <patternFill patternType="solid">
        <fgColor rgb="FFFEF7F7"/>
        <bgColor rgb="FF000000"/>
      </patternFill>
    </fill>
    <fill>
      <patternFill patternType="solid">
        <fgColor rgb="FFF9FDF9"/>
        <bgColor rgb="FF000000"/>
      </patternFill>
    </fill>
    <fill>
      <patternFill patternType="solid">
        <fgColor rgb="FFFEFEFE"/>
        <bgColor rgb="FF000000"/>
      </patternFill>
    </fill>
    <fill>
      <patternFill patternType="solid">
        <fgColor rgb="FFAAF0AD"/>
        <bgColor rgb="FF000000"/>
      </patternFill>
    </fill>
    <fill>
      <patternFill patternType="solid">
        <fgColor rgb="FFEAFBEB"/>
        <bgColor rgb="FF000000"/>
      </patternFill>
    </fill>
    <fill>
      <patternFill patternType="solid">
        <fgColor rgb="FFF6FDF6"/>
        <bgColor rgb="FF000000"/>
      </patternFill>
    </fill>
    <fill>
      <patternFill patternType="solid">
        <fgColor rgb="FFC1F4C3"/>
        <bgColor rgb="FF000000"/>
      </patternFill>
    </fill>
    <fill>
      <patternFill patternType="solid">
        <fgColor rgb="FFE2F9E3"/>
        <bgColor rgb="FF000000"/>
      </patternFill>
    </fill>
    <fill>
      <patternFill patternType="solid">
        <fgColor rgb="FFEFFCEF"/>
        <bgColor rgb="FF000000"/>
      </patternFill>
    </fill>
    <fill>
      <patternFill patternType="solid">
        <fgColor rgb="FFE9FBEA"/>
        <bgColor rgb="FF000000"/>
      </patternFill>
    </fill>
    <fill>
      <patternFill patternType="solid">
        <fgColor rgb="FFF6C4C4"/>
        <bgColor rgb="FF000000"/>
      </patternFill>
    </fill>
    <fill>
      <patternFill patternType="solid">
        <fgColor rgb="FFFDEDED"/>
        <bgColor rgb="FF000000"/>
      </patternFill>
    </fill>
    <fill>
      <patternFill patternType="solid">
        <fgColor rgb="FF96ED9A"/>
        <bgColor rgb="FF000000"/>
      </patternFill>
    </fill>
    <fill>
      <patternFill patternType="solid">
        <fgColor rgb="FFDBF8DD"/>
        <bgColor rgb="FF000000"/>
      </patternFill>
    </fill>
    <fill>
      <patternFill patternType="solid">
        <fgColor rgb="FFD7F8D9"/>
        <bgColor rgb="FF000000"/>
      </patternFill>
    </fill>
    <fill>
      <patternFill patternType="solid">
        <fgColor rgb="FFDBF8DC"/>
        <bgColor rgb="FF000000"/>
      </patternFill>
    </fill>
    <fill>
      <patternFill patternType="solid">
        <fgColor rgb="FFB2F1B4"/>
        <bgColor rgb="FF000000"/>
      </patternFill>
    </fill>
    <fill>
      <patternFill patternType="solid">
        <fgColor rgb="FFFFFDFD"/>
        <bgColor rgb="FF000000"/>
      </patternFill>
    </fill>
    <fill>
      <patternFill patternType="solid">
        <fgColor rgb="FFFFFEFE"/>
        <bgColor rgb="FF000000"/>
      </patternFill>
    </fill>
    <fill>
      <patternFill patternType="solid">
        <fgColor rgb="FFF8FEF8"/>
        <bgColor rgb="FF000000"/>
      </patternFill>
    </fill>
    <fill>
      <patternFill patternType="solid">
        <fgColor rgb="FFF6C3C3"/>
        <bgColor rgb="FF000000"/>
      </patternFill>
    </fill>
    <fill>
      <patternFill patternType="solid">
        <fgColor rgb="FFFFFFFF"/>
        <bgColor indexed="64"/>
      </patternFill>
    </fill>
    <fill>
      <patternFill patternType="solid">
        <fgColor rgb="FFFFF2CC"/>
        <bgColor rgb="FF000000"/>
      </patternFill>
    </fill>
    <fill>
      <patternFill patternType="solid">
        <fgColor rgb="FFE8FBE9"/>
        <bgColor rgb="FF000000"/>
      </patternFill>
    </fill>
    <fill>
      <patternFill patternType="solid">
        <fgColor rgb="FFF5FEF5"/>
        <bgColor rgb="FF000000"/>
      </patternFill>
    </fill>
    <fill>
      <patternFill patternType="solid">
        <fgColor rgb="FFFDF2F2"/>
        <bgColor rgb="FF000000"/>
      </patternFill>
    </fill>
    <fill>
      <patternFill patternType="solid">
        <fgColor rgb="FFC3F5C5"/>
        <bgColor rgb="FF000000"/>
      </patternFill>
    </fill>
    <fill>
      <patternFill patternType="solid">
        <fgColor rgb="FFE0FAE1"/>
        <bgColor rgb="FF000000"/>
      </patternFill>
    </fill>
    <fill>
      <patternFill patternType="solid">
        <fgColor rgb="FFD6F8D8"/>
        <bgColor rgb="FF000000"/>
      </patternFill>
    </fill>
    <fill>
      <patternFill patternType="solid">
        <fgColor rgb="FFB3F2B5"/>
        <bgColor rgb="FF000000"/>
      </patternFill>
    </fill>
    <fill>
      <patternFill patternType="solid">
        <fgColor rgb="FFD6F8D7"/>
        <bgColor rgb="FF000000"/>
      </patternFill>
    </fill>
    <fill>
      <patternFill patternType="solid">
        <fgColor rgb="FFC1F5C3"/>
        <bgColor rgb="FF000000"/>
      </patternFill>
    </fill>
    <fill>
      <patternFill patternType="solid">
        <fgColor rgb="FFBEF4C0"/>
        <bgColor rgb="FF000000"/>
      </patternFill>
    </fill>
    <fill>
      <patternFill patternType="solid">
        <fgColor rgb="FFFCECEC"/>
        <bgColor rgb="FF000000"/>
      </patternFill>
    </fill>
    <fill>
      <patternFill patternType="solid">
        <fgColor rgb="FFB0F2B3"/>
        <bgColor rgb="FF000000"/>
      </patternFill>
    </fill>
    <fill>
      <patternFill patternType="solid">
        <fgColor rgb="FFEEFCEE"/>
        <bgColor rgb="FF000000"/>
      </patternFill>
    </fill>
    <fill>
      <patternFill patternType="solid">
        <fgColor rgb="FFFBFFFB"/>
        <bgColor rgb="FF000000"/>
      </patternFill>
    </fill>
    <fill>
      <patternFill patternType="solid">
        <fgColor rgb="FFFEFFFE"/>
        <bgColor rgb="FF000000"/>
      </patternFill>
    </fill>
    <fill>
      <patternFill patternType="solid">
        <fgColor rgb="FFF9DBDB"/>
        <bgColor rgb="FF000000"/>
      </patternFill>
    </fill>
    <fill>
      <patternFill patternType="solid">
        <fgColor rgb="FFFCF0F0"/>
        <bgColor rgb="FF000000"/>
      </patternFill>
    </fill>
    <fill>
      <patternFill patternType="solid">
        <fgColor rgb="FFB2F2B5"/>
        <bgColor rgb="FF000000"/>
      </patternFill>
    </fill>
    <fill>
      <patternFill patternType="solid">
        <fgColor rgb="FFFEF8F8"/>
        <bgColor rgb="FF000000"/>
      </patternFill>
    </fill>
    <fill>
      <patternFill patternType="solid">
        <fgColor rgb="FFAFF1B2"/>
        <bgColor rgb="FF000000"/>
      </patternFill>
    </fill>
    <fill>
      <patternFill patternType="solid">
        <fgColor rgb="FFD9F9DB"/>
        <bgColor rgb="FF000000"/>
      </patternFill>
    </fill>
    <fill>
      <patternFill patternType="solid">
        <fgColor rgb="FFF7CDCD"/>
        <bgColor rgb="FF000000"/>
      </patternFill>
    </fill>
    <fill>
      <patternFill patternType="solid">
        <fgColor rgb="FFAEF1B0"/>
        <bgColor rgb="FF000000"/>
      </patternFill>
    </fill>
    <fill>
      <patternFill patternType="solid">
        <fgColor rgb="FFBFF4C1"/>
        <bgColor rgb="FF000000"/>
      </patternFill>
    </fill>
    <fill>
      <patternFill patternType="solid">
        <fgColor rgb="FFFADFDF"/>
        <bgColor rgb="FF000000"/>
      </patternFill>
    </fill>
    <fill>
      <patternFill patternType="solid">
        <fgColor rgb="FFA0EFA3"/>
        <bgColor rgb="FF000000"/>
      </patternFill>
    </fill>
    <fill>
      <patternFill patternType="solid">
        <fgColor rgb="FFFCEDED"/>
        <bgColor rgb="FF000000"/>
      </patternFill>
    </fill>
    <fill>
      <patternFill patternType="solid">
        <fgColor rgb="FFBBF4BE"/>
        <bgColor rgb="FF000000"/>
      </patternFill>
    </fill>
    <fill>
      <patternFill patternType="solid">
        <fgColor rgb="FFF7FEF7"/>
        <bgColor rgb="FF000000"/>
      </patternFill>
    </fill>
    <fill>
      <patternFill patternType="solid">
        <fgColor rgb="FFFEFDFD"/>
        <bgColor rgb="FF000000"/>
      </patternFill>
    </fill>
    <fill>
      <patternFill patternType="solid">
        <fgColor rgb="FFFCFFFC"/>
        <bgColor rgb="FF000000"/>
      </patternFill>
    </fill>
    <fill>
      <patternFill patternType="solid">
        <fgColor rgb="FFEFFDEF"/>
        <bgColor rgb="FF000000"/>
      </patternFill>
    </fill>
    <fill>
      <patternFill patternType="solid">
        <fgColor rgb="FFEDF2ED"/>
        <bgColor rgb="FF000000"/>
      </patternFill>
    </fill>
    <fill>
      <patternFill patternType="solid">
        <fgColor rgb="FFC3EFC5"/>
        <bgColor rgb="FF000000"/>
      </patternFill>
    </fill>
    <fill>
      <patternFill patternType="solid">
        <fgColor rgb="FFBCEFBE"/>
        <bgColor rgb="FF000000"/>
      </patternFill>
    </fill>
    <fill>
      <patternFill patternType="solid">
        <fgColor rgb="FFE0F1E1"/>
        <bgColor rgb="FF000000"/>
      </patternFill>
    </fill>
    <fill>
      <patternFill patternType="solid">
        <fgColor rgb="FFF3E9E9"/>
        <bgColor rgb="FF000000"/>
      </patternFill>
    </fill>
    <fill>
      <patternFill patternType="solid">
        <fgColor rgb="FFAFEEB1"/>
        <bgColor rgb="FF000000"/>
      </patternFill>
    </fill>
    <fill>
      <patternFill patternType="solid">
        <fgColor rgb="FFE8F2E9"/>
        <bgColor rgb="FF000000"/>
      </patternFill>
    </fill>
    <fill>
      <patternFill patternType="solid">
        <fgColor rgb="FFF3E4E4"/>
        <bgColor rgb="FF000000"/>
      </patternFill>
    </fill>
    <fill>
      <patternFill patternType="solid">
        <fgColor rgb="FFE1F1E1"/>
        <bgColor rgb="FF000000"/>
      </patternFill>
    </fill>
    <fill>
      <patternFill patternType="solid">
        <fgColor rgb="FFA6EDA9"/>
        <bgColor rgb="FF000000"/>
      </patternFill>
    </fill>
    <fill>
      <patternFill patternType="solid">
        <fgColor rgb="FFD1F0D2"/>
        <bgColor rgb="FF000000"/>
      </patternFill>
    </fill>
    <fill>
      <patternFill patternType="solid">
        <fgColor rgb="FFECF2ED"/>
        <bgColor rgb="FF000000"/>
      </patternFill>
    </fill>
    <fill>
      <patternFill patternType="solid">
        <fgColor rgb="FFD0F0D2"/>
        <bgColor rgb="FF000000"/>
      </patternFill>
    </fill>
    <fill>
      <patternFill patternType="solid">
        <fgColor rgb="FFE6F2E6"/>
        <bgColor rgb="FF000000"/>
      </patternFill>
    </fill>
    <fill>
      <patternFill patternType="solid">
        <fgColor rgb="FFF4D1D1"/>
        <bgColor rgb="FF000000"/>
      </patternFill>
    </fill>
    <fill>
      <patternFill patternType="solid">
        <fgColor rgb="FFE9F2E9"/>
        <bgColor rgb="FF000000"/>
      </patternFill>
    </fill>
    <fill>
      <patternFill patternType="solid">
        <fgColor rgb="FFDDF1DD"/>
        <bgColor rgb="FF000000"/>
      </patternFill>
    </fill>
    <fill>
      <patternFill patternType="solid">
        <fgColor rgb="FFD2F0D3"/>
        <bgColor rgb="FF000000"/>
      </patternFill>
    </fill>
    <fill>
      <patternFill patternType="solid">
        <fgColor rgb="FFD5F0D7"/>
        <bgColor rgb="FF000000"/>
      </patternFill>
    </fill>
    <fill>
      <patternFill patternType="solid">
        <fgColor rgb="FFD7F1D8"/>
        <bgColor rgb="FF000000"/>
      </patternFill>
    </fill>
    <fill>
      <patternFill patternType="solid">
        <fgColor rgb="FFE3F1E3"/>
        <bgColor rgb="FF000000"/>
      </patternFill>
    </fill>
    <fill>
      <patternFill patternType="solid">
        <fgColor rgb="FFF4D2D2"/>
        <bgColor rgb="FF000000"/>
      </patternFill>
    </fill>
    <fill>
      <patternFill patternType="solid">
        <fgColor rgb="FFFDF5F5"/>
        <bgColor rgb="FF000000"/>
      </patternFill>
    </fill>
    <fill>
      <patternFill patternType="solid">
        <fgColor rgb="FFF8D8D8"/>
        <bgColor rgb="FF000000"/>
      </patternFill>
    </fill>
    <fill>
      <patternFill patternType="solid">
        <fgColor rgb="FFFBE8E8"/>
        <bgColor rgb="FF000000"/>
      </patternFill>
    </fill>
    <fill>
      <patternFill patternType="solid">
        <fgColor rgb="FFFBE7E7"/>
        <bgColor rgb="FF000000"/>
      </patternFill>
    </fill>
    <fill>
      <patternFill patternType="solid">
        <fgColor rgb="FFFCF2F2"/>
        <bgColor rgb="FF000000"/>
      </patternFill>
    </fill>
    <fill>
      <patternFill patternType="solid">
        <fgColor rgb="FFFBE9E9"/>
        <bgColor rgb="FF000000"/>
      </patternFill>
    </fill>
    <fill>
      <patternFill patternType="solid">
        <fgColor rgb="FFFBEAEA"/>
        <bgColor rgb="FF000000"/>
      </patternFill>
    </fill>
    <fill>
      <patternFill patternType="solid">
        <fgColor rgb="FFFDFFFE"/>
        <bgColor rgb="FF000000"/>
      </patternFill>
    </fill>
    <fill>
      <patternFill patternType="solid">
        <fgColor rgb="FFA5F0A9"/>
        <bgColor rgb="FF000000"/>
      </patternFill>
    </fill>
    <fill>
      <patternFill patternType="solid">
        <fgColor rgb="FFFEF9F9"/>
        <bgColor rgb="FF000000"/>
      </patternFill>
    </fill>
    <fill>
      <patternFill patternType="solid">
        <fgColor rgb="FFF5C6C6"/>
        <bgColor rgb="FF000000"/>
      </patternFill>
    </fill>
    <fill>
      <patternFill patternType="solid">
        <fgColor rgb="FFF9DCDC"/>
        <bgColor rgb="FF000000"/>
      </patternFill>
    </fill>
    <fill>
      <patternFill patternType="solid">
        <fgColor rgb="FFCAF6CC"/>
        <bgColor rgb="FF000000"/>
      </patternFill>
    </fill>
    <fill>
      <patternFill patternType="solid">
        <fgColor rgb="FFC7F6C9"/>
        <bgColor rgb="FF000000"/>
      </patternFill>
    </fill>
    <fill>
      <patternFill patternType="solid">
        <fgColor rgb="FF8EEC92"/>
        <bgColor rgb="FF000000"/>
      </patternFill>
    </fill>
    <fill>
      <patternFill patternType="solid">
        <fgColor rgb="FFF6CACA"/>
        <bgColor rgb="FF000000"/>
      </patternFill>
    </fill>
    <fill>
      <patternFill patternType="solid">
        <fgColor rgb="FFF6C9C9"/>
        <bgColor rgb="FF000000"/>
      </patternFill>
    </fill>
    <fill>
      <patternFill patternType="solid">
        <fgColor rgb="FFF8FEF9"/>
        <bgColor rgb="FF000000"/>
      </patternFill>
    </fill>
    <fill>
      <patternFill patternType="solid">
        <fgColor rgb="FFFAFFFB"/>
        <bgColor rgb="FF000000"/>
      </patternFill>
    </fill>
    <fill>
      <patternFill patternType="solid">
        <fgColor rgb="FFDAF9DB"/>
        <bgColor rgb="FF000000"/>
      </patternFill>
    </fill>
    <fill>
      <patternFill patternType="solid">
        <fgColor rgb="FFF6FEF6"/>
        <bgColor rgb="FF000000"/>
      </patternFill>
    </fill>
    <fill>
      <patternFill patternType="solid">
        <fgColor rgb="FFF7CFCF"/>
        <bgColor rgb="FF000000"/>
      </patternFill>
    </fill>
    <fill>
      <patternFill patternType="solid">
        <fgColor rgb="FFF0FDF1"/>
        <bgColor rgb="FF000000"/>
      </patternFill>
    </fill>
    <fill>
      <patternFill patternType="solid">
        <fgColor rgb="FFCDF7CF"/>
        <bgColor rgb="FF000000"/>
      </patternFill>
    </fill>
    <fill>
      <patternFill patternType="solid">
        <fgColor rgb="FFD0F7D2"/>
        <bgColor rgb="FF000000"/>
      </patternFill>
    </fill>
    <fill>
      <patternFill patternType="solid">
        <fgColor rgb="FFF4DFDF"/>
        <bgColor rgb="FF000000"/>
      </patternFill>
    </fill>
    <fill>
      <patternFill patternType="solid">
        <fgColor rgb="FFFBEBEB"/>
        <bgColor rgb="FF000000"/>
      </patternFill>
    </fill>
    <fill>
      <patternFill patternType="solid">
        <fgColor rgb="FFFDF8F8"/>
        <bgColor rgb="FF000000"/>
      </patternFill>
    </fill>
    <fill>
      <patternFill patternType="solid">
        <fgColor rgb="FFFDF4F4"/>
        <bgColor rgb="FF000000"/>
      </patternFill>
    </fill>
    <fill>
      <patternFill patternType="solid">
        <fgColor rgb="FFB4F2B7"/>
        <bgColor rgb="FF000000"/>
      </patternFill>
    </fill>
    <fill>
      <patternFill patternType="solid">
        <fgColor rgb="FFF3FDF3"/>
        <bgColor rgb="FF000000"/>
      </patternFill>
    </fill>
    <fill>
      <patternFill patternType="solid">
        <fgColor rgb="FFEAFCEA"/>
        <bgColor rgb="FF000000"/>
      </patternFill>
    </fill>
    <fill>
      <patternFill patternType="solid">
        <fgColor rgb="FFF5FEF6"/>
        <bgColor rgb="FF000000"/>
      </patternFill>
    </fill>
    <fill>
      <patternFill patternType="solid">
        <fgColor rgb="FFF3E1E1"/>
        <bgColor rgb="FF000000"/>
      </patternFill>
    </fill>
    <fill>
      <patternFill patternType="solid">
        <fgColor rgb="FFF5CCCC"/>
        <bgColor rgb="FF000000"/>
      </patternFill>
    </fill>
    <fill>
      <patternFill patternType="solid">
        <fgColor rgb="FFC6EFC8"/>
        <bgColor rgb="FF000000"/>
      </patternFill>
    </fill>
    <fill>
      <patternFill patternType="solid">
        <fgColor rgb="FFEAF2EB"/>
        <bgColor rgb="FF000000"/>
      </patternFill>
    </fill>
    <fill>
      <patternFill patternType="solid">
        <fgColor rgb="FFF3EEEE"/>
        <bgColor rgb="FF000000"/>
      </patternFill>
    </fill>
    <fill>
      <patternFill patternType="solid">
        <fgColor rgb="FFF5C9C9"/>
        <bgColor rgb="FF000000"/>
      </patternFill>
    </fill>
    <fill>
      <patternFill patternType="solid">
        <fgColor rgb="FFD9F9DA"/>
        <bgColor rgb="FF000000"/>
      </patternFill>
    </fill>
    <fill>
      <patternFill patternType="solid">
        <fgColor rgb="FFFDF7F7"/>
        <bgColor rgb="FF000000"/>
      </patternFill>
    </fill>
    <fill>
      <patternFill patternType="solid">
        <fgColor rgb="FFE1FAE2"/>
        <bgColor rgb="FF000000"/>
      </patternFill>
    </fill>
    <fill>
      <patternFill patternType="solid">
        <fgColor rgb="FFCCF6CE"/>
        <bgColor rgb="FF000000"/>
      </patternFill>
    </fill>
    <fill>
      <patternFill patternType="solid">
        <fgColor rgb="FFD4F8D6"/>
        <bgColor rgb="FF000000"/>
      </patternFill>
    </fill>
    <fill>
      <patternFill patternType="solid">
        <fgColor rgb="FFF5C3C3"/>
        <bgColor rgb="FF000000"/>
      </patternFill>
    </fill>
    <fill>
      <patternFill patternType="solid">
        <fgColor rgb="FFA2EDA5"/>
        <bgColor rgb="FF000000"/>
      </patternFill>
    </fill>
    <fill>
      <patternFill patternType="solid">
        <fgColor rgb="FFCDF0CE"/>
        <bgColor rgb="FF000000"/>
      </patternFill>
    </fill>
    <fill>
      <patternFill patternType="solid">
        <fgColor rgb="FFE6F2E7"/>
        <bgColor rgb="FF000000"/>
      </patternFill>
    </fill>
    <fill>
      <patternFill patternType="solid">
        <fgColor rgb="FF97EC9B"/>
        <bgColor rgb="FF000000"/>
      </patternFill>
    </fill>
    <fill>
      <patternFill patternType="solid">
        <fgColor rgb="FF99EC9D"/>
        <bgColor rgb="FF000000"/>
      </patternFill>
    </fill>
    <fill>
      <patternFill patternType="solid">
        <fgColor rgb="FFA3EDA6"/>
        <bgColor rgb="FF000000"/>
      </patternFill>
    </fill>
    <fill>
      <patternFill patternType="solid">
        <fgColor rgb="FFF4D7D7"/>
        <bgColor rgb="FF000000"/>
      </patternFill>
    </fill>
    <fill>
      <patternFill patternType="solid">
        <fgColor rgb="FFF4DBDB"/>
        <bgColor rgb="FF000000"/>
      </patternFill>
    </fill>
    <fill>
      <patternFill patternType="solid">
        <fgColor rgb="FF9AEC9E"/>
        <bgColor rgb="FF000000"/>
      </patternFill>
    </fill>
    <fill>
      <patternFill patternType="solid">
        <fgColor rgb="FFA1EDA4"/>
        <bgColor rgb="FF000000"/>
      </patternFill>
    </fill>
    <fill>
      <patternFill patternType="solid">
        <fgColor rgb="FFF5C5C5"/>
        <bgColor rgb="FF000000"/>
      </patternFill>
    </fill>
    <fill>
      <patternFill patternType="solid">
        <fgColor rgb="FFE5F2E6"/>
        <bgColor rgb="FF000000"/>
      </patternFill>
    </fill>
    <fill>
      <patternFill patternType="solid">
        <fgColor rgb="FFDDF1DE"/>
        <bgColor rgb="FF000000"/>
      </patternFill>
    </fill>
    <fill>
      <patternFill patternType="solid">
        <fgColor rgb="FFF5CACA"/>
        <bgColor rgb="FF000000"/>
      </patternFill>
    </fill>
    <fill>
      <patternFill patternType="solid">
        <fgColor rgb="FFEEF2EE"/>
        <bgColor rgb="FF000000"/>
      </patternFill>
    </fill>
    <fill>
      <patternFill patternType="solid">
        <fgColor rgb="FFB2EEB4"/>
        <bgColor rgb="FF000000"/>
      </patternFill>
    </fill>
    <fill>
      <patternFill patternType="solid">
        <fgColor rgb="FFF7D1D1"/>
        <bgColor rgb="FF000000"/>
      </patternFill>
    </fill>
    <fill>
      <patternFill patternType="solid">
        <fgColor rgb="FFFAE3E3"/>
        <bgColor rgb="FF000000"/>
      </patternFill>
    </fill>
    <fill>
      <patternFill patternType="solid">
        <fgColor rgb="FFEDFCEE"/>
        <bgColor rgb="FF000000"/>
      </patternFill>
    </fill>
    <fill>
      <patternFill patternType="solid">
        <fgColor rgb="FFA5F0A8"/>
        <bgColor rgb="FF000000"/>
      </patternFill>
    </fill>
    <fill>
      <patternFill patternType="solid">
        <fgColor rgb="FFFBE6E6"/>
        <bgColor rgb="FF000000"/>
      </patternFill>
    </fill>
    <fill>
      <patternFill patternType="solid">
        <fgColor rgb="FFE7FBE8"/>
        <bgColor rgb="FF000000"/>
      </patternFill>
    </fill>
    <fill>
      <patternFill patternType="solid">
        <fgColor rgb="FFF9DEDE"/>
        <bgColor rgb="FF000000"/>
      </patternFill>
    </fill>
    <fill>
      <patternFill patternType="solid">
        <fgColor rgb="FFE3FBE4"/>
        <bgColor rgb="FF000000"/>
      </patternFill>
    </fill>
    <fill>
      <patternFill patternType="solid">
        <fgColor rgb="FFFEFAFA"/>
        <bgColor rgb="FF000000"/>
      </patternFill>
    </fill>
    <fill>
      <patternFill patternType="solid">
        <fgColor rgb="FFF9FEFA"/>
        <bgColor rgb="FF000000"/>
      </patternFill>
    </fill>
    <fill>
      <patternFill patternType="solid">
        <fgColor rgb="FFDBF9DD"/>
        <bgColor rgb="FF000000"/>
      </patternFill>
    </fill>
    <fill>
      <patternFill patternType="solid">
        <fgColor rgb="FFECFCED"/>
        <bgColor rgb="FF000000"/>
      </patternFill>
    </fill>
    <fill>
      <patternFill patternType="solid">
        <fgColor rgb="FFF3EDED"/>
        <bgColor rgb="FF000000"/>
      </patternFill>
    </fill>
    <fill>
      <patternFill patternType="solid">
        <fgColor rgb="FFF3E5E5"/>
        <bgColor rgb="FF000000"/>
      </patternFill>
    </fill>
    <fill>
      <patternFill patternType="solid">
        <fgColor rgb="FFE0F1E0"/>
        <bgColor rgb="FF000000"/>
      </patternFill>
    </fill>
    <fill>
      <patternFill patternType="solid">
        <fgColor rgb="FFF1F2F1"/>
        <bgColor rgb="FF000000"/>
      </patternFill>
    </fill>
    <fill>
      <patternFill patternType="solid">
        <fgColor rgb="FFECF2EC"/>
        <bgColor rgb="FF000000"/>
      </patternFill>
    </fill>
    <fill>
      <patternFill patternType="solid">
        <fgColor rgb="FF9EEEA1"/>
        <bgColor rgb="FF000000"/>
      </patternFill>
    </fill>
    <fill>
      <patternFill patternType="solid">
        <fgColor rgb="FFF1FDF1"/>
        <bgColor rgb="FF000000"/>
      </patternFill>
    </fill>
    <fill>
      <patternFill patternType="solid">
        <fgColor rgb="FFE9FBE9"/>
        <bgColor rgb="FF000000"/>
      </patternFill>
    </fill>
    <fill>
      <patternFill patternType="solid">
        <fgColor rgb="FFD5F8D7"/>
        <bgColor rgb="FF000000"/>
      </patternFill>
    </fill>
    <fill>
      <patternFill patternType="solid">
        <fgColor rgb="FFB1F2B3"/>
        <bgColor rgb="FF000000"/>
      </patternFill>
    </fill>
    <fill>
      <patternFill patternType="solid">
        <fgColor rgb="FFD7F8D8"/>
        <bgColor rgb="FF000000"/>
      </patternFill>
    </fill>
    <fill>
      <patternFill patternType="solid">
        <fgColor rgb="FFAEF0B1"/>
        <bgColor rgb="FF000000"/>
      </patternFill>
    </fill>
    <fill>
      <patternFill patternType="solid">
        <fgColor rgb="FFA4EFA7"/>
        <bgColor rgb="FF000000"/>
      </patternFill>
    </fill>
    <fill>
      <patternFill patternType="solid">
        <fgColor rgb="FF9CEDA0"/>
        <bgColor rgb="FF000000"/>
      </patternFill>
    </fill>
    <fill>
      <patternFill patternType="solid">
        <fgColor rgb="FF8EEB92"/>
        <bgColor rgb="FF000000"/>
      </patternFill>
    </fill>
    <fill>
      <patternFill patternType="solid">
        <fgColor rgb="FF8FEB93"/>
        <bgColor rgb="FF000000"/>
      </patternFill>
    </fill>
    <fill>
      <patternFill patternType="solid">
        <fgColor rgb="FFC7F5C9"/>
        <bgColor rgb="FF000000"/>
      </patternFill>
    </fill>
    <fill>
      <patternFill patternType="solid">
        <fgColor rgb="FF9DEDA1"/>
        <bgColor rgb="FF000000"/>
      </patternFill>
    </fill>
    <fill>
      <patternFill patternType="solid">
        <fgColor rgb="FFFCFEFC"/>
        <bgColor rgb="FF000000"/>
      </patternFill>
    </fill>
    <fill>
      <patternFill patternType="solid">
        <fgColor rgb="FFD3F8D5"/>
        <bgColor rgb="FF000000"/>
      </patternFill>
    </fill>
    <fill>
      <patternFill patternType="solid">
        <fgColor rgb="FF9CED9F"/>
        <bgColor rgb="FF000000"/>
      </patternFill>
    </fill>
    <fill>
      <patternFill patternType="solid">
        <fgColor rgb="FF9BED9F"/>
        <bgColor rgb="FF000000"/>
      </patternFill>
    </fill>
    <fill>
      <patternFill patternType="solid">
        <fgColor rgb="FFFCE9E9"/>
        <bgColor rgb="FF000000"/>
      </patternFill>
    </fill>
    <fill>
      <patternFill patternType="solid">
        <fgColor rgb="FFF5FDF5"/>
        <bgColor rgb="FF000000"/>
      </patternFill>
    </fill>
    <fill>
      <patternFill patternType="solid">
        <fgColor rgb="FFF7FDF7"/>
        <bgColor rgb="FF000000"/>
      </patternFill>
    </fill>
    <fill>
      <patternFill patternType="solid">
        <fgColor rgb="FFFADEDE"/>
        <bgColor rgb="FF000000"/>
      </patternFill>
    </fill>
    <fill>
      <patternFill patternType="solid">
        <fgColor rgb="FFFEF6F6"/>
        <bgColor rgb="FF000000"/>
      </patternFill>
    </fill>
    <fill>
      <patternFill patternType="solid">
        <fgColor rgb="FFD6F7D8"/>
        <bgColor rgb="FF000000"/>
      </patternFill>
    </fill>
    <fill>
      <patternFill patternType="solid">
        <fgColor rgb="FFD8F8DA"/>
        <bgColor rgb="FF000000"/>
      </patternFill>
    </fill>
    <fill>
      <patternFill patternType="solid">
        <fgColor rgb="FF9FEEA3"/>
        <bgColor rgb="FF000000"/>
      </patternFill>
    </fill>
    <fill>
      <patternFill patternType="solid">
        <fgColor rgb="FFB7F2BA"/>
        <bgColor rgb="FF000000"/>
      </patternFill>
    </fill>
    <fill>
      <patternFill patternType="solid">
        <fgColor rgb="FFFAE4E4"/>
        <bgColor rgb="FF000000"/>
      </patternFill>
    </fill>
    <fill>
      <patternFill patternType="solid">
        <fgColor rgb="FFD2F7D4"/>
        <bgColor rgb="FF000000"/>
      </patternFill>
    </fill>
    <fill>
      <patternFill patternType="solid">
        <fgColor rgb="FFE5FAE6"/>
        <bgColor rgb="FF000000"/>
      </patternFill>
    </fill>
    <fill>
      <patternFill patternType="solid">
        <fgColor rgb="FFDAF8DB"/>
        <bgColor rgb="FF000000"/>
      </patternFill>
    </fill>
    <fill>
      <patternFill patternType="solid">
        <fgColor rgb="FFE3FAE4"/>
        <bgColor rgb="FF000000"/>
      </patternFill>
    </fill>
    <fill>
      <patternFill patternType="solid">
        <fgColor rgb="FFE6FAE7"/>
        <bgColor rgb="FF000000"/>
      </patternFill>
    </fill>
    <fill>
      <patternFill patternType="solid">
        <fgColor rgb="FFBCF3BE"/>
        <bgColor rgb="FF000000"/>
      </patternFill>
    </fill>
    <fill>
      <patternFill patternType="solid">
        <fgColor rgb="FFC6F5C8"/>
        <bgColor rgb="FF000000"/>
      </patternFill>
    </fill>
    <fill>
      <patternFill patternType="solid">
        <fgColor rgb="FFB8F2BA"/>
        <bgColor rgb="FF000000"/>
      </patternFill>
    </fill>
    <fill>
      <patternFill patternType="solid">
        <fgColor rgb="FFF1FCF1"/>
        <bgColor rgb="FF000000"/>
      </patternFill>
    </fill>
    <fill>
      <patternFill patternType="solid">
        <fgColor rgb="FFCDF6CF"/>
        <bgColor rgb="FF000000"/>
      </patternFill>
    </fill>
    <fill>
      <patternFill patternType="solid">
        <fgColor rgb="FFDEF9E0"/>
        <bgColor rgb="FF000000"/>
      </patternFill>
    </fill>
    <fill>
      <patternFill patternType="solid">
        <fgColor rgb="FFF8FDF8"/>
        <bgColor rgb="FF000000"/>
      </patternFill>
    </fill>
    <fill>
      <patternFill patternType="solid">
        <fgColor rgb="FFFFF9F9"/>
        <bgColor rgb="FF000000"/>
      </patternFill>
    </fill>
    <fill>
      <patternFill patternType="solid">
        <fgColor rgb="FFFCEBEB"/>
        <bgColor rgb="FF000000"/>
      </patternFill>
    </fill>
    <fill>
      <patternFill patternType="solid">
        <fgColor rgb="FFFEF3F3"/>
        <bgColor rgb="FF000000"/>
      </patternFill>
    </fill>
    <fill>
      <patternFill patternType="solid">
        <fgColor rgb="FFFDEFEF"/>
        <bgColor rgb="FF000000"/>
      </patternFill>
    </fill>
    <fill>
      <patternFill patternType="solid">
        <fgColor rgb="FFFBE2E2"/>
        <bgColor rgb="FF000000"/>
      </patternFill>
    </fill>
    <fill>
      <patternFill patternType="solid">
        <fgColor rgb="FFFFFBFB"/>
        <bgColor rgb="FF000000"/>
      </patternFill>
    </fill>
    <fill>
      <patternFill patternType="solid">
        <fgColor rgb="FFFEF5F5"/>
        <bgColor rgb="FF000000"/>
      </patternFill>
    </fill>
    <fill>
      <patternFill patternType="solid">
        <fgColor rgb="FFF9D7D7"/>
        <bgColor rgb="FF000000"/>
      </patternFill>
    </fill>
    <fill>
      <patternFill patternType="solid">
        <fgColor rgb="FFFDEEEE"/>
        <bgColor rgb="FF000000"/>
      </patternFill>
    </fill>
    <fill>
      <patternFill patternType="solid">
        <fgColor rgb="FFDCF9DE"/>
        <bgColor rgb="FF000000"/>
      </patternFill>
    </fill>
    <fill>
      <patternFill patternType="solid">
        <fgColor rgb="FFFBE5E5"/>
        <bgColor rgb="FF000000"/>
      </patternFill>
    </fill>
    <fill>
      <patternFill patternType="solid">
        <fgColor rgb="FFF8D3D3"/>
        <bgColor rgb="FF000000"/>
      </patternFill>
    </fill>
    <fill>
      <patternFill patternType="solid">
        <fgColor rgb="FFFBE0E0"/>
        <bgColor rgb="FF000000"/>
      </patternFill>
    </fill>
    <fill>
      <patternFill patternType="solid">
        <fgColor rgb="FFF5FDF6"/>
        <bgColor rgb="FF000000"/>
      </patternFill>
    </fill>
    <fill>
      <patternFill patternType="solid">
        <fgColor rgb="FFFBE3E3"/>
        <bgColor rgb="FF000000"/>
      </patternFill>
    </fill>
    <fill>
      <patternFill patternType="solid">
        <fgColor rgb="FFFDFEFD"/>
        <bgColor rgb="FF000000"/>
      </patternFill>
    </fill>
    <fill>
      <patternFill patternType="solid">
        <fgColor rgb="FFD4F7D6"/>
        <bgColor rgb="FF000000"/>
      </patternFill>
    </fill>
    <fill>
      <patternFill patternType="solid">
        <fgColor rgb="FFFADADA"/>
        <bgColor rgb="FF000000"/>
      </patternFill>
    </fill>
    <fill>
      <patternFill patternType="solid">
        <fgColor rgb="FFA6EFA9"/>
        <bgColor rgb="FF000000"/>
      </patternFill>
    </fill>
    <fill>
      <patternFill patternType="solid">
        <fgColor rgb="FFF7CCCC"/>
        <bgColor rgb="FF000000"/>
      </patternFill>
    </fill>
    <fill>
      <patternFill patternType="solid">
        <fgColor rgb="FFFFFCFC"/>
        <bgColor rgb="FF000000"/>
      </patternFill>
    </fill>
    <fill>
      <patternFill patternType="solid">
        <fgColor rgb="FFFBE4E4"/>
        <bgColor rgb="FF000000"/>
      </patternFill>
    </fill>
    <fill>
      <patternFill patternType="solid">
        <fgColor rgb="FFF6C1C1"/>
        <bgColor rgb="FF000000"/>
      </patternFill>
    </fill>
    <fill>
      <patternFill patternType="solid">
        <fgColor rgb="FFF5D0D0"/>
        <bgColor rgb="FF000000"/>
      </patternFill>
    </fill>
    <fill>
      <patternFill patternType="solid">
        <fgColor rgb="FFF4DADA"/>
        <bgColor rgb="FF000000"/>
      </patternFill>
    </fill>
    <fill>
      <patternFill patternType="solid">
        <fgColor rgb="FFF5C1C1"/>
        <bgColor rgb="FF000000"/>
      </patternFill>
    </fill>
    <fill>
      <patternFill patternType="solid">
        <fgColor rgb="FFE9FCEA"/>
        <bgColor rgb="FF000000"/>
      </patternFill>
    </fill>
    <fill>
      <patternFill patternType="solid">
        <fgColor rgb="FFF1FDF2"/>
        <bgColor rgb="FF000000"/>
      </patternFill>
    </fill>
    <fill>
      <patternFill patternType="solid">
        <fgColor rgb="FFE6FBE7"/>
        <bgColor rgb="FF000000"/>
      </patternFill>
    </fill>
    <fill>
      <patternFill patternType="solid">
        <fgColor rgb="FFD2F7D3"/>
        <bgColor rgb="FF000000"/>
      </patternFill>
    </fill>
    <fill>
      <patternFill patternType="solid">
        <fgColor rgb="FFBAF3BD"/>
        <bgColor rgb="FF000000"/>
      </patternFill>
    </fill>
    <fill>
      <patternFill patternType="solid">
        <fgColor rgb="FF99EE9D"/>
        <bgColor rgb="FF000000"/>
      </patternFill>
    </fill>
    <fill>
      <patternFill patternType="solid">
        <fgColor rgb="FFACF1AF"/>
        <bgColor rgb="FF000000"/>
      </patternFill>
    </fill>
    <fill>
      <patternFill patternType="solid">
        <fgColor rgb="FFBDF4BF"/>
        <bgColor rgb="FF000000"/>
      </patternFill>
    </fill>
    <fill>
      <patternFill patternType="solid">
        <fgColor rgb="FF97ED9B"/>
        <bgColor rgb="FF000000"/>
      </patternFill>
    </fill>
    <fill>
      <patternFill patternType="solid">
        <fgColor rgb="FFB7F3BA"/>
        <bgColor rgb="FF000000"/>
      </patternFill>
    </fill>
    <fill>
      <patternFill patternType="solid">
        <fgColor rgb="FFFCF1F1"/>
        <bgColor rgb="FF000000"/>
      </patternFill>
    </fill>
    <fill>
      <patternFill patternType="solid">
        <fgColor rgb="FFF4FDF4"/>
        <bgColor rgb="FF000000"/>
      </patternFill>
    </fill>
    <fill>
      <patternFill patternType="solid">
        <fgColor rgb="FFF7D0D0"/>
        <bgColor rgb="FF000000"/>
      </patternFill>
    </fill>
    <fill>
      <patternFill patternType="solid">
        <fgColor rgb="FFEEF2EF"/>
        <bgColor rgb="FF000000"/>
      </patternFill>
    </fill>
    <fill>
      <patternFill patternType="solid">
        <fgColor rgb="FFF0F2F1"/>
        <bgColor rgb="FF000000"/>
      </patternFill>
    </fill>
    <fill>
      <patternFill patternType="solid">
        <fgColor rgb="FFFAE1E1"/>
        <bgColor rgb="FF000000"/>
      </patternFill>
    </fill>
    <fill>
      <patternFill patternType="solid">
        <fgColor rgb="FFFAE2E2"/>
        <bgColor rgb="FF000000"/>
      </patternFill>
    </fill>
    <fill>
      <patternFill patternType="solid">
        <fgColor rgb="FFE5FBE5"/>
        <bgColor rgb="FF000000"/>
      </patternFill>
    </fill>
    <fill>
      <patternFill patternType="solid">
        <fgColor rgb="FFEEFCEF"/>
        <bgColor rgb="FF000000"/>
      </patternFill>
    </fill>
    <fill>
      <patternFill patternType="solid">
        <fgColor rgb="FFCCF7CE"/>
        <bgColor rgb="FF000000"/>
      </patternFill>
    </fill>
    <fill>
      <patternFill patternType="solid">
        <fgColor theme="6" tint="0.39997558519241921"/>
        <bgColor indexed="64"/>
      </patternFill>
    </fill>
    <fill>
      <patternFill patternType="solid">
        <fgColor rgb="FFE8B0B1"/>
        <bgColor rgb="FF000000"/>
      </patternFill>
    </fill>
  </fills>
  <borders count="31">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indexed="64"/>
      </left>
      <right/>
      <top/>
      <bottom/>
      <diagonal/>
    </border>
    <border>
      <left style="thin">
        <color theme="3" tint="0.59999389629810485"/>
      </left>
      <right/>
      <top/>
      <bottom/>
      <diagonal/>
    </border>
  </borders>
  <cellStyleXfs count="14">
    <xf numFmtId="0" fontId="0" fillId="0" borderId="0"/>
    <xf numFmtId="166"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4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cellStyleXfs>
  <cellXfs count="1248">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0" fontId="4" fillId="0" borderId="0" xfId="0" applyFont="1"/>
    <xf numFmtId="0" fontId="5" fillId="0" borderId="0" xfId="0"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5"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4" fontId="16" fillId="2" borderId="0" xfId="0" applyNumberFormat="1" applyFont="1" applyFill="1" applyAlignment="1">
      <alignment horizontal="center"/>
    </xf>
    <xf numFmtId="165" fontId="16" fillId="2" borderId="10" xfId="0" applyNumberFormat="1" applyFont="1" applyFill="1" applyBorder="1" applyAlignment="1" applyProtection="1">
      <alignment horizontal="center"/>
      <protection locked="0"/>
    </xf>
    <xf numFmtId="164" fontId="40" fillId="2" borderId="0" xfId="0" applyNumberFormat="1" applyFont="1" applyFill="1" applyAlignment="1">
      <alignment horizontal="center"/>
    </xf>
    <xf numFmtId="164" fontId="16" fillId="2" borderId="0" xfId="0" applyNumberFormat="1" applyFont="1" applyFill="1" applyAlignment="1" applyProtection="1">
      <alignment horizontal="center"/>
      <protection locked="0"/>
    </xf>
    <xf numFmtId="0" fontId="47" fillId="2" borderId="0" xfId="0" applyFont="1" applyFill="1"/>
    <xf numFmtId="164" fontId="46" fillId="2" borderId="0" xfId="0" applyNumberFormat="1" applyFont="1" applyFill="1" applyAlignment="1">
      <alignment horizontal="center"/>
    </xf>
    <xf numFmtId="164" fontId="48" fillId="2" borderId="0" xfId="0" applyNumberFormat="1" applyFont="1" applyFill="1" applyAlignment="1">
      <alignment horizontal="center"/>
    </xf>
    <xf numFmtId="0" fontId="16" fillId="0" borderId="0" xfId="0" applyFont="1" applyProtection="1">
      <protection locked="0"/>
    </xf>
    <xf numFmtId="164" fontId="16" fillId="0" borderId="0" xfId="0" applyNumberFormat="1" applyFont="1" applyProtection="1">
      <protection locked="0"/>
    </xf>
    <xf numFmtId="164" fontId="16" fillId="0" borderId="0" xfId="0" applyNumberFormat="1" applyFont="1"/>
    <xf numFmtId="165" fontId="16" fillId="0" borderId="0" xfId="0" applyNumberFormat="1" applyFont="1" applyProtection="1">
      <protection locked="0"/>
    </xf>
    <xf numFmtId="0" fontId="16" fillId="10" borderId="0" xfId="0" applyFont="1" applyFill="1" applyProtection="1">
      <protection locked="0"/>
    </xf>
    <xf numFmtId="164" fontId="16" fillId="10" borderId="0" xfId="0" applyNumberFormat="1" applyFont="1" applyFill="1" applyProtection="1">
      <protection locked="0"/>
    </xf>
    <xf numFmtId="164" fontId="16" fillId="10" borderId="0" xfId="0" applyNumberFormat="1" applyFont="1" applyFill="1"/>
    <xf numFmtId="165" fontId="16" fillId="10" borderId="0" xfId="0" applyNumberFormat="1" applyFont="1" applyFill="1" applyProtection="1">
      <protection locked="0"/>
    </xf>
    <xf numFmtId="165"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4" fontId="46" fillId="2" borderId="0" xfId="0" applyNumberFormat="1" applyFont="1" applyFill="1" applyAlignment="1" applyProtection="1">
      <alignment horizontal="center"/>
      <protection locked="0"/>
    </xf>
    <xf numFmtId="165" fontId="46" fillId="2" borderId="0" xfId="0" applyNumberFormat="1" applyFont="1" applyFill="1" applyAlignment="1" applyProtection="1">
      <alignment horizontal="center"/>
      <protection locked="0"/>
    </xf>
    <xf numFmtId="164"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1"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3" fontId="0" fillId="0" borderId="0" xfId="0" applyNumberFormat="1"/>
    <xf numFmtId="39" fontId="0" fillId="0" borderId="0" xfId="0" applyNumberFormat="1"/>
    <xf numFmtId="167" fontId="24" fillId="3" borderId="0" xfId="2" applyNumberFormat="1" applyFont="1" applyFill="1" applyProtection="1">
      <protection locked="0"/>
    </xf>
    <xf numFmtId="167" fontId="24" fillId="0" borderId="0" xfId="2" applyNumberFormat="1" applyFont="1" applyFill="1" applyBorder="1" applyProtection="1">
      <protection locked="0"/>
    </xf>
    <xf numFmtId="167" fontId="24" fillId="3" borderId="0" xfId="2" applyNumberFormat="1" applyFont="1" applyFill="1" applyBorder="1" applyProtection="1">
      <protection locked="0"/>
    </xf>
    <xf numFmtId="167" fontId="24" fillId="0" borderId="0" xfId="2" applyNumberFormat="1" applyFont="1" applyProtection="1">
      <protection locked="0"/>
    </xf>
    <xf numFmtId="167" fontId="39" fillId="3" borderId="0" xfId="2" applyNumberFormat="1" applyFont="1" applyFill="1" applyProtection="1">
      <protection locked="0"/>
    </xf>
    <xf numFmtId="167"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7" fontId="23" fillId="9" borderId="4" xfId="2" applyNumberFormat="1" applyFont="1" applyFill="1" applyBorder="1" applyProtection="1">
      <protection locked="0"/>
    </xf>
    <xf numFmtId="167" fontId="28" fillId="0" borderId="0" xfId="0" applyNumberFormat="1" applyFont="1" applyProtection="1">
      <protection locked="0"/>
    </xf>
    <xf numFmtId="174"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7" fontId="28" fillId="0" borderId="0" xfId="2" applyNumberFormat="1" applyFont="1" applyProtection="1">
      <protection locked="0"/>
    </xf>
    <xf numFmtId="174" fontId="23" fillId="9" borderId="4" xfId="0" applyNumberFormat="1" applyFont="1" applyFill="1" applyBorder="1" applyProtection="1">
      <protection locked="0"/>
    </xf>
    <xf numFmtId="174" fontId="27" fillId="0" borderId="0" xfId="0" applyNumberFormat="1" applyFont="1" applyProtection="1">
      <protection locked="0"/>
    </xf>
    <xf numFmtId="174" fontId="27" fillId="0" borderId="0" xfId="0" applyNumberFormat="1" applyFont="1"/>
    <xf numFmtId="174" fontId="27" fillId="0" borderId="3" xfId="0" applyNumberFormat="1" applyFont="1" applyBorder="1"/>
    <xf numFmtId="174" fontId="39" fillId="3" borderId="0" xfId="0" applyNumberFormat="1" applyFont="1" applyFill="1" applyProtection="1">
      <protection locked="0"/>
    </xf>
    <xf numFmtId="174" fontId="27" fillId="0" borderId="0" xfId="1" applyNumberFormat="1" applyFont="1" applyFill="1" applyBorder="1" applyProtection="1"/>
    <xf numFmtId="174" fontId="27" fillId="0" borderId="3" xfId="1" applyNumberFormat="1" applyFont="1" applyFill="1" applyBorder="1" applyProtection="1"/>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1"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4"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1"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2" fontId="39" fillId="0" borderId="0" xfId="0" applyNumberFormat="1" applyFont="1" applyProtection="1">
      <protection locked="0"/>
    </xf>
    <xf numFmtId="0" fontId="37" fillId="2" borderId="0" xfId="0" applyFont="1" applyFill="1" applyAlignment="1" applyProtection="1">
      <alignment horizontal="right"/>
      <protection locked="0"/>
    </xf>
    <xf numFmtId="174"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4" fontId="37" fillId="2" borderId="0" xfId="0" applyNumberFormat="1" applyFont="1" applyFill="1" applyAlignment="1">
      <alignment horizontal="center"/>
    </xf>
    <xf numFmtId="0" fontId="51" fillId="2" borderId="0" xfId="0" applyFont="1" applyFill="1"/>
    <xf numFmtId="164"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4" fontId="37" fillId="10" borderId="0" xfId="0" applyNumberFormat="1" applyFont="1" applyFill="1" applyProtection="1">
      <protection locked="0"/>
    </xf>
    <xf numFmtId="164"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0" fontId="53" fillId="0" borderId="0" xfId="5" applyFont="1" applyAlignment="1">
      <alignment vertical="center"/>
    </xf>
    <xf numFmtId="14" fontId="53" fillId="0" borderId="0" xfId="5" applyNumberFormat="1" applyFont="1" applyAlignment="1">
      <alignment horizontal="right" vertical="center"/>
    </xf>
    <xf numFmtId="0" fontId="6" fillId="9" borderId="21" xfId="13" applyFont="1" applyFill="1" applyBorder="1"/>
    <xf numFmtId="0" fontId="54"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5" fillId="2" borderId="0" xfId="0" applyFont="1" applyFill="1" applyAlignment="1">
      <alignment horizontal="right"/>
    </xf>
    <xf numFmtId="37" fontId="39" fillId="0" borderId="3" xfId="1" applyNumberFormat="1" applyFont="1" applyFill="1" applyBorder="1" applyProtection="1">
      <protection locked="0"/>
    </xf>
    <xf numFmtId="167"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7"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6"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7" fontId="26" fillId="0" borderId="0" xfId="2" applyNumberFormat="1" applyFont="1" applyAlignment="1">
      <alignment horizontal="right"/>
    </xf>
    <xf numFmtId="171" fontId="38" fillId="0" borderId="0" xfId="0" applyNumberFormat="1" applyFont="1"/>
    <xf numFmtId="171" fontId="26" fillId="0" borderId="0" xfId="0" applyNumberFormat="1" applyFont="1"/>
    <xf numFmtId="167" fontId="26" fillId="0" borderId="0" xfId="2" applyNumberFormat="1" applyFont="1" applyFill="1" applyBorder="1"/>
    <xf numFmtId="167" fontId="26" fillId="0" borderId="0" xfId="2" applyNumberFormat="1" applyFont="1"/>
    <xf numFmtId="172" fontId="27" fillId="0" borderId="0" xfId="0" applyNumberFormat="1" applyFont="1"/>
    <xf numFmtId="167" fontId="27" fillId="0" borderId="0" xfId="2" applyNumberFormat="1" applyFont="1"/>
    <xf numFmtId="0" fontId="27" fillId="0" borderId="1" xfId="0" applyFont="1" applyBorder="1"/>
    <xf numFmtId="37" fontId="38" fillId="0" borderId="1" xfId="0" applyNumberFormat="1" applyFont="1" applyBorder="1"/>
    <xf numFmtId="172" fontId="27" fillId="0" borderId="1" xfId="0" applyNumberFormat="1" applyFont="1" applyBorder="1"/>
    <xf numFmtId="167" fontId="27" fillId="0" borderId="1" xfId="2" applyNumberFormat="1" applyFont="1" applyBorder="1"/>
    <xf numFmtId="0" fontId="38" fillId="0" borderId="0" xfId="0" applyFont="1"/>
    <xf numFmtId="37" fontId="43" fillId="0" borderId="0" xfId="0" applyNumberFormat="1" applyFont="1"/>
    <xf numFmtId="172" fontId="43" fillId="0" borderId="0" xfId="0" applyNumberFormat="1" applyFont="1"/>
    <xf numFmtId="167" fontId="43" fillId="0" borderId="0" xfId="2" applyNumberFormat="1" applyFont="1"/>
    <xf numFmtId="0" fontId="27" fillId="0" borderId="19" xfId="0" applyFont="1" applyBorder="1"/>
    <xf numFmtId="37" fontId="38" fillId="0" borderId="7" xfId="0" applyNumberFormat="1" applyFont="1" applyBorder="1"/>
    <xf numFmtId="172" fontId="27" fillId="0" borderId="7" xfId="0" applyNumberFormat="1" applyFont="1" applyBorder="1"/>
    <xf numFmtId="167"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2" fontId="27" fillId="3" borderId="7" xfId="0" applyNumberFormat="1" applyFont="1" applyFill="1" applyBorder="1"/>
    <xf numFmtId="167" fontId="27" fillId="3" borderId="17" xfId="2" applyNumberFormat="1" applyFont="1" applyFill="1" applyBorder="1"/>
    <xf numFmtId="164" fontId="37" fillId="2" borderId="0" xfId="0" applyNumberFormat="1" applyFont="1" applyFill="1"/>
    <xf numFmtId="165"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7" fontId="24" fillId="0" borderId="0" xfId="2" applyNumberFormat="1" applyFont="1" applyFill="1" applyBorder="1"/>
    <xf numFmtId="0" fontId="24" fillId="0" borderId="0" xfId="0" applyFont="1"/>
    <xf numFmtId="10" fontId="57" fillId="11" borderId="7" xfId="2" applyNumberFormat="1" applyFont="1" applyFill="1" applyBorder="1" applyAlignment="1">
      <alignment horizontal="center"/>
    </xf>
    <xf numFmtId="0" fontId="57"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8" fontId="35" fillId="0" borderId="0" xfId="1" applyNumberFormat="1" applyFont="1"/>
    <xf numFmtId="168" fontId="27" fillId="0" borderId="0" xfId="1" applyNumberFormat="1" applyFont="1"/>
    <xf numFmtId="167" fontId="23" fillId="9" borderId="6" xfId="2" applyNumberFormat="1" applyFont="1" applyFill="1" applyBorder="1"/>
    <xf numFmtId="167" fontId="23" fillId="9" borderId="4" xfId="2" applyNumberFormat="1" applyFont="1" applyFill="1" applyBorder="1"/>
    <xf numFmtId="167" fontId="24" fillId="0" borderId="0" xfId="2" applyNumberFormat="1" applyFont="1"/>
    <xf numFmtId="0" fontId="28" fillId="4" borderId="0" xfId="0" applyFont="1" applyFill="1"/>
    <xf numFmtId="167" fontId="26" fillId="4" borderId="0" xfId="2" applyNumberFormat="1" applyFont="1" applyFill="1"/>
    <xf numFmtId="0" fontId="27" fillId="4" borderId="0" xfId="0" applyFont="1" applyFill="1"/>
    <xf numFmtId="167" fontId="28" fillId="0" borderId="0" xfId="2" applyNumberFormat="1" applyFont="1"/>
    <xf numFmtId="0" fontId="28" fillId="0" borderId="0" xfId="0" applyFont="1" applyAlignment="1">
      <alignment horizontal="left" indent="3"/>
    </xf>
    <xf numFmtId="168" fontId="58" fillId="0" borderId="0" xfId="1" applyNumberFormat="1" applyFont="1"/>
    <xf numFmtId="0" fontId="59" fillId="0" borderId="0" xfId="0" applyFont="1"/>
    <xf numFmtId="0" fontId="58" fillId="0" borderId="0" xfId="0" applyFont="1" applyAlignment="1">
      <alignment horizontal="left" indent="1"/>
    </xf>
    <xf numFmtId="167" fontId="24" fillId="0" borderId="5" xfId="2" applyNumberFormat="1" applyFont="1" applyBorder="1"/>
    <xf numFmtId="167" fontId="24" fillId="0" borderId="3" xfId="2" applyNumberFormat="1" applyFont="1" applyBorder="1"/>
    <xf numFmtId="167"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8" fontId="28" fillId="0" borderId="0" xfId="0" applyNumberFormat="1" applyFont="1"/>
    <xf numFmtId="3" fontId="23" fillId="9" borderId="6" xfId="0" applyNumberFormat="1" applyFont="1" applyFill="1" applyBorder="1"/>
    <xf numFmtId="3" fontId="23" fillId="0" borderId="0" xfId="0" applyNumberFormat="1" applyFont="1"/>
    <xf numFmtId="167" fontId="23" fillId="0" borderId="0" xfId="2" applyNumberFormat="1" applyFont="1"/>
    <xf numFmtId="0" fontId="39" fillId="10" borderId="0" xfId="0" applyFont="1" applyFill="1"/>
    <xf numFmtId="168" fontId="38" fillId="0" borderId="0" xfId="1" applyNumberFormat="1" applyFont="1"/>
    <xf numFmtId="167" fontId="60" fillId="0" borderId="0" xfId="2" applyNumberFormat="1" applyFont="1"/>
    <xf numFmtId="0" fontId="61" fillId="0" borderId="0" xfId="0" applyFont="1"/>
    <xf numFmtId="168" fontId="27" fillId="0" borderId="0" xfId="0" applyNumberFormat="1" applyFont="1"/>
    <xf numFmtId="167" fontId="26" fillId="0" borderId="0" xfId="0" applyNumberFormat="1" applyFont="1"/>
    <xf numFmtId="0" fontId="28" fillId="0" borderId="5" xfId="0" applyFont="1" applyBorder="1"/>
    <xf numFmtId="164" fontId="37" fillId="2" borderId="3" xfId="0" applyNumberFormat="1" applyFont="1" applyFill="1" applyBorder="1"/>
    <xf numFmtId="0" fontId="28" fillId="10" borderId="3" xfId="0" applyFont="1" applyFill="1" applyBorder="1"/>
    <xf numFmtId="168" fontId="38" fillId="0" borderId="5" xfId="1" applyNumberFormat="1" applyFont="1" applyBorder="1"/>
    <xf numFmtId="168" fontId="38" fillId="0" borderId="3" xfId="1" applyNumberFormat="1" applyFont="1" applyBorder="1"/>
    <xf numFmtId="168"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8" fontId="28" fillId="3" borderId="7" xfId="0" applyNumberFormat="1" applyFont="1" applyFill="1" applyBorder="1"/>
    <xf numFmtId="168" fontId="28" fillId="3" borderId="20" xfId="0" applyNumberFormat="1" applyFont="1" applyFill="1" applyBorder="1"/>
    <xf numFmtId="168"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8" fontId="28" fillId="0" borderId="5" xfId="0" applyNumberFormat="1" applyFont="1" applyBorder="1"/>
    <xf numFmtId="0" fontId="28" fillId="0" borderId="1" xfId="0" applyFont="1" applyBorder="1" applyAlignment="1">
      <alignment horizontal="left" indent="1"/>
    </xf>
    <xf numFmtId="171"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1"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7" fontId="62" fillId="3" borderId="13" xfId="2" applyNumberFormat="1" applyFont="1" applyFill="1" applyBorder="1"/>
    <xf numFmtId="0" fontId="33" fillId="11" borderId="19" xfId="0" applyFont="1" applyFill="1" applyBorder="1" applyAlignment="1">
      <alignment horizontal="left" indent="1"/>
    </xf>
    <xf numFmtId="0" fontId="33" fillId="11" borderId="7" xfId="0" applyFont="1" applyFill="1" applyBorder="1"/>
    <xf numFmtId="0" fontId="33" fillId="11" borderId="7" xfId="0" applyFont="1" applyFill="1" applyBorder="1" applyProtection="1">
      <protection locked="0"/>
    </xf>
    <xf numFmtId="0" fontId="33" fillId="11" borderId="17" xfId="0" applyFont="1" applyFill="1" applyBorder="1"/>
    <xf numFmtId="37" fontId="33" fillId="11" borderId="7" xfId="0" applyNumberFormat="1" applyFont="1" applyFill="1" applyBorder="1" applyProtection="1">
      <protection locked="0"/>
    </xf>
    <xf numFmtId="0" fontId="33" fillId="11" borderId="17" xfId="0" applyFont="1" applyFill="1" applyBorder="1" applyProtection="1">
      <protection locked="0"/>
    </xf>
    <xf numFmtId="165"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3" fillId="0" borderId="0" xfId="3" applyFont="1"/>
    <xf numFmtId="167"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7"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0" fontId="34" fillId="0" borderId="0" xfId="0" applyFont="1" applyAlignment="1">
      <alignment horizontal="left" wrapText="1" indent="1"/>
    </xf>
    <xf numFmtId="167" fontId="25" fillId="0" borderId="0" xfId="2" applyNumberFormat="1" applyFont="1"/>
    <xf numFmtId="10" fontId="28" fillId="0" borderId="0" xfId="0" applyNumberFormat="1" applyFont="1"/>
    <xf numFmtId="164" fontId="40" fillId="0" borderId="0" xfId="0" applyNumberFormat="1" applyFont="1" applyAlignment="1">
      <alignment horizontal="center"/>
    </xf>
    <xf numFmtId="164" fontId="16" fillId="0" borderId="0" xfId="0" applyNumberFormat="1" applyFont="1" applyAlignment="1">
      <alignment horizontal="center"/>
    </xf>
    <xf numFmtId="0" fontId="51" fillId="0" borderId="0" xfId="3" applyFont="1" applyAlignment="1">
      <alignment horizontal="left" indent="1"/>
    </xf>
    <xf numFmtId="0" fontId="66" fillId="0" borderId="0" xfId="3" applyFont="1" applyAlignment="1">
      <alignment horizontal="left" indent="1"/>
    </xf>
    <xf numFmtId="0" fontId="64" fillId="0" borderId="0" xfId="3" applyFont="1" applyBorder="1" applyAlignment="1">
      <alignment horizontal="right"/>
    </xf>
    <xf numFmtId="169" fontId="8" fillId="0" borderId="0" xfId="0" applyNumberFormat="1" applyFont="1"/>
    <xf numFmtId="0" fontId="69" fillId="0" borderId="11" xfId="0" applyFont="1" applyBorder="1" applyAlignment="1">
      <alignment horizontal="right"/>
    </xf>
    <xf numFmtId="173" fontId="8" fillId="0" borderId="0" xfId="0" applyNumberFormat="1" applyFont="1"/>
    <xf numFmtId="39" fontId="8" fillId="0" borderId="0" xfId="0" applyNumberFormat="1" applyFont="1"/>
    <xf numFmtId="14" fontId="8" fillId="0" borderId="0" xfId="0" applyNumberFormat="1" applyFont="1"/>
    <xf numFmtId="0" fontId="68" fillId="0" borderId="0" xfId="0" applyFont="1"/>
    <xf numFmtId="0" fontId="55" fillId="2" borderId="0" xfId="0" applyFont="1" applyFill="1" applyAlignment="1">
      <alignment horizontal="left"/>
    </xf>
    <xf numFmtId="0" fontId="70" fillId="10" borderId="0" xfId="0" applyFont="1" applyFill="1"/>
    <xf numFmtId="0" fontId="71" fillId="0" borderId="0" xfId="0" applyFont="1"/>
    <xf numFmtId="0" fontId="70" fillId="0" borderId="0" xfId="0" applyFont="1"/>
    <xf numFmtId="0" fontId="72"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6" fillId="0" borderId="0" xfId="3" applyFont="1" applyAlignment="1">
      <alignment horizontal="left" vertical="top" indent="1"/>
    </xf>
    <xf numFmtId="0" fontId="34" fillId="0" borderId="0" xfId="0" applyFont="1" applyAlignment="1">
      <alignment horizontal="left" vertical="center" wrapText="1" indent="1"/>
    </xf>
    <xf numFmtId="0" fontId="8" fillId="13"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4" borderId="0" xfId="0" applyFont="1" applyFill="1"/>
    <xf numFmtId="9" fontId="28" fillId="0" borderId="0" xfId="2" applyFont="1" applyAlignment="1">
      <alignment horizontal="center"/>
    </xf>
    <xf numFmtId="172" fontId="28" fillId="0" borderId="0" xfId="2" applyNumberFormat="1" applyFont="1" applyAlignment="1">
      <alignment horizontal="center"/>
    </xf>
    <xf numFmtId="175" fontId="28" fillId="0" borderId="0" xfId="2" applyNumberFormat="1" applyFont="1" applyAlignment="1">
      <alignment horizontal="center"/>
    </xf>
    <xf numFmtId="9" fontId="8" fillId="0" borderId="0" xfId="2" applyFont="1"/>
    <xf numFmtId="167" fontId="80" fillId="0" borderId="0" xfId="2" applyNumberFormat="1" applyFont="1"/>
    <xf numFmtId="0" fontId="80" fillId="0" borderId="0" xfId="0" applyFont="1"/>
    <xf numFmtId="3" fontId="80" fillId="0" borderId="0" xfId="0" applyNumberFormat="1" applyFont="1"/>
    <xf numFmtId="0" fontId="81" fillId="0" borderId="0" xfId="0" applyFont="1" applyAlignment="1">
      <alignment horizontal="right"/>
    </xf>
    <xf numFmtId="0" fontId="37" fillId="14" borderId="0" xfId="0" applyFont="1" applyFill="1"/>
    <xf numFmtId="176" fontId="28" fillId="0" borderId="0" xfId="2" applyNumberFormat="1" applyFont="1" applyAlignment="1">
      <alignment horizontal="center"/>
    </xf>
    <xf numFmtId="0" fontId="43" fillId="14" borderId="0" xfId="5" applyFont="1" applyFill="1" applyAlignment="1">
      <alignment vertical="center"/>
    </xf>
    <xf numFmtId="0" fontId="27" fillId="14" borderId="0" xfId="5" applyFont="1" applyFill="1" applyAlignment="1">
      <alignment vertical="center"/>
    </xf>
    <xf numFmtId="0" fontId="28" fillId="10" borderId="0" xfId="0" applyFont="1" applyFill="1" applyAlignment="1">
      <alignment horizontal="left" indent="1"/>
    </xf>
    <xf numFmtId="0" fontId="37" fillId="14" borderId="0" xfId="0" applyFont="1" applyFill="1" applyAlignment="1">
      <alignment horizontal="left"/>
    </xf>
    <xf numFmtId="0" fontId="67" fillId="14"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7" fontId="26" fillId="9" borderId="4" xfId="0" applyNumberFormat="1" applyFont="1" applyFill="1" applyBorder="1" applyProtection="1">
      <protection locked="0"/>
    </xf>
    <xf numFmtId="172" fontId="26" fillId="9" borderId="4" xfId="0" applyNumberFormat="1" applyFont="1" applyFill="1" applyBorder="1" applyProtection="1">
      <protection locked="0"/>
    </xf>
    <xf numFmtId="167" fontId="27" fillId="0" borderId="0" xfId="0" applyNumberFormat="1" applyFont="1" applyProtection="1">
      <protection locked="0"/>
    </xf>
    <xf numFmtId="172" fontId="27" fillId="0" borderId="0" xfId="0" applyNumberFormat="1" applyFont="1" applyProtection="1">
      <protection locked="0"/>
    </xf>
    <xf numFmtId="177" fontId="8" fillId="10" borderId="0" xfId="0" applyNumberFormat="1" applyFont="1" applyFill="1"/>
    <xf numFmtId="177"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7" fontId="27" fillId="0" borderId="0" xfId="2" applyNumberFormat="1" applyFont="1" applyProtection="1">
      <protection locked="0"/>
    </xf>
    <xf numFmtId="164" fontId="28" fillId="0" borderId="0" xfId="0" applyNumberFormat="1" applyFont="1" applyProtection="1">
      <protection locked="0"/>
    </xf>
    <xf numFmtId="165" fontId="28" fillId="0" borderId="0" xfId="0" applyNumberFormat="1" applyFont="1" applyProtection="1">
      <protection locked="0"/>
    </xf>
    <xf numFmtId="10" fontId="39" fillId="0" borderId="0" xfId="0" applyNumberFormat="1" applyFont="1"/>
    <xf numFmtId="0" fontId="34" fillId="15" borderId="19" xfId="0" applyFont="1" applyFill="1" applyBorder="1" applyAlignment="1">
      <alignment horizontal="left" indent="1"/>
    </xf>
    <xf numFmtId="167"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178" fontId="23" fillId="9" borderId="4" xfId="2" applyNumberFormat="1" applyFont="1" applyFill="1" applyBorder="1" applyProtection="1">
      <protection locked="0"/>
    </xf>
    <xf numFmtId="0" fontId="82" fillId="0" borderId="0" xfId="0" applyFont="1"/>
    <xf numFmtId="2" fontId="26" fillId="9" borderId="4" xfId="0" applyNumberFormat="1" applyFont="1" applyFill="1" applyBorder="1" applyProtection="1">
      <protection locked="0"/>
    </xf>
    <xf numFmtId="0" fontId="42" fillId="2" borderId="0" xfId="0" applyFont="1" applyFill="1"/>
    <xf numFmtId="0" fontId="37" fillId="2" borderId="0" xfId="0" applyFont="1" applyFill="1" applyAlignment="1">
      <alignment horizontal="center"/>
    </xf>
    <xf numFmtId="171" fontId="28" fillId="0" borderId="0" xfId="1" applyNumberFormat="1" applyFont="1" applyAlignment="1">
      <alignment horizontal="right"/>
    </xf>
    <xf numFmtId="0" fontId="34" fillId="11" borderId="14" xfId="0" applyFont="1" applyFill="1" applyBorder="1"/>
    <xf numFmtId="0" fontId="28" fillId="11" borderId="9" xfId="0" applyFont="1" applyFill="1" applyBorder="1"/>
    <xf numFmtId="0" fontId="34" fillId="11" borderId="15" xfId="0" applyFont="1" applyFill="1" applyBorder="1"/>
    <xf numFmtId="0" fontId="28" fillId="11" borderId="1" xfId="0"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0"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0" fontId="28" fillId="0" borderId="0" xfId="9" applyNumberFormat="1" applyFont="1" applyFill="1" applyAlignment="1">
      <alignment horizontal="left" indent="1"/>
    </xf>
    <xf numFmtId="10" fontId="26" fillId="9" borderId="4" xfId="2" applyNumberFormat="1" applyFont="1" applyFill="1" applyBorder="1"/>
    <xf numFmtId="167" fontId="28" fillId="0" borderId="0" xfId="2" applyNumberFormat="1" applyFont="1" applyFill="1" applyAlignment="1">
      <alignment horizontal="right"/>
    </xf>
    <xf numFmtId="0" fontId="58"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8"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7"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10" fontId="34" fillId="11" borderId="17" xfId="2" applyNumberFormat="1" applyFont="1" applyFill="1" applyBorder="1"/>
    <xf numFmtId="9" fontId="28" fillId="0" borderId="0" xfId="0" applyNumberFormat="1" applyFont="1"/>
    <xf numFmtId="0" fontId="28" fillId="15" borderId="7" xfId="0" applyFont="1" applyFill="1" applyBorder="1"/>
    <xf numFmtId="10" fontId="34" fillId="15" borderId="7" xfId="2" applyNumberFormat="1" applyFont="1" applyFill="1" applyBorder="1"/>
    <xf numFmtId="10" fontId="34" fillId="15" borderId="17" xfId="2" applyNumberFormat="1" applyFont="1" applyFill="1" applyBorder="1"/>
    <xf numFmtId="0" fontId="28" fillId="0" borderId="12" xfId="0" applyFont="1" applyBorder="1"/>
    <xf numFmtId="171" fontId="26" fillId="9" borderId="18" xfId="0" applyNumberFormat="1" applyFont="1" applyFill="1" applyBorder="1"/>
    <xf numFmtId="171" fontId="26" fillId="9" borderId="4" xfId="0" applyNumberFormat="1" applyFont="1" applyFill="1" applyBorder="1"/>
    <xf numFmtId="167" fontId="26" fillId="9" borderId="4" xfId="2" applyNumberFormat="1" applyFont="1" applyFill="1" applyBorder="1"/>
    <xf numFmtId="9" fontId="26" fillId="9" borderId="4" xfId="2" applyFont="1" applyFill="1" applyBorder="1"/>
    <xf numFmtId="0" fontId="7" fillId="0" borderId="0" xfId="3" applyAlignment="1">
      <alignment horizontal="left" vertical="top" indent="1"/>
    </xf>
    <xf numFmtId="0" fontId="84" fillId="16" borderId="0" xfId="0" applyFont="1" applyFill="1"/>
    <xf numFmtId="0" fontId="58" fillId="0" borderId="0" xfId="0" applyFont="1"/>
    <xf numFmtId="0" fontId="58" fillId="19" borderId="0" xfId="0" applyFont="1" applyFill="1"/>
    <xf numFmtId="0" fontId="58" fillId="17" borderId="0" xfId="0" applyFont="1" applyFill="1" applyAlignment="1">
      <alignment horizontal="center"/>
    </xf>
    <xf numFmtId="0" fontId="58" fillId="18" borderId="0" xfId="0" applyFont="1" applyFill="1" applyAlignment="1">
      <alignment horizontal="center"/>
    </xf>
    <xf numFmtId="0" fontId="58" fillId="19" borderId="0" xfId="0" applyFont="1" applyFill="1" applyAlignment="1">
      <alignment horizontal="center"/>
    </xf>
    <xf numFmtId="0" fontId="58" fillId="20" borderId="0" xfId="0" applyFont="1" applyFill="1" applyAlignment="1">
      <alignment horizontal="center"/>
    </xf>
    <xf numFmtId="0" fontId="58" fillId="21" borderId="0" xfId="0" applyFont="1" applyFill="1" applyAlignment="1">
      <alignment horizontal="center"/>
    </xf>
    <xf numFmtId="0" fontId="58" fillId="24" borderId="0" xfId="0" applyFont="1" applyFill="1" applyAlignment="1">
      <alignment horizontal="center"/>
    </xf>
    <xf numFmtId="0" fontId="58" fillId="25" borderId="0" xfId="0" applyFont="1" applyFill="1" applyAlignment="1">
      <alignment horizontal="center"/>
    </xf>
    <xf numFmtId="0" fontId="58" fillId="29" borderId="0" xfId="0" applyFont="1" applyFill="1" applyAlignment="1">
      <alignment horizontal="center"/>
    </xf>
    <xf numFmtId="9" fontId="58" fillId="17" borderId="0" xfId="0" applyNumberFormat="1" applyFont="1" applyFill="1"/>
    <xf numFmtId="0" fontId="58" fillId="32" borderId="0" xfId="0" applyFont="1" applyFill="1" applyAlignment="1">
      <alignment horizontal="center"/>
    </xf>
    <xf numFmtId="0" fontId="58" fillId="33" borderId="0" xfId="0" applyFont="1" applyFill="1" applyAlignment="1">
      <alignment horizontal="center"/>
    </xf>
    <xf numFmtId="0" fontId="58" fillId="34" borderId="0" xfId="0" applyFont="1" applyFill="1" applyAlignment="1">
      <alignment horizontal="center"/>
    </xf>
    <xf numFmtId="9" fontId="58" fillId="17" borderId="0" xfId="0" applyNumberFormat="1" applyFont="1" applyFill="1" applyAlignment="1">
      <alignment horizontal="center"/>
    </xf>
    <xf numFmtId="9" fontId="58" fillId="37" borderId="0" xfId="0" applyNumberFormat="1" applyFont="1" applyFill="1" applyAlignment="1">
      <alignment horizontal="center"/>
    </xf>
    <xf numFmtId="9" fontId="58" fillId="38" borderId="0" xfId="0" applyNumberFormat="1" applyFont="1" applyFill="1" applyAlignment="1">
      <alignment horizontal="center"/>
    </xf>
    <xf numFmtId="9" fontId="58" fillId="19" borderId="0" xfId="0" applyNumberFormat="1" applyFont="1" applyFill="1" applyAlignment="1">
      <alignment horizontal="center"/>
    </xf>
    <xf numFmtId="9" fontId="58" fillId="40" borderId="0" xfId="0" applyNumberFormat="1" applyFont="1" applyFill="1" applyAlignment="1">
      <alignment horizontal="center"/>
    </xf>
    <xf numFmtId="9" fontId="58" fillId="41" borderId="0" xfId="0" applyNumberFormat="1" applyFont="1" applyFill="1" applyAlignment="1">
      <alignment horizontal="center"/>
    </xf>
    <xf numFmtId="0" fontId="58" fillId="42" borderId="0" xfId="0" applyFont="1" applyFill="1" applyAlignment="1">
      <alignment horizontal="center"/>
    </xf>
    <xf numFmtId="0" fontId="58" fillId="43" borderId="0" xfId="0" applyFont="1" applyFill="1" applyAlignment="1">
      <alignment horizontal="center"/>
    </xf>
    <xf numFmtId="0" fontId="58" fillId="44" borderId="0" xfId="0" applyFont="1" applyFill="1" applyAlignment="1">
      <alignment horizontal="center"/>
    </xf>
    <xf numFmtId="0" fontId="58" fillId="45" borderId="0" xfId="0" applyFont="1" applyFill="1" applyAlignment="1">
      <alignment horizontal="center"/>
    </xf>
    <xf numFmtId="0" fontId="58" fillId="46" borderId="0" xfId="0" applyFont="1" applyFill="1" applyAlignment="1">
      <alignment horizontal="center"/>
    </xf>
    <xf numFmtId="0" fontId="58" fillId="47" borderId="0" xfId="0" applyFont="1" applyFill="1" applyAlignment="1">
      <alignment horizontal="center"/>
    </xf>
    <xf numFmtId="0" fontId="58" fillId="48" borderId="0" xfId="0" applyFont="1" applyFill="1" applyAlignment="1">
      <alignment horizontal="center"/>
    </xf>
    <xf numFmtId="0" fontId="58" fillId="49" borderId="0" xfId="0" applyFont="1" applyFill="1" applyAlignment="1">
      <alignment horizontal="center"/>
    </xf>
    <xf numFmtId="0" fontId="58" fillId="50" borderId="0" xfId="0" applyFont="1" applyFill="1" applyAlignment="1">
      <alignment horizontal="center"/>
    </xf>
    <xf numFmtId="0" fontId="58" fillId="51" borderId="0" xfId="0" applyFont="1" applyFill="1" applyAlignment="1">
      <alignment horizontal="center"/>
    </xf>
    <xf numFmtId="0" fontId="58" fillId="52" borderId="0" xfId="0" applyFont="1" applyFill="1" applyAlignment="1">
      <alignment horizontal="center"/>
    </xf>
    <xf numFmtId="9" fontId="58" fillId="27" borderId="0" xfId="0" applyNumberFormat="1" applyFont="1" applyFill="1" applyAlignment="1">
      <alignment horizontal="center"/>
    </xf>
    <xf numFmtId="9" fontId="58" fillId="57" borderId="0" xfId="0" applyNumberFormat="1" applyFont="1" applyFill="1" applyAlignment="1">
      <alignment horizontal="center"/>
    </xf>
    <xf numFmtId="9" fontId="58" fillId="58" borderId="0" xfId="0" applyNumberFormat="1" applyFont="1" applyFill="1" applyAlignment="1">
      <alignment horizontal="center"/>
    </xf>
    <xf numFmtId="9" fontId="58" fillId="59" borderId="0" xfId="0" applyNumberFormat="1" applyFont="1" applyFill="1" applyAlignment="1">
      <alignment horizontal="center"/>
    </xf>
    <xf numFmtId="9" fontId="58" fillId="60" borderId="0" xfId="0" applyNumberFormat="1" applyFont="1" applyFill="1" applyAlignment="1">
      <alignment horizontal="center"/>
    </xf>
    <xf numFmtId="9" fontId="58" fillId="64" borderId="0" xfId="0" applyNumberFormat="1" applyFont="1" applyFill="1" applyAlignment="1">
      <alignment horizontal="center"/>
    </xf>
    <xf numFmtId="9" fontId="58" fillId="65" borderId="0" xfId="0" applyNumberFormat="1" applyFont="1" applyFill="1" applyAlignment="1">
      <alignment horizontal="center"/>
    </xf>
    <xf numFmtId="9" fontId="58" fillId="25" borderId="0" xfId="0" applyNumberFormat="1" applyFont="1" applyFill="1" applyAlignment="1">
      <alignment horizontal="center"/>
    </xf>
    <xf numFmtId="0" fontId="58" fillId="0" borderId="27" xfId="0" applyFont="1" applyBorder="1"/>
    <xf numFmtId="0" fontId="58" fillId="19" borderId="0" xfId="0" applyFont="1" applyFill="1" applyAlignment="1">
      <alignment horizontal="right"/>
    </xf>
    <xf numFmtId="0" fontId="58" fillId="0" borderId="0" xfId="0" applyFont="1" applyAlignment="1">
      <alignment horizontal="center"/>
    </xf>
    <xf numFmtId="0" fontId="58" fillId="0" borderId="0" xfId="0" applyFont="1" applyAlignment="1">
      <alignment horizontal="center" wrapText="1"/>
    </xf>
    <xf numFmtId="0" fontId="58" fillId="19" borderId="27" xfId="0" applyFont="1" applyFill="1" applyBorder="1" applyAlignment="1">
      <alignment horizontal="center"/>
    </xf>
    <xf numFmtId="167" fontId="28" fillId="0" borderId="0" xfId="2" applyNumberFormat="1" applyFont="1" applyAlignment="1">
      <alignment horizontal="center"/>
    </xf>
    <xf numFmtId="37" fontId="28" fillId="0" borderId="0" xfId="1" applyNumberFormat="1" applyFont="1" applyAlignment="1">
      <alignment horizontal="center" wrapText="1"/>
    </xf>
    <xf numFmtId="171" fontId="28" fillId="0" borderId="0" xfId="1" applyNumberFormat="1" applyFont="1" applyAlignment="1">
      <alignment horizontal="center"/>
    </xf>
    <xf numFmtId="171" fontId="28" fillId="0" borderId="0" xfId="1" applyNumberFormat="1" applyFont="1" applyBorder="1" applyAlignment="1">
      <alignment horizontal="center"/>
    </xf>
    <xf numFmtId="0" fontId="58" fillId="69" borderId="0" xfId="0" applyFont="1" applyFill="1" applyAlignment="1">
      <alignment horizontal="center"/>
    </xf>
    <xf numFmtId="0" fontId="58" fillId="69" borderId="27" xfId="0" applyFont="1" applyFill="1" applyBorder="1" applyAlignment="1">
      <alignment horizontal="center"/>
    </xf>
    <xf numFmtId="0" fontId="58" fillId="70" borderId="0" xfId="0" applyFont="1" applyFill="1" applyAlignment="1">
      <alignment horizontal="center"/>
    </xf>
    <xf numFmtId="0" fontId="58" fillId="71" borderId="0" xfId="0" applyFont="1" applyFill="1" applyAlignment="1">
      <alignment horizontal="center"/>
    </xf>
    <xf numFmtId="0" fontId="58" fillId="72" borderId="27" xfId="0" applyFont="1" applyFill="1" applyBorder="1" applyAlignment="1">
      <alignment horizontal="center"/>
    </xf>
    <xf numFmtId="0" fontId="58" fillId="73" borderId="0" xfId="0" applyFont="1" applyFill="1" applyAlignment="1">
      <alignment horizontal="center"/>
    </xf>
    <xf numFmtId="0" fontId="58" fillId="74" borderId="27" xfId="0" applyFont="1" applyFill="1" applyBorder="1" applyAlignment="1">
      <alignment horizontal="center"/>
    </xf>
    <xf numFmtId="0" fontId="58" fillId="75" borderId="0" xfId="0" applyFont="1" applyFill="1" applyAlignment="1">
      <alignment horizontal="center"/>
    </xf>
    <xf numFmtId="0" fontId="58" fillId="0" borderId="27" xfId="0" applyFont="1" applyBorder="1" applyAlignment="1">
      <alignment horizontal="center"/>
    </xf>
    <xf numFmtId="0" fontId="58" fillId="17" borderId="27" xfId="0" applyFont="1" applyFill="1" applyBorder="1" applyAlignment="1">
      <alignment horizontal="center"/>
    </xf>
    <xf numFmtId="0" fontId="58" fillId="76" borderId="0" xfId="0" applyFont="1" applyFill="1" applyAlignment="1">
      <alignment horizontal="center"/>
    </xf>
    <xf numFmtId="9" fontId="58" fillId="68" borderId="0" xfId="0" applyNumberFormat="1" applyFont="1" applyFill="1" applyAlignment="1">
      <alignment horizontal="center"/>
    </xf>
    <xf numFmtId="0" fontId="58" fillId="77" borderId="0" xfId="0" applyFont="1" applyFill="1" applyAlignment="1">
      <alignment horizontal="center"/>
    </xf>
    <xf numFmtId="0" fontId="58" fillId="78" borderId="0" xfId="0" applyFont="1" applyFill="1" applyAlignment="1">
      <alignment horizontal="center"/>
    </xf>
    <xf numFmtId="0" fontId="58" fillId="79" borderId="0" xfId="0" applyFont="1" applyFill="1" applyAlignment="1">
      <alignment horizontal="center"/>
    </xf>
    <xf numFmtId="0" fontId="58" fillId="80" borderId="0" xfId="0" applyFont="1" applyFill="1" applyAlignment="1">
      <alignment horizontal="center"/>
    </xf>
    <xf numFmtId="0" fontId="58" fillId="81" borderId="0" xfId="0" applyFont="1" applyFill="1" applyAlignment="1">
      <alignment horizontal="center"/>
    </xf>
    <xf numFmtId="0" fontId="58" fillId="83" borderId="0" xfId="0" applyFont="1" applyFill="1" applyAlignment="1">
      <alignment horizontal="center"/>
    </xf>
    <xf numFmtId="0" fontId="58" fillId="84" borderId="0" xfId="0" applyFont="1" applyFill="1" applyAlignment="1">
      <alignment horizontal="center"/>
    </xf>
    <xf numFmtId="0" fontId="58" fillId="85" borderId="27" xfId="0" applyFont="1" applyFill="1" applyBorder="1" applyAlignment="1">
      <alignment horizontal="center"/>
    </xf>
    <xf numFmtId="0" fontId="58" fillId="86" borderId="0" xfId="0" applyFont="1" applyFill="1" applyAlignment="1">
      <alignment horizontal="center"/>
    </xf>
    <xf numFmtId="0" fontId="58" fillId="25" borderId="27" xfId="0" applyFont="1" applyFill="1" applyBorder="1" applyAlignment="1">
      <alignment horizontal="center"/>
    </xf>
    <xf numFmtId="0" fontId="58" fillId="87" borderId="0" xfId="0" applyFont="1" applyFill="1" applyAlignment="1">
      <alignment horizontal="center"/>
    </xf>
    <xf numFmtId="0" fontId="58" fillId="88" borderId="27" xfId="0" applyFont="1" applyFill="1" applyBorder="1" applyAlignment="1">
      <alignment horizontal="center"/>
    </xf>
    <xf numFmtId="9" fontId="58" fillId="89" borderId="0" xfId="0" applyNumberFormat="1" applyFont="1" applyFill="1" applyAlignment="1">
      <alignment horizontal="center"/>
    </xf>
    <xf numFmtId="0" fontId="58" fillId="90" borderId="0" xfId="0" applyFont="1" applyFill="1" applyAlignment="1">
      <alignment horizontal="center"/>
    </xf>
    <xf numFmtId="0" fontId="86" fillId="91" borderId="0" xfId="0" applyFont="1" applyFill="1" applyAlignment="1">
      <alignment wrapText="1"/>
    </xf>
    <xf numFmtId="0" fontId="6" fillId="0" borderId="0" xfId="0" applyFont="1"/>
    <xf numFmtId="0" fontId="6" fillId="92" borderId="22" xfId="0" applyFont="1" applyFill="1" applyBorder="1"/>
    <xf numFmtId="0" fontId="28" fillId="0" borderId="0" xfId="0" applyFont="1" applyAlignment="1">
      <alignment horizontal="left" vertical="center" wrapText="1"/>
    </xf>
    <xf numFmtId="0" fontId="28" fillId="0" borderId="30" xfId="0" applyFont="1" applyBorder="1"/>
    <xf numFmtId="0" fontId="67" fillId="14" borderId="30" xfId="0" applyFont="1" applyFill="1" applyBorder="1" applyAlignment="1">
      <alignment horizontal="center"/>
    </xf>
    <xf numFmtId="0" fontId="28" fillId="10" borderId="30" xfId="0" applyFont="1" applyFill="1" applyBorder="1"/>
    <xf numFmtId="9" fontId="28" fillId="0" borderId="30" xfId="2" applyFont="1" applyBorder="1" applyAlignment="1">
      <alignment horizontal="center"/>
    </xf>
    <xf numFmtId="171" fontId="26" fillId="9" borderId="4" xfId="2" applyNumberFormat="1" applyFont="1" applyFill="1" applyBorder="1" applyAlignment="1" applyProtection="1">
      <alignment horizontal="right"/>
      <protection locked="0"/>
    </xf>
    <xf numFmtId="167" fontId="24" fillId="0" borderId="0" xfId="2" applyNumberFormat="1" applyFont="1" applyFill="1" applyBorder="1" applyAlignment="1" applyProtection="1">
      <alignment horizontal="right"/>
      <protection locked="0"/>
    </xf>
    <xf numFmtId="167" fontId="24" fillId="0" borderId="3" xfId="2" applyNumberFormat="1" applyFont="1" applyFill="1" applyBorder="1" applyAlignment="1" applyProtection="1">
      <alignment horizontal="right"/>
      <protection locked="0"/>
    </xf>
    <xf numFmtId="3" fontId="2" fillId="0" borderId="0" xfId="0" applyNumberFormat="1" applyFont="1" applyAlignment="1">
      <alignment horizontal="right"/>
    </xf>
    <xf numFmtId="167" fontId="2" fillId="0" borderId="0" xfId="2" applyNumberFormat="1" applyFont="1" applyAlignment="1">
      <alignment horizontal="right"/>
    </xf>
    <xf numFmtId="169" fontId="2" fillId="0" borderId="0" xfId="0" applyNumberFormat="1" applyFont="1" applyAlignment="1">
      <alignment horizontal="right"/>
    </xf>
    <xf numFmtId="9" fontId="58" fillId="82" borderId="0" xfId="0" applyNumberFormat="1" applyFont="1" applyFill="1" applyAlignment="1">
      <alignment horizontal="center"/>
    </xf>
    <xf numFmtId="171" fontId="28" fillId="0" borderId="27" xfId="1" applyNumberFormat="1" applyFont="1" applyBorder="1" applyAlignment="1">
      <alignment horizontal="center"/>
    </xf>
    <xf numFmtId="0" fontId="28" fillId="0" borderId="27" xfId="0" applyFont="1" applyBorder="1" applyAlignment="1">
      <alignment horizontal="center"/>
    </xf>
    <xf numFmtId="0" fontId="85" fillId="19" borderId="9" xfId="0" applyFont="1" applyFill="1" applyBorder="1" applyAlignment="1">
      <alignment horizontal="center"/>
    </xf>
    <xf numFmtId="0" fontId="58" fillId="19" borderId="9" xfId="0" applyFont="1" applyFill="1" applyBorder="1" applyAlignment="1">
      <alignment horizontal="center"/>
    </xf>
    <xf numFmtId="0" fontId="58" fillId="19" borderId="28" xfId="0" applyFont="1" applyFill="1" applyBorder="1" applyAlignment="1">
      <alignment horizontal="center"/>
    </xf>
    <xf numFmtId="0" fontId="85" fillId="19" borderId="1" xfId="0" applyFont="1" applyFill="1" applyBorder="1" applyAlignment="1">
      <alignment horizontal="center"/>
    </xf>
    <xf numFmtId="0" fontId="58" fillId="19" borderId="26" xfId="0" applyFont="1" applyFill="1" applyBorder="1" applyAlignment="1">
      <alignment horizontal="center"/>
    </xf>
    <xf numFmtId="0" fontId="28" fillId="0" borderId="26" xfId="0" applyFont="1" applyBorder="1" applyAlignment="1">
      <alignment horizontal="center"/>
    </xf>
    <xf numFmtId="9" fontId="58" fillId="19" borderId="12" xfId="0" applyNumberFormat="1" applyFont="1" applyFill="1" applyBorder="1" applyAlignment="1">
      <alignment horizontal="center"/>
    </xf>
    <xf numFmtId="0" fontId="58" fillId="19" borderId="1" xfId="0" applyFont="1" applyFill="1" applyBorder="1" applyAlignment="1">
      <alignment horizontal="center"/>
    </xf>
    <xf numFmtId="9" fontId="58" fillId="19" borderId="13" xfId="0" applyNumberFormat="1" applyFont="1" applyFill="1" applyBorder="1" applyAlignment="1">
      <alignment horizontal="center"/>
    </xf>
    <xf numFmtId="0" fontId="85" fillId="19" borderId="1" xfId="0" quotePrefix="1" applyFont="1" applyFill="1" applyBorder="1" applyAlignment="1">
      <alignment horizontal="center"/>
    </xf>
    <xf numFmtId="0" fontId="6" fillId="0" borderId="0" xfId="0" applyFont="1" applyAlignment="1">
      <alignment horizontal="right"/>
    </xf>
    <xf numFmtId="17" fontId="6" fillId="0" borderId="0" xfId="0" applyNumberFormat="1" applyFont="1" applyAlignment="1">
      <alignment horizontal="left"/>
    </xf>
    <xf numFmtId="16" fontId="6" fillId="0" borderId="0" xfId="0" applyNumberFormat="1" applyFont="1" applyAlignment="1">
      <alignment horizontal="left"/>
    </xf>
    <xf numFmtId="171" fontId="0" fillId="0" borderId="0" xfId="0" applyNumberFormat="1" applyAlignment="1">
      <alignment horizontal="right"/>
    </xf>
    <xf numFmtId="0" fontId="3" fillId="0" borderId="0" xfId="0" applyFont="1" applyAlignment="1">
      <alignment vertical="center"/>
    </xf>
    <xf numFmtId="0" fontId="3" fillId="0" borderId="0" xfId="0" applyFont="1" applyAlignment="1">
      <alignment horizontal="left" vertical="center"/>
    </xf>
    <xf numFmtId="167" fontId="24" fillId="3" borderId="0" xfId="2" applyNumberFormat="1" applyFont="1" applyFill="1" applyAlignment="1" applyProtection="1">
      <alignment horizontal="right"/>
      <protection locked="0"/>
    </xf>
    <xf numFmtId="167" fontId="24" fillId="0" borderId="0" xfId="2" applyNumberFormat="1" applyFont="1" applyAlignment="1" applyProtection="1">
      <alignment horizontal="right"/>
      <protection locked="0"/>
    </xf>
    <xf numFmtId="174" fontId="24" fillId="3" borderId="0" xfId="0" applyNumberFormat="1" applyFont="1" applyFill="1" applyAlignment="1" applyProtection="1">
      <alignment horizontal="right"/>
      <protection locked="0"/>
    </xf>
    <xf numFmtId="174" fontId="25" fillId="0" borderId="0" xfId="0" applyNumberFormat="1" applyFont="1" applyAlignment="1" applyProtection="1">
      <alignment horizontal="right"/>
      <protection locked="0"/>
    </xf>
    <xf numFmtId="39" fontId="25" fillId="0" borderId="0" xfId="0" applyNumberFormat="1" applyFont="1" applyAlignment="1" applyProtection="1">
      <alignment horizontal="right"/>
      <protection locked="0"/>
    </xf>
    <xf numFmtId="0" fontId="27" fillId="3" borderId="0" xfId="0" applyFont="1" applyFill="1" applyProtection="1">
      <protection locked="0"/>
    </xf>
    <xf numFmtId="9" fontId="58" fillId="93" borderId="30" xfId="0" applyNumberFormat="1" applyFont="1" applyFill="1" applyBorder="1" applyAlignment="1">
      <alignment horizontal="center"/>
    </xf>
    <xf numFmtId="9" fontId="58" fillId="94" borderId="0" xfId="0" applyNumberFormat="1" applyFont="1" applyFill="1" applyAlignment="1">
      <alignment horizontal="center"/>
    </xf>
    <xf numFmtId="9" fontId="58" fillId="95" borderId="0" xfId="0" applyNumberFormat="1" applyFont="1" applyFill="1" applyAlignment="1">
      <alignment horizontal="center"/>
    </xf>
    <xf numFmtId="9" fontId="58" fillId="17" borderId="30" xfId="0" applyNumberFormat="1" applyFont="1" applyFill="1" applyBorder="1" applyAlignment="1">
      <alignment horizontal="center"/>
    </xf>
    <xf numFmtId="9" fontId="58" fillId="96" borderId="30" xfId="0" applyNumberFormat="1" applyFont="1" applyFill="1" applyBorder="1" applyAlignment="1">
      <alignment horizontal="center"/>
    </xf>
    <xf numFmtId="9" fontId="58" fillId="97" borderId="0" xfId="0" applyNumberFormat="1" applyFont="1" applyFill="1" applyAlignment="1">
      <alignment horizontal="center"/>
    </xf>
    <xf numFmtId="9" fontId="58" fillId="98" borderId="0" xfId="0" applyNumberFormat="1" applyFont="1" applyFill="1" applyAlignment="1">
      <alignment horizontal="center"/>
    </xf>
    <xf numFmtId="9" fontId="58" fillId="99" borderId="0" xfId="0" applyNumberFormat="1" applyFont="1" applyFill="1" applyAlignment="1">
      <alignment horizontal="center"/>
    </xf>
    <xf numFmtId="9" fontId="58" fillId="53" borderId="30" xfId="0" applyNumberFormat="1" applyFont="1" applyFill="1" applyBorder="1" applyAlignment="1">
      <alignment horizontal="center"/>
    </xf>
    <xf numFmtId="9" fontId="58" fillId="100" borderId="0" xfId="0" applyNumberFormat="1" applyFont="1" applyFill="1" applyAlignment="1">
      <alignment horizontal="center"/>
    </xf>
    <xf numFmtId="9" fontId="58" fillId="101" borderId="0" xfId="0" applyNumberFormat="1" applyFont="1" applyFill="1" applyAlignment="1">
      <alignment horizontal="center"/>
    </xf>
    <xf numFmtId="9" fontId="58" fillId="102" borderId="0" xfId="0" applyNumberFormat="1" applyFont="1" applyFill="1" applyAlignment="1">
      <alignment horizontal="center"/>
    </xf>
    <xf numFmtId="9" fontId="58" fillId="19" borderId="30" xfId="0" applyNumberFormat="1" applyFont="1" applyFill="1" applyBorder="1" applyAlignment="1">
      <alignment horizontal="center"/>
    </xf>
    <xf numFmtId="9" fontId="58" fillId="103" borderId="0" xfId="0" applyNumberFormat="1" applyFont="1" applyFill="1" applyAlignment="1">
      <alignment horizontal="center"/>
    </xf>
    <xf numFmtId="9" fontId="58" fillId="104" borderId="0" xfId="0" applyNumberFormat="1" applyFont="1" applyFill="1" applyAlignment="1">
      <alignment horizontal="center"/>
    </xf>
    <xf numFmtId="9" fontId="58" fillId="104" borderId="30" xfId="0" applyNumberFormat="1" applyFont="1" applyFill="1" applyBorder="1" applyAlignment="1">
      <alignment horizontal="center"/>
    </xf>
    <xf numFmtId="9" fontId="58" fillId="105" borderId="0" xfId="0" applyNumberFormat="1" applyFont="1" applyFill="1" applyAlignment="1">
      <alignment horizontal="center"/>
    </xf>
    <xf numFmtId="9" fontId="58" fillId="56" borderId="0" xfId="0" applyNumberFormat="1" applyFont="1" applyFill="1" applyAlignment="1">
      <alignment horizontal="center"/>
    </xf>
    <xf numFmtId="9" fontId="58" fillId="56" borderId="30" xfId="0" applyNumberFormat="1" applyFont="1" applyFill="1" applyBorder="1" applyAlignment="1">
      <alignment horizontal="center"/>
    </xf>
    <xf numFmtId="9" fontId="58" fillId="106" borderId="0" xfId="0" applyNumberFormat="1" applyFont="1" applyFill="1" applyAlignment="1">
      <alignment horizontal="center"/>
    </xf>
    <xf numFmtId="9" fontId="58" fillId="107" borderId="0" xfId="0" applyNumberFormat="1" applyFont="1" applyFill="1" applyAlignment="1">
      <alignment horizontal="center"/>
    </xf>
    <xf numFmtId="9" fontId="58" fillId="107" borderId="30" xfId="0" applyNumberFormat="1" applyFont="1" applyFill="1" applyBorder="1" applyAlignment="1">
      <alignment horizontal="center"/>
    </xf>
    <xf numFmtId="9" fontId="58" fillId="108" borderId="30" xfId="0" applyNumberFormat="1" applyFont="1" applyFill="1" applyBorder="1" applyAlignment="1">
      <alignment horizontal="center"/>
    </xf>
    <xf numFmtId="9" fontId="58" fillId="109" borderId="0" xfId="0" applyNumberFormat="1" applyFont="1" applyFill="1" applyAlignment="1">
      <alignment horizontal="center"/>
    </xf>
    <xf numFmtId="9" fontId="58" fillId="110" borderId="0" xfId="0" applyNumberFormat="1" applyFont="1" applyFill="1" applyAlignment="1">
      <alignment horizontal="center"/>
    </xf>
    <xf numFmtId="9" fontId="58" fillId="111" borderId="30" xfId="0" applyNumberFormat="1" applyFont="1" applyFill="1" applyBorder="1" applyAlignment="1">
      <alignment horizontal="center"/>
    </xf>
    <xf numFmtId="9" fontId="58" fillId="112" borderId="0" xfId="0" applyNumberFormat="1" applyFont="1" applyFill="1" applyAlignment="1">
      <alignment horizontal="center"/>
    </xf>
    <xf numFmtId="9" fontId="58" fillId="113" borderId="0" xfId="0" applyNumberFormat="1" applyFont="1" applyFill="1" applyAlignment="1">
      <alignment horizontal="center"/>
    </xf>
    <xf numFmtId="9" fontId="58" fillId="67" borderId="30" xfId="0" applyNumberFormat="1" applyFont="1" applyFill="1" applyBorder="1" applyAlignment="1">
      <alignment horizontal="center"/>
    </xf>
    <xf numFmtId="9" fontId="58" fillId="114" borderId="0" xfId="0" applyNumberFormat="1" applyFont="1" applyFill="1" applyAlignment="1">
      <alignment horizontal="center"/>
    </xf>
    <xf numFmtId="9" fontId="58" fillId="115" borderId="0" xfId="0" applyNumberFormat="1" applyFont="1" applyFill="1" applyAlignment="1">
      <alignment horizontal="center"/>
    </xf>
    <xf numFmtId="9" fontId="58" fillId="116" borderId="0" xfId="0" applyNumberFormat="1" applyFont="1" applyFill="1" applyAlignment="1">
      <alignment horizontal="center"/>
    </xf>
    <xf numFmtId="9" fontId="58" fillId="117" borderId="0" xfId="0" applyNumberFormat="1" applyFont="1" applyFill="1" applyAlignment="1">
      <alignment horizontal="center"/>
    </xf>
    <xf numFmtId="9" fontId="58" fillId="118" borderId="0" xfId="0" applyNumberFormat="1" applyFont="1" applyFill="1" applyAlignment="1">
      <alignment horizontal="center"/>
    </xf>
    <xf numFmtId="9" fontId="58" fillId="119" borderId="30" xfId="0" applyNumberFormat="1" applyFont="1" applyFill="1" applyBorder="1" applyAlignment="1">
      <alignment horizontal="center"/>
    </xf>
    <xf numFmtId="9" fontId="58" fillId="26" borderId="0" xfId="0" applyNumberFormat="1" applyFont="1" applyFill="1" applyAlignment="1">
      <alignment horizontal="center"/>
    </xf>
    <xf numFmtId="9" fontId="58" fillId="120" borderId="0" xfId="0" applyNumberFormat="1" applyFont="1" applyFill="1" applyAlignment="1">
      <alignment horizontal="center"/>
    </xf>
    <xf numFmtId="9" fontId="58" fillId="121" borderId="0" xfId="0" applyNumberFormat="1" applyFont="1" applyFill="1" applyAlignment="1">
      <alignment horizontal="center"/>
    </xf>
    <xf numFmtId="9" fontId="58" fillId="122" borderId="0" xfId="0" applyNumberFormat="1" applyFont="1" applyFill="1" applyAlignment="1">
      <alignment horizontal="center"/>
    </xf>
    <xf numFmtId="9" fontId="58" fillId="123" borderId="0" xfId="0" applyNumberFormat="1" applyFont="1" applyFill="1" applyAlignment="1">
      <alignment horizontal="center"/>
    </xf>
    <xf numFmtId="9" fontId="58" fillId="124" borderId="0" xfId="0" applyNumberFormat="1" applyFont="1" applyFill="1" applyAlignment="1">
      <alignment horizontal="center"/>
    </xf>
    <xf numFmtId="9" fontId="58" fillId="27" borderId="30" xfId="0" applyNumberFormat="1" applyFont="1" applyFill="1" applyBorder="1" applyAlignment="1">
      <alignment horizontal="center"/>
    </xf>
    <xf numFmtId="9" fontId="58" fillId="72" borderId="0" xfId="0" applyNumberFormat="1" applyFont="1" applyFill="1" applyAlignment="1">
      <alignment horizontal="center"/>
    </xf>
    <xf numFmtId="9" fontId="58" fillId="63" borderId="0" xfId="0" applyNumberFormat="1" applyFont="1" applyFill="1" applyAlignment="1">
      <alignment horizontal="center"/>
    </xf>
    <xf numFmtId="0" fontId="58" fillId="198" borderId="0" xfId="0" applyFont="1" applyFill="1" applyAlignment="1">
      <alignment horizontal="center"/>
    </xf>
    <xf numFmtId="0" fontId="58" fillId="199" borderId="0" xfId="0" applyFont="1" applyFill="1" applyAlignment="1">
      <alignment horizontal="center"/>
    </xf>
    <xf numFmtId="0" fontId="58" fillId="146" borderId="0" xfId="0" applyFont="1" applyFill="1" applyAlignment="1">
      <alignment horizontal="center"/>
    </xf>
    <xf numFmtId="0" fontId="58" fillId="181" borderId="0" xfId="0" applyFont="1" applyFill="1" applyAlignment="1">
      <alignment horizontal="center"/>
    </xf>
    <xf numFmtId="0" fontId="58" fillId="125" borderId="30" xfId="0" applyFont="1" applyFill="1" applyBorder="1" applyAlignment="1">
      <alignment horizontal="center"/>
    </xf>
    <xf numFmtId="0" fontId="58" fillId="126" borderId="0" xfId="0" applyFont="1" applyFill="1" applyAlignment="1">
      <alignment horizontal="center"/>
    </xf>
    <xf numFmtId="0" fontId="58" fillId="127" borderId="0" xfId="0" applyFont="1" applyFill="1" applyAlignment="1">
      <alignment horizontal="center"/>
    </xf>
    <xf numFmtId="0" fontId="58" fillId="128" borderId="0" xfId="0" applyFont="1" applyFill="1" applyAlignment="1">
      <alignment horizontal="center"/>
    </xf>
    <xf numFmtId="0" fontId="58" fillId="129" borderId="30" xfId="0" applyFont="1" applyFill="1" applyBorder="1" applyAlignment="1">
      <alignment horizontal="center"/>
    </xf>
    <xf numFmtId="0" fontId="58" fillId="130" borderId="0" xfId="0" applyFont="1" applyFill="1" applyAlignment="1">
      <alignment horizontal="center"/>
    </xf>
    <xf numFmtId="0" fontId="58" fillId="131" borderId="0" xfId="0" applyFont="1" applyFill="1" applyAlignment="1">
      <alignment horizontal="center"/>
    </xf>
    <xf numFmtId="0" fontId="58" fillId="132" borderId="0" xfId="0" applyFont="1" applyFill="1" applyAlignment="1">
      <alignment horizontal="center"/>
    </xf>
    <xf numFmtId="0" fontId="58" fillId="133" borderId="0" xfId="0" applyFont="1" applyFill="1" applyAlignment="1">
      <alignment horizontal="center"/>
    </xf>
    <xf numFmtId="0" fontId="58" fillId="172" borderId="0" xfId="0" applyFont="1" applyFill="1" applyAlignment="1">
      <alignment horizontal="center"/>
    </xf>
    <xf numFmtId="0" fontId="58" fillId="287" borderId="0" xfId="0" applyFont="1" applyFill="1" applyAlignment="1">
      <alignment horizontal="center"/>
    </xf>
    <xf numFmtId="0" fontId="58" fillId="288" borderId="0" xfId="0" applyFont="1" applyFill="1" applyAlignment="1">
      <alignment horizontal="center"/>
    </xf>
    <xf numFmtId="0" fontId="58" fillId="139" borderId="0" xfId="0" applyFont="1" applyFill="1" applyAlignment="1">
      <alignment horizontal="center"/>
    </xf>
    <xf numFmtId="0" fontId="58" fillId="289" borderId="0" xfId="0" applyFont="1" applyFill="1" applyAlignment="1">
      <alignment horizontal="center"/>
    </xf>
    <xf numFmtId="0" fontId="58" fillId="20" borderId="30" xfId="0" applyFont="1" applyFill="1" applyBorder="1" applyAlignment="1">
      <alignment horizontal="center"/>
    </xf>
    <xf numFmtId="0" fontId="58" fillId="134" borderId="0" xfId="0" applyFont="1" applyFill="1" applyAlignment="1">
      <alignment horizontal="center"/>
    </xf>
    <xf numFmtId="0" fontId="58" fillId="135" borderId="0" xfId="0" applyFont="1" applyFill="1" applyAlignment="1">
      <alignment horizontal="center"/>
    </xf>
    <xf numFmtId="0" fontId="58" fillId="136" borderId="0" xfId="0" applyFont="1" applyFill="1" applyAlignment="1">
      <alignment horizontal="center"/>
    </xf>
    <xf numFmtId="0" fontId="58" fillId="23" borderId="0" xfId="0" applyFont="1" applyFill="1" applyAlignment="1">
      <alignment horizontal="center"/>
    </xf>
    <xf numFmtId="0" fontId="58" fillId="137" borderId="30" xfId="0" applyFont="1" applyFill="1" applyBorder="1" applyAlignment="1">
      <alignment horizontal="center"/>
    </xf>
    <xf numFmtId="0" fontId="58" fillId="138" borderId="0" xfId="0" applyFont="1" applyFill="1" applyAlignment="1">
      <alignment horizontal="center"/>
    </xf>
    <xf numFmtId="0" fontId="58" fillId="140" borderId="0" xfId="0" applyFont="1" applyFill="1" applyAlignment="1">
      <alignment horizontal="center"/>
    </xf>
    <xf numFmtId="0" fontId="58" fillId="41" borderId="0" xfId="0" applyFont="1" applyFill="1" applyAlignment="1">
      <alignment horizontal="center"/>
    </xf>
    <xf numFmtId="0" fontId="58" fillId="141" borderId="30" xfId="0" applyFont="1" applyFill="1" applyBorder="1" applyAlignment="1">
      <alignment horizontal="center"/>
    </xf>
    <xf numFmtId="0" fontId="58" fillId="142" borderId="0" xfId="0" applyFont="1" applyFill="1" applyAlignment="1">
      <alignment horizontal="center"/>
    </xf>
    <xf numFmtId="0" fontId="58" fillId="22" borderId="0" xfId="0" applyFont="1" applyFill="1" applyAlignment="1">
      <alignment horizontal="center"/>
    </xf>
    <xf numFmtId="0" fontId="58" fillId="143" borderId="0" xfId="0" applyFont="1" applyFill="1" applyAlignment="1">
      <alignment horizontal="center"/>
    </xf>
    <xf numFmtId="0" fontId="58" fillId="34" borderId="30" xfId="0" applyFont="1" applyFill="1" applyBorder="1" applyAlignment="1">
      <alignment horizontal="center"/>
    </xf>
    <xf numFmtId="0" fontId="58" fillId="144" borderId="0" xfId="0" applyFont="1" applyFill="1" applyAlignment="1">
      <alignment horizontal="center"/>
    </xf>
    <xf numFmtId="0" fontId="58" fillId="145" borderId="0" xfId="0" applyFont="1" applyFill="1" applyAlignment="1">
      <alignment horizontal="center"/>
    </xf>
    <xf numFmtId="0" fontId="58" fillId="170" borderId="0" xfId="0" applyFont="1" applyFill="1" applyAlignment="1">
      <alignment horizontal="center"/>
    </xf>
    <xf numFmtId="0" fontId="58" fillId="121" borderId="0" xfId="0" applyFont="1" applyFill="1" applyAlignment="1">
      <alignment horizontal="center"/>
    </xf>
    <xf numFmtId="0" fontId="58" fillId="290" borderId="0" xfId="0" applyFont="1" applyFill="1" applyAlignment="1">
      <alignment horizontal="center"/>
    </xf>
    <xf numFmtId="0" fontId="58" fillId="291" borderId="0" xfId="0" applyFont="1" applyFill="1" applyAlignment="1">
      <alignment horizontal="center"/>
    </xf>
    <xf numFmtId="0" fontId="58" fillId="292" borderId="0" xfId="0" applyFont="1" applyFill="1" applyAlignment="1">
      <alignment horizontal="center"/>
    </xf>
    <xf numFmtId="0" fontId="58" fillId="25" borderId="30" xfId="0" applyFont="1" applyFill="1" applyBorder="1" applyAlignment="1">
      <alignment horizontal="center"/>
    </xf>
    <xf numFmtId="0" fontId="58" fillId="28" borderId="0" xfId="0" applyFont="1" applyFill="1" applyAlignment="1">
      <alignment horizontal="center"/>
    </xf>
    <xf numFmtId="0" fontId="58" fillId="147" borderId="0" xfId="0" applyFont="1" applyFill="1" applyAlignment="1">
      <alignment horizontal="center"/>
    </xf>
    <xf numFmtId="0" fontId="58" fillId="63" borderId="0" xfId="0" applyFont="1" applyFill="1" applyAlignment="1">
      <alignment horizontal="center"/>
    </xf>
    <xf numFmtId="0" fontId="58" fillId="103" borderId="0" xfId="0" applyFont="1" applyFill="1" applyAlignment="1">
      <alignment horizontal="center"/>
    </xf>
    <xf numFmtId="0" fontId="58" fillId="17" borderId="30" xfId="0" applyFont="1" applyFill="1" applyBorder="1" applyAlignment="1">
      <alignment horizontal="center"/>
    </xf>
    <xf numFmtId="0" fontId="58" fillId="148" borderId="0" xfId="0" applyFont="1" applyFill="1" applyAlignment="1">
      <alignment horizontal="center"/>
    </xf>
    <xf numFmtId="0" fontId="58" fillId="149" borderId="0" xfId="0" applyFont="1" applyFill="1" applyAlignment="1">
      <alignment horizontal="center"/>
    </xf>
    <xf numFmtId="0" fontId="58" fillId="150" borderId="0" xfId="0" applyFont="1" applyFill="1" applyAlignment="1">
      <alignment horizontal="center"/>
    </xf>
    <xf numFmtId="0" fontId="58" fillId="293" borderId="0" xfId="0" applyFont="1" applyFill="1" applyAlignment="1">
      <alignment horizontal="center"/>
    </xf>
    <xf numFmtId="0" fontId="58" fillId="160" borderId="0" xfId="0" applyFont="1" applyFill="1" applyAlignment="1">
      <alignment horizontal="center"/>
    </xf>
    <xf numFmtId="0" fontId="58" fillId="54" borderId="0" xfId="0" applyFont="1" applyFill="1" applyAlignment="1">
      <alignment horizontal="center"/>
    </xf>
    <xf numFmtId="0" fontId="58" fillId="294" borderId="0" xfId="0" applyFont="1" applyFill="1" applyAlignment="1">
      <alignment horizontal="center"/>
    </xf>
    <xf numFmtId="0" fontId="58" fillId="19" borderId="30" xfId="0" applyFont="1" applyFill="1" applyBorder="1" applyAlignment="1">
      <alignment horizontal="center"/>
    </xf>
    <xf numFmtId="0" fontId="58" fillId="151" borderId="0" xfId="0" applyFont="1" applyFill="1" applyAlignment="1">
      <alignment horizontal="center"/>
    </xf>
    <xf numFmtId="0" fontId="58" fillId="152" borderId="0" xfId="0" applyFont="1" applyFill="1" applyAlignment="1">
      <alignment horizontal="center"/>
    </xf>
    <xf numFmtId="0" fontId="58" fillId="153" borderId="0" xfId="0" applyFont="1" applyFill="1" applyAlignment="1">
      <alignment horizontal="center"/>
    </xf>
    <xf numFmtId="0" fontId="58" fillId="154" borderId="0" xfId="0" applyFont="1" applyFill="1" applyAlignment="1">
      <alignment horizontal="center"/>
    </xf>
    <xf numFmtId="0" fontId="58" fillId="155" borderId="30" xfId="0" applyFont="1" applyFill="1" applyBorder="1" applyAlignment="1">
      <alignment horizontal="center"/>
    </xf>
    <xf numFmtId="0" fontId="58" fillId="156" borderId="0" xfId="0" applyFont="1" applyFill="1" applyAlignment="1">
      <alignment horizontal="center"/>
    </xf>
    <xf numFmtId="0" fontId="58" fillId="157" borderId="0" xfId="0" applyFont="1" applyFill="1" applyAlignment="1">
      <alignment horizontal="center"/>
    </xf>
    <xf numFmtId="0" fontId="58" fillId="158" borderId="0" xfId="0" applyFont="1" applyFill="1" applyAlignment="1">
      <alignment horizontal="center"/>
    </xf>
    <xf numFmtId="0" fontId="58" fillId="159" borderId="0" xfId="0" applyFont="1" applyFill="1" applyAlignment="1">
      <alignment horizontal="center"/>
    </xf>
    <xf numFmtId="0" fontId="58" fillId="160" borderId="30" xfId="0" applyFont="1" applyFill="1" applyBorder="1" applyAlignment="1">
      <alignment horizontal="center"/>
    </xf>
    <xf numFmtId="0" fontId="58" fillId="161" borderId="0" xfId="0" applyFont="1" applyFill="1" applyAlignment="1">
      <alignment horizontal="center"/>
    </xf>
    <xf numFmtId="0" fontId="58" fillId="176" borderId="0" xfId="0" applyFont="1" applyFill="1" applyAlignment="1">
      <alignment horizontal="center"/>
    </xf>
    <xf numFmtId="0" fontId="58" fillId="97" borderId="0" xfId="0" applyFont="1" applyFill="1" applyAlignment="1">
      <alignment horizontal="center"/>
    </xf>
    <xf numFmtId="0" fontId="58" fillId="162" borderId="0" xfId="0" applyFont="1" applyFill="1" applyAlignment="1">
      <alignment horizontal="center"/>
    </xf>
    <xf numFmtId="0" fontId="58" fillId="163" borderId="0" xfId="0" applyFont="1" applyFill="1" applyAlignment="1">
      <alignment horizontal="center"/>
    </xf>
    <xf numFmtId="0" fontId="58" fillId="61" borderId="0" xfId="0" applyFont="1" applyFill="1" applyAlignment="1">
      <alignment horizontal="center"/>
    </xf>
    <xf numFmtId="0" fontId="58" fillId="164" borderId="30" xfId="0" applyFont="1" applyFill="1" applyBorder="1" applyAlignment="1">
      <alignment horizontal="center"/>
    </xf>
    <xf numFmtId="0" fontId="58" fillId="165" borderId="0" xfId="0" applyFont="1" applyFill="1" applyAlignment="1">
      <alignment horizontal="center"/>
    </xf>
    <xf numFmtId="0" fontId="58" fillId="166" borderId="30" xfId="0" applyFont="1" applyFill="1" applyBorder="1" applyAlignment="1">
      <alignment horizontal="center"/>
    </xf>
    <xf numFmtId="0" fontId="58" fillId="117" borderId="0" xfId="0" applyFont="1" applyFill="1" applyAlignment="1">
      <alignment horizontal="center"/>
    </xf>
    <xf numFmtId="0" fontId="58" fillId="95" borderId="0" xfId="0" applyFont="1" applyFill="1" applyAlignment="1">
      <alignment horizontal="center"/>
    </xf>
    <xf numFmtId="0" fontId="58" fillId="58" borderId="0" xfId="0" applyFont="1" applyFill="1" applyAlignment="1">
      <alignment horizontal="center"/>
    </xf>
    <xf numFmtId="0" fontId="58" fillId="36" borderId="0" xfId="0" applyFont="1" applyFill="1" applyAlignment="1">
      <alignment horizontal="center"/>
    </xf>
    <xf numFmtId="0" fontId="58" fillId="167" borderId="30" xfId="0" applyFont="1" applyFill="1" applyBorder="1" applyAlignment="1">
      <alignment horizontal="center"/>
    </xf>
    <xf numFmtId="0" fontId="58" fillId="64" borderId="0" xfId="0" applyFont="1" applyFill="1" applyAlignment="1">
      <alignment horizontal="center"/>
    </xf>
    <xf numFmtId="0" fontId="58" fillId="168" borderId="0" xfId="0" applyFont="1" applyFill="1" applyAlignment="1">
      <alignment horizontal="center"/>
    </xf>
    <xf numFmtId="0" fontId="58" fillId="106" borderId="0" xfId="0" applyFont="1" applyFill="1" applyAlignment="1">
      <alignment horizontal="center"/>
    </xf>
    <xf numFmtId="0" fontId="58" fillId="121" borderId="30" xfId="0" applyFont="1" applyFill="1" applyBorder="1" applyAlignment="1">
      <alignment horizontal="center"/>
    </xf>
    <xf numFmtId="0" fontId="58" fillId="169" borderId="0" xfId="0" applyFont="1" applyFill="1" applyAlignment="1">
      <alignment horizontal="center"/>
    </xf>
    <xf numFmtId="9" fontId="58" fillId="61" borderId="0" xfId="0" applyNumberFormat="1" applyFont="1" applyFill="1" applyAlignment="1">
      <alignment horizontal="center"/>
    </xf>
    <xf numFmtId="9" fontId="58" fillId="170" borderId="0" xfId="0" applyNumberFormat="1" applyFont="1" applyFill="1" applyAlignment="1">
      <alignment horizontal="center"/>
    </xf>
    <xf numFmtId="9" fontId="58" fillId="67" borderId="0" xfId="0" applyNumberFormat="1" applyFont="1" applyFill="1" applyAlignment="1">
      <alignment horizontal="center"/>
    </xf>
    <xf numFmtId="9" fontId="58" fillId="171" borderId="0" xfId="0" applyNumberFormat="1" applyFont="1" applyFill="1" applyAlignment="1">
      <alignment horizontal="center"/>
    </xf>
    <xf numFmtId="9" fontId="58" fillId="159" borderId="0" xfId="0" applyNumberFormat="1" applyFont="1" applyFill="1" applyAlignment="1">
      <alignment horizontal="center"/>
    </xf>
    <xf numFmtId="9" fontId="58" fillId="178" borderId="0" xfId="0" applyNumberFormat="1" applyFont="1" applyFill="1" applyAlignment="1">
      <alignment horizontal="center"/>
    </xf>
    <xf numFmtId="9" fontId="58" fillId="156" borderId="0" xfId="0" applyNumberFormat="1" applyFont="1" applyFill="1" applyAlignment="1">
      <alignment horizontal="center"/>
    </xf>
    <xf numFmtId="0" fontId="58" fillId="223" borderId="0" xfId="0" applyFont="1" applyFill="1" applyAlignment="1">
      <alignment horizontal="center"/>
    </xf>
    <xf numFmtId="0" fontId="58" fillId="224" borderId="0" xfId="0" applyFont="1" applyFill="1" applyAlignment="1">
      <alignment horizontal="center"/>
    </xf>
    <xf numFmtId="0" fontId="58" fillId="31" borderId="0" xfId="0" applyFont="1" applyFill="1" applyAlignment="1">
      <alignment horizontal="center"/>
    </xf>
    <xf numFmtId="9" fontId="58" fillId="225" borderId="0" xfId="0" applyNumberFormat="1" applyFont="1" applyFill="1" applyAlignment="1">
      <alignment horizontal="center"/>
    </xf>
    <xf numFmtId="9" fontId="58" fillId="295" borderId="0" xfId="0" applyNumberFormat="1" applyFont="1" applyFill="1" applyAlignment="1">
      <alignment horizontal="center"/>
    </xf>
    <xf numFmtId="9" fontId="58" fillId="296" borderId="0" xfId="0" applyNumberFormat="1" applyFont="1" applyFill="1" applyAlignment="1">
      <alignment horizontal="center"/>
    </xf>
    <xf numFmtId="9" fontId="58" fillId="297" borderId="0" xfId="0" applyNumberFormat="1" applyFont="1" applyFill="1" applyAlignment="1">
      <alignment horizontal="center"/>
    </xf>
    <xf numFmtId="9" fontId="58" fillId="173" borderId="0" xfId="0" applyNumberFormat="1" applyFont="1" applyFill="1" applyAlignment="1">
      <alignment horizontal="center"/>
    </xf>
    <xf numFmtId="9" fontId="58" fillId="152" borderId="0" xfId="0" applyNumberFormat="1" applyFont="1" applyFill="1" applyAlignment="1">
      <alignment horizontal="center"/>
    </xf>
    <xf numFmtId="9" fontId="58" fillId="150" borderId="0" xfId="0" applyNumberFormat="1" applyFont="1" applyFill="1" applyAlignment="1">
      <alignment horizontal="center"/>
    </xf>
    <xf numFmtId="9" fontId="58" fillId="174" borderId="30" xfId="0" applyNumberFormat="1" applyFont="1" applyFill="1" applyBorder="1" applyAlignment="1">
      <alignment horizontal="center"/>
    </xf>
    <xf numFmtId="9" fontId="58" fillId="35" borderId="0" xfId="0" applyNumberFormat="1" applyFont="1" applyFill="1" applyAlignment="1">
      <alignment horizontal="center"/>
    </xf>
    <xf numFmtId="9" fontId="58" fillId="175" borderId="0" xfId="0" applyNumberFormat="1" applyFont="1" applyFill="1" applyAlignment="1">
      <alignment horizontal="center"/>
    </xf>
    <xf numFmtId="9" fontId="58" fillId="179" borderId="0" xfId="0" applyNumberFormat="1" applyFont="1" applyFill="1" applyAlignment="1">
      <alignment horizontal="center"/>
    </xf>
    <xf numFmtId="9" fontId="58" fillId="177" borderId="0" xfId="0" applyNumberFormat="1" applyFont="1" applyFill="1" applyAlignment="1">
      <alignment horizontal="center"/>
    </xf>
    <xf numFmtId="0" fontId="58" fillId="0" borderId="30" xfId="0" applyFont="1" applyBorder="1" applyAlignment="1">
      <alignment horizontal="center"/>
    </xf>
    <xf numFmtId="0" fontId="58" fillId="180" borderId="0" xfId="0" applyFont="1" applyFill="1" applyAlignment="1">
      <alignment horizontal="center"/>
    </xf>
    <xf numFmtId="0" fontId="58" fillId="181" borderId="30" xfId="0" applyFont="1" applyFill="1" applyBorder="1" applyAlignment="1">
      <alignment horizontal="center"/>
    </xf>
    <xf numFmtId="0" fontId="58" fillId="182" borderId="0" xfId="0" applyFont="1" applyFill="1" applyAlignment="1">
      <alignment horizontal="center"/>
    </xf>
    <xf numFmtId="0" fontId="58" fillId="19" borderId="0" xfId="0" quotePrefix="1" applyFont="1" applyFill="1" applyAlignment="1">
      <alignment horizontal="center"/>
    </xf>
    <xf numFmtId="0" fontId="58" fillId="19" borderId="30" xfId="0" quotePrefix="1" applyFont="1" applyFill="1" applyBorder="1" applyAlignment="1">
      <alignment horizontal="center"/>
    </xf>
    <xf numFmtId="0" fontId="58" fillId="183" borderId="0" xfId="0" applyFont="1" applyFill="1" applyAlignment="1">
      <alignment horizontal="center"/>
    </xf>
    <xf numFmtId="0" fontId="58" fillId="139" borderId="30" xfId="0" applyFont="1" applyFill="1" applyBorder="1" applyAlignment="1">
      <alignment horizontal="center"/>
    </xf>
    <xf numFmtId="0" fontId="58" fillId="184" borderId="0" xfId="0" applyFont="1" applyFill="1" applyAlignment="1">
      <alignment horizontal="center"/>
    </xf>
    <xf numFmtId="9" fontId="58" fillId="174" borderId="0" xfId="0" applyNumberFormat="1" applyFont="1" applyFill="1" applyAlignment="1">
      <alignment horizontal="center"/>
    </xf>
    <xf numFmtId="9" fontId="58" fillId="186" borderId="0" xfId="0" applyNumberFormat="1" applyFont="1" applyFill="1" applyAlignment="1">
      <alignment horizontal="center"/>
    </xf>
    <xf numFmtId="9" fontId="58" fillId="187" borderId="0" xfId="0" applyNumberFormat="1" applyFont="1" applyFill="1" applyAlignment="1">
      <alignment horizontal="center"/>
    </xf>
    <xf numFmtId="9" fontId="58" fillId="93" borderId="0" xfId="0" applyNumberFormat="1" applyFont="1" applyFill="1" applyAlignment="1">
      <alignment horizontal="center"/>
    </xf>
    <xf numFmtId="9" fontId="58" fillId="168" borderId="0" xfId="0" applyNumberFormat="1" applyFont="1" applyFill="1" applyAlignment="1">
      <alignment horizontal="center"/>
    </xf>
    <xf numFmtId="9" fontId="58" fillId="188" borderId="0" xfId="0" applyNumberFormat="1" applyFont="1" applyFill="1" applyAlignment="1">
      <alignment horizontal="center"/>
    </xf>
    <xf numFmtId="9" fontId="58" fillId="189" borderId="0" xfId="0" applyNumberFormat="1" applyFont="1" applyFill="1" applyAlignment="1">
      <alignment horizontal="center"/>
    </xf>
    <xf numFmtId="9" fontId="58" fillId="190" borderId="0" xfId="0" applyNumberFormat="1" applyFont="1" applyFill="1" applyAlignment="1">
      <alignment horizontal="center"/>
    </xf>
    <xf numFmtId="9" fontId="58" fillId="191" borderId="0" xfId="0" applyNumberFormat="1" applyFont="1" applyFill="1" applyAlignment="1">
      <alignment horizontal="center"/>
    </xf>
    <xf numFmtId="9" fontId="58" fillId="149" borderId="0" xfId="0" applyNumberFormat="1" applyFont="1" applyFill="1" applyAlignment="1">
      <alignment horizontal="center"/>
    </xf>
    <xf numFmtId="0" fontId="58" fillId="192" borderId="30" xfId="0" applyFont="1" applyFill="1" applyBorder="1" applyAlignment="1">
      <alignment horizontal="center"/>
    </xf>
    <xf numFmtId="0" fontId="58" fillId="193" borderId="0" xfId="0" applyFont="1" applyFill="1" applyAlignment="1">
      <alignment horizontal="center"/>
    </xf>
    <xf numFmtId="0" fontId="58" fillId="194" borderId="0" xfId="0" applyFont="1" applyFill="1" applyAlignment="1">
      <alignment horizontal="center"/>
    </xf>
    <xf numFmtId="0" fontId="58" fillId="195" borderId="0" xfId="0" applyFont="1" applyFill="1" applyAlignment="1">
      <alignment horizontal="center"/>
    </xf>
    <xf numFmtId="0" fontId="58" fillId="196" borderId="0" xfId="0" applyFont="1" applyFill="1" applyAlignment="1">
      <alignment horizontal="center"/>
    </xf>
    <xf numFmtId="0" fontId="58" fillId="197" borderId="0" xfId="0" applyFont="1" applyFill="1" applyAlignment="1">
      <alignment horizontal="center"/>
    </xf>
    <xf numFmtId="0" fontId="58" fillId="185" borderId="30" xfId="0" applyFont="1" applyFill="1" applyBorder="1" applyAlignment="1">
      <alignment horizontal="center"/>
    </xf>
    <xf numFmtId="0" fontId="58" fillId="51" borderId="30" xfId="0" applyFont="1" applyFill="1" applyBorder="1" applyAlignment="1">
      <alignment horizontal="center"/>
    </xf>
    <xf numFmtId="0" fontId="58" fillId="200" borderId="0" xfId="0" applyFont="1" applyFill="1" applyAlignment="1">
      <alignment horizontal="center"/>
    </xf>
    <xf numFmtId="0" fontId="58" fillId="201" borderId="0" xfId="0" applyFont="1" applyFill="1" applyAlignment="1">
      <alignment horizontal="center"/>
    </xf>
    <xf numFmtId="0" fontId="58" fillId="202" borderId="0" xfId="0" applyFont="1" applyFill="1" applyAlignment="1">
      <alignment horizontal="center"/>
    </xf>
    <xf numFmtId="0" fontId="58" fillId="203" borderId="30" xfId="0" applyFont="1" applyFill="1" applyBorder="1" applyAlignment="1">
      <alignment horizontal="center"/>
    </xf>
    <xf numFmtId="0" fontId="58" fillId="204" borderId="0" xfId="0" applyFont="1" applyFill="1" applyAlignment="1">
      <alignment horizontal="center"/>
    </xf>
    <xf numFmtId="0" fontId="58" fillId="205" borderId="0" xfId="0" applyFont="1" applyFill="1" applyAlignment="1">
      <alignment horizontal="center"/>
    </xf>
    <xf numFmtId="0" fontId="58" fillId="206" borderId="30" xfId="0" applyFont="1" applyFill="1" applyBorder="1" applyAlignment="1">
      <alignment horizontal="center"/>
    </xf>
    <xf numFmtId="0" fontId="58" fillId="207" borderId="0" xfId="0" applyFont="1" applyFill="1" applyAlignment="1">
      <alignment horizontal="center"/>
    </xf>
    <xf numFmtId="9" fontId="58" fillId="62" borderId="0" xfId="0" applyNumberFormat="1" applyFont="1" applyFill="1" applyAlignment="1">
      <alignment horizontal="center"/>
    </xf>
    <xf numFmtId="9" fontId="58" fillId="73" borderId="0" xfId="0" applyNumberFormat="1" applyFont="1" applyFill="1" applyAlignment="1">
      <alignment horizontal="center"/>
    </xf>
    <xf numFmtId="9" fontId="58" fillId="298" borderId="0" xfId="0" applyNumberFormat="1" applyFont="1" applyFill="1" applyAlignment="1">
      <alignment horizontal="center"/>
    </xf>
    <xf numFmtId="9" fontId="58" fillId="299" borderId="0" xfId="0" applyNumberFormat="1" applyFont="1" applyFill="1" applyAlignment="1">
      <alignment horizontal="center"/>
    </xf>
    <xf numFmtId="9" fontId="58" fillId="208" borderId="30" xfId="0" applyNumberFormat="1" applyFont="1" applyFill="1" applyBorder="1" applyAlignment="1">
      <alignment horizontal="center"/>
    </xf>
    <xf numFmtId="9" fontId="58" fillId="202" borderId="0" xfId="0" applyNumberFormat="1" applyFont="1" applyFill="1" applyAlignment="1">
      <alignment horizontal="center"/>
    </xf>
    <xf numFmtId="9" fontId="58" fillId="209" borderId="0" xfId="0" applyNumberFormat="1" applyFont="1" applyFill="1" applyAlignment="1">
      <alignment horizontal="center"/>
    </xf>
    <xf numFmtId="9" fontId="58" fillId="210" borderId="30" xfId="0" applyNumberFormat="1" applyFont="1" applyFill="1" applyBorder="1" applyAlignment="1">
      <alignment horizontal="center"/>
    </xf>
    <xf numFmtId="9" fontId="58" fillId="162" borderId="0" xfId="0" applyNumberFormat="1" applyFont="1" applyFill="1" applyAlignment="1">
      <alignment horizontal="center"/>
    </xf>
    <xf numFmtId="9" fontId="58" fillId="163" borderId="0" xfId="0" applyNumberFormat="1" applyFont="1" applyFill="1" applyAlignment="1">
      <alignment horizontal="center"/>
    </xf>
    <xf numFmtId="9" fontId="58" fillId="76" borderId="0" xfId="0" applyNumberFormat="1" applyFont="1" applyFill="1" applyAlignment="1">
      <alignment horizontal="center"/>
    </xf>
    <xf numFmtId="9" fontId="58" fillId="301" borderId="0" xfId="0" applyNumberFormat="1" applyFont="1" applyFill="1" applyAlignment="1">
      <alignment horizontal="center"/>
    </xf>
    <xf numFmtId="9" fontId="58" fillId="290" borderId="0" xfId="0" applyNumberFormat="1" applyFont="1" applyFill="1" applyAlignment="1">
      <alignment horizontal="center"/>
    </xf>
    <xf numFmtId="9" fontId="58" fillId="308" borderId="0" xfId="0" applyNumberFormat="1" applyFont="1" applyFill="1" applyAlignment="1">
      <alignment horizontal="center"/>
    </xf>
    <xf numFmtId="9" fontId="58" fillId="309" borderId="0" xfId="0" applyNumberFormat="1" applyFont="1" applyFill="1" applyAlignment="1">
      <alignment horizontal="center"/>
    </xf>
    <xf numFmtId="9" fontId="58" fillId="164" borderId="0" xfId="0" applyNumberFormat="1" applyFont="1" applyFill="1" applyAlignment="1">
      <alignment horizontal="center"/>
    </xf>
    <xf numFmtId="9" fontId="58" fillId="158" borderId="0" xfId="0" applyNumberFormat="1" applyFont="1" applyFill="1" applyAlignment="1">
      <alignment horizontal="center"/>
    </xf>
    <xf numFmtId="9" fontId="58" fillId="55" borderId="0" xfId="0" applyNumberFormat="1" applyFont="1" applyFill="1" applyAlignment="1">
      <alignment horizontal="center"/>
    </xf>
    <xf numFmtId="9" fontId="58" fillId="167" borderId="0" xfId="0" applyNumberFormat="1" applyFont="1" applyFill="1" applyAlignment="1">
      <alignment horizontal="center"/>
    </xf>
    <xf numFmtId="9" fontId="58" fillId="211" borderId="0" xfId="0" applyNumberFormat="1" applyFont="1" applyFill="1" applyAlignment="1">
      <alignment horizontal="center"/>
    </xf>
    <xf numFmtId="9" fontId="58" fillId="212" borderId="0" xfId="0" applyNumberFormat="1" applyFont="1" applyFill="1" applyAlignment="1">
      <alignment horizontal="center"/>
    </xf>
    <xf numFmtId="9" fontId="58" fillId="213" borderId="0" xfId="0" applyNumberFormat="1" applyFont="1" applyFill="1" applyAlignment="1">
      <alignment horizontal="center"/>
    </xf>
    <xf numFmtId="9" fontId="58" fillId="214" borderId="30" xfId="0" applyNumberFormat="1" applyFont="1" applyFill="1" applyBorder="1" applyAlignment="1">
      <alignment horizontal="center"/>
    </xf>
    <xf numFmtId="9" fontId="58" fillId="215" borderId="0" xfId="0" applyNumberFormat="1" applyFont="1" applyFill="1" applyAlignment="1">
      <alignment horizontal="center"/>
    </xf>
    <xf numFmtId="9" fontId="58" fillId="300" borderId="0" xfId="0" applyNumberFormat="1" applyFont="1" applyFill="1" applyAlignment="1">
      <alignment horizontal="center"/>
    </xf>
    <xf numFmtId="9" fontId="58" fillId="302" borderId="0" xfId="0" applyNumberFormat="1" applyFont="1" applyFill="1" applyAlignment="1">
      <alignment horizontal="center"/>
    </xf>
    <xf numFmtId="9" fontId="58" fillId="216" borderId="0" xfId="0" applyNumberFormat="1" applyFont="1" applyFill="1" applyAlignment="1">
      <alignment horizontal="center"/>
    </xf>
    <xf numFmtId="9" fontId="58" fillId="217" borderId="30" xfId="0" applyNumberFormat="1" applyFont="1" applyFill="1" applyBorder="1" applyAlignment="1">
      <alignment horizontal="center"/>
    </xf>
    <xf numFmtId="9" fontId="58" fillId="53" borderId="0" xfId="0" applyNumberFormat="1" applyFont="1" applyFill="1" applyAlignment="1">
      <alignment horizontal="center"/>
    </xf>
    <xf numFmtId="9" fontId="58" fillId="218" borderId="0" xfId="0" applyNumberFormat="1" applyFont="1" applyFill="1" applyAlignment="1">
      <alignment horizontal="center"/>
    </xf>
    <xf numFmtId="9" fontId="58" fillId="219" borderId="30" xfId="0" applyNumberFormat="1" applyFont="1" applyFill="1" applyBorder="1" applyAlignment="1">
      <alignment horizontal="center"/>
    </xf>
    <xf numFmtId="9" fontId="58" fillId="147" borderId="0" xfId="0" applyNumberFormat="1" applyFont="1" applyFill="1" applyAlignment="1">
      <alignment horizontal="center"/>
    </xf>
    <xf numFmtId="0" fontId="58" fillId="303" borderId="0" xfId="0" applyFont="1" applyFill="1" applyAlignment="1">
      <alignment horizontal="center"/>
    </xf>
    <xf numFmtId="0" fontId="58" fillId="304" borderId="0" xfId="0" applyFont="1" applyFill="1" applyAlignment="1">
      <alignment horizontal="center"/>
    </xf>
    <xf numFmtId="0" fontId="58" fillId="220" borderId="0" xfId="0" applyFont="1" applyFill="1" applyAlignment="1">
      <alignment horizontal="center"/>
    </xf>
    <xf numFmtId="0" fontId="58" fillId="221" borderId="0" xfId="0" applyFont="1" applyFill="1" applyAlignment="1">
      <alignment horizontal="center"/>
    </xf>
    <xf numFmtId="0" fontId="58" fillId="222" borderId="30" xfId="0" applyFont="1" applyFill="1" applyBorder="1" applyAlignment="1">
      <alignment horizontal="center"/>
    </xf>
    <xf numFmtId="0" fontId="58" fillId="129" borderId="0" xfId="0" applyFont="1" applyFill="1" applyAlignment="1">
      <alignment horizontal="center"/>
    </xf>
    <xf numFmtId="0" fontId="58" fillId="30" borderId="30" xfId="0" applyFont="1" applyFill="1" applyBorder="1" applyAlignment="1">
      <alignment horizontal="center"/>
    </xf>
    <xf numFmtId="0" fontId="58" fillId="305" borderId="0" xfId="0" applyFont="1" applyFill="1" applyAlignment="1">
      <alignment horizontal="center"/>
    </xf>
    <xf numFmtId="0" fontId="58" fillId="306" borderId="0" xfId="0" applyFont="1" applyFill="1" applyAlignment="1">
      <alignment horizontal="center"/>
    </xf>
    <xf numFmtId="9" fontId="58" fillId="167" borderId="30" xfId="0" applyNumberFormat="1" applyFont="1" applyFill="1" applyBorder="1" applyAlignment="1">
      <alignment horizontal="center"/>
    </xf>
    <xf numFmtId="9" fontId="58" fillId="230" borderId="0" xfId="0" applyNumberFormat="1" applyFont="1" applyFill="1" applyAlignment="1">
      <alignment horizontal="center"/>
    </xf>
    <xf numFmtId="9" fontId="58" fillId="28" borderId="30" xfId="0" applyNumberFormat="1" applyFont="1" applyFill="1" applyBorder="1" applyAlignment="1">
      <alignment horizontal="center"/>
    </xf>
    <xf numFmtId="9" fontId="58" fillId="226" borderId="0" xfId="0" applyNumberFormat="1" applyFont="1" applyFill="1" applyAlignment="1">
      <alignment horizontal="center"/>
    </xf>
    <xf numFmtId="9" fontId="58" fillId="156" borderId="30" xfId="0" applyNumberFormat="1" applyFont="1" applyFill="1" applyBorder="1" applyAlignment="1">
      <alignment horizontal="center"/>
    </xf>
    <xf numFmtId="9" fontId="58" fillId="227" borderId="0" xfId="0" applyNumberFormat="1" applyFont="1" applyFill="1" applyAlignment="1">
      <alignment horizontal="center"/>
    </xf>
    <xf numFmtId="0" fontId="58" fillId="177" borderId="0" xfId="0" applyFont="1" applyFill="1" applyAlignment="1">
      <alignment horizontal="center"/>
    </xf>
    <xf numFmtId="0" fontId="58" fillId="175" borderId="0" xfId="0" applyFont="1" applyFill="1" applyAlignment="1">
      <alignment horizontal="center"/>
    </xf>
    <xf numFmtId="0" fontId="58" fillId="53" borderId="0" xfId="0" applyFont="1" applyFill="1" applyAlignment="1">
      <alignment horizontal="center"/>
    </xf>
    <xf numFmtId="0" fontId="58" fillId="307" borderId="0" xfId="0" applyFont="1" applyFill="1" applyAlignment="1">
      <alignment horizontal="center"/>
    </xf>
    <xf numFmtId="0" fontId="58" fillId="66" borderId="0" xfId="0" applyFont="1" applyFill="1" applyAlignment="1">
      <alignment horizontal="center"/>
    </xf>
    <xf numFmtId="0" fontId="58" fillId="228" borderId="0" xfId="0" applyFont="1" applyFill="1" applyAlignment="1">
      <alignment horizontal="center"/>
    </xf>
    <xf numFmtId="0" fontId="58" fillId="35" borderId="0" xfId="0" applyFont="1" applyFill="1" applyAlignment="1">
      <alignment horizontal="center"/>
    </xf>
    <xf numFmtId="0" fontId="58" fillId="229" borderId="30" xfId="0" applyFont="1" applyFill="1" applyBorder="1" applyAlignment="1">
      <alignment horizontal="center"/>
    </xf>
    <xf numFmtId="0" fontId="58" fillId="26" borderId="0" xfId="0" applyFont="1" applyFill="1" applyAlignment="1">
      <alignment horizontal="center"/>
    </xf>
    <xf numFmtId="0" fontId="58" fillId="72" borderId="0" xfId="0" applyFont="1" applyFill="1" applyAlignment="1">
      <alignment horizontal="center"/>
    </xf>
    <xf numFmtId="0" fontId="58" fillId="174" borderId="0" xfId="0" applyFont="1" applyFill="1" applyAlignment="1">
      <alignment horizontal="center"/>
    </xf>
    <xf numFmtId="0" fontId="58" fillId="0" borderId="0" xfId="0" applyFont="1" applyAlignment="1">
      <alignment wrapText="1"/>
    </xf>
    <xf numFmtId="0" fontId="58" fillId="231" borderId="0" xfId="0" applyFont="1" applyFill="1" applyAlignment="1">
      <alignment horizontal="center"/>
    </xf>
    <xf numFmtId="0" fontId="58" fillId="232" borderId="0" xfId="0" applyFont="1" applyFill="1" applyAlignment="1">
      <alignment horizontal="center"/>
    </xf>
    <xf numFmtId="0" fontId="58" fillId="233" borderId="27" xfId="0" applyFont="1" applyFill="1" applyBorder="1" applyAlignment="1">
      <alignment horizontal="center"/>
    </xf>
    <xf numFmtId="0" fontId="58" fillId="17" borderId="0" xfId="0" quotePrefix="1" applyFont="1" applyFill="1" applyAlignment="1">
      <alignment horizontal="center"/>
    </xf>
    <xf numFmtId="0" fontId="58" fillId="234" borderId="0" xfId="0" applyFont="1" applyFill="1" applyAlignment="1">
      <alignment horizontal="center"/>
    </xf>
    <xf numFmtId="0" fontId="58" fillId="235" borderId="0" xfId="0" applyFont="1" applyFill="1" applyAlignment="1">
      <alignment horizontal="center"/>
    </xf>
    <xf numFmtId="0" fontId="58" fillId="236" borderId="0" xfId="0" applyFont="1" applyFill="1" applyAlignment="1">
      <alignment horizontal="center"/>
    </xf>
    <xf numFmtId="0" fontId="58" fillId="237" borderId="27" xfId="0" applyFont="1" applyFill="1" applyBorder="1" applyAlignment="1">
      <alignment horizontal="center"/>
    </xf>
    <xf numFmtId="9" fontId="58" fillId="39" borderId="0" xfId="0" applyNumberFormat="1" applyFont="1" applyFill="1" applyAlignment="1">
      <alignment horizontal="center"/>
    </xf>
    <xf numFmtId="0" fontId="58" fillId="88" borderId="0" xfId="0" applyFont="1" applyFill="1" applyAlignment="1">
      <alignment horizontal="center"/>
    </xf>
    <xf numFmtId="0" fontId="58" fillId="238" borderId="0" xfId="0" applyFont="1" applyFill="1" applyAlignment="1">
      <alignment horizontal="center"/>
    </xf>
    <xf numFmtId="9" fontId="58" fillId="239" borderId="0" xfId="0" applyNumberFormat="1" applyFont="1" applyFill="1" applyAlignment="1">
      <alignment horizontal="center"/>
    </xf>
    <xf numFmtId="0" fontId="58" fillId="237" borderId="0" xfId="0" applyFont="1" applyFill="1" applyAlignment="1">
      <alignment horizontal="center"/>
    </xf>
    <xf numFmtId="0" fontId="58" fillId="240" borderId="0" xfId="0" applyFont="1" applyFill="1" applyAlignment="1">
      <alignment horizontal="center"/>
    </xf>
    <xf numFmtId="0" fontId="58" fillId="241" borderId="27" xfId="0" applyFont="1" applyFill="1" applyBorder="1" applyAlignment="1">
      <alignment horizontal="center"/>
    </xf>
    <xf numFmtId="0" fontId="58" fillId="242" borderId="0" xfId="0" applyFont="1" applyFill="1" applyAlignment="1">
      <alignment horizontal="center"/>
    </xf>
    <xf numFmtId="0" fontId="58" fillId="243" borderId="0" xfId="0" applyFont="1" applyFill="1" applyAlignment="1">
      <alignment horizontal="center"/>
    </xf>
    <xf numFmtId="0" fontId="58" fillId="244" borderId="27" xfId="0" applyFont="1" applyFill="1" applyBorder="1" applyAlignment="1">
      <alignment horizontal="center"/>
    </xf>
    <xf numFmtId="0" fontId="58" fillId="245" borderId="0" xfId="0" applyFont="1" applyFill="1" applyAlignment="1">
      <alignment horizontal="center"/>
    </xf>
    <xf numFmtId="0" fontId="58" fillId="111" borderId="0" xfId="0" applyFont="1" applyFill="1" applyAlignment="1">
      <alignment horizontal="center"/>
    </xf>
    <xf numFmtId="0" fontId="58" fillId="246" borderId="0" xfId="0" applyFont="1" applyFill="1" applyAlignment="1">
      <alignment horizontal="center"/>
    </xf>
    <xf numFmtId="0" fontId="58" fillId="247" borderId="0" xfId="0" applyFont="1" applyFill="1" applyAlignment="1">
      <alignment horizontal="center"/>
    </xf>
    <xf numFmtId="0" fontId="58" fillId="248" borderId="27" xfId="0" applyFont="1" applyFill="1" applyBorder="1" applyAlignment="1">
      <alignment horizontal="center"/>
    </xf>
    <xf numFmtId="0" fontId="58" fillId="249" borderId="0" xfId="0" applyFont="1" applyFill="1" applyAlignment="1">
      <alignment horizontal="center"/>
    </xf>
    <xf numFmtId="0" fontId="58" fillId="250" borderId="27" xfId="0" applyFont="1" applyFill="1" applyBorder="1" applyAlignment="1">
      <alignment horizontal="center"/>
    </xf>
    <xf numFmtId="9" fontId="58" fillId="251" borderId="0" xfId="0" applyNumberFormat="1" applyFont="1" applyFill="1" applyAlignment="1">
      <alignment horizontal="center"/>
    </xf>
    <xf numFmtId="0" fontId="58" fillId="252" borderId="0" xfId="0" applyFont="1" applyFill="1" applyAlignment="1">
      <alignment horizontal="center"/>
    </xf>
    <xf numFmtId="0" fontId="58" fillId="253" borderId="0" xfId="0" applyFont="1" applyFill="1" applyAlignment="1">
      <alignment horizontal="center"/>
    </xf>
    <xf numFmtId="0" fontId="58" fillId="254" borderId="0" xfId="0" applyFont="1" applyFill="1" applyAlignment="1">
      <alignment horizontal="center"/>
    </xf>
    <xf numFmtId="0" fontId="58" fillId="255" borderId="0" xfId="0" applyFont="1" applyFill="1" applyAlignment="1">
      <alignment horizontal="center"/>
    </xf>
    <xf numFmtId="0" fontId="58" fillId="256" borderId="27" xfId="0" applyFont="1" applyFill="1" applyBorder="1" applyAlignment="1">
      <alignment horizontal="center"/>
    </xf>
    <xf numFmtId="0" fontId="58" fillId="56" borderId="0" xfId="0" applyFont="1" applyFill="1" applyAlignment="1">
      <alignment horizontal="center"/>
    </xf>
    <xf numFmtId="0" fontId="58" fillId="257" borderId="0" xfId="0" applyFont="1" applyFill="1" applyAlignment="1">
      <alignment horizontal="center"/>
    </xf>
    <xf numFmtId="0" fontId="58" fillId="258" borderId="27" xfId="0" applyFont="1" applyFill="1" applyBorder="1" applyAlignment="1">
      <alignment horizontal="center"/>
    </xf>
    <xf numFmtId="0" fontId="58" fillId="259" borderId="27" xfId="0" applyFont="1" applyFill="1" applyBorder="1" applyAlignment="1">
      <alignment horizontal="center"/>
    </xf>
    <xf numFmtId="0" fontId="58" fillId="260" borderId="0" xfId="0" applyFont="1" applyFill="1" applyAlignment="1">
      <alignment horizontal="center"/>
    </xf>
    <xf numFmtId="0" fontId="58" fillId="261" borderId="0" xfId="0" applyFont="1" applyFill="1" applyAlignment="1">
      <alignment horizontal="center"/>
    </xf>
    <xf numFmtId="0" fontId="85" fillId="19" borderId="28" xfId="0" applyFont="1" applyFill="1" applyBorder="1" applyAlignment="1">
      <alignment horizontal="center"/>
    </xf>
    <xf numFmtId="0" fontId="85" fillId="19" borderId="9" xfId="0" quotePrefix="1" applyFont="1" applyFill="1" applyBorder="1" applyAlignment="1">
      <alignment horizontal="center"/>
    </xf>
    <xf numFmtId="0" fontId="85" fillId="19" borderId="26" xfId="0" applyFont="1" applyFill="1" applyBorder="1" applyAlignment="1">
      <alignment horizontal="center"/>
    </xf>
    <xf numFmtId="2" fontId="58" fillId="77" borderId="0" xfId="0" applyNumberFormat="1" applyFont="1" applyFill="1" applyAlignment="1">
      <alignment horizontal="center"/>
    </xf>
    <xf numFmtId="0" fontId="58" fillId="262" borderId="27" xfId="0" applyFont="1" applyFill="1" applyBorder="1" applyAlignment="1">
      <alignment horizontal="center"/>
    </xf>
    <xf numFmtId="0" fontId="58" fillId="263" borderId="0" xfId="0" applyFont="1" applyFill="1" applyAlignment="1">
      <alignment horizontal="center"/>
    </xf>
    <xf numFmtId="0" fontId="58" fillId="264" borderId="0" xfId="0" applyFont="1" applyFill="1" applyAlignment="1">
      <alignment horizontal="center"/>
    </xf>
    <xf numFmtId="0" fontId="58" fillId="265" borderId="27" xfId="0" applyFont="1" applyFill="1" applyBorder="1" applyAlignment="1">
      <alignment horizontal="center"/>
    </xf>
    <xf numFmtId="0" fontId="58" fillId="244" borderId="0" xfId="0" applyFont="1" applyFill="1" applyAlignment="1">
      <alignment horizontal="center"/>
    </xf>
    <xf numFmtId="0" fontId="58" fillId="266" borderId="27" xfId="0" applyFont="1" applyFill="1" applyBorder="1" applyAlignment="1">
      <alignment horizontal="center"/>
    </xf>
    <xf numFmtId="0" fontId="58" fillId="267" borderId="0" xfId="0" applyFont="1" applyFill="1" applyAlignment="1">
      <alignment horizontal="center"/>
    </xf>
    <xf numFmtId="0" fontId="58" fillId="268" borderId="0" xfId="0" applyFont="1" applyFill="1" applyAlignment="1">
      <alignment horizontal="center"/>
    </xf>
    <xf numFmtId="0" fontId="58" fillId="269" borderId="0" xfId="0" applyFont="1" applyFill="1" applyAlignment="1">
      <alignment horizontal="center"/>
    </xf>
    <xf numFmtId="2" fontId="58" fillId="270" borderId="0" xfId="0" applyNumberFormat="1" applyFont="1" applyFill="1" applyAlignment="1">
      <alignment horizontal="center"/>
    </xf>
    <xf numFmtId="0" fontId="58" fillId="271" borderId="0" xfId="0" applyFont="1" applyFill="1" applyAlignment="1">
      <alignment horizontal="center"/>
    </xf>
    <xf numFmtId="0" fontId="58" fillId="95" borderId="27" xfId="0" applyFont="1" applyFill="1" applyBorder="1" applyAlignment="1">
      <alignment horizontal="center"/>
    </xf>
    <xf numFmtId="0" fontId="58" fillId="272" borderId="0" xfId="0" applyFont="1" applyFill="1" applyAlignment="1">
      <alignment horizontal="center"/>
    </xf>
    <xf numFmtId="0" fontId="58" fillId="273" borderId="0" xfId="0" applyFont="1" applyFill="1" applyAlignment="1">
      <alignment horizontal="center"/>
    </xf>
    <xf numFmtId="0" fontId="58" fillId="274" borderId="0" xfId="0" applyFont="1" applyFill="1" applyAlignment="1">
      <alignment horizontal="center"/>
    </xf>
    <xf numFmtId="2" fontId="58" fillId="71" borderId="0" xfId="0" applyNumberFormat="1" applyFont="1" applyFill="1" applyAlignment="1">
      <alignment horizontal="center"/>
    </xf>
    <xf numFmtId="0" fontId="58" fillId="56" borderId="27" xfId="0" applyFont="1" applyFill="1" applyBorder="1" applyAlignment="1">
      <alignment horizontal="center"/>
    </xf>
    <xf numFmtId="0" fontId="58" fillId="275" borderId="0" xfId="0" applyFont="1" applyFill="1" applyAlignment="1">
      <alignment horizontal="center"/>
    </xf>
    <xf numFmtId="0" fontId="58" fillId="246" borderId="27" xfId="0" applyFont="1" applyFill="1" applyBorder="1" applyAlignment="1">
      <alignment horizontal="center"/>
    </xf>
    <xf numFmtId="0" fontId="58" fillId="276" borderId="0" xfId="0" applyFont="1" applyFill="1" applyAlignment="1">
      <alignment horizontal="center"/>
    </xf>
    <xf numFmtId="0" fontId="58" fillId="277" borderId="0" xfId="0" applyFont="1" applyFill="1" applyAlignment="1">
      <alignment horizontal="center"/>
    </xf>
    <xf numFmtId="0" fontId="58" fillId="277" borderId="27" xfId="0" applyFont="1" applyFill="1" applyBorder="1" applyAlignment="1">
      <alignment horizontal="center"/>
    </xf>
    <xf numFmtId="0" fontId="58" fillId="278" borderId="0" xfId="0" applyFont="1" applyFill="1" applyAlignment="1">
      <alignment horizontal="center"/>
    </xf>
    <xf numFmtId="0" fontId="58" fillId="279" borderId="0" xfId="0" applyFont="1" applyFill="1" applyAlignment="1">
      <alignment horizontal="center"/>
    </xf>
    <xf numFmtId="0" fontId="58" fillId="280" borderId="0" xfId="0" applyFont="1" applyFill="1" applyAlignment="1">
      <alignment horizontal="center"/>
    </xf>
    <xf numFmtId="2" fontId="58" fillId="274" borderId="0" xfId="0" applyNumberFormat="1" applyFont="1" applyFill="1" applyAlignment="1">
      <alignment horizontal="center"/>
    </xf>
    <xf numFmtId="0" fontId="58" fillId="274" borderId="27" xfId="0" applyFont="1" applyFill="1" applyBorder="1" applyAlignment="1">
      <alignment horizontal="center"/>
    </xf>
    <xf numFmtId="0" fontId="58" fillId="278" borderId="27" xfId="0" applyFont="1" applyFill="1" applyBorder="1" applyAlignment="1">
      <alignment horizontal="center"/>
    </xf>
    <xf numFmtId="0" fontId="58" fillId="281" borderId="0" xfId="0" applyFont="1" applyFill="1" applyAlignment="1">
      <alignment horizontal="center"/>
    </xf>
    <xf numFmtId="0" fontId="58" fillId="270" borderId="27" xfId="0" applyFont="1" applyFill="1" applyBorder="1" applyAlignment="1">
      <alignment horizontal="center"/>
    </xf>
    <xf numFmtId="0" fontId="58" fillId="282" borderId="0" xfId="0" applyFont="1" applyFill="1" applyAlignment="1">
      <alignment horizontal="center"/>
    </xf>
    <xf numFmtId="0" fontId="58" fillId="283" borderId="0" xfId="0" applyFont="1" applyFill="1" applyAlignment="1">
      <alignment horizontal="center"/>
    </xf>
    <xf numFmtId="0" fontId="58" fillId="270" borderId="0" xfId="0" applyFont="1" applyFill="1" applyAlignment="1">
      <alignment horizontal="center"/>
    </xf>
    <xf numFmtId="0" fontId="58" fillId="284" borderId="0" xfId="0" applyFont="1" applyFill="1" applyAlignment="1">
      <alignment horizontal="center"/>
    </xf>
    <xf numFmtId="2" fontId="58" fillId="87" borderId="0" xfId="0" applyNumberFormat="1" applyFont="1" applyFill="1" applyAlignment="1">
      <alignment horizontal="center"/>
    </xf>
    <xf numFmtId="0" fontId="58" fillId="285" borderId="0" xfId="0" applyFont="1" applyFill="1" applyAlignment="1">
      <alignment horizontal="center"/>
    </xf>
    <xf numFmtId="0" fontId="58" fillId="27" borderId="27" xfId="0" applyFont="1" applyFill="1" applyBorder="1" applyAlignment="1">
      <alignment horizontal="center"/>
    </xf>
    <xf numFmtId="0" fontId="58" fillId="286" borderId="0" xfId="0" applyFont="1" applyFill="1" applyAlignment="1">
      <alignment horizontal="center"/>
    </xf>
    <xf numFmtId="9" fontId="58" fillId="228" borderId="0" xfId="0" applyNumberFormat="1" applyFont="1" applyFill="1" applyAlignment="1">
      <alignment horizontal="center"/>
    </xf>
    <xf numFmtId="0" fontId="27"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2" fontId="27" fillId="0" borderId="0" xfId="0" applyNumberFormat="1" applyFont="1" applyAlignment="1">
      <alignment horizontal="center"/>
    </xf>
    <xf numFmtId="3" fontId="27" fillId="0" borderId="0" xfId="0" applyNumberFormat="1" applyFont="1" applyAlignment="1">
      <alignment horizontal="center"/>
    </xf>
    <xf numFmtId="1" fontId="27" fillId="0" borderId="0" xfId="0" applyNumberFormat="1" applyFont="1" applyAlignment="1">
      <alignment horizontal="center"/>
    </xf>
    <xf numFmtId="0" fontId="0" fillId="4" borderId="0" xfId="0" applyFill="1"/>
    <xf numFmtId="0" fontId="3" fillId="4" borderId="0" xfId="0" applyFont="1" applyFill="1"/>
    <xf numFmtId="0" fontId="17" fillId="4" borderId="0" xfId="0" applyFont="1" applyFill="1"/>
    <xf numFmtId="164" fontId="16" fillId="4" borderId="0" xfId="0" applyNumberFormat="1" applyFont="1" applyFill="1" applyAlignment="1" applyProtection="1">
      <alignment horizontal="center"/>
      <protection locked="0"/>
    </xf>
    <xf numFmtId="164" fontId="16" fillId="4" borderId="0" xfId="0" applyNumberFormat="1" applyFont="1" applyFill="1" applyAlignment="1">
      <alignment horizontal="center"/>
    </xf>
    <xf numFmtId="0" fontId="33" fillId="4" borderId="0" xfId="0" applyFont="1" applyFill="1" applyAlignment="1" applyProtection="1">
      <alignment horizontal="left" indent="1"/>
      <protection locked="0"/>
    </xf>
    <xf numFmtId="0" fontId="88" fillId="4" borderId="0" xfId="0" applyFont="1" applyFill="1"/>
    <xf numFmtId="167" fontId="89" fillId="4" borderId="0" xfId="2" applyNumberFormat="1" applyFont="1" applyFill="1"/>
    <xf numFmtId="9" fontId="89" fillId="4" borderId="0" xfId="2" applyFont="1" applyFill="1"/>
    <xf numFmtId="0" fontId="3" fillId="11" borderId="0" xfId="0" applyFont="1" applyFill="1"/>
    <xf numFmtId="1" fontId="28" fillId="0" borderId="0" xfId="0" applyNumberFormat="1" applyFont="1" applyProtection="1">
      <protection locked="0"/>
    </xf>
    <xf numFmtId="0" fontId="39" fillId="3" borderId="0" xfId="0" applyFont="1" applyFill="1"/>
    <xf numFmtId="0" fontId="90" fillId="4" borderId="0" xfId="0" applyFont="1" applyFill="1"/>
    <xf numFmtId="37" fontId="28" fillId="4" borderId="0" xfId="0" applyNumberFormat="1" applyFont="1" applyFill="1"/>
    <xf numFmtId="1" fontId="28" fillId="4" borderId="0" xfId="0" applyNumberFormat="1" applyFont="1" applyFill="1"/>
    <xf numFmtId="0" fontId="92" fillId="4" borderId="0" xfId="0" applyFont="1" applyFill="1" applyAlignment="1">
      <alignment horizontal="left" indent="5"/>
    </xf>
    <xf numFmtId="10" fontId="92" fillId="3" borderId="0" xfId="2" applyNumberFormat="1" applyFont="1" applyFill="1"/>
    <xf numFmtId="10" fontId="92" fillId="4" borderId="0" xfId="2" applyNumberFormat="1" applyFont="1" applyFill="1"/>
    <xf numFmtId="0" fontId="28" fillId="3" borderId="0" xfId="0" applyFont="1" applyFill="1"/>
    <xf numFmtId="0" fontId="76" fillId="4" borderId="0" xfId="0" applyFont="1" applyFill="1" applyAlignment="1">
      <alignment horizontal="right"/>
    </xf>
    <xf numFmtId="0" fontId="34" fillId="4" borderId="0" xfId="0" applyFont="1" applyFill="1"/>
    <xf numFmtId="0" fontId="93" fillId="3" borderId="0" xfId="0" applyFont="1" applyFill="1"/>
    <xf numFmtId="0" fontId="28" fillId="4" borderId="0" xfId="0" applyFont="1" applyFill="1" applyAlignment="1">
      <alignment horizontal="left" indent="2"/>
    </xf>
    <xf numFmtId="167" fontId="76" fillId="4" borderId="0" xfId="2" applyNumberFormat="1" applyFont="1" applyFill="1" applyAlignment="1">
      <alignment horizontal="left" indent="3"/>
    </xf>
    <xf numFmtId="167" fontId="76" fillId="4" borderId="0" xfId="2" applyNumberFormat="1" applyFont="1" applyFill="1"/>
    <xf numFmtId="0" fontId="34" fillId="11" borderId="0" xfId="0" applyFont="1" applyFill="1" applyAlignment="1">
      <alignment horizontal="left"/>
    </xf>
    <xf numFmtId="0" fontId="34" fillId="11" borderId="0" xfId="0" applyFont="1" applyFill="1"/>
    <xf numFmtId="1" fontId="34" fillId="11" borderId="0" xfId="0" applyNumberFormat="1" applyFont="1" applyFill="1"/>
    <xf numFmtId="0" fontId="34" fillId="4" borderId="0" xfId="0" applyFont="1" applyFill="1" applyAlignment="1">
      <alignment horizontal="left"/>
    </xf>
    <xf numFmtId="179" fontId="28" fillId="4" borderId="0" xfId="0" applyNumberFormat="1" applyFont="1" applyFill="1"/>
    <xf numFmtId="179" fontId="34" fillId="11" borderId="0" xfId="0" applyNumberFormat="1" applyFont="1" applyFill="1"/>
    <xf numFmtId="179" fontId="28" fillId="11" borderId="0" xfId="0" applyNumberFormat="1" applyFont="1" applyFill="1"/>
    <xf numFmtId="179" fontId="34" fillId="4" borderId="0" xfId="0" applyNumberFormat="1" applyFont="1" applyFill="1"/>
    <xf numFmtId="167" fontId="92" fillId="4" borderId="0" xfId="2" applyNumberFormat="1" applyFont="1" applyFill="1"/>
    <xf numFmtId="37" fontId="34" fillId="11" borderId="0" xfId="0" applyNumberFormat="1" applyFont="1" applyFill="1"/>
    <xf numFmtId="9" fontId="76" fillId="4" borderId="0" xfId="2" applyFont="1" applyFill="1"/>
    <xf numFmtId="0" fontId="92" fillId="3" borderId="0" xfId="0" applyFont="1" applyFill="1"/>
    <xf numFmtId="0" fontId="94" fillId="4" borderId="0" xfId="0" applyFont="1" applyFill="1"/>
    <xf numFmtId="0" fontId="92" fillId="4" borderId="0" xfId="0" applyFont="1" applyFill="1"/>
    <xf numFmtId="2" fontId="92" fillId="3" borderId="0" xfId="0" applyNumberFormat="1" applyFont="1" applyFill="1"/>
    <xf numFmtId="2" fontId="94" fillId="4" borderId="0" xfId="0" applyNumberFormat="1" applyFont="1" applyFill="1"/>
    <xf numFmtId="2" fontId="92" fillId="4" borderId="0" xfId="0" applyNumberFormat="1" applyFont="1" applyFill="1"/>
    <xf numFmtId="1" fontId="92" fillId="3" borderId="0" xfId="0" applyNumberFormat="1" applyFont="1" applyFill="1"/>
    <xf numFmtId="1" fontId="92" fillId="3" borderId="0" xfId="2" applyNumberFormat="1" applyFont="1" applyFill="1"/>
    <xf numFmtId="1" fontId="94" fillId="4" borderId="0" xfId="0" applyNumberFormat="1" applyFont="1" applyFill="1"/>
    <xf numFmtId="1" fontId="92" fillId="4" borderId="0" xfId="0" applyNumberFormat="1" applyFont="1" applyFill="1"/>
    <xf numFmtId="167" fontId="28" fillId="4" borderId="0" xfId="2" applyNumberFormat="1" applyFont="1" applyFill="1"/>
    <xf numFmtId="0" fontId="91" fillId="9" borderId="4" xfId="2" applyNumberFormat="1" applyFont="1" applyFill="1" applyBorder="1" applyProtection="1">
      <protection locked="0"/>
    </xf>
    <xf numFmtId="179" fontId="91" fillId="9" borderId="4" xfId="2" applyNumberFormat="1" applyFont="1" applyFill="1" applyBorder="1" applyProtection="1">
      <protection locked="0"/>
    </xf>
    <xf numFmtId="2" fontId="91" fillId="9" borderId="4" xfId="2" applyNumberFormat="1" applyFont="1" applyFill="1" applyBorder="1" applyProtection="1">
      <protection locked="0"/>
    </xf>
    <xf numFmtId="1" fontId="91" fillId="9" borderId="4" xfId="2" applyNumberFormat="1" applyFont="1" applyFill="1" applyBorder="1" applyProtection="1">
      <protection locked="0"/>
    </xf>
    <xf numFmtId="167" fontId="27" fillId="3" borderId="0" xfId="2" applyNumberFormat="1" applyFont="1" applyFill="1"/>
    <xf numFmtId="167" fontId="92" fillId="3" borderId="0" xfId="2" applyNumberFormat="1" applyFont="1" applyFill="1"/>
    <xf numFmtId="37" fontId="95" fillId="3" borderId="0" xfId="0" applyNumberFormat="1" applyFont="1" applyFill="1"/>
    <xf numFmtId="0" fontId="95" fillId="3" borderId="0" xfId="0" applyFont="1" applyFill="1"/>
    <xf numFmtId="37" fontId="92" fillId="4" borderId="0" xfId="0" applyNumberFormat="1" applyFont="1" applyFill="1"/>
    <xf numFmtId="37" fontId="93" fillId="3" borderId="0" xfId="0" applyNumberFormat="1" applyFont="1" applyFill="1"/>
    <xf numFmtId="0" fontId="96" fillId="4" borderId="0" xfId="0" applyFont="1" applyFill="1"/>
    <xf numFmtId="37" fontId="34" fillId="4" borderId="0" xfId="0" applyNumberFormat="1" applyFont="1" applyFill="1"/>
    <xf numFmtId="2" fontId="92" fillId="3" borderId="0" xfId="0" applyNumberFormat="1" applyFont="1" applyFill="1" applyAlignment="1">
      <alignment horizontal="right"/>
    </xf>
    <xf numFmtId="1" fontId="92" fillId="3" borderId="0" xfId="0" applyNumberFormat="1" applyFont="1" applyFill="1" applyAlignment="1">
      <alignment horizontal="right"/>
    </xf>
    <xf numFmtId="0" fontId="92" fillId="4" borderId="0" xfId="0" applyFont="1" applyFill="1" applyAlignment="1">
      <alignment horizontal="right"/>
    </xf>
    <xf numFmtId="1" fontId="92" fillId="4" borderId="0" xfId="0" applyNumberFormat="1" applyFont="1" applyFill="1" applyAlignment="1">
      <alignment horizontal="right"/>
    </xf>
    <xf numFmtId="9" fontId="91" fillId="9" borderId="4" xfId="2" applyFont="1" applyFill="1" applyBorder="1" applyProtection="1">
      <protection locked="0"/>
    </xf>
    <xf numFmtId="0" fontId="39" fillId="4" borderId="0" xfId="0" applyFont="1" applyFill="1"/>
    <xf numFmtId="1" fontId="43" fillId="4" borderId="0" xfId="0" applyNumberFormat="1" applyFont="1" applyFill="1"/>
    <xf numFmtId="0" fontId="68" fillId="4" borderId="0" xfId="0" applyFont="1" applyFill="1"/>
    <xf numFmtId="167" fontId="91" fillId="9" borderId="21" xfId="2" applyNumberFormat="1" applyFont="1" applyFill="1" applyBorder="1" applyProtection="1">
      <protection locked="0"/>
    </xf>
    <xf numFmtId="0" fontId="28" fillId="4" borderId="1" xfId="0" applyFont="1" applyFill="1" applyBorder="1" applyAlignment="1">
      <alignment horizontal="left" indent="3"/>
    </xf>
    <xf numFmtId="0" fontId="28" fillId="4" borderId="1" xfId="0" applyFont="1" applyFill="1" applyBorder="1"/>
    <xf numFmtId="0" fontId="39" fillId="3" borderId="1" xfId="0" applyFont="1" applyFill="1" applyBorder="1"/>
    <xf numFmtId="1" fontId="28" fillId="4" borderId="1" xfId="0" applyNumberFormat="1" applyFont="1" applyFill="1" applyBorder="1"/>
    <xf numFmtId="0" fontId="90" fillId="4" borderId="1" xfId="0" applyFont="1" applyFill="1" applyBorder="1"/>
    <xf numFmtId="37" fontId="39" fillId="3" borderId="1" xfId="1" applyNumberFormat="1" applyFont="1" applyFill="1" applyBorder="1" applyProtection="1">
      <protection locked="0"/>
    </xf>
    <xf numFmtId="0" fontId="34" fillId="4" borderId="1" xfId="0" applyFont="1" applyFill="1" applyBorder="1"/>
    <xf numFmtId="167" fontId="28" fillId="4" borderId="0" xfId="0" applyNumberFormat="1" applyFont="1" applyFill="1"/>
    <xf numFmtId="4" fontId="39" fillId="0" borderId="0" xfId="2" applyNumberFormat="1" applyFont="1" applyFill="1" applyBorder="1" applyAlignment="1">
      <alignment horizontal="right"/>
    </xf>
    <xf numFmtId="0" fontId="67" fillId="2" borderId="0" xfId="0" applyFont="1" applyFill="1" applyAlignment="1">
      <alignment horizontal="center" vertical="center"/>
    </xf>
    <xf numFmtId="0" fontId="37" fillId="2" borderId="0" xfId="0" applyFont="1" applyFill="1" applyAlignment="1">
      <alignment horizontal="center" vertical="center"/>
    </xf>
    <xf numFmtId="10" fontId="28" fillId="0" borderId="0" xfId="2" applyNumberFormat="1" applyFont="1" applyProtection="1">
      <protection locked="0"/>
    </xf>
    <xf numFmtId="9" fontId="58" fillId="311" borderId="30" xfId="0" applyNumberFormat="1" applyFont="1" applyFill="1" applyBorder="1" applyAlignment="1">
      <alignment horizontal="center"/>
    </xf>
    <xf numFmtId="9" fontId="58" fillId="311" borderId="0" xfId="0" applyNumberFormat="1" applyFont="1" applyFill="1" applyAlignment="1">
      <alignment horizontal="center"/>
    </xf>
    <xf numFmtId="0" fontId="8" fillId="0" borderId="0" xfId="0" applyFont="1" applyAlignment="1">
      <alignment horizontal="right"/>
    </xf>
    <xf numFmtId="3" fontId="8" fillId="0" borderId="0" xfId="0" applyNumberFormat="1" applyFont="1" applyAlignment="1">
      <alignment horizontal="right"/>
    </xf>
    <xf numFmtId="9" fontId="8" fillId="0" borderId="0" xfId="0" applyNumberFormat="1" applyFont="1" applyAlignment="1">
      <alignment horizontal="right"/>
    </xf>
    <xf numFmtId="2" fontId="80" fillId="0" borderId="0" xfId="0" applyNumberFormat="1" applyFont="1" applyAlignment="1">
      <alignment horizontal="right"/>
    </xf>
    <xf numFmtId="167" fontId="80" fillId="0" borderId="0" xfId="2" applyNumberFormat="1" applyFont="1" applyAlignment="1">
      <alignment horizontal="right"/>
    </xf>
    <xf numFmtId="180" fontId="80" fillId="0" borderId="0" xfId="0" applyNumberFormat="1" applyFont="1"/>
    <xf numFmtId="180" fontId="80" fillId="0" borderId="0" xfId="0" applyNumberFormat="1" applyFont="1" applyAlignment="1">
      <alignment horizontal="right"/>
    </xf>
    <xf numFmtId="9" fontId="0" fillId="4" borderId="0" xfId="2" applyFont="1" applyFill="1"/>
    <xf numFmtId="2" fontId="58" fillId="0" borderId="0" xfId="0" applyNumberFormat="1" applyFont="1" applyAlignment="1">
      <alignment horizontal="center"/>
    </xf>
    <xf numFmtId="2" fontId="28" fillId="0" borderId="0" xfId="2" applyNumberFormat="1" applyFont="1" applyFill="1" applyAlignment="1">
      <alignment horizontal="center"/>
    </xf>
    <xf numFmtId="2" fontId="58" fillId="0" borderId="30" xfId="0" applyNumberFormat="1" applyFont="1" applyBorder="1" applyAlignment="1">
      <alignment horizontal="center"/>
    </xf>
    <xf numFmtId="2" fontId="58" fillId="0" borderId="0" xfId="0" quotePrefix="1" applyNumberFormat="1" applyFont="1" applyAlignment="1">
      <alignment horizontal="center"/>
    </xf>
    <xf numFmtId="0" fontId="58" fillId="0" borderId="30" xfId="0" quotePrefix="1" applyFont="1" applyBorder="1" applyAlignment="1">
      <alignment horizontal="center"/>
    </xf>
    <xf numFmtId="0" fontId="58" fillId="0" borderId="0" xfId="0" quotePrefix="1" applyFont="1" applyAlignment="1">
      <alignment horizontal="center"/>
    </xf>
    <xf numFmtId="9" fontId="28" fillId="0" borderId="0" xfId="2" applyFont="1" applyFill="1" applyAlignment="1">
      <alignment horizontal="center"/>
    </xf>
    <xf numFmtId="0" fontId="98" fillId="0" borderId="0" xfId="0" applyFont="1"/>
    <xf numFmtId="0" fontId="99" fillId="0" borderId="0" xfId="0" applyFont="1"/>
    <xf numFmtId="0" fontId="18" fillId="0" borderId="0" xfId="0" applyFont="1"/>
    <xf numFmtId="0" fontId="100" fillId="0" borderId="0" xfId="0" applyFont="1"/>
    <xf numFmtId="0" fontId="101" fillId="0" borderId="0" xfId="0" applyFont="1"/>
    <xf numFmtId="0" fontId="102" fillId="0" borderId="0" xfId="0" applyFont="1"/>
    <xf numFmtId="0" fontId="3" fillId="0" borderId="0" xfId="0" applyFont="1" applyAlignment="1">
      <alignment horizontal="center"/>
    </xf>
    <xf numFmtId="0" fontId="103" fillId="0" borderId="0" xfId="0" applyFont="1"/>
    <xf numFmtId="0" fontId="76" fillId="0" borderId="0" xfId="0" applyFont="1" applyAlignment="1">
      <alignment horizontal="left" vertical="top" wrapText="1"/>
    </xf>
    <xf numFmtId="0" fontId="27" fillId="0" borderId="0" xfId="5" applyFont="1" applyAlignment="1">
      <alignment horizontal="left" vertical="top" wrapText="1"/>
    </xf>
    <xf numFmtId="0" fontId="27" fillId="310" borderId="0" xfId="5" applyFont="1" applyFill="1" applyAlignment="1">
      <alignment horizontal="left" vertical="top" wrapText="1"/>
    </xf>
    <xf numFmtId="0" fontId="27" fillId="5" borderId="0" xfId="5" applyFont="1" applyFill="1" applyAlignment="1">
      <alignment horizontal="left" vertical="center"/>
    </xf>
    <xf numFmtId="0" fontId="52" fillId="7" borderId="0" xfId="5" applyFont="1" applyFill="1" applyAlignment="1">
      <alignment horizontal="left" vertical="center"/>
    </xf>
    <xf numFmtId="0" fontId="27" fillId="7" borderId="0" xfId="5" applyFont="1" applyFill="1" applyAlignment="1">
      <alignment horizontal="left" vertical="center"/>
    </xf>
    <xf numFmtId="0" fontId="43" fillId="0" borderId="0" xfId="5" applyFont="1" applyAlignment="1">
      <alignment horizontal="left" vertical="top" wrapText="1"/>
    </xf>
    <xf numFmtId="0" fontId="27" fillId="0" borderId="0" xfId="5" applyFont="1" applyAlignment="1">
      <alignment horizontal="left" vertical="center" wrapText="1"/>
    </xf>
    <xf numFmtId="0" fontId="34" fillId="0" borderId="0" xfId="0" applyFont="1" applyAlignment="1">
      <alignment horizontal="left" vertical="top" wrapText="1" indent="1"/>
    </xf>
    <xf numFmtId="0" fontId="27" fillId="5" borderId="0" xfId="5" applyFont="1" applyFill="1" applyAlignment="1">
      <alignment horizontal="center" vertical="center"/>
    </xf>
    <xf numFmtId="0" fontId="27" fillId="8" borderId="0" xfId="5" applyFont="1" applyFill="1" applyAlignment="1">
      <alignment horizontal="center" vertical="center"/>
    </xf>
    <xf numFmtId="0" fontId="27" fillId="7" borderId="0" xfId="5" applyFont="1" applyFill="1" applyAlignment="1">
      <alignment horizontal="center" vertical="center"/>
    </xf>
    <xf numFmtId="0" fontId="28" fillId="0" borderId="0" xfId="0" applyFont="1" applyAlignment="1">
      <alignment horizontal="left" vertical="top" wrapText="1"/>
    </xf>
    <xf numFmtId="0" fontId="53" fillId="0" borderId="0" xfId="5" applyFont="1" applyAlignment="1">
      <alignment horizontal="right" vertical="center"/>
    </xf>
    <xf numFmtId="0" fontId="53" fillId="0" borderId="0" xfId="5" applyFont="1" applyAlignment="1">
      <alignment horizontal="center" vertical="center"/>
    </xf>
    <xf numFmtId="0" fontId="53" fillId="0" borderId="0" xfId="5" applyFont="1" applyAlignment="1">
      <alignment horizontal="right"/>
    </xf>
    <xf numFmtId="0" fontId="27" fillId="0" borderId="0" xfId="5" applyFont="1" applyAlignment="1">
      <alignment vertical="top" wrapText="1"/>
    </xf>
    <xf numFmtId="0" fontId="27" fillId="310" borderId="0" xfId="5" applyFont="1" applyFill="1" applyAlignment="1">
      <alignment horizontal="left" vertical="center" wrapText="1"/>
    </xf>
    <xf numFmtId="3" fontId="53" fillId="0" borderId="0" xfId="5" applyNumberFormat="1" applyFont="1" applyAlignment="1">
      <alignment horizontal="right" vertical="center"/>
    </xf>
    <xf numFmtId="15" fontId="53" fillId="0" borderId="0" xfId="5" applyNumberFormat="1" applyFont="1" applyAlignment="1">
      <alignment horizontal="right" vertical="center"/>
    </xf>
    <xf numFmtId="9" fontId="34" fillId="7" borderId="0" xfId="0" applyNumberFormat="1" applyFont="1" applyFill="1" applyAlignment="1">
      <alignment horizontal="right"/>
    </xf>
    <xf numFmtId="1" fontId="34" fillId="7" borderId="0" xfId="0" applyNumberFormat="1" applyFont="1" applyFill="1" applyAlignment="1">
      <alignment horizontal="right"/>
    </xf>
    <xf numFmtId="0" fontId="34" fillId="5" borderId="0" xfId="0" applyFont="1" applyFill="1" applyAlignment="1">
      <alignment horizontal="right"/>
    </xf>
    <xf numFmtId="1" fontId="34" fillId="5" borderId="0" xfId="0" applyNumberFormat="1" applyFont="1" applyFill="1" applyAlignment="1">
      <alignment horizontal="right"/>
    </xf>
    <xf numFmtId="1" fontId="24" fillId="0" borderId="0" xfId="5" applyNumberFormat="1" applyFont="1" applyAlignment="1">
      <alignment horizontal="right" vertical="center"/>
    </xf>
    <xf numFmtId="0" fontId="27" fillId="0" borderId="0" xfId="5" applyFont="1" applyAlignment="1">
      <alignment horizontal="center" vertical="center"/>
    </xf>
    <xf numFmtId="0" fontId="7" fillId="0" borderId="2" xfId="3" applyBorder="1" applyAlignment="1">
      <alignment horizontal="center"/>
    </xf>
    <xf numFmtId="0" fontId="28" fillId="0" borderId="2" xfId="0" applyFont="1" applyBorder="1" applyAlignment="1">
      <alignment horizontal="center"/>
    </xf>
    <xf numFmtId="0" fontId="7" fillId="0" borderId="0" xfId="3" applyAlignment="1">
      <alignment horizontal="center"/>
    </xf>
    <xf numFmtId="0" fontId="28" fillId="0" borderId="0" xfId="0" applyFont="1" applyAlignment="1">
      <alignment horizontal="center"/>
    </xf>
    <xf numFmtId="0" fontId="27" fillId="0" borderId="0" xfId="5" applyFont="1" applyAlignment="1">
      <alignment vertical="center"/>
    </xf>
    <xf numFmtId="17" fontId="53" fillId="0" borderId="0" xfId="5" applyNumberFormat="1" applyFont="1" applyAlignment="1">
      <alignment horizontal="right" vertical="center"/>
    </xf>
    <xf numFmtId="0" fontId="87" fillId="0" borderId="0" xfId="5" applyFont="1" applyAlignment="1">
      <alignment vertical="center"/>
    </xf>
    <xf numFmtId="0" fontId="27" fillId="0" borderId="2" xfId="5" applyFont="1" applyBorder="1" applyAlignment="1">
      <alignment vertical="center"/>
    </xf>
    <xf numFmtId="0" fontId="28" fillId="0" borderId="0" xfId="0" applyFont="1" applyAlignment="1">
      <alignment horizontal="center" vertical="top" wrapText="1" indent="1"/>
    </xf>
    <xf numFmtId="0" fontId="28" fillId="0" borderId="0" xfId="0" applyFont="1" applyAlignment="1">
      <alignment horizontal="left" vertical="top" wrapText="1" indent="1"/>
    </xf>
    <xf numFmtId="0" fontId="28" fillId="0" borderId="0" xfId="0" applyFont="1" applyAlignment="1">
      <alignment horizontal="center" vertical="top" wrapText="1"/>
    </xf>
    <xf numFmtId="0" fontId="28" fillId="0" borderId="29" xfId="0" applyFont="1" applyBorder="1" applyAlignment="1">
      <alignment horizontal="left" vertical="top" wrapText="1"/>
    </xf>
    <xf numFmtId="165" fontId="16" fillId="2" borderId="10" xfId="0" applyNumberFormat="1" applyFont="1" applyFill="1" applyBorder="1" applyAlignment="1">
      <alignment horizontal="center"/>
    </xf>
    <xf numFmtId="164" fontId="16" fillId="2" borderId="10" xfId="0" applyNumberFormat="1" applyFont="1" applyFill="1" applyBorder="1" applyAlignment="1">
      <alignment horizontal="center"/>
    </xf>
    <xf numFmtId="0" fontId="37" fillId="2" borderId="10" xfId="0" applyFont="1" applyFill="1" applyBorder="1" applyAlignment="1">
      <alignment horizontal="center"/>
    </xf>
    <xf numFmtId="0" fontId="68" fillId="0" borderId="11" xfId="0" applyFont="1" applyBorder="1" applyAlignment="1">
      <alignment horizontal="center"/>
    </xf>
    <xf numFmtId="0" fontId="8" fillId="0" borderId="11" xfId="0" applyFont="1" applyBorder="1" applyAlignment="1">
      <alignment horizontal="center"/>
    </xf>
  </cellXfs>
  <cellStyles count="14">
    <cellStyle name="blp_column_header" xfId="12" xr:uid="{00000000-0005-0000-0000-000000000000}"/>
    <cellStyle name="Currency 2" xfId="9" xr:uid="{00000000-0005-0000-0000-000002000000}"/>
    <cellStyle name="fa_column_header_bottom" xfId="11" xr:uid="{00000000-0005-0000-0000-000003000000}"/>
    <cellStyle name="Hiperligação" xfId="3" builtinId="8"/>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cent 2" xfId="4" xr:uid="{00000000-0005-0000-0000-00000C000000}"/>
    <cellStyle name="Percentagem" xfId="2" builtinId="5"/>
    <cellStyle name="Porcentaje 3" xfId="7" xr:uid="{00000000-0005-0000-0000-00000D000000}"/>
    <cellStyle name="Vírgula" xfId="1" builtinId="3"/>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BE606D"/>
      <color rgb="FF8DEB91"/>
      <color rgb="FFE8B0B1"/>
      <color rgb="FF7B1314"/>
      <color rgb="FF801414"/>
      <color rgb="FF1C3E6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22-4313-891C-AE5B126DF6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22-4313-891C-AE5B126DF647}"/>
              </c:ext>
            </c:extLst>
          </c:dPt>
          <c:val>
            <c:numRef>
              <c:f>FCFF!$R$162:$R$163</c:f>
              <c:numCache>
                <c:formatCode>0.0%</c:formatCode>
                <c:ptCount val="2"/>
                <c:pt idx="0">
                  <c:v>-0.12623855875035239</c:v>
                </c:pt>
                <c:pt idx="1">
                  <c:v>1.1262385587503525</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0B-4E0D-A674-69432D7702E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45990</c:v>
                </c:pt>
                <c:pt idx="1">
                  <c:v>45989</c:v>
                </c:pt>
                <c:pt idx="2">
                  <c:v>45988</c:v>
                </c:pt>
                <c:pt idx="3">
                  <c:v>45987</c:v>
                </c:pt>
                <c:pt idx="4">
                  <c:v>45986</c:v>
                </c:pt>
                <c:pt idx="5">
                  <c:v>45985</c:v>
                </c:pt>
                <c:pt idx="6">
                  <c:v>45984</c:v>
                </c:pt>
                <c:pt idx="7">
                  <c:v>45983</c:v>
                </c:pt>
                <c:pt idx="8">
                  <c:v>45982</c:v>
                </c:pt>
                <c:pt idx="9">
                  <c:v>45981</c:v>
                </c:pt>
                <c:pt idx="10">
                  <c:v>45980</c:v>
                </c:pt>
                <c:pt idx="11">
                  <c:v>45979</c:v>
                </c:pt>
                <c:pt idx="12">
                  <c:v>45978</c:v>
                </c:pt>
                <c:pt idx="13">
                  <c:v>45977</c:v>
                </c:pt>
                <c:pt idx="14">
                  <c:v>45976</c:v>
                </c:pt>
                <c:pt idx="15">
                  <c:v>45975</c:v>
                </c:pt>
                <c:pt idx="16">
                  <c:v>45974</c:v>
                </c:pt>
                <c:pt idx="17">
                  <c:v>45973</c:v>
                </c:pt>
                <c:pt idx="18">
                  <c:v>45972</c:v>
                </c:pt>
                <c:pt idx="19">
                  <c:v>45971</c:v>
                </c:pt>
                <c:pt idx="20">
                  <c:v>45970</c:v>
                </c:pt>
                <c:pt idx="21">
                  <c:v>45969</c:v>
                </c:pt>
                <c:pt idx="22">
                  <c:v>45968</c:v>
                </c:pt>
                <c:pt idx="23">
                  <c:v>45967</c:v>
                </c:pt>
                <c:pt idx="24">
                  <c:v>45966</c:v>
                </c:pt>
                <c:pt idx="25">
                  <c:v>45965</c:v>
                </c:pt>
                <c:pt idx="26">
                  <c:v>45964</c:v>
                </c:pt>
                <c:pt idx="27">
                  <c:v>45963</c:v>
                </c:pt>
                <c:pt idx="28">
                  <c:v>45962</c:v>
                </c:pt>
                <c:pt idx="29">
                  <c:v>45961</c:v>
                </c:pt>
                <c:pt idx="30">
                  <c:v>45960</c:v>
                </c:pt>
                <c:pt idx="31">
                  <c:v>45959</c:v>
                </c:pt>
                <c:pt idx="32">
                  <c:v>45958</c:v>
                </c:pt>
                <c:pt idx="33">
                  <c:v>45957</c:v>
                </c:pt>
                <c:pt idx="34">
                  <c:v>45956</c:v>
                </c:pt>
                <c:pt idx="35">
                  <c:v>45955</c:v>
                </c:pt>
                <c:pt idx="36">
                  <c:v>45954</c:v>
                </c:pt>
                <c:pt idx="37">
                  <c:v>45953</c:v>
                </c:pt>
                <c:pt idx="38">
                  <c:v>45952</c:v>
                </c:pt>
                <c:pt idx="39">
                  <c:v>45951</c:v>
                </c:pt>
                <c:pt idx="40">
                  <c:v>45950</c:v>
                </c:pt>
                <c:pt idx="41">
                  <c:v>45949</c:v>
                </c:pt>
                <c:pt idx="42">
                  <c:v>45948</c:v>
                </c:pt>
                <c:pt idx="43">
                  <c:v>45947</c:v>
                </c:pt>
                <c:pt idx="44">
                  <c:v>45946</c:v>
                </c:pt>
                <c:pt idx="45">
                  <c:v>45945</c:v>
                </c:pt>
                <c:pt idx="46">
                  <c:v>45944</c:v>
                </c:pt>
                <c:pt idx="47">
                  <c:v>45943</c:v>
                </c:pt>
                <c:pt idx="48">
                  <c:v>45942</c:v>
                </c:pt>
                <c:pt idx="49">
                  <c:v>45941</c:v>
                </c:pt>
                <c:pt idx="50">
                  <c:v>45940</c:v>
                </c:pt>
                <c:pt idx="51">
                  <c:v>45939</c:v>
                </c:pt>
                <c:pt idx="52">
                  <c:v>45938</c:v>
                </c:pt>
                <c:pt idx="53">
                  <c:v>45937</c:v>
                </c:pt>
                <c:pt idx="54">
                  <c:v>45936</c:v>
                </c:pt>
                <c:pt idx="55">
                  <c:v>45935</c:v>
                </c:pt>
                <c:pt idx="56">
                  <c:v>45934</c:v>
                </c:pt>
                <c:pt idx="57">
                  <c:v>45933</c:v>
                </c:pt>
                <c:pt idx="58">
                  <c:v>45932</c:v>
                </c:pt>
                <c:pt idx="59">
                  <c:v>45931</c:v>
                </c:pt>
                <c:pt idx="60">
                  <c:v>45930</c:v>
                </c:pt>
                <c:pt idx="61">
                  <c:v>45929</c:v>
                </c:pt>
                <c:pt idx="62">
                  <c:v>45928</c:v>
                </c:pt>
                <c:pt idx="63">
                  <c:v>45927</c:v>
                </c:pt>
                <c:pt idx="64">
                  <c:v>45926</c:v>
                </c:pt>
                <c:pt idx="65">
                  <c:v>45925</c:v>
                </c:pt>
                <c:pt idx="66">
                  <c:v>45924</c:v>
                </c:pt>
                <c:pt idx="67">
                  <c:v>45923</c:v>
                </c:pt>
                <c:pt idx="68">
                  <c:v>45922</c:v>
                </c:pt>
                <c:pt idx="69">
                  <c:v>45921</c:v>
                </c:pt>
                <c:pt idx="70">
                  <c:v>45920</c:v>
                </c:pt>
                <c:pt idx="71">
                  <c:v>45919</c:v>
                </c:pt>
                <c:pt idx="72">
                  <c:v>45918</c:v>
                </c:pt>
                <c:pt idx="73">
                  <c:v>45917</c:v>
                </c:pt>
                <c:pt idx="74">
                  <c:v>45916</c:v>
                </c:pt>
                <c:pt idx="75">
                  <c:v>45915</c:v>
                </c:pt>
                <c:pt idx="76">
                  <c:v>45914</c:v>
                </c:pt>
                <c:pt idx="77">
                  <c:v>45913</c:v>
                </c:pt>
                <c:pt idx="78">
                  <c:v>45912</c:v>
                </c:pt>
                <c:pt idx="79">
                  <c:v>45911</c:v>
                </c:pt>
                <c:pt idx="80">
                  <c:v>45910</c:v>
                </c:pt>
                <c:pt idx="81">
                  <c:v>45909</c:v>
                </c:pt>
                <c:pt idx="82">
                  <c:v>45908</c:v>
                </c:pt>
                <c:pt idx="83">
                  <c:v>45907</c:v>
                </c:pt>
                <c:pt idx="84">
                  <c:v>45906</c:v>
                </c:pt>
                <c:pt idx="85">
                  <c:v>45905</c:v>
                </c:pt>
                <c:pt idx="86">
                  <c:v>45904</c:v>
                </c:pt>
                <c:pt idx="87">
                  <c:v>45903</c:v>
                </c:pt>
                <c:pt idx="88">
                  <c:v>45902</c:v>
                </c:pt>
                <c:pt idx="89">
                  <c:v>45901</c:v>
                </c:pt>
                <c:pt idx="90">
                  <c:v>45900</c:v>
                </c:pt>
                <c:pt idx="91">
                  <c:v>45899</c:v>
                </c:pt>
                <c:pt idx="92">
                  <c:v>45898</c:v>
                </c:pt>
                <c:pt idx="93">
                  <c:v>45897</c:v>
                </c:pt>
                <c:pt idx="94">
                  <c:v>45896</c:v>
                </c:pt>
                <c:pt idx="95">
                  <c:v>45895</c:v>
                </c:pt>
                <c:pt idx="96">
                  <c:v>45894</c:v>
                </c:pt>
                <c:pt idx="97">
                  <c:v>45893</c:v>
                </c:pt>
                <c:pt idx="98">
                  <c:v>45892</c:v>
                </c:pt>
                <c:pt idx="99">
                  <c:v>45891</c:v>
                </c:pt>
                <c:pt idx="100">
                  <c:v>45890</c:v>
                </c:pt>
                <c:pt idx="101">
                  <c:v>45889</c:v>
                </c:pt>
                <c:pt idx="102">
                  <c:v>45888</c:v>
                </c:pt>
                <c:pt idx="103">
                  <c:v>45887</c:v>
                </c:pt>
                <c:pt idx="104">
                  <c:v>45886</c:v>
                </c:pt>
                <c:pt idx="105">
                  <c:v>45885</c:v>
                </c:pt>
                <c:pt idx="106">
                  <c:v>45884</c:v>
                </c:pt>
                <c:pt idx="107">
                  <c:v>45883</c:v>
                </c:pt>
                <c:pt idx="108">
                  <c:v>45882</c:v>
                </c:pt>
                <c:pt idx="109">
                  <c:v>45881</c:v>
                </c:pt>
                <c:pt idx="110">
                  <c:v>45880</c:v>
                </c:pt>
                <c:pt idx="111">
                  <c:v>45879</c:v>
                </c:pt>
                <c:pt idx="112">
                  <c:v>45878</c:v>
                </c:pt>
                <c:pt idx="113">
                  <c:v>45877</c:v>
                </c:pt>
                <c:pt idx="114">
                  <c:v>45876</c:v>
                </c:pt>
                <c:pt idx="115">
                  <c:v>45875</c:v>
                </c:pt>
                <c:pt idx="116">
                  <c:v>45874</c:v>
                </c:pt>
                <c:pt idx="117">
                  <c:v>45873</c:v>
                </c:pt>
                <c:pt idx="118">
                  <c:v>45872</c:v>
                </c:pt>
                <c:pt idx="119">
                  <c:v>45871</c:v>
                </c:pt>
                <c:pt idx="120">
                  <c:v>45870</c:v>
                </c:pt>
                <c:pt idx="121">
                  <c:v>45869</c:v>
                </c:pt>
                <c:pt idx="122">
                  <c:v>45868</c:v>
                </c:pt>
                <c:pt idx="123">
                  <c:v>45867</c:v>
                </c:pt>
                <c:pt idx="124">
                  <c:v>45866</c:v>
                </c:pt>
                <c:pt idx="125">
                  <c:v>45865</c:v>
                </c:pt>
                <c:pt idx="126">
                  <c:v>45864</c:v>
                </c:pt>
                <c:pt idx="127">
                  <c:v>45863</c:v>
                </c:pt>
                <c:pt idx="128">
                  <c:v>45862</c:v>
                </c:pt>
                <c:pt idx="129">
                  <c:v>45861</c:v>
                </c:pt>
                <c:pt idx="130">
                  <c:v>45860</c:v>
                </c:pt>
                <c:pt idx="131">
                  <c:v>45859</c:v>
                </c:pt>
                <c:pt idx="132">
                  <c:v>45858</c:v>
                </c:pt>
                <c:pt idx="133">
                  <c:v>45857</c:v>
                </c:pt>
                <c:pt idx="134">
                  <c:v>45856</c:v>
                </c:pt>
                <c:pt idx="135">
                  <c:v>45855</c:v>
                </c:pt>
                <c:pt idx="136">
                  <c:v>45854</c:v>
                </c:pt>
                <c:pt idx="137">
                  <c:v>45853</c:v>
                </c:pt>
                <c:pt idx="138">
                  <c:v>45852</c:v>
                </c:pt>
                <c:pt idx="139">
                  <c:v>45851</c:v>
                </c:pt>
                <c:pt idx="140">
                  <c:v>45850</c:v>
                </c:pt>
                <c:pt idx="141">
                  <c:v>45849</c:v>
                </c:pt>
                <c:pt idx="142">
                  <c:v>45848</c:v>
                </c:pt>
                <c:pt idx="143">
                  <c:v>45847</c:v>
                </c:pt>
                <c:pt idx="144">
                  <c:v>45846</c:v>
                </c:pt>
                <c:pt idx="145">
                  <c:v>45845</c:v>
                </c:pt>
                <c:pt idx="146">
                  <c:v>45844</c:v>
                </c:pt>
                <c:pt idx="147">
                  <c:v>45843</c:v>
                </c:pt>
                <c:pt idx="148">
                  <c:v>45842</c:v>
                </c:pt>
                <c:pt idx="149">
                  <c:v>45841</c:v>
                </c:pt>
                <c:pt idx="150">
                  <c:v>45840</c:v>
                </c:pt>
                <c:pt idx="151">
                  <c:v>45839</c:v>
                </c:pt>
                <c:pt idx="152">
                  <c:v>45838</c:v>
                </c:pt>
                <c:pt idx="153">
                  <c:v>45837</c:v>
                </c:pt>
                <c:pt idx="154">
                  <c:v>45836</c:v>
                </c:pt>
                <c:pt idx="155">
                  <c:v>45835</c:v>
                </c:pt>
                <c:pt idx="156">
                  <c:v>45834</c:v>
                </c:pt>
                <c:pt idx="157">
                  <c:v>45833</c:v>
                </c:pt>
                <c:pt idx="158">
                  <c:v>45832</c:v>
                </c:pt>
                <c:pt idx="159">
                  <c:v>45831</c:v>
                </c:pt>
                <c:pt idx="160">
                  <c:v>45830</c:v>
                </c:pt>
                <c:pt idx="161">
                  <c:v>45829</c:v>
                </c:pt>
                <c:pt idx="162">
                  <c:v>45828</c:v>
                </c:pt>
                <c:pt idx="163">
                  <c:v>45827</c:v>
                </c:pt>
                <c:pt idx="164">
                  <c:v>45826</c:v>
                </c:pt>
                <c:pt idx="165">
                  <c:v>45825</c:v>
                </c:pt>
                <c:pt idx="166">
                  <c:v>45824</c:v>
                </c:pt>
                <c:pt idx="167">
                  <c:v>45823</c:v>
                </c:pt>
                <c:pt idx="168">
                  <c:v>45822</c:v>
                </c:pt>
                <c:pt idx="169">
                  <c:v>45821</c:v>
                </c:pt>
                <c:pt idx="170">
                  <c:v>45820</c:v>
                </c:pt>
                <c:pt idx="171">
                  <c:v>45819</c:v>
                </c:pt>
                <c:pt idx="172">
                  <c:v>45818</c:v>
                </c:pt>
                <c:pt idx="173">
                  <c:v>45817</c:v>
                </c:pt>
                <c:pt idx="174">
                  <c:v>45816</c:v>
                </c:pt>
                <c:pt idx="175">
                  <c:v>45815</c:v>
                </c:pt>
                <c:pt idx="176">
                  <c:v>45814</c:v>
                </c:pt>
                <c:pt idx="177">
                  <c:v>45813</c:v>
                </c:pt>
                <c:pt idx="178">
                  <c:v>45812</c:v>
                </c:pt>
                <c:pt idx="179">
                  <c:v>45811</c:v>
                </c:pt>
                <c:pt idx="180">
                  <c:v>45810</c:v>
                </c:pt>
                <c:pt idx="181">
                  <c:v>45809</c:v>
                </c:pt>
                <c:pt idx="182">
                  <c:v>45808</c:v>
                </c:pt>
                <c:pt idx="183">
                  <c:v>45807</c:v>
                </c:pt>
                <c:pt idx="184">
                  <c:v>45806</c:v>
                </c:pt>
                <c:pt idx="185">
                  <c:v>45805</c:v>
                </c:pt>
                <c:pt idx="186">
                  <c:v>45804</c:v>
                </c:pt>
                <c:pt idx="187">
                  <c:v>45803</c:v>
                </c:pt>
                <c:pt idx="188">
                  <c:v>45802</c:v>
                </c:pt>
                <c:pt idx="189">
                  <c:v>45801</c:v>
                </c:pt>
                <c:pt idx="190">
                  <c:v>45800</c:v>
                </c:pt>
                <c:pt idx="191">
                  <c:v>45799</c:v>
                </c:pt>
                <c:pt idx="192">
                  <c:v>45798</c:v>
                </c:pt>
                <c:pt idx="193">
                  <c:v>45797</c:v>
                </c:pt>
                <c:pt idx="194">
                  <c:v>45796</c:v>
                </c:pt>
                <c:pt idx="195">
                  <c:v>45795</c:v>
                </c:pt>
                <c:pt idx="196">
                  <c:v>45794</c:v>
                </c:pt>
                <c:pt idx="197">
                  <c:v>45793</c:v>
                </c:pt>
                <c:pt idx="198">
                  <c:v>45792</c:v>
                </c:pt>
                <c:pt idx="199">
                  <c:v>45791</c:v>
                </c:pt>
                <c:pt idx="200">
                  <c:v>45790</c:v>
                </c:pt>
                <c:pt idx="201">
                  <c:v>45789</c:v>
                </c:pt>
                <c:pt idx="202">
                  <c:v>45788</c:v>
                </c:pt>
                <c:pt idx="203">
                  <c:v>45787</c:v>
                </c:pt>
                <c:pt idx="204">
                  <c:v>45786</c:v>
                </c:pt>
                <c:pt idx="205">
                  <c:v>45785</c:v>
                </c:pt>
                <c:pt idx="206">
                  <c:v>45784</c:v>
                </c:pt>
                <c:pt idx="207">
                  <c:v>45783</c:v>
                </c:pt>
                <c:pt idx="208">
                  <c:v>45782</c:v>
                </c:pt>
                <c:pt idx="209">
                  <c:v>45781</c:v>
                </c:pt>
                <c:pt idx="210">
                  <c:v>45780</c:v>
                </c:pt>
                <c:pt idx="211">
                  <c:v>45779</c:v>
                </c:pt>
                <c:pt idx="212">
                  <c:v>45778</c:v>
                </c:pt>
                <c:pt idx="213">
                  <c:v>45777</c:v>
                </c:pt>
                <c:pt idx="214">
                  <c:v>45776</c:v>
                </c:pt>
                <c:pt idx="215">
                  <c:v>45775</c:v>
                </c:pt>
                <c:pt idx="216">
                  <c:v>45774</c:v>
                </c:pt>
                <c:pt idx="217">
                  <c:v>45773</c:v>
                </c:pt>
                <c:pt idx="218">
                  <c:v>45772</c:v>
                </c:pt>
                <c:pt idx="219">
                  <c:v>45771</c:v>
                </c:pt>
                <c:pt idx="220">
                  <c:v>45770</c:v>
                </c:pt>
                <c:pt idx="221">
                  <c:v>45769</c:v>
                </c:pt>
                <c:pt idx="222">
                  <c:v>45768</c:v>
                </c:pt>
                <c:pt idx="223">
                  <c:v>45767</c:v>
                </c:pt>
                <c:pt idx="224">
                  <c:v>45766</c:v>
                </c:pt>
                <c:pt idx="225">
                  <c:v>45765</c:v>
                </c:pt>
                <c:pt idx="226">
                  <c:v>45764</c:v>
                </c:pt>
                <c:pt idx="227">
                  <c:v>45763</c:v>
                </c:pt>
                <c:pt idx="228">
                  <c:v>45762</c:v>
                </c:pt>
                <c:pt idx="229">
                  <c:v>45761</c:v>
                </c:pt>
                <c:pt idx="230">
                  <c:v>45760</c:v>
                </c:pt>
                <c:pt idx="231">
                  <c:v>45759</c:v>
                </c:pt>
                <c:pt idx="232">
                  <c:v>45758</c:v>
                </c:pt>
                <c:pt idx="233">
                  <c:v>45757</c:v>
                </c:pt>
                <c:pt idx="234">
                  <c:v>45756</c:v>
                </c:pt>
                <c:pt idx="235">
                  <c:v>45755</c:v>
                </c:pt>
                <c:pt idx="236">
                  <c:v>45754</c:v>
                </c:pt>
                <c:pt idx="237">
                  <c:v>45753</c:v>
                </c:pt>
                <c:pt idx="238">
                  <c:v>45752</c:v>
                </c:pt>
                <c:pt idx="239">
                  <c:v>45751</c:v>
                </c:pt>
                <c:pt idx="240">
                  <c:v>45750</c:v>
                </c:pt>
                <c:pt idx="241">
                  <c:v>45749</c:v>
                </c:pt>
                <c:pt idx="242">
                  <c:v>45748</c:v>
                </c:pt>
                <c:pt idx="243">
                  <c:v>45747</c:v>
                </c:pt>
                <c:pt idx="244">
                  <c:v>45746</c:v>
                </c:pt>
                <c:pt idx="245">
                  <c:v>45745</c:v>
                </c:pt>
                <c:pt idx="246">
                  <c:v>45744</c:v>
                </c:pt>
                <c:pt idx="247">
                  <c:v>45743</c:v>
                </c:pt>
                <c:pt idx="248">
                  <c:v>45742</c:v>
                </c:pt>
                <c:pt idx="249">
                  <c:v>45741</c:v>
                </c:pt>
                <c:pt idx="250">
                  <c:v>45740</c:v>
                </c:pt>
                <c:pt idx="251">
                  <c:v>45739</c:v>
                </c:pt>
                <c:pt idx="252">
                  <c:v>45738</c:v>
                </c:pt>
                <c:pt idx="253">
                  <c:v>45737</c:v>
                </c:pt>
                <c:pt idx="254">
                  <c:v>45736</c:v>
                </c:pt>
                <c:pt idx="255">
                  <c:v>45735</c:v>
                </c:pt>
                <c:pt idx="256">
                  <c:v>45734</c:v>
                </c:pt>
                <c:pt idx="257">
                  <c:v>45733</c:v>
                </c:pt>
                <c:pt idx="258">
                  <c:v>45732</c:v>
                </c:pt>
                <c:pt idx="259">
                  <c:v>45731</c:v>
                </c:pt>
                <c:pt idx="260">
                  <c:v>45730</c:v>
                </c:pt>
                <c:pt idx="261">
                  <c:v>45729</c:v>
                </c:pt>
                <c:pt idx="262">
                  <c:v>45728</c:v>
                </c:pt>
                <c:pt idx="263">
                  <c:v>45727</c:v>
                </c:pt>
                <c:pt idx="264">
                  <c:v>45726</c:v>
                </c:pt>
                <c:pt idx="265">
                  <c:v>45725</c:v>
                </c:pt>
                <c:pt idx="266">
                  <c:v>45724</c:v>
                </c:pt>
                <c:pt idx="267">
                  <c:v>45723</c:v>
                </c:pt>
                <c:pt idx="268">
                  <c:v>45722</c:v>
                </c:pt>
                <c:pt idx="269">
                  <c:v>45721</c:v>
                </c:pt>
                <c:pt idx="270">
                  <c:v>45720</c:v>
                </c:pt>
                <c:pt idx="271">
                  <c:v>45719</c:v>
                </c:pt>
                <c:pt idx="272">
                  <c:v>45718</c:v>
                </c:pt>
                <c:pt idx="273">
                  <c:v>45717</c:v>
                </c:pt>
                <c:pt idx="274">
                  <c:v>45716</c:v>
                </c:pt>
                <c:pt idx="275">
                  <c:v>45715</c:v>
                </c:pt>
                <c:pt idx="276">
                  <c:v>45714</c:v>
                </c:pt>
                <c:pt idx="277">
                  <c:v>45713</c:v>
                </c:pt>
                <c:pt idx="278">
                  <c:v>45712</c:v>
                </c:pt>
                <c:pt idx="279">
                  <c:v>45711</c:v>
                </c:pt>
                <c:pt idx="280">
                  <c:v>45710</c:v>
                </c:pt>
                <c:pt idx="281">
                  <c:v>45709</c:v>
                </c:pt>
                <c:pt idx="282">
                  <c:v>45708</c:v>
                </c:pt>
                <c:pt idx="283">
                  <c:v>45707</c:v>
                </c:pt>
                <c:pt idx="284">
                  <c:v>45706</c:v>
                </c:pt>
                <c:pt idx="285">
                  <c:v>45705</c:v>
                </c:pt>
                <c:pt idx="286">
                  <c:v>45704</c:v>
                </c:pt>
                <c:pt idx="287">
                  <c:v>45703</c:v>
                </c:pt>
                <c:pt idx="288">
                  <c:v>45702</c:v>
                </c:pt>
                <c:pt idx="289">
                  <c:v>45701</c:v>
                </c:pt>
                <c:pt idx="290">
                  <c:v>45700</c:v>
                </c:pt>
                <c:pt idx="291">
                  <c:v>45699</c:v>
                </c:pt>
                <c:pt idx="292">
                  <c:v>45698</c:v>
                </c:pt>
                <c:pt idx="293">
                  <c:v>45697</c:v>
                </c:pt>
                <c:pt idx="294">
                  <c:v>45696</c:v>
                </c:pt>
                <c:pt idx="295">
                  <c:v>45695</c:v>
                </c:pt>
                <c:pt idx="296">
                  <c:v>45694</c:v>
                </c:pt>
                <c:pt idx="297">
                  <c:v>45693</c:v>
                </c:pt>
                <c:pt idx="298">
                  <c:v>45692</c:v>
                </c:pt>
                <c:pt idx="299">
                  <c:v>45691</c:v>
                </c:pt>
                <c:pt idx="300">
                  <c:v>45690</c:v>
                </c:pt>
                <c:pt idx="301">
                  <c:v>45689</c:v>
                </c:pt>
                <c:pt idx="302">
                  <c:v>45688</c:v>
                </c:pt>
                <c:pt idx="303">
                  <c:v>45687</c:v>
                </c:pt>
                <c:pt idx="304">
                  <c:v>45686</c:v>
                </c:pt>
                <c:pt idx="305">
                  <c:v>45685</c:v>
                </c:pt>
                <c:pt idx="306">
                  <c:v>45684</c:v>
                </c:pt>
                <c:pt idx="307">
                  <c:v>45683</c:v>
                </c:pt>
                <c:pt idx="308">
                  <c:v>45682</c:v>
                </c:pt>
                <c:pt idx="309">
                  <c:v>45681</c:v>
                </c:pt>
                <c:pt idx="310">
                  <c:v>45680</c:v>
                </c:pt>
                <c:pt idx="311">
                  <c:v>45679</c:v>
                </c:pt>
                <c:pt idx="312">
                  <c:v>45678</c:v>
                </c:pt>
                <c:pt idx="313">
                  <c:v>45677</c:v>
                </c:pt>
                <c:pt idx="314">
                  <c:v>45676</c:v>
                </c:pt>
                <c:pt idx="315">
                  <c:v>45675</c:v>
                </c:pt>
                <c:pt idx="316">
                  <c:v>45674</c:v>
                </c:pt>
                <c:pt idx="317">
                  <c:v>45673</c:v>
                </c:pt>
                <c:pt idx="318">
                  <c:v>45672</c:v>
                </c:pt>
                <c:pt idx="319">
                  <c:v>45671</c:v>
                </c:pt>
                <c:pt idx="320">
                  <c:v>45670</c:v>
                </c:pt>
                <c:pt idx="321">
                  <c:v>45669</c:v>
                </c:pt>
                <c:pt idx="322">
                  <c:v>45668</c:v>
                </c:pt>
                <c:pt idx="323">
                  <c:v>45667</c:v>
                </c:pt>
                <c:pt idx="324">
                  <c:v>45666</c:v>
                </c:pt>
                <c:pt idx="325">
                  <c:v>45665</c:v>
                </c:pt>
                <c:pt idx="326">
                  <c:v>45664</c:v>
                </c:pt>
                <c:pt idx="327">
                  <c:v>45663</c:v>
                </c:pt>
                <c:pt idx="328">
                  <c:v>45662</c:v>
                </c:pt>
                <c:pt idx="329">
                  <c:v>45661</c:v>
                </c:pt>
                <c:pt idx="330">
                  <c:v>45660</c:v>
                </c:pt>
                <c:pt idx="331">
                  <c:v>45659</c:v>
                </c:pt>
                <c:pt idx="332">
                  <c:v>45658</c:v>
                </c:pt>
                <c:pt idx="333">
                  <c:v>45657</c:v>
                </c:pt>
                <c:pt idx="334">
                  <c:v>45656</c:v>
                </c:pt>
                <c:pt idx="335">
                  <c:v>45655</c:v>
                </c:pt>
                <c:pt idx="336">
                  <c:v>45654</c:v>
                </c:pt>
                <c:pt idx="337">
                  <c:v>45653</c:v>
                </c:pt>
                <c:pt idx="338">
                  <c:v>45652</c:v>
                </c:pt>
                <c:pt idx="339">
                  <c:v>45651</c:v>
                </c:pt>
                <c:pt idx="340">
                  <c:v>45650</c:v>
                </c:pt>
                <c:pt idx="341">
                  <c:v>45649</c:v>
                </c:pt>
                <c:pt idx="342">
                  <c:v>45648</c:v>
                </c:pt>
                <c:pt idx="343">
                  <c:v>45647</c:v>
                </c:pt>
                <c:pt idx="344">
                  <c:v>45646</c:v>
                </c:pt>
                <c:pt idx="345">
                  <c:v>45645</c:v>
                </c:pt>
                <c:pt idx="346">
                  <c:v>45644</c:v>
                </c:pt>
                <c:pt idx="347">
                  <c:v>45643</c:v>
                </c:pt>
                <c:pt idx="348">
                  <c:v>45642</c:v>
                </c:pt>
                <c:pt idx="349">
                  <c:v>45641</c:v>
                </c:pt>
                <c:pt idx="350">
                  <c:v>45640</c:v>
                </c:pt>
                <c:pt idx="351">
                  <c:v>45639</c:v>
                </c:pt>
                <c:pt idx="352">
                  <c:v>45638</c:v>
                </c:pt>
                <c:pt idx="353">
                  <c:v>45637</c:v>
                </c:pt>
                <c:pt idx="354">
                  <c:v>45636</c:v>
                </c:pt>
                <c:pt idx="355">
                  <c:v>45635</c:v>
                </c:pt>
                <c:pt idx="356">
                  <c:v>45634</c:v>
                </c:pt>
                <c:pt idx="357">
                  <c:v>45633</c:v>
                </c:pt>
                <c:pt idx="358">
                  <c:v>45632</c:v>
                </c:pt>
                <c:pt idx="359">
                  <c:v>45631</c:v>
                </c:pt>
                <c:pt idx="360">
                  <c:v>45630</c:v>
                </c:pt>
                <c:pt idx="361">
                  <c:v>45629</c:v>
                </c:pt>
                <c:pt idx="362">
                  <c:v>45628</c:v>
                </c:pt>
                <c:pt idx="363">
                  <c:v>45627</c:v>
                </c:pt>
                <c:pt idx="364">
                  <c:v>45626</c:v>
                </c:pt>
                <c:pt idx="365">
                  <c:v>45625</c:v>
                </c:pt>
                <c:pt idx="366">
                  <c:v>45624</c:v>
                </c:pt>
                <c:pt idx="367">
                  <c:v>45623</c:v>
                </c:pt>
                <c:pt idx="368">
                  <c:v>45622</c:v>
                </c:pt>
                <c:pt idx="369">
                  <c:v>45621</c:v>
                </c:pt>
                <c:pt idx="370">
                  <c:v>45620</c:v>
                </c:pt>
                <c:pt idx="371">
                  <c:v>45619</c:v>
                </c:pt>
                <c:pt idx="372">
                  <c:v>45618</c:v>
                </c:pt>
                <c:pt idx="373">
                  <c:v>45617</c:v>
                </c:pt>
                <c:pt idx="374">
                  <c:v>45616</c:v>
                </c:pt>
                <c:pt idx="375">
                  <c:v>45615</c:v>
                </c:pt>
                <c:pt idx="376">
                  <c:v>45614</c:v>
                </c:pt>
                <c:pt idx="377">
                  <c:v>45613</c:v>
                </c:pt>
                <c:pt idx="378">
                  <c:v>45612</c:v>
                </c:pt>
                <c:pt idx="379">
                  <c:v>45611</c:v>
                </c:pt>
                <c:pt idx="380">
                  <c:v>45610</c:v>
                </c:pt>
                <c:pt idx="381">
                  <c:v>45609</c:v>
                </c:pt>
                <c:pt idx="382">
                  <c:v>45608</c:v>
                </c:pt>
                <c:pt idx="383">
                  <c:v>45607</c:v>
                </c:pt>
                <c:pt idx="384">
                  <c:v>45606</c:v>
                </c:pt>
                <c:pt idx="385">
                  <c:v>45605</c:v>
                </c:pt>
                <c:pt idx="386">
                  <c:v>45604</c:v>
                </c:pt>
                <c:pt idx="387">
                  <c:v>45603</c:v>
                </c:pt>
                <c:pt idx="388">
                  <c:v>45602</c:v>
                </c:pt>
                <c:pt idx="389">
                  <c:v>45601</c:v>
                </c:pt>
                <c:pt idx="390">
                  <c:v>45600</c:v>
                </c:pt>
                <c:pt idx="391">
                  <c:v>45599</c:v>
                </c:pt>
                <c:pt idx="392">
                  <c:v>45598</c:v>
                </c:pt>
                <c:pt idx="393">
                  <c:v>45597</c:v>
                </c:pt>
                <c:pt idx="394">
                  <c:v>45596</c:v>
                </c:pt>
                <c:pt idx="395">
                  <c:v>45595</c:v>
                </c:pt>
                <c:pt idx="396">
                  <c:v>45594</c:v>
                </c:pt>
                <c:pt idx="397">
                  <c:v>45593</c:v>
                </c:pt>
                <c:pt idx="398">
                  <c:v>45592</c:v>
                </c:pt>
                <c:pt idx="399">
                  <c:v>45591</c:v>
                </c:pt>
                <c:pt idx="400">
                  <c:v>45590</c:v>
                </c:pt>
                <c:pt idx="401">
                  <c:v>45589</c:v>
                </c:pt>
                <c:pt idx="402">
                  <c:v>45588</c:v>
                </c:pt>
                <c:pt idx="403">
                  <c:v>45587</c:v>
                </c:pt>
                <c:pt idx="404">
                  <c:v>45586</c:v>
                </c:pt>
              </c:numCache>
            </c:numRef>
          </c:cat>
          <c:val>
            <c:numRef>
              <c:f>Dashboard!$E$154:$E$558</c:f>
              <c:numCache>
                <c:formatCode>General</c:formatCode>
                <c:ptCount val="405"/>
                <c:pt idx="8">
                  <c:v>188.76742176757386</c:v>
                </c:pt>
                <c:pt idx="9">
                  <c:v>189.64718235571681</c:v>
                </c:pt>
                <c:pt idx="10">
                  <c:v>190.52694294385958</c:v>
                </c:pt>
                <c:pt idx="11">
                  <c:v>191.40670353200235</c:v>
                </c:pt>
                <c:pt idx="12">
                  <c:v>192.28646412014513</c:v>
                </c:pt>
                <c:pt idx="13">
                  <c:v>193.1662247082879</c:v>
                </c:pt>
                <c:pt idx="14">
                  <c:v>194.04598529643067</c:v>
                </c:pt>
                <c:pt idx="15">
                  <c:v>194.92574588457344</c:v>
                </c:pt>
                <c:pt idx="16">
                  <c:v>195.80550647271622</c:v>
                </c:pt>
                <c:pt idx="17">
                  <c:v>196.68526706085899</c:v>
                </c:pt>
                <c:pt idx="18">
                  <c:v>197.56502764900176</c:v>
                </c:pt>
                <c:pt idx="19">
                  <c:v>198.44478823714454</c:v>
                </c:pt>
                <c:pt idx="20">
                  <c:v>199.32454882528731</c:v>
                </c:pt>
                <c:pt idx="21">
                  <c:v>200.20430941343008</c:v>
                </c:pt>
                <c:pt idx="22">
                  <c:v>201.08407000157285</c:v>
                </c:pt>
                <c:pt idx="23">
                  <c:v>201.96383058971563</c:v>
                </c:pt>
                <c:pt idx="24">
                  <c:v>202.8435911778584</c:v>
                </c:pt>
                <c:pt idx="25">
                  <c:v>203.72335176600117</c:v>
                </c:pt>
                <c:pt idx="26">
                  <c:v>204.60311235414395</c:v>
                </c:pt>
                <c:pt idx="27">
                  <c:v>205.48287294228672</c:v>
                </c:pt>
                <c:pt idx="28">
                  <c:v>206.36263353042949</c:v>
                </c:pt>
                <c:pt idx="29">
                  <c:v>207.24239411857226</c:v>
                </c:pt>
                <c:pt idx="30">
                  <c:v>208.12215470671504</c:v>
                </c:pt>
                <c:pt idx="31">
                  <c:v>209.00191529485781</c:v>
                </c:pt>
                <c:pt idx="32">
                  <c:v>209.88167588300058</c:v>
                </c:pt>
                <c:pt idx="33">
                  <c:v>210.76143647114336</c:v>
                </c:pt>
                <c:pt idx="34">
                  <c:v>211.64119705928613</c:v>
                </c:pt>
                <c:pt idx="35">
                  <c:v>212.5209576474289</c:v>
                </c:pt>
                <c:pt idx="36">
                  <c:v>213.40071823557167</c:v>
                </c:pt>
                <c:pt idx="37">
                  <c:v>214.28047882371445</c:v>
                </c:pt>
                <c:pt idx="38">
                  <c:v>215.16023941185722</c:v>
                </c:pt>
                <c:pt idx="39">
                  <c:v>216.04</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45990</c:v>
                </c:pt>
                <c:pt idx="1">
                  <c:v>45989</c:v>
                </c:pt>
                <c:pt idx="2">
                  <c:v>45988</c:v>
                </c:pt>
                <c:pt idx="3">
                  <c:v>45987</c:v>
                </c:pt>
                <c:pt idx="4">
                  <c:v>45986</c:v>
                </c:pt>
                <c:pt idx="5">
                  <c:v>45985</c:v>
                </c:pt>
                <c:pt idx="6">
                  <c:v>45984</c:v>
                </c:pt>
                <c:pt idx="7">
                  <c:v>45983</c:v>
                </c:pt>
                <c:pt idx="8">
                  <c:v>45982</c:v>
                </c:pt>
                <c:pt idx="9">
                  <c:v>45981</c:v>
                </c:pt>
                <c:pt idx="10">
                  <c:v>45980</c:v>
                </c:pt>
                <c:pt idx="11">
                  <c:v>45979</c:v>
                </c:pt>
                <c:pt idx="12">
                  <c:v>45978</c:v>
                </c:pt>
                <c:pt idx="13">
                  <c:v>45977</c:v>
                </c:pt>
                <c:pt idx="14">
                  <c:v>45976</c:v>
                </c:pt>
                <c:pt idx="15">
                  <c:v>45975</c:v>
                </c:pt>
                <c:pt idx="16">
                  <c:v>45974</c:v>
                </c:pt>
                <c:pt idx="17">
                  <c:v>45973</c:v>
                </c:pt>
                <c:pt idx="18">
                  <c:v>45972</c:v>
                </c:pt>
                <c:pt idx="19">
                  <c:v>45971</c:v>
                </c:pt>
                <c:pt idx="20">
                  <c:v>45970</c:v>
                </c:pt>
                <c:pt idx="21">
                  <c:v>45969</c:v>
                </c:pt>
                <c:pt idx="22">
                  <c:v>45968</c:v>
                </c:pt>
                <c:pt idx="23">
                  <c:v>45967</c:v>
                </c:pt>
                <c:pt idx="24">
                  <c:v>45966</c:v>
                </c:pt>
                <c:pt idx="25">
                  <c:v>45965</c:v>
                </c:pt>
                <c:pt idx="26">
                  <c:v>45964</c:v>
                </c:pt>
                <c:pt idx="27">
                  <c:v>45963</c:v>
                </c:pt>
                <c:pt idx="28">
                  <c:v>45962</c:v>
                </c:pt>
                <c:pt idx="29">
                  <c:v>45961</c:v>
                </c:pt>
                <c:pt idx="30">
                  <c:v>45960</c:v>
                </c:pt>
                <c:pt idx="31">
                  <c:v>45959</c:v>
                </c:pt>
                <c:pt idx="32">
                  <c:v>45958</c:v>
                </c:pt>
                <c:pt idx="33">
                  <c:v>45957</c:v>
                </c:pt>
                <c:pt idx="34">
                  <c:v>45956</c:v>
                </c:pt>
                <c:pt idx="35">
                  <c:v>45955</c:v>
                </c:pt>
                <c:pt idx="36">
                  <c:v>45954</c:v>
                </c:pt>
                <c:pt idx="37">
                  <c:v>45953</c:v>
                </c:pt>
                <c:pt idx="38">
                  <c:v>45952</c:v>
                </c:pt>
                <c:pt idx="39">
                  <c:v>45951</c:v>
                </c:pt>
                <c:pt idx="40">
                  <c:v>45950</c:v>
                </c:pt>
                <c:pt idx="41">
                  <c:v>45949</c:v>
                </c:pt>
                <c:pt idx="42">
                  <c:v>45948</c:v>
                </c:pt>
                <c:pt idx="43">
                  <c:v>45947</c:v>
                </c:pt>
                <c:pt idx="44">
                  <c:v>45946</c:v>
                </c:pt>
                <c:pt idx="45">
                  <c:v>45945</c:v>
                </c:pt>
                <c:pt idx="46">
                  <c:v>45944</c:v>
                </c:pt>
                <c:pt idx="47">
                  <c:v>45943</c:v>
                </c:pt>
                <c:pt idx="48">
                  <c:v>45942</c:v>
                </c:pt>
                <c:pt idx="49">
                  <c:v>45941</c:v>
                </c:pt>
                <c:pt idx="50">
                  <c:v>45940</c:v>
                </c:pt>
                <c:pt idx="51">
                  <c:v>45939</c:v>
                </c:pt>
                <c:pt idx="52">
                  <c:v>45938</c:v>
                </c:pt>
                <c:pt idx="53">
                  <c:v>45937</c:v>
                </c:pt>
                <c:pt idx="54">
                  <c:v>45936</c:v>
                </c:pt>
                <c:pt idx="55">
                  <c:v>45935</c:v>
                </c:pt>
                <c:pt idx="56">
                  <c:v>45934</c:v>
                </c:pt>
                <c:pt idx="57">
                  <c:v>45933</c:v>
                </c:pt>
                <c:pt idx="58">
                  <c:v>45932</c:v>
                </c:pt>
                <c:pt idx="59">
                  <c:v>45931</c:v>
                </c:pt>
                <c:pt idx="60">
                  <c:v>45930</c:v>
                </c:pt>
                <c:pt idx="61">
                  <c:v>45929</c:v>
                </c:pt>
                <c:pt idx="62">
                  <c:v>45928</c:v>
                </c:pt>
                <c:pt idx="63">
                  <c:v>45927</c:v>
                </c:pt>
                <c:pt idx="64">
                  <c:v>45926</c:v>
                </c:pt>
                <c:pt idx="65">
                  <c:v>45925</c:v>
                </c:pt>
                <c:pt idx="66">
                  <c:v>45924</c:v>
                </c:pt>
                <c:pt idx="67">
                  <c:v>45923</c:v>
                </c:pt>
                <c:pt idx="68">
                  <c:v>45922</c:v>
                </c:pt>
                <c:pt idx="69">
                  <c:v>45921</c:v>
                </c:pt>
                <c:pt idx="70">
                  <c:v>45920</c:v>
                </c:pt>
                <c:pt idx="71">
                  <c:v>45919</c:v>
                </c:pt>
                <c:pt idx="72">
                  <c:v>45918</c:v>
                </c:pt>
                <c:pt idx="73">
                  <c:v>45917</c:v>
                </c:pt>
                <c:pt idx="74">
                  <c:v>45916</c:v>
                </c:pt>
                <c:pt idx="75">
                  <c:v>45915</c:v>
                </c:pt>
                <c:pt idx="76">
                  <c:v>45914</c:v>
                </c:pt>
                <c:pt idx="77">
                  <c:v>45913</c:v>
                </c:pt>
                <c:pt idx="78">
                  <c:v>45912</c:v>
                </c:pt>
                <c:pt idx="79">
                  <c:v>45911</c:v>
                </c:pt>
                <c:pt idx="80">
                  <c:v>45910</c:v>
                </c:pt>
                <c:pt idx="81">
                  <c:v>45909</c:v>
                </c:pt>
                <c:pt idx="82">
                  <c:v>45908</c:v>
                </c:pt>
                <c:pt idx="83">
                  <c:v>45907</c:v>
                </c:pt>
                <c:pt idx="84">
                  <c:v>45906</c:v>
                </c:pt>
                <c:pt idx="85">
                  <c:v>45905</c:v>
                </c:pt>
                <c:pt idx="86">
                  <c:v>45904</c:v>
                </c:pt>
                <c:pt idx="87">
                  <c:v>45903</c:v>
                </c:pt>
                <c:pt idx="88">
                  <c:v>45902</c:v>
                </c:pt>
                <c:pt idx="89">
                  <c:v>45901</c:v>
                </c:pt>
                <c:pt idx="90">
                  <c:v>45900</c:v>
                </c:pt>
                <c:pt idx="91">
                  <c:v>45899</c:v>
                </c:pt>
                <c:pt idx="92">
                  <c:v>45898</c:v>
                </c:pt>
                <c:pt idx="93">
                  <c:v>45897</c:v>
                </c:pt>
                <c:pt idx="94">
                  <c:v>45896</c:v>
                </c:pt>
                <c:pt idx="95">
                  <c:v>45895</c:v>
                </c:pt>
                <c:pt idx="96">
                  <c:v>45894</c:v>
                </c:pt>
                <c:pt idx="97">
                  <c:v>45893</c:v>
                </c:pt>
                <c:pt idx="98">
                  <c:v>45892</c:v>
                </c:pt>
                <c:pt idx="99">
                  <c:v>45891</c:v>
                </c:pt>
                <c:pt idx="100">
                  <c:v>45890</c:v>
                </c:pt>
                <c:pt idx="101">
                  <c:v>45889</c:v>
                </c:pt>
                <c:pt idx="102">
                  <c:v>45888</c:v>
                </c:pt>
                <c:pt idx="103">
                  <c:v>45887</c:v>
                </c:pt>
                <c:pt idx="104">
                  <c:v>45886</c:v>
                </c:pt>
                <c:pt idx="105">
                  <c:v>45885</c:v>
                </c:pt>
                <c:pt idx="106">
                  <c:v>45884</c:v>
                </c:pt>
                <c:pt idx="107">
                  <c:v>45883</c:v>
                </c:pt>
                <c:pt idx="108">
                  <c:v>45882</c:v>
                </c:pt>
                <c:pt idx="109">
                  <c:v>45881</c:v>
                </c:pt>
                <c:pt idx="110">
                  <c:v>45880</c:v>
                </c:pt>
                <c:pt idx="111">
                  <c:v>45879</c:v>
                </c:pt>
                <c:pt idx="112">
                  <c:v>45878</c:v>
                </c:pt>
                <c:pt idx="113">
                  <c:v>45877</c:v>
                </c:pt>
                <c:pt idx="114">
                  <c:v>45876</c:v>
                </c:pt>
                <c:pt idx="115">
                  <c:v>45875</c:v>
                </c:pt>
                <c:pt idx="116">
                  <c:v>45874</c:v>
                </c:pt>
                <c:pt idx="117">
                  <c:v>45873</c:v>
                </c:pt>
                <c:pt idx="118">
                  <c:v>45872</c:v>
                </c:pt>
                <c:pt idx="119">
                  <c:v>45871</c:v>
                </c:pt>
                <c:pt idx="120">
                  <c:v>45870</c:v>
                </c:pt>
                <c:pt idx="121">
                  <c:v>45869</c:v>
                </c:pt>
                <c:pt idx="122">
                  <c:v>45868</c:v>
                </c:pt>
                <c:pt idx="123">
                  <c:v>45867</c:v>
                </c:pt>
                <c:pt idx="124">
                  <c:v>45866</c:v>
                </c:pt>
                <c:pt idx="125">
                  <c:v>45865</c:v>
                </c:pt>
                <c:pt idx="126">
                  <c:v>45864</c:v>
                </c:pt>
                <c:pt idx="127">
                  <c:v>45863</c:v>
                </c:pt>
                <c:pt idx="128">
                  <c:v>45862</c:v>
                </c:pt>
                <c:pt idx="129">
                  <c:v>45861</c:v>
                </c:pt>
                <c:pt idx="130">
                  <c:v>45860</c:v>
                </c:pt>
                <c:pt idx="131">
                  <c:v>45859</c:v>
                </c:pt>
                <c:pt idx="132">
                  <c:v>45858</c:v>
                </c:pt>
                <c:pt idx="133">
                  <c:v>45857</c:v>
                </c:pt>
                <c:pt idx="134">
                  <c:v>45856</c:v>
                </c:pt>
                <c:pt idx="135">
                  <c:v>45855</c:v>
                </c:pt>
                <c:pt idx="136">
                  <c:v>45854</c:v>
                </c:pt>
                <c:pt idx="137">
                  <c:v>45853</c:v>
                </c:pt>
                <c:pt idx="138">
                  <c:v>45852</c:v>
                </c:pt>
                <c:pt idx="139">
                  <c:v>45851</c:v>
                </c:pt>
                <c:pt idx="140">
                  <c:v>45850</c:v>
                </c:pt>
                <c:pt idx="141">
                  <c:v>45849</c:v>
                </c:pt>
                <c:pt idx="142">
                  <c:v>45848</c:v>
                </c:pt>
                <c:pt idx="143">
                  <c:v>45847</c:v>
                </c:pt>
                <c:pt idx="144">
                  <c:v>45846</c:v>
                </c:pt>
                <c:pt idx="145">
                  <c:v>45845</c:v>
                </c:pt>
                <c:pt idx="146">
                  <c:v>45844</c:v>
                </c:pt>
                <c:pt idx="147">
                  <c:v>45843</c:v>
                </c:pt>
                <c:pt idx="148">
                  <c:v>45842</c:v>
                </c:pt>
                <c:pt idx="149">
                  <c:v>45841</c:v>
                </c:pt>
                <c:pt idx="150">
                  <c:v>45840</c:v>
                </c:pt>
                <c:pt idx="151">
                  <c:v>45839</c:v>
                </c:pt>
                <c:pt idx="152">
                  <c:v>45838</c:v>
                </c:pt>
                <c:pt idx="153">
                  <c:v>45837</c:v>
                </c:pt>
                <c:pt idx="154">
                  <c:v>45836</c:v>
                </c:pt>
                <c:pt idx="155">
                  <c:v>45835</c:v>
                </c:pt>
                <c:pt idx="156">
                  <c:v>45834</c:v>
                </c:pt>
                <c:pt idx="157">
                  <c:v>45833</c:v>
                </c:pt>
                <c:pt idx="158">
                  <c:v>45832</c:v>
                </c:pt>
                <c:pt idx="159">
                  <c:v>45831</c:v>
                </c:pt>
                <c:pt idx="160">
                  <c:v>45830</c:v>
                </c:pt>
                <c:pt idx="161">
                  <c:v>45829</c:v>
                </c:pt>
                <c:pt idx="162">
                  <c:v>45828</c:v>
                </c:pt>
                <c:pt idx="163">
                  <c:v>45827</c:v>
                </c:pt>
                <c:pt idx="164">
                  <c:v>45826</c:v>
                </c:pt>
                <c:pt idx="165">
                  <c:v>45825</c:v>
                </c:pt>
                <c:pt idx="166">
                  <c:v>45824</c:v>
                </c:pt>
                <c:pt idx="167">
                  <c:v>45823</c:v>
                </c:pt>
                <c:pt idx="168">
                  <c:v>45822</c:v>
                </c:pt>
                <c:pt idx="169">
                  <c:v>45821</c:v>
                </c:pt>
                <c:pt idx="170">
                  <c:v>45820</c:v>
                </c:pt>
                <c:pt idx="171">
                  <c:v>45819</c:v>
                </c:pt>
                <c:pt idx="172">
                  <c:v>45818</c:v>
                </c:pt>
                <c:pt idx="173">
                  <c:v>45817</c:v>
                </c:pt>
                <c:pt idx="174">
                  <c:v>45816</c:v>
                </c:pt>
                <c:pt idx="175">
                  <c:v>45815</c:v>
                </c:pt>
                <c:pt idx="176">
                  <c:v>45814</c:v>
                </c:pt>
                <c:pt idx="177">
                  <c:v>45813</c:v>
                </c:pt>
                <c:pt idx="178">
                  <c:v>45812</c:v>
                </c:pt>
                <c:pt idx="179">
                  <c:v>45811</c:v>
                </c:pt>
                <c:pt idx="180">
                  <c:v>45810</c:v>
                </c:pt>
                <c:pt idx="181">
                  <c:v>45809</c:v>
                </c:pt>
                <c:pt idx="182">
                  <c:v>45808</c:v>
                </c:pt>
                <c:pt idx="183">
                  <c:v>45807</c:v>
                </c:pt>
                <c:pt idx="184">
                  <c:v>45806</c:v>
                </c:pt>
                <c:pt idx="185">
                  <c:v>45805</c:v>
                </c:pt>
                <c:pt idx="186">
                  <c:v>45804</c:v>
                </c:pt>
                <c:pt idx="187">
                  <c:v>45803</c:v>
                </c:pt>
                <c:pt idx="188">
                  <c:v>45802</c:v>
                </c:pt>
                <c:pt idx="189">
                  <c:v>45801</c:v>
                </c:pt>
                <c:pt idx="190">
                  <c:v>45800</c:v>
                </c:pt>
                <c:pt idx="191">
                  <c:v>45799</c:v>
                </c:pt>
                <c:pt idx="192">
                  <c:v>45798</c:v>
                </c:pt>
                <c:pt idx="193">
                  <c:v>45797</c:v>
                </c:pt>
                <c:pt idx="194">
                  <c:v>45796</c:v>
                </c:pt>
                <c:pt idx="195">
                  <c:v>45795</c:v>
                </c:pt>
                <c:pt idx="196">
                  <c:v>45794</c:v>
                </c:pt>
                <c:pt idx="197">
                  <c:v>45793</c:v>
                </c:pt>
                <c:pt idx="198">
                  <c:v>45792</c:v>
                </c:pt>
                <c:pt idx="199">
                  <c:v>45791</c:v>
                </c:pt>
                <c:pt idx="200">
                  <c:v>45790</c:v>
                </c:pt>
                <c:pt idx="201">
                  <c:v>45789</c:v>
                </c:pt>
                <c:pt idx="202">
                  <c:v>45788</c:v>
                </c:pt>
                <c:pt idx="203">
                  <c:v>45787</c:v>
                </c:pt>
                <c:pt idx="204">
                  <c:v>45786</c:v>
                </c:pt>
                <c:pt idx="205">
                  <c:v>45785</c:v>
                </c:pt>
                <c:pt idx="206">
                  <c:v>45784</c:v>
                </c:pt>
                <c:pt idx="207">
                  <c:v>45783</c:v>
                </c:pt>
                <c:pt idx="208">
                  <c:v>45782</c:v>
                </c:pt>
                <c:pt idx="209">
                  <c:v>45781</c:v>
                </c:pt>
                <c:pt idx="210">
                  <c:v>45780</c:v>
                </c:pt>
                <c:pt idx="211">
                  <c:v>45779</c:v>
                </c:pt>
                <c:pt idx="212">
                  <c:v>45778</c:v>
                </c:pt>
                <c:pt idx="213">
                  <c:v>45777</c:v>
                </c:pt>
                <c:pt idx="214">
                  <c:v>45776</c:v>
                </c:pt>
                <c:pt idx="215">
                  <c:v>45775</c:v>
                </c:pt>
                <c:pt idx="216">
                  <c:v>45774</c:v>
                </c:pt>
                <c:pt idx="217">
                  <c:v>45773</c:v>
                </c:pt>
                <c:pt idx="218">
                  <c:v>45772</c:v>
                </c:pt>
                <c:pt idx="219">
                  <c:v>45771</c:v>
                </c:pt>
                <c:pt idx="220">
                  <c:v>45770</c:v>
                </c:pt>
                <c:pt idx="221">
                  <c:v>45769</c:v>
                </c:pt>
                <c:pt idx="222">
                  <c:v>45768</c:v>
                </c:pt>
                <c:pt idx="223">
                  <c:v>45767</c:v>
                </c:pt>
                <c:pt idx="224">
                  <c:v>45766</c:v>
                </c:pt>
                <c:pt idx="225">
                  <c:v>45765</c:v>
                </c:pt>
                <c:pt idx="226">
                  <c:v>45764</c:v>
                </c:pt>
                <c:pt idx="227">
                  <c:v>45763</c:v>
                </c:pt>
                <c:pt idx="228">
                  <c:v>45762</c:v>
                </c:pt>
                <c:pt idx="229">
                  <c:v>45761</c:v>
                </c:pt>
                <c:pt idx="230">
                  <c:v>45760</c:v>
                </c:pt>
                <c:pt idx="231">
                  <c:v>45759</c:v>
                </c:pt>
                <c:pt idx="232">
                  <c:v>45758</c:v>
                </c:pt>
                <c:pt idx="233">
                  <c:v>45757</c:v>
                </c:pt>
                <c:pt idx="234">
                  <c:v>45756</c:v>
                </c:pt>
                <c:pt idx="235">
                  <c:v>45755</c:v>
                </c:pt>
                <c:pt idx="236">
                  <c:v>45754</c:v>
                </c:pt>
                <c:pt idx="237">
                  <c:v>45753</c:v>
                </c:pt>
                <c:pt idx="238">
                  <c:v>45752</c:v>
                </c:pt>
                <c:pt idx="239">
                  <c:v>45751</c:v>
                </c:pt>
                <c:pt idx="240">
                  <c:v>45750</c:v>
                </c:pt>
                <c:pt idx="241">
                  <c:v>45749</c:v>
                </c:pt>
                <c:pt idx="242">
                  <c:v>45748</c:v>
                </c:pt>
                <c:pt idx="243">
                  <c:v>45747</c:v>
                </c:pt>
                <c:pt idx="244">
                  <c:v>45746</c:v>
                </c:pt>
                <c:pt idx="245">
                  <c:v>45745</c:v>
                </c:pt>
                <c:pt idx="246">
                  <c:v>45744</c:v>
                </c:pt>
                <c:pt idx="247">
                  <c:v>45743</c:v>
                </c:pt>
                <c:pt idx="248">
                  <c:v>45742</c:v>
                </c:pt>
                <c:pt idx="249">
                  <c:v>45741</c:v>
                </c:pt>
                <c:pt idx="250">
                  <c:v>45740</c:v>
                </c:pt>
                <c:pt idx="251">
                  <c:v>45739</c:v>
                </c:pt>
                <c:pt idx="252">
                  <c:v>45738</c:v>
                </c:pt>
                <c:pt idx="253">
                  <c:v>45737</c:v>
                </c:pt>
                <c:pt idx="254">
                  <c:v>45736</c:v>
                </c:pt>
                <c:pt idx="255">
                  <c:v>45735</c:v>
                </c:pt>
                <c:pt idx="256">
                  <c:v>45734</c:v>
                </c:pt>
                <c:pt idx="257">
                  <c:v>45733</c:v>
                </c:pt>
                <c:pt idx="258">
                  <c:v>45732</c:v>
                </c:pt>
                <c:pt idx="259">
                  <c:v>45731</c:v>
                </c:pt>
                <c:pt idx="260">
                  <c:v>45730</c:v>
                </c:pt>
                <c:pt idx="261">
                  <c:v>45729</c:v>
                </c:pt>
                <c:pt idx="262">
                  <c:v>45728</c:v>
                </c:pt>
                <c:pt idx="263">
                  <c:v>45727</c:v>
                </c:pt>
                <c:pt idx="264">
                  <c:v>45726</c:v>
                </c:pt>
                <c:pt idx="265">
                  <c:v>45725</c:v>
                </c:pt>
                <c:pt idx="266">
                  <c:v>45724</c:v>
                </c:pt>
                <c:pt idx="267">
                  <c:v>45723</c:v>
                </c:pt>
                <c:pt idx="268">
                  <c:v>45722</c:v>
                </c:pt>
                <c:pt idx="269">
                  <c:v>45721</c:v>
                </c:pt>
                <c:pt idx="270">
                  <c:v>45720</c:v>
                </c:pt>
                <c:pt idx="271">
                  <c:v>45719</c:v>
                </c:pt>
                <c:pt idx="272">
                  <c:v>45718</c:v>
                </c:pt>
                <c:pt idx="273">
                  <c:v>45717</c:v>
                </c:pt>
                <c:pt idx="274">
                  <c:v>45716</c:v>
                </c:pt>
                <c:pt idx="275">
                  <c:v>45715</c:v>
                </c:pt>
                <c:pt idx="276">
                  <c:v>45714</c:v>
                </c:pt>
                <c:pt idx="277">
                  <c:v>45713</c:v>
                </c:pt>
                <c:pt idx="278">
                  <c:v>45712</c:v>
                </c:pt>
                <c:pt idx="279">
                  <c:v>45711</c:v>
                </c:pt>
                <c:pt idx="280">
                  <c:v>45710</c:v>
                </c:pt>
                <c:pt idx="281">
                  <c:v>45709</c:v>
                </c:pt>
                <c:pt idx="282">
                  <c:v>45708</c:v>
                </c:pt>
                <c:pt idx="283">
                  <c:v>45707</c:v>
                </c:pt>
                <c:pt idx="284">
                  <c:v>45706</c:v>
                </c:pt>
                <c:pt idx="285">
                  <c:v>45705</c:v>
                </c:pt>
                <c:pt idx="286">
                  <c:v>45704</c:v>
                </c:pt>
                <c:pt idx="287">
                  <c:v>45703</c:v>
                </c:pt>
                <c:pt idx="288">
                  <c:v>45702</c:v>
                </c:pt>
                <c:pt idx="289">
                  <c:v>45701</c:v>
                </c:pt>
                <c:pt idx="290">
                  <c:v>45700</c:v>
                </c:pt>
                <c:pt idx="291">
                  <c:v>45699</c:v>
                </c:pt>
                <c:pt idx="292">
                  <c:v>45698</c:v>
                </c:pt>
                <c:pt idx="293">
                  <c:v>45697</c:v>
                </c:pt>
                <c:pt idx="294">
                  <c:v>45696</c:v>
                </c:pt>
                <c:pt idx="295">
                  <c:v>45695</c:v>
                </c:pt>
                <c:pt idx="296">
                  <c:v>45694</c:v>
                </c:pt>
                <c:pt idx="297">
                  <c:v>45693</c:v>
                </c:pt>
                <c:pt idx="298">
                  <c:v>45692</c:v>
                </c:pt>
                <c:pt idx="299">
                  <c:v>45691</c:v>
                </c:pt>
                <c:pt idx="300">
                  <c:v>45690</c:v>
                </c:pt>
                <c:pt idx="301">
                  <c:v>45689</c:v>
                </c:pt>
                <c:pt idx="302">
                  <c:v>45688</c:v>
                </c:pt>
                <c:pt idx="303">
                  <c:v>45687</c:v>
                </c:pt>
                <c:pt idx="304">
                  <c:v>45686</c:v>
                </c:pt>
                <c:pt idx="305">
                  <c:v>45685</c:v>
                </c:pt>
                <c:pt idx="306">
                  <c:v>45684</c:v>
                </c:pt>
                <c:pt idx="307">
                  <c:v>45683</c:v>
                </c:pt>
                <c:pt idx="308">
                  <c:v>45682</c:v>
                </c:pt>
                <c:pt idx="309">
                  <c:v>45681</c:v>
                </c:pt>
                <c:pt idx="310">
                  <c:v>45680</c:v>
                </c:pt>
                <c:pt idx="311">
                  <c:v>45679</c:v>
                </c:pt>
                <c:pt idx="312">
                  <c:v>45678</c:v>
                </c:pt>
                <c:pt idx="313">
                  <c:v>45677</c:v>
                </c:pt>
                <c:pt idx="314">
                  <c:v>45676</c:v>
                </c:pt>
                <c:pt idx="315">
                  <c:v>45675</c:v>
                </c:pt>
                <c:pt idx="316">
                  <c:v>45674</c:v>
                </c:pt>
                <c:pt idx="317">
                  <c:v>45673</c:v>
                </c:pt>
                <c:pt idx="318">
                  <c:v>45672</c:v>
                </c:pt>
                <c:pt idx="319">
                  <c:v>45671</c:v>
                </c:pt>
                <c:pt idx="320">
                  <c:v>45670</c:v>
                </c:pt>
                <c:pt idx="321">
                  <c:v>45669</c:v>
                </c:pt>
                <c:pt idx="322">
                  <c:v>45668</c:v>
                </c:pt>
                <c:pt idx="323">
                  <c:v>45667</c:v>
                </c:pt>
                <c:pt idx="324">
                  <c:v>45666</c:v>
                </c:pt>
                <c:pt idx="325">
                  <c:v>45665</c:v>
                </c:pt>
                <c:pt idx="326">
                  <c:v>45664</c:v>
                </c:pt>
                <c:pt idx="327">
                  <c:v>45663</c:v>
                </c:pt>
                <c:pt idx="328">
                  <c:v>45662</c:v>
                </c:pt>
                <c:pt idx="329">
                  <c:v>45661</c:v>
                </c:pt>
                <c:pt idx="330">
                  <c:v>45660</c:v>
                </c:pt>
                <c:pt idx="331">
                  <c:v>45659</c:v>
                </c:pt>
                <c:pt idx="332">
                  <c:v>45658</c:v>
                </c:pt>
                <c:pt idx="333">
                  <c:v>45657</c:v>
                </c:pt>
                <c:pt idx="334">
                  <c:v>45656</c:v>
                </c:pt>
                <c:pt idx="335">
                  <c:v>45655</c:v>
                </c:pt>
                <c:pt idx="336">
                  <c:v>45654</c:v>
                </c:pt>
                <c:pt idx="337">
                  <c:v>45653</c:v>
                </c:pt>
                <c:pt idx="338">
                  <c:v>45652</c:v>
                </c:pt>
                <c:pt idx="339">
                  <c:v>45651</c:v>
                </c:pt>
                <c:pt idx="340">
                  <c:v>45650</c:v>
                </c:pt>
                <c:pt idx="341">
                  <c:v>45649</c:v>
                </c:pt>
                <c:pt idx="342">
                  <c:v>45648</c:v>
                </c:pt>
                <c:pt idx="343">
                  <c:v>45647</c:v>
                </c:pt>
                <c:pt idx="344">
                  <c:v>45646</c:v>
                </c:pt>
                <c:pt idx="345">
                  <c:v>45645</c:v>
                </c:pt>
                <c:pt idx="346">
                  <c:v>45644</c:v>
                </c:pt>
                <c:pt idx="347">
                  <c:v>45643</c:v>
                </c:pt>
                <c:pt idx="348">
                  <c:v>45642</c:v>
                </c:pt>
                <c:pt idx="349">
                  <c:v>45641</c:v>
                </c:pt>
                <c:pt idx="350">
                  <c:v>45640</c:v>
                </c:pt>
                <c:pt idx="351">
                  <c:v>45639</c:v>
                </c:pt>
                <c:pt idx="352">
                  <c:v>45638</c:v>
                </c:pt>
                <c:pt idx="353">
                  <c:v>45637</c:v>
                </c:pt>
                <c:pt idx="354">
                  <c:v>45636</c:v>
                </c:pt>
                <c:pt idx="355">
                  <c:v>45635</c:v>
                </c:pt>
                <c:pt idx="356">
                  <c:v>45634</c:v>
                </c:pt>
                <c:pt idx="357">
                  <c:v>45633</c:v>
                </c:pt>
                <c:pt idx="358">
                  <c:v>45632</c:v>
                </c:pt>
                <c:pt idx="359">
                  <c:v>45631</c:v>
                </c:pt>
                <c:pt idx="360">
                  <c:v>45630</c:v>
                </c:pt>
                <c:pt idx="361">
                  <c:v>45629</c:v>
                </c:pt>
                <c:pt idx="362">
                  <c:v>45628</c:v>
                </c:pt>
                <c:pt idx="363">
                  <c:v>45627</c:v>
                </c:pt>
                <c:pt idx="364">
                  <c:v>45626</c:v>
                </c:pt>
                <c:pt idx="365">
                  <c:v>45625</c:v>
                </c:pt>
                <c:pt idx="366">
                  <c:v>45624</c:v>
                </c:pt>
                <c:pt idx="367">
                  <c:v>45623</c:v>
                </c:pt>
                <c:pt idx="368">
                  <c:v>45622</c:v>
                </c:pt>
                <c:pt idx="369">
                  <c:v>45621</c:v>
                </c:pt>
                <c:pt idx="370">
                  <c:v>45620</c:v>
                </c:pt>
                <c:pt idx="371">
                  <c:v>45619</c:v>
                </c:pt>
                <c:pt idx="372">
                  <c:v>45618</c:v>
                </c:pt>
                <c:pt idx="373">
                  <c:v>45617</c:v>
                </c:pt>
                <c:pt idx="374">
                  <c:v>45616</c:v>
                </c:pt>
                <c:pt idx="375">
                  <c:v>45615</c:v>
                </c:pt>
                <c:pt idx="376">
                  <c:v>45614</c:v>
                </c:pt>
                <c:pt idx="377">
                  <c:v>45613</c:v>
                </c:pt>
                <c:pt idx="378">
                  <c:v>45612</c:v>
                </c:pt>
                <c:pt idx="379">
                  <c:v>45611</c:v>
                </c:pt>
                <c:pt idx="380">
                  <c:v>45610</c:v>
                </c:pt>
                <c:pt idx="381">
                  <c:v>45609</c:v>
                </c:pt>
                <c:pt idx="382">
                  <c:v>45608</c:v>
                </c:pt>
                <c:pt idx="383">
                  <c:v>45607</c:v>
                </c:pt>
                <c:pt idx="384">
                  <c:v>45606</c:v>
                </c:pt>
                <c:pt idx="385">
                  <c:v>45605</c:v>
                </c:pt>
                <c:pt idx="386">
                  <c:v>45604</c:v>
                </c:pt>
                <c:pt idx="387">
                  <c:v>45603</c:v>
                </c:pt>
                <c:pt idx="388">
                  <c:v>45602</c:v>
                </c:pt>
                <c:pt idx="389">
                  <c:v>45601</c:v>
                </c:pt>
                <c:pt idx="390">
                  <c:v>45600</c:v>
                </c:pt>
                <c:pt idx="391">
                  <c:v>45599</c:v>
                </c:pt>
                <c:pt idx="392">
                  <c:v>45598</c:v>
                </c:pt>
                <c:pt idx="393">
                  <c:v>45597</c:v>
                </c:pt>
                <c:pt idx="394">
                  <c:v>45596</c:v>
                </c:pt>
                <c:pt idx="395">
                  <c:v>45595</c:v>
                </c:pt>
                <c:pt idx="396">
                  <c:v>45594</c:v>
                </c:pt>
                <c:pt idx="397">
                  <c:v>45593</c:v>
                </c:pt>
                <c:pt idx="398">
                  <c:v>45592</c:v>
                </c:pt>
                <c:pt idx="399">
                  <c:v>45591</c:v>
                </c:pt>
                <c:pt idx="400">
                  <c:v>45590</c:v>
                </c:pt>
                <c:pt idx="401">
                  <c:v>45589</c:v>
                </c:pt>
                <c:pt idx="402">
                  <c:v>45588</c:v>
                </c:pt>
                <c:pt idx="403">
                  <c:v>45587</c:v>
                </c:pt>
                <c:pt idx="404">
                  <c:v>45586</c:v>
                </c:pt>
              </c:numCache>
            </c:numRef>
          </c:cat>
          <c:val>
            <c:numRef>
              <c:f>Dashboard!$D$154:$D$558</c:f>
              <c:numCache>
                <c:formatCode>General</c:formatCode>
                <c:ptCount val="405"/>
                <c:pt idx="39">
                  <c:v>216.04</c:v>
                </c:pt>
                <c:pt idx="40">
                  <c:v>216.04</c:v>
                </c:pt>
                <c:pt idx="41">
                  <c:v>215.19</c:v>
                </c:pt>
                <c:pt idx="42">
                  <c:v>216.05</c:v>
                </c:pt>
                <c:pt idx="43">
                  <c:v>217.26</c:v>
                </c:pt>
                <c:pt idx="44">
                  <c:v>220.31</c:v>
                </c:pt>
                <c:pt idx="45">
                  <c:v>220.31</c:v>
                </c:pt>
                <c:pt idx="46">
                  <c:v>220.31</c:v>
                </c:pt>
                <c:pt idx="47">
                  <c:v>223.06</c:v>
                </c:pt>
                <c:pt idx="48">
                  <c:v>221.76</c:v>
                </c:pt>
                <c:pt idx="49">
                  <c:v>221.99</c:v>
                </c:pt>
                <c:pt idx="50">
                  <c:v>223.57</c:v>
                </c:pt>
                <c:pt idx="51">
                  <c:v>223.57</c:v>
                </c:pt>
                <c:pt idx="52">
                  <c:v>223.57</c:v>
                </c:pt>
                <c:pt idx="53">
                  <c:v>223.57</c:v>
                </c:pt>
                <c:pt idx="54">
                  <c:v>222.35</c:v>
                </c:pt>
                <c:pt idx="55">
                  <c:v>220.95</c:v>
                </c:pt>
                <c:pt idx="56">
                  <c:v>222.74</c:v>
                </c:pt>
                <c:pt idx="57">
                  <c:v>223.32</c:v>
                </c:pt>
                <c:pt idx="58">
                  <c:v>227.85</c:v>
                </c:pt>
                <c:pt idx="59">
                  <c:v>227.85</c:v>
                </c:pt>
                <c:pt idx="60">
                  <c:v>227.85</c:v>
                </c:pt>
                <c:pt idx="61">
                  <c:v>225.3</c:v>
                </c:pt>
                <c:pt idx="62">
                  <c:v>225.68</c:v>
                </c:pt>
                <c:pt idx="63">
                  <c:v>223.77</c:v>
                </c:pt>
                <c:pt idx="64">
                  <c:v>220.08</c:v>
                </c:pt>
                <c:pt idx="65">
                  <c:v>220.78</c:v>
                </c:pt>
                <c:pt idx="66">
                  <c:v>220.78</c:v>
                </c:pt>
                <c:pt idx="67">
                  <c:v>220.78</c:v>
                </c:pt>
                <c:pt idx="68">
                  <c:v>221.52</c:v>
                </c:pt>
                <c:pt idx="69">
                  <c:v>223.18</c:v>
                </c:pt>
                <c:pt idx="70">
                  <c:v>218.8</c:v>
                </c:pt>
                <c:pt idx="71">
                  <c:v>219.65</c:v>
                </c:pt>
                <c:pt idx="72">
                  <c:v>222.24</c:v>
                </c:pt>
                <c:pt idx="73">
                  <c:v>222.24</c:v>
                </c:pt>
                <c:pt idx="74">
                  <c:v>222.24</c:v>
                </c:pt>
                <c:pt idx="75">
                  <c:v>222.66</c:v>
                </c:pt>
                <c:pt idx="76">
                  <c:v>225.46</c:v>
                </c:pt>
                <c:pt idx="77">
                  <c:v>222.97</c:v>
                </c:pt>
                <c:pt idx="78">
                  <c:v>222.06</c:v>
                </c:pt>
                <c:pt idx="79">
                  <c:v>219.4</c:v>
                </c:pt>
                <c:pt idx="80">
                  <c:v>219.4</c:v>
                </c:pt>
                <c:pt idx="81">
                  <c:v>219.4</c:v>
                </c:pt>
                <c:pt idx="82">
                  <c:v>221.97</c:v>
                </c:pt>
                <c:pt idx="83">
                  <c:v>225.28</c:v>
                </c:pt>
                <c:pt idx="84">
                  <c:v>223.77</c:v>
                </c:pt>
                <c:pt idx="85">
                  <c:v>229.24</c:v>
                </c:pt>
                <c:pt idx="86">
                  <c:v>224.74</c:v>
                </c:pt>
                <c:pt idx="87">
                  <c:v>224.74</c:v>
                </c:pt>
                <c:pt idx="88">
                  <c:v>224.74</c:v>
                </c:pt>
                <c:pt idx="89">
                  <c:v>220.52</c:v>
                </c:pt>
                <c:pt idx="90">
                  <c:v>231</c:v>
                </c:pt>
                <c:pt idx="91">
                  <c:v>229.24</c:v>
                </c:pt>
                <c:pt idx="92">
                  <c:v>225.85</c:v>
                </c:pt>
                <c:pt idx="93">
                  <c:v>224.87</c:v>
                </c:pt>
                <c:pt idx="94">
                  <c:v>224.87</c:v>
                </c:pt>
                <c:pt idx="95">
                  <c:v>224.87</c:v>
                </c:pt>
                <c:pt idx="96">
                  <c:v>227.49</c:v>
                </c:pt>
                <c:pt idx="97">
                  <c:v>231.18</c:v>
                </c:pt>
                <c:pt idx="98">
                  <c:v>231.14</c:v>
                </c:pt>
                <c:pt idx="99">
                  <c:v>233.31</c:v>
                </c:pt>
                <c:pt idx="100">
                  <c:v>235.1</c:v>
                </c:pt>
                <c:pt idx="101">
                  <c:v>235.1</c:v>
                </c:pt>
                <c:pt idx="102">
                  <c:v>235.1</c:v>
                </c:pt>
                <c:pt idx="103">
                  <c:v>237</c:v>
                </c:pt>
                <c:pt idx="104">
                  <c:v>236.49</c:v>
                </c:pt>
                <c:pt idx="105">
                  <c:v>236.54</c:v>
                </c:pt>
                <c:pt idx="106">
                  <c:v>235.35</c:v>
                </c:pt>
                <c:pt idx="107">
                  <c:v>236.28</c:v>
                </c:pt>
                <c:pt idx="108">
                  <c:v>236.28</c:v>
                </c:pt>
                <c:pt idx="109">
                  <c:v>236.28</c:v>
                </c:pt>
                <c:pt idx="110">
                  <c:v>236.28</c:v>
                </c:pt>
                <c:pt idx="111">
                  <c:v>237.16</c:v>
                </c:pt>
                <c:pt idx="112">
                  <c:v>235.57</c:v>
                </c:pt>
                <c:pt idx="113">
                  <c:v>230.08</c:v>
                </c:pt>
                <c:pt idx="114">
                  <c:v>231.41</c:v>
                </c:pt>
                <c:pt idx="115">
                  <c:v>231.41</c:v>
                </c:pt>
                <c:pt idx="116">
                  <c:v>231.41</c:v>
                </c:pt>
                <c:pt idx="117">
                  <c:v>229.39</c:v>
                </c:pt>
                <c:pt idx="118">
                  <c:v>226.81</c:v>
                </c:pt>
                <c:pt idx="119">
                  <c:v>227.91</c:v>
                </c:pt>
                <c:pt idx="120">
                  <c:v>225.88</c:v>
                </c:pt>
                <c:pt idx="121">
                  <c:v>222.51</c:v>
                </c:pt>
                <c:pt idx="122">
                  <c:v>222.51</c:v>
                </c:pt>
                <c:pt idx="123">
                  <c:v>222.51</c:v>
                </c:pt>
                <c:pt idx="124">
                  <c:v>222.01</c:v>
                </c:pt>
                <c:pt idx="125">
                  <c:v>222.01</c:v>
                </c:pt>
                <c:pt idx="126">
                  <c:v>220.59</c:v>
                </c:pt>
                <c:pt idx="127">
                  <c:v>224.65</c:v>
                </c:pt>
                <c:pt idx="128">
                  <c:v>223.37</c:v>
                </c:pt>
                <c:pt idx="129">
                  <c:v>223.37</c:v>
                </c:pt>
                <c:pt idx="130">
                  <c:v>223.37</c:v>
                </c:pt>
                <c:pt idx="131">
                  <c:v>225.49</c:v>
                </c:pt>
                <c:pt idx="132">
                  <c:v>225.72</c:v>
                </c:pt>
                <c:pt idx="133">
                  <c:v>226.6</c:v>
                </c:pt>
                <c:pt idx="134">
                  <c:v>224.14</c:v>
                </c:pt>
                <c:pt idx="135">
                  <c:v>223.43</c:v>
                </c:pt>
                <c:pt idx="136">
                  <c:v>223.43</c:v>
                </c:pt>
                <c:pt idx="137">
                  <c:v>223.43</c:v>
                </c:pt>
                <c:pt idx="138">
                  <c:v>220.65</c:v>
                </c:pt>
                <c:pt idx="139">
                  <c:v>220.87</c:v>
                </c:pt>
                <c:pt idx="140">
                  <c:v>221.78</c:v>
                </c:pt>
                <c:pt idx="141">
                  <c:v>218.89</c:v>
                </c:pt>
                <c:pt idx="142">
                  <c:v>221.66</c:v>
                </c:pt>
                <c:pt idx="143">
                  <c:v>221.66</c:v>
                </c:pt>
                <c:pt idx="144">
                  <c:v>221.66</c:v>
                </c:pt>
                <c:pt idx="145">
                  <c:v>222.51</c:v>
                </c:pt>
                <c:pt idx="146">
                  <c:v>222.18</c:v>
                </c:pt>
                <c:pt idx="147">
                  <c:v>224.35</c:v>
                </c:pt>
                <c:pt idx="148">
                  <c:v>222.11</c:v>
                </c:pt>
                <c:pt idx="149">
                  <c:v>222.11</c:v>
                </c:pt>
                <c:pt idx="150">
                  <c:v>222.11</c:v>
                </c:pt>
                <c:pt idx="151">
                  <c:v>222.11</c:v>
                </c:pt>
                <c:pt idx="152">
                  <c:v>222.87</c:v>
                </c:pt>
                <c:pt idx="153">
                  <c:v>223.62</c:v>
                </c:pt>
                <c:pt idx="154">
                  <c:v>228.33</c:v>
                </c:pt>
                <c:pt idx="155">
                  <c:v>229.5</c:v>
                </c:pt>
                <c:pt idx="156">
                  <c:v>231.42</c:v>
                </c:pt>
                <c:pt idx="157">
                  <c:v>231.42</c:v>
                </c:pt>
                <c:pt idx="158">
                  <c:v>231.42</c:v>
                </c:pt>
                <c:pt idx="159">
                  <c:v>230.85</c:v>
                </c:pt>
                <c:pt idx="160">
                  <c:v>228.34</c:v>
                </c:pt>
                <c:pt idx="161">
                  <c:v>228.25</c:v>
                </c:pt>
                <c:pt idx="162">
                  <c:v>230.87</c:v>
                </c:pt>
                <c:pt idx="163">
                  <c:v>216.32</c:v>
                </c:pt>
                <c:pt idx="164">
                  <c:v>216.32</c:v>
                </c:pt>
                <c:pt idx="165">
                  <c:v>216.32</c:v>
                </c:pt>
                <c:pt idx="166">
                  <c:v>216.84</c:v>
                </c:pt>
                <c:pt idx="167">
                  <c:v>213.85</c:v>
                </c:pt>
                <c:pt idx="168">
                  <c:v>213.2</c:v>
                </c:pt>
                <c:pt idx="169">
                  <c:v>216.53</c:v>
                </c:pt>
                <c:pt idx="170">
                  <c:v>218.29</c:v>
                </c:pt>
                <c:pt idx="171">
                  <c:v>218.29</c:v>
                </c:pt>
                <c:pt idx="172">
                  <c:v>218.29</c:v>
                </c:pt>
                <c:pt idx="173">
                  <c:v>214.08</c:v>
                </c:pt>
                <c:pt idx="174">
                  <c:v>215.66</c:v>
                </c:pt>
                <c:pt idx="175">
                  <c:v>214.54</c:v>
                </c:pt>
                <c:pt idx="176">
                  <c:v>212.61</c:v>
                </c:pt>
                <c:pt idx="177">
                  <c:v>213.29</c:v>
                </c:pt>
                <c:pt idx="178">
                  <c:v>213.29</c:v>
                </c:pt>
                <c:pt idx="179">
                  <c:v>213.29</c:v>
                </c:pt>
                <c:pt idx="180">
                  <c:v>215.45</c:v>
                </c:pt>
                <c:pt idx="181">
                  <c:v>219.78</c:v>
                </c:pt>
                <c:pt idx="182">
                  <c:v>216.9</c:v>
                </c:pt>
                <c:pt idx="183">
                  <c:v>216.05</c:v>
                </c:pt>
                <c:pt idx="184">
                  <c:v>220.26</c:v>
                </c:pt>
                <c:pt idx="185">
                  <c:v>220.26</c:v>
                </c:pt>
                <c:pt idx="186">
                  <c:v>220.26</c:v>
                </c:pt>
                <c:pt idx="187">
                  <c:v>220.26</c:v>
                </c:pt>
                <c:pt idx="188">
                  <c:v>216.6</c:v>
                </c:pt>
                <c:pt idx="189">
                  <c:v>220.08</c:v>
                </c:pt>
                <c:pt idx="190">
                  <c:v>222.27</c:v>
                </c:pt>
                <c:pt idx="191">
                  <c:v>218.59</c:v>
                </c:pt>
                <c:pt idx="192">
                  <c:v>218.59</c:v>
                </c:pt>
                <c:pt idx="193">
                  <c:v>218.59</c:v>
                </c:pt>
                <c:pt idx="194">
                  <c:v>219.32</c:v>
                </c:pt>
                <c:pt idx="195">
                  <c:v>223.53</c:v>
                </c:pt>
                <c:pt idx="196">
                  <c:v>208.27</c:v>
                </c:pt>
                <c:pt idx="197">
                  <c:v>209.97</c:v>
                </c:pt>
                <c:pt idx="198">
                  <c:v>213.26</c:v>
                </c:pt>
                <c:pt idx="199">
                  <c:v>213.26</c:v>
                </c:pt>
                <c:pt idx="200">
                  <c:v>213.26</c:v>
                </c:pt>
                <c:pt idx="201">
                  <c:v>223.97</c:v>
                </c:pt>
                <c:pt idx="202">
                  <c:v>238.46</c:v>
                </c:pt>
                <c:pt idx="203">
                  <c:v>237.17</c:v>
                </c:pt>
                <c:pt idx="204">
                  <c:v>236.24</c:v>
                </c:pt>
                <c:pt idx="205">
                  <c:v>232.15</c:v>
                </c:pt>
                <c:pt idx="206">
                  <c:v>232.15</c:v>
                </c:pt>
                <c:pt idx="207">
                  <c:v>232.15</c:v>
                </c:pt>
                <c:pt idx="208">
                  <c:v>235.97</c:v>
                </c:pt>
                <c:pt idx="209">
                  <c:v>238.03</c:v>
                </c:pt>
                <c:pt idx="210">
                  <c:v>235.79</c:v>
                </c:pt>
                <c:pt idx="211">
                  <c:v>235.2</c:v>
                </c:pt>
                <c:pt idx="212">
                  <c:v>233.88</c:v>
                </c:pt>
                <c:pt idx="213">
                  <c:v>233.88</c:v>
                </c:pt>
                <c:pt idx="214">
                  <c:v>233.88</c:v>
                </c:pt>
                <c:pt idx="215">
                  <c:v>234.79</c:v>
                </c:pt>
                <c:pt idx="216">
                  <c:v>236.39</c:v>
                </c:pt>
                <c:pt idx="217">
                  <c:v>237.09</c:v>
                </c:pt>
                <c:pt idx="218">
                  <c:v>237.86</c:v>
                </c:pt>
                <c:pt idx="219">
                  <c:v>237.53</c:v>
                </c:pt>
                <c:pt idx="220">
                  <c:v>237.53</c:v>
                </c:pt>
                <c:pt idx="221">
                  <c:v>237.53</c:v>
                </c:pt>
                <c:pt idx="222">
                  <c:v>234.29</c:v>
                </c:pt>
                <c:pt idx="223">
                  <c:v>237.49</c:v>
                </c:pt>
                <c:pt idx="224">
                  <c:v>237.78</c:v>
                </c:pt>
                <c:pt idx="225">
                  <c:v>248.29</c:v>
                </c:pt>
                <c:pt idx="226">
                  <c:v>249.31</c:v>
                </c:pt>
                <c:pt idx="227">
                  <c:v>249.31</c:v>
                </c:pt>
                <c:pt idx="228">
                  <c:v>249.31</c:v>
                </c:pt>
                <c:pt idx="229">
                  <c:v>245.27</c:v>
                </c:pt>
                <c:pt idx="230">
                  <c:v>243.61</c:v>
                </c:pt>
                <c:pt idx="231">
                  <c:v>241.52</c:v>
                </c:pt>
                <c:pt idx="232">
                  <c:v>245.81</c:v>
                </c:pt>
                <c:pt idx="233">
                  <c:v>246.69</c:v>
                </c:pt>
                <c:pt idx="234">
                  <c:v>246.69</c:v>
                </c:pt>
                <c:pt idx="235">
                  <c:v>246.69</c:v>
                </c:pt>
                <c:pt idx="236">
                  <c:v>245.07</c:v>
                </c:pt>
                <c:pt idx="237">
                  <c:v>245.48</c:v>
                </c:pt>
                <c:pt idx="238">
                  <c:v>245.89</c:v>
                </c:pt>
                <c:pt idx="239">
                  <c:v>242.33</c:v>
                </c:pt>
                <c:pt idx="240">
                  <c:v>245.55</c:v>
                </c:pt>
                <c:pt idx="241">
                  <c:v>245.55</c:v>
                </c:pt>
                <c:pt idx="242">
                  <c:v>245.55</c:v>
                </c:pt>
                <c:pt idx="243">
                  <c:v>247.65</c:v>
                </c:pt>
                <c:pt idx="244">
                  <c:v>247.06</c:v>
                </c:pt>
                <c:pt idx="245">
                  <c:v>251.17</c:v>
                </c:pt>
                <c:pt idx="246">
                  <c:v>249.22</c:v>
                </c:pt>
                <c:pt idx="247">
                  <c:v>249.22</c:v>
                </c:pt>
                <c:pt idx="248">
                  <c:v>249.22</c:v>
                </c:pt>
                <c:pt idx="249">
                  <c:v>249.22</c:v>
                </c:pt>
                <c:pt idx="250">
                  <c:v>250.97</c:v>
                </c:pt>
                <c:pt idx="251">
                  <c:v>248.51</c:v>
                </c:pt>
                <c:pt idx="252">
                  <c:v>247.73</c:v>
                </c:pt>
                <c:pt idx="253">
                  <c:v>244.33</c:v>
                </c:pt>
                <c:pt idx="254">
                  <c:v>242.08</c:v>
                </c:pt>
                <c:pt idx="255">
                  <c:v>242.08</c:v>
                </c:pt>
                <c:pt idx="256">
                  <c:v>242.08</c:v>
                </c:pt>
                <c:pt idx="257">
                  <c:v>243.51</c:v>
                </c:pt>
                <c:pt idx="258">
                  <c:v>244.48</c:v>
                </c:pt>
                <c:pt idx="259">
                  <c:v>243.5</c:v>
                </c:pt>
                <c:pt idx="260">
                  <c:v>243.02</c:v>
                </c:pt>
                <c:pt idx="261">
                  <c:v>247.79</c:v>
                </c:pt>
                <c:pt idx="262">
                  <c:v>247.79</c:v>
                </c:pt>
                <c:pt idx="263">
                  <c:v>247.79</c:v>
                </c:pt>
                <c:pt idx="264">
                  <c:v>249.92</c:v>
                </c:pt>
                <c:pt idx="265">
                  <c:v>249.55</c:v>
                </c:pt>
                <c:pt idx="266">
                  <c:v>249.16</c:v>
                </c:pt>
                <c:pt idx="267">
                  <c:v>254.42</c:v>
                </c:pt>
                <c:pt idx="268">
                  <c:v>248.78</c:v>
                </c:pt>
                <c:pt idx="269">
                  <c:v>248.78</c:v>
                </c:pt>
                <c:pt idx="270">
                  <c:v>248.78</c:v>
                </c:pt>
                <c:pt idx="271">
                  <c:v>248.05</c:v>
                </c:pt>
                <c:pt idx="272">
                  <c:v>235.8</c:v>
                </c:pt>
                <c:pt idx="273">
                  <c:v>236.73</c:v>
                </c:pt>
                <c:pt idx="274">
                  <c:v>234.26</c:v>
                </c:pt>
                <c:pt idx="275">
                  <c:v>234.26</c:v>
                </c:pt>
                <c:pt idx="276">
                  <c:v>234.26</c:v>
                </c:pt>
                <c:pt idx="277">
                  <c:v>234.26</c:v>
                </c:pt>
                <c:pt idx="278">
                  <c:v>234.89</c:v>
                </c:pt>
                <c:pt idx="279">
                  <c:v>230.86</c:v>
                </c:pt>
                <c:pt idx="280">
                  <c:v>229.38</c:v>
                </c:pt>
                <c:pt idx="281">
                  <c:v>226.76</c:v>
                </c:pt>
                <c:pt idx="282">
                  <c:v>225.21</c:v>
                </c:pt>
                <c:pt idx="283">
                  <c:v>225.21</c:v>
                </c:pt>
                <c:pt idx="284">
                  <c:v>225.21</c:v>
                </c:pt>
                <c:pt idx="285">
                  <c:v>231.82</c:v>
                </c:pt>
                <c:pt idx="286">
                  <c:v>231.82</c:v>
                </c:pt>
                <c:pt idx="287">
                  <c:v>230.54</c:v>
                </c:pt>
                <c:pt idx="288">
                  <c:v>230.01</c:v>
                </c:pt>
                <c:pt idx="289">
                  <c:v>231.5</c:v>
                </c:pt>
                <c:pt idx="290">
                  <c:v>231.5</c:v>
                </c:pt>
                <c:pt idx="291">
                  <c:v>231.5</c:v>
                </c:pt>
                <c:pt idx="292">
                  <c:v>229.12</c:v>
                </c:pt>
                <c:pt idx="293">
                  <c:v>228.04</c:v>
                </c:pt>
                <c:pt idx="294">
                  <c:v>228.04</c:v>
                </c:pt>
                <c:pt idx="295">
                  <c:v>227.79</c:v>
                </c:pt>
                <c:pt idx="296">
                  <c:v>229.93</c:v>
                </c:pt>
                <c:pt idx="297">
                  <c:v>229.93</c:v>
                </c:pt>
                <c:pt idx="298">
                  <c:v>229.93</c:v>
                </c:pt>
                <c:pt idx="299">
                  <c:v>230.23</c:v>
                </c:pt>
                <c:pt idx="300">
                  <c:v>229.75</c:v>
                </c:pt>
                <c:pt idx="301">
                  <c:v>229.75</c:v>
                </c:pt>
                <c:pt idx="302">
                  <c:v>227.13</c:v>
                </c:pt>
                <c:pt idx="303">
                  <c:v>226.32</c:v>
                </c:pt>
                <c:pt idx="304">
                  <c:v>226.32</c:v>
                </c:pt>
                <c:pt idx="305">
                  <c:v>226.32</c:v>
                </c:pt>
                <c:pt idx="306">
                  <c:v>223.15</c:v>
                </c:pt>
                <c:pt idx="307">
                  <c:v>224.54</c:v>
                </c:pt>
                <c:pt idx="308">
                  <c:v>229.88</c:v>
                </c:pt>
                <c:pt idx="309">
                  <c:v>232.89</c:v>
                </c:pt>
                <c:pt idx="310">
                  <c:v>234.98</c:v>
                </c:pt>
                <c:pt idx="311">
                  <c:v>234.98</c:v>
                </c:pt>
                <c:pt idx="312">
                  <c:v>234.98</c:v>
                </c:pt>
                <c:pt idx="313">
                  <c:v>233.71</c:v>
                </c:pt>
                <c:pt idx="314">
                  <c:v>233.78</c:v>
                </c:pt>
                <c:pt idx="315">
                  <c:v>237.09</c:v>
                </c:pt>
                <c:pt idx="316">
                  <c:v>233.54</c:v>
                </c:pt>
                <c:pt idx="317">
                  <c:v>233.57</c:v>
                </c:pt>
                <c:pt idx="318">
                  <c:v>233.57</c:v>
                </c:pt>
                <c:pt idx="319">
                  <c:v>233.57</c:v>
                </c:pt>
                <c:pt idx="320">
                  <c:v>234.63</c:v>
                </c:pt>
                <c:pt idx="321">
                  <c:v>235</c:v>
                </c:pt>
                <c:pt idx="322">
                  <c:v>236.99</c:v>
                </c:pt>
                <c:pt idx="323">
                  <c:v>240.78</c:v>
                </c:pt>
                <c:pt idx="324">
                  <c:v>244.66</c:v>
                </c:pt>
                <c:pt idx="325">
                  <c:v>244.66</c:v>
                </c:pt>
                <c:pt idx="326">
                  <c:v>244.66</c:v>
                </c:pt>
                <c:pt idx="327">
                  <c:v>245.23</c:v>
                </c:pt>
                <c:pt idx="328">
                  <c:v>245.23</c:v>
                </c:pt>
                <c:pt idx="329">
                  <c:v>245.63</c:v>
                </c:pt>
                <c:pt idx="330">
                  <c:v>249.32</c:v>
                </c:pt>
                <c:pt idx="331">
                  <c:v>242.39</c:v>
                </c:pt>
                <c:pt idx="332">
                  <c:v>242.39</c:v>
                </c:pt>
                <c:pt idx="333">
                  <c:v>242.39</c:v>
                </c:pt>
                <c:pt idx="334">
                  <c:v>239.02</c:v>
                </c:pt>
                <c:pt idx="335">
                  <c:v>233.56</c:v>
                </c:pt>
                <c:pt idx="336">
                  <c:v>233.29</c:v>
                </c:pt>
                <c:pt idx="337">
                  <c:v>234.41</c:v>
                </c:pt>
                <c:pt idx="338">
                  <c:v>235.57</c:v>
                </c:pt>
                <c:pt idx="339">
                  <c:v>235.57</c:v>
                </c:pt>
                <c:pt idx="340">
                  <c:v>235.57</c:v>
                </c:pt>
                <c:pt idx="341">
                  <c:v>235.58</c:v>
                </c:pt>
                <c:pt idx="342">
                  <c:v>240.41</c:v>
                </c:pt>
                <c:pt idx="343">
                  <c:v>238.91</c:v>
                </c:pt>
                <c:pt idx="344">
                  <c:v>241.95</c:v>
                </c:pt>
                <c:pt idx="345">
                  <c:v>241.49</c:v>
                </c:pt>
                <c:pt idx="346">
                  <c:v>241.49</c:v>
                </c:pt>
                <c:pt idx="347">
                  <c:v>241.49</c:v>
                </c:pt>
                <c:pt idx="348">
                  <c:v>242.56</c:v>
                </c:pt>
                <c:pt idx="349">
                  <c:v>248.49</c:v>
                </c:pt>
                <c:pt idx="350">
                  <c:v>233.87</c:v>
                </c:pt>
                <c:pt idx="351">
                  <c:v>229.91</c:v>
                </c:pt>
                <c:pt idx="352">
                  <c:v>232.69</c:v>
                </c:pt>
                <c:pt idx="353">
                  <c:v>232.69</c:v>
                </c:pt>
                <c:pt idx="354">
                  <c:v>232.69</c:v>
                </c:pt>
                <c:pt idx="355">
                  <c:v>232.07</c:v>
                </c:pt>
                <c:pt idx="356">
                  <c:v>232.17</c:v>
                </c:pt>
                <c:pt idx="357">
                  <c:v>231.99</c:v>
                </c:pt>
                <c:pt idx="358">
                  <c:v>231.98</c:v>
                </c:pt>
                <c:pt idx="359">
                  <c:v>230.3</c:v>
                </c:pt>
                <c:pt idx="360">
                  <c:v>230.3</c:v>
                </c:pt>
                <c:pt idx="361">
                  <c:v>230.3</c:v>
                </c:pt>
                <c:pt idx="362">
                  <c:v>230.75</c:v>
                </c:pt>
                <c:pt idx="363">
                  <c:v>241.35</c:v>
                </c:pt>
                <c:pt idx="364">
                  <c:v>241.45</c:v>
                </c:pt>
                <c:pt idx="365">
                  <c:v>240.35</c:v>
                </c:pt>
                <c:pt idx="366">
                  <c:v>244.1</c:v>
                </c:pt>
                <c:pt idx="367">
                  <c:v>244.1</c:v>
                </c:pt>
                <c:pt idx="368">
                  <c:v>244.1</c:v>
                </c:pt>
                <c:pt idx="369">
                  <c:v>241.72</c:v>
                </c:pt>
                <c:pt idx="370">
                  <c:v>248.1</c:v>
                </c:pt>
                <c:pt idx="371">
                  <c:v>245.79</c:v>
                </c:pt>
                <c:pt idx="372">
                  <c:v>245.27</c:v>
                </c:pt>
                <c:pt idx="373">
                  <c:v>242.31</c:v>
                </c:pt>
                <c:pt idx="374">
                  <c:v>242.31</c:v>
                </c:pt>
                <c:pt idx="375">
                  <c:v>242.31</c:v>
                </c:pt>
                <c:pt idx="376">
                  <c:v>238.82</c:v>
                </c:pt>
                <c:pt idx="377">
                  <c:v>237.68</c:v>
                </c:pt>
                <c:pt idx="378">
                  <c:v>237.56</c:v>
                </c:pt>
                <c:pt idx="379">
                  <c:v>236.87</c:v>
                </c:pt>
                <c:pt idx="380">
                  <c:v>238.86</c:v>
                </c:pt>
                <c:pt idx="381">
                  <c:v>238.86</c:v>
                </c:pt>
                <c:pt idx="382">
                  <c:v>238.86</c:v>
                </c:pt>
                <c:pt idx="383">
                  <c:v>240.63</c:v>
                </c:pt>
                <c:pt idx="384">
                  <c:v>243.35</c:v>
                </c:pt>
                <c:pt idx="385">
                  <c:v>245.55</c:v>
                </c:pt>
                <c:pt idx="386">
                  <c:v>246.48</c:v>
                </c:pt>
                <c:pt idx="387">
                  <c:v>244.22</c:v>
                </c:pt>
                <c:pt idx="388">
                  <c:v>244.22</c:v>
                </c:pt>
                <c:pt idx="389">
                  <c:v>244.22</c:v>
                </c:pt>
                <c:pt idx="390">
                  <c:v>243.23</c:v>
                </c:pt>
                <c:pt idx="391">
                  <c:v>245.5</c:v>
                </c:pt>
                <c:pt idx="392">
                  <c:v>248.96</c:v>
                </c:pt>
                <c:pt idx="393">
                  <c:v>244</c:v>
                </c:pt>
                <c:pt idx="394">
                  <c:v>245.39</c:v>
                </c:pt>
                <c:pt idx="395">
                  <c:v>245.39</c:v>
                </c:pt>
                <c:pt idx="396">
                  <c:v>245.39</c:v>
                </c:pt>
                <c:pt idx="397">
                  <c:v>248.44</c:v>
                </c:pt>
                <c:pt idx="398">
                  <c:v>251.2</c:v>
                </c:pt>
                <c:pt idx="399">
                  <c:v>253.55</c:v>
                </c:pt>
                <c:pt idx="400">
                  <c:v>252.43</c:v>
                </c:pt>
                <c:pt idx="401">
                  <c:v>249.12</c:v>
                </c:pt>
                <c:pt idx="402">
                  <c:v>249.12</c:v>
                </c:pt>
                <c:pt idx="403">
                  <c:v>249.12</c:v>
                </c:pt>
                <c:pt idx="404">
                  <c:v>248.89</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extLst>
                <c:ext xmlns:c15="http://schemas.microsoft.com/office/drawing/2012/chart" uri="{02D57815-91ED-43cb-92C2-25804820EDAC}">
                  <c15:fullRef>
                    <c15:sqref>Sensitivity!$AD$28:$AD$34</c15:sqref>
                  </c15:fullRef>
                </c:ext>
              </c:extLst>
              <c:f>Sensitivity!$AD$28:$AD$32</c:f>
              <c:strCache>
                <c:ptCount val="5"/>
                <c:pt idx="0">
                  <c:v>WACC</c:v>
                </c:pt>
                <c:pt idx="1">
                  <c:v>Capex Intensity</c:v>
                </c:pt>
                <c:pt idx="2">
                  <c:v>EBITDA Exit</c:v>
                </c:pt>
                <c:pt idx="3">
                  <c:v>Revenue Exit</c:v>
                </c:pt>
                <c:pt idx="4">
                  <c:v>Terminal g</c:v>
                </c:pt>
              </c:strCache>
            </c:strRef>
          </c:cat>
          <c:val>
            <c:numRef>
              <c:extLst>
                <c:ext xmlns:c15="http://schemas.microsoft.com/office/drawing/2012/chart" uri="{02D57815-91ED-43cb-92C2-25804820EDAC}">
                  <c15:fullRef>
                    <c15:sqref>Sensitivity!$AJ$28:$AJ$34</c15:sqref>
                  </c15:fullRef>
                </c:ext>
              </c:extLst>
              <c:f>Sensitivity!$AJ$28:$AJ$32</c:f>
              <c:numCache>
                <c:formatCode>General</c:formatCode>
                <c:ptCount val="5"/>
                <c:pt idx="0">
                  <c:v>-12.999921342816577</c:v>
                </c:pt>
                <c:pt idx="1">
                  <c:v>-14.851960257710545</c:v>
                </c:pt>
                <c:pt idx="2">
                  <c:v>-12.999921342816577</c:v>
                </c:pt>
                <c:pt idx="3">
                  <c:v>0</c:v>
                </c:pt>
                <c:pt idx="4">
                  <c:v>-12.999921342816577</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extLst>
                <c:ext xmlns:c15="http://schemas.microsoft.com/office/drawing/2012/chart" uri="{02D57815-91ED-43cb-92C2-25804820EDAC}">
                  <c15:fullRef>
                    <c15:sqref>Sensitivity!$AD$28:$AD$34</c15:sqref>
                  </c15:fullRef>
                </c:ext>
              </c:extLst>
              <c:f>Sensitivity!$AD$28:$AD$32</c:f>
              <c:strCache>
                <c:ptCount val="5"/>
                <c:pt idx="0">
                  <c:v>WACC</c:v>
                </c:pt>
                <c:pt idx="1">
                  <c:v>Capex Intensity</c:v>
                </c:pt>
                <c:pt idx="2">
                  <c:v>EBITDA Exit</c:v>
                </c:pt>
                <c:pt idx="3">
                  <c:v>Revenue Exit</c:v>
                </c:pt>
                <c:pt idx="4">
                  <c:v>Terminal g</c:v>
                </c:pt>
              </c:strCache>
            </c:strRef>
          </c:cat>
          <c:val>
            <c:numRef>
              <c:extLst>
                <c:ext xmlns:c15="http://schemas.microsoft.com/office/drawing/2012/chart" uri="{02D57815-91ED-43cb-92C2-25804820EDAC}">
                  <c15:fullRef>
                    <c15:sqref>Sensitivity!$AK$28:$AK$34</c15:sqref>
                  </c15:fullRef>
                </c:ext>
              </c:extLst>
              <c:f>Sensitivity!$AK$28:$AK$32</c:f>
              <c:numCache>
                <c:formatCode>General</c:formatCode>
                <c:ptCount val="5"/>
                <c:pt idx="0">
                  <c:v>7.8635637242827272</c:v>
                </c:pt>
                <c:pt idx="1">
                  <c:v>-2.1414271658722726</c:v>
                </c:pt>
                <c:pt idx="2">
                  <c:v>20.384467575066907</c:v>
                </c:pt>
                <c:pt idx="3">
                  <c:v>23.527282978494611</c:v>
                </c:pt>
                <c:pt idx="4">
                  <c:v>32.365916934781524</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7.0340087440881577E-2</c:v>
                </c:pt>
                <c:pt idx="1">
                  <c:v>6.6665684957240956E-2</c:v>
                </c:pt>
                <c:pt idx="2">
                  <c:v>6.5713330286671132E-2</c:v>
                </c:pt>
                <c:pt idx="3">
                  <c:v>6.4290453738417644E-2</c:v>
                </c:pt>
                <c:pt idx="4">
                  <c:v>6.5794776506265348E-2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0.16717762679454823</c:v>
                </c:pt>
                <c:pt idx="1">
                  <c:v>0.16624269248082379</c:v>
                </c:pt>
                <c:pt idx="2">
                  <c:v>0.17141670386497043</c:v>
                </c:pt>
                <c:pt idx="3">
                  <c:v>0.16845167067601396</c:v>
                </c:pt>
                <c:pt idx="4">
                  <c:v>0.15972485673352574</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45951</c:v>
                </c:pt>
                <c:pt idx="1">
                  <c:v>45950</c:v>
                </c:pt>
                <c:pt idx="2">
                  <c:v>45949</c:v>
                </c:pt>
                <c:pt idx="3">
                  <c:v>45948</c:v>
                </c:pt>
                <c:pt idx="4">
                  <c:v>45947</c:v>
                </c:pt>
                <c:pt idx="5">
                  <c:v>45946</c:v>
                </c:pt>
                <c:pt idx="6">
                  <c:v>45945</c:v>
                </c:pt>
                <c:pt idx="7">
                  <c:v>45944</c:v>
                </c:pt>
                <c:pt idx="8">
                  <c:v>45943</c:v>
                </c:pt>
                <c:pt idx="9">
                  <c:v>45942</c:v>
                </c:pt>
                <c:pt idx="10">
                  <c:v>45941</c:v>
                </c:pt>
                <c:pt idx="11">
                  <c:v>45940</c:v>
                </c:pt>
                <c:pt idx="12">
                  <c:v>45939</c:v>
                </c:pt>
                <c:pt idx="13">
                  <c:v>45938</c:v>
                </c:pt>
                <c:pt idx="14">
                  <c:v>45937</c:v>
                </c:pt>
                <c:pt idx="15">
                  <c:v>45936</c:v>
                </c:pt>
                <c:pt idx="16">
                  <c:v>45935</c:v>
                </c:pt>
                <c:pt idx="17">
                  <c:v>45934</c:v>
                </c:pt>
                <c:pt idx="18">
                  <c:v>45933</c:v>
                </c:pt>
                <c:pt idx="19">
                  <c:v>45932</c:v>
                </c:pt>
                <c:pt idx="20">
                  <c:v>45931</c:v>
                </c:pt>
                <c:pt idx="21">
                  <c:v>45930</c:v>
                </c:pt>
                <c:pt idx="22">
                  <c:v>45929</c:v>
                </c:pt>
                <c:pt idx="23">
                  <c:v>45928</c:v>
                </c:pt>
                <c:pt idx="24">
                  <c:v>45927</c:v>
                </c:pt>
                <c:pt idx="25">
                  <c:v>45926</c:v>
                </c:pt>
                <c:pt idx="26">
                  <c:v>45925</c:v>
                </c:pt>
                <c:pt idx="27">
                  <c:v>45924</c:v>
                </c:pt>
                <c:pt idx="28">
                  <c:v>45923</c:v>
                </c:pt>
                <c:pt idx="29">
                  <c:v>45922</c:v>
                </c:pt>
                <c:pt idx="30">
                  <c:v>45921</c:v>
                </c:pt>
                <c:pt idx="31">
                  <c:v>45920</c:v>
                </c:pt>
                <c:pt idx="32">
                  <c:v>45919</c:v>
                </c:pt>
                <c:pt idx="33">
                  <c:v>45918</c:v>
                </c:pt>
                <c:pt idx="34">
                  <c:v>45917</c:v>
                </c:pt>
                <c:pt idx="35">
                  <c:v>45916</c:v>
                </c:pt>
                <c:pt idx="36">
                  <c:v>45915</c:v>
                </c:pt>
                <c:pt idx="37">
                  <c:v>45914</c:v>
                </c:pt>
                <c:pt idx="38">
                  <c:v>45913</c:v>
                </c:pt>
                <c:pt idx="39">
                  <c:v>45912</c:v>
                </c:pt>
                <c:pt idx="40">
                  <c:v>45911</c:v>
                </c:pt>
                <c:pt idx="41">
                  <c:v>45910</c:v>
                </c:pt>
                <c:pt idx="42">
                  <c:v>45909</c:v>
                </c:pt>
                <c:pt idx="43">
                  <c:v>45908</c:v>
                </c:pt>
                <c:pt idx="44">
                  <c:v>45907</c:v>
                </c:pt>
                <c:pt idx="45">
                  <c:v>45906</c:v>
                </c:pt>
                <c:pt idx="46">
                  <c:v>45905</c:v>
                </c:pt>
                <c:pt idx="47">
                  <c:v>45904</c:v>
                </c:pt>
                <c:pt idx="48">
                  <c:v>45903</c:v>
                </c:pt>
                <c:pt idx="49">
                  <c:v>45902</c:v>
                </c:pt>
                <c:pt idx="50">
                  <c:v>45901</c:v>
                </c:pt>
                <c:pt idx="51">
                  <c:v>45900</c:v>
                </c:pt>
                <c:pt idx="52">
                  <c:v>45899</c:v>
                </c:pt>
                <c:pt idx="53">
                  <c:v>45898</c:v>
                </c:pt>
                <c:pt idx="54">
                  <c:v>45897</c:v>
                </c:pt>
                <c:pt idx="55">
                  <c:v>45896</c:v>
                </c:pt>
                <c:pt idx="56">
                  <c:v>45895</c:v>
                </c:pt>
                <c:pt idx="57">
                  <c:v>45894</c:v>
                </c:pt>
                <c:pt idx="58">
                  <c:v>45893</c:v>
                </c:pt>
                <c:pt idx="59">
                  <c:v>45892</c:v>
                </c:pt>
                <c:pt idx="60">
                  <c:v>45891</c:v>
                </c:pt>
                <c:pt idx="61">
                  <c:v>45890</c:v>
                </c:pt>
                <c:pt idx="62">
                  <c:v>45889</c:v>
                </c:pt>
                <c:pt idx="63">
                  <c:v>45888</c:v>
                </c:pt>
                <c:pt idx="64">
                  <c:v>45887</c:v>
                </c:pt>
                <c:pt idx="65">
                  <c:v>45886</c:v>
                </c:pt>
                <c:pt idx="66">
                  <c:v>45885</c:v>
                </c:pt>
                <c:pt idx="67">
                  <c:v>45884</c:v>
                </c:pt>
                <c:pt idx="68">
                  <c:v>45883</c:v>
                </c:pt>
                <c:pt idx="69">
                  <c:v>45882</c:v>
                </c:pt>
                <c:pt idx="70">
                  <c:v>45881</c:v>
                </c:pt>
                <c:pt idx="71">
                  <c:v>45880</c:v>
                </c:pt>
                <c:pt idx="72">
                  <c:v>45879</c:v>
                </c:pt>
                <c:pt idx="73">
                  <c:v>45878</c:v>
                </c:pt>
                <c:pt idx="74">
                  <c:v>45877</c:v>
                </c:pt>
                <c:pt idx="75">
                  <c:v>45876</c:v>
                </c:pt>
                <c:pt idx="76">
                  <c:v>45875</c:v>
                </c:pt>
                <c:pt idx="77">
                  <c:v>45874</c:v>
                </c:pt>
                <c:pt idx="78">
                  <c:v>45873</c:v>
                </c:pt>
                <c:pt idx="79">
                  <c:v>45872</c:v>
                </c:pt>
                <c:pt idx="80">
                  <c:v>45871</c:v>
                </c:pt>
                <c:pt idx="81">
                  <c:v>45870</c:v>
                </c:pt>
                <c:pt idx="82">
                  <c:v>45869</c:v>
                </c:pt>
                <c:pt idx="83">
                  <c:v>45868</c:v>
                </c:pt>
                <c:pt idx="84">
                  <c:v>45867</c:v>
                </c:pt>
                <c:pt idx="85">
                  <c:v>45866</c:v>
                </c:pt>
                <c:pt idx="86">
                  <c:v>45865</c:v>
                </c:pt>
                <c:pt idx="87">
                  <c:v>45864</c:v>
                </c:pt>
                <c:pt idx="88">
                  <c:v>45863</c:v>
                </c:pt>
                <c:pt idx="89">
                  <c:v>45862</c:v>
                </c:pt>
                <c:pt idx="90">
                  <c:v>45861</c:v>
                </c:pt>
                <c:pt idx="91">
                  <c:v>45860</c:v>
                </c:pt>
                <c:pt idx="92">
                  <c:v>45859</c:v>
                </c:pt>
                <c:pt idx="93">
                  <c:v>45858</c:v>
                </c:pt>
                <c:pt idx="94">
                  <c:v>45857</c:v>
                </c:pt>
                <c:pt idx="95">
                  <c:v>45856</c:v>
                </c:pt>
                <c:pt idx="96">
                  <c:v>45855</c:v>
                </c:pt>
                <c:pt idx="97">
                  <c:v>45854</c:v>
                </c:pt>
                <c:pt idx="98">
                  <c:v>45853</c:v>
                </c:pt>
                <c:pt idx="99">
                  <c:v>45852</c:v>
                </c:pt>
                <c:pt idx="100">
                  <c:v>45851</c:v>
                </c:pt>
                <c:pt idx="101">
                  <c:v>45850</c:v>
                </c:pt>
                <c:pt idx="102">
                  <c:v>45849</c:v>
                </c:pt>
                <c:pt idx="103">
                  <c:v>45848</c:v>
                </c:pt>
                <c:pt idx="104">
                  <c:v>45847</c:v>
                </c:pt>
                <c:pt idx="105">
                  <c:v>45846</c:v>
                </c:pt>
                <c:pt idx="106">
                  <c:v>45845</c:v>
                </c:pt>
                <c:pt idx="107">
                  <c:v>45844</c:v>
                </c:pt>
                <c:pt idx="108">
                  <c:v>45843</c:v>
                </c:pt>
                <c:pt idx="109">
                  <c:v>45842</c:v>
                </c:pt>
                <c:pt idx="110">
                  <c:v>45841</c:v>
                </c:pt>
                <c:pt idx="111">
                  <c:v>45840</c:v>
                </c:pt>
                <c:pt idx="112">
                  <c:v>45839</c:v>
                </c:pt>
                <c:pt idx="113">
                  <c:v>45838</c:v>
                </c:pt>
                <c:pt idx="114">
                  <c:v>45837</c:v>
                </c:pt>
                <c:pt idx="115">
                  <c:v>45836</c:v>
                </c:pt>
                <c:pt idx="116">
                  <c:v>45835</c:v>
                </c:pt>
                <c:pt idx="117">
                  <c:v>45834</c:v>
                </c:pt>
                <c:pt idx="118">
                  <c:v>45833</c:v>
                </c:pt>
                <c:pt idx="119">
                  <c:v>45832</c:v>
                </c:pt>
                <c:pt idx="120">
                  <c:v>45831</c:v>
                </c:pt>
                <c:pt idx="121">
                  <c:v>45830</c:v>
                </c:pt>
                <c:pt idx="122">
                  <c:v>45829</c:v>
                </c:pt>
                <c:pt idx="123">
                  <c:v>45828</c:v>
                </c:pt>
                <c:pt idx="124">
                  <c:v>45827</c:v>
                </c:pt>
                <c:pt idx="125">
                  <c:v>45826</c:v>
                </c:pt>
                <c:pt idx="126">
                  <c:v>45825</c:v>
                </c:pt>
                <c:pt idx="127">
                  <c:v>45824</c:v>
                </c:pt>
                <c:pt idx="128">
                  <c:v>45823</c:v>
                </c:pt>
                <c:pt idx="129">
                  <c:v>45822</c:v>
                </c:pt>
                <c:pt idx="130">
                  <c:v>45821</c:v>
                </c:pt>
                <c:pt idx="131">
                  <c:v>45820</c:v>
                </c:pt>
                <c:pt idx="132">
                  <c:v>45819</c:v>
                </c:pt>
                <c:pt idx="133">
                  <c:v>45818</c:v>
                </c:pt>
                <c:pt idx="134">
                  <c:v>45817</c:v>
                </c:pt>
                <c:pt idx="135">
                  <c:v>45816</c:v>
                </c:pt>
                <c:pt idx="136">
                  <c:v>45815</c:v>
                </c:pt>
                <c:pt idx="137">
                  <c:v>45814</c:v>
                </c:pt>
                <c:pt idx="138">
                  <c:v>45813</c:v>
                </c:pt>
                <c:pt idx="139">
                  <c:v>45812</c:v>
                </c:pt>
                <c:pt idx="140">
                  <c:v>45811</c:v>
                </c:pt>
                <c:pt idx="141">
                  <c:v>45810</c:v>
                </c:pt>
                <c:pt idx="142">
                  <c:v>45809</c:v>
                </c:pt>
                <c:pt idx="143">
                  <c:v>45808</c:v>
                </c:pt>
                <c:pt idx="144">
                  <c:v>45807</c:v>
                </c:pt>
                <c:pt idx="145">
                  <c:v>45806</c:v>
                </c:pt>
                <c:pt idx="146">
                  <c:v>45805</c:v>
                </c:pt>
                <c:pt idx="147">
                  <c:v>45804</c:v>
                </c:pt>
                <c:pt idx="148">
                  <c:v>45803</c:v>
                </c:pt>
                <c:pt idx="149">
                  <c:v>45802</c:v>
                </c:pt>
                <c:pt idx="150">
                  <c:v>45801</c:v>
                </c:pt>
                <c:pt idx="151">
                  <c:v>45800</c:v>
                </c:pt>
                <c:pt idx="152">
                  <c:v>45799</c:v>
                </c:pt>
                <c:pt idx="153">
                  <c:v>45798</c:v>
                </c:pt>
                <c:pt idx="154">
                  <c:v>45797</c:v>
                </c:pt>
                <c:pt idx="155">
                  <c:v>45796</c:v>
                </c:pt>
                <c:pt idx="156">
                  <c:v>45795</c:v>
                </c:pt>
                <c:pt idx="157">
                  <c:v>45794</c:v>
                </c:pt>
                <c:pt idx="158">
                  <c:v>45793</c:v>
                </c:pt>
                <c:pt idx="159">
                  <c:v>45792</c:v>
                </c:pt>
                <c:pt idx="160">
                  <c:v>45791</c:v>
                </c:pt>
                <c:pt idx="161">
                  <c:v>45790</c:v>
                </c:pt>
                <c:pt idx="162">
                  <c:v>45789</c:v>
                </c:pt>
                <c:pt idx="163">
                  <c:v>45788</c:v>
                </c:pt>
                <c:pt idx="164">
                  <c:v>45787</c:v>
                </c:pt>
                <c:pt idx="165">
                  <c:v>45786</c:v>
                </c:pt>
                <c:pt idx="166">
                  <c:v>45785</c:v>
                </c:pt>
                <c:pt idx="167">
                  <c:v>45784</c:v>
                </c:pt>
                <c:pt idx="168">
                  <c:v>45783</c:v>
                </c:pt>
                <c:pt idx="169">
                  <c:v>45782</c:v>
                </c:pt>
                <c:pt idx="170">
                  <c:v>45781</c:v>
                </c:pt>
                <c:pt idx="171">
                  <c:v>45780</c:v>
                </c:pt>
                <c:pt idx="172">
                  <c:v>45779</c:v>
                </c:pt>
                <c:pt idx="173">
                  <c:v>45778</c:v>
                </c:pt>
                <c:pt idx="174">
                  <c:v>45777</c:v>
                </c:pt>
                <c:pt idx="175">
                  <c:v>45776</c:v>
                </c:pt>
                <c:pt idx="176">
                  <c:v>45775</c:v>
                </c:pt>
                <c:pt idx="177">
                  <c:v>45774</c:v>
                </c:pt>
                <c:pt idx="178">
                  <c:v>45773</c:v>
                </c:pt>
                <c:pt idx="179">
                  <c:v>45772</c:v>
                </c:pt>
                <c:pt idx="180">
                  <c:v>45771</c:v>
                </c:pt>
                <c:pt idx="181">
                  <c:v>45770</c:v>
                </c:pt>
                <c:pt idx="182">
                  <c:v>45769</c:v>
                </c:pt>
                <c:pt idx="183">
                  <c:v>45768</c:v>
                </c:pt>
                <c:pt idx="184">
                  <c:v>45767</c:v>
                </c:pt>
                <c:pt idx="185">
                  <c:v>45766</c:v>
                </c:pt>
                <c:pt idx="186">
                  <c:v>45765</c:v>
                </c:pt>
                <c:pt idx="187">
                  <c:v>45764</c:v>
                </c:pt>
                <c:pt idx="188">
                  <c:v>45763</c:v>
                </c:pt>
                <c:pt idx="189">
                  <c:v>45762</c:v>
                </c:pt>
                <c:pt idx="190">
                  <c:v>45761</c:v>
                </c:pt>
                <c:pt idx="191">
                  <c:v>45760</c:v>
                </c:pt>
                <c:pt idx="192">
                  <c:v>45759</c:v>
                </c:pt>
                <c:pt idx="193">
                  <c:v>45758</c:v>
                </c:pt>
                <c:pt idx="194">
                  <c:v>45757</c:v>
                </c:pt>
                <c:pt idx="195">
                  <c:v>45756</c:v>
                </c:pt>
                <c:pt idx="196">
                  <c:v>45755</c:v>
                </c:pt>
                <c:pt idx="197">
                  <c:v>45754</c:v>
                </c:pt>
                <c:pt idx="198">
                  <c:v>45753</c:v>
                </c:pt>
                <c:pt idx="199">
                  <c:v>45752</c:v>
                </c:pt>
                <c:pt idx="200">
                  <c:v>45751</c:v>
                </c:pt>
                <c:pt idx="201">
                  <c:v>45750</c:v>
                </c:pt>
                <c:pt idx="202">
                  <c:v>45749</c:v>
                </c:pt>
                <c:pt idx="203">
                  <c:v>45748</c:v>
                </c:pt>
                <c:pt idx="204">
                  <c:v>45747</c:v>
                </c:pt>
                <c:pt idx="205">
                  <c:v>45746</c:v>
                </c:pt>
                <c:pt idx="206">
                  <c:v>45745</c:v>
                </c:pt>
                <c:pt idx="207">
                  <c:v>45744</c:v>
                </c:pt>
                <c:pt idx="208">
                  <c:v>45743</c:v>
                </c:pt>
                <c:pt idx="209">
                  <c:v>45742</c:v>
                </c:pt>
                <c:pt idx="210">
                  <c:v>45741</c:v>
                </c:pt>
                <c:pt idx="211">
                  <c:v>45740</c:v>
                </c:pt>
                <c:pt idx="212">
                  <c:v>45739</c:v>
                </c:pt>
                <c:pt idx="213">
                  <c:v>45738</c:v>
                </c:pt>
                <c:pt idx="214">
                  <c:v>45737</c:v>
                </c:pt>
                <c:pt idx="215">
                  <c:v>45736</c:v>
                </c:pt>
                <c:pt idx="216">
                  <c:v>45735</c:v>
                </c:pt>
                <c:pt idx="217">
                  <c:v>45734</c:v>
                </c:pt>
                <c:pt idx="218">
                  <c:v>45733</c:v>
                </c:pt>
                <c:pt idx="219">
                  <c:v>45732</c:v>
                </c:pt>
                <c:pt idx="220">
                  <c:v>45731</c:v>
                </c:pt>
                <c:pt idx="221">
                  <c:v>45730</c:v>
                </c:pt>
                <c:pt idx="222">
                  <c:v>45729</c:v>
                </c:pt>
                <c:pt idx="223">
                  <c:v>45728</c:v>
                </c:pt>
                <c:pt idx="224">
                  <c:v>45727</c:v>
                </c:pt>
                <c:pt idx="225">
                  <c:v>45726</c:v>
                </c:pt>
                <c:pt idx="226">
                  <c:v>45725</c:v>
                </c:pt>
                <c:pt idx="227">
                  <c:v>45724</c:v>
                </c:pt>
                <c:pt idx="228">
                  <c:v>45723</c:v>
                </c:pt>
                <c:pt idx="229">
                  <c:v>45722</c:v>
                </c:pt>
                <c:pt idx="230">
                  <c:v>45721</c:v>
                </c:pt>
                <c:pt idx="231">
                  <c:v>45720</c:v>
                </c:pt>
                <c:pt idx="232">
                  <c:v>45719</c:v>
                </c:pt>
                <c:pt idx="233">
                  <c:v>45718</c:v>
                </c:pt>
                <c:pt idx="234">
                  <c:v>45717</c:v>
                </c:pt>
                <c:pt idx="235">
                  <c:v>45716</c:v>
                </c:pt>
                <c:pt idx="236">
                  <c:v>45715</c:v>
                </c:pt>
                <c:pt idx="237">
                  <c:v>45714</c:v>
                </c:pt>
                <c:pt idx="238">
                  <c:v>45713</c:v>
                </c:pt>
                <c:pt idx="239">
                  <c:v>45712</c:v>
                </c:pt>
                <c:pt idx="240">
                  <c:v>45711</c:v>
                </c:pt>
                <c:pt idx="241">
                  <c:v>45710</c:v>
                </c:pt>
                <c:pt idx="242">
                  <c:v>45709</c:v>
                </c:pt>
                <c:pt idx="243">
                  <c:v>45708</c:v>
                </c:pt>
                <c:pt idx="244">
                  <c:v>45707</c:v>
                </c:pt>
                <c:pt idx="245">
                  <c:v>45706</c:v>
                </c:pt>
                <c:pt idx="246">
                  <c:v>45705</c:v>
                </c:pt>
                <c:pt idx="247">
                  <c:v>45704</c:v>
                </c:pt>
                <c:pt idx="248">
                  <c:v>45703</c:v>
                </c:pt>
                <c:pt idx="249">
                  <c:v>45702</c:v>
                </c:pt>
                <c:pt idx="250">
                  <c:v>45701</c:v>
                </c:pt>
                <c:pt idx="251">
                  <c:v>45700</c:v>
                </c:pt>
                <c:pt idx="252">
                  <c:v>45699</c:v>
                </c:pt>
                <c:pt idx="253">
                  <c:v>45698</c:v>
                </c:pt>
                <c:pt idx="254">
                  <c:v>45697</c:v>
                </c:pt>
                <c:pt idx="255">
                  <c:v>45696</c:v>
                </c:pt>
                <c:pt idx="256">
                  <c:v>45695</c:v>
                </c:pt>
                <c:pt idx="257">
                  <c:v>45694</c:v>
                </c:pt>
                <c:pt idx="258">
                  <c:v>45693</c:v>
                </c:pt>
                <c:pt idx="259">
                  <c:v>45692</c:v>
                </c:pt>
                <c:pt idx="260">
                  <c:v>45691</c:v>
                </c:pt>
                <c:pt idx="261">
                  <c:v>45690</c:v>
                </c:pt>
                <c:pt idx="262">
                  <c:v>45689</c:v>
                </c:pt>
                <c:pt idx="263">
                  <c:v>45688</c:v>
                </c:pt>
                <c:pt idx="264">
                  <c:v>45687</c:v>
                </c:pt>
                <c:pt idx="265">
                  <c:v>45686</c:v>
                </c:pt>
                <c:pt idx="266">
                  <c:v>45685</c:v>
                </c:pt>
                <c:pt idx="267">
                  <c:v>45684</c:v>
                </c:pt>
                <c:pt idx="268">
                  <c:v>45683</c:v>
                </c:pt>
                <c:pt idx="269">
                  <c:v>45682</c:v>
                </c:pt>
                <c:pt idx="270">
                  <c:v>45681</c:v>
                </c:pt>
                <c:pt idx="271">
                  <c:v>45680</c:v>
                </c:pt>
                <c:pt idx="272">
                  <c:v>45679</c:v>
                </c:pt>
                <c:pt idx="273">
                  <c:v>45678</c:v>
                </c:pt>
                <c:pt idx="274">
                  <c:v>45677</c:v>
                </c:pt>
                <c:pt idx="275">
                  <c:v>45676</c:v>
                </c:pt>
                <c:pt idx="276">
                  <c:v>45675</c:v>
                </c:pt>
                <c:pt idx="277">
                  <c:v>45674</c:v>
                </c:pt>
                <c:pt idx="278">
                  <c:v>45673</c:v>
                </c:pt>
                <c:pt idx="279">
                  <c:v>45672</c:v>
                </c:pt>
                <c:pt idx="280">
                  <c:v>45671</c:v>
                </c:pt>
                <c:pt idx="281">
                  <c:v>45670</c:v>
                </c:pt>
                <c:pt idx="282">
                  <c:v>45669</c:v>
                </c:pt>
                <c:pt idx="283">
                  <c:v>45668</c:v>
                </c:pt>
                <c:pt idx="284">
                  <c:v>45667</c:v>
                </c:pt>
                <c:pt idx="285">
                  <c:v>45666</c:v>
                </c:pt>
                <c:pt idx="286">
                  <c:v>45665</c:v>
                </c:pt>
                <c:pt idx="287">
                  <c:v>45664</c:v>
                </c:pt>
                <c:pt idx="288">
                  <c:v>45663</c:v>
                </c:pt>
                <c:pt idx="289">
                  <c:v>45662</c:v>
                </c:pt>
                <c:pt idx="290">
                  <c:v>45661</c:v>
                </c:pt>
                <c:pt idx="291">
                  <c:v>45660</c:v>
                </c:pt>
                <c:pt idx="292">
                  <c:v>45659</c:v>
                </c:pt>
                <c:pt idx="293">
                  <c:v>45658</c:v>
                </c:pt>
                <c:pt idx="294">
                  <c:v>45657</c:v>
                </c:pt>
                <c:pt idx="295">
                  <c:v>45656</c:v>
                </c:pt>
                <c:pt idx="296">
                  <c:v>45655</c:v>
                </c:pt>
                <c:pt idx="297">
                  <c:v>45654</c:v>
                </c:pt>
                <c:pt idx="298">
                  <c:v>45653</c:v>
                </c:pt>
                <c:pt idx="299">
                  <c:v>45652</c:v>
                </c:pt>
                <c:pt idx="300">
                  <c:v>45651</c:v>
                </c:pt>
                <c:pt idx="301">
                  <c:v>45650</c:v>
                </c:pt>
                <c:pt idx="302">
                  <c:v>45649</c:v>
                </c:pt>
                <c:pt idx="303">
                  <c:v>45648</c:v>
                </c:pt>
                <c:pt idx="304">
                  <c:v>45647</c:v>
                </c:pt>
                <c:pt idx="305">
                  <c:v>45646</c:v>
                </c:pt>
                <c:pt idx="306">
                  <c:v>45645</c:v>
                </c:pt>
                <c:pt idx="307">
                  <c:v>45644</c:v>
                </c:pt>
                <c:pt idx="308">
                  <c:v>45643</c:v>
                </c:pt>
                <c:pt idx="309">
                  <c:v>45642</c:v>
                </c:pt>
                <c:pt idx="310">
                  <c:v>45641</c:v>
                </c:pt>
                <c:pt idx="311">
                  <c:v>45640</c:v>
                </c:pt>
                <c:pt idx="312">
                  <c:v>45639</c:v>
                </c:pt>
                <c:pt idx="313">
                  <c:v>45638</c:v>
                </c:pt>
                <c:pt idx="314">
                  <c:v>45637</c:v>
                </c:pt>
                <c:pt idx="315">
                  <c:v>45636</c:v>
                </c:pt>
                <c:pt idx="316">
                  <c:v>45635</c:v>
                </c:pt>
                <c:pt idx="317">
                  <c:v>45634</c:v>
                </c:pt>
                <c:pt idx="318">
                  <c:v>45633</c:v>
                </c:pt>
                <c:pt idx="319">
                  <c:v>45632</c:v>
                </c:pt>
                <c:pt idx="320">
                  <c:v>45631</c:v>
                </c:pt>
                <c:pt idx="321">
                  <c:v>45630</c:v>
                </c:pt>
                <c:pt idx="322">
                  <c:v>45629</c:v>
                </c:pt>
                <c:pt idx="323">
                  <c:v>45628</c:v>
                </c:pt>
                <c:pt idx="324">
                  <c:v>45627</c:v>
                </c:pt>
                <c:pt idx="325">
                  <c:v>45626</c:v>
                </c:pt>
                <c:pt idx="326">
                  <c:v>45625</c:v>
                </c:pt>
                <c:pt idx="327">
                  <c:v>45624</c:v>
                </c:pt>
                <c:pt idx="328">
                  <c:v>45623</c:v>
                </c:pt>
                <c:pt idx="329">
                  <c:v>45622</c:v>
                </c:pt>
                <c:pt idx="330">
                  <c:v>45621</c:v>
                </c:pt>
                <c:pt idx="331">
                  <c:v>45620</c:v>
                </c:pt>
                <c:pt idx="332">
                  <c:v>45619</c:v>
                </c:pt>
                <c:pt idx="333">
                  <c:v>45618</c:v>
                </c:pt>
                <c:pt idx="334">
                  <c:v>45617</c:v>
                </c:pt>
                <c:pt idx="335">
                  <c:v>45616</c:v>
                </c:pt>
                <c:pt idx="336">
                  <c:v>45615</c:v>
                </c:pt>
                <c:pt idx="337">
                  <c:v>45614</c:v>
                </c:pt>
                <c:pt idx="338">
                  <c:v>45613</c:v>
                </c:pt>
                <c:pt idx="339">
                  <c:v>45612</c:v>
                </c:pt>
                <c:pt idx="340">
                  <c:v>45611</c:v>
                </c:pt>
                <c:pt idx="341">
                  <c:v>45610</c:v>
                </c:pt>
                <c:pt idx="342">
                  <c:v>45609</c:v>
                </c:pt>
                <c:pt idx="343">
                  <c:v>45608</c:v>
                </c:pt>
                <c:pt idx="344">
                  <c:v>45607</c:v>
                </c:pt>
                <c:pt idx="345">
                  <c:v>45606</c:v>
                </c:pt>
                <c:pt idx="346">
                  <c:v>45605</c:v>
                </c:pt>
                <c:pt idx="347">
                  <c:v>45604</c:v>
                </c:pt>
                <c:pt idx="348">
                  <c:v>45603</c:v>
                </c:pt>
                <c:pt idx="349">
                  <c:v>45602</c:v>
                </c:pt>
                <c:pt idx="350">
                  <c:v>45601</c:v>
                </c:pt>
                <c:pt idx="351">
                  <c:v>45600</c:v>
                </c:pt>
                <c:pt idx="352">
                  <c:v>45599</c:v>
                </c:pt>
                <c:pt idx="353">
                  <c:v>45598</c:v>
                </c:pt>
                <c:pt idx="354">
                  <c:v>45597</c:v>
                </c:pt>
                <c:pt idx="355">
                  <c:v>45596</c:v>
                </c:pt>
                <c:pt idx="356">
                  <c:v>45595</c:v>
                </c:pt>
                <c:pt idx="357">
                  <c:v>45594</c:v>
                </c:pt>
                <c:pt idx="358">
                  <c:v>45593</c:v>
                </c:pt>
                <c:pt idx="359">
                  <c:v>45592</c:v>
                </c:pt>
                <c:pt idx="360">
                  <c:v>45591</c:v>
                </c:pt>
                <c:pt idx="361">
                  <c:v>45590</c:v>
                </c:pt>
                <c:pt idx="362">
                  <c:v>45589</c:v>
                </c:pt>
                <c:pt idx="363">
                  <c:v>45588</c:v>
                </c:pt>
                <c:pt idx="364">
                  <c:v>45587</c:v>
                </c:pt>
                <c:pt idx="365">
                  <c:v>45586</c:v>
                </c:pt>
                <c:pt idx="366">
                  <c:v>45585</c:v>
                </c:pt>
                <c:pt idx="367">
                  <c:v>45584</c:v>
                </c:pt>
                <c:pt idx="368">
                  <c:v>45583</c:v>
                </c:pt>
                <c:pt idx="369">
                  <c:v>45582</c:v>
                </c:pt>
                <c:pt idx="370">
                  <c:v>45581</c:v>
                </c:pt>
                <c:pt idx="371">
                  <c:v>45580</c:v>
                </c:pt>
                <c:pt idx="372">
                  <c:v>45579</c:v>
                </c:pt>
                <c:pt idx="373">
                  <c:v>45578</c:v>
                </c:pt>
                <c:pt idx="374">
                  <c:v>45577</c:v>
                </c:pt>
                <c:pt idx="375">
                  <c:v>45576</c:v>
                </c:pt>
                <c:pt idx="376">
                  <c:v>45575</c:v>
                </c:pt>
                <c:pt idx="377">
                  <c:v>45574</c:v>
                </c:pt>
                <c:pt idx="378">
                  <c:v>45573</c:v>
                </c:pt>
                <c:pt idx="379">
                  <c:v>45572</c:v>
                </c:pt>
                <c:pt idx="380">
                  <c:v>45571</c:v>
                </c:pt>
                <c:pt idx="381">
                  <c:v>45570</c:v>
                </c:pt>
                <c:pt idx="382">
                  <c:v>45569</c:v>
                </c:pt>
                <c:pt idx="383">
                  <c:v>45568</c:v>
                </c:pt>
                <c:pt idx="384">
                  <c:v>45567</c:v>
                </c:pt>
                <c:pt idx="385">
                  <c:v>45566</c:v>
                </c:pt>
                <c:pt idx="386">
                  <c:v>45565</c:v>
                </c:pt>
                <c:pt idx="387">
                  <c:v>45564</c:v>
                </c:pt>
                <c:pt idx="388">
                  <c:v>45563</c:v>
                </c:pt>
                <c:pt idx="389">
                  <c:v>45562</c:v>
                </c:pt>
                <c:pt idx="390">
                  <c:v>45561</c:v>
                </c:pt>
                <c:pt idx="391">
                  <c:v>45560</c:v>
                </c:pt>
                <c:pt idx="392">
                  <c:v>45559</c:v>
                </c:pt>
                <c:pt idx="393">
                  <c:v>45558</c:v>
                </c:pt>
                <c:pt idx="394">
                  <c:v>45557</c:v>
                </c:pt>
                <c:pt idx="395">
                  <c:v>45556</c:v>
                </c:pt>
                <c:pt idx="396">
                  <c:v>45555</c:v>
                </c:pt>
                <c:pt idx="397">
                  <c:v>45554</c:v>
                </c:pt>
                <c:pt idx="398">
                  <c:v>45553</c:v>
                </c:pt>
                <c:pt idx="399">
                  <c:v>45552</c:v>
                </c:pt>
                <c:pt idx="400">
                  <c:v>45551</c:v>
                </c:pt>
                <c:pt idx="401">
                  <c:v>45550</c:v>
                </c:pt>
                <c:pt idx="402">
                  <c:v>45549</c:v>
                </c:pt>
                <c:pt idx="403">
                  <c:v>45548</c:v>
                </c:pt>
                <c:pt idx="404">
                  <c:v>45547</c:v>
                </c:pt>
                <c:pt idx="405">
                  <c:v>45546</c:v>
                </c:pt>
                <c:pt idx="406">
                  <c:v>45545</c:v>
                </c:pt>
                <c:pt idx="407">
                  <c:v>45544</c:v>
                </c:pt>
                <c:pt idx="408">
                  <c:v>45543</c:v>
                </c:pt>
                <c:pt idx="409">
                  <c:v>45542</c:v>
                </c:pt>
                <c:pt idx="410">
                  <c:v>45541</c:v>
                </c:pt>
                <c:pt idx="411">
                  <c:v>45540</c:v>
                </c:pt>
                <c:pt idx="412">
                  <c:v>45539</c:v>
                </c:pt>
                <c:pt idx="413">
                  <c:v>45538</c:v>
                </c:pt>
                <c:pt idx="414">
                  <c:v>45537</c:v>
                </c:pt>
                <c:pt idx="415">
                  <c:v>45536</c:v>
                </c:pt>
                <c:pt idx="416">
                  <c:v>45535</c:v>
                </c:pt>
                <c:pt idx="417">
                  <c:v>45534</c:v>
                </c:pt>
                <c:pt idx="418">
                  <c:v>45533</c:v>
                </c:pt>
                <c:pt idx="419">
                  <c:v>45532</c:v>
                </c:pt>
                <c:pt idx="420">
                  <c:v>45531</c:v>
                </c:pt>
                <c:pt idx="421">
                  <c:v>45530</c:v>
                </c:pt>
                <c:pt idx="422">
                  <c:v>45529</c:v>
                </c:pt>
                <c:pt idx="423">
                  <c:v>45528</c:v>
                </c:pt>
                <c:pt idx="424">
                  <c:v>45527</c:v>
                </c:pt>
                <c:pt idx="425">
                  <c:v>45526</c:v>
                </c:pt>
                <c:pt idx="426">
                  <c:v>45525</c:v>
                </c:pt>
                <c:pt idx="427">
                  <c:v>45524</c:v>
                </c:pt>
                <c:pt idx="428">
                  <c:v>45523</c:v>
                </c:pt>
                <c:pt idx="429">
                  <c:v>45522</c:v>
                </c:pt>
                <c:pt idx="430">
                  <c:v>45521</c:v>
                </c:pt>
                <c:pt idx="431">
                  <c:v>45520</c:v>
                </c:pt>
                <c:pt idx="432">
                  <c:v>45519</c:v>
                </c:pt>
                <c:pt idx="433">
                  <c:v>45518</c:v>
                </c:pt>
                <c:pt idx="434">
                  <c:v>45517</c:v>
                </c:pt>
                <c:pt idx="435">
                  <c:v>45516</c:v>
                </c:pt>
                <c:pt idx="436">
                  <c:v>45515</c:v>
                </c:pt>
                <c:pt idx="437">
                  <c:v>45514</c:v>
                </c:pt>
                <c:pt idx="438">
                  <c:v>45513</c:v>
                </c:pt>
                <c:pt idx="439">
                  <c:v>45512</c:v>
                </c:pt>
                <c:pt idx="440">
                  <c:v>45511</c:v>
                </c:pt>
                <c:pt idx="441">
                  <c:v>45510</c:v>
                </c:pt>
                <c:pt idx="442">
                  <c:v>45509</c:v>
                </c:pt>
                <c:pt idx="443">
                  <c:v>45508</c:v>
                </c:pt>
                <c:pt idx="444">
                  <c:v>45507</c:v>
                </c:pt>
                <c:pt idx="445">
                  <c:v>45506</c:v>
                </c:pt>
                <c:pt idx="446">
                  <c:v>45505</c:v>
                </c:pt>
                <c:pt idx="447">
                  <c:v>45504</c:v>
                </c:pt>
                <c:pt idx="448">
                  <c:v>45503</c:v>
                </c:pt>
                <c:pt idx="449">
                  <c:v>45502</c:v>
                </c:pt>
                <c:pt idx="450">
                  <c:v>45501</c:v>
                </c:pt>
                <c:pt idx="451">
                  <c:v>45500</c:v>
                </c:pt>
                <c:pt idx="452">
                  <c:v>45499</c:v>
                </c:pt>
                <c:pt idx="453">
                  <c:v>45498</c:v>
                </c:pt>
                <c:pt idx="454">
                  <c:v>45497</c:v>
                </c:pt>
                <c:pt idx="455">
                  <c:v>45496</c:v>
                </c:pt>
                <c:pt idx="456">
                  <c:v>45495</c:v>
                </c:pt>
                <c:pt idx="457">
                  <c:v>45494</c:v>
                </c:pt>
                <c:pt idx="458">
                  <c:v>45493</c:v>
                </c:pt>
                <c:pt idx="459">
                  <c:v>45492</c:v>
                </c:pt>
                <c:pt idx="460">
                  <c:v>45491</c:v>
                </c:pt>
                <c:pt idx="461">
                  <c:v>45490</c:v>
                </c:pt>
                <c:pt idx="462">
                  <c:v>45489</c:v>
                </c:pt>
                <c:pt idx="463">
                  <c:v>45488</c:v>
                </c:pt>
                <c:pt idx="464">
                  <c:v>45487</c:v>
                </c:pt>
                <c:pt idx="465">
                  <c:v>45486</c:v>
                </c:pt>
                <c:pt idx="466">
                  <c:v>45485</c:v>
                </c:pt>
                <c:pt idx="467">
                  <c:v>45484</c:v>
                </c:pt>
                <c:pt idx="468">
                  <c:v>45483</c:v>
                </c:pt>
                <c:pt idx="469">
                  <c:v>45482</c:v>
                </c:pt>
                <c:pt idx="470">
                  <c:v>45481</c:v>
                </c:pt>
                <c:pt idx="471">
                  <c:v>45480</c:v>
                </c:pt>
                <c:pt idx="472">
                  <c:v>45479</c:v>
                </c:pt>
                <c:pt idx="473">
                  <c:v>45478</c:v>
                </c:pt>
                <c:pt idx="474">
                  <c:v>45477</c:v>
                </c:pt>
                <c:pt idx="475">
                  <c:v>45476</c:v>
                </c:pt>
                <c:pt idx="476">
                  <c:v>45475</c:v>
                </c:pt>
                <c:pt idx="477">
                  <c:v>45474</c:v>
                </c:pt>
                <c:pt idx="478">
                  <c:v>45473</c:v>
                </c:pt>
                <c:pt idx="479">
                  <c:v>45472</c:v>
                </c:pt>
                <c:pt idx="480">
                  <c:v>45471</c:v>
                </c:pt>
                <c:pt idx="481">
                  <c:v>45470</c:v>
                </c:pt>
                <c:pt idx="482">
                  <c:v>45469</c:v>
                </c:pt>
                <c:pt idx="483">
                  <c:v>45468</c:v>
                </c:pt>
                <c:pt idx="484">
                  <c:v>45467</c:v>
                </c:pt>
                <c:pt idx="485">
                  <c:v>45466</c:v>
                </c:pt>
                <c:pt idx="486">
                  <c:v>45465</c:v>
                </c:pt>
                <c:pt idx="487">
                  <c:v>45464</c:v>
                </c:pt>
                <c:pt idx="488">
                  <c:v>45463</c:v>
                </c:pt>
                <c:pt idx="489">
                  <c:v>45462</c:v>
                </c:pt>
                <c:pt idx="490">
                  <c:v>45461</c:v>
                </c:pt>
                <c:pt idx="491">
                  <c:v>45460</c:v>
                </c:pt>
                <c:pt idx="492">
                  <c:v>45459</c:v>
                </c:pt>
                <c:pt idx="493">
                  <c:v>45458</c:v>
                </c:pt>
                <c:pt idx="494">
                  <c:v>45457</c:v>
                </c:pt>
                <c:pt idx="495">
                  <c:v>45456</c:v>
                </c:pt>
                <c:pt idx="496">
                  <c:v>45455</c:v>
                </c:pt>
                <c:pt idx="497">
                  <c:v>45454</c:v>
                </c:pt>
                <c:pt idx="498">
                  <c:v>45453</c:v>
                </c:pt>
                <c:pt idx="499">
                  <c:v>45452</c:v>
                </c:pt>
                <c:pt idx="500">
                  <c:v>45451</c:v>
                </c:pt>
                <c:pt idx="501">
                  <c:v>45450</c:v>
                </c:pt>
                <c:pt idx="502">
                  <c:v>45449</c:v>
                </c:pt>
                <c:pt idx="503">
                  <c:v>45448</c:v>
                </c:pt>
                <c:pt idx="504">
                  <c:v>45447</c:v>
                </c:pt>
                <c:pt idx="505">
                  <c:v>45446</c:v>
                </c:pt>
                <c:pt idx="506">
                  <c:v>45445</c:v>
                </c:pt>
                <c:pt idx="507">
                  <c:v>45444</c:v>
                </c:pt>
                <c:pt idx="508">
                  <c:v>45443</c:v>
                </c:pt>
                <c:pt idx="509">
                  <c:v>45442</c:v>
                </c:pt>
                <c:pt idx="510">
                  <c:v>45441</c:v>
                </c:pt>
                <c:pt idx="511">
                  <c:v>45440</c:v>
                </c:pt>
                <c:pt idx="512">
                  <c:v>45439</c:v>
                </c:pt>
                <c:pt idx="513">
                  <c:v>45438</c:v>
                </c:pt>
                <c:pt idx="514">
                  <c:v>45437</c:v>
                </c:pt>
                <c:pt idx="515">
                  <c:v>45436</c:v>
                </c:pt>
                <c:pt idx="516">
                  <c:v>45435</c:v>
                </c:pt>
                <c:pt idx="517">
                  <c:v>45434</c:v>
                </c:pt>
                <c:pt idx="518">
                  <c:v>45433</c:v>
                </c:pt>
                <c:pt idx="519">
                  <c:v>45432</c:v>
                </c:pt>
                <c:pt idx="520">
                  <c:v>45431</c:v>
                </c:pt>
                <c:pt idx="521">
                  <c:v>45430</c:v>
                </c:pt>
                <c:pt idx="522">
                  <c:v>45429</c:v>
                </c:pt>
                <c:pt idx="523">
                  <c:v>45428</c:v>
                </c:pt>
                <c:pt idx="524">
                  <c:v>45427</c:v>
                </c:pt>
                <c:pt idx="525">
                  <c:v>45426</c:v>
                </c:pt>
                <c:pt idx="526">
                  <c:v>45425</c:v>
                </c:pt>
                <c:pt idx="527">
                  <c:v>45424</c:v>
                </c:pt>
                <c:pt idx="528">
                  <c:v>45423</c:v>
                </c:pt>
                <c:pt idx="529">
                  <c:v>45422</c:v>
                </c:pt>
                <c:pt idx="530">
                  <c:v>45421</c:v>
                </c:pt>
                <c:pt idx="531">
                  <c:v>45420</c:v>
                </c:pt>
                <c:pt idx="532">
                  <c:v>45419</c:v>
                </c:pt>
                <c:pt idx="533">
                  <c:v>45418</c:v>
                </c:pt>
                <c:pt idx="534">
                  <c:v>45417</c:v>
                </c:pt>
                <c:pt idx="535">
                  <c:v>45416</c:v>
                </c:pt>
                <c:pt idx="536">
                  <c:v>45415</c:v>
                </c:pt>
                <c:pt idx="537">
                  <c:v>45414</c:v>
                </c:pt>
                <c:pt idx="538">
                  <c:v>45413</c:v>
                </c:pt>
                <c:pt idx="539">
                  <c:v>45412</c:v>
                </c:pt>
                <c:pt idx="540">
                  <c:v>45411</c:v>
                </c:pt>
                <c:pt idx="541">
                  <c:v>45410</c:v>
                </c:pt>
                <c:pt idx="542">
                  <c:v>45409</c:v>
                </c:pt>
                <c:pt idx="543">
                  <c:v>45408</c:v>
                </c:pt>
                <c:pt idx="544">
                  <c:v>45407</c:v>
                </c:pt>
                <c:pt idx="545">
                  <c:v>45406</c:v>
                </c:pt>
                <c:pt idx="546">
                  <c:v>45405</c:v>
                </c:pt>
                <c:pt idx="547">
                  <c:v>45404</c:v>
                </c:pt>
                <c:pt idx="548">
                  <c:v>45403</c:v>
                </c:pt>
                <c:pt idx="549">
                  <c:v>45402</c:v>
                </c:pt>
                <c:pt idx="550">
                  <c:v>45401</c:v>
                </c:pt>
                <c:pt idx="551">
                  <c:v>45400</c:v>
                </c:pt>
                <c:pt idx="552">
                  <c:v>45399</c:v>
                </c:pt>
                <c:pt idx="553">
                  <c:v>45398</c:v>
                </c:pt>
                <c:pt idx="554">
                  <c:v>45397</c:v>
                </c:pt>
                <c:pt idx="555">
                  <c:v>45396</c:v>
                </c:pt>
                <c:pt idx="556">
                  <c:v>45395</c:v>
                </c:pt>
                <c:pt idx="557">
                  <c:v>45394</c:v>
                </c:pt>
                <c:pt idx="558">
                  <c:v>45393</c:v>
                </c:pt>
                <c:pt idx="559">
                  <c:v>45392</c:v>
                </c:pt>
                <c:pt idx="560">
                  <c:v>45391</c:v>
                </c:pt>
                <c:pt idx="561">
                  <c:v>45390</c:v>
                </c:pt>
                <c:pt idx="562">
                  <c:v>45389</c:v>
                </c:pt>
                <c:pt idx="563">
                  <c:v>45388</c:v>
                </c:pt>
                <c:pt idx="564">
                  <c:v>45387</c:v>
                </c:pt>
                <c:pt idx="565">
                  <c:v>45386</c:v>
                </c:pt>
                <c:pt idx="566">
                  <c:v>45385</c:v>
                </c:pt>
                <c:pt idx="567">
                  <c:v>45384</c:v>
                </c:pt>
                <c:pt idx="568">
                  <c:v>45383</c:v>
                </c:pt>
                <c:pt idx="569">
                  <c:v>45382</c:v>
                </c:pt>
                <c:pt idx="570">
                  <c:v>45381</c:v>
                </c:pt>
                <c:pt idx="571">
                  <c:v>45380</c:v>
                </c:pt>
                <c:pt idx="572">
                  <c:v>45379</c:v>
                </c:pt>
                <c:pt idx="573">
                  <c:v>45378</c:v>
                </c:pt>
                <c:pt idx="574">
                  <c:v>45377</c:v>
                </c:pt>
                <c:pt idx="575">
                  <c:v>45376</c:v>
                </c:pt>
                <c:pt idx="576">
                  <c:v>45375</c:v>
                </c:pt>
                <c:pt idx="577">
                  <c:v>45374</c:v>
                </c:pt>
                <c:pt idx="578">
                  <c:v>45373</c:v>
                </c:pt>
                <c:pt idx="579">
                  <c:v>45372</c:v>
                </c:pt>
                <c:pt idx="580">
                  <c:v>45371</c:v>
                </c:pt>
                <c:pt idx="581">
                  <c:v>45370</c:v>
                </c:pt>
                <c:pt idx="582">
                  <c:v>45369</c:v>
                </c:pt>
                <c:pt idx="583">
                  <c:v>45368</c:v>
                </c:pt>
                <c:pt idx="584">
                  <c:v>45367</c:v>
                </c:pt>
                <c:pt idx="585">
                  <c:v>45366</c:v>
                </c:pt>
                <c:pt idx="586">
                  <c:v>45365</c:v>
                </c:pt>
                <c:pt idx="587">
                  <c:v>45364</c:v>
                </c:pt>
                <c:pt idx="588">
                  <c:v>45363</c:v>
                </c:pt>
                <c:pt idx="589">
                  <c:v>45362</c:v>
                </c:pt>
                <c:pt idx="590">
                  <c:v>45361</c:v>
                </c:pt>
                <c:pt idx="591">
                  <c:v>45360</c:v>
                </c:pt>
                <c:pt idx="592">
                  <c:v>45359</c:v>
                </c:pt>
                <c:pt idx="593">
                  <c:v>45358</c:v>
                </c:pt>
                <c:pt idx="594">
                  <c:v>45357</c:v>
                </c:pt>
                <c:pt idx="595">
                  <c:v>45356</c:v>
                </c:pt>
                <c:pt idx="596">
                  <c:v>45355</c:v>
                </c:pt>
                <c:pt idx="597">
                  <c:v>45354</c:v>
                </c:pt>
                <c:pt idx="598">
                  <c:v>45353</c:v>
                </c:pt>
                <c:pt idx="599">
                  <c:v>45352</c:v>
                </c:pt>
                <c:pt idx="600">
                  <c:v>45351</c:v>
                </c:pt>
                <c:pt idx="601">
                  <c:v>45350</c:v>
                </c:pt>
                <c:pt idx="602">
                  <c:v>45349</c:v>
                </c:pt>
                <c:pt idx="603">
                  <c:v>45348</c:v>
                </c:pt>
                <c:pt idx="604">
                  <c:v>45347</c:v>
                </c:pt>
                <c:pt idx="605">
                  <c:v>45346</c:v>
                </c:pt>
                <c:pt idx="606">
                  <c:v>45345</c:v>
                </c:pt>
                <c:pt idx="607">
                  <c:v>45344</c:v>
                </c:pt>
                <c:pt idx="608">
                  <c:v>45343</c:v>
                </c:pt>
                <c:pt idx="609">
                  <c:v>45342</c:v>
                </c:pt>
                <c:pt idx="610">
                  <c:v>45341</c:v>
                </c:pt>
                <c:pt idx="611">
                  <c:v>45340</c:v>
                </c:pt>
                <c:pt idx="612">
                  <c:v>45339</c:v>
                </c:pt>
                <c:pt idx="613">
                  <c:v>45338</c:v>
                </c:pt>
                <c:pt idx="614">
                  <c:v>45337</c:v>
                </c:pt>
                <c:pt idx="615">
                  <c:v>45336</c:v>
                </c:pt>
                <c:pt idx="616">
                  <c:v>45335</c:v>
                </c:pt>
                <c:pt idx="617">
                  <c:v>45334</c:v>
                </c:pt>
                <c:pt idx="618">
                  <c:v>45333</c:v>
                </c:pt>
                <c:pt idx="619">
                  <c:v>45332</c:v>
                </c:pt>
                <c:pt idx="620">
                  <c:v>45331</c:v>
                </c:pt>
                <c:pt idx="621">
                  <c:v>45330</c:v>
                </c:pt>
                <c:pt idx="622">
                  <c:v>45329</c:v>
                </c:pt>
                <c:pt idx="623">
                  <c:v>45328</c:v>
                </c:pt>
                <c:pt idx="624">
                  <c:v>45327</c:v>
                </c:pt>
                <c:pt idx="625">
                  <c:v>45326</c:v>
                </c:pt>
                <c:pt idx="626">
                  <c:v>45325</c:v>
                </c:pt>
                <c:pt idx="627">
                  <c:v>45324</c:v>
                </c:pt>
                <c:pt idx="628">
                  <c:v>45323</c:v>
                </c:pt>
                <c:pt idx="629">
                  <c:v>45322</c:v>
                </c:pt>
                <c:pt idx="630">
                  <c:v>45321</c:v>
                </c:pt>
                <c:pt idx="631">
                  <c:v>45320</c:v>
                </c:pt>
                <c:pt idx="632">
                  <c:v>45319</c:v>
                </c:pt>
                <c:pt idx="633">
                  <c:v>45318</c:v>
                </c:pt>
                <c:pt idx="634">
                  <c:v>45317</c:v>
                </c:pt>
                <c:pt idx="635">
                  <c:v>45316</c:v>
                </c:pt>
                <c:pt idx="636">
                  <c:v>45315</c:v>
                </c:pt>
                <c:pt idx="637">
                  <c:v>45314</c:v>
                </c:pt>
                <c:pt idx="638">
                  <c:v>45313</c:v>
                </c:pt>
                <c:pt idx="639">
                  <c:v>45312</c:v>
                </c:pt>
                <c:pt idx="640">
                  <c:v>45311</c:v>
                </c:pt>
                <c:pt idx="641">
                  <c:v>45310</c:v>
                </c:pt>
                <c:pt idx="642">
                  <c:v>45309</c:v>
                </c:pt>
                <c:pt idx="643">
                  <c:v>45308</c:v>
                </c:pt>
                <c:pt idx="644">
                  <c:v>45307</c:v>
                </c:pt>
                <c:pt idx="645">
                  <c:v>45306</c:v>
                </c:pt>
                <c:pt idx="646">
                  <c:v>45305</c:v>
                </c:pt>
                <c:pt idx="647">
                  <c:v>45304</c:v>
                </c:pt>
                <c:pt idx="648">
                  <c:v>45303</c:v>
                </c:pt>
                <c:pt idx="649">
                  <c:v>45302</c:v>
                </c:pt>
                <c:pt idx="650">
                  <c:v>45301</c:v>
                </c:pt>
                <c:pt idx="651">
                  <c:v>45300</c:v>
                </c:pt>
                <c:pt idx="652">
                  <c:v>45299</c:v>
                </c:pt>
                <c:pt idx="653">
                  <c:v>45298</c:v>
                </c:pt>
                <c:pt idx="654">
                  <c:v>45297</c:v>
                </c:pt>
                <c:pt idx="655">
                  <c:v>45296</c:v>
                </c:pt>
                <c:pt idx="656">
                  <c:v>45295</c:v>
                </c:pt>
                <c:pt idx="657">
                  <c:v>45294</c:v>
                </c:pt>
                <c:pt idx="658">
                  <c:v>45293</c:v>
                </c:pt>
                <c:pt idx="659">
                  <c:v>45292</c:v>
                </c:pt>
                <c:pt idx="660">
                  <c:v>45291</c:v>
                </c:pt>
                <c:pt idx="661">
                  <c:v>45290</c:v>
                </c:pt>
                <c:pt idx="662">
                  <c:v>45289</c:v>
                </c:pt>
                <c:pt idx="663">
                  <c:v>45288</c:v>
                </c:pt>
                <c:pt idx="664">
                  <c:v>45287</c:v>
                </c:pt>
                <c:pt idx="665">
                  <c:v>45286</c:v>
                </c:pt>
                <c:pt idx="666">
                  <c:v>45285</c:v>
                </c:pt>
                <c:pt idx="667">
                  <c:v>45284</c:v>
                </c:pt>
                <c:pt idx="668">
                  <c:v>45283</c:v>
                </c:pt>
                <c:pt idx="669">
                  <c:v>45282</c:v>
                </c:pt>
                <c:pt idx="670">
                  <c:v>45281</c:v>
                </c:pt>
                <c:pt idx="671">
                  <c:v>45280</c:v>
                </c:pt>
                <c:pt idx="672">
                  <c:v>45279</c:v>
                </c:pt>
                <c:pt idx="673">
                  <c:v>45278</c:v>
                </c:pt>
                <c:pt idx="674">
                  <c:v>45277</c:v>
                </c:pt>
                <c:pt idx="675">
                  <c:v>45276</c:v>
                </c:pt>
                <c:pt idx="676">
                  <c:v>45275</c:v>
                </c:pt>
                <c:pt idx="677">
                  <c:v>45274</c:v>
                </c:pt>
                <c:pt idx="678">
                  <c:v>45273</c:v>
                </c:pt>
                <c:pt idx="679">
                  <c:v>45272</c:v>
                </c:pt>
                <c:pt idx="680">
                  <c:v>45271</c:v>
                </c:pt>
                <c:pt idx="681">
                  <c:v>45270</c:v>
                </c:pt>
                <c:pt idx="682">
                  <c:v>45269</c:v>
                </c:pt>
                <c:pt idx="683">
                  <c:v>45268</c:v>
                </c:pt>
                <c:pt idx="684">
                  <c:v>45267</c:v>
                </c:pt>
                <c:pt idx="685">
                  <c:v>45266</c:v>
                </c:pt>
                <c:pt idx="686">
                  <c:v>45265</c:v>
                </c:pt>
                <c:pt idx="687">
                  <c:v>45264</c:v>
                </c:pt>
                <c:pt idx="688">
                  <c:v>45263</c:v>
                </c:pt>
                <c:pt idx="689">
                  <c:v>45262</c:v>
                </c:pt>
                <c:pt idx="690">
                  <c:v>45261</c:v>
                </c:pt>
                <c:pt idx="691">
                  <c:v>45260</c:v>
                </c:pt>
                <c:pt idx="692">
                  <c:v>45259</c:v>
                </c:pt>
                <c:pt idx="693">
                  <c:v>45258</c:v>
                </c:pt>
                <c:pt idx="694">
                  <c:v>45257</c:v>
                </c:pt>
                <c:pt idx="695">
                  <c:v>45256</c:v>
                </c:pt>
                <c:pt idx="696">
                  <c:v>45255</c:v>
                </c:pt>
                <c:pt idx="697">
                  <c:v>45254</c:v>
                </c:pt>
                <c:pt idx="698">
                  <c:v>45253</c:v>
                </c:pt>
                <c:pt idx="699">
                  <c:v>45252</c:v>
                </c:pt>
                <c:pt idx="700">
                  <c:v>45251</c:v>
                </c:pt>
                <c:pt idx="701">
                  <c:v>45250</c:v>
                </c:pt>
                <c:pt idx="702">
                  <c:v>45249</c:v>
                </c:pt>
                <c:pt idx="703">
                  <c:v>45248</c:v>
                </c:pt>
                <c:pt idx="704">
                  <c:v>45247</c:v>
                </c:pt>
                <c:pt idx="705">
                  <c:v>45246</c:v>
                </c:pt>
                <c:pt idx="706">
                  <c:v>45245</c:v>
                </c:pt>
                <c:pt idx="707">
                  <c:v>45244</c:v>
                </c:pt>
                <c:pt idx="708">
                  <c:v>45243</c:v>
                </c:pt>
                <c:pt idx="709">
                  <c:v>45242</c:v>
                </c:pt>
                <c:pt idx="710">
                  <c:v>45241</c:v>
                </c:pt>
                <c:pt idx="711">
                  <c:v>45240</c:v>
                </c:pt>
                <c:pt idx="712">
                  <c:v>45239</c:v>
                </c:pt>
                <c:pt idx="713">
                  <c:v>45238</c:v>
                </c:pt>
                <c:pt idx="714">
                  <c:v>45237</c:v>
                </c:pt>
                <c:pt idx="715">
                  <c:v>45236</c:v>
                </c:pt>
                <c:pt idx="716">
                  <c:v>45235</c:v>
                </c:pt>
                <c:pt idx="717">
                  <c:v>45234</c:v>
                </c:pt>
                <c:pt idx="718">
                  <c:v>45233</c:v>
                </c:pt>
                <c:pt idx="719">
                  <c:v>45232</c:v>
                </c:pt>
                <c:pt idx="720">
                  <c:v>45231</c:v>
                </c:pt>
                <c:pt idx="721">
                  <c:v>45230</c:v>
                </c:pt>
                <c:pt idx="722">
                  <c:v>45229</c:v>
                </c:pt>
                <c:pt idx="723">
                  <c:v>45228</c:v>
                </c:pt>
                <c:pt idx="724">
                  <c:v>45227</c:v>
                </c:pt>
                <c:pt idx="725">
                  <c:v>45226</c:v>
                </c:pt>
                <c:pt idx="726">
                  <c:v>45225</c:v>
                </c:pt>
                <c:pt idx="727">
                  <c:v>45224</c:v>
                </c:pt>
                <c:pt idx="728">
                  <c:v>45223</c:v>
                </c:pt>
                <c:pt idx="729">
                  <c:v>45222</c:v>
                </c:pt>
                <c:pt idx="730">
                  <c:v>45221</c:v>
                </c:pt>
                <c:pt idx="731">
                  <c:v>45220</c:v>
                </c:pt>
                <c:pt idx="732">
                  <c:v>45219</c:v>
                </c:pt>
                <c:pt idx="733">
                  <c:v>45218</c:v>
                </c:pt>
                <c:pt idx="734">
                  <c:v>45217</c:v>
                </c:pt>
                <c:pt idx="735">
                  <c:v>45216</c:v>
                </c:pt>
                <c:pt idx="736">
                  <c:v>45215</c:v>
                </c:pt>
                <c:pt idx="737">
                  <c:v>45214</c:v>
                </c:pt>
                <c:pt idx="738">
                  <c:v>45213</c:v>
                </c:pt>
                <c:pt idx="739">
                  <c:v>45212</c:v>
                </c:pt>
                <c:pt idx="740">
                  <c:v>45211</c:v>
                </c:pt>
                <c:pt idx="741">
                  <c:v>45210</c:v>
                </c:pt>
                <c:pt idx="742">
                  <c:v>45209</c:v>
                </c:pt>
                <c:pt idx="743">
                  <c:v>45208</c:v>
                </c:pt>
                <c:pt idx="744">
                  <c:v>45207</c:v>
                </c:pt>
                <c:pt idx="745">
                  <c:v>45206</c:v>
                </c:pt>
                <c:pt idx="746">
                  <c:v>45205</c:v>
                </c:pt>
                <c:pt idx="747">
                  <c:v>45204</c:v>
                </c:pt>
                <c:pt idx="748">
                  <c:v>45203</c:v>
                </c:pt>
                <c:pt idx="749">
                  <c:v>45202</c:v>
                </c:pt>
                <c:pt idx="750">
                  <c:v>45201</c:v>
                </c:pt>
                <c:pt idx="751">
                  <c:v>45200</c:v>
                </c:pt>
                <c:pt idx="752">
                  <c:v>45199</c:v>
                </c:pt>
                <c:pt idx="753">
                  <c:v>45198</c:v>
                </c:pt>
                <c:pt idx="754">
                  <c:v>45197</c:v>
                </c:pt>
                <c:pt idx="755">
                  <c:v>45196</c:v>
                </c:pt>
                <c:pt idx="756">
                  <c:v>45195</c:v>
                </c:pt>
                <c:pt idx="757">
                  <c:v>45194</c:v>
                </c:pt>
                <c:pt idx="758">
                  <c:v>45193</c:v>
                </c:pt>
                <c:pt idx="759">
                  <c:v>45192</c:v>
                </c:pt>
                <c:pt idx="760">
                  <c:v>45191</c:v>
                </c:pt>
                <c:pt idx="761">
                  <c:v>45190</c:v>
                </c:pt>
                <c:pt idx="762">
                  <c:v>45189</c:v>
                </c:pt>
                <c:pt idx="763">
                  <c:v>45188</c:v>
                </c:pt>
                <c:pt idx="764">
                  <c:v>45187</c:v>
                </c:pt>
                <c:pt idx="765">
                  <c:v>45186</c:v>
                </c:pt>
                <c:pt idx="766">
                  <c:v>45185</c:v>
                </c:pt>
                <c:pt idx="767">
                  <c:v>45184</c:v>
                </c:pt>
                <c:pt idx="768">
                  <c:v>45183</c:v>
                </c:pt>
                <c:pt idx="769">
                  <c:v>45182</c:v>
                </c:pt>
                <c:pt idx="770">
                  <c:v>45181</c:v>
                </c:pt>
                <c:pt idx="771">
                  <c:v>45180</c:v>
                </c:pt>
                <c:pt idx="772">
                  <c:v>45179</c:v>
                </c:pt>
                <c:pt idx="773">
                  <c:v>45178</c:v>
                </c:pt>
                <c:pt idx="774">
                  <c:v>45177</c:v>
                </c:pt>
                <c:pt idx="775">
                  <c:v>45176</c:v>
                </c:pt>
                <c:pt idx="776">
                  <c:v>45175</c:v>
                </c:pt>
                <c:pt idx="777">
                  <c:v>45174</c:v>
                </c:pt>
                <c:pt idx="778">
                  <c:v>45173</c:v>
                </c:pt>
                <c:pt idx="779">
                  <c:v>45172</c:v>
                </c:pt>
                <c:pt idx="780">
                  <c:v>45171</c:v>
                </c:pt>
                <c:pt idx="781">
                  <c:v>45170</c:v>
                </c:pt>
                <c:pt idx="782">
                  <c:v>45169</c:v>
                </c:pt>
                <c:pt idx="783">
                  <c:v>45168</c:v>
                </c:pt>
                <c:pt idx="784">
                  <c:v>45167</c:v>
                </c:pt>
                <c:pt idx="785">
                  <c:v>45166</c:v>
                </c:pt>
                <c:pt idx="786">
                  <c:v>45165</c:v>
                </c:pt>
                <c:pt idx="787">
                  <c:v>45164</c:v>
                </c:pt>
                <c:pt idx="788">
                  <c:v>45163</c:v>
                </c:pt>
                <c:pt idx="789">
                  <c:v>45162</c:v>
                </c:pt>
                <c:pt idx="790">
                  <c:v>45161</c:v>
                </c:pt>
                <c:pt idx="791">
                  <c:v>45160</c:v>
                </c:pt>
                <c:pt idx="792">
                  <c:v>45159</c:v>
                </c:pt>
                <c:pt idx="793">
                  <c:v>45158</c:v>
                </c:pt>
                <c:pt idx="794">
                  <c:v>45157</c:v>
                </c:pt>
                <c:pt idx="795">
                  <c:v>45156</c:v>
                </c:pt>
                <c:pt idx="796">
                  <c:v>45155</c:v>
                </c:pt>
                <c:pt idx="797">
                  <c:v>45154</c:v>
                </c:pt>
                <c:pt idx="798">
                  <c:v>45153</c:v>
                </c:pt>
                <c:pt idx="799">
                  <c:v>45152</c:v>
                </c:pt>
                <c:pt idx="800">
                  <c:v>45151</c:v>
                </c:pt>
                <c:pt idx="801">
                  <c:v>45150</c:v>
                </c:pt>
                <c:pt idx="802">
                  <c:v>45149</c:v>
                </c:pt>
                <c:pt idx="803">
                  <c:v>45148</c:v>
                </c:pt>
                <c:pt idx="804">
                  <c:v>45147</c:v>
                </c:pt>
                <c:pt idx="805">
                  <c:v>45146</c:v>
                </c:pt>
                <c:pt idx="806">
                  <c:v>45145</c:v>
                </c:pt>
                <c:pt idx="807">
                  <c:v>45144</c:v>
                </c:pt>
                <c:pt idx="808">
                  <c:v>45143</c:v>
                </c:pt>
                <c:pt idx="809">
                  <c:v>45142</c:v>
                </c:pt>
                <c:pt idx="810">
                  <c:v>45141</c:v>
                </c:pt>
                <c:pt idx="811">
                  <c:v>45140</c:v>
                </c:pt>
                <c:pt idx="812">
                  <c:v>45139</c:v>
                </c:pt>
                <c:pt idx="813">
                  <c:v>45138</c:v>
                </c:pt>
                <c:pt idx="814">
                  <c:v>45137</c:v>
                </c:pt>
                <c:pt idx="815">
                  <c:v>45136</c:v>
                </c:pt>
                <c:pt idx="816">
                  <c:v>45135</c:v>
                </c:pt>
                <c:pt idx="817">
                  <c:v>45134</c:v>
                </c:pt>
                <c:pt idx="818">
                  <c:v>45133</c:v>
                </c:pt>
                <c:pt idx="819">
                  <c:v>45132</c:v>
                </c:pt>
                <c:pt idx="820">
                  <c:v>45131</c:v>
                </c:pt>
                <c:pt idx="821">
                  <c:v>45130</c:v>
                </c:pt>
                <c:pt idx="822">
                  <c:v>45129</c:v>
                </c:pt>
                <c:pt idx="823">
                  <c:v>45128</c:v>
                </c:pt>
                <c:pt idx="824">
                  <c:v>45127</c:v>
                </c:pt>
                <c:pt idx="825">
                  <c:v>45126</c:v>
                </c:pt>
                <c:pt idx="826">
                  <c:v>45125</c:v>
                </c:pt>
                <c:pt idx="827">
                  <c:v>45124</c:v>
                </c:pt>
                <c:pt idx="828">
                  <c:v>45123</c:v>
                </c:pt>
                <c:pt idx="829">
                  <c:v>45122</c:v>
                </c:pt>
                <c:pt idx="830">
                  <c:v>45121</c:v>
                </c:pt>
                <c:pt idx="831">
                  <c:v>45120</c:v>
                </c:pt>
                <c:pt idx="832">
                  <c:v>45119</c:v>
                </c:pt>
                <c:pt idx="833">
                  <c:v>45118</c:v>
                </c:pt>
                <c:pt idx="834">
                  <c:v>45117</c:v>
                </c:pt>
                <c:pt idx="835">
                  <c:v>45116</c:v>
                </c:pt>
                <c:pt idx="836">
                  <c:v>45115</c:v>
                </c:pt>
                <c:pt idx="837">
                  <c:v>45114</c:v>
                </c:pt>
                <c:pt idx="838">
                  <c:v>45113</c:v>
                </c:pt>
                <c:pt idx="839">
                  <c:v>45112</c:v>
                </c:pt>
                <c:pt idx="840">
                  <c:v>45111</c:v>
                </c:pt>
                <c:pt idx="841">
                  <c:v>45110</c:v>
                </c:pt>
                <c:pt idx="842">
                  <c:v>45109</c:v>
                </c:pt>
                <c:pt idx="843">
                  <c:v>45108</c:v>
                </c:pt>
                <c:pt idx="844">
                  <c:v>45107</c:v>
                </c:pt>
                <c:pt idx="845">
                  <c:v>45106</c:v>
                </c:pt>
                <c:pt idx="846">
                  <c:v>45105</c:v>
                </c:pt>
                <c:pt idx="847">
                  <c:v>45104</c:v>
                </c:pt>
                <c:pt idx="848">
                  <c:v>45103</c:v>
                </c:pt>
                <c:pt idx="849">
                  <c:v>45102</c:v>
                </c:pt>
                <c:pt idx="850">
                  <c:v>45101</c:v>
                </c:pt>
                <c:pt idx="851">
                  <c:v>45100</c:v>
                </c:pt>
                <c:pt idx="852">
                  <c:v>45099</c:v>
                </c:pt>
                <c:pt idx="853">
                  <c:v>45098</c:v>
                </c:pt>
                <c:pt idx="854">
                  <c:v>45097</c:v>
                </c:pt>
                <c:pt idx="855">
                  <c:v>45096</c:v>
                </c:pt>
                <c:pt idx="856">
                  <c:v>45095</c:v>
                </c:pt>
                <c:pt idx="857">
                  <c:v>45094</c:v>
                </c:pt>
                <c:pt idx="858">
                  <c:v>45093</c:v>
                </c:pt>
                <c:pt idx="859">
                  <c:v>45092</c:v>
                </c:pt>
                <c:pt idx="860">
                  <c:v>45091</c:v>
                </c:pt>
                <c:pt idx="861">
                  <c:v>45090</c:v>
                </c:pt>
                <c:pt idx="862">
                  <c:v>45089</c:v>
                </c:pt>
                <c:pt idx="863">
                  <c:v>45088</c:v>
                </c:pt>
                <c:pt idx="864">
                  <c:v>45087</c:v>
                </c:pt>
                <c:pt idx="865">
                  <c:v>45086</c:v>
                </c:pt>
                <c:pt idx="866">
                  <c:v>45085</c:v>
                </c:pt>
                <c:pt idx="867">
                  <c:v>45084</c:v>
                </c:pt>
                <c:pt idx="868">
                  <c:v>45083</c:v>
                </c:pt>
                <c:pt idx="869">
                  <c:v>45082</c:v>
                </c:pt>
                <c:pt idx="870">
                  <c:v>45081</c:v>
                </c:pt>
                <c:pt idx="871">
                  <c:v>45080</c:v>
                </c:pt>
                <c:pt idx="872">
                  <c:v>45079</c:v>
                </c:pt>
                <c:pt idx="873">
                  <c:v>45078</c:v>
                </c:pt>
                <c:pt idx="874">
                  <c:v>45077</c:v>
                </c:pt>
                <c:pt idx="875">
                  <c:v>45076</c:v>
                </c:pt>
                <c:pt idx="876">
                  <c:v>45075</c:v>
                </c:pt>
                <c:pt idx="877">
                  <c:v>45074</c:v>
                </c:pt>
                <c:pt idx="878">
                  <c:v>45073</c:v>
                </c:pt>
                <c:pt idx="879">
                  <c:v>45072</c:v>
                </c:pt>
                <c:pt idx="880">
                  <c:v>45071</c:v>
                </c:pt>
                <c:pt idx="881">
                  <c:v>45070</c:v>
                </c:pt>
                <c:pt idx="882">
                  <c:v>45069</c:v>
                </c:pt>
                <c:pt idx="883">
                  <c:v>45068</c:v>
                </c:pt>
                <c:pt idx="884">
                  <c:v>45067</c:v>
                </c:pt>
                <c:pt idx="885">
                  <c:v>45066</c:v>
                </c:pt>
                <c:pt idx="886">
                  <c:v>45065</c:v>
                </c:pt>
                <c:pt idx="887">
                  <c:v>45064</c:v>
                </c:pt>
                <c:pt idx="888">
                  <c:v>45063</c:v>
                </c:pt>
                <c:pt idx="889">
                  <c:v>45062</c:v>
                </c:pt>
                <c:pt idx="890">
                  <c:v>45061</c:v>
                </c:pt>
                <c:pt idx="891">
                  <c:v>45060</c:v>
                </c:pt>
                <c:pt idx="892">
                  <c:v>45059</c:v>
                </c:pt>
                <c:pt idx="893">
                  <c:v>45058</c:v>
                </c:pt>
                <c:pt idx="894">
                  <c:v>45057</c:v>
                </c:pt>
                <c:pt idx="895">
                  <c:v>45056</c:v>
                </c:pt>
                <c:pt idx="896">
                  <c:v>45055</c:v>
                </c:pt>
                <c:pt idx="897">
                  <c:v>45054</c:v>
                </c:pt>
                <c:pt idx="898">
                  <c:v>45053</c:v>
                </c:pt>
                <c:pt idx="899">
                  <c:v>45052</c:v>
                </c:pt>
                <c:pt idx="900">
                  <c:v>45051</c:v>
                </c:pt>
                <c:pt idx="901">
                  <c:v>45050</c:v>
                </c:pt>
                <c:pt idx="902">
                  <c:v>45049</c:v>
                </c:pt>
                <c:pt idx="903">
                  <c:v>45048</c:v>
                </c:pt>
                <c:pt idx="904">
                  <c:v>45047</c:v>
                </c:pt>
                <c:pt idx="905">
                  <c:v>45046</c:v>
                </c:pt>
                <c:pt idx="906">
                  <c:v>45045</c:v>
                </c:pt>
                <c:pt idx="907">
                  <c:v>45044</c:v>
                </c:pt>
                <c:pt idx="908">
                  <c:v>45043</c:v>
                </c:pt>
                <c:pt idx="909">
                  <c:v>45042</c:v>
                </c:pt>
                <c:pt idx="910">
                  <c:v>45041</c:v>
                </c:pt>
                <c:pt idx="911">
                  <c:v>45040</c:v>
                </c:pt>
                <c:pt idx="912">
                  <c:v>45039</c:v>
                </c:pt>
                <c:pt idx="913">
                  <c:v>45038</c:v>
                </c:pt>
                <c:pt idx="914">
                  <c:v>45037</c:v>
                </c:pt>
                <c:pt idx="915">
                  <c:v>45036</c:v>
                </c:pt>
                <c:pt idx="916">
                  <c:v>45035</c:v>
                </c:pt>
                <c:pt idx="917">
                  <c:v>45034</c:v>
                </c:pt>
                <c:pt idx="918">
                  <c:v>45033</c:v>
                </c:pt>
                <c:pt idx="919">
                  <c:v>45032</c:v>
                </c:pt>
                <c:pt idx="920">
                  <c:v>45031</c:v>
                </c:pt>
                <c:pt idx="921">
                  <c:v>45030</c:v>
                </c:pt>
                <c:pt idx="922">
                  <c:v>45029</c:v>
                </c:pt>
                <c:pt idx="923">
                  <c:v>45028</c:v>
                </c:pt>
                <c:pt idx="924">
                  <c:v>45027</c:v>
                </c:pt>
                <c:pt idx="925">
                  <c:v>45026</c:v>
                </c:pt>
                <c:pt idx="926">
                  <c:v>45025</c:v>
                </c:pt>
                <c:pt idx="927">
                  <c:v>45024</c:v>
                </c:pt>
                <c:pt idx="928">
                  <c:v>45023</c:v>
                </c:pt>
                <c:pt idx="929">
                  <c:v>45022</c:v>
                </c:pt>
                <c:pt idx="930">
                  <c:v>45021</c:v>
                </c:pt>
                <c:pt idx="931">
                  <c:v>45020</c:v>
                </c:pt>
                <c:pt idx="932">
                  <c:v>45019</c:v>
                </c:pt>
                <c:pt idx="933">
                  <c:v>45018</c:v>
                </c:pt>
                <c:pt idx="934">
                  <c:v>45017</c:v>
                </c:pt>
                <c:pt idx="935">
                  <c:v>45016</c:v>
                </c:pt>
                <c:pt idx="936">
                  <c:v>45015</c:v>
                </c:pt>
                <c:pt idx="937">
                  <c:v>45014</c:v>
                </c:pt>
                <c:pt idx="938">
                  <c:v>45013</c:v>
                </c:pt>
                <c:pt idx="939">
                  <c:v>45012</c:v>
                </c:pt>
                <c:pt idx="940">
                  <c:v>45011</c:v>
                </c:pt>
                <c:pt idx="941">
                  <c:v>45010</c:v>
                </c:pt>
                <c:pt idx="942">
                  <c:v>45009</c:v>
                </c:pt>
                <c:pt idx="943">
                  <c:v>45008</c:v>
                </c:pt>
                <c:pt idx="944">
                  <c:v>45007</c:v>
                </c:pt>
                <c:pt idx="945">
                  <c:v>45006</c:v>
                </c:pt>
                <c:pt idx="946">
                  <c:v>45005</c:v>
                </c:pt>
                <c:pt idx="947">
                  <c:v>45004</c:v>
                </c:pt>
                <c:pt idx="948">
                  <c:v>45003</c:v>
                </c:pt>
                <c:pt idx="949">
                  <c:v>45002</c:v>
                </c:pt>
                <c:pt idx="950">
                  <c:v>45001</c:v>
                </c:pt>
                <c:pt idx="951">
                  <c:v>45000</c:v>
                </c:pt>
                <c:pt idx="952">
                  <c:v>44999</c:v>
                </c:pt>
                <c:pt idx="953">
                  <c:v>44998</c:v>
                </c:pt>
                <c:pt idx="954">
                  <c:v>44997</c:v>
                </c:pt>
                <c:pt idx="955">
                  <c:v>44996</c:v>
                </c:pt>
                <c:pt idx="956">
                  <c:v>44995</c:v>
                </c:pt>
                <c:pt idx="957">
                  <c:v>44994</c:v>
                </c:pt>
                <c:pt idx="958">
                  <c:v>44993</c:v>
                </c:pt>
                <c:pt idx="959">
                  <c:v>44992</c:v>
                </c:pt>
                <c:pt idx="960">
                  <c:v>44991</c:v>
                </c:pt>
                <c:pt idx="961">
                  <c:v>44990</c:v>
                </c:pt>
                <c:pt idx="962">
                  <c:v>44989</c:v>
                </c:pt>
                <c:pt idx="963">
                  <c:v>44988</c:v>
                </c:pt>
                <c:pt idx="964">
                  <c:v>44987</c:v>
                </c:pt>
                <c:pt idx="965">
                  <c:v>44986</c:v>
                </c:pt>
                <c:pt idx="966">
                  <c:v>44985</c:v>
                </c:pt>
                <c:pt idx="967">
                  <c:v>44984</c:v>
                </c:pt>
                <c:pt idx="968">
                  <c:v>44983</c:v>
                </c:pt>
                <c:pt idx="969">
                  <c:v>44982</c:v>
                </c:pt>
                <c:pt idx="970">
                  <c:v>44981</c:v>
                </c:pt>
                <c:pt idx="971">
                  <c:v>44980</c:v>
                </c:pt>
                <c:pt idx="972">
                  <c:v>44979</c:v>
                </c:pt>
                <c:pt idx="973">
                  <c:v>44978</c:v>
                </c:pt>
                <c:pt idx="974">
                  <c:v>44977</c:v>
                </c:pt>
                <c:pt idx="975">
                  <c:v>44976</c:v>
                </c:pt>
                <c:pt idx="976">
                  <c:v>44975</c:v>
                </c:pt>
                <c:pt idx="977">
                  <c:v>44974</c:v>
                </c:pt>
                <c:pt idx="978">
                  <c:v>44973</c:v>
                </c:pt>
                <c:pt idx="979">
                  <c:v>44972</c:v>
                </c:pt>
                <c:pt idx="980">
                  <c:v>44971</c:v>
                </c:pt>
                <c:pt idx="981">
                  <c:v>44970</c:v>
                </c:pt>
                <c:pt idx="982">
                  <c:v>44969</c:v>
                </c:pt>
                <c:pt idx="983">
                  <c:v>44968</c:v>
                </c:pt>
                <c:pt idx="984">
                  <c:v>44967</c:v>
                </c:pt>
                <c:pt idx="985">
                  <c:v>44966</c:v>
                </c:pt>
                <c:pt idx="986">
                  <c:v>44965</c:v>
                </c:pt>
                <c:pt idx="987">
                  <c:v>44964</c:v>
                </c:pt>
                <c:pt idx="988">
                  <c:v>44963</c:v>
                </c:pt>
                <c:pt idx="989">
                  <c:v>44962</c:v>
                </c:pt>
                <c:pt idx="990">
                  <c:v>44961</c:v>
                </c:pt>
                <c:pt idx="991">
                  <c:v>44960</c:v>
                </c:pt>
                <c:pt idx="992">
                  <c:v>44959</c:v>
                </c:pt>
                <c:pt idx="993">
                  <c:v>44958</c:v>
                </c:pt>
                <c:pt idx="994">
                  <c:v>44957</c:v>
                </c:pt>
                <c:pt idx="995">
                  <c:v>44956</c:v>
                </c:pt>
                <c:pt idx="996">
                  <c:v>44955</c:v>
                </c:pt>
                <c:pt idx="997">
                  <c:v>44954</c:v>
                </c:pt>
                <c:pt idx="998">
                  <c:v>44953</c:v>
                </c:pt>
                <c:pt idx="999">
                  <c:v>44952</c:v>
                </c:pt>
                <c:pt idx="1000">
                  <c:v>44951</c:v>
                </c:pt>
                <c:pt idx="1001">
                  <c:v>44950</c:v>
                </c:pt>
                <c:pt idx="1002">
                  <c:v>44949</c:v>
                </c:pt>
                <c:pt idx="1003">
                  <c:v>44948</c:v>
                </c:pt>
                <c:pt idx="1004">
                  <c:v>44947</c:v>
                </c:pt>
                <c:pt idx="1005">
                  <c:v>44946</c:v>
                </c:pt>
                <c:pt idx="1006">
                  <c:v>44945</c:v>
                </c:pt>
                <c:pt idx="1007">
                  <c:v>44944</c:v>
                </c:pt>
                <c:pt idx="1008">
                  <c:v>44943</c:v>
                </c:pt>
                <c:pt idx="1009">
                  <c:v>44942</c:v>
                </c:pt>
                <c:pt idx="1010">
                  <c:v>44941</c:v>
                </c:pt>
                <c:pt idx="1011">
                  <c:v>44940</c:v>
                </c:pt>
                <c:pt idx="1012">
                  <c:v>44939</c:v>
                </c:pt>
                <c:pt idx="1013">
                  <c:v>44938</c:v>
                </c:pt>
                <c:pt idx="1014">
                  <c:v>44937</c:v>
                </c:pt>
                <c:pt idx="1015">
                  <c:v>44936</c:v>
                </c:pt>
                <c:pt idx="1016">
                  <c:v>44935</c:v>
                </c:pt>
                <c:pt idx="1017">
                  <c:v>44934</c:v>
                </c:pt>
                <c:pt idx="1018">
                  <c:v>44933</c:v>
                </c:pt>
                <c:pt idx="1019">
                  <c:v>44932</c:v>
                </c:pt>
                <c:pt idx="1020">
                  <c:v>44931</c:v>
                </c:pt>
                <c:pt idx="1021">
                  <c:v>44930</c:v>
                </c:pt>
                <c:pt idx="1022">
                  <c:v>44929</c:v>
                </c:pt>
                <c:pt idx="1023">
                  <c:v>44928</c:v>
                </c:pt>
                <c:pt idx="1024">
                  <c:v>44927</c:v>
                </c:pt>
                <c:pt idx="1025">
                  <c:v>44926</c:v>
                </c:pt>
                <c:pt idx="1026">
                  <c:v>44925</c:v>
                </c:pt>
                <c:pt idx="1027">
                  <c:v>44924</c:v>
                </c:pt>
                <c:pt idx="1028">
                  <c:v>44923</c:v>
                </c:pt>
                <c:pt idx="1029">
                  <c:v>44922</c:v>
                </c:pt>
                <c:pt idx="1030">
                  <c:v>44921</c:v>
                </c:pt>
                <c:pt idx="1031">
                  <c:v>44920</c:v>
                </c:pt>
                <c:pt idx="1032">
                  <c:v>44919</c:v>
                </c:pt>
                <c:pt idx="1033">
                  <c:v>44918</c:v>
                </c:pt>
                <c:pt idx="1034">
                  <c:v>44917</c:v>
                </c:pt>
                <c:pt idx="1035">
                  <c:v>44916</c:v>
                </c:pt>
                <c:pt idx="1036">
                  <c:v>44915</c:v>
                </c:pt>
                <c:pt idx="1037">
                  <c:v>44914</c:v>
                </c:pt>
                <c:pt idx="1038">
                  <c:v>44913</c:v>
                </c:pt>
                <c:pt idx="1039">
                  <c:v>44912</c:v>
                </c:pt>
                <c:pt idx="1040">
                  <c:v>44911</c:v>
                </c:pt>
                <c:pt idx="1041">
                  <c:v>44910</c:v>
                </c:pt>
                <c:pt idx="1042">
                  <c:v>44909</c:v>
                </c:pt>
                <c:pt idx="1043">
                  <c:v>44908</c:v>
                </c:pt>
                <c:pt idx="1044">
                  <c:v>44907</c:v>
                </c:pt>
              </c:numCache>
            </c:numRef>
          </c:cat>
          <c:val>
            <c:numRef>
              <c:f>'Stock Data'!$AO$4:$AO$1048</c:f>
              <c:numCache>
                <c:formatCode>#,##0.00_);\(#,##0.00\)</c:formatCode>
                <c:ptCount val="1045"/>
                <c:pt idx="0">
                  <c:v>702</c:v>
                </c:pt>
                <c:pt idx="1">
                  <c:v>4126743</c:v>
                </c:pt>
                <c:pt idx="2">
                  <c:v>5004830</c:v>
                </c:pt>
                <c:pt idx="3">
                  <c:v>3111549</c:v>
                </c:pt>
                <c:pt idx="4">
                  <c:v>4131286</c:v>
                </c:pt>
                <c:pt idx="5">
                  <c:v>4001774</c:v>
                </c:pt>
                <c:pt idx="6">
                  <c:v>4001774</c:v>
                </c:pt>
                <c:pt idx="7">
                  <c:v>4001774</c:v>
                </c:pt>
                <c:pt idx="8">
                  <c:v>3601030</c:v>
                </c:pt>
                <c:pt idx="9">
                  <c:v>5881039</c:v>
                </c:pt>
                <c:pt idx="10">
                  <c:v>3955402</c:v>
                </c:pt>
                <c:pt idx="11">
                  <c:v>5012813</c:v>
                </c:pt>
                <c:pt idx="12">
                  <c:v>5012813</c:v>
                </c:pt>
                <c:pt idx="13">
                  <c:v>5012813</c:v>
                </c:pt>
                <c:pt idx="14">
                  <c:v>5012813</c:v>
                </c:pt>
                <c:pt idx="15">
                  <c:v>6299537</c:v>
                </c:pt>
                <c:pt idx="16">
                  <c:v>3465070</c:v>
                </c:pt>
                <c:pt idx="17">
                  <c:v>3757977</c:v>
                </c:pt>
                <c:pt idx="18">
                  <c:v>5993077</c:v>
                </c:pt>
                <c:pt idx="19">
                  <c:v>5317331</c:v>
                </c:pt>
                <c:pt idx="20">
                  <c:v>5317331</c:v>
                </c:pt>
                <c:pt idx="21">
                  <c:v>5317331</c:v>
                </c:pt>
                <c:pt idx="22">
                  <c:v>3435511</c:v>
                </c:pt>
                <c:pt idx="23">
                  <c:v>4521558</c:v>
                </c:pt>
                <c:pt idx="24">
                  <c:v>4899316</c:v>
                </c:pt>
                <c:pt idx="25">
                  <c:v>3188447</c:v>
                </c:pt>
                <c:pt idx="26">
                  <c:v>3739259</c:v>
                </c:pt>
                <c:pt idx="27">
                  <c:v>3739259</c:v>
                </c:pt>
                <c:pt idx="28">
                  <c:v>3739259</c:v>
                </c:pt>
                <c:pt idx="29">
                  <c:v>6245682</c:v>
                </c:pt>
                <c:pt idx="30">
                  <c:v>3096793</c:v>
                </c:pt>
                <c:pt idx="31">
                  <c:v>3224377</c:v>
                </c:pt>
                <c:pt idx="32">
                  <c:v>4419756</c:v>
                </c:pt>
                <c:pt idx="33">
                  <c:v>2345563</c:v>
                </c:pt>
                <c:pt idx="34">
                  <c:v>2345563</c:v>
                </c:pt>
                <c:pt idx="35">
                  <c:v>2345563</c:v>
                </c:pt>
                <c:pt idx="36">
                  <c:v>3113727</c:v>
                </c:pt>
                <c:pt idx="37">
                  <c:v>3135691</c:v>
                </c:pt>
                <c:pt idx="38">
                  <c:v>2430049</c:v>
                </c:pt>
                <c:pt idx="39">
                  <c:v>4181104</c:v>
                </c:pt>
                <c:pt idx="40">
                  <c:v>4637470</c:v>
                </c:pt>
                <c:pt idx="41">
                  <c:v>4637470</c:v>
                </c:pt>
                <c:pt idx="42">
                  <c:v>4637470</c:v>
                </c:pt>
                <c:pt idx="43">
                  <c:v>5547202</c:v>
                </c:pt>
                <c:pt idx="44">
                  <c:v>8361560</c:v>
                </c:pt>
                <c:pt idx="45">
                  <c:v>19090956</c:v>
                </c:pt>
                <c:pt idx="46">
                  <c:v>6858391</c:v>
                </c:pt>
                <c:pt idx="47">
                  <c:v>8254883</c:v>
                </c:pt>
                <c:pt idx="48">
                  <c:v>8254883</c:v>
                </c:pt>
                <c:pt idx="49">
                  <c:v>8254883</c:v>
                </c:pt>
                <c:pt idx="50">
                  <c:v>9784422</c:v>
                </c:pt>
                <c:pt idx="51">
                  <c:v>3740138</c:v>
                </c:pt>
                <c:pt idx="52">
                  <c:v>3806436</c:v>
                </c:pt>
                <c:pt idx="53">
                  <c:v>2814103</c:v>
                </c:pt>
                <c:pt idx="54">
                  <c:v>5794541</c:v>
                </c:pt>
                <c:pt idx="55">
                  <c:v>5794541</c:v>
                </c:pt>
                <c:pt idx="56">
                  <c:v>5794541</c:v>
                </c:pt>
                <c:pt idx="57">
                  <c:v>5211346</c:v>
                </c:pt>
                <c:pt idx="58">
                  <c:v>2356517</c:v>
                </c:pt>
                <c:pt idx="59">
                  <c:v>2419461</c:v>
                </c:pt>
                <c:pt idx="60">
                  <c:v>1973508</c:v>
                </c:pt>
                <c:pt idx="61">
                  <c:v>3211740</c:v>
                </c:pt>
                <c:pt idx="62">
                  <c:v>3211740</c:v>
                </c:pt>
                <c:pt idx="63">
                  <c:v>3211740</c:v>
                </c:pt>
                <c:pt idx="64">
                  <c:v>2630096</c:v>
                </c:pt>
                <c:pt idx="65">
                  <c:v>2432793</c:v>
                </c:pt>
                <c:pt idx="66">
                  <c:v>2574398</c:v>
                </c:pt>
                <c:pt idx="67">
                  <c:v>2580926</c:v>
                </c:pt>
                <c:pt idx="68">
                  <c:v>1327641</c:v>
                </c:pt>
                <c:pt idx="69">
                  <c:v>1327641</c:v>
                </c:pt>
                <c:pt idx="70">
                  <c:v>1327641</c:v>
                </c:pt>
                <c:pt idx="71">
                  <c:v>1327641</c:v>
                </c:pt>
                <c:pt idx="72">
                  <c:v>1752165</c:v>
                </c:pt>
                <c:pt idx="73">
                  <c:v>2687505</c:v>
                </c:pt>
                <c:pt idx="74">
                  <c:v>3578993</c:v>
                </c:pt>
                <c:pt idx="75">
                  <c:v>7430669</c:v>
                </c:pt>
                <c:pt idx="76">
                  <c:v>7430669</c:v>
                </c:pt>
                <c:pt idx="77">
                  <c:v>7430669</c:v>
                </c:pt>
                <c:pt idx="78">
                  <c:v>2960165</c:v>
                </c:pt>
                <c:pt idx="79">
                  <c:v>2005380</c:v>
                </c:pt>
                <c:pt idx="80">
                  <c:v>2777100</c:v>
                </c:pt>
                <c:pt idx="81">
                  <c:v>2665282</c:v>
                </c:pt>
                <c:pt idx="82">
                  <c:v>4274310</c:v>
                </c:pt>
                <c:pt idx="83">
                  <c:v>4274310</c:v>
                </c:pt>
                <c:pt idx="84">
                  <c:v>4274310</c:v>
                </c:pt>
                <c:pt idx="85">
                  <c:v>2414525</c:v>
                </c:pt>
                <c:pt idx="86">
                  <c:v>2414525</c:v>
                </c:pt>
                <c:pt idx="87">
                  <c:v>2767982</c:v>
                </c:pt>
                <c:pt idx="88">
                  <c:v>2659554</c:v>
                </c:pt>
                <c:pt idx="89">
                  <c:v>1670104</c:v>
                </c:pt>
                <c:pt idx="90">
                  <c:v>1670104</c:v>
                </c:pt>
                <c:pt idx="91">
                  <c:v>1670104</c:v>
                </c:pt>
                <c:pt idx="92">
                  <c:v>1939234</c:v>
                </c:pt>
                <c:pt idx="93">
                  <c:v>2655326</c:v>
                </c:pt>
                <c:pt idx="94">
                  <c:v>3122241</c:v>
                </c:pt>
                <c:pt idx="95">
                  <c:v>3128604</c:v>
                </c:pt>
                <c:pt idx="96">
                  <c:v>2953422</c:v>
                </c:pt>
                <c:pt idx="97">
                  <c:v>2953422</c:v>
                </c:pt>
                <c:pt idx="98">
                  <c:v>2953422</c:v>
                </c:pt>
                <c:pt idx="99">
                  <c:v>3084620</c:v>
                </c:pt>
                <c:pt idx="100">
                  <c:v>3977099</c:v>
                </c:pt>
                <c:pt idx="101">
                  <c:v>6229422</c:v>
                </c:pt>
                <c:pt idx="102">
                  <c:v>4587007</c:v>
                </c:pt>
                <c:pt idx="103">
                  <c:v>4179598</c:v>
                </c:pt>
                <c:pt idx="104">
                  <c:v>4179598</c:v>
                </c:pt>
                <c:pt idx="105">
                  <c:v>4179598</c:v>
                </c:pt>
                <c:pt idx="106">
                  <c:v>2980624</c:v>
                </c:pt>
                <c:pt idx="107">
                  <c:v>3073335</c:v>
                </c:pt>
                <c:pt idx="108">
                  <c:v>2613266</c:v>
                </c:pt>
                <c:pt idx="109">
                  <c:v>3228308</c:v>
                </c:pt>
                <c:pt idx="110">
                  <c:v>3228308</c:v>
                </c:pt>
                <c:pt idx="111">
                  <c:v>3228308</c:v>
                </c:pt>
                <c:pt idx="112">
                  <c:v>3228308</c:v>
                </c:pt>
                <c:pt idx="113">
                  <c:v>2849038</c:v>
                </c:pt>
                <c:pt idx="114">
                  <c:v>2183570</c:v>
                </c:pt>
                <c:pt idx="115">
                  <c:v>1982870</c:v>
                </c:pt>
                <c:pt idx="116">
                  <c:v>2509846</c:v>
                </c:pt>
                <c:pt idx="117">
                  <c:v>2007094</c:v>
                </c:pt>
                <c:pt idx="118">
                  <c:v>2007094</c:v>
                </c:pt>
                <c:pt idx="119">
                  <c:v>2007094</c:v>
                </c:pt>
                <c:pt idx="120">
                  <c:v>2607602</c:v>
                </c:pt>
                <c:pt idx="121">
                  <c:v>3252995</c:v>
                </c:pt>
                <c:pt idx="122">
                  <c:v>3028173</c:v>
                </c:pt>
                <c:pt idx="123">
                  <c:v>4965928</c:v>
                </c:pt>
                <c:pt idx="124">
                  <c:v>2172946</c:v>
                </c:pt>
                <c:pt idx="125">
                  <c:v>2172946</c:v>
                </c:pt>
                <c:pt idx="126">
                  <c:v>2172946</c:v>
                </c:pt>
                <c:pt idx="127">
                  <c:v>3335492</c:v>
                </c:pt>
                <c:pt idx="128">
                  <c:v>3277133</c:v>
                </c:pt>
                <c:pt idx="129">
                  <c:v>2265068</c:v>
                </c:pt>
                <c:pt idx="130">
                  <c:v>1895711</c:v>
                </c:pt>
                <c:pt idx="131">
                  <c:v>2926805</c:v>
                </c:pt>
                <c:pt idx="132">
                  <c:v>2926805</c:v>
                </c:pt>
                <c:pt idx="133">
                  <c:v>2926805</c:v>
                </c:pt>
                <c:pt idx="134">
                  <c:v>4458679</c:v>
                </c:pt>
                <c:pt idx="135">
                  <c:v>3139236</c:v>
                </c:pt>
                <c:pt idx="136">
                  <c:v>2886387</c:v>
                </c:pt>
                <c:pt idx="137">
                  <c:v>3053371</c:v>
                </c:pt>
                <c:pt idx="138">
                  <c:v>3454911</c:v>
                </c:pt>
                <c:pt idx="139">
                  <c:v>3454911</c:v>
                </c:pt>
                <c:pt idx="140">
                  <c:v>3454911</c:v>
                </c:pt>
                <c:pt idx="141">
                  <c:v>5205201</c:v>
                </c:pt>
                <c:pt idx="142">
                  <c:v>3879639</c:v>
                </c:pt>
                <c:pt idx="143">
                  <c:v>3353333</c:v>
                </c:pt>
                <c:pt idx="144">
                  <c:v>3379656</c:v>
                </c:pt>
                <c:pt idx="145">
                  <c:v>4545781</c:v>
                </c:pt>
                <c:pt idx="146">
                  <c:v>4545781</c:v>
                </c:pt>
                <c:pt idx="147">
                  <c:v>4545781</c:v>
                </c:pt>
                <c:pt idx="148">
                  <c:v>4545781</c:v>
                </c:pt>
                <c:pt idx="149">
                  <c:v>3293598</c:v>
                </c:pt>
                <c:pt idx="150">
                  <c:v>2806966</c:v>
                </c:pt>
                <c:pt idx="151">
                  <c:v>3197705</c:v>
                </c:pt>
                <c:pt idx="152">
                  <c:v>2965014</c:v>
                </c:pt>
                <c:pt idx="153">
                  <c:v>2965014</c:v>
                </c:pt>
                <c:pt idx="154">
                  <c:v>2965014</c:v>
                </c:pt>
                <c:pt idx="155">
                  <c:v>5088841</c:v>
                </c:pt>
                <c:pt idx="156">
                  <c:v>5360969</c:v>
                </c:pt>
                <c:pt idx="157">
                  <c:v>5126552</c:v>
                </c:pt>
                <c:pt idx="158">
                  <c:v>5055864</c:v>
                </c:pt>
                <c:pt idx="159">
                  <c:v>6784517</c:v>
                </c:pt>
                <c:pt idx="160">
                  <c:v>6784517</c:v>
                </c:pt>
                <c:pt idx="161">
                  <c:v>6784517</c:v>
                </c:pt>
                <c:pt idx="162">
                  <c:v>5754982</c:v>
                </c:pt>
                <c:pt idx="163">
                  <c:v>2024018</c:v>
                </c:pt>
                <c:pt idx="164">
                  <c:v>2367309</c:v>
                </c:pt>
                <c:pt idx="165">
                  <c:v>3478077</c:v>
                </c:pt>
                <c:pt idx="166">
                  <c:v>1917988</c:v>
                </c:pt>
                <c:pt idx="167">
                  <c:v>1917988</c:v>
                </c:pt>
                <c:pt idx="168">
                  <c:v>1917988</c:v>
                </c:pt>
                <c:pt idx="169">
                  <c:v>1913929</c:v>
                </c:pt>
                <c:pt idx="170">
                  <c:v>1710005</c:v>
                </c:pt>
                <c:pt idx="171">
                  <c:v>1849050</c:v>
                </c:pt>
                <c:pt idx="172">
                  <c:v>3291175</c:v>
                </c:pt>
                <c:pt idx="173">
                  <c:v>4167749</c:v>
                </c:pt>
                <c:pt idx="174">
                  <c:v>4167749</c:v>
                </c:pt>
                <c:pt idx="175">
                  <c:v>4167749</c:v>
                </c:pt>
                <c:pt idx="176">
                  <c:v>2869475</c:v>
                </c:pt>
                <c:pt idx="177">
                  <c:v>2058326</c:v>
                </c:pt>
                <c:pt idx="178">
                  <c:v>2184217</c:v>
                </c:pt>
                <c:pt idx="179">
                  <c:v>2138959</c:v>
                </c:pt>
                <c:pt idx="180">
                  <c:v>2116757</c:v>
                </c:pt>
                <c:pt idx="181">
                  <c:v>2116757</c:v>
                </c:pt>
                <c:pt idx="182">
                  <c:v>2116757</c:v>
                </c:pt>
                <c:pt idx="183">
                  <c:v>2399897</c:v>
                </c:pt>
                <c:pt idx="184">
                  <c:v>1927522</c:v>
                </c:pt>
                <c:pt idx="185">
                  <c:v>3358098</c:v>
                </c:pt>
                <c:pt idx="186">
                  <c:v>2420918</c:v>
                </c:pt>
                <c:pt idx="187">
                  <c:v>2835797</c:v>
                </c:pt>
                <c:pt idx="188">
                  <c:v>2835797</c:v>
                </c:pt>
                <c:pt idx="189">
                  <c:v>2835797</c:v>
                </c:pt>
                <c:pt idx="190">
                  <c:v>2311133</c:v>
                </c:pt>
                <c:pt idx="191">
                  <c:v>3051741</c:v>
                </c:pt>
                <c:pt idx="192">
                  <c:v>3037894</c:v>
                </c:pt>
                <c:pt idx="193">
                  <c:v>2218002</c:v>
                </c:pt>
                <c:pt idx="194">
                  <c:v>3252614</c:v>
                </c:pt>
                <c:pt idx="195">
                  <c:v>3252614</c:v>
                </c:pt>
                <c:pt idx="196">
                  <c:v>3252614</c:v>
                </c:pt>
                <c:pt idx="197">
                  <c:v>3012423</c:v>
                </c:pt>
                <c:pt idx="198">
                  <c:v>2476987</c:v>
                </c:pt>
                <c:pt idx="199">
                  <c:v>2911640</c:v>
                </c:pt>
                <c:pt idx="200">
                  <c:v>5576935</c:v>
                </c:pt>
                <c:pt idx="201">
                  <c:v>3292611</c:v>
                </c:pt>
                <c:pt idx="202">
                  <c:v>3292611</c:v>
                </c:pt>
                <c:pt idx="203">
                  <c:v>3292611</c:v>
                </c:pt>
                <c:pt idx="204">
                  <c:v>1425405</c:v>
                </c:pt>
                <c:pt idx="205">
                  <c:v>2488562</c:v>
                </c:pt>
                <c:pt idx="206">
                  <c:v>1709307</c:v>
                </c:pt>
                <c:pt idx="207">
                  <c:v>1696372</c:v>
                </c:pt>
                <c:pt idx="208">
                  <c:v>1696372</c:v>
                </c:pt>
                <c:pt idx="209">
                  <c:v>1696372</c:v>
                </c:pt>
                <c:pt idx="210">
                  <c:v>1696372</c:v>
                </c:pt>
                <c:pt idx="211">
                  <c:v>2279805</c:v>
                </c:pt>
                <c:pt idx="212">
                  <c:v>2656900</c:v>
                </c:pt>
                <c:pt idx="213">
                  <c:v>2584900</c:v>
                </c:pt>
                <c:pt idx="214">
                  <c:v>2315031</c:v>
                </c:pt>
                <c:pt idx="215">
                  <c:v>2185539</c:v>
                </c:pt>
                <c:pt idx="216">
                  <c:v>2185539</c:v>
                </c:pt>
                <c:pt idx="217">
                  <c:v>2185539</c:v>
                </c:pt>
                <c:pt idx="218">
                  <c:v>1574551</c:v>
                </c:pt>
                <c:pt idx="219">
                  <c:v>2436915</c:v>
                </c:pt>
                <c:pt idx="220">
                  <c:v>2895151</c:v>
                </c:pt>
                <c:pt idx="221">
                  <c:v>3962281</c:v>
                </c:pt>
                <c:pt idx="222">
                  <c:v>2987299</c:v>
                </c:pt>
                <c:pt idx="223">
                  <c:v>2987299</c:v>
                </c:pt>
                <c:pt idx="224">
                  <c:v>2987299</c:v>
                </c:pt>
                <c:pt idx="225">
                  <c:v>2490554</c:v>
                </c:pt>
                <c:pt idx="226">
                  <c:v>3026887</c:v>
                </c:pt>
                <c:pt idx="227">
                  <c:v>3167242</c:v>
                </c:pt>
                <c:pt idx="228">
                  <c:v>4537435</c:v>
                </c:pt>
                <c:pt idx="229">
                  <c:v>4048520</c:v>
                </c:pt>
                <c:pt idx="230">
                  <c:v>4048520</c:v>
                </c:pt>
                <c:pt idx="231">
                  <c:v>4048520</c:v>
                </c:pt>
                <c:pt idx="232">
                  <c:v>5226434</c:v>
                </c:pt>
                <c:pt idx="233">
                  <c:v>2757509</c:v>
                </c:pt>
                <c:pt idx="234">
                  <c:v>2630599</c:v>
                </c:pt>
                <c:pt idx="235">
                  <c:v>3643952</c:v>
                </c:pt>
                <c:pt idx="236">
                  <c:v>3643952</c:v>
                </c:pt>
                <c:pt idx="237">
                  <c:v>3643952</c:v>
                </c:pt>
                <c:pt idx="238">
                  <c:v>3643952</c:v>
                </c:pt>
                <c:pt idx="239">
                  <c:v>2297235</c:v>
                </c:pt>
                <c:pt idx="240">
                  <c:v>1892352</c:v>
                </c:pt>
                <c:pt idx="241">
                  <c:v>1823354</c:v>
                </c:pt>
                <c:pt idx="242">
                  <c:v>2278105</c:v>
                </c:pt>
                <c:pt idx="243">
                  <c:v>2711357</c:v>
                </c:pt>
                <c:pt idx="244">
                  <c:v>2711357</c:v>
                </c:pt>
                <c:pt idx="245">
                  <c:v>2711357</c:v>
                </c:pt>
                <c:pt idx="246">
                  <c:v>2062858</c:v>
                </c:pt>
                <c:pt idx="247">
                  <c:v>2062858</c:v>
                </c:pt>
                <c:pt idx="248">
                  <c:v>2752689</c:v>
                </c:pt>
                <c:pt idx="249">
                  <c:v>2798779</c:v>
                </c:pt>
                <c:pt idx="250">
                  <c:v>1994523</c:v>
                </c:pt>
                <c:pt idx="251">
                  <c:v>1994523</c:v>
                </c:pt>
                <c:pt idx="252">
                  <c:v>1994523</c:v>
                </c:pt>
                <c:pt idx="253">
                  <c:v>3177227</c:v>
                </c:pt>
                <c:pt idx="254">
                  <c:v>1784776</c:v>
                </c:pt>
                <c:pt idx="255">
                  <c:v>1784776</c:v>
                </c:pt>
                <c:pt idx="256">
                  <c:v>1659696</c:v>
                </c:pt>
                <c:pt idx="257">
                  <c:v>1455878</c:v>
                </c:pt>
                <c:pt idx="258">
                  <c:v>1455878</c:v>
                </c:pt>
                <c:pt idx="259">
                  <c:v>1455878</c:v>
                </c:pt>
                <c:pt idx="260">
                  <c:v>1021695</c:v>
                </c:pt>
                <c:pt idx="261">
                  <c:v>669028</c:v>
                </c:pt>
                <c:pt idx="262">
                  <c:v>669028</c:v>
                </c:pt>
                <c:pt idx="263">
                  <c:v>1939303</c:v>
                </c:pt>
                <c:pt idx="264">
                  <c:v>5949367</c:v>
                </c:pt>
                <c:pt idx="265">
                  <c:v>5949367</c:v>
                </c:pt>
                <c:pt idx="266">
                  <c:v>5949367</c:v>
                </c:pt>
                <c:pt idx="267">
                  <c:v>2785392</c:v>
                </c:pt>
                <c:pt idx="268">
                  <c:v>3582447</c:v>
                </c:pt>
                <c:pt idx="269">
                  <c:v>3642447</c:v>
                </c:pt>
                <c:pt idx="270">
                  <c:v>2839533</c:v>
                </c:pt>
                <c:pt idx="271">
                  <c:v>2715604</c:v>
                </c:pt>
                <c:pt idx="272">
                  <c:v>2715604</c:v>
                </c:pt>
                <c:pt idx="273">
                  <c:v>2715604</c:v>
                </c:pt>
                <c:pt idx="274">
                  <c:v>2242668</c:v>
                </c:pt>
                <c:pt idx="275">
                  <c:v>2862670</c:v>
                </c:pt>
                <c:pt idx="276">
                  <c:v>3092573</c:v>
                </c:pt>
                <c:pt idx="277">
                  <c:v>3095763</c:v>
                </c:pt>
                <c:pt idx="278">
                  <c:v>2585152</c:v>
                </c:pt>
                <c:pt idx="279">
                  <c:v>2585152</c:v>
                </c:pt>
                <c:pt idx="280">
                  <c:v>2585152</c:v>
                </c:pt>
                <c:pt idx="281">
                  <c:v>2011403</c:v>
                </c:pt>
                <c:pt idx="282">
                  <c:v>3264946</c:v>
                </c:pt>
                <c:pt idx="283">
                  <c:v>4196902</c:v>
                </c:pt>
                <c:pt idx="284">
                  <c:v>3100001</c:v>
                </c:pt>
                <c:pt idx="285">
                  <c:v>1484850</c:v>
                </c:pt>
                <c:pt idx="286">
                  <c:v>1484850</c:v>
                </c:pt>
                <c:pt idx="287">
                  <c:v>1484850</c:v>
                </c:pt>
                <c:pt idx="288">
                  <c:v>2040830</c:v>
                </c:pt>
                <c:pt idx="289">
                  <c:v>2040830</c:v>
                </c:pt>
                <c:pt idx="290">
                  <c:v>3305335</c:v>
                </c:pt>
                <c:pt idx="291">
                  <c:v>4224412</c:v>
                </c:pt>
                <c:pt idx="292">
                  <c:v>2664897</c:v>
                </c:pt>
                <c:pt idx="293">
                  <c:v>2664897</c:v>
                </c:pt>
                <c:pt idx="294">
                  <c:v>2664897</c:v>
                </c:pt>
                <c:pt idx="295">
                  <c:v>3490763</c:v>
                </c:pt>
                <c:pt idx="296">
                  <c:v>1158041</c:v>
                </c:pt>
                <c:pt idx="297">
                  <c:v>1774322</c:v>
                </c:pt>
                <c:pt idx="298">
                  <c:v>1401392</c:v>
                </c:pt>
                <c:pt idx="299">
                  <c:v>2068472</c:v>
                </c:pt>
                <c:pt idx="300">
                  <c:v>2068472</c:v>
                </c:pt>
                <c:pt idx="301">
                  <c:v>2068472</c:v>
                </c:pt>
                <c:pt idx="302">
                  <c:v>2766157</c:v>
                </c:pt>
                <c:pt idx="303">
                  <c:v>2564021</c:v>
                </c:pt>
                <c:pt idx="304">
                  <c:v>2362867</c:v>
                </c:pt>
                <c:pt idx="305">
                  <c:v>3299153</c:v>
                </c:pt>
                <c:pt idx="306">
                  <c:v>2209258</c:v>
                </c:pt>
                <c:pt idx="307">
                  <c:v>2209258</c:v>
                </c:pt>
                <c:pt idx="308">
                  <c:v>2209258</c:v>
                </c:pt>
                <c:pt idx="309">
                  <c:v>2921316</c:v>
                </c:pt>
                <c:pt idx="310">
                  <c:v>5318739</c:v>
                </c:pt>
                <c:pt idx="311">
                  <c:v>1483661</c:v>
                </c:pt>
                <c:pt idx="312">
                  <c:v>2195620</c:v>
                </c:pt>
                <c:pt idx="313">
                  <c:v>2653306</c:v>
                </c:pt>
                <c:pt idx="314">
                  <c:v>2653306</c:v>
                </c:pt>
                <c:pt idx="315">
                  <c:v>2653306</c:v>
                </c:pt>
                <c:pt idx="316">
                  <c:v>2594786</c:v>
                </c:pt>
                <c:pt idx="317">
                  <c:v>3079425</c:v>
                </c:pt>
                <c:pt idx="318">
                  <c:v>3682097</c:v>
                </c:pt>
                <c:pt idx="319">
                  <c:v>2492981</c:v>
                </c:pt>
                <c:pt idx="320">
                  <c:v>2952224</c:v>
                </c:pt>
                <c:pt idx="321">
                  <c:v>2952224</c:v>
                </c:pt>
                <c:pt idx="322">
                  <c:v>2952224</c:v>
                </c:pt>
                <c:pt idx="323">
                  <c:v>5181142</c:v>
                </c:pt>
                <c:pt idx="324">
                  <c:v>2156278</c:v>
                </c:pt>
                <c:pt idx="325">
                  <c:v>1818425</c:v>
                </c:pt>
                <c:pt idx="326">
                  <c:v>1547906</c:v>
                </c:pt>
                <c:pt idx="327">
                  <c:v>2866129</c:v>
                </c:pt>
                <c:pt idx="328">
                  <c:v>2866129</c:v>
                </c:pt>
                <c:pt idx="329">
                  <c:v>2866129</c:v>
                </c:pt>
                <c:pt idx="330">
                  <c:v>2177924</c:v>
                </c:pt>
                <c:pt idx="331">
                  <c:v>1500133</c:v>
                </c:pt>
                <c:pt idx="332">
                  <c:v>1858037</c:v>
                </c:pt>
                <c:pt idx="333">
                  <c:v>1735882</c:v>
                </c:pt>
                <c:pt idx="334">
                  <c:v>1663835</c:v>
                </c:pt>
                <c:pt idx="335">
                  <c:v>1663835</c:v>
                </c:pt>
                <c:pt idx="336">
                  <c:v>1663835</c:v>
                </c:pt>
                <c:pt idx="337">
                  <c:v>1900711</c:v>
                </c:pt>
                <c:pt idx="338">
                  <c:v>2046736</c:v>
                </c:pt>
                <c:pt idx="339">
                  <c:v>1783213</c:v>
                </c:pt>
                <c:pt idx="340">
                  <c:v>1684066</c:v>
                </c:pt>
                <c:pt idx="341">
                  <c:v>2137949</c:v>
                </c:pt>
                <c:pt idx="342">
                  <c:v>2137949</c:v>
                </c:pt>
                <c:pt idx="343">
                  <c:v>2137949</c:v>
                </c:pt>
                <c:pt idx="344">
                  <c:v>1990156</c:v>
                </c:pt>
                <c:pt idx="345">
                  <c:v>2568262</c:v>
                </c:pt>
                <c:pt idx="346">
                  <c:v>1925000</c:v>
                </c:pt>
                <c:pt idx="347">
                  <c:v>2923206</c:v>
                </c:pt>
                <c:pt idx="348">
                  <c:v>1954544</c:v>
                </c:pt>
                <c:pt idx="349">
                  <c:v>1954544</c:v>
                </c:pt>
                <c:pt idx="350">
                  <c:v>1954544</c:v>
                </c:pt>
                <c:pt idx="351">
                  <c:v>2398738</c:v>
                </c:pt>
                <c:pt idx="352">
                  <c:v>2347258</c:v>
                </c:pt>
                <c:pt idx="353">
                  <c:v>2772711</c:v>
                </c:pt>
                <c:pt idx="354">
                  <c:v>2740567</c:v>
                </c:pt>
                <c:pt idx="355">
                  <c:v>6802799</c:v>
                </c:pt>
                <c:pt idx="356">
                  <c:v>6802799</c:v>
                </c:pt>
                <c:pt idx="357">
                  <c:v>6802799</c:v>
                </c:pt>
                <c:pt idx="358">
                  <c:v>3406678</c:v>
                </c:pt>
                <c:pt idx="359">
                  <c:v>1568183</c:v>
                </c:pt>
                <c:pt idx="360">
                  <c:v>1640445</c:v>
                </c:pt>
                <c:pt idx="361">
                  <c:v>1651114</c:v>
                </c:pt>
                <c:pt idx="362">
                  <c:v>2267787</c:v>
                </c:pt>
                <c:pt idx="363">
                  <c:v>2267787</c:v>
                </c:pt>
                <c:pt idx="364">
                  <c:v>2267787</c:v>
                </c:pt>
                <c:pt idx="365">
                  <c:v>1867980</c:v>
                </c:pt>
                <c:pt idx="366">
                  <c:v>2372194</c:v>
                </c:pt>
                <c:pt idx="367">
                  <c:v>1694658</c:v>
                </c:pt>
                <c:pt idx="368">
                  <c:v>2162452</c:v>
                </c:pt>
                <c:pt idx="369">
                  <c:v>2406225</c:v>
                </c:pt>
                <c:pt idx="370">
                  <c:v>2406225</c:v>
                </c:pt>
                <c:pt idx="371">
                  <c:v>2406225</c:v>
                </c:pt>
                <c:pt idx="372">
                  <c:v>2562529</c:v>
                </c:pt>
                <c:pt idx="373">
                  <c:v>2880270</c:v>
                </c:pt>
                <c:pt idx="374">
                  <c:v>2585798</c:v>
                </c:pt>
                <c:pt idx="375">
                  <c:v>2386564</c:v>
                </c:pt>
                <c:pt idx="376">
                  <c:v>2386564</c:v>
                </c:pt>
                <c:pt idx="377">
                  <c:v>2386564</c:v>
                </c:pt>
                <c:pt idx="378">
                  <c:v>2386564</c:v>
                </c:pt>
                <c:pt idx="379">
                  <c:v>1287795</c:v>
                </c:pt>
                <c:pt idx="380">
                  <c:v>2359782</c:v>
                </c:pt>
                <c:pt idx="381">
                  <c:v>1466246</c:v>
                </c:pt>
                <c:pt idx="382">
                  <c:v>1680550</c:v>
                </c:pt>
                <c:pt idx="383">
                  <c:v>2449222</c:v>
                </c:pt>
                <c:pt idx="384">
                  <c:v>2449222</c:v>
                </c:pt>
                <c:pt idx="385">
                  <c:v>2449222</c:v>
                </c:pt>
                <c:pt idx="386">
                  <c:v>2722350</c:v>
                </c:pt>
                <c:pt idx="387">
                  <c:v>1482850</c:v>
                </c:pt>
                <c:pt idx="388">
                  <c:v>1552013</c:v>
                </c:pt>
                <c:pt idx="389">
                  <c:v>1686486</c:v>
                </c:pt>
                <c:pt idx="390">
                  <c:v>1951386</c:v>
                </c:pt>
                <c:pt idx="391">
                  <c:v>1951386</c:v>
                </c:pt>
                <c:pt idx="392">
                  <c:v>1951386</c:v>
                </c:pt>
                <c:pt idx="393">
                  <c:v>2127983</c:v>
                </c:pt>
                <c:pt idx="394">
                  <c:v>1903113</c:v>
                </c:pt>
                <c:pt idx="395">
                  <c:v>1486284</c:v>
                </c:pt>
                <c:pt idx="396">
                  <c:v>1782063</c:v>
                </c:pt>
                <c:pt idx="397">
                  <c:v>1621058</c:v>
                </c:pt>
                <c:pt idx="398">
                  <c:v>1621058</c:v>
                </c:pt>
                <c:pt idx="399">
                  <c:v>1621058</c:v>
                </c:pt>
                <c:pt idx="400">
                  <c:v>1444831</c:v>
                </c:pt>
                <c:pt idx="401">
                  <c:v>1939343</c:v>
                </c:pt>
                <c:pt idx="402">
                  <c:v>2514582</c:v>
                </c:pt>
                <c:pt idx="403">
                  <c:v>2494424</c:v>
                </c:pt>
                <c:pt idx="404">
                  <c:v>2114653</c:v>
                </c:pt>
                <c:pt idx="405">
                  <c:v>2114653</c:v>
                </c:pt>
                <c:pt idx="406">
                  <c:v>2114653</c:v>
                </c:pt>
                <c:pt idx="407">
                  <c:v>2166090</c:v>
                </c:pt>
                <c:pt idx="408">
                  <c:v>2285693</c:v>
                </c:pt>
                <c:pt idx="409">
                  <c:v>1914371</c:v>
                </c:pt>
                <c:pt idx="410">
                  <c:v>2022953</c:v>
                </c:pt>
                <c:pt idx="411">
                  <c:v>2818609</c:v>
                </c:pt>
                <c:pt idx="412">
                  <c:v>2818609</c:v>
                </c:pt>
                <c:pt idx="413">
                  <c:v>2818609</c:v>
                </c:pt>
                <c:pt idx="414">
                  <c:v>3017631</c:v>
                </c:pt>
                <c:pt idx="415">
                  <c:v>3289032</c:v>
                </c:pt>
                <c:pt idx="416">
                  <c:v>2538276</c:v>
                </c:pt>
                <c:pt idx="417">
                  <c:v>2187038</c:v>
                </c:pt>
                <c:pt idx="418">
                  <c:v>3870094</c:v>
                </c:pt>
                <c:pt idx="419">
                  <c:v>3870094</c:v>
                </c:pt>
                <c:pt idx="420">
                  <c:v>3870094</c:v>
                </c:pt>
                <c:pt idx="421">
                  <c:v>2491272</c:v>
                </c:pt>
                <c:pt idx="422">
                  <c:v>2933013</c:v>
                </c:pt>
                <c:pt idx="423">
                  <c:v>3417400</c:v>
                </c:pt>
                <c:pt idx="424">
                  <c:v>2569467</c:v>
                </c:pt>
                <c:pt idx="425">
                  <c:v>1912319</c:v>
                </c:pt>
                <c:pt idx="426">
                  <c:v>1912319</c:v>
                </c:pt>
                <c:pt idx="427">
                  <c:v>1912319</c:v>
                </c:pt>
                <c:pt idx="428">
                  <c:v>1517930</c:v>
                </c:pt>
                <c:pt idx="429">
                  <c:v>1832736</c:v>
                </c:pt>
                <c:pt idx="430">
                  <c:v>1514184</c:v>
                </c:pt>
                <c:pt idx="431">
                  <c:v>1781645</c:v>
                </c:pt>
                <c:pt idx="432">
                  <c:v>1659395</c:v>
                </c:pt>
                <c:pt idx="433">
                  <c:v>1659395</c:v>
                </c:pt>
                <c:pt idx="434">
                  <c:v>1659395</c:v>
                </c:pt>
                <c:pt idx="435">
                  <c:v>1219762</c:v>
                </c:pt>
                <c:pt idx="436">
                  <c:v>1219762</c:v>
                </c:pt>
                <c:pt idx="437">
                  <c:v>1530530</c:v>
                </c:pt>
                <c:pt idx="438">
                  <c:v>1697337</c:v>
                </c:pt>
                <c:pt idx="439">
                  <c:v>3492610</c:v>
                </c:pt>
                <c:pt idx="440">
                  <c:v>3492610</c:v>
                </c:pt>
                <c:pt idx="441">
                  <c:v>3492610</c:v>
                </c:pt>
                <c:pt idx="442">
                  <c:v>1815037</c:v>
                </c:pt>
                <c:pt idx="443">
                  <c:v>1921476</c:v>
                </c:pt>
                <c:pt idx="444">
                  <c:v>3199922</c:v>
                </c:pt>
                <c:pt idx="445">
                  <c:v>2407606</c:v>
                </c:pt>
                <c:pt idx="446">
                  <c:v>3322635</c:v>
                </c:pt>
                <c:pt idx="447">
                  <c:v>3322635</c:v>
                </c:pt>
                <c:pt idx="448">
                  <c:v>3322635</c:v>
                </c:pt>
                <c:pt idx="449">
                  <c:v>2267817</c:v>
                </c:pt>
                <c:pt idx="450">
                  <c:v>2057245</c:v>
                </c:pt>
                <c:pt idx="451">
                  <c:v>2057245</c:v>
                </c:pt>
                <c:pt idx="452">
                  <c:v>3134484</c:v>
                </c:pt>
                <c:pt idx="453">
                  <c:v>2130498</c:v>
                </c:pt>
                <c:pt idx="454">
                  <c:v>2130498</c:v>
                </c:pt>
                <c:pt idx="455">
                  <c:v>2130498</c:v>
                </c:pt>
                <c:pt idx="456">
                  <c:v>3283888</c:v>
                </c:pt>
                <c:pt idx="457">
                  <c:v>1931892</c:v>
                </c:pt>
                <c:pt idx="458">
                  <c:v>1619895</c:v>
                </c:pt>
                <c:pt idx="459">
                  <c:v>1884822</c:v>
                </c:pt>
                <c:pt idx="460">
                  <c:v>2555622</c:v>
                </c:pt>
                <c:pt idx="461">
                  <c:v>2555622</c:v>
                </c:pt>
                <c:pt idx="462">
                  <c:v>2555622</c:v>
                </c:pt>
                <c:pt idx="463">
                  <c:v>2023241</c:v>
                </c:pt>
                <c:pt idx="464">
                  <c:v>2920756</c:v>
                </c:pt>
                <c:pt idx="465">
                  <c:v>1820824</c:v>
                </c:pt>
                <c:pt idx="466">
                  <c:v>2593985</c:v>
                </c:pt>
                <c:pt idx="467">
                  <c:v>5524511</c:v>
                </c:pt>
                <c:pt idx="468">
                  <c:v>5524511</c:v>
                </c:pt>
                <c:pt idx="469">
                  <c:v>5524511</c:v>
                </c:pt>
                <c:pt idx="470">
                  <c:v>2840385</c:v>
                </c:pt>
                <c:pt idx="471">
                  <c:v>3279065</c:v>
                </c:pt>
                <c:pt idx="472">
                  <c:v>2480869</c:v>
                </c:pt>
                <c:pt idx="473">
                  <c:v>2305534</c:v>
                </c:pt>
                <c:pt idx="474">
                  <c:v>2305534</c:v>
                </c:pt>
                <c:pt idx="475">
                  <c:v>2305534</c:v>
                </c:pt>
                <c:pt idx="476">
                  <c:v>2305534</c:v>
                </c:pt>
                <c:pt idx="477">
                  <c:v>2815747</c:v>
                </c:pt>
                <c:pt idx="478">
                  <c:v>2634161</c:v>
                </c:pt>
                <c:pt idx="479">
                  <c:v>2967591</c:v>
                </c:pt>
                <c:pt idx="480">
                  <c:v>1130283</c:v>
                </c:pt>
                <c:pt idx="481">
                  <c:v>2105806</c:v>
                </c:pt>
                <c:pt idx="482">
                  <c:v>2105806</c:v>
                </c:pt>
                <c:pt idx="483">
                  <c:v>2105806</c:v>
                </c:pt>
                <c:pt idx="484">
                  <c:v>1526046</c:v>
                </c:pt>
                <c:pt idx="485">
                  <c:v>1769238</c:v>
                </c:pt>
                <c:pt idx="486">
                  <c:v>1357477</c:v>
                </c:pt>
                <c:pt idx="487">
                  <c:v>1317192</c:v>
                </c:pt>
                <c:pt idx="488">
                  <c:v>1299524</c:v>
                </c:pt>
                <c:pt idx="489">
                  <c:v>1299524</c:v>
                </c:pt>
                <c:pt idx="490">
                  <c:v>1299524</c:v>
                </c:pt>
                <c:pt idx="491">
                  <c:v>1765166</c:v>
                </c:pt>
                <c:pt idx="492">
                  <c:v>1739000</c:v>
                </c:pt>
                <c:pt idx="493">
                  <c:v>1585332</c:v>
                </c:pt>
                <c:pt idx="494">
                  <c:v>1527724</c:v>
                </c:pt>
                <c:pt idx="495">
                  <c:v>2174714</c:v>
                </c:pt>
                <c:pt idx="496">
                  <c:v>2174714</c:v>
                </c:pt>
                <c:pt idx="497">
                  <c:v>2174714</c:v>
                </c:pt>
                <c:pt idx="498">
                  <c:v>2440891</c:v>
                </c:pt>
                <c:pt idx="499">
                  <c:v>1651734</c:v>
                </c:pt>
                <c:pt idx="500">
                  <c:v>1737008</c:v>
                </c:pt>
                <c:pt idx="501">
                  <c:v>1730440</c:v>
                </c:pt>
                <c:pt idx="502">
                  <c:v>2255458</c:v>
                </c:pt>
                <c:pt idx="503">
                  <c:v>2255458</c:v>
                </c:pt>
                <c:pt idx="504">
                  <c:v>2255458</c:v>
                </c:pt>
                <c:pt idx="505">
                  <c:v>3897600</c:v>
                </c:pt>
                <c:pt idx="506">
                  <c:v>2951169</c:v>
                </c:pt>
                <c:pt idx="507">
                  <c:v>1980828</c:v>
                </c:pt>
                <c:pt idx="508">
                  <c:v>2200025</c:v>
                </c:pt>
                <c:pt idx="509">
                  <c:v>2971911</c:v>
                </c:pt>
                <c:pt idx="510">
                  <c:v>2971911</c:v>
                </c:pt>
                <c:pt idx="511">
                  <c:v>2971911</c:v>
                </c:pt>
                <c:pt idx="512">
                  <c:v>1570176</c:v>
                </c:pt>
                <c:pt idx="513">
                  <c:v>1997011</c:v>
                </c:pt>
                <c:pt idx="514">
                  <c:v>2025415</c:v>
                </c:pt>
                <c:pt idx="515">
                  <c:v>2297997</c:v>
                </c:pt>
                <c:pt idx="516">
                  <c:v>2594970</c:v>
                </c:pt>
                <c:pt idx="517">
                  <c:v>2594970</c:v>
                </c:pt>
                <c:pt idx="518">
                  <c:v>2594970</c:v>
                </c:pt>
                <c:pt idx="519">
                  <c:v>1692360</c:v>
                </c:pt>
                <c:pt idx="520">
                  <c:v>2181008</c:v>
                </c:pt>
                <c:pt idx="521">
                  <c:v>1736948</c:v>
                </c:pt>
                <c:pt idx="522">
                  <c:v>2139221</c:v>
                </c:pt>
                <c:pt idx="523">
                  <c:v>1503722</c:v>
                </c:pt>
                <c:pt idx="524">
                  <c:v>1503722</c:v>
                </c:pt>
                <c:pt idx="525">
                  <c:v>1503722</c:v>
                </c:pt>
                <c:pt idx="526">
                  <c:v>2062525</c:v>
                </c:pt>
                <c:pt idx="527">
                  <c:v>2097225</c:v>
                </c:pt>
                <c:pt idx="528">
                  <c:v>2019453</c:v>
                </c:pt>
                <c:pt idx="529">
                  <c:v>2493861</c:v>
                </c:pt>
                <c:pt idx="530">
                  <c:v>2265924</c:v>
                </c:pt>
                <c:pt idx="531">
                  <c:v>2265924</c:v>
                </c:pt>
                <c:pt idx="532">
                  <c:v>2265924</c:v>
                </c:pt>
                <c:pt idx="533">
                  <c:v>2265924</c:v>
                </c:pt>
                <c:pt idx="534">
                  <c:v>2150556</c:v>
                </c:pt>
                <c:pt idx="535">
                  <c:v>2801961</c:v>
                </c:pt>
                <c:pt idx="536">
                  <c:v>1974723</c:v>
                </c:pt>
                <c:pt idx="537">
                  <c:v>1676987</c:v>
                </c:pt>
                <c:pt idx="538">
                  <c:v>1676987</c:v>
                </c:pt>
                <c:pt idx="539">
                  <c:v>1676987</c:v>
                </c:pt>
                <c:pt idx="540">
                  <c:v>3215458</c:v>
                </c:pt>
                <c:pt idx="541">
                  <c:v>2564836</c:v>
                </c:pt>
                <c:pt idx="542">
                  <c:v>3244316</c:v>
                </c:pt>
                <c:pt idx="543">
                  <c:v>2280848</c:v>
                </c:pt>
                <c:pt idx="544">
                  <c:v>3258911</c:v>
                </c:pt>
                <c:pt idx="545">
                  <c:v>3258911</c:v>
                </c:pt>
                <c:pt idx="546">
                  <c:v>3258911</c:v>
                </c:pt>
                <c:pt idx="547">
                  <c:v>2519663</c:v>
                </c:pt>
                <c:pt idx="548">
                  <c:v>2129046</c:v>
                </c:pt>
                <c:pt idx="549">
                  <c:v>1633862</c:v>
                </c:pt>
                <c:pt idx="550">
                  <c:v>1539550</c:v>
                </c:pt>
                <c:pt idx="551">
                  <c:v>2409115</c:v>
                </c:pt>
                <c:pt idx="552">
                  <c:v>2409115</c:v>
                </c:pt>
                <c:pt idx="553">
                  <c:v>2409115</c:v>
                </c:pt>
                <c:pt idx="554">
                  <c:v>2395772</c:v>
                </c:pt>
                <c:pt idx="555">
                  <c:v>1911012</c:v>
                </c:pt>
                <c:pt idx="556">
                  <c:v>1368806</c:v>
                </c:pt>
                <c:pt idx="557">
                  <c:v>1834919</c:v>
                </c:pt>
                <c:pt idx="558">
                  <c:v>2811430</c:v>
                </c:pt>
                <c:pt idx="559">
                  <c:v>2811430</c:v>
                </c:pt>
                <c:pt idx="560">
                  <c:v>2811430</c:v>
                </c:pt>
                <c:pt idx="561">
                  <c:v>3022146</c:v>
                </c:pt>
                <c:pt idx="562">
                  <c:v>1885806</c:v>
                </c:pt>
                <c:pt idx="563">
                  <c:v>2206372</c:v>
                </c:pt>
                <c:pt idx="564">
                  <c:v>2806401</c:v>
                </c:pt>
                <c:pt idx="565">
                  <c:v>1943469</c:v>
                </c:pt>
                <c:pt idx="566">
                  <c:v>1943469</c:v>
                </c:pt>
                <c:pt idx="567">
                  <c:v>1943469</c:v>
                </c:pt>
                <c:pt idx="568">
                  <c:v>2507769</c:v>
                </c:pt>
                <c:pt idx="569">
                  <c:v>1721897</c:v>
                </c:pt>
                <c:pt idx="570">
                  <c:v>1907246</c:v>
                </c:pt>
                <c:pt idx="571">
                  <c:v>2202364</c:v>
                </c:pt>
                <c:pt idx="572">
                  <c:v>2202364</c:v>
                </c:pt>
                <c:pt idx="573">
                  <c:v>2202364</c:v>
                </c:pt>
                <c:pt idx="574">
                  <c:v>2202364</c:v>
                </c:pt>
                <c:pt idx="575">
                  <c:v>2252309</c:v>
                </c:pt>
                <c:pt idx="576">
                  <c:v>2579556</c:v>
                </c:pt>
                <c:pt idx="577">
                  <c:v>2664132</c:v>
                </c:pt>
                <c:pt idx="578">
                  <c:v>2259572</c:v>
                </c:pt>
                <c:pt idx="579">
                  <c:v>2012493</c:v>
                </c:pt>
                <c:pt idx="580">
                  <c:v>2012493</c:v>
                </c:pt>
                <c:pt idx="581">
                  <c:v>2012493</c:v>
                </c:pt>
                <c:pt idx="582">
                  <c:v>1871559</c:v>
                </c:pt>
                <c:pt idx="583">
                  <c:v>2337204</c:v>
                </c:pt>
                <c:pt idx="584">
                  <c:v>2357338</c:v>
                </c:pt>
                <c:pt idx="585">
                  <c:v>2701337</c:v>
                </c:pt>
                <c:pt idx="586">
                  <c:v>1994229</c:v>
                </c:pt>
                <c:pt idx="587">
                  <c:v>1994229</c:v>
                </c:pt>
                <c:pt idx="588">
                  <c:v>1994229</c:v>
                </c:pt>
                <c:pt idx="589">
                  <c:v>2116306</c:v>
                </c:pt>
                <c:pt idx="590">
                  <c:v>2799053</c:v>
                </c:pt>
                <c:pt idx="591">
                  <c:v>2435616</c:v>
                </c:pt>
                <c:pt idx="592">
                  <c:v>2844561</c:v>
                </c:pt>
                <c:pt idx="593">
                  <c:v>2493459</c:v>
                </c:pt>
                <c:pt idx="594">
                  <c:v>2493459</c:v>
                </c:pt>
                <c:pt idx="595">
                  <c:v>2493459</c:v>
                </c:pt>
                <c:pt idx="596">
                  <c:v>4154618</c:v>
                </c:pt>
                <c:pt idx="597">
                  <c:v>2843494</c:v>
                </c:pt>
                <c:pt idx="598">
                  <c:v>2398297</c:v>
                </c:pt>
                <c:pt idx="599">
                  <c:v>3005342</c:v>
                </c:pt>
                <c:pt idx="600">
                  <c:v>2272098</c:v>
                </c:pt>
                <c:pt idx="601">
                  <c:v>2272098</c:v>
                </c:pt>
                <c:pt idx="602">
                  <c:v>2272098</c:v>
                </c:pt>
                <c:pt idx="603">
                  <c:v>2326484</c:v>
                </c:pt>
                <c:pt idx="604">
                  <c:v>2311158</c:v>
                </c:pt>
                <c:pt idx="605">
                  <c:v>2578748</c:v>
                </c:pt>
                <c:pt idx="606">
                  <c:v>3018743</c:v>
                </c:pt>
                <c:pt idx="607">
                  <c:v>3018743</c:v>
                </c:pt>
                <c:pt idx="608">
                  <c:v>3018743</c:v>
                </c:pt>
                <c:pt idx="609">
                  <c:v>3018743</c:v>
                </c:pt>
                <c:pt idx="610">
                  <c:v>2219342</c:v>
                </c:pt>
                <c:pt idx="611">
                  <c:v>1683519</c:v>
                </c:pt>
                <c:pt idx="612">
                  <c:v>2055185</c:v>
                </c:pt>
                <c:pt idx="613">
                  <c:v>2567784</c:v>
                </c:pt>
                <c:pt idx="614">
                  <c:v>2316918</c:v>
                </c:pt>
                <c:pt idx="615">
                  <c:v>2316918</c:v>
                </c:pt>
                <c:pt idx="616">
                  <c:v>2316918</c:v>
                </c:pt>
                <c:pt idx="617">
                  <c:v>2305436</c:v>
                </c:pt>
                <c:pt idx="618">
                  <c:v>1748272</c:v>
                </c:pt>
                <c:pt idx="619">
                  <c:v>2622215</c:v>
                </c:pt>
                <c:pt idx="620">
                  <c:v>1228687</c:v>
                </c:pt>
                <c:pt idx="621">
                  <c:v>1228687</c:v>
                </c:pt>
                <c:pt idx="622">
                  <c:v>1228687</c:v>
                </c:pt>
                <c:pt idx="623">
                  <c:v>1228687</c:v>
                </c:pt>
                <c:pt idx="624">
                  <c:v>1208598</c:v>
                </c:pt>
                <c:pt idx="625">
                  <c:v>2205986</c:v>
                </c:pt>
                <c:pt idx="626">
                  <c:v>1454117</c:v>
                </c:pt>
                <c:pt idx="627">
                  <c:v>1824809</c:v>
                </c:pt>
                <c:pt idx="628">
                  <c:v>1824809</c:v>
                </c:pt>
                <c:pt idx="629">
                  <c:v>1824809</c:v>
                </c:pt>
                <c:pt idx="630">
                  <c:v>1824809</c:v>
                </c:pt>
                <c:pt idx="631">
                  <c:v>2603197</c:v>
                </c:pt>
                <c:pt idx="632">
                  <c:v>2724760</c:v>
                </c:pt>
                <c:pt idx="633">
                  <c:v>2314244</c:v>
                </c:pt>
                <c:pt idx="634">
                  <c:v>2457617</c:v>
                </c:pt>
                <c:pt idx="635">
                  <c:v>4768518</c:v>
                </c:pt>
                <c:pt idx="636">
                  <c:v>4768518</c:v>
                </c:pt>
                <c:pt idx="637">
                  <c:v>4768518</c:v>
                </c:pt>
                <c:pt idx="638">
                  <c:v>4863594</c:v>
                </c:pt>
                <c:pt idx="639">
                  <c:v>3926716</c:v>
                </c:pt>
                <c:pt idx="640">
                  <c:v>2427466</c:v>
                </c:pt>
                <c:pt idx="641">
                  <c:v>1810413</c:v>
                </c:pt>
                <c:pt idx="642">
                  <c:v>2544779</c:v>
                </c:pt>
                <c:pt idx="643">
                  <c:v>2544779</c:v>
                </c:pt>
                <c:pt idx="644">
                  <c:v>2544779</c:v>
                </c:pt>
                <c:pt idx="645">
                  <c:v>2075095</c:v>
                </c:pt>
                <c:pt idx="646">
                  <c:v>1804898</c:v>
                </c:pt>
                <c:pt idx="647">
                  <c:v>2632486</c:v>
                </c:pt>
                <c:pt idx="648">
                  <c:v>3881955</c:v>
                </c:pt>
                <c:pt idx="649">
                  <c:v>3239020</c:v>
                </c:pt>
                <c:pt idx="650">
                  <c:v>3239020</c:v>
                </c:pt>
                <c:pt idx="651">
                  <c:v>3239020</c:v>
                </c:pt>
                <c:pt idx="652">
                  <c:v>4430060</c:v>
                </c:pt>
                <c:pt idx="653">
                  <c:v>1228889</c:v>
                </c:pt>
                <c:pt idx="654">
                  <c:v>1827572</c:v>
                </c:pt>
                <c:pt idx="655">
                  <c:v>2369208</c:v>
                </c:pt>
                <c:pt idx="656">
                  <c:v>1045594</c:v>
                </c:pt>
                <c:pt idx="657">
                  <c:v>1045594</c:v>
                </c:pt>
                <c:pt idx="658">
                  <c:v>1045594</c:v>
                </c:pt>
                <c:pt idx="659">
                  <c:v>1716193</c:v>
                </c:pt>
                <c:pt idx="660">
                  <c:v>1716193</c:v>
                </c:pt>
                <c:pt idx="661">
                  <c:v>2422331</c:v>
                </c:pt>
                <c:pt idx="662">
                  <c:v>2548124</c:v>
                </c:pt>
                <c:pt idx="663">
                  <c:v>2005354</c:v>
                </c:pt>
                <c:pt idx="664">
                  <c:v>2005354</c:v>
                </c:pt>
                <c:pt idx="665">
                  <c:v>2005354</c:v>
                </c:pt>
                <c:pt idx="666">
                  <c:v>1438333</c:v>
                </c:pt>
                <c:pt idx="667">
                  <c:v>2709674</c:v>
                </c:pt>
                <c:pt idx="668">
                  <c:v>2610451</c:v>
                </c:pt>
                <c:pt idx="669">
                  <c:v>2185064</c:v>
                </c:pt>
                <c:pt idx="670">
                  <c:v>2673601</c:v>
                </c:pt>
                <c:pt idx="671">
                  <c:v>2673601</c:v>
                </c:pt>
                <c:pt idx="672">
                  <c:v>2673601</c:v>
                </c:pt>
                <c:pt idx="673">
                  <c:v>1496386</c:v>
                </c:pt>
                <c:pt idx="674">
                  <c:v>2483137</c:v>
                </c:pt>
                <c:pt idx="675">
                  <c:v>2324175</c:v>
                </c:pt>
                <c:pt idx="676">
                  <c:v>1547283</c:v>
                </c:pt>
                <c:pt idx="677">
                  <c:v>1634891</c:v>
                </c:pt>
                <c:pt idx="678">
                  <c:v>1634891</c:v>
                </c:pt>
                <c:pt idx="679">
                  <c:v>1634891</c:v>
                </c:pt>
                <c:pt idx="680">
                  <c:v>1776659</c:v>
                </c:pt>
                <c:pt idx="681">
                  <c:v>2444310</c:v>
                </c:pt>
                <c:pt idx="682">
                  <c:v>2057825</c:v>
                </c:pt>
                <c:pt idx="683">
                  <c:v>2230121</c:v>
                </c:pt>
                <c:pt idx="684">
                  <c:v>2427576</c:v>
                </c:pt>
                <c:pt idx="685">
                  <c:v>2427576</c:v>
                </c:pt>
                <c:pt idx="686">
                  <c:v>2427576</c:v>
                </c:pt>
                <c:pt idx="687">
                  <c:v>2626352</c:v>
                </c:pt>
                <c:pt idx="688">
                  <c:v>2457397</c:v>
                </c:pt>
                <c:pt idx="689">
                  <c:v>2937514</c:v>
                </c:pt>
                <c:pt idx="690">
                  <c:v>2576547</c:v>
                </c:pt>
                <c:pt idx="691">
                  <c:v>5485718</c:v>
                </c:pt>
                <c:pt idx="692">
                  <c:v>5485718</c:v>
                </c:pt>
                <c:pt idx="693">
                  <c:v>5485718</c:v>
                </c:pt>
                <c:pt idx="694">
                  <c:v>6031009</c:v>
                </c:pt>
                <c:pt idx="695">
                  <c:v>3487168</c:v>
                </c:pt>
                <c:pt idx="696">
                  <c:v>2479917</c:v>
                </c:pt>
                <c:pt idx="697">
                  <c:v>2358876</c:v>
                </c:pt>
                <c:pt idx="698">
                  <c:v>1874659</c:v>
                </c:pt>
                <c:pt idx="699">
                  <c:v>1874659</c:v>
                </c:pt>
                <c:pt idx="700">
                  <c:v>1874659</c:v>
                </c:pt>
                <c:pt idx="701">
                  <c:v>1851217</c:v>
                </c:pt>
                <c:pt idx="702">
                  <c:v>2851136</c:v>
                </c:pt>
                <c:pt idx="703">
                  <c:v>1972894</c:v>
                </c:pt>
                <c:pt idx="704">
                  <c:v>1557697</c:v>
                </c:pt>
                <c:pt idx="705">
                  <c:v>1760470</c:v>
                </c:pt>
                <c:pt idx="706">
                  <c:v>1760470</c:v>
                </c:pt>
                <c:pt idx="707">
                  <c:v>1760470</c:v>
                </c:pt>
                <c:pt idx="708">
                  <c:v>2037234</c:v>
                </c:pt>
                <c:pt idx="709">
                  <c:v>1911966</c:v>
                </c:pt>
                <c:pt idx="710">
                  <c:v>2087538</c:v>
                </c:pt>
                <c:pt idx="711">
                  <c:v>1887953</c:v>
                </c:pt>
                <c:pt idx="712">
                  <c:v>2246711</c:v>
                </c:pt>
                <c:pt idx="713">
                  <c:v>2246711</c:v>
                </c:pt>
                <c:pt idx="714">
                  <c:v>2246711</c:v>
                </c:pt>
                <c:pt idx="715">
                  <c:v>2112814</c:v>
                </c:pt>
                <c:pt idx="716">
                  <c:v>2760561</c:v>
                </c:pt>
                <c:pt idx="717">
                  <c:v>1990363</c:v>
                </c:pt>
                <c:pt idx="718">
                  <c:v>1427524</c:v>
                </c:pt>
                <c:pt idx="719">
                  <c:v>2416555</c:v>
                </c:pt>
                <c:pt idx="720">
                  <c:v>2416555</c:v>
                </c:pt>
                <c:pt idx="721">
                  <c:v>2416555</c:v>
                </c:pt>
                <c:pt idx="722">
                  <c:v>2370335</c:v>
                </c:pt>
                <c:pt idx="723">
                  <c:v>2116790</c:v>
                </c:pt>
                <c:pt idx="724">
                  <c:v>2156024</c:v>
                </c:pt>
                <c:pt idx="725">
                  <c:v>2206786</c:v>
                </c:pt>
                <c:pt idx="726">
                  <c:v>4222810</c:v>
                </c:pt>
                <c:pt idx="727">
                  <c:v>4222810</c:v>
                </c:pt>
                <c:pt idx="728">
                  <c:v>4222810</c:v>
                </c:pt>
                <c:pt idx="729">
                  <c:v>2798780</c:v>
                </c:pt>
                <c:pt idx="730">
                  <c:v>2919766</c:v>
                </c:pt>
                <c:pt idx="731">
                  <c:v>2828205</c:v>
                </c:pt>
                <c:pt idx="732">
                  <c:v>1943935</c:v>
                </c:pt>
                <c:pt idx="733">
                  <c:v>3188225</c:v>
                </c:pt>
                <c:pt idx="734">
                  <c:v>3188225</c:v>
                </c:pt>
                <c:pt idx="735">
                  <c:v>3188225</c:v>
                </c:pt>
                <c:pt idx="736">
                  <c:v>2882117</c:v>
                </c:pt>
                <c:pt idx="737">
                  <c:v>2344807</c:v>
                </c:pt>
                <c:pt idx="738">
                  <c:v>2679776</c:v>
                </c:pt>
                <c:pt idx="739">
                  <c:v>2303754</c:v>
                </c:pt>
                <c:pt idx="740">
                  <c:v>2303754</c:v>
                </c:pt>
                <c:pt idx="741">
                  <c:v>2303754</c:v>
                </c:pt>
                <c:pt idx="742">
                  <c:v>2303754</c:v>
                </c:pt>
                <c:pt idx="743">
                  <c:v>2410322</c:v>
                </c:pt>
                <c:pt idx="744">
                  <c:v>2690894</c:v>
                </c:pt>
                <c:pt idx="745">
                  <c:v>2362183</c:v>
                </c:pt>
                <c:pt idx="746">
                  <c:v>1731439</c:v>
                </c:pt>
                <c:pt idx="747">
                  <c:v>1609912</c:v>
                </c:pt>
                <c:pt idx="748">
                  <c:v>1609912</c:v>
                </c:pt>
                <c:pt idx="749">
                  <c:v>1609912</c:v>
                </c:pt>
                <c:pt idx="750">
                  <c:v>1738925</c:v>
                </c:pt>
                <c:pt idx="751">
                  <c:v>2026467</c:v>
                </c:pt>
                <c:pt idx="752">
                  <c:v>1636243</c:v>
                </c:pt>
                <c:pt idx="753">
                  <c:v>2000616</c:v>
                </c:pt>
                <c:pt idx="754">
                  <c:v>1660324</c:v>
                </c:pt>
                <c:pt idx="755">
                  <c:v>1660324</c:v>
                </c:pt>
                <c:pt idx="756">
                  <c:v>1660324</c:v>
                </c:pt>
                <c:pt idx="757">
                  <c:v>2075375</c:v>
                </c:pt>
                <c:pt idx="758">
                  <c:v>2169224</c:v>
                </c:pt>
                <c:pt idx="759">
                  <c:v>2146190</c:v>
                </c:pt>
                <c:pt idx="760">
                  <c:v>1682076</c:v>
                </c:pt>
                <c:pt idx="761">
                  <c:v>2346223</c:v>
                </c:pt>
                <c:pt idx="762">
                  <c:v>2346223</c:v>
                </c:pt>
                <c:pt idx="763">
                  <c:v>2346223</c:v>
                </c:pt>
                <c:pt idx="764">
                  <c:v>2737654</c:v>
                </c:pt>
                <c:pt idx="765">
                  <c:v>2562528</c:v>
                </c:pt>
                <c:pt idx="766">
                  <c:v>2513703</c:v>
                </c:pt>
                <c:pt idx="767">
                  <c:v>2211303</c:v>
                </c:pt>
                <c:pt idx="768">
                  <c:v>3176349</c:v>
                </c:pt>
                <c:pt idx="769">
                  <c:v>3176349</c:v>
                </c:pt>
                <c:pt idx="770">
                  <c:v>3176349</c:v>
                </c:pt>
                <c:pt idx="771">
                  <c:v>1914121</c:v>
                </c:pt>
                <c:pt idx="772">
                  <c:v>2740446</c:v>
                </c:pt>
                <c:pt idx="773">
                  <c:v>3486302</c:v>
                </c:pt>
                <c:pt idx="774">
                  <c:v>2988783</c:v>
                </c:pt>
                <c:pt idx="775">
                  <c:v>3595798</c:v>
                </c:pt>
                <c:pt idx="776">
                  <c:v>3595798</c:v>
                </c:pt>
                <c:pt idx="777">
                  <c:v>3595798</c:v>
                </c:pt>
                <c:pt idx="778">
                  <c:v>5806689</c:v>
                </c:pt>
                <c:pt idx="779">
                  <c:v>14540741</c:v>
                </c:pt>
                <c:pt idx="780">
                  <c:v>2766183</c:v>
                </c:pt>
                <c:pt idx="781">
                  <c:v>2165244</c:v>
                </c:pt>
                <c:pt idx="782">
                  <c:v>6040181</c:v>
                </c:pt>
                <c:pt idx="783">
                  <c:v>6040181</c:v>
                </c:pt>
                <c:pt idx="784">
                  <c:v>6040181</c:v>
                </c:pt>
                <c:pt idx="785">
                  <c:v>3137644</c:v>
                </c:pt>
                <c:pt idx="786">
                  <c:v>2036692</c:v>
                </c:pt>
                <c:pt idx="787">
                  <c:v>1893637</c:v>
                </c:pt>
                <c:pt idx="788">
                  <c:v>1471705</c:v>
                </c:pt>
                <c:pt idx="789">
                  <c:v>1603021</c:v>
                </c:pt>
                <c:pt idx="790">
                  <c:v>1603021</c:v>
                </c:pt>
                <c:pt idx="791">
                  <c:v>1603021</c:v>
                </c:pt>
                <c:pt idx="792">
                  <c:v>2214270</c:v>
                </c:pt>
                <c:pt idx="793">
                  <c:v>3261515</c:v>
                </c:pt>
                <c:pt idx="794">
                  <c:v>2101076</c:v>
                </c:pt>
                <c:pt idx="795">
                  <c:v>2025215</c:v>
                </c:pt>
                <c:pt idx="796">
                  <c:v>2074819</c:v>
                </c:pt>
                <c:pt idx="797">
                  <c:v>2074819</c:v>
                </c:pt>
                <c:pt idx="798">
                  <c:v>2074819</c:v>
                </c:pt>
                <c:pt idx="799">
                  <c:v>1518543</c:v>
                </c:pt>
                <c:pt idx="800">
                  <c:v>1818128</c:v>
                </c:pt>
                <c:pt idx="801">
                  <c:v>1057362</c:v>
                </c:pt>
                <c:pt idx="802">
                  <c:v>1057362</c:v>
                </c:pt>
                <c:pt idx="803">
                  <c:v>2298746</c:v>
                </c:pt>
                <c:pt idx="804">
                  <c:v>2298746</c:v>
                </c:pt>
                <c:pt idx="805">
                  <c:v>2298746</c:v>
                </c:pt>
                <c:pt idx="806">
                  <c:v>1957394</c:v>
                </c:pt>
                <c:pt idx="807">
                  <c:v>2498258</c:v>
                </c:pt>
                <c:pt idx="808">
                  <c:v>2433951</c:v>
                </c:pt>
                <c:pt idx="809">
                  <c:v>1764809</c:v>
                </c:pt>
                <c:pt idx="810">
                  <c:v>7413977</c:v>
                </c:pt>
                <c:pt idx="811">
                  <c:v>7413977</c:v>
                </c:pt>
                <c:pt idx="812">
                  <c:v>7413977</c:v>
                </c:pt>
                <c:pt idx="813">
                  <c:v>1809283</c:v>
                </c:pt>
                <c:pt idx="814">
                  <c:v>2191438</c:v>
                </c:pt>
                <c:pt idx="815">
                  <c:v>2412765</c:v>
                </c:pt>
                <c:pt idx="816">
                  <c:v>4139868</c:v>
                </c:pt>
                <c:pt idx="817">
                  <c:v>4139868</c:v>
                </c:pt>
                <c:pt idx="818">
                  <c:v>4139868</c:v>
                </c:pt>
                <c:pt idx="819">
                  <c:v>4139868</c:v>
                </c:pt>
                <c:pt idx="820">
                  <c:v>2288571</c:v>
                </c:pt>
                <c:pt idx="821">
                  <c:v>3259385</c:v>
                </c:pt>
                <c:pt idx="822">
                  <c:v>3577856</c:v>
                </c:pt>
                <c:pt idx="823">
                  <c:v>2096381</c:v>
                </c:pt>
                <c:pt idx="824">
                  <c:v>1806829</c:v>
                </c:pt>
                <c:pt idx="825">
                  <c:v>1806829</c:v>
                </c:pt>
                <c:pt idx="826">
                  <c:v>1806829</c:v>
                </c:pt>
                <c:pt idx="827">
                  <c:v>2180656</c:v>
                </c:pt>
                <c:pt idx="828">
                  <c:v>2582847</c:v>
                </c:pt>
                <c:pt idx="829">
                  <c:v>2341901</c:v>
                </c:pt>
                <c:pt idx="830">
                  <c:v>2693846</c:v>
                </c:pt>
                <c:pt idx="831">
                  <c:v>2522701</c:v>
                </c:pt>
                <c:pt idx="832">
                  <c:v>2522701</c:v>
                </c:pt>
                <c:pt idx="833">
                  <c:v>2522701</c:v>
                </c:pt>
                <c:pt idx="834">
                  <c:v>2713762</c:v>
                </c:pt>
                <c:pt idx="835">
                  <c:v>3569282</c:v>
                </c:pt>
                <c:pt idx="836">
                  <c:v>2453568</c:v>
                </c:pt>
                <c:pt idx="837">
                  <c:v>2287366</c:v>
                </c:pt>
                <c:pt idx="838">
                  <c:v>2287366</c:v>
                </c:pt>
                <c:pt idx="839">
                  <c:v>2287366</c:v>
                </c:pt>
                <c:pt idx="840">
                  <c:v>2287366</c:v>
                </c:pt>
                <c:pt idx="841">
                  <c:v>2467636</c:v>
                </c:pt>
                <c:pt idx="842">
                  <c:v>2970979</c:v>
                </c:pt>
                <c:pt idx="843">
                  <c:v>2434146</c:v>
                </c:pt>
                <c:pt idx="844">
                  <c:v>1744063</c:v>
                </c:pt>
                <c:pt idx="845">
                  <c:v>1798839</c:v>
                </c:pt>
                <c:pt idx="846">
                  <c:v>1798839</c:v>
                </c:pt>
                <c:pt idx="847">
                  <c:v>1798839</c:v>
                </c:pt>
                <c:pt idx="848">
                  <c:v>1947796</c:v>
                </c:pt>
                <c:pt idx="849">
                  <c:v>2273080</c:v>
                </c:pt>
                <c:pt idx="850">
                  <c:v>1893958</c:v>
                </c:pt>
                <c:pt idx="851">
                  <c:v>1630515</c:v>
                </c:pt>
                <c:pt idx="852">
                  <c:v>1459512</c:v>
                </c:pt>
                <c:pt idx="853">
                  <c:v>1459512</c:v>
                </c:pt>
                <c:pt idx="854">
                  <c:v>1459512</c:v>
                </c:pt>
                <c:pt idx="855">
                  <c:v>1397331</c:v>
                </c:pt>
                <c:pt idx="856">
                  <c:v>1703530</c:v>
                </c:pt>
                <c:pt idx="857">
                  <c:v>1606740</c:v>
                </c:pt>
                <c:pt idx="858">
                  <c:v>1973045</c:v>
                </c:pt>
                <c:pt idx="859">
                  <c:v>2065019</c:v>
                </c:pt>
                <c:pt idx="860">
                  <c:v>2065019</c:v>
                </c:pt>
                <c:pt idx="861">
                  <c:v>2065019</c:v>
                </c:pt>
                <c:pt idx="862">
                  <c:v>1866347</c:v>
                </c:pt>
                <c:pt idx="863">
                  <c:v>2017445</c:v>
                </c:pt>
                <c:pt idx="864">
                  <c:v>2693796</c:v>
                </c:pt>
                <c:pt idx="865">
                  <c:v>2195008</c:v>
                </c:pt>
                <c:pt idx="866">
                  <c:v>1814933</c:v>
                </c:pt>
                <c:pt idx="867">
                  <c:v>1814933</c:v>
                </c:pt>
                <c:pt idx="868">
                  <c:v>1814933</c:v>
                </c:pt>
                <c:pt idx="869">
                  <c:v>2287459</c:v>
                </c:pt>
                <c:pt idx="870">
                  <c:v>2377528</c:v>
                </c:pt>
                <c:pt idx="871">
                  <c:v>2594380</c:v>
                </c:pt>
                <c:pt idx="872">
                  <c:v>2723705</c:v>
                </c:pt>
                <c:pt idx="873">
                  <c:v>6029405</c:v>
                </c:pt>
                <c:pt idx="874">
                  <c:v>6029405</c:v>
                </c:pt>
                <c:pt idx="875">
                  <c:v>6029405</c:v>
                </c:pt>
                <c:pt idx="876">
                  <c:v>2989244</c:v>
                </c:pt>
                <c:pt idx="877">
                  <c:v>2619794</c:v>
                </c:pt>
                <c:pt idx="878">
                  <c:v>2388104</c:v>
                </c:pt>
                <c:pt idx="879">
                  <c:v>2740855</c:v>
                </c:pt>
                <c:pt idx="880">
                  <c:v>1947985</c:v>
                </c:pt>
                <c:pt idx="881">
                  <c:v>1947985</c:v>
                </c:pt>
                <c:pt idx="882">
                  <c:v>1947985</c:v>
                </c:pt>
                <c:pt idx="883">
                  <c:v>2894415</c:v>
                </c:pt>
                <c:pt idx="884">
                  <c:v>2315454</c:v>
                </c:pt>
                <c:pt idx="885">
                  <c:v>3597985</c:v>
                </c:pt>
                <c:pt idx="886">
                  <c:v>2401952</c:v>
                </c:pt>
                <c:pt idx="887">
                  <c:v>3280101</c:v>
                </c:pt>
                <c:pt idx="888">
                  <c:v>3280101</c:v>
                </c:pt>
                <c:pt idx="889">
                  <c:v>3280101</c:v>
                </c:pt>
                <c:pt idx="890">
                  <c:v>3280101</c:v>
                </c:pt>
                <c:pt idx="891">
                  <c:v>2382265</c:v>
                </c:pt>
                <c:pt idx="892">
                  <c:v>3556701</c:v>
                </c:pt>
                <c:pt idx="893">
                  <c:v>1908433</c:v>
                </c:pt>
                <c:pt idx="894">
                  <c:v>3422593</c:v>
                </c:pt>
                <c:pt idx="895">
                  <c:v>3422593</c:v>
                </c:pt>
                <c:pt idx="896">
                  <c:v>3422593</c:v>
                </c:pt>
                <c:pt idx="897">
                  <c:v>3050708</c:v>
                </c:pt>
                <c:pt idx="898">
                  <c:v>3152243</c:v>
                </c:pt>
                <c:pt idx="899">
                  <c:v>5635275</c:v>
                </c:pt>
                <c:pt idx="900">
                  <c:v>3666756</c:v>
                </c:pt>
                <c:pt idx="901">
                  <c:v>4263667</c:v>
                </c:pt>
                <c:pt idx="902">
                  <c:v>4263667</c:v>
                </c:pt>
                <c:pt idx="903">
                  <c:v>4263667</c:v>
                </c:pt>
                <c:pt idx="904">
                  <c:v>3854882</c:v>
                </c:pt>
                <c:pt idx="905">
                  <c:v>3325512</c:v>
                </c:pt>
                <c:pt idx="906">
                  <c:v>3339047</c:v>
                </c:pt>
                <c:pt idx="907">
                  <c:v>2956844</c:v>
                </c:pt>
                <c:pt idx="908">
                  <c:v>11852820</c:v>
                </c:pt>
                <c:pt idx="909">
                  <c:v>11852820</c:v>
                </c:pt>
                <c:pt idx="910">
                  <c:v>11852820</c:v>
                </c:pt>
                <c:pt idx="911">
                  <c:v>6357226</c:v>
                </c:pt>
                <c:pt idx="912">
                  <c:v>5749675</c:v>
                </c:pt>
                <c:pt idx="913">
                  <c:v>3168876</c:v>
                </c:pt>
                <c:pt idx="914">
                  <c:v>2774713</c:v>
                </c:pt>
                <c:pt idx="915">
                  <c:v>3909532</c:v>
                </c:pt>
                <c:pt idx="916">
                  <c:v>3909532</c:v>
                </c:pt>
                <c:pt idx="917">
                  <c:v>3909532</c:v>
                </c:pt>
                <c:pt idx="918">
                  <c:v>3342106</c:v>
                </c:pt>
                <c:pt idx="919">
                  <c:v>2980839</c:v>
                </c:pt>
                <c:pt idx="920">
                  <c:v>3897988</c:v>
                </c:pt>
                <c:pt idx="921">
                  <c:v>2300367</c:v>
                </c:pt>
                <c:pt idx="922">
                  <c:v>3665921</c:v>
                </c:pt>
                <c:pt idx="923">
                  <c:v>3665921</c:v>
                </c:pt>
                <c:pt idx="924">
                  <c:v>3665921</c:v>
                </c:pt>
                <c:pt idx="925">
                  <c:v>2813075</c:v>
                </c:pt>
                <c:pt idx="926">
                  <c:v>2775151</c:v>
                </c:pt>
                <c:pt idx="927">
                  <c:v>6091169</c:v>
                </c:pt>
                <c:pt idx="928">
                  <c:v>12140437</c:v>
                </c:pt>
                <c:pt idx="929">
                  <c:v>3371368</c:v>
                </c:pt>
                <c:pt idx="930">
                  <c:v>3371368</c:v>
                </c:pt>
                <c:pt idx="931">
                  <c:v>3371368</c:v>
                </c:pt>
                <c:pt idx="932">
                  <c:v>3125450</c:v>
                </c:pt>
                <c:pt idx="933">
                  <c:v>5815964</c:v>
                </c:pt>
                <c:pt idx="934">
                  <c:v>4462390</c:v>
                </c:pt>
                <c:pt idx="935">
                  <c:v>7063859</c:v>
                </c:pt>
                <c:pt idx="936">
                  <c:v>7063859</c:v>
                </c:pt>
                <c:pt idx="937">
                  <c:v>7063859</c:v>
                </c:pt>
                <c:pt idx="938">
                  <c:v>7063859</c:v>
                </c:pt>
                <c:pt idx="939">
                  <c:v>3375082</c:v>
                </c:pt>
                <c:pt idx="940">
                  <c:v>2880025</c:v>
                </c:pt>
                <c:pt idx="941">
                  <c:v>2174728</c:v>
                </c:pt>
                <c:pt idx="942">
                  <c:v>4095466</c:v>
                </c:pt>
                <c:pt idx="943">
                  <c:v>2599968</c:v>
                </c:pt>
                <c:pt idx="944">
                  <c:v>2599968</c:v>
                </c:pt>
                <c:pt idx="945">
                  <c:v>2599968</c:v>
                </c:pt>
                <c:pt idx="946">
                  <c:v>2989953</c:v>
                </c:pt>
                <c:pt idx="947">
                  <c:v>1805093</c:v>
                </c:pt>
                <c:pt idx="948">
                  <c:v>2067646</c:v>
                </c:pt>
                <c:pt idx="949">
                  <c:v>1665617</c:v>
                </c:pt>
                <c:pt idx="950">
                  <c:v>2142139</c:v>
                </c:pt>
                <c:pt idx="951">
                  <c:v>2142139</c:v>
                </c:pt>
                <c:pt idx="952">
                  <c:v>2142139</c:v>
                </c:pt>
                <c:pt idx="953">
                  <c:v>3445976</c:v>
                </c:pt>
                <c:pt idx="954">
                  <c:v>3080126</c:v>
                </c:pt>
                <c:pt idx="955">
                  <c:v>2958732</c:v>
                </c:pt>
                <c:pt idx="956">
                  <c:v>2617604</c:v>
                </c:pt>
                <c:pt idx="957">
                  <c:v>3429453</c:v>
                </c:pt>
                <c:pt idx="958">
                  <c:v>3429453</c:v>
                </c:pt>
                <c:pt idx="959">
                  <c:v>3429453</c:v>
                </c:pt>
                <c:pt idx="960">
                  <c:v>4207024</c:v>
                </c:pt>
                <c:pt idx="961">
                  <c:v>4163884</c:v>
                </c:pt>
                <c:pt idx="962">
                  <c:v>4462622</c:v>
                </c:pt>
                <c:pt idx="963">
                  <c:v>3155615</c:v>
                </c:pt>
                <c:pt idx="964">
                  <c:v>5344028</c:v>
                </c:pt>
                <c:pt idx="965">
                  <c:v>5344028</c:v>
                </c:pt>
                <c:pt idx="966">
                  <c:v>5344028</c:v>
                </c:pt>
                <c:pt idx="967">
                  <c:v>3065607</c:v>
                </c:pt>
                <c:pt idx="968">
                  <c:v>2719595</c:v>
                </c:pt>
                <c:pt idx="969">
                  <c:v>2186165</c:v>
                </c:pt>
                <c:pt idx="970">
                  <c:v>1693498</c:v>
                </c:pt>
                <c:pt idx="971">
                  <c:v>1693498</c:v>
                </c:pt>
                <c:pt idx="972">
                  <c:v>1693498</c:v>
                </c:pt>
                <c:pt idx="973">
                  <c:v>1693498</c:v>
                </c:pt>
                <c:pt idx="974">
                  <c:v>2034572</c:v>
                </c:pt>
                <c:pt idx="975">
                  <c:v>1840537</c:v>
                </c:pt>
                <c:pt idx="976">
                  <c:v>1225298</c:v>
                </c:pt>
                <c:pt idx="977">
                  <c:v>2259504</c:v>
                </c:pt>
                <c:pt idx="978">
                  <c:v>3375200</c:v>
                </c:pt>
                <c:pt idx="979">
                  <c:v>3375200</c:v>
                </c:pt>
                <c:pt idx="980">
                  <c:v>3375200</c:v>
                </c:pt>
                <c:pt idx="981">
                  <c:v>2317577</c:v>
                </c:pt>
                <c:pt idx="982">
                  <c:v>1830877</c:v>
                </c:pt>
                <c:pt idx="983">
                  <c:v>1766261</c:v>
                </c:pt>
                <c:pt idx="984">
                  <c:v>1554192</c:v>
                </c:pt>
                <c:pt idx="985">
                  <c:v>1554192</c:v>
                </c:pt>
                <c:pt idx="986">
                  <c:v>1554192</c:v>
                </c:pt>
                <c:pt idx="987">
                  <c:v>1554192</c:v>
                </c:pt>
                <c:pt idx="988">
                  <c:v>1484796</c:v>
                </c:pt>
                <c:pt idx="989">
                  <c:v>1631188</c:v>
                </c:pt>
                <c:pt idx="990">
                  <c:v>1139698</c:v>
                </c:pt>
                <c:pt idx="991">
                  <c:v>1639486</c:v>
                </c:pt>
                <c:pt idx="992">
                  <c:v>1639486</c:v>
                </c:pt>
                <c:pt idx="993">
                  <c:v>1639486</c:v>
                </c:pt>
                <c:pt idx="994">
                  <c:v>1639486</c:v>
                </c:pt>
                <c:pt idx="995">
                  <c:v>2399255</c:v>
                </c:pt>
                <c:pt idx="996">
                  <c:v>2756387</c:v>
                </c:pt>
                <c:pt idx="997">
                  <c:v>4081886</c:v>
                </c:pt>
                <c:pt idx="998">
                  <c:v>2355271</c:v>
                </c:pt>
                <c:pt idx="999">
                  <c:v>5194324</c:v>
                </c:pt>
                <c:pt idx="1000">
                  <c:v>5194324</c:v>
                </c:pt>
                <c:pt idx="1001">
                  <c:v>5194324</c:v>
                </c:pt>
                <c:pt idx="1002">
                  <c:v>3373406</c:v>
                </c:pt>
                <c:pt idx="1003">
                  <c:v>2749841</c:v>
                </c:pt>
                <c:pt idx="1004">
                  <c:v>3585150</c:v>
                </c:pt>
                <c:pt idx="1005">
                  <c:v>3017615</c:v>
                </c:pt>
                <c:pt idx="1006">
                  <c:v>2334478</c:v>
                </c:pt>
                <c:pt idx="1007">
                  <c:v>2334478</c:v>
                </c:pt>
                <c:pt idx="1008">
                  <c:v>2334478</c:v>
                </c:pt>
                <c:pt idx="1009">
                  <c:v>1585388</c:v>
                </c:pt>
                <c:pt idx="1010">
                  <c:v>2828743</c:v>
                </c:pt>
                <c:pt idx="1011">
                  <c:v>3097620</c:v>
                </c:pt>
                <c:pt idx="1012">
                  <c:v>2504481</c:v>
                </c:pt>
                <c:pt idx="1013">
                  <c:v>1759997</c:v>
                </c:pt>
                <c:pt idx="1014">
                  <c:v>1759997</c:v>
                </c:pt>
                <c:pt idx="1015">
                  <c:v>1759997</c:v>
                </c:pt>
                <c:pt idx="1016">
                  <c:v>2638443</c:v>
                </c:pt>
                <c:pt idx="1017">
                  <c:v>5173079</c:v>
                </c:pt>
                <c:pt idx="1018">
                  <c:v>2280770</c:v>
                </c:pt>
                <c:pt idx="1019">
                  <c:v>2755386</c:v>
                </c:pt>
                <c:pt idx="1020">
                  <c:v>1101944</c:v>
                </c:pt>
                <c:pt idx="1021">
                  <c:v>1101944</c:v>
                </c:pt>
                <c:pt idx="1022">
                  <c:v>1101944</c:v>
                </c:pt>
                <c:pt idx="1023">
                  <c:v>2405280</c:v>
                </c:pt>
                <c:pt idx="1024">
                  <c:v>2405280</c:v>
                </c:pt>
                <c:pt idx="1025">
                  <c:v>2962536</c:v>
                </c:pt>
                <c:pt idx="1026">
                  <c:v>2365469</c:v>
                </c:pt>
                <c:pt idx="1027">
                  <c:v>2499551</c:v>
                </c:pt>
                <c:pt idx="1028">
                  <c:v>2499551</c:v>
                </c:pt>
                <c:pt idx="1029">
                  <c:v>2499551</c:v>
                </c:pt>
                <c:pt idx="1030">
                  <c:v>4561638</c:v>
                </c:pt>
                <c:pt idx="1031">
                  <c:v>3864580</c:v>
                </c:pt>
                <c:pt idx="1032">
                  <c:v>6235236</c:v>
                </c:pt>
                <c:pt idx="1033">
                  <c:v>3945919</c:v>
                </c:pt>
                <c:pt idx="1034">
                  <c:v>5176484</c:v>
                </c:pt>
                <c:pt idx="1035">
                  <c:v>5176484</c:v>
                </c:pt>
                <c:pt idx="1036">
                  <c:v>5176484</c:v>
                </c:pt>
                <c:pt idx="1037">
                  <c:v>4923461</c:v>
                </c:pt>
                <c:pt idx="1038">
                  <c:v>4682778</c:v>
                </c:pt>
                <c:pt idx="1039">
                  <c:v>6285142</c:v>
                </c:pt>
                <c:pt idx="1040">
                  <c:v>3757786</c:v>
                </c:pt>
                <c:pt idx="1041">
                  <c:v>3334012</c:v>
                </c:pt>
                <c:pt idx="1042">
                  <c:v>3334012</c:v>
                </c:pt>
                <c:pt idx="1043">
                  <c:v>3334012</c:v>
                </c:pt>
                <c:pt idx="1044">
                  <c:v>3238902</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45951</c:v>
                </c:pt>
                <c:pt idx="1">
                  <c:v>45950</c:v>
                </c:pt>
                <c:pt idx="2">
                  <c:v>45949</c:v>
                </c:pt>
                <c:pt idx="3">
                  <c:v>45948</c:v>
                </c:pt>
                <c:pt idx="4">
                  <c:v>45947</c:v>
                </c:pt>
                <c:pt idx="5">
                  <c:v>45946</c:v>
                </c:pt>
                <c:pt idx="6">
                  <c:v>45945</c:v>
                </c:pt>
                <c:pt idx="7">
                  <c:v>45944</c:v>
                </c:pt>
                <c:pt idx="8">
                  <c:v>45943</c:v>
                </c:pt>
                <c:pt idx="9">
                  <c:v>45942</c:v>
                </c:pt>
                <c:pt idx="10">
                  <c:v>45941</c:v>
                </c:pt>
                <c:pt idx="11">
                  <c:v>45940</c:v>
                </c:pt>
                <c:pt idx="12">
                  <c:v>45939</c:v>
                </c:pt>
                <c:pt idx="13">
                  <c:v>45938</c:v>
                </c:pt>
                <c:pt idx="14">
                  <c:v>45937</c:v>
                </c:pt>
                <c:pt idx="15">
                  <c:v>45936</c:v>
                </c:pt>
                <c:pt idx="16">
                  <c:v>45935</c:v>
                </c:pt>
                <c:pt idx="17">
                  <c:v>45934</c:v>
                </c:pt>
                <c:pt idx="18">
                  <c:v>45933</c:v>
                </c:pt>
                <c:pt idx="19">
                  <c:v>45932</c:v>
                </c:pt>
                <c:pt idx="20">
                  <c:v>45931</c:v>
                </c:pt>
                <c:pt idx="21">
                  <c:v>45930</c:v>
                </c:pt>
                <c:pt idx="22">
                  <c:v>45929</c:v>
                </c:pt>
                <c:pt idx="23">
                  <c:v>45928</c:v>
                </c:pt>
                <c:pt idx="24">
                  <c:v>45927</c:v>
                </c:pt>
                <c:pt idx="25">
                  <c:v>45926</c:v>
                </c:pt>
                <c:pt idx="26">
                  <c:v>45925</c:v>
                </c:pt>
                <c:pt idx="27">
                  <c:v>45924</c:v>
                </c:pt>
                <c:pt idx="28">
                  <c:v>45923</c:v>
                </c:pt>
                <c:pt idx="29">
                  <c:v>45922</c:v>
                </c:pt>
                <c:pt idx="30">
                  <c:v>45921</c:v>
                </c:pt>
                <c:pt idx="31">
                  <c:v>45920</c:v>
                </c:pt>
                <c:pt idx="32">
                  <c:v>45919</c:v>
                </c:pt>
                <c:pt idx="33">
                  <c:v>45918</c:v>
                </c:pt>
                <c:pt idx="34">
                  <c:v>45917</c:v>
                </c:pt>
                <c:pt idx="35">
                  <c:v>45916</c:v>
                </c:pt>
                <c:pt idx="36">
                  <c:v>45915</c:v>
                </c:pt>
                <c:pt idx="37">
                  <c:v>45914</c:v>
                </c:pt>
                <c:pt idx="38">
                  <c:v>45913</c:v>
                </c:pt>
                <c:pt idx="39">
                  <c:v>45912</c:v>
                </c:pt>
                <c:pt idx="40">
                  <c:v>45911</c:v>
                </c:pt>
                <c:pt idx="41">
                  <c:v>45910</c:v>
                </c:pt>
                <c:pt idx="42">
                  <c:v>45909</c:v>
                </c:pt>
                <c:pt idx="43">
                  <c:v>45908</c:v>
                </c:pt>
                <c:pt idx="44">
                  <c:v>45907</c:v>
                </c:pt>
                <c:pt idx="45">
                  <c:v>45906</c:v>
                </c:pt>
                <c:pt idx="46">
                  <c:v>45905</c:v>
                </c:pt>
                <c:pt idx="47">
                  <c:v>45904</c:v>
                </c:pt>
                <c:pt idx="48">
                  <c:v>45903</c:v>
                </c:pt>
                <c:pt idx="49">
                  <c:v>45902</c:v>
                </c:pt>
                <c:pt idx="50">
                  <c:v>45901</c:v>
                </c:pt>
                <c:pt idx="51">
                  <c:v>45900</c:v>
                </c:pt>
                <c:pt idx="52">
                  <c:v>45899</c:v>
                </c:pt>
                <c:pt idx="53">
                  <c:v>45898</c:v>
                </c:pt>
                <c:pt idx="54">
                  <c:v>45897</c:v>
                </c:pt>
                <c:pt idx="55">
                  <c:v>45896</c:v>
                </c:pt>
                <c:pt idx="56">
                  <c:v>45895</c:v>
                </c:pt>
                <c:pt idx="57">
                  <c:v>45894</c:v>
                </c:pt>
                <c:pt idx="58">
                  <c:v>45893</c:v>
                </c:pt>
                <c:pt idx="59">
                  <c:v>45892</c:v>
                </c:pt>
                <c:pt idx="60">
                  <c:v>45891</c:v>
                </c:pt>
                <c:pt idx="61">
                  <c:v>45890</c:v>
                </c:pt>
                <c:pt idx="62">
                  <c:v>45889</c:v>
                </c:pt>
                <c:pt idx="63">
                  <c:v>45888</c:v>
                </c:pt>
                <c:pt idx="64">
                  <c:v>45887</c:v>
                </c:pt>
                <c:pt idx="65">
                  <c:v>45886</c:v>
                </c:pt>
                <c:pt idx="66">
                  <c:v>45885</c:v>
                </c:pt>
                <c:pt idx="67">
                  <c:v>45884</c:v>
                </c:pt>
                <c:pt idx="68">
                  <c:v>45883</c:v>
                </c:pt>
                <c:pt idx="69">
                  <c:v>45882</c:v>
                </c:pt>
                <c:pt idx="70">
                  <c:v>45881</c:v>
                </c:pt>
                <c:pt idx="71">
                  <c:v>45880</c:v>
                </c:pt>
                <c:pt idx="72">
                  <c:v>45879</c:v>
                </c:pt>
                <c:pt idx="73">
                  <c:v>45878</c:v>
                </c:pt>
                <c:pt idx="74">
                  <c:v>45877</c:v>
                </c:pt>
                <c:pt idx="75">
                  <c:v>45876</c:v>
                </c:pt>
                <c:pt idx="76">
                  <c:v>45875</c:v>
                </c:pt>
                <c:pt idx="77">
                  <c:v>45874</c:v>
                </c:pt>
                <c:pt idx="78">
                  <c:v>45873</c:v>
                </c:pt>
                <c:pt idx="79">
                  <c:v>45872</c:v>
                </c:pt>
                <c:pt idx="80">
                  <c:v>45871</c:v>
                </c:pt>
                <c:pt idx="81">
                  <c:v>45870</c:v>
                </c:pt>
                <c:pt idx="82">
                  <c:v>45869</c:v>
                </c:pt>
                <c:pt idx="83">
                  <c:v>45868</c:v>
                </c:pt>
                <c:pt idx="84">
                  <c:v>45867</c:v>
                </c:pt>
                <c:pt idx="85">
                  <c:v>45866</c:v>
                </c:pt>
                <c:pt idx="86">
                  <c:v>45865</c:v>
                </c:pt>
                <c:pt idx="87">
                  <c:v>45864</c:v>
                </c:pt>
                <c:pt idx="88">
                  <c:v>45863</c:v>
                </c:pt>
                <c:pt idx="89">
                  <c:v>45862</c:v>
                </c:pt>
                <c:pt idx="90">
                  <c:v>45861</c:v>
                </c:pt>
                <c:pt idx="91">
                  <c:v>45860</c:v>
                </c:pt>
                <c:pt idx="92">
                  <c:v>45859</c:v>
                </c:pt>
                <c:pt idx="93">
                  <c:v>45858</c:v>
                </c:pt>
                <c:pt idx="94">
                  <c:v>45857</c:v>
                </c:pt>
                <c:pt idx="95">
                  <c:v>45856</c:v>
                </c:pt>
                <c:pt idx="96">
                  <c:v>45855</c:v>
                </c:pt>
                <c:pt idx="97">
                  <c:v>45854</c:v>
                </c:pt>
                <c:pt idx="98">
                  <c:v>45853</c:v>
                </c:pt>
                <c:pt idx="99">
                  <c:v>45852</c:v>
                </c:pt>
                <c:pt idx="100">
                  <c:v>45851</c:v>
                </c:pt>
                <c:pt idx="101">
                  <c:v>45850</c:v>
                </c:pt>
                <c:pt idx="102">
                  <c:v>45849</c:v>
                </c:pt>
                <c:pt idx="103">
                  <c:v>45848</c:v>
                </c:pt>
                <c:pt idx="104">
                  <c:v>45847</c:v>
                </c:pt>
                <c:pt idx="105">
                  <c:v>45846</c:v>
                </c:pt>
                <c:pt idx="106">
                  <c:v>45845</c:v>
                </c:pt>
                <c:pt idx="107">
                  <c:v>45844</c:v>
                </c:pt>
                <c:pt idx="108">
                  <c:v>45843</c:v>
                </c:pt>
                <c:pt idx="109">
                  <c:v>45842</c:v>
                </c:pt>
                <c:pt idx="110">
                  <c:v>45841</c:v>
                </c:pt>
                <c:pt idx="111">
                  <c:v>45840</c:v>
                </c:pt>
                <c:pt idx="112">
                  <c:v>45839</c:v>
                </c:pt>
                <c:pt idx="113">
                  <c:v>45838</c:v>
                </c:pt>
                <c:pt idx="114">
                  <c:v>45837</c:v>
                </c:pt>
                <c:pt idx="115">
                  <c:v>45836</c:v>
                </c:pt>
                <c:pt idx="116">
                  <c:v>45835</c:v>
                </c:pt>
                <c:pt idx="117">
                  <c:v>45834</c:v>
                </c:pt>
                <c:pt idx="118">
                  <c:v>45833</c:v>
                </c:pt>
                <c:pt idx="119">
                  <c:v>45832</c:v>
                </c:pt>
                <c:pt idx="120">
                  <c:v>45831</c:v>
                </c:pt>
                <c:pt idx="121">
                  <c:v>45830</c:v>
                </c:pt>
                <c:pt idx="122">
                  <c:v>45829</c:v>
                </c:pt>
                <c:pt idx="123">
                  <c:v>45828</c:v>
                </c:pt>
                <c:pt idx="124">
                  <c:v>45827</c:v>
                </c:pt>
                <c:pt idx="125">
                  <c:v>45826</c:v>
                </c:pt>
                <c:pt idx="126">
                  <c:v>45825</c:v>
                </c:pt>
                <c:pt idx="127">
                  <c:v>45824</c:v>
                </c:pt>
                <c:pt idx="128">
                  <c:v>45823</c:v>
                </c:pt>
                <c:pt idx="129">
                  <c:v>45822</c:v>
                </c:pt>
                <c:pt idx="130">
                  <c:v>45821</c:v>
                </c:pt>
                <c:pt idx="131">
                  <c:v>45820</c:v>
                </c:pt>
                <c:pt idx="132">
                  <c:v>45819</c:v>
                </c:pt>
                <c:pt idx="133">
                  <c:v>45818</c:v>
                </c:pt>
                <c:pt idx="134">
                  <c:v>45817</c:v>
                </c:pt>
                <c:pt idx="135">
                  <c:v>45816</c:v>
                </c:pt>
                <c:pt idx="136">
                  <c:v>45815</c:v>
                </c:pt>
                <c:pt idx="137">
                  <c:v>45814</c:v>
                </c:pt>
                <c:pt idx="138">
                  <c:v>45813</c:v>
                </c:pt>
                <c:pt idx="139">
                  <c:v>45812</c:v>
                </c:pt>
                <c:pt idx="140">
                  <c:v>45811</c:v>
                </c:pt>
                <c:pt idx="141">
                  <c:v>45810</c:v>
                </c:pt>
                <c:pt idx="142">
                  <c:v>45809</c:v>
                </c:pt>
                <c:pt idx="143">
                  <c:v>45808</c:v>
                </c:pt>
                <c:pt idx="144">
                  <c:v>45807</c:v>
                </c:pt>
                <c:pt idx="145">
                  <c:v>45806</c:v>
                </c:pt>
                <c:pt idx="146">
                  <c:v>45805</c:v>
                </c:pt>
                <c:pt idx="147">
                  <c:v>45804</c:v>
                </c:pt>
                <c:pt idx="148">
                  <c:v>45803</c:v>
                </c:pt>
                <c:pt idx="149">
                  <c:v>45802</c:v>
                </c:pt>
                <c:pt idx="150">
                  <c:v>45801</c:v>
                </c:pt>
                <c:pt idx="151">
                  <c:v>45800</c:v>
                </c:pt>
                <c:pt idx="152">
                  <c:v>45799</c:v>
                </c:pt>
                <c:pt idx="153">
                  <c:v>45798</c:v>
                </c:pt>
                <c:pt idx="154">
                  <c:v>45797</c:v>
                </c:pt>
                <c:pt idx="155">
                  <c:v>45796</c:v>
                </c:pt>
                <c:pt idx="156">
                  <c:v>45795</c:v>
                </c:pt>
                <c:pt idx="157">
                  <c:v>45794</c:v>
                </c:pt>
                <c:pt idx="158">
                  <c:v>45793</c:v>
                </c:pt>
                <c:pt idx="159">
                  <c:v>45792</c:v>
                </c:pt>
                <c:pt idx="160">
                  <c:v>45791</c:v>
                </c:pt>
                <c:pt idx="161">
                  <c:v>45790</c:v>
                </c:pt>
                <c:pt idx="162">
                  <c:v>45789</c:v>
                </c:pt>
                <c:pt idx="163">
                  <c:v>45788</c:v>
                </c:pt>
                <c:pt idx="164">
                  <c:v>45787</c:v>
                </c:pt>
                <c:pt idx="165">
                  <c:v>45786</c:v>
                </c:pt>
                <c:pt idx="166">
                  <c:v>45785</c:v>
                </c:pt>
                <c:pt idx="167">
                  <c:v>45784</c:v>
                </c:pt>
                <c:pt idx="168">
                  <c:v>45783</c:v>
                </c:pt>
                <c:pt idx="169">
                  <c:v>45782</c:v>
                </c:pt>
                <c:pt idx="170">
                  <c:v>45781</c:v>
                </c:pt>
                <c:pt idx="171">
                  <c:v>45780</c:v>
                </c:pt>
                <c:pt idx="172">
                  <c:v>45779</c:v>
                </c:pt>
                <c:pt idx="173">
                  <c:v>45778</c:v>
                </c:pt>
                <c:pt idx="174">
                  <c:v>45777</c:v>
                </c:pt>
                <c:pt idx="175">
                  <c:v>45776</c:v>
                </c:pt>
                <c:pt idx="176">
                  <c:v>45775</c:v>
                </c:pt>
                <c:pt idx="177">
                  <c:v>45774</c:v>
                </c:pt>
                <c:pt idx="178">
                  <c:v>45773</c:v>
                </c:pt>
                <c:pt idx="179">
                  <c:v>45772</c:v>
                </c:pt>
                <c:pt idx="180">
                  <c:v>45771</c:v>
                </c:pt>
                <c:pt idx="181">
                  <c:v>45770</c:v>
                </c:pt>
                <c:pt idx="182">
                  <c:v>45769</c:v>
                </c:pt>
                <c:pt idx="183">
                  <c:v>45768</c:v>
                </c:pt>
                <c:pt idx="184">
                  <c:v>45767</c:v>
                </c:pt>
                <c:pt idx="185">
                  <c:v>45766</c:v>
                </c:pt>
                <c:pt idx="186">
                  <c:v>45765</c:v>
                </c:pt>
                <c:pt idx="187">
                  <c:v>45764</c:v>
                </c:pt>
                <c:pt idx="188">
                  <c:v>45763</c:v>
                </c:pt>
                <c:pt idx="189">
                  <c:v>45762</c:v>
                </c:pt>
                <c:pt idx="190">
                  <c:v>45761</c:v>
                </c:pt>
                <c:pt idx="191">
                  <c:v>45760</c:v>
                </c:pt>
                <c:pt idx="192">
                  <c:v>45759</c:v>
                </c:pt>
                <c:pt idx="193">
                  <c:v>45758</c:v>
                </c:pt>
                <c:pt idx="194">
                  <c:v>45757</c:v>
                </c:pt>
                <c:pt idx="195">
                  <c:v>45756</c:v>
                </c:pt>
                <c:pt idx="196">
                  <c:v>45755</c:v>
                </c:pt>
                <c:pt idx="197">
                  <c:v>45754</c:v>
                </c:pt>
                <c:pt idx="198">
                  <c:v>45753</c:v>
                </c:pt>
                <c:pt idx="199">
                  <c:v>45752</c:v>
                </c:pt>
                <c:pt idx="200">
                  <c:v>45751</c:v>
                </c:pt>
                <c:pt idx="201">
                  <c:v>45750</c:v>
                </c:pt>
                <c:pt idx="202">
                  <c:v>45749</c:v>
                </c:pt>
                <c:pt idx="203">
                  <c:v>45748</c:v>
                </c:pt>
                <c:pt idx="204">
                  <c:v>45747</c:v>
                </c:pt>
                <c:pt idx="205">
                  <c:v>45746</c:v>
                </c:pt>
                <c:pt idx="206">
                  <c:v>45745</c:v>
                </c:pt>
                <c:pt idx="207">
                  <c:v>45744</c:v>
                </c:pt>
                <c:pt idx="208">
                  <c:v>45743</c:v>
                </c:pt>
                <c:pt idx="209">
                  <c:v>45742</c:v>
                </c:pt>
                <c:pt idx="210">
                  <c:v>45741</c:v>
                </c:pt>
                <c:pt idx="211">
                  <c:v>45740</c:v>
                </c:pt>
                <c:pt idx="212">
                  <c:v>45739</c:v>
                </c:pt>
                <c:pt idx="213">
                  <c:v>45738</c:v>
                </c:pt>
                <c:pt idx="214">
                  <c:v>45737</c:v>
                </c:pt>
                <c:pt idx="215">
                  <c:v>45736</c:v>
                </c:pt>
                <c:pt idx="216">
                  <c:v>45735</c:v>
                </c:pt>
                <c:pt idx="217">
                  <c:v>45734</c:v>
                </c:pt>
                <c:pt idx="218">
                  <c:v>45733</c:v>
                </c:pt>
                <c:pt idx="219">
                  <c:v>45732</c:v>
                </c:pt>
                <c:pt idx="220">
                  <c:v>45731</c:v>
                </c:pt>
                <c:pt idx="221">
                  <c:v>45730</c:v>
                </c:pt>
                <c:pt idx="222">
                  <c:v>45729</c:v>
                </c:pt>
                <c:pt idx="223">
                  <c:v>45728</c:v>
                </c:pt>
                <c:pt idx="224">
                  <c:v>45727</c:v>
                </c:pt>
                <c:pt idx="225">
                  <c:v>45726</c:v>
                </c:pt>
                <c:pt idx="226">
                  <c:v>45725</c:v>
                </c:pt>
                <c:pt idx="227">
                  <c:v>45724</c:v>
                </c:pt>
                <c:pt idx="228">
                  <c:v>45723</c:v>
                </c:pt>
                <c:pt idx="229">
                  <c:v>45722</c:v>
                </c:pt>
                <c:pt idx="230">
                  <c:v>45721</c:v>
                </c:pt>
                <c:pt idx="231">
                  <c:v>45720</c:v>
                </c:pt>
                <c:pt idx="232">
                  <c:v>45719</c:v>
                </c:pt>
                <c:pt idx="233">
                  <c:v>45718</c:v>
                </c:pt>
                <c:pt idx="234">
                  <c:v>45717</c:v>
                </c:pt>
                <c:pt idx="235">
                  <c:v>45716</c:v>
                </c:pt>
                <c:pt idx="236">
                  <c:v>45715</c:v>
                </c:pt>
                <c:pt idx="237">
                  <c:v>45714</c:v>
                </c:pt>
                <c:pt idx="238">
                  <c:v>45713</c:v>
                </c:pt>
                <c:pt idx="239">
                  <c:v>45712</c:v>
                </c:pt>
                <c:pt idx="240">
                  <c:v>45711</c:v>
                </c:pt>
                <c:pt idx="241">
                  <c:v>45710</c:v>
                </c:pt>
                <c:pt idx="242">
                  <c:v>45709</c:v>
                </c:pt>
                <c:pt idx="243">
                  <c:v>45708</c:v>
                </c:pt>
                <c:pt idx="244">
                  <c:v>45707</c:v>
                </c:pt>
                <c:pt idx="245">
                  <c:v>45706</c:v>
                </c:pt>
                <c:pt idx="246">
                  <c:v>45705</c:v>
                </c:pt>
                <c:pt idx="247">
                  <c:v>45704</c:v>
                </c:pt>
                <c:pt idx="248">
                  <c:v>45703</c:v>
                </c:pt>
                <c:pt idx="249">
                  <c:v>45702</c:v>
                </c:pt>
                <c:pt idx="250">
                  <c:v>45701</c:v>
                </c:pt>
                <c:pt idx="251">
                  <c:v>45700</c:v>
                </c:pt>
                <c:pt idx="252">
                  <c:v>45699</c:v>
                </c:pt>
                <c:pt idx="253">
                  <c:v>45698</c:v>
                </c:pt>
                <c:pt idx="254">
                  <c:v>45697</c:v>
                </c:pt>
                <c:pt idx="255">
                  <c:v>45696</c:v>
                </c:pt>
                <c:pt idx="256">
                  <c:v>45695</c:v>
                </c:pt>
                <c:pt idx="257">
                  <c:v>45694</c:v>
                </c:pt>
                <c:pt idx="258">
                  <c:v>45693</c:v>
                </c:pt>
                <c:pt idx="259">
                  <c:v>45692</c:v>
                </c:pt>
                <c:pt idx="260">
                  <c:v>45691</c:v>
                </c:pt>
                <c:pt idx="261">
                  <c:v>45690</c:v>
                </c:pt>
                <c:pt idx="262">
                  <c:v>45689</c:v>
                </c:pt>
                <c:pt idx="263">
                  <c:v>45688</c:v>
                </c:pt>
                <c:pt idx="264">
                  <c:v>45687</c:v>
                </c:pt>
                <c:pt idx="265">
                  <c:v>45686</c:v>
                </c:pt>
                <c:pt idx="266">
                  <c:v>45685</c:v>
                </c:pt>
                <c:pt idx="267">
                  <c:v>45684</c:v>
                </c:pt>
                <c:pt idx="268">
                  <c:v>45683</c:v>
                </c:pt>
                <c:pt idx="269">
                  <c:v>45682</c:v>
                </c:pt>
                <c:pt idx="270">
                  <c:v>45681</c:v>
                </c:pt>
                <c:pt idx="271">
                  <c:v>45680</c:v>
                </c:pt>
                <c:pt idx="272">
                  <c:v>45679</c:v>
                </c:pt>
                <c:pt idx="273">
                  <c:v>45678</c:v>
                </c:pt>
                <c:pt idx="274">
                  <c:v>45677</c:v>
                </c:pt>
                <c:pt idx="275">
                  <c:v>45676</c:v>
                </c:pt>
                <c:pt idx="276">
                  <c:v>45675</c:v>
                </c:pt>
                <c:pt idx="277">
                  <c:v>45674</c:v>
                </c:pt>
                <c:pt idx="278">
                  <c:v>45673</c:v>
                </c:pt>
                <c:pt idx="279">
                  <c:v>45672</c:v>
                </c:pt>
                <c:pt idx="280">
                  <c:v>45671</c:v>
                </c:pt>
                <c:pt idx="281">
                  <c:v>45670</c:v>
                </c:pt>
                <c:pt idx="282">
                  <c:v>45669</c:v>
                </c:pt>
                <c:pt idx="283">
                  <c:v>45668</c:v>
                </c:pt>
                <c:pt idx="284">
                  <c:v>45667</c:v>
                </c:pt>
                <c:pt idx="285">
                  <c:v>45666</c:v>
                </c:pt>
                <c:pt idx="286">
                  <c:v>45665</c:v>
                </c:pt>
                <c:pt idx="287">
                  <c:v>45664</c:v>
                </c:pt>
                <c:pt idx="288">
                  <c:v>45663</c:v>
                </c:pt>
                <c:pt idx="289">
                  <c:v>45662</c:v>
                </c:pt>
                <c:pt idx="290">
                  <c:v>45661</c:v>
                </c:pt>
                <c:pt idx="291">
                  <c:v>45660</c:v>
                </c:pt>
                <c:pt idx="292">
                  <c:v>45659</c:v>
                </c:pt>
                <c:pt idx="293">
                  <c:v>45658</c:v>
                </c:pt>
                <c:pt idx="294">
                  <c:v>45657</c:v>
                </c:pt>
                <c:pt idx="295">
                  <c:v>45656</c:v>
                </c:pt>
                <c:pt idx="296">
                  <c:v>45655</c:v>
                </c:pt>
                <c:pt idx="297">
                  <c:v>45654</c:v>
                </c:pt>
                <c:pt idx="298">
                  <c:v>45653</c:v>
                </c:pt>
                <c:pt idx="299">
                  <c:v>45652</c:v>
                </c:pt>
                <c:pt idx="300">
                  <c:v>45651</c:v>
                </c:pt>
                <c:pt idx="301">
                  <c:v>45650</c:v>
                </c:pt>
                <c:pt idx="302">
                  <c:v>45649</c:v>
                </c:pt>
                <c:pt idx="303">
                  <c:v>45648</c:v>
                </c:pt>
                <c:pt idx="304">
                  <c:v>45647</c:v>
                </c:pt>
                <c:pt idx="305">
                  <c:v>45646</c:v>
                </c:pt>
                <c:pt idx="306">
                  <c:v>45645</c:v>
                </c:pt>
                <c:pt idx="307">
                  <c:v>45644</c:v>
                </c:pt>
                <c:pt idx="308">
                  <c:v>45643</c:v>
                </c:pt>
                <c:pt idx="309">
                  <c:v>45642</c:v>
                </c:pt>
                <c:pt idx="310">
                  <c:v>45641</c:v>
                </c:pt>
                <c:pt idx="311">
                  <c:v>45640</c:v>
                </c:pt>
                <c:pt idx="312">
                  <c:v>45639</c:v>
                </c:pt>
                <c:pt idx="313">
                  <c:v>45638</c:v>
                </c:pt>
                <c:pt idx="314">
                  <c:v>45637</c:v>
                </c:pt>
                <c:pt idx="315">
                  <c:v>45636</c:v>
                </c:pt>
                <c:pt idx="316">
                  <c:v>45635</c:v>
                </c:pt>
                <c:pt idx="317">
                  <c:v>45634</c:v>
                </c:pt>
                <c:pt idx="318">
                  <c:v>45633</c:v>
                </c:pt>
                <c:pt idx="319">
                  <c:v>45632</c:v>
                </c:pt>
                <c:pt idx="320">
                  <c:v>45631</c:v>
                </c:pt>
                <c:pt idx="321">
                  <c:v>45630</c:v>
                </c:pt>
                <c:pt idx="322">
                  <c:v>45629</c:v>
                </c:pt>
                <c:pt idx="323">
                  <c:v>45628</c:v>
                </c:pt>
                <c:pt idx="324">
                  <c:v>45627</c:v>
                </c:pt>
                <c:pt idx="325">
                  <c:v>45626</c:v>
                </c:pt>
                <c:pt idx="326">
                  <c:v>45625</c:v>
                </c:pt>
                <c:pt idx="327">
                  <c:v>45624</c:v>
                </c:pt>
                <c:pt idx="328">
                  <c:v>45623</c:v>
                </c:pt>
                <c:pt idx="329">
                  <c:v>45622</c:v>
                </c:pt>
                <c:pt idx="330">
                  <c:v>45621</c:v>
                </c:pt>
                <c:pt idx="331">
                  <c:v>45620</c:v>
                </c:pt>
                <c:pt idx="332">
                  <c:v>45619</c:v>
                </c:pt>
                <c:pt idx="333">
                  <c:v>45618</c:v>
                </c:pt>
                <c:pt idx="334">
                  <c:v>45617</c:v>
                </c:pt>
                <c:pt idx="335">
                  <c:v>45616</c:v>
                </c:pt>
                <c:pt idx="336">
                  <c:v>45615</c:v>
                </c:pt>
                <c:pt idx="337">
                  <c:v>45614</c:v>
                </c:pt>
                <c:pt idx="338">
                  <c:v>45613</c:v>
                </c:pt>
                <c:pt idx="339">
                  <c:v>45612</c:v>
                </c:pt>
                <c:pt idx="340">
                  <c:v>45611</c:v>
                </c:pt>
                <c:pt idx="341">
                  <c:v>45610</c:v>
                </c:pt>
                <c:pt idx="342">
                  <c:v>45609</c:v>
                </c:pt>
                <c:pt idx="343">
                  <c:v>45608</c:v>
                </c:pt>
                <c:pt idx="344">
                  <c:v>45607</c:v>
                </c:pt>
                <c:pt idx="345">
                  <c:v>45606</c:v>
                </c:pt>
                <c:pt idx="346">
                  <c:v>45605</c:v>
                </c:pt>
                <c:pt idx="347">
                  <c:v>45604</c:v>
                </c:pt>
                <c:pt idx="348">
                  <c:v>45603</c:v>
                </c:pt>
                <c:pt idx="349">
                  <c:v>45602</c:v>
                </c:pt>
                <c:pt idx="350">
                  <c:v>45601</c:v>
                </c:pt>
                <c:pt idx="351">
                  <c:v>45600</c:v>
                </c:pt>
                <c:pt idx="352">
                  <c:v>45599</c:v>
                </c:pt>
                <c:pt idx="353">
                  <c:v>45598</c:v>
                </c:pt>
                <c:pt idx="354">
                  <c:v>45597</c:v>
                </c:pt>
                <c:pt idx="355">
                  <c:v>45596</c:v>
                </c:pt>
                <c:pt idx="356">
                  <c:v>45595</c:v>
                </c:pt>
                <c:pt idx="357">
                  <c:v>45594</c:v>
                </c:pt>
                <c:pt idx="358">
                  <c:v>45593</c:v>
                </c:pt>
                <c:pt idx="359">
                  <c:v>45592</c:v>
                </c:pt>
                <c:pt idx="360">
                  <c:v>45591</c:v>
                </c:pt>
                <c:pt idx="361">
                  <c:v>45590</c:v>
                </c:pt>
                <c:pt idx="362">
                  <c:v>45589</c:v>
                </c:pt>
                <c:pt idx="363">
                  <c:v>45588</c:v>
                </c:pt>
                <c:pt idx="364">
                  <c:v>45587</c:v>
                </c:pt>
                <c:pt idx="365">
                  <c:v>45586</c:v>
                </c:pt>
                <c:pt idx="366">
                  <c:v>45585</c:v>
                </c:pt>
                <c:pt idx="367">
                  <c:v>45584</c:v>
                </c:pt>
                <c:pt idx="368">
                  <c:v>45583</c:v>
                </c:pt>
                <c:pt idx="369">
                  <c:v>45582</c:v>
                </c:pt>
                <c:pt idx="370">
                  <c:v>45581</c:v>
                </c:pt>
                <c:pt idx="371">
                  <c:v>45580</c:v>
                </c:pt>
                <c:pt idx="372">
                  <c:v>45579</c:v>
                </c:pt>
                <c:pt idx="373">
                  <c:v>45578</c:v>
                </c:pt>
                <c:pt idx="374">
                  <c:v>45577</c:v>
                </c:pt>
                <c:pt idx="375">
                  <c:v>45576</c:v>
                </c:pt>
                <c:pt idx="376">
                  <c:v>45575</c:v>
                </c:pt>
                <c:pt idx="377">
                  <c:v>45574</c:v>
                </c:pt>
                <c:pt idx="378">
                  <c:v>45573</c:v>
                </c:pt>
                <c:pt idx="379">
                  <c:v>45572</c:v>
                </c:pt>
                <c:pt idx="380">
                  <c:v>45571</c:v>
                </c:pt>
                <c:pt idx="381">
                  <c:v>45570</c:v>
                </c:pt>
                <c:pt idx="382">
                  <c:v>45569</c:v>
                </c:pt>
                <c:pt idx="383">
                  <c:v>45568</c:v>
                </c:pt>
                <c:pt idx="384">
                  <c:v>45567</c:v>
                </c:pt>
                <c:pt idx="385">
                  <c:v>45566</c:v>
                </c:pt>
                <c:pt idx="386">
                  <c:v>45565</c:v>
                </c:pt>
                <c:pt idx="387">
                  <c:v>45564</c:v>
                </c:pt>
                <c:pt idx="388">
                  <c:v>45563</c:v>
                </c:pt>
                <c:pt idx="389">
                  <c:v>45562</c:v>
                </c:pt>
                <c:pt idx="390">
                  <c:v>45561</c:v>
                </c:pt>
                <c:pt idx="391">
                  <c:v>45560</c:v>
                </c:pt>
                <c:pt idx="392">
                  <c:v>45559</c:v>
                </c:pt>
                <c:pt idx="393">
                  <c:v>45558</c:v>
                </c:pt>
                <c:pt idx="394">
                  <c:v>45557</c:v>
                </c:pt>
                <c:pt idx="395">
                  <c:v>45556</c:v>
                </c:pt>
                <c:pt idx="396">
                  <c:v>45555</c:v>
                </c:pt>
                <c:pt idx="397">
                  <c:v>45554</c:v>
                </c:pt>
                <c:pt idx="398">
                  <c:v>45553</c:v>
                </c:pt>
                <c:pt idx="399">
                  <c:v>45552</c:v>
                </c:pt>
                <c:pt idx="400">
                  <c:v>45551</c:v>
                </c:pt>
                <c:pt idx="401">
                  <c:v>45550</c:v>
                </c:pt>
                <c:pt idx="402">
                  <c:v>45549</c:v>
                </c:pt>
                <c:pt idx="403">
                  <c:v>45548</c:v>
                </c:pt>
                <c:pt idx="404">
                  <c:v>45547</c:v>
                </c:pt>
                <c:pt idx="405">
                  <c:v>45546</c:v>
                </c:pt>
                <c:pt idx="406">
                  <c:v>45545</c:v>
                </c:pt>
                <c:pt idx="407">
                  <c:v>45544</c:v>
                </c:pt>
                <c:pt idx="408">
                  <c:v>45543</c:v>
                </c:pt>
                <c:pt idx="409">
                  <c:v>45542</c:v>
                </c:pt>
                <c:pt idx="410">
                  <c:v>45541</c:v>
                </c:pt>
                <c:pt idx="411">
                  <c:v>45540</c:v>
                </c:pt>
                <c:pt idx="412">
                  <c:v>45539</c:v>
                </c:pt>
                <c:pt idx="413">
                  <c:v>45538</c:v>
                </c:pt>
                <c:pt idx="414">
                  <c:v>45537</c:v>
                </c:pt>
                <c:pt idx="415">
                  <c:v>45536</c:v>
                </c:pt>
                <c:pt idx="416">
                  <c:v>45535</c:v>
                </c:pt>
                <c:pt idx="417">
                  <c:v>45534</c:v>
                </c:pt>
                <c:pt idx="418">
                  <c:v>45533</c:v>
                </c:pt>
                <c:pt idx="419">
                  <c:v>45532</c:v>
                </c:pt>
                <c:pt idx="420">
                  <c:v>45531</c:v>
                </c:pt>
                <c:pt idx="421">
                  <c:v>45530</c:v>
                </c:pt>
                <c:pt idx="422">
                  <c:v>45529</c:v>
                </c:pt>
                <c:pt idx="423">
                  <c:v>45528</c:v>
                </c:pt>
                <c:pt idx="424">
                  <c:v>45527</c:v>
                </c:pt>
                <c:pt idx="425">
                  <c:v>45526</c:v>
                </c:pt>
                <c:pt idx="426">
                  <c:v>45525</c:v>
                </c:pt>
                <c:pt idx="427">
                  <c:v>45524</c:v>
                </c:pt>
                <c:pt idx="428">
                  <c:v>45523</c:v>
                </c:pt>
                <c:pt idx="429">
                  <c:v>45522</c:v>
                </c:pt>
                <c:pt idx="430">
                  <c:v>45521</c:v>
                </c:pt>
                <c:pt idx="431">
                  <c:v>45520</c:v>
                </c:pt>
                <c:pt idx="432">
                  <c:v>45519</c:v>
                </c:pt>
                <c:pt idx="433">
                  <c:v>45518</c:v>
                </c:pt>
                <c:pt idx="434">
                  <c:v>45517</c:v>
                </c:pt>
                <c:pt idx="435">
                  <c:v>45516</c:v>
                </c:pt>
                <c:pt idx="436">
                  <c:v>45515</c:v>
                </c:pt>
                <c:pt idx="437">
                  <c:v>45514</c:v>
                </c:pt>
                <c:pt idx="438">
                  <c:v>45513</c:v>
                </c:pt>
                <c:pt idx="439">
                  <c:v>45512</c:v>
                </c:pt>
                <c:pt idx="440">
                  <c:v>45511</c:v>
                </c:pt>
                <c:pt idx="441">
                  <c:v>45510</c:v>
                </c:pt>
                <c:pt idx="442">
                  <c:v>45509</c:v>
                </c:pt>
                <c:pt idx="443">
                  <c:v>45508</c:v>
                </c:pt>
                <c:pt idx="444">
                  <c:v>45507</c:v>
                </c:pt>
                <c:pt idx="445">
                  <c:v>45506</c:v>
                </c:pt>
                <c:pt idx="446">
                  <c:v>45505</c:v>
                </c:pt>
                <c:pt idx="447">
                  <c:v>45504</c:v>
                </c:pt>
                <c:pt idx="448">
                  <c:v>45503</c:v>
                </c:pt>
                <c:pt idx="449">
                  <c:v>45502</c:v>
                </c:pt>
                <c:pt idx="450">
                  <c:v>45501</c:v>
                </c:pt>
                <c:pt idx="451">
                  <c:v>45500</c:v>
                </c:pt>
                <c:pt idx="452">
                  <c:v>45499</c:v>
                </c:pt>
                <c:pt idx="453">
                  <c:v>45498</c:v>
                </c:pt>
                <c:pt idx="454">
                  <c:v>45497</c:v>
                </c:pt>
                <c:pt idx="455">
                  <c:v>45496</c:v>
                </c:pt>
                <c:pt idx="456">
                  <c:v>45495</c:v>
                </c:pt>
                <c:pt idx="457">
                  <c:v>45494</c:v>
                </c:pt>
                <c:pt idx="458">
                  <c:v>45493</c:v>
                </c:pt>
                <c:pt idx="459">
                  <c:v>45492</c:v>
                </c:pt>
                <c:pt idx="460">
                  <c:v>45491</c:v>
                </c:pt>
                <c:pt idx="461">
                  <c:v>45490</c:v>
                </c:pt>
                <c:pt idx="462">
                  <c:v>45489</c:v>
                </c:pt>
                <c:pt idx="463">
                  <c:v>45488</c:v>
                </c:pt>
                <c:pt idx="464">
                  <c:v>45487</c:v>
                </c:pt>
                <c:pt idx="465">
                  <c:v>45486</c:v>
                </c:pt>
                <c:pt idx="466">
                  <c:v>45485</c:v>
                </c:pt>
                <c:pt idx="467">
                  <c:v>45484</c:v>
                </c:pt>
                <c:pt idx="468">
                  <c:v>45483</c:v>
                </c:pt>
                <c:pt idx="469">
                  <c:v>45482</c:v>
                </c:pt>
                <c:pt idx="470">
                  <c:v>45481</c:v>
                </c:pt>
                <c:pt idx="471">
                  <c:v>45480</c:v>
                </c:pt>
                <c:pt idx="472">
                  <c:v>45479</c:v>
                </c:pt>
                <c:pt idx="473">
                  <c:v>45478</c:v>
                </c:pt>
                <c:pt idx="474">
                  <c:v>45477</c:v>
                </c:pt>
                <c:pt idx="475">
                  <c:v>45476</c:v>
                </c:pt>
                <c:pt idx="476">
                  <c:v>45475</c:v>
                </c:pt>
                <c:pt idx="477">
                  <c:v>45474</c:v>
                </c:pt>
                <c:pt idx="478">
                  <c:v>45473</c:v>
                </c:pt>
                <c:pt idx="479">
                  <c:v>45472</c:v>
                </c:pt>
                <c:pt idx="480">
                  <c:v>45471</c:v>
                </c:pt>
                <c:pt idx="481">
                  <c:v>45470</c:v>
                </c:pt>
                <c:pt idx="482">
                  <c:v>45469</c:v>
                </c:pt>
                <c:pt idx="483">
                  <c:v>45468</c:v>
                </c:pt>
                <c:pt idx="484">
                  <c:v>45467</c:v>
                </c:pt>
                <c:pt idx="485">
                  <c:v>45466</c:v>
                </c:pt>
                <c:pt idx="486">
                  <c:v>45465</c:v>
                </c:pt>
                <c:pt idx="487">
                  <c:v>45464</c:v>
                </c:pt>
                <c:pt idx="488">
                  <c:v>45463</c:v>
                </c:pt>
                <c:pt idx="489">
                  <c:v>45462</c:v>
                </c:pt>
                <c:pt idx="490">
                  <c:v>45461</c:v>
                </c:pt>
                <c:pt idx="491">
                  <c:v>45460</c:v>
                </c:pt>
                <c:pt idx="492">
                  <c:v>45459</c:v>
                </c:pt>
                <c:pt idx="493">
                  <c:v>45458</c:v>
                </c:pt>
                <c:pt idx="494">
                  <c:v>45457</c:v>
                </c:pt>
                <c:pt idx="495">
                  <c:v>45456</c:v>
                </c:pt>
                <c:pt idx="496">
                  <c:v>45455</c:v>
                </c:pt>
                <c:pt idx="497">
                  <c:v>45454</c:v>
                </c:pt>
                <c:pt idx="498">
                  <c:v>45453</c:v>
                </c:pt>
                <c:pt idx="499">
                  <c:v>45452</c:v>
                </c:pt>
                <c:pt idx="500">
                  <c:v>45451</c:v>
                </c:pt>
                <c:pt idx="501">
                  <c:v>45450</c:v>
                </c:pt>
                <c:pt idx="502">
                  <c:v>45449</c:v>
                </c:pt>
                <c:pt idx="503">
                  <c:v>45448</c:v>
                </c:pt>
                <c:pt idx="504">
                  <c:v>45447</c:v>
                </c:pt>
                <c:pt idx="505">
                  <c:v>45446</c:v>
                </c:pt>
                <c:pt idx="506">
                  <c:v>45445</c:v>
                </c:pt>
                <c:pt idx="507">
                  <c:v>45444</c:v>
                </c:pt>
                <c:pt idx="508">
                  <c:v>45443</c:v>
                </c:pt>
                <c:pt idx="509">
                  <c:v>45442</c:v>
                </c:pt>
                <c:pt idx="510">
                  <c:v>45441</c:v>
                </c:pt>
                <c:pt idx="511">
                  <c:v>45440</c:v>
                </c:pt>
                <c:pt idx="512">
                  <c:v>45439</c:v>
                </c:pt>
                <c:pt idx="513">
                  <c:v>45438</c:v>
                </c:pt>
                <c:pt idx="514">
                  <c:v>45437</c:v>
                </c:pt>
                <c:pt idx="515">
                  <c:v>45436</c:v>
                </c:pt>
                <c:pt idx="516">
                  <c:v>45435</c:v>
                </c:pt>
                <c:pt idx="517">
                  <c:v>45434</c:v>
                </c:pt>
                <c:pt idx="518">
                  <c:v>45433</c:v>
                </c:pt>
                <c:pt idx="519">
                  <c:v>45432</c:v>
                </c:pt>
                <c:pt idx="520">
                  <c:v>45431</c:v>
                </c:pt>
                <c:pt idx="521">
                  <c:v>45430</c:v>
                </c:pt>
                <c:pt idx="522">
                  <c:v>45429</c:v>
                </c:pt>
                <c:pt idx="523">
                  <c:v>45428</c:v>
                </c:pt>
                <c:pt idx="524">
                  <c:v>45427</c:v>
                </c:pt>
                <c:pt idx="525">
                  <c:v>45426</c:v>
                </c:pt>
                <c:pt idx="526">
                  <c:v>45425</c:v>
                </c:pt>
                <c:pt idx="527">
                  <c:v>45424</c:v>
                </c:pt>
                <c:pt idx="528">
                  <c:v>45423</c:v>
                </c:pt>
                <c:pt idx="529">
                  <c:v>45422</c:v>
                </c:pt>
                <c:pt idx="530">
                  <c:v>45421</c:v>
                </c:pt>
                <c:pt idx="531">
                  <c:v>45420</c:v>
                </c:pt>
                <c:pt idx="532">
                  <c:v>45419</c:v>
                </c:pt>
                <c:pt idx="533">
                  <c:v>45418</c:v>
                </c:pt>
                <c:pt idx="534">
                  <c:v>45417</c:v>
                </c:pt>
                <c:pt idx="535">
                  <c:v>45416</c:v>
                </c:pt>
                <c:pt idx="536">
                  <c:v>45415</c:v>
                </c:pt>
                <c:pt idx="537">
                  <c:v>45414</c:v>
                </c:pt>
                <c:pt idx="538">
                  <c:v>45413</c:v>
                </c:pt>
                <c:pt idx="539">
                  <c:v>45412</c:v>
                </c:pt>
                <c:pt idx="540">
                  <c:v>45411</c:v>
                </c:pt>
                <c:pt idx="541">
                  <c:v>45410</c:v>
                </c:pt>
                <c:pt idx="542">
                  <c:v>45409</c:v>
                </c:pt>
                <c:pt idx="543">
                  <c:v>45408</c:v>
                </c:pt>
                <c:pt idx="544">
                  <c:v>45407</c:v>
                </c:pt>
                <c:pt idx="545">
                  <c:v>45406</c:v>
                </c:pt>
                <c:pt idx="546">
                  <c:v>45405</c:v>
                </c:pt>
                <c:pt idx="547">
                  <c:v>45404</c:v>
                </c:pt>
                <c:pt idx="548">
                  <c:v>45403</c:v>
                </c:pt>
                <c:pt idx="549">
                  <c:v>45402</c:v>
                </c:pt>
                <c:pt idx="550">
                  <c:v>45401</c:v>
                </c:pt>
                <c:pt idx="551">
                  <c:v>45400</c:v>
                </c:pt>
                <c:pt idx="552">
                  <c:v>45399</c:v>
                </c:pt>
                <c:pt idx="553">
                  <c:v>45398</c:v>
                </c:pt>
                <c:pt idx="554">
                  <c:v>45397</c:v>
                </c:pt>
                <c:pt idx="555">
                  <c:v>45396</c:v>
                </c:pt>
                <c:pt idx="556">
                  <c:v>45395</c:v>
                </c:pt>
                <c:pt idx="557">
                  <c:v>45394</c:v>
                </c:pt>
                <c:pt idx="558">
                  <c:v>45393</c:v>
                </c:pt>
                <c:pt idx="559">
                  <c:v>45392</c:v>
                </c:pt>
                <c:pt idx="560">
                  <c:v>45391</c:v>
                </c:pt>
                <c:pt idx="561">
                  <c:v>45390</c:v>
                </c:pt>
                <c:pt idx="562">
                  <c:v>45389</c:v>
                </c:pt>
                <c:pt idx="563">
                  <c:v>45388</c:v>
                </c:pt>
                <c:pt idx="564">
                  <c:v>45387</c:v>
                </c:pt>
                <c:pt idx="565">
                  <c:v>45386</c:v>
                </c:pt>
                <c:pt idx="566">
                  <c:v>45385</c:v>
                </c:pt>
                <c:pt idx="567">
                  <c:v>45384</c:v>
                </c:pt>
                <c:pt idx="568">
                  <c:v>45383</c:v>
                </c:pt>
                <c:pt idx="569">
                  <c:v>45382</c:v>
                </c:pt>
                <c:pt idx="570">
                  <c:v>45381</c:v>
                </c:pt>
                <c:pt idx="571">
                  <c:v>45380</c:v>
                </c:pt>
                <c:pt idx="572">
                  <c:v>45379</c:v>
                </c:pt>
                <c:pt idx="573">
                  <c:v>45378</c:v>
                </c:pt>
                <c:pt idx="574">
                  <c:v>45377</c:v>
                </c:pt>
                <c:pt idx="575">
                  <c:v>45376</c:v>
                </c:pt>
                <c:pt idx="576">
                  <c:v>45375</c:v>
                </c:pt>
                <c:pt idx="577">
                  <c:v>45374</c:v>
                </c:pt>
                <c:pt idx="578">
                  <c:v>45373</c:v>
                </c:pt>
                <c:pt idx="579">
                  <c:v>45372</c:v>
                </c:pt>
                <c:pt idx="580">
                  <c:v>45371</c:v>
                </c:pt>
                <c:pt idx="581">
                  <c:v>45370</c:v>
                </c:pt>
                <c:pt idx="582">
                  <c:v>45369</c:v>
                </c:pt>
                <c:pt idx="583">
                  <c:v>45368</c:v>
                </c:pt>
                <c:pt idx="584">
                  <c:v>45367</c:v>
                </c:pt>
                <c:pt idx="585">
                  <c:v>45366</c:v>
                </c:pt>
                <c:pt idx="586">
                  <c:v>45365</c:v>
                </c:pt>
                <c:pt idx="587">
                  <c:v>45364</c:v>
                </c:pt>
                <c:pt idx="588">
                  <c:v>45363</c:v>
                </c:pt>
                <c:pt idx="589">
                  <c:v>45362</c:v>
                </c:pt>
                <c:pt idx="590">
                  <c:v>45361</c:v>
                </c:pt>
                <c:pt idx="591">
                  <c:v>45360</c:v>
                </c:pt>
                <c:pt idx="592">
                  <c:v>45359</c:v>
                </c:pt>
                <c:pt idx="593">
                  <c:v>45358</c:v>
                </c:pt>
                <c:pt idx="594">
                  <c:v>45357</c:v>
                </c:pt>
                <c:pt idx="595">
                  <c:v>45356</c:v>
                </c:pt>
                <c:pt idx="596">
                  <c:v>45355</c:v>
                </c:pt>
                <c:pt idx="597">
                  <c:v>45354</c:v>
                </c:pt>
                <c:pt idx="598">
                  <c:v>45353</c:v>
                </c:pt>
                <c:pt idx="599">
                  <c:v>45352</c:v>
                </c:pt>
                <c:pt idx="600">
                  <c:v>45351</c:v>
                </c:pt>
                <c:pt idx="601">
                  <c:v>45350</c:v>
                </c:pt>
                <c:pt idx="602">
                  <c:v>45349</c:v>
                </c:pt>
                <c:pt idx="603">
                  <c:v>45348</c:v>
                </c:pt>
                <c:pt idx="604">
                  <c:v>45347</c:v>
                </c:pt>
                <c:pt idx="605">
                  <c:v>45346</c:v>
                </c:pt>
                <c:pt idx="606">
                  <c:v>45345</c:v>
                </c:pt>
                <c:pt idx="607">
                  <c:v>45344</c:v>
                </c:pt>
                <c:pt idx="608">
                  <c:v>45343</c:v>
                </c:pt>
                <c:pt idx="609">
                  <c:v>45342</c:v>
                </c:pt>
                <c:pt idx="610">
                  <c:v>45341</c:v>
                </c:pt>
                <c:pt idx="611">
                  <c:v>45340</c:v>
                </c:pt>
                <c:pt idx="612">
                  <c:v>45339</c:v>
                </c:pt>
                <c:pt idx="613">
                  <c:v>45338</c:v>
                </c:pt>
                <c:pt idx="614">
                  <c:v>45337</c:v>
                </c:pt>
                <c:pt idx="615">
                  <c:v>45336</c:v>
                </c:pt>
                <c:pt idx="616">
                  <c:v>45335</c:v>
                </c:pt>
                <c:pt idx="617">
                  <c:v>45334</c:v>
                </c:pt>
                <c:pt idx="618">
                  <c:v>45333</c:v>
                </c:pt>
                <c:pt idx="619">
                  <c:v>45332</c:v>
                </c:pt>
                <c:pt idx="620">
                  <c:v>45331</c:v>
                </c:pt>
                <c:pt idx="621">
                  <c:v>45330</c:v>
                </c:pt>
                <c:pt idx="622">
                  <c:v>45329</c:v>
                </c:pt>
                <c:pt idx="623">
                  <c:v>45328</c:v>
                </c:pt>
                <c:pt idx="624">
                  <c:v>45327</c:v>
                </c:pt>
                <c:pt idx="625">
                  <c:v>45326</c:v>
                </c:pt>
                <c:pt idx="626">
                  <c:v>45325</c:v>
                </c:pt>
                <c:pt idx="627">
                  <c:v>45324</c:v>
                </c:pt>
                <c:pt idx="628">
                  <c:v>45323</c:v>
                </c:pt>
                <c:pt idx="629">
                  <c:v>45322</c:v>
                </c:pt>
                <c:pt idx="630">
                  <c:v>45321</c:v>
                </c:pt>
                <c:pt idx="631">
                  <c:v>45320</c:v>
                </c:pt>
                <c:pt idx="632">
                  <c:v>45319</c:v>
                </c:pt>
                <c:pt idx="633">
                  <c:v>45318</c:v>
                </c:pt>
                <c:pt idx="634">
                  <c:v>45317</c:v>
                </c:pt>
                <c:pt idx="635">
                  <c:v>45316</c:v>
                </c:pt>
                <c:pt idx="636">
                  <c:v>45315</c:v>
                </c:pt>
                <c:pt idx="637">
                  <c:v>45314</c:v>
                </c:pt>
                <c:pt idx="638">
                  <c:v>45313</c:v>
                </c:pt>
                <c:pt idx="639">
                  <c:v>45312</c:v>
                </c:pt>
                <c:pt idx="640">
                  <c:v>45311</c:v>
                </c:pt>
                <c:pt idx="641">
                  <c:v>45310</c:v>
                </c:pt>
                <c:pt idx="642">
                  <c:v>45309</c:v>
                </c:pt>
                <c:pt idx="643">
                  <c:v>45308</c:v>
                </c:pt>
                <c:pt idx="644">
                  <c:v>45307</c:v>
                </c:pt>
                <c:pt idx="645">
                  <c:v>45306</c:v>
                </c:pt>
                <c:pt idx="646">
                  <c:v>45305</c:v>
                </c:pt>
                <c:pt idx="647">
                  <c:v>45304</c:v>
                </c:pt>
                <c:pt idx="648">
                  <c:v>45303</c:v>
                </c:pt>
                <c:pt idx="649">
                  <c:v>45302</c:v>
                </c:pt>
                <c:pt idx="650">
                  <c:v>45301</c:v>
                </c:pt>
                <c:pt idx="651">
                  <c:v>45300</c:v>
                </c:pt>
                <c:pt idx="652">
                  <c:v>45299</c:v>
                </c:pt>
                <c:pt idx="653">
                  <c:v>45298</c:v>
                </c:pt>
                <c:pt idx="654">
                  <c:v>45297</c:v>
                </c:pt>
                <c:pt idx="655">
                  <c:v>45296</c:v>
                </c:pt>
                <c:pt idx="656">
                  <c:v>45295</c:v>
                </c:pt>
                <c:pt idx="657">
                  <c:v>45294</c:v>
                </c:pt>
                <c:pt idx="658">
                  <c:v>45293</c:v>
                </c:pt>
                <c:pt idx="659">
                  <c:v>45292</c:v>
                </c:pt>
                <c:pt idx="660">
                  <c:v>45291</c:v>
                </c:pt>
                <c:pt idx="661">
                  <c:v>45290</c:v>
                </c:pt>
                <c:pt idx="662">
                  <c:v>45289</c:v>
                </c:pt>
                <c:pt idx="663">
                  <c:v>45288</c:v>
                </c:pt>
                <c:pt idx="664">
                  <c:v>45287</c:v>
                </c:pt>
                <c:pt idx="665">
                  <c:v>45286</c:v>
                </c:pt>
                <c:pt idx="666">
                  <c:v>45285</c:v>
                </c:pt>
                <c:pt idx="667">
                  <c:v>45284</c:v>
                </c:pt>
                <c:pt idx="668">
                  <c:v>45283</c:v>
                </c:pt>
                <c:pt idx="669">
                  <c:v>45282</c:v>
                </c:pt>
                <c:pt idx="670">
                  <c:v>45281</c:v>
                </c:pt>
                <c:pt idx="671">
                  <c:v>45280</c:v>
                </c:pt>
                <c:pt idx="672">
                  <c:v>45279</c:v>
                </c:pt>
                <c:pt idx="673">
                  <c:v>45278</c:v>
                </c:pt>
                <c:pt idx="674">
                  <c:v>45277</c:v>
                </c:pt>
                <c:pt idx="675">
                  <c:v>45276</c:v>
                </c:pt>
                <c:pt idx="676">
                  <c:v>45275</c:v>
                </c:pt>
                <c:pt idx="677">
                  <c:v>45274</c:v>
                </c:pt>
                <c:pt idx="678">
                  <c:v>45273</c:v>
                </c:pt>
                <c:pt idx="679">
                  <c:v>45272</c:v>
                </c:pt>
                <c:pt idx="680">
                  <c:v>45271</c:v>
                </c:pt>
                <c:pt idx="681">
                  <c:v>45270</c:v>
                </c:pt>
                <c:pt idx="682">
                  <c:v>45269</c:v>
                </c:pt>
                <c:pt idx="683">
                  <c:v>45268</c:v>
                </c:pt>
                <c:pt idx="684">
                  <c:v>45267</c:v>
                </c:pt>
                <c:pt idx="685">
                  <c:v>45266</c:v>
                </c:pt>
                <c:pt idx="686">
                  <c:v>45265</c:v>
                </c:pt>
                <c:pt idx="687">
                  <c:v>45264</c:v>
                </c:pt>
                <c:pt idx="688">
                  <c:v>45263</c:v>
                </c:pt>
                <c:pt idx="689">
                  <c:v>45262</c:v>
                </c:pt>
                <c:pt idx="690">
                  <c:v>45261</c:v>
                </c:pt>
                <c:pt idx="691">
                  <c:v>45260</c:v>
                </c:pt>
                <c:pt idx="692">
                  <c:v>45259</c:v>
                </c:pt>
                <c:pt idx="693">
                  <c:v>45258</c:v>
                </c:pt>
                <c:pt idx="694">
                  <c:v>45257</c:v>
                </c:pt>
                <c:pt idx="695">
                  <c:v>45256</c:v>
                </c:pt>
                <c:pt idx="696">
                  <c:v>45255</c:v>
                </c:pt>
                <c:pt idx="697">
                  <c:v>45254</c:v>
                </c:pt>
                <c:pt idx="698">
                  <c:v>45253</c:v>
                </c:pt>
                <c:pt idx="699">
                  <c:v>45252</c:v>
                </c:pt>
                <c:pt idx="700">
                  <c:v>45251</c:v>
                </c:pt>
                <c:pt idx="701">
                  <c:v>45250</c:v>
                </c:pt>
                <c:pt idx="702">
                  <c:v>45249</c:v>
                </c:pt>
                <c:pt idx="703">
                  <c:v>45248</c:v>
                </c:pt>
                <c:pt idx="704">
                  <c:v>45247</c:v>
                </c:pt>
                <c:pt idx="705">
                  <c:v>45246</c:v>
                </c:pt>
                <c:pt idx="706">
                  <c:v>45245</c:v>
                </c:pt>
                <c:pt idx="707">
                  <c:v>45244</c:v>
                </c:pt>
                <c:pt idx="708">
                  <c:v>45243</c:v>
                </c:pt>
                <c:pt idx="709">
                  <c:v>45242</c:v>
                </c:pt>
                <c:pt idx="710">
                  <c:v>45241</c:v>
                </c:pt>
                <c:pt idx="711">
                  <c:v>45240</c:v>
                </c:pt>
                <c:pt idx="712">
                  <c:v>45239</c:v>
                </c:pt>
                <c:pt idx="713">
                  <c:v>45238</c:v>
                </c:pt>
                <c:pt idx="714">
                  <c:v>45237</c:v>
                </c:pt>
                <c:pt idx="715">
                  <c:v>45236</c:v>
                </c:pt>
                <c:pt idx="716">
                  <c:v>45235</c:v>
                </c:pt>
                <c:pt idx="717">
                  <c:v>45234</c:v>
                </c:pt>
                <c:pt idx="718">
                  <c:v>45233</c:v>
                </c:pt>
                <c:pt idx="719">
                  <c:v>45232</c:v>
                </c:pt>
                <c:pt idx="720">
                  <c:v>45231</c:v>
                </c:pt>
                <c:pt idx="721">
                  <c:v>45230</c:v>
                </c:pt>
                <c:pt idx="722">
                  <c:v>45229</c:v>
                </c:pt>
                <c:pt idx="723">
                  <c:v>45228</c:v>
                </c:pt>
                <c:pt idx="724">
                  <c:v>45227</c:v>
                </c:pt>
                <c:pt idx="725">
                  <c:v>45226</c:v>
                </c:pt>
                <c:pt idx="726">
                  <c:v>45225</c:v>
                </c:pt>
                <c:pt idx="727">
                  <c:v>45224</c:v>
                </c:pt>
                <c:pt idx="728">
                  <c:v>45223</c:v>
                </c:pt>
                <c:pt idx="729">
                  <c:v>45222</c:v>
                </c:pt>
                <c:pt idx="730">
                  <c:v>45221</c:v>
                </c:pt>
                <c:pt idx="731">
                  <c:v>45220</c:v>
                </c:pt>
                <c:pt idx="732">
                  <c:v>45219</c:v>
                </c:pt>
                <c:pt idx="733">
                  <c:v>45218</c:v>
                </c:pt>
                <c:pt idx="734">
                  <c:v>45217</c:v>
                </c:pt>
                <c:pt idx="735">
                  <c:v>45216</c:v>
                </c:pt>
                <c:pt idx="736">
                  <c:v>45215</c:v>
                </c:pt>
                <c:pt idx="737">
                  <c:v>45214</c:v>
                </c:pt>
                <c:pt idx="738">
                  <c:v>45213</c:v>
                </c:pt>
                <c:pt idx="739">
                  <c:v>45212</c:v>
                </c:pt>
                <c:pt idx="740">
                  <c:v>45211</c:v>
                </c:pt>
                <c:pt idx="741">
                  <c:v>45210</c:v>
                </c:pt>
                <c:pt idx="742">
                  <c:v>45209</c:v>
                </c:pt>
                <c:pt idx="743">
                  <c:v>45208</c:v>
                </c:pt>
                <c:pt idx="744">
                  <c:v>45207</c:v>
                </c:pt>
                <c:pt idx="745">
                  <c:v>45206</c:v>
                </c:pt>
                <c:pt idx="746">
                  <c:v>45205</c:v>
                </c:pt>
                <c:pt idx="747">
                  <c:v>45204</c:v>
                </c:pt>
                <c:pt idx="748">
                  <c:v>45203</c:v>
                </c:pt>
                <c:pt idx="749">
                  <c:v>45202</c:v>
                </c:pt>
                <c:pt idx="750">
                  <c:v>45201</c:v>
                </c:pt>
                <c:pt idx="751">
                  <c:v>45200</c:v>
                </c:pt>
                <c:pt idx="752">
                  <c:v>45199</c:v>
                </c:pt>
                <c:pt idx="753">
                  <c:v>45198</c:v>
                </c:pt>
                <c:pt idx="754">
                  <c:v>45197</c:v>
                </c:pt>
                <c:pt idx="755">
                  <c:v>45196</c:v>
                </c:pt>
                <c:pt idx="756">
                  <c:v>45195</c:v>
                </c:pt>
                <c:pt idx="757">
                  <c:v>45194</c:v>
                </c:pt>
                <c:pt idx="758">
                  <c:v>45193</c:v>
                </c:pt>
                <c:pt idx="759">
                  <c:v>45192</c:v>
                </c:pt>
                <c:pt idx="760">
                  <c:v>45191</c:v>
                </c:pt>
                <c:pt idx="761">
                  <c:v>45190</c:v>
                </c:pt>
                <c:pt idx="762">
                  <c:v>45189</c:v>
                </c:pt>
                <c:pt idx="763">
                  <c:v>45188</c:v>
                </c:pt>
                <c:pt idx="764">
                  <c:v>45187</c:v>
                </c:pt>
                <c:pt idx="765">
                  <c:v>45186</c:v>
                </c:pt>
                <c:pt idx="766">
                  <c:v>45185</c:v>
                </c:pt>
                <c:pt idx="767">
                  <c:v>45184</c:v>
                </c:pt>
                <c:pt idx="768">
                  <c:v>45183</c:v>
                </c:pt>
                <c:pt idx="769">
                  <c:v>45182</c:v>
                </c:pt>
                <c:pt idx="770">
                  <c:v>45181</c:v>
                </c:pt>
                <c:pt idx="771">
                  <c:v>45180</c:v>
                </c:pt>
                <c:pt idx="772">
                  <c:v>45179</c:v>
                </c:pt>
                <c:pt idx="773">
                  <c:v>45178</c:v>
                </c:pt>
                <c:pt idx="774">
                  <c:v>45177</c:v>
                </c:pt>
                <c:pt idx="775">
                  <c:v>45176</c:v>
                </c:pt>
                <c:pt idx="776">
                  <c:v>45175</c:v>
                </c:pt>
                <c:pt idx="777">
                  <c:v>45174</c:v>
                </c:pt>
                <c:pt idx="778">
                  <c:v>45173</c:v>
                </c:pt>
                <c:pt idx="779">
                  <c:v>45172</c:v>
                </c:pt>
                <c:pt idx="780">
                  <c:v>45171</c:v>
                </c:pt>
                <c:pt idx="781">
                  <c:v>45170</c:v>
                </c:pt>
                <c:pt idx="782">
                  <c:v>45169</c:v>
                </c:pt>
                <c:pt idx="783">
                  <c:v>45168</c:v>
                </c:pt>
                <c:pt idx="784">
                  <c:v>45167</c:v>
                </c:pt>
                <c:pt idx="785">
                  <c:v>45166</c:v>
                </c:pt>
                <c:pt idx="786">
                  <c:v>45165</c:v>
                </c:pt>
                <c:pt idx="787">
                  <c:v>45164</c:v>
                </c:pt>
                <c:pt idx="788">
                  <c:v>45163</c:v>
                </c:pt>
                <c:pt idx="789">
                  <c:v>45162</c:v>
                </c:pt>
                <c:pt idx="790">
                  <c:v>45161</c:v>
                </c:pt>
                <c:pt idx="791">
                  <c:v>45160</c:v>
                </c:pt>
                <c:pt idx="792">
                  <c:v>45159</c:v>
                </c:pt>
                <c:pt idx="793">
                  <c:v>45158</c:v>
                </c:pt>
                <c:pt idx="794">
                  <c:v>45157</c:v>
                </c:pt>
                <c:pt idx="795">
                  <c:v>45156</c:v>
                </c:pt>
                <c:pt idx="796">
                  <c:v>45155</c:v>
                </c:pt>
                <c:pt idx="797">
                  <c:v>45154</c:v>
                </c:pt>
                <c:pt idx="798">
                  <c:v>45153</c:v>
                </c:pt>
                <c:pt idx="799">
                  <c:v>45152</c:v>
                </c:pt>
                <c:pt idx="800">
                  <c:v>45151</c:v>
                </c:pt>
                <c:pt idx="801">
                  <c:v>45150</c:v>
                </c:pt>
                <c:pt idx="802">
                  <c:v>45149</c:v>
                </c:pt>
                <c:pt idx="803">
                  <c:v>45148</c:v>
                </c:pt>
                <c:pt idx="804">
                  <c:v>45147</c:v>
                </c:pt>
                <c:pt idx="805">
                  <c:v>45146</c:v>
                </c:pt>
                <c:pt idx="806">
                  <c:v>45145</c:v>
                </c:pt>
                <c:pt idx="807">
                  <c:v>45144</c:v>
                </c:pt>
                <c:pt idx="808">
                  <c:v>45143</c:v>
                </c:pt>
                <c:pt idx="809">
                  <c:v>45142</c:v>
                </c:pt>
                <c:pt idx="810">
                  <c:v>45141</c:v>
                </c:pt>
                <c:pt idx="811">
                  <c:v>45140</c:v>
                </c:pt>
                <c:pt idx="812">
                  <c:v>45139</c:v>
                </c:pt>
                <c:pt idx="813">
                  <c:v>45138</c:v>
                </c:pt>
                <c:pt idx="814">
                  <c:v>45137</c:v>
                </c:pt>
                <c:pt idx="815">
                  <c:v>45136</c:v>
                </c:pt>
                <c:pt idx="816">
                  <c:v>45135</c:v>
                </c:pt>
                <c:pt idx="817">
                  <c:v>45134</c:v>
                </c:pt>
                <c:pt idx="818">
                  <c:v>45133</c:v>
                </c:pt>
                <c:pt idx="819">
                  <c:v>45132</c:v>
                </c:pt>
                <c:pt idx="820">
                  <c:v>45131</c:v>
                </c:pt>
                <c:pt idx="821">
                  <c:v>45130</c:v>
                </c:pt>
                <c:pt idx="822">
                  <c:v>45129</c:v>
                </c:pt>
                <c:pt idx="823">
                  <c:v>45128</c:v>
                </c:pt>
                <c:pt idx="824">
                  <c:v>45127</c:v>
                </c:pt>
                <c:pt idx="825">
                  <c:v>45126</c:v>
                </c:pt>
                <c:pt idx="826">
                  <c:v>45125</c:v>
                </c:pt>
                <c:pt idx="827">
                  <c:v>45124</c:v>
                </c:pt>
                <c:pt idx="828">
                  <c:v>45123</c:v>
                </c:pt>
                <c:pt idx="829">
                  <c:v>45122</c:v>
                </c:pt>
                <c:pt idx="830">
                  <c:v>45121</c:v>
                </c:pt>
                <c:pt idx="831">
                  <c:v>45120</c:v>
                </c:pt>
                <c:pt idx="832">
                  <c:v>45119</c:v>
                </c:pt>
                <c:pt idx="833">
                  <c:v>45118</c:v>
                </c:pt>
                <c:pt idx="834">
                  <c:v>45117</c:v>
                </c:pt>
                <c:pt idx="835">
                  <c:v>45116</c:v>
                </c:pt>
                <c:pt idx="836">
                  <c:v>45115</c:v>
                </c:pt>
                <c:pt idx="837">
                  <c:v>45114</c:v>
                </c:pt>
                <c:pt idx="838">
                  <c:v>45113</c:v>
                </c:pt>
                <c:pt idx="839">
                  <c:v>45112</c:v>
                </c:pt>
                <c:pt idx="840">
                  <c:v>45111</c:v>
                </c:pt>
                <c:pt idx="841">
                  <c:v>45110</c:v>
                </c:pt>
                <c:pt idx="842">
                  <c:v>45109</c:v>
                </c:pt>
                <c:pt idx="843">
                  <c:v>45108</c:v>
                </c:pt>
                <c:pt idx="844">
                  <c:v>45107</c:v>
                </c:pt>
                <c:pt idx="845">
                  <c:v>45106</c:v>
                </c:pt>
                <c:pt idx="846">
                  <c:v>45105</c:v>
                </c:pt>
                <c:pt idx="847">
                  <c:v>45104</c:v>
                </c:pt>
                <c:pt idx="848">
                  <c:v>45103</c:v>
                </c:pt>
                <c:pt idx="849">
                  <c:v>45102</c:v>
                </c:pt>
                <c:pt idx="850">
                  <c:v>45101</c:v>
                </c:pt>
                <c:pt idx="851">
                  <c:v>45100</c:v>
                </c:pt>
                <c:pt idx="852">
                  <c:v>45099</c:v>
                </c:pt>
                <c:pt idx="853">
                  <c:v>45098</c:v>
                </c:pt>
                <c:pt idx="854">
                  <c:v>45097</c:v>
                </c:pt>
                <c:pt idx="855">
                  <c:v>45096</c:v>
                </c:pt>
                <c:pt idx="856">
                  <c:v>45095</c:v>
                </c:pt>
                <c:pt idx="857">
                  <c:v>45094</c:v>
                </c:pt>
                <c:pt idx="858">
                  <c:v>45093</c:v>
                </c:pt>
                <c:pt idx="859">
                  <c:v>45092</c:v>
                </c:pt>
                <c:pt idx="860">
                  <c:v>45091</c:v>
                </c:pt>
                <c:pt idx="861">
                  <c:v>45090</c:v>
                </c:pt>
                <c:pt idx="862">
                  <c:v>45089</c:v>
                </c:pt>
                <c:pt idx="863">
                  <c:v>45088</c:v>
                </c:pt>
                <c:pt idx="864">
                  <c:v>45087</c:v>
                </c:pt>
                <c:pt idx="865">
                  <c:v>45086</c:v>
                </c:pt>
                <c:pt idx="866">
                  <c:v>45085</c:v>
                </c:pt>
                <c:pt idx="867">
                  <c:v>45084</c:v>
                </c:pt>
                <c:pt idx="868">
                  <c:v>45083</c:v>
                </c:pt>
                <c:pt idx="869">
                  <c:v>45082</c:v>
                </c:pt>
                <c:pt idx="870">
                  <c:v>45081</c:v>
                </c:pt>
                <c:pt idx="871">
                  <c:v>45080</c:v>
                </c:pt>
                <c:pt idx="872">
                  <c:v>45079</c:v>
                </c:pt>
                <c:pt idx="873">
                  <c:v>45078</c:v>
                </c:pt>
                <c:pt idx="874">
                  <c:v>45077</c:v>
                </c:pt>
                <c:pt idx="875">
                  <c:v>45076</c:v>
                </c:pt>
                <c:pt idx="876">
                  <c:v>45075</c:v>
                </c:pt>
                <c:pt idx="877">
                  <c:v>45074</c:v>
                </c:pt>
                <c:pt idx="878">
                  <c:v>45073</c:v>
                </c:pt>
                <c:pt idx="879">
                  <c:v>45072</c:v>
                </c:pt>
                <c:pt idx="880">
                  <c:v>45071</c:v>
                </c:pt>
                <c:pt idx="881">
                  <c:v>45070</c:v>
                </c:pt>
                <c:pt idx="882">
                  <c:v>45069</c:v>
                </c:pt>
                <c:pt idx="883">
                  <c:v>45068</c:v>
                </c:pt>
                <c:pt idx="884">
                  <c:v>45067</c:v>
                </c:pt>
                <c:pt idx="885">
                  <c:v>45066</c:v>
                </c:pt>
                <c:pt idx="886">
                  <c:v>45065</c:v>
                </c:pt>
                <c:pt idx="887">
                  <c:v>45064</c:v>
                </c:pt>
                <c:pt idx="888">
                  <c:v>45063</c:v>
                </c:pt>
                <c:pt idx="889">
                  <c:v>45062</c:v>
                </c:pt>
                <c:pt idx="890">
                  <c:v>45061</c:v>
                </c:pt>
                <c:pt idx="891">
                  <c:v>45060</c:v>
                </c:pt>
                <c:pt idx="892">
                  <c:v>45059</c:v>
                </c:pt>
                <c:pt idx="893">
                  <c:v>45058</c:v>
                </c:pt>
                <c:pt idx="894">
                  <c:v>45057</c:v>
                </c:pt>
                <c:pt idx="895">
                  <c:v>45056</c:v>
                </c:pt>
                <c:pt idx="896">
                  <c:v>45055</c:v>
                </c:pt>
                <c:pt idx="897">
                  <c:v>45054</c:v>
                </c:pt>
                <c:pt idx="898">
                  <c:v>45053</c:v>
                </c:pt>
                <c:pt idx="899">
                  <c:v>45052</c:v>
                </c:pt>
                <c:pt idx="900">
                  <c:v>45051</c:v>
                </c:pt>
                <c:pt idx="901">
                  <c:v>45050</c:v>
                </c:pt>
                <c:pt idx="902">
                  <c:v>45049</c:v>
                </c:pt>
                <c:pt idx="903">
                  <c:v>45048</c:v>
                </c:pt>
                <c:pt idx="904">
                  <c:v>45047</c:v>
                </c:pt>
                <c:pt idx="905">
                  <c:v>45046</c:v>
                </c:pt>
                <c:pt idx="906">
                  <c:v>45045</c:v>
                </c:pt>
                <c:pt idx="907">
                  <c:v>45044</c:v>
                </c:pt>
                <c:pt idx="908">
                  <c:v>45043</c:v>
                </c:pt>
                <c:pt idx="909">
                  <c:v>45042</c:v>
                </c:pt>
                <c:pt idx="910">
                  <c:v>45041</c:v>
                </c:pt>
                <c:pt idx="911">
                  <c:v>45040</c:v>
                </c:pt>
                <c:pt idx="912">
                  <c:v>45039</c:v>
                </c:pt>
                <c:pt idx="913">
                  <c:v>45038</c:v>
                </c:pt>
                <c:pt idx="914">
                  <c:v>45037</c:v>
                </c:pt>
                <c:pt idx="915">
                  <c:v>45036</c:v>
                </c:pt>
                <c:pt idx="916">
                  <c:v>45035</c:v>
                </c:pt>
                <c:pt idx="917">
                  <c:v>45034</c:v>
                </c:pt>
                <c:pt idx="918">
                  <c:v>45033</c:v>
                </c:pt>
                <c:pt idx="919">
                  <c:v>45032</c:v>
                </c:pt>
                <c:pt idx="920">
                  <c:v>45031</c:v>
                </c:pt>
                <c:pt idx="921">
                  <c:v>45030</c:v>
                </c:pt>
                <c:pt idx="922">
                  <c:v>45029</c:v>
                </c:pt>
                <c:pt idx="923">
                  <c:v>45028</c:v>
                </c:pt>
                <c:pt idx="924">
                  <c:v>45027</c:v>
                </c:pt>
                <c:pt idx="925">
                  <c:v>45026</c:v>
                </c:pt>
                <c:pt idx="926">
                  <c:v>45025</c:v>
                </c:pt>
                <c:pt idx="927">
                  <c:v>45024</c:v>
                </c:pt>
                <c:pt idx="928">
                  <c:v>45023</c:v>
                </c:pt>
                <c:pt idx="929">
                  <c:v>45022</c:v>
                </c:pt>
                <c:pt idx="930">
                  <c:v>45021</c:v>
                </c:pt>
                <c:pt idx="931">
                  <c:v>45020</c:v>
                </c:pt>
                <c:pt idx="932">
                  <c:v>45019</c:v>
                </c:pt>
                <c:pt idx="933">
                  <c:v>45018</c:v>
                </c:pt>
                <c:pt idx="934">
                  <c:v>45017</c:v>
                </c:pt>
                <c:pt idx="935">
                  <c:v>45016</c:v>
                </c:pt>
                <c:pt idx="936">
                  <c:v>45015</c:v>
                </c:pt>
                <c:pt idx="937">
                  <c:v>45014</c:v>
                </c:pt>
                <c:pt idx="938">
                  <c:v>45013</c:v>
                </c:pt>
                <c:pt idx="939">
                  <c:v>45012</c:v>
                </c:pt>
                <c:pt idx="940">
                  <c:v>45011</c:v>
                </c:pt>
                <c:pt idx="941">
                  <c:v>45010</c:v>
                </c:pt>
                <c:pt idx="942">
                  <c:v>45009</c:v>
                </c:pt>
                <c:pt idx="943">
                  <c:v>45008</c:v>
                </c:pt>
                <c:pt idx="944">
                  <c:v>45007</c:v>
                </c:pt>
                <c:pt idx="945">
                  <c:v>45006</c:v>
                </c:pt>
                <c:pt idx="946">
                  <c:v>45005</c:v>
                </c:pt>
                <c:pt idx="947">
                  <c:v>45004</c:v>
                </c:pt>
                <c:pt idx="948">
                  <c:v>45003</c:v>
                </c:pt>
                <c:pt idx="949">
                  <c:v>45002</c:v>
                </c:pt>
                <c:pt idx="950">
                  <c:v>45001</c:v>
                </c:pt>
                <c:pt idx="951">
                  <c:v>45000</c:v>
                </c:pt>
                <c:pt idx="952">
                  <c:v>44999</c:v>
                </c:pt>
                <c:pt idx="953">
                  <c:v>44998</c:v>
                </c:pt>
                <c:pt idx="954">
                  <c:v>44997</c:v>
                </c:pt>
                <c:pt idx="955">
                  <c:v>44996</c:v>
                </c:pt>
                <c:pt idx="956">
                  <c:v>44995</c:v>
                </c:pt>
                <c:pt idx="957">
                  <c:v>44994</c:v>
                </c:pt>
                <c:pt idx="958">
                  <c:v>44993</c:v>
                </c:pt>
                <c:pt idx="959">
                  <c:v>44992</c:v>
                </c:pt>
                <c:pt idx="960">
                  <c:v>44991</c:v>
                </c:pt>
                <c:pt idx="961">
                  <c:v>44990</c:v>
                </c:pt>
                <c:pt idx="962">
                  <c:v>44989</c:v>
                </c:pt>
                <c:pt idx="963">
                  <c:v>44988</c:v>
                </c:pt>
                <c:pt idx="964">
                  <c:v>44987</c:v>
                </c:pt>
                <c:pt idx="965">
                  <c:v>44986</c:v>
                </c:pt>
                <c:pt idx="966">
                  <c:v>44985</c:v>
                </c:pt>
                <c:pt idx="967">
                  <c:v>44984</c:v>
                </c:pt>
                <c:pt idx="968">
                  <c:v>44983</c:v>
                </c:pt>
                <c:pt idx="969">
                  <c:v>44982</c:v>
                </c:pt>
                <c:pt idx="970">
                  <c:v>44981</c:v>
                </c:pt>
                <c:pt idx="971">
                  <c:v>44980</c:v>
                </c:pt>
                <c:pt idx="972">
                  <c:v>44979</c:v>
                </c:pt>
                <c:pt idx="973">
                  <c:v>44978</c:v>
                </c:pt>
                <c:pt idx="974">
                  <c:v>44977</c:v>
                </c:pt>
                <c:pt idx="975">
                  <c:v>44976</c:v>
                </c:pt>
                <c:pt idx="976">
                  <c:v>44975</c:v>
                </c:pt>
                <c:pt idx="977">
                  <c:v>44974</c:v>
                </c:pt>
                <c:pt idx="978">
                  <c:v>44973</c:v>
                </c:pt>
                <c:pt idx="979">
                  <c:v>44972</c:v>
                </c:pt>
                <c:pt idx="980">
                  <c:v>44971</c:v>
                </c:pt>
                <c:pt idx="981">
                  <c:v>44970</c:v>
                </c:pt>
                <c:pt idx="982">
                  <c:v>44969</c:v>
                </c:pt>
                <c:pt idx="983">
                  <c:v>44968</c:v>
                </c:pt>
                <c:pt idx="984">
                  <c:v>44967</c:v>
                </c:pt>
                <c:pt idx="985">
                  <c:v>44966</c:v>
                </c:pt>
                <c:pt idx="986">
                  <c:v>44965</c:v>
                </c:pt>
                <c:pt idx="987">
                  <c:v>44964</c:v>
                </c:pt>
                <c:pt idx="988">
                  <c:v>44963</c:v>
                </c:pt>
                <c:pt idx="989">
                  <c:v>44962</c:v>
                </c:pt>
                <c:pt idx="990">
                  <c:v>44961</c:v>
                </c:pt>
                <c:pt idx="991">
                  <c:v>44960</c:v>
                </c:pt>
                <c:pt idx="992">
                  <c:v>44959</c:v>
                </c:pt>
                <c:pt idx="993">
                  <c:v>44958</c:v>
                </c:pt>
                <c:pt idx="994">
                  <c:v>44957</c:v>
                </c:pt>
                <c:pt idx="995">
                  <c:v>44956</c:v>
                </c:pt>
                <c:pt idx="996">
                  <c:v>44955</c:v>
                </c:pt>
                <c:pt idx="997">
                  <c:v>44954</c:v>
                </c:pt>
                <c:pt idx="998">
                  <c:v>44953</c:v>
                </c:pt>
                <c:pt idx="999">
                  <c:v>44952</c:v>
                </c:pt>
                <c:pt idx="1000">
                  <c:v>44951</c:v>
                </c:pt>
                <c:pt idx="1001">
                  <c:v>44950</c:v>
                </c:pt>
                <c:pt idx="1002">
                  <c:v>44949</c:v>
                </c:pt>
                <c:pt idx="1003">
                  <c:v>44948</c:v>
                </c:pt>
                <c:pt idx="1004">
                  <c:v>44947</c:v>
                </c:pt>
                <c:pt idx="1005">
                  <c:v>44946</c:v>
                </c:pt>
                <c:pt idx="1006">
                  <c:v>44945</c:v>
                </c:pt>
                <c:pt idx="1007">
                  <c:v>44944</c:v>
                </c:pt>
                <c:pt idx="1008">
                  <c:v>44943</c:v>
                </c:pt>
                <c:pt idx="1009">
                  <c:v>44942</c:v>
                </c:pt>
                <c:pt idx="1010">
                  <c:v>44941</c:v>
                </c:pt>
                <c:pt idx="1011">
                  <c:v>44940</c:v>
                </c:pt>
                <c:pt idx="1012">
                  <c:v>44939</c:v>
                </c:pt>
                <c:pt idx="1013">
                  <c:v>44938</c:v>
                </c:pt>
                <c:pt idx="1014">
                  <c:v>44937</c:v>
                </c:pt>
                <c:pt idx="1015">
                  <c:v>44936</c:v>
                </c:pt>
                <c:pt idx="1016">
                  <c:v>44935</c:v>
                </c:pt>
                <c:pt idx="1017">
                  <c:v>44934</c:v>
                </c:pt>
                <c:pt idx="1018">
                  <c:v>44933</c:v>
                </c:pt>
                <c:pt idx="1019">
                  <c:v>44932</c:v>
                </c:pt>
                <c:pt idx="1020">
                  <c:v>44931</c:v>
                </c:pt>
                <c:pt idx="1021">
                  <c:v>44930</c:v>
                </c:pt>
                <c:pt idx="1022">
                  <c:v>44929</c:v>
                </c:pt>
                <c:pt idx="1023">
                  <c:v>44928</c:v>
                </c:pt>
                <c:pt idx="1024">
                  <c:v>44927</c:v>
                </c:pt>
                <c:pt idx="1025">
                  <c:v>44926</c:v>
                </c:pt>
                <c:pt idx="1026">
                  <c:v>44925</c:v>
                </c:pt>
                <c:pt idx="1027">
                  <c:v>44924</c:v>
                </c:pt>
                <c:pt idx="1028">
                  <c:v>44923</c:v>
                </c:pt>
                <c:pt idx="1029">
                  <c:v>44922</c:v>
                </c:pt>
                <c:pt idx="1030">
                  <c:v>44921</c:v>
                </c:pt>
                <c:pt idx="1031">
                  <c:v>44920</c:v>
                </c:pt>
                <c:pt idx="1032">
                  <c:v>44919</c:v>
                </c:pt>
                <c:pt idx="1033">
                  <c:v>44918</c:v>
                </c:pt>
                <c:pt idx="1034">
                  <c:v>44917</c:v>
                </c:pt>
                <c:pt idx="1035">
                  <c:v>44916</c:v>
                </c:pt>
                <c:pt idx="1036">
                  <c:v>44915</c:v>
                </c:pt>
                <c:pt idx="1037">
                  <c:v>44914</c:v>
                </c:pt>
                <c:pt idx="1038">
                  <c:v>44913</c:v>
                </c:pt>
                <c:pt idx="1039">
                  <c:v>44912</c:v>
                </c:pt>
                <c:pt idx="1040">
                  <c:v>44911</c:v>
                </c:pt>
                <c:pt idx="1041">
                  <c:v>44910</c:v>
                </c:pt>
                <c:pt idx="1042">
                  <c:v>44909</c:v>
                </c:pt>
                <c:pt idx="1043">
                  <c:v>44908</c:v>
                </c:pt>
                <c:pt idx="1044">
                  <c:v>44907</c:v>
                </c:pt>
              </c:numCache>
            </c:numRef>
          </c:cat>
          <c:val>
            <c:numRef>
              <c:f>'Stock Data'!$AN$4:$AN$1048</c:f>
              <c:numCache>
                <c:formatCode>#,##0.00_);\(#,##0.00\)</c:formatCode>
                <c:ptCount val="1045"/>
                <c:pt idx="0">
                  <c:v>216.04</c:v>
                </c:pt>
                <c:pt idx="1">
                  <c:v>216.04</c:v>
                </c:pt>
                <c:pt idx="2">
                  <c:v>215.19</c:v>
                </c:pt>
                <c:pt idx="3">
                  <c:v>216.05</c:v>
                </c:pt>
                <c:pt idx="4">
                  <c:v>217.26</c:v>
                </c:pt>
                <c:pt idx="5">
                  <c:v>220.31</c:v>
                </c:pt>
                <c:pt idx="6">
                  <c:v>220.31</c:v>
                </c:pt>
                <c:pt idx="7">
                  <c:v>220.31</c:v>
                </c:pt>
                <c:pt idx="8">
                  <c:v>223.06</c:v>
                </c:pt>
                <c:pt idx="9">
                  <c:v>221.76</c:v>
                </c:pt>
                <c:pt idx="10">
                  <c:v>221.99</c:v>
                </c:pt>
                <c:pt idx="11">
                  <c:v>223.57</c:v>
                </c:pt>
                <c:pt idx="12">
                  <c:v>223.57</c:v>
                </c:pt>
                <c:pt idx="13">
                  <c:v>223.57</c:v>
                </c:pt>
                <c:pt idx="14">
                  <c:v>223.57</c:v>
                </c:pt>
                <c:pt idx="15">
                  <c:v>222.35</c:v>
                </c:pt>
                <c:pt idx="16">
                  <c:v>220.95</c:v>
                </c:pt>
                <c:pt idx="17">
                  <c:v>222.74</c:v>
                </c:pt>
                <c:pt idx="18">
                  <c:v>223.32</c:v>
                </c:pt>
                <c:pt idx="19">
                  <c:v>227.85</c:v>
                </c:pt>
                <c:pt idx="20">
                  <c:v>227.85</c:v>
                </c:pt>
                <c:pt idx="21">
                  <c:v>227.85</c:v>
                </c:pt>
                <c:pt idx="22">
                  <c:v>225.3</c:v>
                </c:pt>
                <c:pt idx="23">
                  <c:v>225.68</c:v>
                </c:pt>
                <c:pt idx="24">
                  <c:v>223.77</c:v>
                </c:pt>
                <c:pt idx="25">
                  <c:v>220.08</c:v>
                </c:pt>
                <c:pt idx="26">
                  <c:v>220.78</c:v>
                </c:pt>
                <c:pt idx="27">
                  <c:v>220.78</c:v>
                </c:pt>
                <c:pt idx="28">
                  <c:v>220.78</c:v>
                </c:pt>
                <c:pt idx="29">
                  <c:v>221.52</c:v>
                </c:pt>
                <c:pt idx="30">
                  <c:v>223.18</c:v>
                </c:pt>
                <c:pt idx="31">
                  <c:v>218.8</c:v>
                </c:pt>
                <c:pt idx="32">
                  <c:v>219.65</c:v>
                </c:pt>
                <c:pt idx="33">
                  <c:v>222.24</c:v>
                </c:pt>
                <c:pt idx="34">
                  <c:v>222.24</c:v>
                </c:pt>
                <c:pt idx="35">
                  <c:v>222.24</c:v>
                </c:pt>
                <c:pt idx="36">
                  <c:v>222.66</c:v>
                </c:pt>
                <c:pt idx="37">
                  <c:v>225.46</c:v>
                </c:pt>
                <c:pt idx="38">
                  <c:v>222.97</c:v>
                </c:pt>
                <c:pt idx="39">
                  <c:v>222.06</c:v>
                </c:pt>
                <c:pt idx="40">
                  <c:v>219.4</c:v>
                </c:pt>
                <c:pt idx="41">
                  <c:v>219.4</c:v>
                </c:pt>
                <c:pt idx="42">
                  <c:v>219.4</c:v>
                </c:pt>
                <c:pt idx="43">
                  <c:v>221.97</c:v>
                </c:pt>
                <c:pt idx="44">
                  <c:v>225.28</c:v>
                </c:pt>
                <c:pt idx="45">
                  <c:v>223.77</c:v>
                </c:pt>
                <c:pt idx="46">
                  <c:v>229.24</c:v>
                </c:pt>
                <c:pt idx="47">
                  <c:v>224.74</c:v>
                </c:pt>
                <c:pt idx="48">
                  <c:v>224.74</c:v>
                </c:pt>
                <c:pt idx="49">
                  <c:v>224.74</c:v>
                </c:pt>
                <c:pt idx="50">
                  <c:v>220.52</c:v>
                </c:pt>
                <c:pt idx="51">
                  <c:v>231</c:v>
                </c:pt>
                <c:pt idx="52">
                  <c:v>229.24</c:v>
                </c:pt>
                <c:pt idx="53">
                  <c:v>225.85</c:v>
                </c:pt>
                <c:pt idx="54">
                  <c:v>224.87</c:v>
                </c:pt>
                <c:pt idx="55">
                  <c:v>224.87</c:v>
                </c:pt>
                <c:pt idx="56">
                  <c:v>224.87</c:v>
                </c:pt>
                <c:pt idx="57">
                  <c:v>227.49</c:v>
                </c:pt>
                <c:pt idx="58">
                  <c:v>231.18</c:v>
                </c:pt>
                <c:pt idx="59">
                  <c:v>231.14</c:v>
                </c:pt>
                <c:pt idx="60">
                  <c:v>233.31</c:v>
                </c:pt>
                <c:pt idx="61">
                  <c:v>235.1</c:v>
                </c:pt>
                <c:pt idx="62">
                  <c:v>235.1</c:v>
                </c:pt>
                <c:pt idx="63">
                  <c:v>235.1</c:v>
                </c:pt>
                <c:pt idx="64">
                  <c:v>237</c:v>
                </c:pt>
                <c:pt idx="65">
                  <c:v>236.49</c:v>
                </c:pt>
                <c:pt idx="66">
                  <c:v>236.54</c:v>
                </c:pt>
                <c:pt idx="67">
                  <c:v>235.35</c:v>
                </c:pt>
                <c:pt idx="68">
                  <c:v>236.28</c:v>
                </c:pt>
                <c:pt idx="69">
                  <c:v>236.28</c:v>
                </c:pt>
                <c:pt idx="70">
                  <c:v>236.28</c:v>
                </c:pt>
                <c:pt idx="71">
                  <c:v>236.28</c:v>
                </c:pt>
                <c:pt idx="72">
                  <c:v>237.16</c:v>
                </c:pt>
                <c:pt idx="73">
                  <c:v>235.57</c:v>
                </c:pt>
                <c:pt idx="74">
                  <c:v>230.08</c:v>
                </c:pt>
                <c:pt idx="75">
                  <c:v>231.41</c:v>
                </c:pt>
                <c:pt idx="76">
                  <c:v>231.41</c:v>
                </c:pt>
                <c:pt idx="77">
                  <c:v>231.41</c:v>
                </c:pt>
                <c:pt idx="78">
                  <c:v>229.39</c:v>
                </c:pt>
                <c:pt idx="79">
                  <c:v>226.81</c:v>
                </c:pt>
                <c:pt idx="80">
                  <c:v>227.91</c:v>
                </c:pt>
                <c:pt idx="81">
                  <c:v>225.88</c:v>
                </c:pt>
                <c:pt idx="82">
                  <c:v>222.51</c:v>
                </c:pt>
                <c:pt idx="83">
                  <c:v>222.51</c:v>
                </c:pt>
                <c:pt idx="84">
                  <c:v>222.51</c:v>
                </c:pt>
                <c:pt idx="85">
                  <c:v>222.01</c:v>
                </c:pt>
                <c:pt idx="86">
                  <c:v>222.01</c:v>
                </c:pt>
                <c:pt idx="87">
                  <c:v>220.59</c:v>
                </c:pt>
                <c:pt idx="88">
                  <c:v>224.65</c:v>
                </c:pt>
                <c:pt idx="89">
                  <c:v>223.37</c:v>
                </c:pt>
                <c:pt idx="90">
                  <c:v>223.37</c:v>
                </c:pt>
                <c:pt idx="91">
                  <c:v>223.37</c:v>
                </c:pt>
                <c:pt idx="92">
                  <c:v>225.49</c:v>
                </c:pt>
                <c:pt idx="93">
                  <c:v>225.72</c:v>
                </c:pt>
                <c:pt idx="94">
                  <c:v>226.6</c:v>
                </c:pt>
                <c:pt idx="95">
                  <c:v>224.14</c:v>
                </c:pt>
                <c:pt idx="96">
                  <c:v>223.43</c:v>
                </c:pt>
                <c:pt idx="97">
                  <c:v>223.43</c:v>
                </c:pt>
                <c:pt idx="98">
                  <c:v>223.43</c:v>
                </c:pt>
                <c:pt idx="99">
                  <c:v>220.65</c:v>
                </c:pt>
                <c:pt idx="100">
                  <c:v>220.87</c:v>
                </c:pt>
                <c:pt idx="101">
                  <c:v>221.78</c:v>
                </c:pt>
                <c:pt idx="102">
                  <c:v>218.89</c:v>
                </c:pt>
                <c:pt idx="103">
                  <c:v>221.66</c:v>
                </c:pt>
                <c:pt idx="104">
                  <c:v>221.66</c:v>
                </c:pt>
                <c:pt idx="105">
                  <c:v>221.66</c:v>
                </c:pt>
                <c:pt idx="106">
                  <c:v>222.51</c:v>
                </c:pt>
                <c:pt idx="107">
                  <c:v>222.18</c:v>
                </c:pt>
                <c:pt idx="108">
                  <c:v>224.35</c:v>
                </c:pt>
                <c:pt idx="109">
                  <c:v>222.11</c:v>
                </c:pt>
                <c:pt idx="110">
                  <c:v>222.11</c:v>
                </c:pt>
                <c:pt idx="111">
                  <c:v>222.11</c:v>
                </c:pt>
                <c:pt idx="112">
                  <c:v>222.11</c:v>
                </c:pt>
                <c:pt idx="113">
                  <c:v>222.87</c:v>
                </c:pt>
                <c:pt idx="114">
                  <c:v>223.62</c:v>
                </c:pt>
                <c:pt idx="115">
                  <c:v>228.33</c:v>
                </c:pt>
                <c:pt idx="116">
                  <c:v>229.5</c:v>
                </c:pt>
                <c:pt idx="117">
                  <c:v>231.42</c:v>
                </c:pt>
                <c:pt idx="118">
                  <c:v>231.42</c:v>
                </c:pt>
                <c:pt idx="119">
                  <c:v>231.42</c:v>
                </c:pt>
                <c:pt idx="120">
                  <c:v>230.85</c:v>
                </c:pt>
                <c:pt idx="121">
                  <c:v>228.34</c:v>
                </c:pt>
                <c:pt idx="122">
                  <c:v>228.25</c:v>
                </c:pt>
                <c:pt idx="123">
                  <c:v>230.87</c:v>
                </c:pt>
                <c:pt idx="124">
                  <c:v>216.32</c:v>
                </c:pt>
                <c:pt idx="125">
                  <c:v>216.32</c:v>
                </c:pt>
                <c:pt idx="126">
                  <c:v>216.32</c:v>
                </c:pt>
                <c:pt idx="127">
                  <c:v>216.84</c:v>
                </c:pt>
                <c:pt idx="128">
                  <c:v>213.85</c:v>
                </c:pt>
                <c:pt idx="129">
                  <c:v>213.2</c:v>
                </c:pt>
                <c:pt idx="130">
                  <c:v>216.53</c:v>
                </c:pt>
                <c:pt idx="131">
                  <c:v>218.29</c:v>
                </c:pt>
                <c:pt idx="132">
                  <c:v>218.29</c:v>
                </c:pt>
                <c:pt idx="133">
                  <c:v>218.29</c:v>
                </c:pt>
                <c:pt idx="134">
                  <c:v>214.08</c:v>
                </c:pt>
                <c:pt idx="135">
                  <c:v>215.66</c:v>
                </c:pt>
                <c:pt idx="136">
                  <c:v>214.54</c:v>
                </c:pt>
                <c:pt idx="137">
                  <c:v>212.61</c:v>
                </c:pt>
                <c:pt idx="138">
                  <c:v>213.29</c:v>
                </c:pt>
                <c:pt idx="139">
                  <c:v>213.29</c:v>
                </c:pt>
                <c:pt idx="140">
                  <c:v>213.29</c:v>
                </c:pt>
                <c:pt idx="141">
                  <c:v>215.45</c:v>
                </c:pt>
                <c:pt idx="142">
                  <c:v>219.78</c:v>
                </c:pt>
                <c:pt idx="143">
                  <c:v>216.9</c:v>
                </c:pt>
                <c:pt idx="144">
                  <c:v>216.05</c:v>
                </c:pt>
                <c:pt idx="145">
                  <c:v>220.26</c:v>
                </c:pt>
                <c:pt idx="146">
                  <c:v>220.26</c:v>
                </c:pt>
                <c:pt idx="147">
                  <c:v>220.26</c:v>
                </c:pt>
                <c:pt idx="148">
                  <c:v>220.26</c:v>
                </c:pt>
                <c:pt idx="149">
                  <c:v>216.6</c:v>
                </c:pt>
                <c:pt idx="150">
                  <c:v>220.08</c:v>
                </c:pt>
                <c:pt idx="151">
                  <c:v>222.27</c:v>
                </c:pt>
                <c:pt idx="152">
                  <c:v>218.59</c:v>
                </c:pt>
                <c:pt idx="153">
                  <c:v>218.59</c:v>
                </c:pt>
                <c:pt idx="154">
                  <c:v>218.59</c:v>
                </c:pt>
                <c:pt idx="155">
                  <c:v>219.32</c:v>
                </c:pt>
                <c:pt idx="156">
                  <c:v>223.53</c:v>
                </c:pt>
                <c:pt idx="157">
                  <c:v>208.27</c:v>
                </c:pt>
                <c:pt idx="158">
                  <c:v>209.97</c:v>
                </c:pt>
                <c:pt idx="159">
                  <c:v>213.26</c:v>
                </c:pt>
                <c:pt idx="160">
                  <c:v>213.26</c:v>
                </c:pt>
                <c:pt idx="161">
                  <c:v>213.26</c:v>
                </c:pt>
                <c:pt idx="162">
                  <c:v>223.97</c:v>
                </c:pt>
                <c:pt idx="163">
                  <c:v>238.46</c:v>
                </c:pt>
                <c:pt idx="164">
                  <c:v>237.17</c:v>
                </c:pt>
                <c:pt idx="165">
                  <c:v>236.24</c:v>
                </c:pt>
                <c:pt idx="166">
                  <c:v>232.15</c:v>
                </c:pt>
                <c:pt idx="167">
                  <c:v>232.15</c:v>
                </c:pt>
                <c:pt idx="168">
                  <c:v>232.15</c:v>
                </c:pt>
                <c:pt idx="169">
                  <c:v>235.97</c:v>
                </c:pt>
                <c:pt idx="170">
                  <c:v>238.03</c:v>
                </c:pt>
                <c:pt idx="171">
                  <c:v>235.79</c:v>
                </c:pt>
                <c:pt idx="172">
                  <c:v>235.2</c:v>
                </c:pt>
                <c:pt idx="173">
                  <c:v>233.88</c:v>
                </c:pt>
                <c:pt idx="174">
                  <c:v>233.88</c:v>
                </c:pt>
                <c:pt idx="175">
                  <c:v>233.88</c:v>
                </c:pt>
                <c:pt idx="176">
                  <c:v>234.79</c:v>
                </c:pt>
                <c:pt idx="177">
                  <c:v>236.39</c:v>
                </c:pt>
                <c:pt idx="178">
                  <c:v>237.09</c:v>
                </c:pt>
                <c:pt idx="179">
                  <c:v>237.86</c:v>
                </c:pt>
                <c:pt idx="180">
                  <c:v>237.53</c:v>
                </c:pt>
                <c:pt idx="181">
                  <c:v>237.53</c:v>
                </c:pt>
                <c:pt idx="182">
                  <c:v>237.53</c:v>
                </c:pt>
                <c:pt idx="183">
                  <c:v>234.29</c:v>
                </c:pt>
                <c:pt idx="184">
                  <c:v>237.49</c:v>
                </c:pt>
                <c:pt idx="185">
                  <c:v>237.78</c:v>
                </c:pt>
                <c:pt idx="186">
                  <c:v>248.29</c:v>
                </c:pt>
                <c:pt idx="187">
                  <c:v>249.31</c:v>
                </c:pt>
                <c:pt idx="188">
                  <c:v>249.31</c:v>
                </c:pt>
                <c:pt idx="189">
                  <c:v>249.31</c:v>
                </c:pt>
                <c:pt idx="190">
                  <c:v>245.27</c:v>
                </c:pt>
                <c:pt idx="191">
                  <c:v>243.61</c:v>
                </c:pt>
                <c:pt idx="192">
                  <c:v>241.52</c:v>
                </c:pt>
                <c:pt idx="193">
                  <c:v>245.81</c:v>
                </c:pt>
                <c:pt idx="194">
                  <c:v>246.69</c:v>
                </c:pt>
                <c:pt idx="195">
                  <c:v>246.69</c:v>
                </c:pt>
                <c:pt idx="196">
                  <c:v>246.69</c:v>
                </c:pt>
                <c:pt idx="197">
                  <c:v>245.07</c:v>
                </c:pt>
                <c:pt idx="198">
                  <c:v>245.48</c:v>
                </c:pt>
                <c:pt idx="199">
                  <c:v>245.89</c:v>
                </c:pt>
                <c:pt idx="200">
                  <c:v>242.33</c:v>
                </c:pt>
                <c:pt idx="201">
                  <c:v>245.55</c:v>
                </c:pt>
                <c:pt idx="202">
                  <c:v>245.55</c:v>
                </c:pt>
                <c:pt idx="203">
                  <c:v>245.55</c:v>
                </c:pt>
                <c:pt idx="204">
                  <c:v>247.65</c:v>
                </c:pt>
                <c:pt idx="205">
                  <c:v>247.06</c:v>
                </c:pt>
                <c:pt idx="206">
                  <c:v>251.17</c:v>
                </c:pt>
                <c:pt idx="207">
                  <c:v>249.22</c:v>
                </c:pt>
                <c:pt idx="208">
                  <c:v>249.22</c:v>
                </c:pt>
                <c:pt idx="209">
                  <c:v>249.22</c:v>
                </c:pt>
                <c:pt idx="210">
                  <c:v>249.22</c:v>
                </c:pt>
                <c:pt idx="211">
                  <c:v>250.97</c:v>
                </c:pt>
                <c:pt idx="212">
                  <c:v>248.51</c:v>
                </c:pt>
                <c:pt idx="213">
                  <c:v>247.73</c:v>
                </c:pt>
                <c:pt idx="214">
                  <c:v>244.33</c:v>
                </c:pt>
                <c:pt idx="215">
                  <c:v>242.08</c:v>
                </c:pt>
                <c:pt idx="216">
                  <c:v>242.08</c:v>
                </c:pt>
                <c:pt idx="217">
                  <c:v>242.08</c:v>
                </c:pt>
                <c:pt idx="218">
                  <c:v>243.51</c:v>
                </c:pt>
                <c:pt idx="219">
                  <c:v>244.48</c:v>
                </c:pt>
                <c:pt idx="220">
                  <c:v>243.5</c:v>
                </c:pt>
                <c:pt idx="221">
                  <c:v>243.02</c:v>
                </c:pt>
                <c:pt idx="222">
                  <c:v>247.79</c:v>
                </c:pt>
                <c:pt idx="223">
                  <c:v>247.79</c:v>
                </c:pt>
                <c:pt idx="224">
                  <c:v>247.79</c:v>
                </c:pt>
                <c:pt idx="225">
                  <c:v>249.92</c:v>
                </c:pt>
                <c:pt idx="226">
                  <c:v>249.55</c:v>
                </c:pt>
                <c:pt idx="227">
                  <c:v>249.16</c:v>
                </c:pt>
                <c:pt idx="228">
                  <c:v>254.42</c:v>
                </c:pt>
                <c:pt idx="229">
                  <c:v>248.78</c:v>
                </c:pt>
                <c:pt idx="230">
                  <c:v>248.78</c:v>
                </c:pt>
                <c:pt idx="231">
                  <c:v>248.78</c:v>
                </c:pt>
                <c:pt idx="232">
                  <c:v>248.05</c:v>
                </c:pt>
                <c:pt idx="233">
                  <c:v>235.8</c:v>
                </c:pt>
                <c:pt idx="234">
                  <c:v>236.73</c:v>
                </c:pt>
                <c:pt idx="235">
                  <c:v>234.26</c:v>
                </c:pt>
                <c:pt idx="236">
                  <c:v>234.26</c:v>
                </c:pt>
                <c:pt idx="237">
                  <c:v>234.26</c:v>
                </c:pt>
                <c:pt idx="238">
                  <c:v>234.26</c:v>
                </c:pt>
                <c:pt idx="239">
                  <c:v>234.89</c:v>
                </c:pt>
                <c:pt idx="240">
                  <c:v>230.86</c:v>
                </c:pt>
                <c:pt idx="241">
                  <c:v>229.38</c:v>
                </c:pt>
                <c:pt idx="242">
                  <c:v>226.76</c:v>
                </c:pt>
                <c:pt idx="243">
                  <c:v>225.21</c:v>
                </c:pt>
                <c:pt idx="244">
                  <c:v>225.21</c:v>
                </c:pt>
                <c:pt idx="245">
                  <c:v>225.21</c:v>
                </c:pt>
                <c:pt idx="246">
                  <c:v>231.82</c:v>
                </c:pt>
                <c:pt idx="247">
                  <c:v>231.82</c:v>
                </c:pt>
                <c:pt idx="248">
                  <c:v>230.54</c:v>
                </c:pt>
                <c:pt idx="249">
                  <c:v>230.01</c:v>
                </c:pt>
                <c:pt idx="250">
                  <c:v>231.5</c:v>
                </c:pt>
                <c:pt idx="251">
                  <c:v>231.5</c:v>
                </c:pt>
                <c:pt idx="252">
                  <c:v>231.5</c:v>
                </c:pt>
                <c:pt idx="253">
                  <c:v>229.12</c:v>
                </c:pt>
                <c:pt idx="254">
                  <c:v>228.04</c:v>
                </c:pt>
                <c:pt idx="255">
                  <c:v>228.04</c:v>
                </c:pt>
                <c:pt idx="256">
                  <c:v>227.79</c:v>
                </c:pt>
                <c:pt idx="257">
                  <c:v>229.93</c:v>
                </c:pt>
                <c:pt idx="258">
                  <c:v>229.93</c:v>
                </c:pt>
                <c:pt idx="259">
                  <c:v>229.93</c:v>
                </c:pt>
                <c:pt idx="260">
                  <c:v>230.23</c:v>
                </c:pt>
                <c:pt idx="261">
                  <c:v>229.75</c:v>
                </c:pt>
                <c:pt idx="262">
                  <c:v>229.75</c:v>
                </c:pt>
                <c:pt idx="263">
                  <c:v>227.13</c:v>
                </c:pt>
                <c:pt idx="264">
                  <c:v>226.32</c:v>
                </c:pt>
                <c:pt idx="265">
                  <c:v>226.32</c:v>
                </c:pt>
                <c:pt idx="266">
                  <c:v>226.32</c:v>
                </c:pt>
                <c:pt idx="267">
                  <c:v>223.15</c:v>
                </c:pt>
                <c:pt idx="268">
                  <c:v>224.54</c:v>
                </c:pt>
                <c:pt idx="269">
                  <c:v>229.88</c:v>
                </c:pt>
                <c:pt idx="270">
                  <c:v>232.89</c:v>
                </c:pt>
                <c:pt idx="271">
                  <c:v>234.98</c:v>
                </c:pt>
                <c:pt idx="272">
                  <c:v>234.98</c:v>
                </c:pt>
                <c:pt idx="273">
                  <c:v>234.98</c:v>
                </c:pt>
                <c:pt idx="274">
                  <c:v>233.71</c:v>
                </c:pt>
                <c:pt idx="275">
                  <c:v>233.78</c:v>
                </c:pt>
                <c:pt idx="276">
                  <c:v>237.09</c:v>
                </c:pt>
                <c:pt idx="277">
                  <c:v>233.54</c:v>
                </c:pt>
                <c:pt idx="278">
                  <c:v>233.57</c:v>
                </c:pt>
                <c:pt idx="279">
                  <c:v>233.57</c:v>
                </c:pt>
                <c:pt idx="280">
                  <c:v>233.57</c:v>
                </c:pt>
                <c:pt idx="281">
                  <c:v>234.63</c:v>
                </c:pt>
                <c:pt idx="282">
                  <c:v>235</c:v>
                </c:pt>
                <c:pt idx="283">
                  <c:v>236.99</c:v>
                </c:pt>
                <c:pt idx="284">
                  <c:v>240.78</c:v>
                </c:pt>
                <c:pt idx="285">
                  <c:v>244.66</c:v>
                </c:pt>
                <c:pt idx="286">
                  <c:v>244.66</c:v>
                </c:pt>
                <c:pt idx="287">
                  <c:v>244.66</c:v>
                </c:pt>
                <c:pt idx="288">
                  <c:v>245.23</c:v>
                </c:pt>
                <c:pt idx="289">
                  <c:v>245.23</c:v>
                </c:pt>
                <c:pt idx="290">
                  <c:v>245.63</c:v>
                </c:pt>
                <c:pt idx="291">
                  <c:v>249.32</c:v>
                </c:pt>
                <c:pt idx="292">
                  <c:v>242.39</c:v>
                </c:pt>
                <c:pt idx="293">
                  <c:v>242.39</c:v>
                </c:pt>
                <c:pt idx="294">
                  <c:v>242.39</c:v>
                </c:pt>
                <c:pt idx="295">
                  <c:v>239.02</c:v>
                </c:pt>
                <c:pt idx="296">
                  <c:v>233.56</c:v>
                </c:pt>
                <c:pt idx="297">
                  <c:v>233.29</c:v>
                </c:pt>
                <c:pt idx="298">
                  <c:v>234.41</c:v>
                </c:pt>
                <c:pt idx="299">
                  <c:v>235.57</c:v>
                </c:pt>
                <c:pt idx="300">
                  <c:v>235.57</c:v>
                </c:pt>
                <c:pt idx="301">
                  <c:v>235.57</c:v>
                </c:pt>
                <c:pt idx="302">
                  <c:v>235.58</c:v>
                </c:pt>
                <c:pt idx="303">
                  <c:v>240.41</c:v>
                </c:pt>
                <c:pt idx="304">
                  <c:v>238.91</c:v>
                </c:pt>
                <c:pt idx="305">
                  <c:v>241.95</c:v>
                </c:pt>
                <c:pt idx="306">
                  <c:v>241.49</c:v>
                </c:pt>
                <c:pt idx="307">
                  <c:v>241.49</c:v>
                </c:pt>
                <c:pt idx="308">
                  <c:v>241.49</c:v>
                </c:pt>
                <c:pt idx="309">
                  <c:v>242.56</c:v>
                </c:pt>
                <c:pt idx="310">
                  <c:v>248.49</c:v>
                </c:pt>
                <c:pt idx="311">
                  <c:v>233.87</c:v>
                </c:pt>
                <c:pt idx="312">
                  <c:v>229.91</c:v>
                </c:pt>
                <c:pt idx="313">
                  <c:v>232.69</c:v>
                </c:pt>
                <c:pt idx="314">
                  <c:v>232.69</c:v>
                </c:pt>
                <c:pt idx="315">
                  <c:v>232.69</c:v>
                </c:pt>
                <c:pt idx="316">
                  <c:v>232.07</c:v>
                </c:pt>
                <c:pt idx="317">
                  <c:v>232.17</c:v>
                </c:pt>
                <c:pt idx="318">
                  <c:v>231.99</c:v>
                </c:pt>
                <c:pt idx="319">
                  <c:v>231.98</c:v>
                </c:pt>
                <c:pt idx="320">
                  <c:v>230.3</c:v>
                </c:pt>
                <c:pt idx="321">
                  <c:v>230.3</c:v>
                </c:pt>
                <c:pt idx="322">
                  <c:v>230.3</c:v>
                </c:pt>
                <c:pt idx="323">
                  <c:v>230.75</c:v>
                </c:pt>
                <c:pt idx="324">
                  <c:v>241.35</c:v>
                </c:pt>
                <c:pt idx="325">
                  <c:v>241.45</c:v>
                </c:pt>
                <c:pt idx="326">
                  <c:v>240.35</c:v>
                </c:pt>
                <c:pt idx="327">
                  <c:v>244.1</c:v>
                </c:pt>
                <c:pt idx="328">
                  <c:v>244.1</c:v>
                </c:pt>
                <c:pt idx="329">
                  <c:v>244.1</c:v>
                </c:pt>
                <c:pt idx="330">
                  <c:v>241.72</c:v>
                </c:pt>
                <c:pt idx="331">
                  <c:v>248.1</c:v>
                </c:pt>
                <c:pt idx="332">
                  <c:v>245.79</c:v>
                </c:pt>
                <c:pt idx="333">
                  <c:v>245.27</c:v>
                </c:pt>
                <c:pt idx="334">
                  <c:v>242.31</c:v>
                </c:pt>
                <c:pt idx="335">
                  <c:v>242.31</c:v>
                </c:pt>
                <c:pt idx="336">
                  <c:v>242.31</c:v>
                </c:pt>
                <c:pt idx="337">
                  <c:v>238.82</c:v>
                </c:pt>
                <c:pt idx="338">
                  <c:v>237.68</c:v>
                </c:pt>
                <c:pt idx="339">
                  <c:v>237.56</c:v>
                </c:pt>
                <c:pt idx="340">
                  <c:v>236.87</c:v>
                </c:pt>
                <c:pt idx="341">
                  <c:v>238.86</c:v>
                </c:pt>
                <c:pt idx="342">
                  <c:v>238.86</c:v>
                </c:pt>
                <c:pt idx="343">
                  <c:v>238.86</c:v>
                </c:pt>
                <c:pt idx="344">
                  <c:v>240.63</c:v>
                </c:pt>
                <c:pt idx="345">
                  <c:v>243.35</c:v>
                </c:pt>
                <c:pt idx="346">
                  <c:v>245.55</c:v>
                </c:pt>
                <c:pt idx="347">
                  <c:v>246.48</c:v>
                </c:pt>
                <c:pt idx="348">
                  <c:v>244.22</c:v>
                </c:pt>
                <c:pt idx="349">
                  <c:v>244.22</c:v>
                </c:pt>
                <c:pt idx="350">
                  <c:v>244.22</c:v>
                </c:pt>
                <c:pt idx="351">
                  <c:v>243.23</c:v>
                </c:pt>
                <c:pt idx="352">
                  <c:v>245.5</c:v>
                </c:pt>
                <c:pt idx="353">
                  <c:v>248.96</c:v>
                </c:pt>
                <c:pt idx="354">
                  <c:v>244</c:v>
                </c:pt>
                <c:pt idx="355">
                  <c:v>245.39</c:v>
                </c:pt>
                <c:pt idx="356">
                  <c:v>245.39</c:v>
                </c:pt>
                <c:pt idx="357">
                  <c:v>245.39</c:v>
                </c:pt>
                <c:pt idx="358">
                  <c:v>248.44</c:v>
                </c:pt>
                <c:pt idx="359">
                  <c:v>251.2</c:v>
                </c:pt>
                <c:pt idx="360">
                  <c:v>253.55</c:v>
                </c:pt>
                <c:pt idx="361">
                  <c:v>252.43</c:v>
                </c:pt>
                <c:pt idx="362">
                  <c:v>249.12</c:v>
                </c:pt>
                <c:pt idx="363">
                  <c:v>249.12</c:v>
                </c:pt>
                <c:pt idx="364">
                  <c:v>249.12</c:v>
                </c:pt>
                <c:pt idx="365">
                  <c:v>248.89</c:v>
                </c:pt>
                <c:pt idx="366">
                  <c:v>247.5</c:v>
                </c:pt>
                <c:pt idx="367">
                  <c:v>252.58</c:v>
                </c:pt>
                <c:pt idx="368">
                  <c:v>251.11</c:v>
                </c:pt>
                <c:pt idx="369">
                  <c:v>249.63</c:v>
                </c:pt>
                <c:pt idx="370">
                  <c:v>249.63</c:v>
                </c:pt>
                <c:pt idx="371">
                  <c:v>249.63</c:v>
                </c:pt>
                <c:pt idx="372">
                  <c:v>251.53</c:v>
                </c:pt>
                <c:pt idx="373">
                  <c:v>255.7</c:v>
                </c:pt>
                <c:pt idx="374">
                  <c:v>255.21</c:v>
                </c:pt>
                <c:pt idx="375">
                  <c:v>256.08999999999997</c:v>
                </c:pt>
                <c:pt idx="376">
                  <c:v>256.08999999999997</c:v>
                </c:pt>
                <c:pt idx="377">
                  <c:v>256.08999999999997</c:v>
                </c:pt>
                <c:pt idx="378">
                  <c:v>256.08999999999997</c:v>
                </c:pt>
                <c:pt idx="379">
                  <c:v>253.2</c:v>
                </c:pt>
                <c:pt idx="380">
                  <c:v>252.67</c:v>
                </c:pt>
                <c:pt idx="381">
                  <c:v>250.35</c:v>
                </c:pt>
                <c:pt idx="382">
                  <c:v>247.84</c:v>
                </c:pt>
                <c:pt idx="383">
                  <c:v>246.85</c:v>
                </c:pt>
                <c:pt idx="384">
                  <c:v>246.85</c:v>
                </c:pt>
                <c:pt idx="385">
                  <c:v>246.85</c:v>
                </c:pt>
                <c:pt idx="386">
                  <c:v>244.32</c:v>
                </c:pt>
                <c:pt idx="387">
                  <c:v>245.73</c:v>
                </c:pt>
                <c:pt idx="388">
                  <c:v>246.5</c:v>
                </c:pt>
                <c:pt idx="389">
                  <c:v>246.07</c:v>
                </c:pt>
                <c:pt idx="390">
                  <c:v>244.53</c:v>
                </c:pt>
                <c:pt idx="391">
                  <c:v>244.53</c:v>
                </c:pt>
                <c:pt idx="392">
                  <c:v>244.53</c:v>
                </c:pt>
                <c:pt idx="393">
                  <c:v>243.71</c:v>
                </c:pt>
                <c:pt idx="394">
                  <c:v>241.22</c:v>
                </c:pt>
                <c:pt idx="395">
                  <c:v>237.27</c:v>
                </c:pt>
                <c:pt idx="396">
                  <c:v>236.75</c:v>
                </c:pt>
                <c:pt idx="397">
                  <c:v>237.52</c:v>
                </c:pt>
                <c:pt idx="398">
                  <c:v>237.52</c:v>
                </c:pt>
                <c:pt idx="399">
                  <c:v>237.52</c:v>
                </c:pt>
                <c:pt idx="400">
                  <c:v>240.54</c:v>
                </c:pt>
                <c:pt idx="401">
                  <c:v>236.84</c:v>
                </c:pt>
                <c:pt idx="402">
                  <c:v>238.55</c:v>
                </c:pt>
                <c:pt idx="403">
                  <c:v>234.87</c:v>
                </c:pt>
                <c:pt idx="404">
                  <c:v>239.97</c:v>
                </c:pt>
                <c:pt idx="405">
                  <c:v>239.97</c:v>
                </c:pt>
                <c:pt idx="406">
                  <c:v>239.97</c:v>
                </c:pt>
                <c:pt idx="407">
                  <c:v>244.47</c:v>
                </c:pt>
                <c:pt idx="408">
                  <c:v>246.73</c:v>
                </c:pt>
                <c:pt idx="409">
                  <c:v>245.43</c:v>
                </c:pt>
                <c:pt idx="410">
                  <c:v>242.15</c:v>
                </c:pt>
                <c:pt idx="411">
                  <c:v>240.36</c:v>
                </c:pt>
                <c:pt idx="412">
                  <c:v>240.36</c:v>
                </c:pt>
                <c:pt idx="413">
                  <c:v>240.36</c:v>
                </c:pt>
                <c:pt idx="414">
                  <c:v>235.35</c:v>
                </c:pt>
                <c:pt idx="415">
                  <c:v>237.38</c:v>
                </c:pt>
                <c:pt idx="416">
                  <c:v>239.5</c:v>
                </c:pt>
                <c:pt idx="417">
                  <c:v>243.27</c:v>
                </c:pt>
                <c:pt idx="418">
                  <c:v>242.32</c:v>
                </c:pt>
                <c:pt idx="419">
                  <c:v>242.32</c:v>
                </c:pt>
                <c:pt idx="420">
                  <c:v>242.32</c:v>
                </c:pt>
                <c:pt idx="421">
                  <c:v>243.01</c:v>
                </c:pt>
                <c:pt idx="422">
                  <c:v>243.89</c:v>
                </c:pt>
                <c:pt idx="423">
                  <c:v>243.06</c:v>
                </c:pt>
                <c:pt idx="424">
                  <c:v>235.99</c:v>
                </c:pt>
                <c:pt idx="425">
                  <c:v>230.22</c:v>
                </c:pt>
                <c:pt idx="426">
                  <c:v>230.22</c:v>
                </c:pt>
                <c:pt idx="427">
                  <c:v>230.22</c:v>
                </c:pt>
                <c:pt idx="428">
                  <c:v>228.72</c:v>
                </c:pt>
                <c:pt idx="429">
                  <c:v>224.41</c:v>
                </c:pt>
                <c:pt idx="430">
                  <c:v>221.78</c:v>
                </c:pt>
                <c:pt idx="431">
                  <c:v>223.39</c:v>
                </c:pt>
                <c:pt idx="432">
                  <c:v>225.17</c:v>
                </c:pt>
                <c:pt idx="433">
                  <c:v>225.17</c:v>
                </c:pt>
                <c:pt idx="434">
                  <c:v>225.17</c:v>
                </c:pt>
                <c:pt idx="435">
                  <c:v>225.57</c:v>
                </c:pt>
                <c:pt idx="436">
                  <c:v>225.57</c:v>
                </c:pt>
                <c:pt idx="437">
                  <c:v>225.5</c:v>
                </c:pt>
                <c:pt idx="438">
                  <c:v>224.86</c:v>
                </c:pt>
                <c:pt idx="439">
                  <c:v>226.26</c:v>
                </c:pt>
                <c:pt idx="440">
                  <c:v>226.26</c:v>
                </c:pt>
                <c:pt idx="441">
                  <c:v>226.26</c:v>
                </c:pt>
                <c:pt idx="442">
                  <c:v>223.47</c:v>
                </c:pt>
                <c:pt idx="443">
                  <c:v>223.61</c:v>
                </c:pt>
                <c:pt idx="444">
                  <c:v>224.06</c:v>
                </c:pt>
                <c:pt idx="445">
                  <c:v>226.36</c:v>
                </c:pt>
                <c:pt idx="446">
                  <c:v>226.11</c:v>
                </c:pt>
                <c:pt idx="447">
                  <c:v>226.11</c:v>
                </c:pt>
                <c:pt idx="448">
                  <c:v>226.11</c:v>
                </c:pt>
                <c:pt idx="449">
                  <c:v>225.17</c:v>
                </c:pt>
                <c:pt idx="450">
                  <c:v>222.58</c:v>
                </c:pt>
                <c:pt idx="451">
                  <c:v>222.58</c:v>
                </c:pt>
                <c:pt idx="452">
                  <c:v>221.38</c:v>
                </c:pt>
                <c:pt idx="453">
                  <c:v>222.1</c:v>
                </c:pt>
                <c:pt idx="454">
                  <c:v>222.1</c:v>
                </c:pt>
                <c:pt idx="455">
                  <c:v>222.1</c:v>
                </c:pt>
                <c:pt idx="456">
                  <c:v>222.12</c:v>
                </c:pt>
                <c:pt idx="457">
                  <c:v>226.47</c:v>
                </c:pt>
                <c:pt idx="458">
                  <c:v>227.41</c:v>
                </c:pt>
                <c:pt idx="459">
                  <c:v>228.95</c:v>
                </c:pt>
                <c:pt idx="460">
                  <c:v>227.97</c:v>
                </c:pt>
                <c:pt idx="461">
                  <c:v>227.97</c:v>
                </c:pt>
                <c:pt idx="462">
                  <c:v>227.97</c:v>
                </c:pt>
                <c:pt idx="463">
                  <c:v>228.31</c:v>
                </c:pt>
                <c:pt idx="464">
                  <c:v>227.41</c:v>
                </c:pt>
                <c:pt idx="465">
                  <c:v>227.62</c:v>
                </c:pt>
                <c:pt idx="466">
                  <c:v>228.32</c:v>
                </c:pt>
                <c:pt idx="467">
                  <c:v>232.82</c:v>
                </c:pt>
                <c:pt idx="468">
                  <c:v>232.82</c:v>
                </c:pt>
                <c:pt idx="469">
                  <c:v>232.82</c:v>
                </c:pt>
                <c:pt idx="470">
                  <c:v>229.24</c:v>
                </c:pt>
                <c:pt idx="471">
                  <c:v>225.88</c:v>
                </c:pt>
                <c:pt idx="472">
                  <c:v>229.01</c:v>
                </c:pt>
                <c:pt idx="473">
                  <c:v>232.05</c:v>
                </c:pt>
                <c:pt idx="474">
                  <c:v>232.05</c:v>
                </c:pt>
                <c:pt idx="475">
                  <c:v>232.05</c:v>
                </c:pt>
                <c:pt idx="476">
                  <c:v>232.05</c:v>
                </c:pt>
                <c:pt idx="477">
                  <c:v>232.71</c:v>
                </c:pt>
                <c:pt idx="478">
                  <c:v>234.71</c:v>
                </c:pt>
                <c:pt idx="479">
                  <c:v>234.96</c:v>
                </c:pt>
                <c:pt idx="480">
                  <c:v>243.63</c:v>
                </c:pt>
                <c:pt idx="481">
                  <c:v>244.97</c:v>
                </c:pt>
                <c:pt idx="482">
                  <c:v>244.97</c:v>
                </c:pt>
                <c:pt idx="483">
                  <c:v>244.97</c:v>
                </c:pt>
                <c:pt idx="484">
                  <c:v>245.9</c:v>
                </c:pt>
                <c:pt idx="485">
                  <c:v>246.54</c:v>
                </c:pt>
                <c:pt idx="486">
                  <c:v>244.94</c:v>
                </c:pt>
                <c:pt idx="487">
                  <c:v>245.68</c:v>
                </c:pt>
                <c:pt idx="488">
                  <c:v>247.4</c:v>
                </c:pt>
                <c:pt idx="489">
                  <c:v>247.4</c:v>
                </c:pt>
                <c:pt idx="490">
                  <c:v>247.4</c:v>
                </c:pt>
                <c:pt idx="491">
                  <c:v>246.61</c:v>
                </c:pt>
                <c:pt idx="492">
                  <c:v>245.9</c:v>
                </c:pt>
                <c:pt idx="493">
                  <c:v>242.38</c:v>
                </c:pt>
                <c:pt idx="494">
                  <c:v>239.21</c:v>
                </c:pt>
                <c:pt idx="495">
                  <c:v>240.36</c:v>
                </c:pt>
                <c:pt idx="496">
                  <c:v>240.36</c:v>
                </c:pt>
                <c:pt idx="497">
                  <c:v>240.36</c:v>
                </c:pt>
                <c:pt idx="498">
                  <c:v>237.69</c:v>
                </c:pt>
                <c:pt idx="499">
                  <c:v>234.96</c:v>
                </c:pt>
                <c:pt idx="500">
                  <c:v>237.16</c:v>
                </c:pt>
                <c:pt idx="501">
                  <c:v>240.95</c:v>
                </c:pt>
                <c:pt idx="502">
                  <c:v>242.79</c:v>
                </c:pt>
                <c:pt idx="503">
                  <c:v>242.79</c:v>
                </c:pt>
                <c:pt idx="504">
                  <c:v>242.79</c:v>
                </c:pt>
                <c:pt idx="505">
                  <c:v>243.55</c:v>
                </c:pt>
                <c:pt idx="506">
                  <c:v>231.98</c:v>
                </c:pt>
                <c:pt idx="507">
                  <c:v>236.29</c:v>
                </c:pt>
                <c:pt idx="508">
                  <c:v>234.47</c:v>
                </c:pt>
                <c:pt idx="509">
                  <c:v>232.08</c:v>
                </c:pt>
                <c:pt idx="510">
                  <c:v>232.08</c:v>
                </c:pt>
                <c:pt idx="511">
                  <c:v>232.08</c:v>
                </c:pt>
                <c:pt idx="512">
                  <c:v>229.81</c:v>
                </c:pt>
                <c:pt idx="513">
                  <c:v>229.23</c:v>
                </c:pt>
                <c:pt idx="514">
                  <c:v>231.26</c:v>
                </c:pt>
                <c:pt idx="515">
                  <c:v>233.94</c:v>
                </c:pt>
                <c:pt idx="516">
                  <c:v>234.4</c:v>
                </c:pt>
                <c:pt idx="517">
                  <c:v>234.4</c:v>
                </c:pt>
                <c:pt idx="518">
                  <c:v>234.4</c:v>
                </c:pt>
                <c:pt idx="519">
                  <c:v>236.16</c:v>
                </c:pt>
                <c:pt idx="520">
                  <c:v>236.85</c:v>
                </c:pt>
                <c:pt idx="521">
                  <c:v>240.79</c:v>
                </c:pt>
                <c:pt idx="522">
                  <c:v>240.29</c:v>
                </c:pt>
                <c:pt idx="523">
                  <c:v>242.01</c:v>
                </c:pt>
                <c:pt idx="524">
                  <c:v>242.01</c:v>
                </c:pt>
                <c:pt idx="525">
                  <c:v>242.01</c:v>
                </c:pt>
                <c:pt idx="526">
                  <c:v>240.69</c:v>
                </c:pt>
                <c:pt idx="527">
                  <c:v>241.55</c:v>
                </c:pt>
                <c:pt idx="528">
                  <c:v>242.53</c:v>
                </c:pt>
                <c:pt idx="529">
                  <c:v>243.3</c:v>
                </c:pt>
                <c:pt idx="530">
                  <c:v>245.93</c:v>
                </c:pt>
                <c:pt idx="531">
                  <c:v>245.93</c:v>
                </c:pt>
                <c:pt idx="532">
                  <c:v>245.93</c:v>
                </c:pt>
                <c:pt idx="533">
                  <c:v>245.93</c:v>
                </c:pt>
                <c:pt idx="534">
                  <c:v>244.63</c:v>
                </c:pt>
                <c:pt idx="535">
                  <c:v>240.69</c:v>
                </c:pt>
                <c:pt idx="536">
                  <c:v>243.85</c:v>
                </c:pt>
                <c:pt idx="537">
                  <c:v>244.97</c:v>
                </c:pt>
                <c:pt idx="538">
                  <c:v>244.97</c:v>
                </c:pt>
                <c:pt idx="539">
                  <c:v>244.97</c:v>
                </c:pt>
                <c:pt idx="540">
                  <c:v>248.11</c:v>
                </c:pt>
                <c:pt idx="541">
                  <c:v>246.31</c:v>
                </c:pt>
                <c:pt idx="542">
                  <c:v>242.71</c:v>
                </c:pt>
                <c:pt idx="543">
                  <c:v>244.36</c:v>
                </c:pt>
                <c:pt idx="544">
                  <c:v>244.13</c:v>
                </c:pt>
                <c:pt idx="545">
                  <c:v>244.13</c:v>
                </c:pt>
                <c:pt idx="546">
                  <c:v>244.13</c:v>
                </c:pt>
                <c:pt idx="547">
                  <c:v>246.06</c:v>
                </c:pt>
                <c:pt idx="548">
                  <c:v>249.25</c:v>
                </c:pt>
                <c:pt idx="549">
                  <c:v>251.18</c:v>
                </c:pt>
                <c:pt idx="550">
                  <c:v>249.87</c:v>
                </c:pt>
                <c:pt idx="551">
                  <c:v>250.96</c:v>
                </c:pt>
                <c:pt idx="552">
                  <c:v>250.96</c:v>
                </c:pt>
                <c:pt idx="553">
                  <c:v>250.96</c:v>
                </c:pt>
                <c:pt idx="554">
                  <c:v>249.04</c:v>
                </c:pt>
                <c:pt idx="555">
                  <c:v>251</c:v>
                </c:pt>
                <c:pt idx="556">
                  <c:v>253.7</c:v>
                </c:pt>
                <c:pt idx="557">
                  <c:v>253.47</c:v>
                </c:pt>
                <c:pt idx="558">
                  <c:v>252.98</c:v>
                </c:pt>
                <c:pt idx="559">
                  <c:v>252.98</c:v>
                </c:pt>
                <c:pt idx="560">
                  <c:v>252.98</c:v>
                </c:pt>
                <c:pt idx="561">
                  <c:v>253.69</c:v>
                </c:pt>
                <c:pt idx="562">
                  <c:v>253.99</c:v>
                </c:pt>
                <c:pt idx="563">
                  <c:v>253.29</c:v>
                </c:pt>
                <c:pt idx="564">
                  <c:v>252.64</c:v>
                </c:pt>
                <c:pt idx="565">
                  <c:v>256.91000000000003</c:v>
                </c:pt>
                <c:pt idx="566">
                  <c:v>256.91000000000003</c:v>
                </c:pt>
                <c:pt idx="567">
                  <c:v>256.91000000000003</c:v>
                </c:pt>
                <c:pt idx="568">
                  <c:v>254.51</c:v>
                </c:pt>
                <c:pt idx="569">
                  <c:v>251.32</c:v>
                </c:pt>
                <c:pt idx="570">
                  <c:v>247.14</c:v>
                </c:pt>
                <c:pt idx="571">
                  <c:v>246.59</c:v>
                </c:pt>
                <c:pt idx="572">
                  <c:v>246.59</c:v>
                </c:pt>
                <c:pt idx="573">
                  <c:v>246.59</c:v>
                </c:pt>
                <c:pt idx="574">
                  <c:v>246.59</c:v>
                </c:pt>
                <c:pt idx="575">
                  <c:v>250.55</c:v>
                </c:pt>
                <c:pt idx="576">
                  <c:v>250.11</c:v>
                </c:pt>
                <c:pt idx="577">
                  <c:v>245.61</c:v>
                </c:pt>
                <c:pt idx="578">
                  <c:v>247.4</c:v>
                </c:pt>
                <c:pt idx="579">
                  <c:v>249.45</c:v>
                </c:pt>
                <c:pt idx="580">
                  <c:v>249.45</c:v>
                </c:pt>
                <c:pt idx="581">
                  <c:v>249.45</c:v>
                </c:pt>
                <c:pt idx="582">
                  <c:v>248.82</c:v>
                </c:pt>
                <c:pt idx="583">
                  <c:v>249.16</c:v>
                </c:pt>
                <c:pt idx="584">
                  <c:v>249.87</c:v>
                </c:pt>
                <c:pt idx="585">
                  <c:v>246.64</c:v>
                </c:pt>
                <c:pt idx="586">
                  <c:v>248.33</c:v>
                </c:pt>
                <c:pt idx="587">
                  <c:v>248.33</c:v>
                </c:pt>
                <c:pt idx="588">
                  <c:v>248.33</c:v>
                </c:pt>
                <c:pt idx="589">
                  <c:v>249.27</c:v>
                </c:pt>
                <c:pt idx="590">
                  <c:v>243.93</c:v>
                </c:pt>
                <c:pt idx="591">
                  <c:v>246.7</c:v>
                </c:pt>
                <c:pt idx="592">
                  <c:v>245.17</c:v>
                </c:pt>
                <c:pt idx="593">
                  <c:v>240.39</c:v>
                </c:pt>
                <c:pt idx="594">
                  <c:v>240.39</c:v>
                </c:pt>
                <c:pt idx="595">
                  <c:v>240.39</c:v>
                </c:pt>
                <c:pt idx="596">
                  <c:v>241.57</c:v>
                </c:pt>
                <c:pt idx="597">
                  <c:v>242.33</c:v>
                </c:pt>
                <c:pt idx="598">
                  <c:v>243.33</c:v>
                </c:pt>
                <c:pt idx="599">
                  <c:v>243.11</c:v>
                </c:pt>
                <c:pt idx="600">
                  <c:v>239.27</c:v>
                </c:pt>
                <c:pt idx="601">
                  <c:v>239.27</c:v>
                </c:pt>
                <c:pt idx="602">
                  <c:v>239.27</c:v>
                </c:pt>
                <c:pt idx="603">
                  <c:v>237.99</c:v>
                </c:pt>
                <c:pt idx="604">
                  <c:v>235.81</c:v>
                </c:pt>
                <c:pt idx="605">
                  <c:v>236.21</c:v>
                </c:pt>
                <c:pt idx="606">
                  <c:v>237.71</c:v>
                </c:pt>
                <c:pt idx="607">
                  <c:v>237.71</c:v>
                </c:pt>
                <c:pt idx="608">
                  <c:v>237.71</c:v>
                </c:pt>
                <c:pt idx="609">
                  <c:v>237.71</c:v>
                </c:pt>
                <c:pt idx="610">
                  <c:v>236.38</c:v>
                </c:pt>
                <c:pt idx="611">
                  <c:v>239</c:v>
                </c:pt>
                <c:pt idx="612">
                  <c:v>237.41</c:v>
                </c:pt>
                <c:pt idx="613">
                  <c:v>240.62</c:v>
                </c:pt>
                <c:pt idx="614">
                  <c:v>239.91</c:v>
                </c:pt>
                <c:pt idx="615">
                  <c:v>239.91</c:v>
                </c:pt>
                <c:pt idx="616">
                  <c:v>239.91</c:v>
                </c:pt>
                <c:pt idx="617">
                  <c:v>241.06</c:v>
                </c:pt>
                <c:pt idx="618">
                  <c:v>241.7</c:v>
                </c:pt>
                <c:pt idx="619">
                  <c:v>243.43</c:v>
                </c:pt>
                <c:pt idx="620">
                  <c:v>245.62</c:v>
                </c:pt>
                <c:pt idx="621">
                  <c:v>245.62</c:v>
                </c:pt>
                <c:pt idx="622">
                  <c:v>245.62</c:v>
                </c:pt>
                <c:pt idx="623">
                  <c:v>245.62</c:v>
                </c:pt>
                <c:pt idx="624">
                  <c:v>246.02</c:v>
                </c:pt>
                <c:pt idx="625">
                  <c:v>245.81</c:v>
                </c:pt>
                <c:pt idx="626">
                  <c:v>245.29</c:v>
                </c:pt>
                <c:pt idx="627">
                  <c:v>243.58</c:v>
                </c:pt>
                <c:pt idx="628">
                  <c:v>243.58</c:v>
                </c:pt>
                <c:pt idx="629">
                  <c:v>243.58</c:v>
                </c:pt>
                <c:pt idx="630">
                  <c:v>243.58</c:v>
                </c:pt>
                <c:pt idx="631">
                  <c:v>242.11</c:v>
                </c:pt>
                <c:pt idx="632">
                  <c:v>237.84</c:v>
                </c:pt>
                <c:pt idx="633">
                  <c:v>242.65</c:v>
                </c:pt>
                <c:pt idx="634">
                  <c:v>241.1</c:v>
                </c:pt>
                <c:pt idx="635">
                  <c:v>241.98</c:v>
                </c:pt>
                <c:pt idx="636">
                  <c:v>241.98</c:v>
                </c:pt>
                <c:pt idx="637">
                  <c:v>241.98</c:v>
                </c:pt>
                <c:pt idx="638">
                  <c:v>242.86</c:v>
                </c:pt>
                <c:pt idx="639">
                  <c:v>236.69</c:v>
                </c:pt>
                <c:pt idx="640">
                  <c:v>232.91</c:v>
                </c:pt>
                <c:pt idx="641">
                  <c:v>232.03</c:v>
                </c:pt>
                <c:pt idx="642">
                  <c:v>229.77</c:v>
                </c:pt>
                <c:pt idx="643">
                  <c:v>229.77</c:v>
                </c:pt>
                <c:pt idx="644">
                  <c:v>229.77</c:v>
                </c:pt>
                <c:pt idx="645">
                  <c:v>231.49</c:v>
                </c:pt>
                <c:pt idx="646">
                  <c:v>232.97</c:v>
                </c:pt>
                <c:pt idx="647">
                  <c:v>232.17</c:v>
                </c:pt>
                <c:pt idx="648">
                  <c:v>233.9</c:v>
                </c:pt>
                <c:pt idx="649">
                  <c:v>231.37</c:v>
                </c:pt>
                <c:pt idx="650">
                  <c:v>231.37</c:v>
                </c:pt>
                <c:pt idx="651">
                  <c:v>231.37</c:v>
                </c:pt>
                <c:pt idx="652">
                  <c:v>225.27</c:v>
                </c:pt>
                <c:pt idx="653">
                  <c:v>221.47</c:v>
                </c:pt>
                <c:pt idx="654">
                  <c:v>221.23</c:v>
                </c:pt>
                <c:pt idx="655">
                  <c:v>219.85</c:v>
                </c:pt>
                <c:pt idx="656">
                  <c:v>224.28</c:v>
                </c:pt>
                <c:pt idx="657">
                  <c:v>224.28</c:v>
                </c:pt>
                <c:pt idx="658">
                  <c:v>224.28</c:v>
                </c:pt>
                <c:pt idx="659">
                  <c:v>223.49</c:v>
                </c:pt>
                <c:pt idx="660">
                  <c:v>223.49</c:v>
                </c:pt>
                <c:pt idx="661">
                  <c:v>222</c:v>
                </c:pt>
                <c:pt idx="662">
                  <c:v>221.1</c:v>
                </c:pt>
                <c:pt idx="663">
                  <c:v>219.21</c:v>
                </c:pt>
                <c:pt idx="664">
                  <c:v>219.21</c:v>
                </c:pt>
                <c:pt idx="665">
                  <c:v>219.21</c:v>
                </c:pt>
                <c:pt idx="666">
                  <c:v>219.36</c:v>
                </c:pt>
                <c:pt idx="667">
                  <c:v>218.08</c:v>
                </c:pt>
                <c:pt idx="668">
                  <c:v>215.69</c:v>
                </c:pt>
                <c:pt idx="669">
                  <c:v>209.4</c:v>
                </c:pt>
                <c:pt idx="670">
                  <c:v>211.49</c:v>
                </c:pt>
                <c:pt idx="671">
                  <c:v>211.49</c:v>
                </c:pt>
                <c:pt idx="672">
                  <c:v>211.49</c:v>
                </c:pt>
                <c:pt idx="673">
                  <c:v>210.23</c:v>
                </c:pt>
                <c:pt idx="674">
                  <c:v>212</c:v>
                </c:pt>
                <c:pt idx="675">
                  <c:v>211.41</c:v>
                </c:pt>
                <c:pt idx="676">
                  <c:v>213.1</c:v>
                </c:pt>
                <c:pt idx="677">
                  <c:v>212.13</c:v>
                </c:pt>
                <c:pt idx="678">
                  <c:v>212.13</c:v>
                </c:pt>
                <c:pt idx="679">
                  <c:v>212.13</c:v>
                </c:pt>
                <c:pt idx="680">
                  <c:v>211.39</c:v>
                </c:pt>
                <c:pt idx="681">
                  <c:v>207.56</c:v>
                </c:pt>
                <c:pt idx="682">
                  <c:v>207.61</c:v>
                </c:pt>
                <c:pt idx="683">
                  <c:v>205.8</c:v>
                </c:pt>
                <c:pt idx="684">
                  <c:v>201.72</c:v>
                </c:pt>
                <c:pt idx="685">
                  <c:v>201.72</c:v>
                </c:pt>
                <c:pt idx="686">
                  <c:v>201.72</c:v>
                </c:pt>
                <c:pt idx="687">
                  <c:v>202.24</c:v>
                </c:pt>
                <c:pt idx="688">
                  <c:v>205.22</c:v>
                </c:pt>
                <c:pt idx="689">
                  <c:v>205.44</c:v>
                </c:pt>
                <c:pt idx="690">
                  <c:v>207.76</c:v>
                </c:pt>
                <c:pt idx="691">
                  <c:v>211.34</c:v>
                </c:pt>
                <c:pt idx="692">
                  <c:v>211.34</c:v>
                </c:pt>
                <c:pt idx="693">
                  <c:v>211.34</c:v>
                </c:pt>
                <c:pt idx="694">
                  <c:v>210.33</c:v>
                </c:pt>
                <c:pt idx="695">
                  <c:v>205.92</c:v>
                </c:pt>
                <c:pt idx="696">
                  <c:v>211.34</c:v>
                </c:pt>
                <c:pt idx="697">
                  <c:v>210.83</c:v>
                </c:pt>
                <c:pt idx="698">
                  <c:v>207.75</c:v>
                </c:pt>
                <c:pt idx="699">
                  <c:v>207.75</c:v>
                </c:pt>
                <c:pt idx="700">
                  <c:v>207.75</c:v>
                </c:pt>
                <c:pt idx="701">
                  <c:v>207.99</c:v>
                </c:pt>
                <c:pt idx="702">
                  <c:v>209.48</c:v>
                </c:pt>
                <c:pt idx="703">
                  <c:v>206.35</c:v>
                </c:pt>
                <c:pt idx="704">
                  <c:v>204.3</c:v>
                </c:pt>
                <c:pt idx="705">
                  <c:v>202.46</c:v>
                </c:pt>
                <c:pt idx="706">
                  <c:v>202.46</c:v>
                </c:pt>
                <c:pt idx="707">
                  <c:v>202.46</c:v>
                </c:pt>
                <c:pt idx="708">
                  <c:v>200.64</c:v>
                </c:pt>
                <c:pt idx="709">
                  <c:v>202.27</c:v>
                </c:pt>
                <c:pt idx="710">
                  <c:v>203.78</c:v>
                </c:pt>
                <c:pt idx="711">
                  <c:v>202.64</c:v>
                </c:pt>
                <c:pt idx="712">
                  <c:v>203.63</c:v>
                </c:pt>
                <c:pt idx="713">
                  <c:v>203.63</c:v>
                </c:pt>
                <c:pt idx="714">
                  <c:v>203.63</c:v>
                </c:pt>
                <c:pt idx="715">
                  <c:v>204.11</c:v>
                </c:pt>
                <c:pt idx="716">
                  <c:v>202.4</c:v>
                </c:pt>
                <c:pt idx="717">
                  <c:v>204.84</c:v>
                </c:pt>
                <c:pt idx="718">
                  <c:v>208.48</c:v>
                </c:pt>
                <c:pt idx="719">
                  <c:v>209.24</c:v>
                </c:pt>
                <c:pt idx="720">
                  <c:v>209.24</c:v>
                </c:pt>
                <c:pt idx="721">
                  <c:v>209.24</c:v>
                </c:pt>
                <c:pt idx="722">
                  <c:v>211.4</c:v>
                </c:pt>
                <c:pt idx="723">
                  <c:v>212.98</c:v>
                </c:pt>
                <c:pt idx="724">
                  <c:v>211.77</c:v>
                </c:pt>
                <c:pt idx="725">
                  <c:v>213.15</c:v>
                </c:pt>
                <c:pt idx="726">
                  <c:v>213.32</c:v>
                </c:pt>
                <c:pt idx="727">
                  <c:v>213.32</c:v>
                </c:pt>
                <c:pt idx="728">
                  <c:v>213.32</c:v>
                </c:pt>
                <c:pt idx="729">
                  <c:v>215.7</c:v>
                </c:pt>
                <c:pt idx="730">
                  <c:v>212.13</c:v>
                </c:pt>
                <c:pt idx="731">
                  <c:v>213.87</c:v>
                </c:pt>
                <c:pt idx="732">
                  <c:v>211.61</c:v>
                </c:pt>
                <c:pt idx="733">
                  <c:v>211.8</c:v>
                </c:pt>
                <c:pt idx="734">
                  <c:v>211.8</c:v>
                </c:pt>
                <c:pt idx="735">
                  <c:v>211.8</c:v>
                </c:pt>
                <c:pt idx="736">
                  <c:v>210.57</c:v>
                </c:pt>
                <c:pt idx="737">
                  <c:v>212.83</c:v>
                </c:pt>
                <c:pt idx="738">
                  <c:v>215.71</c:v>
                </c:pt>
                <c:pt idx="739">
                  <c:v>221.03</c:v>
                </c:pt>
                <c:pt idx="740">
                  <c:v>221.03</c:v>
                </c:pt>
                <c:pt idx="741">
                  <c:v>221.03</c:v>
                </c:pt>
                <c:pt idx="742">
                  <c:v>221.03</c:v>
                </c:pt>
                <c:pt idx="743">
                  <c:v>220.57</c:v>
                </c:pt>
                <c:pt idx="744">
                  <c:v>222.89</c:v>
                </c:pt>
                <c:pt idx="745">
                  <c:v>223.44</c:v>
                </c:pt>
                <c:pt idx="746">
                  <c:v>224.54</c:v>
                </c:pt>
                <c:pt idx="747">
                  <c:v>224.18</c:v>
                </c:pt>
                <c:pt idx="748">
                  <c:v>224.18</c:v>
                </c:pt>
                <c:pt idx="749">
                  <c:v>224.18</c:v>
                </c:pt>
                <c:pt idx="750">
                  <c:v>222.52</c:v>
                </c:pt>
                <c:pt idx="751">
                  <c:v>223.13</c:v>
                </c:pt>
                <c:pt idx="752">
                  <c:v>222.41</c:v>
                </c:pt>
                <c:pt idx="753">
                  <c:v>223.97</c:v>
                </c:pt>
                <c:pt idx="754">
                  <c:v>225.26</c:v>
                </c:pt>
                <c:pt idx="755">
                  <c:v>225.26</c:v>
                </c:pt>
                <c:pt idx="756">
                  <c:v>225.26</c:v>
                </c:pt>
                <c:pt idx="757">
                  <c:v>224.38</c:v>
                </c:pt>
                <c:pt idx="758">
                  <c:v>224.62</c:v>
                </c:pt>
                <c:pt idx="759">
                  <c:v>225.54</c:v>
                </c:pt>
                <c:pt idx="760">
                  <c:v>229.8</c:v>
                </c:pt>
                <c:pt idx="761">
                  <c:v>229.49</c:v>
                </c:pt>
                <c:pt idx="762">
                  <c:v>229.49</c:v>
                </c:pt>
                <c:pt idx="763">
                  <c:v>229.49</c:v>
                </c:pt>
                <c:pt idx="764">
                  <c:v>230.3</c:v>
                </c:pt>
                <c:pt idx="765">
                  <c:v>229.25</c:v>
                </c:pt>
                <c:pt idx="766">
                  <c:v>228.63</c:v>
                </c:pt>
                <c:pt idx="767">
                  <c:v>229.7</c:v>
                </c:pt>
                <c:pt idx="768">
                  <c:v>228.53</c:v>
                </c:pt>
                <c:pt idx="769">
                  <c:v>228.53</c:v>
                </c:pt>
                <c:pt idx="770">
                  <c:v>228.53</c:v>
                </c:pt>
                <c:pt idx="771">
                  <c:v>229.89</c:v>
                </c:pt>
                <c:pt idx="772">
                  <c:v>230.2</c:v>
                </c:pt>
                <c:pt idx="773">
                  <c:v>231.5</c:v>
                </c:pt>
                <c:pt idx="774">
                  <c:v>232.02</c:v>
                </c:pt>
                <c:pt idx="775">
                  <c:v>232.77</c:v>
                </c:pt>
                <c:pt idx="776">
                  <c:v>232.77</c:v>
                </c:pt>
                <c:pt idx="777">
                  <c:v>232.77</c:v>
                </c:pt>
                <c:pt idx="778">
                  <c:v>232.1</c:v>
                </c:pt>
                <c:pt idx="779">
                  <c:v>238</c:v>
                </c:pt>
                <c:pt idx="780">
                  <c:v>215.55</c:v>
                </c:pt>
                <c:pt idx="781">
                  <c:v>216.94</c:v>
                </c:pt>
                <c:pt idx="782">
                  <c:v>216.78</c:v>
                </c:pt>
                <c:pt idx="783">
                  <c:v>216.78</c:v>
                </c:pt>
                <c:pt idx="784">
                  <c:v>216.78</c:v>
                </c:pt>
                <c:pt idx="785">
                  <c:v>216.78</c:v>
                </c:pt>
                <c:pt idx="786">
                  <c:v>214.25</c:v>
                </c:pt>
                <c:pt idx="787">
                  <c:v>212.62</c:v>
                </c:pt>
                <c:pt idx="788">
                  <c:v>209.86</c:v>
                </c:pt>
                <c:pt idx="789">
                  <c:v>210.99</c:v>
                </c:pt>
                <c:pt idx="790">
                  <c:v>210.99</c:v>
                </c:pt>
                <c:pt idx="791">
                  <c:v>210.99</c:v>
                </c:pt>
                <c:pt idx="792">
                  <c:v>210.61</c:v>
                </c:pt>
                <c:pt idx="793">
                  <c:v>208.92</c:v>
                </c:pt>
                <c:pt idx="794">
                  <c:v>206.79</c:v>
                </c:pt>
                <c:pt idx="795">
                  <c:v>204.86</c:v>
                </c:pt>
                <c:pt idx="796">
                  <c:v>202.82</c:v>
                </c:pt>
                <c:pt idx="797">
                  <c:v>202.82</c:v>
                </c:pt>
                <c:pt idx="798">
                  <c:v>202.82</c:v>
                </c:pt>
                <c:pt idx="799">
                  <c:v>202.51</c:v>
                </c:pt>
                <c:pt idx="800">
                  <c:v>203.91</c:v>
                </c:pt>
                <c:pt idx="801">
                  <c:v>206.13</c:v>
                </c:pt>
                <c:pt idx="802">
                  <c:v>206.13</c:v>
                </c:pt>
                <c:pt idx="803">
                  <c:v>204.62</c:v>
                </c:pt>
                <c:pt idx="804">
                  <c:v>204.62</c:v>
                </c:pt>
                <c:pt idx="805">
                  <c:v>204.62</c:v>
                </c:pt>
                <c:pt idx="806">
                  <c:v>204.65</c:v>
                </c:pt>
                <c:pt idx="807">
                  <c:v>203.09</c:v>
                </c:pt>
                <c:pt idx="808">
                  <c:v>202.98</c:v>
                </c:pt>
                <c:pt idx="809">
                  <c:v>201.33</c:v>
                </c:pt>
                <c:pt idx="810">
                  <c:v>199.89</c:v>
                </c:pt>
                <c:pt idx="811">
                  <c:v>199.89</c:v>
                </c:pt>
                <c:pt idx="812">
                  <c:v>199.89</c:v>
                </c:pt>
                <c:pt idx="813">
                  <c:v>203.37</c:v>
                </c:pt>
                <c:pt idx="814">
                  <c:v>203.65</c:v>
                </c:pt>
                <c:pt idx="815">
                  <c:v>201.38</c:v>
                </c:pt>
                <c:pt idx="816">
                  <c:v>204.67</c:v>
                </c:pt>
                <c:pt idx="817">
                  <c:v>204.67</c:v>
                </c:pt>
                <c:pt idx="818">
                  <c:v>204.67</c:v>
                </c:pt>
                <c:pt idx="819">
                  <c:v>204.67</c:v>
                </c:pt>
                <c:pt idx="820">
                  <c:v>205.92</c:v>
                </c:pt>
                <c:pt idx="821">
                  <c:v>202.74</c:v>
                </c:pt>
                <c:pt idx="822">
                  <c:v>198.93</c:v>
                </c:pt>
                <c:pt idx="823">
                  <c:v>198.96</c:v>
                </c:pt>
                <c:pt idx="824">
                  <c:v>199.67</c:v>
                </c:pt>
                <c:pt idx="825">
                  <c:v>199.67</c:v>
                </c:pt>
                <c:pt idx="826">
                  <c:v>199.67</c:v>
                </c:pt>
                <c:pt idx="827">
                  <c:v>200.99</c:v>
                </c:pt>
                <c:pt idx="828">
                  <c:v>201.46</c:v>
                </c:pt>
                <c:pt idx="829">
                  <c:v>196.36</c:v>
                </c:pt>
                <c:pt idx="830">
                  <c:v>198.73</c:v>
                </c:pt>
                <c:pt idx="831">
                  <c:v>198.66</c:v>
                </c:pt>
                <c:pt idx="832">
                  <c:v>198.66</c:v>
                </c:pt>
                <c:pt idx="833">
                  <c:v>198.66</c:v>
                </c:pt>
                <c:pt idx="834">
                  <c:v>195.68</c:v>
                </c:pt>
                <c:pt idx="835">
                  <c:v>192.52</c:v>
                </c:pt>
                <c:pt idx="836">
                  <c:v>194.2</c:v>
                </c:pt>
                <c:pt idx="837">
                  <c:v>193.1</c:v>
                </c:pt>
                <c:pt idx="838">
                  <c:v>193.1</c:v>
                </c:pt>
                <c:pt idx="839">
                  <c:v>193.1</c:v>
                </c:pt>
                <c:pt idx="840">
                  <c:v>193.1</c:v>
                </c:pt>
                <c:pt idx="841">
                  <c:v>193.21</c:v>
                </c:pt>
                <c:pt idx="842">
                  <c:v>191.91</c:v>
                </c:pt>
                <c:pt idx="843">
                  <c:v>196.38</c:v>
                </c:pt>
                <c:pt idx="844">
                  <c:v>198.29</c:v>
                </c:pt>
                <c:pt idx="845">
                  <c:v>198.97</c:v>
                </c:pt>
                <c:pt idx="846">
                  <c:v>198.97</c:v>
                </c:pt>
                <c:pt idx="847">
                  <c:v>198.97</c:v>
                </c:pt>
                <c:pt idx="848">
                  <c:v>198.81</c:v>
                </c:pt>
                <c:pt idx="849">
                  <c:v>198.84</c:v>
                </c:pt>
                <c:pt idx="850">
                  <c:v>196.87</c:v>
                </c:pt>
                <c:pt idx="851">
                  <c:v>199.64</c:v>
                </c:pt>
                <c:pt idx="852">
                  <c:v>198.99</c:v>
                </c:pt>
                <c:pt idx="853">
                  <c:v>198.99</c:v>
                </c:pt>
                <c:pt idx="854">
                  <c:v>198.99</c:v>
                </c:pt>
                <c:pt idx="855">
                  <c:v>198.08</c:v>
                </c:pt>
                <c:pt idx="856">
                  <c:v>199.06</c:v>
                </c:pt>
                <c:pt idx="857">
                  <c:v>200.59</c:v>
                </c:pt>
                <c:pt idx="858">
                  <c:v>199.94</c:v>
                </c:pt>
                <c:pt idx="859">
                  <c:v>201.23</c:v>
                </c:pt>
                <c:pt idx="860">
                  <c:v>201.23</c:v>
                </c:pt>
                <c:pt idx="861">
                  <c:v>201.23</c:v>
                </c:pt>
                <c:pt idx="862">
                  <c:v>197.06</c:v>
                </c:pt>
                <c:pt idx="863">
                  <c:v>195.33</c:v>
                </c:pt>
                <c:pt idx="864">
                  <c:v>196.07</c:v>
                </c:pt>
                <c:pt idx="865">
                  <c:v>198.63</c:v>
                </c:pt>
                <c:pt idx="866">
                  <c:v>195.7</c:v>
                </c:pt>
                <c:pt idx="867">
                  <c:v>195.7</c:v>
                </c:pt>
                <c:pt idx="868">
                  <c:v>195.7</c:v>
                </c:pt>
                <c:pt idx="869">
                  <c:v>193.54</c:v>
                </c:pt>
                <c:pt idx="870">
                  <c:v>191.5</c:v>
                </c:pt>
                <c:pt idx="871">
                  <c:v>194.75</c:v>
                </c:pt>
                <c:pt idx="872">
                  <c:v>200.28</c:v>
                </c:pt>
                <c:pt idx="873">
                  <c:v>198.85</c:v>
                </c:pt>
                <c:pt idx="874">
                  <c:v>198.85</c:v>
                </c:pt>
                <c:pt idx="875">
                  <c:v>198.85</c:v>
                </c:pt>
                <c:pt idx="876">
                  <c:v>202.6</c:v>
                </c:pt>
                <c:pt idx="877">
                  <c:v>202</c:v>
                </c:pt>
                <c:pt idx="878">
                  <c:v>199.47</c:v>
                </c:pt>
                <c:pt idx="879">
                  <c:v>200.04</c:v>
                </c:pt>
                <c:pt idx="880">
                  <c:v>198.53</c:v>
                </c:pt>
                <c:pt idx="881">
                  <c:v>198.53</c:v>
                </c:pt>
                <c:pt idx="882">
                  <c:v>198.53</c:v>
                </c:pt>
                <c:pt idx="883">
                  <c:v>197.92</c:v>
                </c:pt>
                <c:pt idx="884">
                  <c:v>198.73</c:v>
                </c:pt>
                <c:pt idx="885">
                  <c:v>198.9</c:v>
                </c:pt>
                <c:pt idx="886">
                  <c:v>198.37</c:v>
                </c:pt>
                <c:pt idx="887">
                  <c:v>198.64</c:v>
                </c:pt>
                <c:pt idx="888">
                  <c:v>198.64</c:v>
                </c:pt>
                <c:pt idx="889">
                  <c:v>198.64</c:v>
                </c:pt>
                <c:pt idx="890">
                  <c:v>198.64</c:v>
                </c:pt>
                <c:pt idx="891">
                  <c:v>194.21</c:v>
                </c:pt>
                <c:pt idx="892">
                  <c:v>195.88</c:v>
                </c:pt>
                <c:pt idx="893">
                  <c:v>199.54</c:v>
                </c:pt>
                <c:pt idx="894">
                  <c:v>201.26</c:v>
                </c:pt>
                <c:pt idx="895">
                  <c:v>201.26</c:v>
                </c:pt>
                <c:pt idx="896">
                  <c:v>201.26</c:v>
                </c:pt>
                <c:pt idx="897">
                  <c:v>198.36</c:v>
                </c:pt>
                <c:pt idx="898">
                  <c:v>199.09</c:v>
                </c:pt>
                <c:pt idx="899">
                  <c:v>196.58</c:v>
                </c:pt>
                <c:pt idx="900">
                  <c:v>193.23</c:v>
                </c:pt>
                <c:pt idx="901">
                  <c:v>188.51</c:v>
                </c:pt>
                <c:pt idx="902">
                  <c:v>188.51</c:v>
                </c:pt>
                <c:pt idx="903">
                  <c:v>188.51</c:v>
                </c:pt>
                <c:pt idx="904">
                  <c:v>186.2</c:v>
                </c:pt>
                <c:pt idx="905">
                  <c:v>185.72</c:v>
                </c:pt>
                <c:pt idx="906">
                  <c:v>189.54</c:v>
                </c:pt>
                <c:pt idx="907">
                  <c:v>189.69</c:v>
                </c:pt>
                <c:pt idx="908">
                  <c:v>190.01</c:v>
                </c:pt>
                <c:pt idx="909">
                  <c:v>190.01</c:v>
                </c:pt>
                <c:pt idx="910">
                  <c:v>190.01</c:v>
                </c:pt>
                <c:pt idx="911">
                  <c:v>192.91</c:v>
                </c:pt>
                <c:pt idx="912">
                  <c:v>192.04</c:v>
                </c:pt>
                <c:pt idx="913">
                  <c:v>195.15</c:v>
                </c:pt>
                <c:pt idx="914">
                  <c:v>195.1</c:v>
                </c:pt>
                <c:pt idx="915">
                  <c:v>196.06</c:v>
                </c:pt>
                <c:pt idx="916">
                  <c:v>196.06</c:v>
                </c:pt>
                <c:pt idx="917">
                  <c:v>196.06</c:v>
                </c:pt>
                <c:pt idx="918">
                  <c:v>199.57</c:v>
                </c:pt>
                <c:pt idx="919">
                  <c:v>203.57</c:v>
                </c:pt>
                <c:pt idx="920">
                  <c:v>205.4</c:v>
                </c:pt>
                <c:pt idx="921">
                  <c:v>208.83</c:v>
                </c:pt>
                <c:pt idx="922">
                  <c:v>209.36</c:v>
                </c:pt>
                <c:pt idx="923">
                  <c:v>209.36</c:v>
                </c:pt>
                <c:pt idx="924">
                  <c:v>209.36</c:v>
                </c:pt>
                <c:pt idx="925">
                  <c:v>211.36</c:v>
                </c:pt>
                <c:pt idx="926">
                  <c:v>207.99</c:v>
                </c:pt>
                <c:pt idx="927">
                  <c:v>207.28</c:v>
                </c:pt>
                <c:pt idx="928">
                  <c:v>212.17</c:v>
                </c:pt>
                <c:pt idx="929">
                  <c:v>194.02</c:v>
                </c:pt>
                <c:pt idx="930">
                  <c:v>194.02</c:v>
                </c:pt>
                <c:pt idx="931">
                  <c:v>194.02</c:v>
                </c:pt>
                <c:pt idx="932">
                  <c:v>193.32</c:v>
                </c:pt>
                <c:pt idx="933">
                  <c:v>191.38</c:v>
                </c:pt>
                <c:pt idx="934">
                  <c:v>193.75</c:v>
                </c:pt>
                <c:pt idx="935">
                  <c:v>201.59</c:v>
                </c:pt>
                <c:pt idx="936">
                  <c:v>201.59</c:v>
                </c:pt>
                <c:pt idx="937">
                  <c:v>201.59</c:v>
                </c:pt>
                <c:pt idx="938">
                  <c:v>201.59</c:v>
                </c:pt>
                <c:pt idx="939">
                  <c:v>200.52</c:v>
                </c:pt>
                <c:pt idx="940">
                  <c:v>203.11</c:v>
                </c:pt>
                <c:pt idx="941">
                  <c:v>204.03</c:v>
                </c:pt>
                <c:pt idx="942">
                  <c:v>206.05</c:v>
                </c:pt>
                <c:pt idx="943">
                  <c:v>205.5</c:v>
                </c:pt>
                <c:pt idx="944">
                  <c:v>205.5</c:v>
                </c:pt>
                <c:pt idx="945">
                  <c:v>205.5</c:v>
                </c:pt>
                <c:pt idx="946">
                  <c:v>202.81</c:v>
                </c:pt>
                <c:pt idx="947">
                  <c:v>207.14</c:v>
                </c:pt>
                <c:pt idx="948">
                  <c:v>209.04</c:v>
                </c:pt>
                <c:pt idx="949">
                  <c:v>208.96</c:v>
                </c:pt>
                <c:pt idx="950">
                  <c:v>210.29</c:v>
                </c:pt>
                <c:pt idx="951">
                  <c:v>210.29</c:v>
                </c:pt>
                <c:pt idx="952">
                  <c:v>210.29</c:v>
                </c:pt>
                <c:pt idx="953">
                  <c:v>213.41</c:v>
                </c:pt>
                <c:pt idx="954">
                  <c:v>207.93</c:v>
                </c:pt>
                <c:pt idx="955">
                  <c:v>204.19</c:v>
                </c:pt>
                <c:pt idx="956">
                  <c:v>200.2</c:v>
                </c:pt>
                <c:pt idx="957">
                  <c:v>202.39</c:v>
                </c:pt>
                <c:pt idx="958">
                  <c:v>202.39</c:v>
                </c:pt>
                <c:pt idx="959">
                  <c:v>202.39</c:v>
                </c:pt>
                <c:pt idx="960">
                  <c:v>201.48</c:v>
                </c:pt>
                <c:pt idx="961">
                  <c:v>200.12</c:v>
                </c:pt>
                <c:pt idx="962">
                  <c:v>203.18</c:v>
                </c:pt>
                <c:pt idx="963">
                  <c:v>210.13</c:v>
                </c:pt>
                <c:pt idx="964">
                  <c:v>208.66</c:v>
                </c:pt>
                <c:pt idx="965">
                  <c:v>208.66</c:v>
                </c:pt>
                <c:pt idx="966">
                  <c:v>208.66</c:v>
                </c:pt>
                <c:pt idx="967">
                  <c:v>205.5</c:v>
                </c:pt>
                <c:pt idx="968">
                  <c:v>209.48</c:v>
                </c:pt>
                <c:pt idx="969">
                  <c:v>214.31</c:v>
                </c:pt>
                <c:pt idx="970">
                  <c:v>213.23</c:v>
                </c:pt>
                <c:pt idx="971">
                  <c:v>213.23</c:v>
                </c:pt>
                <c:pt idx="972">
                  <c:v>213.23</c:v>
                </c:pt>
                <c:pt idx="973">
                  <c:v>213.23</c:v>
                </c:pt>
                <c:pt idx="974">
                  <c:v>214.69</c:v>
                </c:pt>
                <c:pt idx="975">
                  <c:v>214.26</c:v>
                </c:pt>
                <c:pt idx="976">
                  <c:v>212.28</c:v>
                </c:pt>
                <c:pt idx="977">
                  <c:v>211.46</c:v>
                </c:pt>
                <c:pt idx="978">
                  <c:v>212.01</c:v>
                </c:pt>
                <c:pt idx="979">
                  <c:v>212.01</c:v>
                </c:pt>
                <c:pt idx="980">
                  <c:v>212.01</c:v>
                </c:pt>
                <c:pt idx="981">
                  <c:v>203.08</c:v>
                </c:pt>
                <c:pt idx="982">
                  <c:v>209.24</c:v>
                </c:pt>
                <c:pt idx="983">
                  <c:v>207.58</c:v>
                </c:pt>
                <c:pt idx="984">
                  <c:v>207.07</c:v>
                </c:pt>
                <c:pt idx="985">
                  <c:v>207.07</c:v>
                </c:pt>
                <c:pt idx="986">
                  <c:v>207.07</c:v>
                </c:pt>
                <c:pt idx="987">
                  <c:v>207.07</c:v>
                </c:pt>
                <c:pt idx="988">
                  <c:v>209.22</c:v>
                </c:pt>
                <c:pt idx="989">
                  <c:v>206.87</c:v>
                </c:pt>
                <c:pt idx="990">
                  <c:v>210.32</c:v>
                </c:pt>
                <c:pt idx="991">
                  <c:v>209.91</c:v>
                </c:pt>
                <c:pt idx="992">
                  <c:v>209.91</c:v>
                </c:pt>
                <c:pt idx="993">
                  <c:v>209.91</c:v>
                </c:pt>
                <c:pt idx="994">
                  <c:v>209.91</c:v>
                </c:pt>
                <c:pt idx="995">
                  <c:v>208.66</c:v>
                </c:pt>
                <c:pt idx="996">
                  <c:v>208.42</c:v>
                </c:pt>
                <c:pt idx="997">
                  <c:v>205.41</c:v>
                </c:pt>
                <c:pt idx="998">
                  <c:v>206.39</c:v>
                </c:pt>
                <c:pt idx="999">
                  <c:v>210.21</c:v>
                </c:pt>
                <c:pt idx="1000">
                  <c:v>210.21</c:v>
                </c:pt>
                <c:pt idx="1001">
                  <c:v>210.21</c:v>
                </c:pt>
                <c:pt idx="1002">
                  <c:v>212.31</c:v>
                </c:pt>
                <c:pt idx="1003">
                  <c:v>217.58</c:v>
                </c:pt>
                <c:pt idx="1004">
                  <c:v>218.02</c:v>
                </c:pt>
                <c:pt idx="1005">
                  <c:v>215.83</c:v>
                </c:pt>
                <c:pt idx="1006">
                  <c:v>211.35</c:v>
                </c:pt>
                <c:pt idx="1007">
                  <c:v>211.35</c:v>
                </c:pt>
                <c:pt idx="1008">
                  <c:v>211.35</c:v>
                </c:pt>
                <c:pt idx="1009">
                  <c:v>213.03</c:v>
                </c:pt>
                <c:pt idx="1010">
                  <c:v>212.22</c:v>
                </c:pt>
                <c:pt idx="1011">
                  <c:v>211.14</c:v>
                </c:pt>
                <c:pt idx="1012">
                  <c:v>211.06</c:v>
                </c:pt>
                <c:pt idx="1013">
                  <c:v>214.73</c:v>
                </c:pt>
                <c:pt idx="1014">
                  <c:v>214.73</c:v>
                </c:pt>
                <c:pt idx="1015">
                  <c:v>214.73</c:v>
                </c:pt>
                <c:pt idx="1016">
                  <c:v>215.93</c:v>
                </c:pt>
                <c:pt idx="1017">
                  <c:v>217.43</c:v>
                </c:pt>
                <c:pt idx="1018">
                  <c:v>212.77</c:v>
                </c:pt>
                <c:pt idx="1019">
                  <c:v>208.52</c:v>
                </c:pt>
                <c:pt idx="1020">
                  <c:v>213.33</c:v>
                </c:pt>
                <c:pt idx="1021">
                  <c:v>213.33</c:v>
                </c:pt>
                <c:pt idx="1022">
                  <c:v>213.33</c:v>
                </c:pt>
                <c:pt idx="1023">
                  <c:v>212.52</c:v>
                </c:pt>
                <c:pt idx="1024">
                  <c:v>212.52</c:v>
                </c:pt>
                <c:pt idx="1025">
                  <c:v>213.2</c:v>
                </c:pt>
                <c:pt idx="1026">
                  <c:v>212.27</c:v>
                </c:pt>
                <c:pt idx="1027">
                  <c:v>210.58</c:v>
                </c:pt>
                <c:pt idx="1028">
                  <c:v>210.58</c:v>
                </c:pt>
                <c:pt idx="1029">
                  <c:v>210.58</c:v>
                </c:pt>
                <c:pt idx="1030">
                  <c:v>209.82</c:v>
                </c:pt>
                <c:pt idx="1031">
                  <c:v>212.27</c:v>
                </c:pt>
                <c:pt idx="1032">
                  <c:v>210.66</c:v>
                </c:pt>
                <c:pt idx="1033">
                  <c:v>216.95</c:v>
                </c:pt>
                <c:pt idx="1034">
                  <c:v>217.5</c:v>
                </c:pt>
                <c:pt idx="1035">
                  <c:v>217.5</c:v>
                </c:pt>
                <c:pt idx="1036">
                  <c:v>217.5</c:v>
                </c:pt>
                <c:pt idx="1037">
                  <c:v>212.99</c:v>
                </c:pt>
                <c:pt idx="1038">
                  <c:v>203.41</c:v>
                </c:pt>
                <c:pt idx="1039">
                  <c:v>204.01</c:v>
                </c:pt>
                <c:pt idx="1040">
                  <c:v>196.3</c:v>
                </c:pt>
                <c:pt idx="1041">
                  <c:v>196.7</c:v>
                </c:pt>
                <c:pt idx="1042">
                  <c:v>196.7</c:v>
                </c:pt>
                <c:pt idx="1043">
                  <c:v>196.7</c:v>
                </c:pt>
                <c:pt idx="1044">
                  <c:v>193.19</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UNION PAC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0.48102636534839927</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CAN NATL RAILWAY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CSX CORP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CANADIAN PACIFIC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NORFOLK SOUTHERN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BNSF RAILWAY 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UNION PAC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#,##0</c:formatCode>
                <c:ptCount val="8"/>
                <c:pt idx="0">
                  <c:v>1972693</c:v>
                </c:pt>
                <c:pt idx="1">
                  <c:v>1984057</c:v>
                </c:pt>
                <c:pt idx="2">
                  <c:v>1861065045</c:v>
                </c:pt>
                <c:pt idx="3">
                  <c:v>1863513</c:v>
                </c:pt>
                <c:pt idx="4">
                  <c:v>1715282</c:v>
                </c:pt>
                <c:pt idx="5">
                  <c:v>1503517588</c:v>
                </c:pt>
                <c:pt idx="6">
                  <c:v>1567229</c:v>
                </c:pt>
                <c:pt idx="7">
                  <c:v>1575258</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CAN NATL RAILWAY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#,##0</c:formatCode>
                <c:ptCount val="8"/>
                <c:pt idx="0">
                  <c:v>2086056</c:v>
                </c:pt>
                <c:pt idx="1">
                  <c:v>2003879</c:v>
                </c:pt>
                <c:pt idx="2">
                  <c:v>1972692372</c:v>
                </c:pt>
                <c:pt idx="3">
                  <c:v>1946372</c:v>
                </c:pt>
                <c:pt idx="4">
                  <c:v>170734</c:v>
                </c:pt>
                <c:pt idx="5">
                  <c:v>1470371494</c:v>
                </c:pt>
                <c:pt idx="6">
                  <c:v>1531119</c:v>
                </c:pt>
                <c:pt idx="7">
                  <c:v>1574042</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CSX CORP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#,##0</c:formatCode>
                <c:ptCount val="8"/>
                <c:pt idx="0">
                  <c:v>16575736</c:v>
                </c:pt>
                <c:pt idx="1">
                  <c:v>1507902</c:v>
                </c:pt>
                <c:pt idx="2">
                  <c:v>1466859345</c:v>
                </c:pt>
                <c:pt idx="3">
                  <c:v>1454436</c:v>
                </c:pt>
                <c:pt idx="4">
                  <c:v>1305926</c:v>
                </c:pt>
                <c:pt idx="5">
                  <c:v>110101663</c:v>
                </c:pt>
                <c:pt idx="6">
                  <c:v>1160988</c:v>
                </c:pt>
                <c:pt idx="7">
                  <c:v>1179161</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CANADIAN PACIFIC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#,##0</c:formatCode>
                <c:ptCount val="8"/>
                <c:pt idx="0">
                  <c:v>21291877</c:v>
                </c:pt>
                <c:pt idx="1">
                  <c:v>2016</c:v>
                </c:pt>
                <c:pt idx="2">
                  <c:v>1979478301</c:v>
                </c:pt>
                <c:pt idx="3">
                  <c:v>1924011</c:v>
                </c:pt>
                <c:pt idx="4">
                  <c:v>17104</c:v>
                </c:pt>
                <c:pt idx="5">
                  <c:v>1096627089</c:v>
                </c:pt>
                <c:pt idx="6">
                  <c:v>1828729</c:v>
                </c:pt>
                <c:pt idx="7">
                  <c:v>1629036</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NORFOLK SOUTHERN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#,##0</c:formatCode>
                <c:ptCount val="8"/>
                <c:pt idx="0">
                  <c:v>19256089</c:v>
                </c:pt>
                <c:pt idx="1">
                  <c:v>1756589</c:v>
                </c:pt>
                <c:pt idx="2">
                  <c:v>1718139164</c:v>
                </c:pt>
                <c:pt idx="3">
                  <c:v>1657197</c:v>
                </c:pt>
                <c:pt idx="4">
                  <c:v>2960321</c:v>
                </c:pt>
                <c:pt idx="5">
                  <c:v>248623774</c:v>
                </c:pt>
                <c:pt idx="6">
                  <c:v>1354286</c:v>
                </c:pt>
                <c:pt idx="7">
                  <c:v>1342366</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BNSF RAILWAY 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UNION PAC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#N/A</c:v>
                </c:pt>
                <c:pt idx="1">
                  <c:v>#N/A</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CAN NATL RAILWAY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CSX CORP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CANADIAN PACIFIC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NORFOLK SOUTHERN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BNSF RAILWAY 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UNION PAC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CAN NATL RAILWAY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CSX CORP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CANADIAN PACIFIC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NORFOLK SOUTHERN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0</c:v>
                </c:pt>
                <c:pt idx="1">
                  <c:v>0</c:v>
                </c:pt>
                <c:pt idx="2">
                  <c:v>0</c:v>
                </c:pt>
                <c:pt idx="3">
                  <c:v>0</c:v>
                </c:pt>
                <c:pt idx="4">
                  <c:v>0</c:v>
                </c:pt>
                <c:pt idx="5">
                  <c:v>0</c:v>
                </c:pt>
                <c:pt idx="6">
                  <c:v>0</c:v>
                </c:pt>
                <c:pt idx="7">
                  <c:v>#N/A</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BNSF RAILWAY 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General</c:formatCode>
                <c:ptCount val="5"/>
                <c:pt idx="0">
                  <c:v>3</c:v>
                </c:pt>
                <c:pt idx="1">
                  <c:v>1</c:v>
                </c:pt>
                <c:pt idx="2">
                  <c:v>3</c:v>
                </c:pt>
                <c:pt idx="3">
                  <c:v>4</c:v>
                </c:pt>
                <c:pt idx="4">
                  <c:v>5</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UNP US Equity</c:v>
                </c:pt>
              </c:strCache>
            </c:strRef>
          </c:tx>
          <c:spPr>
            <a:ln w="28575" cap="rnd">
              <a:solidFill>
                <a:schemeClr val="accent1"/>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Data'!$U$5:$U$159</c:f>
              <c:numCache>
                <c:formatCode>General</c:formatCode>
                <c:ptCount val="155"/>
                <c:pt idx="0">
                  <c:v>1.1308387229237244</c:v>
                </c:pt>
                <c:pt idx="1">
                  <c:v>1.1308387229237244</c:v>
                </c:pt>
                <c:pt idx="2">
                  <c:v>1.1475721178523766</c:v>
                </c:pt>
                <c:pt idx="3">
                  <c:v>1.1695411148752695</c:v>
                </c:pt>
                <c:pt idx="4">
                  <c:v>1.1332512062416591</c:v>
                </c:pt>
                <c:pt idx="5">
                  <c:v>1.140745303356945</c:v>
                </c:pt>
                <c:pt idx="6">
                  <c:v>1.1261677445847449</c:v>
                </c:pt>
                <c:pt idx="7">
                  <c:v>1.1535776614310647</c:v>
                </c:pt>
                <c:pt idx="8">
                  <c:v>1.1542449440509188</c:v>
                </c:pt>
                <c:pt idx="9">
                  <c:v>1.2067549532902166</c:v>
                </c:pt>
                <c:pt idx="10">
                  <c:v>1.187814392772816</c:v>
                </c:pt>
                <c:pt idx="11">
                  <c:v>1.187814392772816</c:v>
                </c:pt>
                <c:pt idx="12">
                  <c:v>1.1421311980289497</c:v>
                </c:pt>
                <c:pt idx="13">
                  <c:v>1.146545529206447</c:v>
                </c:pt>
                <c:pt idx="14">
                  <c:v>1.1468535058002258</c:v>
                </c:pt>
                <c:pt idx="15">
                  <c:v>1.1377681962837491</c:v>
                </c:pt>
                <c:pt idx="16">
                  <c:v>1.1400780207370909</c:v>
                </c:pt>
                <c:pt idx="17">
                  <c:v>1.1878657222051123</c:v>
                </c:pt>
                <c:pt idx="18">
                  <c:v>1.1103582794374294</c:v>
                </c:pt>
                <c:pt idx="19">
                  <c:v>1.1204701775998358</c:v>
                </c:pt>
                <c:pt idx="20">
                  <c:v>1.0948054614515963</c:v>
                </c:pt>
                <c:pt idx="21">
                  <c:v>1.1220100605687302</c:v>
                </c:pt>
                <c:pt idx="22">
                  <c:v>1.1220100605687302</c:v>
                </c:pt>
                <c:pt idx="23">
                  <c:v>1.094651473154707</c:v>
                </c:pt>
                <c:pt idx="24">
                  <c:v>1.1916127707627555</c:v>
                </c:pt>
                <c:pt idx="25">
                  <c:v>1.2004927625500461</c:v>
                </c:pt>
                <c:pt idx="26">
                  <c:v>1.2192280053382609</c:v>
                </c:pt>
                <c:pt idx="27">
                  <c:v>1.279694076583513</c:v>
                </c:pt>
                <c:pt idx="28">
                  <c:v>1.2662457653218355</c:v>
                </c:pt>
                <c:pt idx="29">
                  <c:v>1.2603942100400372</c:v>
                </c:pt>
                <c:pt idx="30">
                  <c:v>1.2792321116928447</c:v>
                </c:pt>
                <c:pt idx="31">
                  <c:v>1.2425828970331589</c:v>
                </c:pt>
                <c:pt idx="32">
                  <c:v>1.2718920028744483</c:v>
                </c:pt>
                <c:pt idx="33">
                  <c:v>1.2769736166717998</c:v>
                </c:pt>
                <c:pt idx="34">
                  <c:v>1.2024432809773125</c:v>
                </c:pt>
                <c:pt idx="35">
                  <c:v>1.1559901447489991</c:v>
                </c:pt>
                <c:pt idx="36">
                  <c:v>1.1882763576634843</c:v>
                </c:pt>
                <c:pt idx="37">
                  <c:v>1.1802176367929371</c:v>
                </c:pt>
                <c:pt idx="38">
                  <c:v>1.1616877117339082</c:v>
                </c:pt>
                <c:pt idx="39">
                  <c:v>1.2061390001026588</c:v>
                </c:pt>
                <c:pt idx="40">
                  <c:v>1.1989015501488554</c:v>
                </c:pt>
                <c:pt idx="41">
                  <c:v>1.2558258905656503</c:v>
                </c:pt>
                <c:pt idx="42">
                  <c:v>1.2441741094343497</c:v>
                </c:pt>
                <c:pt idx="43">
                  <c:v>1.2091674366081511</c:v>
                </c:pt>
                <c:pt idx="44">
                  <c:v>1.2395544605276667</c:v>
                </c:pt>
                <c:pt idx="45">
                  <c:v>1.1943845601067653</c:v>
                </c:pt>
                <c:pt idx="46">
                  <c:v>1.1821168257879069</c:v>
                </c:pt>
                <c:pt idx="47">
                  <c:v>1.2529514423570476</c:v>
                </c:pt>
                <c:pt idx="48">
                  <c:v>1.243763473975978</c:v>
                </c:pt>
                <c:pt idx="49">
                  <c:v>1.2260548198336927</c:v>
                </c:pt>
                <c:pt idx="50">
                  <c:v>1.2535673955446054</c:v>
                </c:pt>
                <c:pt idx="51">
                  <c:v>1.2595729391232933</c:v>
                </c:pt>
                <c:pt idx="52">
                  <c:v>1.27871881736988</c:v>
                </c:pt>
                <c:pt idx="53">
                  <c:v>1.2813366184170003</c:v>
                </c:pt>
                <c:pt idx="54">
                  <c:v>1.3144954316805255</c:v>
                </c:pt>
                <c:pt idx="55">
                  <c:v>1.2670670362385792</c:v>
                </c:pt>
                <c:pt idx="56">
                  <c:v>1.2551586079457961</c:v>
                </c:pt>
                <c:pt idx="57">
                  <c:v>1.2191766759059646</c:v>
                </c:pt>
                <c:pt idx="58">
                  <c:v>1.2317523868186018</c:v>
                </c:pt>
                <c:pt idx="59">
                  <c:v>1.2337542346781645</c:v>
                </c:pt>
                <c:pt idx="60">
                  <c:v>1.2438148034082743</c:v>
                </c:pt>
                <c:pt idx="61">
                  <c:v>1.1817061903295349</c:v>
                </c:pt>
                <c:pt idx="62">
                  <c:v>1.1557848270198132</c:v>
                </c:pt>
                <c:pt idx="63">
                  <c:v>1.1613797351401294</c:v>
                </c:pt>
                <c:pt idx="64">
                  <c:v>1.1606097936556823</c:v>
                </c:pt>
                <c:pt idx="65">
                  <c:v>1.1400266913047943</c:v>
                </c:pt>
                <c:pt idx="66">
                  <c:v>1.1701570680628273</c:v>
                </c:pt>
                <c:pt idx="67">
                  <c:v>1.1950518427266195</c:v>
                </c:pt>
                <c:pt idx="68">
                  <c:v>1.1910994764397906</c:v>
                </c:pt>
                <c:pt idx="69">
                  <c:v>1.2574171029668413</c:v>
                </c:pt>
                <c:pt idx="70">
                  <c:v>1.2698901550148856</c:v>
                </c:pt>
                <c:pt idx="71">
                  <c:v>1.2337542346781645</c:v>
                </c:pt>
                <c:pt idx="72">
                  <c:v>1.2462272867262087</c:v>
                </c:pt>
                <c:pt idx="73">
                  <c:v>1.1912534647366801</c:v>
                </c:pt>
                <c:pt idx="74">
                  <c:v>1.2031618930294632</c:v>
                </c:pt>
                <c:pt idx="75">
                  <c:v>1.2422235910070833</c:v>
                </c:pt>
                <c:pt idx="76">
                  <c:v>1.2574171029668413</c:v>
                </c:pt>
                <c:pt idx="77">
                  <c:v>1.2574171029668413</c:v>
                </c:pt>
                <c:pt idx="78">
                  <c:v>1.2531054306539371</c:v>
                </c:pt>
                <c:pt idx="79">
                  <c:v>1.2881634329124321</c:v>
                </c:pt>
                <c:pt idx="80">
                  <c:v>1.2985319782363207</c:v>
                </c:pt>
                <c:pt idx="81">
                  <c:v>1.318704445128837</c:v>
                </c:pt>
                <c:pt idx="82">
                  <c:v>1.2657324709988709</c:v>
                </c:pt>
                <c:pt idx="83">
                  <c:v>1.2804126886356637</c:v>
                </c:pt>
                <c:pt idx="84">
                  <c:v>1.2746637922184583</c:v>
                </c:pt>
                <c:pt idx="85">
                  <c:v>1.2339082229750538</c:v>
                </c:pt>
                <c:pt idx="86">
                  <c:v>1.2281593265578483</c:v>
                </c:pt>
                <c:pt idx="87">
                  <c:v>1.2201519351195977</c:v>
                </c:pt>
                <c:pt idx="88">
                  <c:v>1.231444410224823</c:v>
                </c:pt>
                <c:pt idx="89">
                  <c:v>1.2607535160661123</c:v>
                </c:pt>
                <c:pt idx="90">
                  <c:v>1.2502823118776307</c:v>
                </c:pt>
                <c:pt idx="91">
                  <c:v>1.2420696027101941</c:v>
                </c:pt>
                <c:pt idx="92">
                  <c:v>1.1793963658761935</c:v>
                </c:pt>
                <c:pt idx="93">
                  <c:v>1.1876090750436301</c:v>
                </c:pt>
                <c:pt idx="94">
                  <c:v>1.1512165075454266</c:v>
                </c:pt>
                <c:pt idx="95">
                  <c:v>1.1251924853711119</c:v>
                </c:pt>
                <c:pt idx="96">
                  <c:v>1.0855661636382303</c:v>
                </c:pt>
                <c:pt idx="97">
                  <c:v>1.0888512473052048</c:v>
                </c:pt>
                <c:pt idx="98">
                  <c:v>1.0354173082845703</c:v>
                </c:pt>
                <c:pt idx="99">
                  <c:v>1.084796222153783</c:v>
                </c:pt>
                <c:pt idx="100">
                  <c:v>1.0663689559593472</c:v>
                </c:pt>
                <c:pt idx="101">
                  <c:v>1.0392156862745099</c:v>
                </c:pt>
                <c:pt idx="102">
                  <c:v>1.0452212298531978</c:v>
                </c:pt>
                <c:pt idx="103">
                  <c:v>1.0740170413715224</c:v>
                </c:pt>
                <c:pt idx="104">
                  <c:v>1.0949594497484858</c:v>
                </c:pt>
                <c:pt idx="105">
                  <c:v>1.0871573760394211</c:v>
                </c:pt>
                <c:pt idx="106">
                  <c:v>1.1345344420490711</c:v>
                </c:pt>
                <c:pt idx="107">
                  <c:v>1.1507032132224619</c:v>
                </c:pt>
                <c:pt idx="108">
                  <c:v>1.1562467919104815</c:v>
                </c:pt>
                <c:pt idx="109">
                  <c:v>1.177959141771892</c:v>
                </c:pt>
                <c:pt idx="110">
                  <c:v>1.17303151627143</c:v>
                </c:pt>
                <c:pt idx="111">
                  <c:v>1.1947951955651372</c:v>
                </c:pt>
                <c:pt idx="112">
                  <c:v>1.1127194333230674</c:v>
                </c:pt>
                <c:pt idx="113">
                  <c:v>1.0829996920234064</c:v>
                </c:pt>
                <c:pt idx="114">
                  <c:v>1.0410635458371831</c:v>
                </c:pt>
                <c:pt idx="115">
                  <c:v>1.0503028436505493</c:v>
                </c:pt>
                <c:pt idx="116">
                  <c:v>1.0260240221743147</c:v>
                </c:pt>
                <c:pt idx="117">
                  <c:v>1.0505594908120315</c:v>
                </c:pt>
                <c:pt idx="118">
                  <c:v>1.0248947746637922</c:v>
                </c:pt>
                <c:pt idx="119">
                  <c:v>1.019710502001848</c:v>
                </c:pt>
                <c:pt idx="120">
                  <c:v>0.99117133764500565</c:v>
                </c:pt>
                <c:pt idx="121">
                  <c:v>1.0213017144030387</c:v>
                </c:pt>
                <c:pt idx="122">
                  <c:v>1.0214043732676317</c:v>
                </c:pt>
                <c:pt idx="123">
                  <c:v>1.032902166102043</c:v>
                </c:pt>
                <c:pt idx="124">
                  <c:v>1.0045169900420901</c:v>
                </c:pt>
                <c:pt idx="125">
                  <c:v>1.0206857612154809</c:v>
                </c:pt>
                <c:pt idx="126">
                  <c:v>1.0190432193819936</c:v>
                </c:pt>
                <c:pt idx="127">
                  <c:v>1.0330561543989323</c:v>
                </c:pt>
                <c:pt idx="128">
                  <c:v>1.0330561543989323</c:v>
                </c:pt>
                <c:pt idx="129">
                  <c:v>0.96761112822092188</c:v>
                </c:pt>
                <c:pt idx="130">
                  <c:v>0.97531054306539366</c:v>
                </c:pt>
                <c:pt idx="131">
                  <c:v>1.0063648496047635</c:v>
                </c:pt>
                <c:pt idx="132">
                  <c:v>1.0746329945590802</c:v>
                </c:pt>
                <c:pt idx="133">
                  <c:v>0.99589364541628178</c:v>
                </c:pt>
                <c:pt idx="134">
                  <c:v>1.0347500256647162</c:v>
                </c:pt>
                <c:pt idx="135">
                  <c:v>1.0548198336926393</c:v>
                </c:pt>
                <c:pt idx="136">
                  <c:v>1.0794066317626527</c:v>
                </c:pt>
                <c:pt idx="137">
                  <c:v>1.0388563802484345</c:v>
                </c:pt>
                <c:pt idx="138">
                  <c:v>1.0710399342983268</c:v>
                </c:pt>
                <c:pt idx="139">
                  <c:v>1.0944974848578175</c:v>
                </c:pt>
                <c:pt idx="140">
                  <c:v>1.088235294117647</c:v>
                </c:pt>
                <c:pt idx="141">
                  <c:v>1.0628785545631865</c:v>
                </c:pt>
                <c:pt idx="142">
                  <c:v>1.0774561133353866</c:v>
                </c:pt>
                <c:pt idx="143">
                  <c:v>1.078995996304281</c:v>
                </c:pt>
                <c:pt idx="144">
                  <c:v>1.0848475515860794</c:v>
                </c:pt>
                <c:pt idx="145">
                  <c:v>1.1021968997022893</c:v>
                </c:pt>
                <c:pt idx="146">
                  <c:v>1.0950107791807824</c:v>
                </c:pt>
                <c:pt idx="147">
                  <c:v>1.0808951852992508</c:v>
                </c:pt>
                <c:pt idx="148">
                  <c:v>1.116415152448414</c:v>
                </c:pt>
                <c:pt idx="149">
                  <c:v>1.0096499332717379</c:v>
                </c:pt>
                <c:pt idx="150">
                  <c:v>1.0196591725695514</c:v>
                </c:pt>
                <c:pt idx="151">
                  <c:v>0.97797967354481063</c:v>
                </c:pt>
                <c:pt idx="152">
                  <c:v>0.99471306847346264</c:v>
                </c:pt>
                <c:pt idx="153">
                  <c:v>1.0041063545837183</c:v>
                </c:pt>
                <c:pt idx="154">
                  <c:v>1</c:v>
                </c:pt>
              </c:numCache>
            </c:numRef>
          </c:val>
          <c:smooth val="0"/>
          <c:extLst>
            <c:ext xmlns:c16="http://schemas.microsoft.com/office/drawing/2014/chart" uri="{C3380CC4-5D6E-409C-BE32-E72D297353CC}">
              <c16:uniqueId val="{00000000-FDC8-481D-BAD7-1015841AA028}"/>
            </c:ext>
          </c:extLst>
        </c:ser>
        <c:ser>
          <c:idx val="1"/>
          <c:order val="1"/>
          <c:tx>
            <c:v>SPX Index</c:v>
          </c:tx>
          <c:spPr>
            <a:ln w="19050" cap="rnd">
              <a:solidFill>
                <a:schemeClr val="accent3"/>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Data'!$V$5:$V$159</c:f>
              <c:numCache>
                <c:formatCode>General</c:formatCode>
                <c:ptCount val="155"/>
                <c:pt idx="0">
                  <c:v>1.8076371729296468</c:v>
                </c:pt>
                <c:pt idx="1">
                  <c:v>1.8076371729296468</c:v>
                </c:pt>
                <c:pt idx="2">
                  <c:v>1.8017135111919278</c:v>
                </c:pt>
                <c:pt idx="3">
                  <c:v>1.8035681416324094</c:v>
                </c:pt>
                <c:pt idx="4">
                  <c:v>1.7987963030103582</c:v>
                </c:pt>
                <c:pt idx="5">
                  <c:v>1.7819651831482421</c:v>
                </c:pt>
                <c:pt idx="6">
                  <c:v>1.7397298096284604</c:v>
                </c:pt>
                <c:pt idx="7">
                  <c:v>1.7817392807938377</c:v>
                </c:pt>
                <c:pt idx="8">
                  <c:v>1.7561230693715453</c:v>
                </c:pt>
                <c:pt idx="9">
                  <c:v>1.7457929172639599</c:v>
                </c:pt>
                <c:pt idx="10">
                  <c:v>1.7216185764247187</c:v>
                </c:pt>
                <c:pt idx="11">
                  <c:v>1.7216185764247187</c:v>
                </c:pt>
                <c:pt idx="12">
                  <c:v>1.6643816132217024</c:v>
                </c:pt>
                <c:pt idx="13">
                  <c:v>1.6669278953151758</c:v>
                </c:pt>
                <c:pt idx="14">
                  <c:v>1.6734511744133511</c:v>
                </c:pt>
                <c:pt idx="15">
                  <c:v>1.6487218389009433</c:v>
                </c:pt>
                <c:pt idx="16">
                  <c:v>1.6183588891181999</c:v>
                </c:pt>
                <c:pt idx="17">
                  <c:v>1.6617432968356938</c:v>
                </c:pt>
                <c:pt idx="18">
                  <c:v>1.5785024626145547</c:v>
                </c:pt>
                <c:pt idx="19">
                  <c:v>1.5859656070637715</c:v>
                </c:pt>
                <c:pt idx="20">
                  <c:v>1.5409357377524668</c:v>
                </c:pt>
                <c:pt idx="21">
                  <c:v>1.4957971006408932</c:v>
                </c:pt>
                <c:pt idx="22">
                  <c:v>1.4957971006408932</c:v>
                </c:pt>
                <c:pt idx="23">
                  <c:v>1.4151192820209615</c:v>
                </c:pt>
                <c:pt idx="24">
                  <c:v>1.55647837751909</c:v>
                </c:pt>
                <c:pt idx="25">
                  <c:v>1.5806359848505978</c:v>
                </c:pt>
                <c:pt idx="26">
                  <c:v>1.5726541016616373</c:v>
                </c:pt>
                <c:pt idx="27">
                  <c:v>1.609261438746995</c:v>
                </c:pt>
                <c:pt idx="28">
                  <c:v>1.6606611966689164</c:v>
                </c:pt>
                <c:pt idx="29">
                  <c:v>1.6770126226426672</c:v>
                </c:pt>
                <c:pt idx="30">
                  <c:v>1.7053201398921247</c:v>
                </c:pt>
                <c:pt idx="31">
                  <c:v>1.6805991711335835</c:v>
                </c:pt>
                <c:pt idx="32">
                  <c:v>1.6846542578410428</c:v>
                </c:pt>
                <c:pt idx="33">
                  <c:v>1.7015857787495607</c:v>
                </c:pt>
                <c:pt idx="34">
                  <c:v>1.6724192747697748</c:v>
                </c:pt>
                <c:pt idx="35">
                  <c:v>1.6251136484066913</c:v>
                </c:pt>
                <c:pt idx="36">
                  <c:v>1.6573061283683157</c:v>
                </c:pt>
                <c:pt idx="37">
                  <c:v>1.6652182886083857</c:v>
                </c:pt>
                <c:pt idx="38">
                  <c:v>1.6540654057038953</c:v>
                </c:pt>
                <c:pt idx="39">
                  <c:v>1.6875993552021689</c:v>
                </c:pt>
                <c:pt idx="40">
                  <c:v>1.6985263357522551</c:v>
                </c:pt>
                <c:pt idx="41">
                  <c:v>1.6823812897072195</c:v>
                </c:pt>
                <c:pt idx="42">
                  <c:v>1.6647999509150442</c:v>
                </c:pt>
                <c:pt idx="43">
                  <c:v>1.6372677528572466</c:v>
                </c:pt>
                <c:pt idx="44">
                  <c:v>1.6721069159587463</c:v>
                </c:pt>
                <c:pt idx="45">
                  <c:v>1.5977153184107631</c:v>
                </c:pt>
                <c:pt idx="46">
                  <c:v>1.619837015634674</c:v>
                </c:pt>
                <c:pt idx="47">
                  <c:v>1.6356083466736577</c:v>
                </c:pt>
                <c:pt idx="48">
                  <c:v>1.6217641579420017</c:v>
                </c:pt>
                <c:pt idx="49">
                  <c:v>1.6039262386979098</c:v>
                </c:pt>
                <c:pt idx="50">
                  <c:v>1.6003285345351712</c:v>
                </c:pt>
                <c:pt idx="51">
                  <c:v>1.5903944087772828</c:v>
                </c:pt>
                <c:pt idx="52">
                  <c:v>1.5690508196629873</c:v>
                </c:pt>
                <c:pt idx="53">
                  <c:v>1.5083639649488791</c:v>
                </c:pt>
                <c:pt idx="54">
                  <c:v>1.5752924180476457</c:v>
                </c:pt>
                <c:pt idx="55">
                  <c:v>1.5714465001868574</c:v>
                </c:pt>
                <c:pt idx="56">
                  <c:v>1.5490347554955628</c:v>
                </c:pt>
                <c:pt idx="57">
                  <c:v>1.4904423781661191</c:v>
                </c:pt>
                <c:pt idx="58">
                  <c:v>1.4911117184754661</c:v>
                </c:pt>
                <c:pt idx="59">
                  <c:v>1.5224982011479187</c:v>
                </c:pt>
                <c:pt idx="60">
                  <c:v>1.5352993345641759</c:v>
                </c:pt>
                <c:pt idx="61">
                  <c:v>1.5660750442043498</c:v>
                </c:pt>
                <c:pt idx="62">
                  <c:v>1.5526436153301242</c:v>
                </c:pt>
                <c:pt idx="63">
                  <c:v>1.5228830718257929</c:v>
                </c:pt>
                <c:pt idx="64">
                  <c:v>1.5240376838594163</c:v>
                </c:pt>
                <c:pt idx="65">
                  <c:v>1.514828676769987</c:v>
                </c:pt>
                <c:pt idx="66">
                  <c:v>1.4912316419475571</c:v>
                </c:pt>
                <c:pt idx="67">
                  <c:v>1.4718542399919681</c:v>
                </c:pt>
                <c:pt idx="68">
                  <c:v>1.4794428857491873</c:v>
                </c:pt>
                <c:pt idx="69">
                  <c:v>1.4790384926456235</c:v>
                </c:pt>
                <c:pt idx="70">
                  <c:v>1.4565626028413496</c:v>
                </c:pt>
                <c:pt idx="71">
                  <c:v>1.4300985603605514</c:v>
                </c:pt>
                <c:pt idx="72">
                  <c:v>1.4223370016900843</c:v>
                </c:pt>
                <c:pt idx="73">
                  <c:v>1.3853196936652517</c:v>
                </c:pt>
                <c:pt idx="74">
                  <c:v>1.4288770142959935</c:v>
                </c:pt>
                <c:pt idx="75">
                  <c:v>1.451447727310758</c:v>
                </c:pt>
                <c:pt idx="76">
                  <c:v>1.4597698584903032</c:v>
                </c:pt>
                <c:pt idx="77">
                  <c:v>1.4597698584903032</c:v>
                </c:pt>
                <c:pt idx="78">
                  <c:v>1.4271144181480471</c:v>
                </c:pt>
                <c:pt idx="79">
                  <c:v>1.4289551039987505</c:v>
                </c:pt>
                <c:pt idx="80">
                  <c:v>1.4326894651413145</c:v>
                </c:pt>
                <c:pt idx="81">
                  <c:v>1.4192245692516219</c:v>
                </c:pt>
                <c:pt idx="82">
                  <c:v>1.3960124051070666</c:v>
                </c:pt>
                <c:pt idx="83">
                  <c:v>1.4018802884856734</c:v>
                </c:pt>
                <c:pt idx="84">
                  <c:v>1.3829156463875145</c:v>
                </c:pt>
                <c:pt idx="85">
                  <c:v>1.364051405335758</c:v>
                </c:pt>
                <c:pt idx="86">
                  <c:v>1.3497833010748492</c:v>
                </c:pt>
                <c:pt idx="87">
                  <c:v>1.3341709383593354</c:v>
                </c:pt>
                <c:pt idx="88">
                  <c:v>1.3100216977816945</c:v>
                </c:pt>
                <c:pt idx="89">
                  <c:v>1.3302664532214792</c:v>
                </c:pt>
                <c:pt idx="90">
                  <c:v>1.3260272979289496</c:v>
                </c:pt>
                <c:pt idx="91">
                  <c:v>1.316143372694262</c:v>
                </c:pt>
                <c:pt idx="92">
                  <c:v>1.28412101672793</c:v>
                </c:pt>
                <c:pt idx="93">
                  <c:v>1.2814046106391643</c:v>
                </c:pt>
                <c:pt idx="94">
                  <c:v>1.2715625191738111</c:v>
                </c:pt>
                <c:pt idx="95">
                  <c:v>1.2589231429989793</c:v>
                </c:pt>
                <c:pt idx="96">
                  <c:v>1.2313742114334481</c:v>
                </c:pt>
                <c:pt idx="97">
                  <c:v>1.2155052682660181</c:v>
                </c:pt>
                <c:pt idx="98">
                  <c:v>1.1483007122896458</c:v>
                </c:pt>
                <c:pt idx="99">
                  <c:v>1.178083567137622</c:v>
                </c:pt>
                <c:pt idx="100">
                  <c:v>1.206982334993669</c:v>
                </c:pt>
                <c:pt idx="101">
                  <c:v>1.2016053011752501</c:v>
                </c:pt>
                <c:pt idx="102">
                  <c:v>1.1959019639560244</c:v>
                </c:pt>
                <c:pt idx="103">
                  <c:v>1.2048292903319371</c:v>
                </c:pt>
                <c:pt idx="104">
                  <c:v>1.2411577356217334</c:v>
                </c:pt>
                <c:pt idx="105">
                  <c:v>1.243157389795907</c:v>
                </c:pt>
                <c:pt idx="106">
                  <c:v>1.2594112036412115</c:v>
                </c:pt>
                <c:pt idx="107">
                  <c:v>1.2287163726217503</c:v>
                </c:pt>
                <c:pt idx="108">
                  <c:v>1.2186762679815486</c:v>
                </c:pt>
                <c:pt idx="109">
                  <c:v>1.2449869199747883</c:v>
                </c:pt>
                <c:pt idx="110">
                  <c:v>1.2488858272767331</c:v>
                </c:pt>
                <c:pt idx="111">
                  <c:v>1.2779463523742058</c:v>
                </c:pt>
                <c:pt idx="112">
                  <c:v>1.2651480078759043</c:v>
                </c:pt>
                <c:pt idx="113">
                  <c:v>1.2565246735571534</c:v>
                </c:pt>
                <c:pt idx="114">
                  <c:v>1.2268310640837568</c:v>
                </c:pt>
                <c:pt idx="115">
                  <c:v>1.2411744691294673</c:v>
                </c:pt>
                <c:pt idx="116">
                  <c:v>1.2127135613924509</c:v>
                </c:pt>
                <c:pt idx="117">
                  <c:v>1.2297984727885276</c:v>
                </c:pt>
                <c:pt idx="118">
                  <c:v>1.1989167842660404</c:v>
                </c:pt>
                <c:pt idx="119">
                  <c:v>1.1943178585572369</c:v>
                </c:pt>
                <c:pt idx="120">
                  <c:v>1.1728655016426726</c:v>
                </c:pt>
                <c:pt idx="121">
                  <c:v>1.1691088291564637</c:v>
                </c:pt>
                <c:pt idx="122">
                  <c:v>1.1501720762378613</c:v>
                </c:pt>
                <c:pt idx="123">
                  <c:v>1.1535661893898406</c:v>
                </c:pt>
                <c:pt idx="124">
                  <c:v>1.1628337637563377</c:v>
                </c:pt>
                <c:pt idx="125">
                  <c:v>1.1528048147879588</c:v>
                </c:pt>
                <c:pt idx="126">
                  <c:v>1.1539538489856707</c:v>
                </c:pt>
                <c:pt idx="127">
                  <c:v>1.1460528444174232</c:v>
                </c:pt>
                <c:pt idx="128">
                  <c:v>1.1460528444174232</c:v>
                </c:pt>
                <c:pt idx="129">
                  <c:v>1.1074765312554036</c:v>
                </c:pt>
                <c:pt idx="130">
                  <c:v>1.0923187621666546</c:v>
                </c:pt>
                <c:pt idx="131">
                  <c:v>1.0769657688210128</c:v>
                </c:pt>
                <c:pt idx="132">
                  <c:v>1.128295803794044</c:v>
                </c:pt>
                <c:pt idx="133">
                  <c:v>1.1072115840496204</c:v>
                </c:pt>
                <c:pt idx="134">
                  <c:v>1.1376247343555648</c:v>
                </c:pt>
                <c:pt idx="135">
                  <c:v>1.1407957340710952</c:v>
                </c:pt>
                <c:pt idx="136">
                  <c:v>1.1536303345028196</c:v>
                </c:pt>
                <c:pt idx="137">
                  <c:v>1.1352457873394282</c:v>
                </c:pt>
                <c:pt idx="138">
                  <c:v>1.1079283359642127</c:v>
                </c:pt>
                <c:pt idx="139">
                  <c:v>1.1153133907106723</c:v>
                </c:pt>
                <c:pt idx="140">
                  <c:v>1.0863058550543561</c:v>
                </c:pt>
                <c:pt idx="141">
                  <c:v>1.0708050490570669</c:v>
                </c:pt>
                <c:pt idx="142">
                  <c:v>1.0722887534094523</c:v>
                </c:pt>
                <c:pt idx="143">
                  <c:v>1.0743915975479834</c:v>
                </c:pt>
                <c:pt idx="144">
                  <c:v>1.0972663026199097</c:v>
                </c:pt>
                <c:pt idx="145">
                  <c:v>1.1355637239863678</c:v>
                </c:pt>
                <c:pt idx="146">
                  <c:v>1.1228518359446902</c:v>
                </c:pt>
                <c:pt idx="147">
                  <c:v>1.1059007926104831</c:v>
                </c:pt>
                <c:pt idx="148">
                  <c:v>1.1135954172500153</c:v>
                </c:pt>
                <c:pt idx="149">
                  <c:v>1.0515754597531251</c:v>
                </c:pt>
                <c:pt idx="150">
                  <c:v>1.0879736279918117</c:v>
                </c:pt>
                <c:pt idx="151">
                  <c:v>1.0466111857921363</c:v>
                </c:pt>
                <c:pt idx="152">
                  <c:v>0.99928882592131907</c:v>
                </c:pt>
                <c:pt idx="153">
                  <c:v>1.0150713126321249</c:v>
                </c:pt>
                <c:pt idx="154">
                  <c:v>1</c:v>
                </c:pt>
              </c:numCache>
            </c:numRef>
          </c:val>
          <c:smooth val="0"/>
          <c:extLst>
            <c:ext xmlns:c16="http://schemas.microsoft.com/office/drawing/2014/chart" uri="{C3380CC4-5D6E-409C-BE32-E72D297353CC}">
              <c16:uniqueId val="{00000001-FDC8-481D-BAD7-1015841AA028}"/>
            </c:ext>
          </c:extLst>
        </c:ser>
        <c:ser>
          <c:idx val="2"/>
          <c:order val="2"/>
          <c:tx>
            <c:v>Tram Index</c:v>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Railroad Market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Value (USD Billion)</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numRef>
              <c:f>Industry!$D$9:$K$9</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Industry!$D$12:$K$12</c:f>
              <c:numCache>
                <c:formatCode>#,##0_);\(#,##0\)</c:formatCode>
                <c:ptCount val="8"/>
                <c:pt idx="0">
                  <c:v>258.77</c:v>
                </c:pt>
                <c:pt idx="1">
                  <c:v>273.23</c:v>
                </c:pt>
                <c:pt idx="2">
                  <c:v>296.8</c:v>
                </c:pt>
                <c:pt idx="3">
                  <c:v>330.2</c:v>
                </c:pt>
                <c:pt idx="4">
                  <c:v>348.68</c:v>
                </c:pt>
                <c:pt idx="5">
                  <c:v>367.99</c:v>
                </c:pt>
                <c:pt idx="6">
                  <c:v>388.5</c:v>
                </c:pt>
                <c:pt idx="7">
                  <c:v>410.23</c:v>
                </c:pt>
              </c:numCache>
            </c:numRef>
          </c:val>
          <c:extLst>
            <c:ext xmlns:c16="http://schemas.microsoft.com/office/drawing/2014/chart" uri="{C3380CC4-5D6E-409C-BE32-E72D297353CC}">
              <c16:uniqueId val="{00000000-BBFB-4A19-8044-B81B679F6590}"/>
            </c:ext>
          </c:extLst>
        </c:ser>
        <c:dLbls>
          <c:showLegendKey val="0"/>
          <c:showVal val="0"/>
          <c:showCatName val="0"/>
          <c:showSerName val="0"/>
          <c:showPercent val="0"/>
          <c:showBubbleSize val="0"/>
        </c:dLbls>
        <c:gapWidth val="355"/>
        <c:overlap val="-70"/>
        <c:axId val="1434174471"/>
        <c:axId val="1434182151"/>
      </c:barChart>
      <c:catAx>
        <c:axId val="1434174471"/>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82151"/>
        <c:crosses val="autoZero"/>
        <c:auto val="1"/>
        <c:lblAlgn val="ctr"/>
        <c:lblOffset val="100"/>
        <c:noMultiLvlLbl val="0"/>
      </c:catAx>
      <c:valAx>
        <c:axId val="143418215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74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UNION PAC CORP</c:v>
                </c:pt>
              </c:strCache>
            </c:strRef>
          </c:tx>
          <c:spPr>
            <a:ln w="28575" cap="rnd">
              <a:solidFill>
                <a:schemeClr val="accent1"/>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CAN NATL RAILWAY</c:v>
                </c:pt>
              </c:strCache>
            </c:strRef>
          </c:tx>
          <c:spPr>
            <a:ln w="28575" cap="rnd">
              <a:solidFill>
                <a:schemeClr val="accent3"/>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CSX CORP</c:v>
                </c:pt>
              </c:strCache>
            </c:strRef>
          </c:tx>
          <c:spPr>
            <a:ln w="28575" cap="rnd">
              <a:solidFill>
                <a:schemeClr val="accent5"/>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CANADIAN PACIFIC</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NORFOLK SOUTHERN</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BNSF RAILWAY CO</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UNION PAC CORP</c:v>
                </c:pt>
              </c:strCache>
            </c:strRef>
          </c:tx>
          <c:spPr>
            <a:ln w="28575" cap="rnd">
              <a:solidFill>
                <a:schemeClr val="accent1"/>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CAN NATL RAILWAY</c:v>
                </c:pt>
              </c:strCache>
            </c:strRef>
          </c:tx>
          <c:spPr>
            <a:ln w="28575" cap="rnd">
              <a:solidFill>
                <a:schemeClr val="accent2"/>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CSX CORP</c:v>
                </c:pt>
              </c:strCache>
            </c:strRef>
          </c:tx>
          <c:spPr>
            <a:ln w="28575" cap="rnd">
              <a:solidFill>
                <a:schemeClr val="accent3"/>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CANADIAN PACIFIC</c:v>
                </c:pt>
              </c:strCache>
            </c:strRef>
          </c:tx>
          <c:spPr>
            <a:ln w="28575" cap="rnd">
              <a:solidFill>
                <a:schemeClr val="accent4"/>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NORFOLK SOUTHERN</c:v>
                </c:pt>
              </c:strCache>
            </c:strRef>
          </c:tx>
          <c:spPr>
            <a:ln w="28575" cap="rnd">
              <a:solidFill>
                <a:schemeClr val="accent5"/>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BNSF RAILWAY CO</c:v>
                </c:pt>
              </c:strCache>
            </c:strRef>
          </c:tx>
          <c:spPr>
            <a:ln w="28575" cap="rnd">
              <a:solidFill>
                <a:schemeClr val="accent6"/>
              </a:solidFill>
              <a:round/>
            </a:ln>
            <a:effectLst/>
          </c:spPr>
          <c:marker>
            <c:symbol val="none"/>
          </c:marker>
          <c:cat>
            <c:numRef>
              <c:f>'Stock Data'!$B$5:$B$159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7.0340087440881577E-2</c:v>
                </c:pt>
                <c:pt idx="1">
                  <c:v>6.6665684957240956E-2</c:v>
                </c:pt>
                <c:pt idx="2">
                  <c:v>6.5713330286671132E-2</c:v>
                </c:pt>
                <c:pt idx="3">
                  <c:v>6.4290453738417644E-2</c:v>
                </c:pt>
                <c:pt idx="4">
                  <c:v>6.5794776506265348E-2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0.16717762679454823</c:v>
                </c:pt>
                <c:pt idx="1">
                  <c:v>0.16624269248082379</c:v>
                </c:pt>
                <c:pt idx="2">
                  <c:v>0.17141670386497043</c:v>
                </c:pt>
                <c:pt idx="3">
                  <c:v>0.16845167067601396</c:v>
                </c:pt>
                <c:pt idx="4">
                  <c:v>0.15972485673352574</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extLst>
                <c:ext xmlns:c15="http://schemas.microsoft.com/office/drawing/2012/chart" uri="{02D57815-91ED-43cb-92C2-25804820EDAC}">
                  <c15:fullRef>
                    <c15:sqref>Sensitivity!$AD$28:$AD$34</c15:sqref>
                  </c15:fullRef>
                </c:ext>
              </c:extLst>
              <c:f>Sensitivity!$AD$28:$AD$32</c:f>
              <c:strCache>
                <c:ptCount val="5"/>
                <c:pt idx="0">
                  <c:v>WACC</c:v>
                </c:pt>
                <c:pt idx="1">
                  <c:v>Capex Intensity</c:v>
                </c:pt>
                <c:pt idx="2">
                  <c:v>EBITDA Exit</c:v>
                </c:pt>
                <c:pt idx="3">
                  <c:v>Revenue Exit</c:v>
                </c:pt>
                <c:pt idx="4">
                  <c:v>Terminal g</c:v>
                </c:pt>
              </c:strCache>
            </c:strRef>
          </c:cat>
          <c:val>
            <c:numRef>
              <c:extLst>
                <c:ext xmlns:c15="http://schemas.microsoft.com/office/drawing/2012/chart" uri="{02D57815-91ED-43cb-92C2-25804820EDAC}">
                  <c15:fullRef>
                    <c15:sqref>Sensitivity!$AJ$28:$AJ$34</c15:sqref>
                  </c15:fullRef>
                </c:ext>
              </c:extLst>
              <c:f>Sensitivity!$AJ$28:$AJ$32</c:f>
              <c:numCache>
                <c:formatCode>General</c:formatCode>
                <c:ptCount val="5"/>
                <c:pt idx="0">
                  <c:v>-12.999921342816577</c:v>
                </c:pt>
                <c:pt idx="1">
                  <c:v>-14.851960257710545</c:v>
                </c:pt>
                <c:pt idx="2">
                  <c:v>-12.999921342816577</c:v>
                </c:pt>
                <c:pt idx="3">
                  <c:v>0</c:v>
                </c:pt>
                <c:pt idx="4">
                  <c:v>-12.999921342816577</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extLst>
                <c:ext xmlns:c15="http://schemas.microsoft.com/office/drawing/2012/chart" uri="{02D57815-91ED-43cb-92C2-25804820EDAC}">
                  <c15:fullRef>
                    <c15:sqref>Sensitivity!$AD$28:$AD$34</c15:sqref>
                  </c15:fullRef>
                </c:ext>
              </c:extLst>
              <c:f>Sensitivity!$AD$28:$AD$32</c:f>
              <c:strCache>
                <c:ptCount val="5"/>
                <c:pt idx="0">
                  <c:v>WACC</c:v>
                </c:pt>
                <c:pt idx="1">
                  <c:v>Capex Intensity</c:v>
                </c:pt>
                <c:pt idx="2">
                  <c:v>EBITDA Exit</c:v>
                </c:pt>
                <c:pt idx="3">
                  <c:v>Revenue Exit</c:v>
                </c:pt>
                <c:pt idx="4">
                  <c:v>Terminal g</c:v>
                </c:pt>
              </c:strCache>
            </c:strRef>
          </c:cat>
          <c:val>
            <c:numRef>
              <c:extLst>
                <c:ext xmlns:c15="http://schemas.microsoft.com/office/drawing/2012/chart" uri="{02D57815-91ED-43cb-92C2-25804820EDAC}">
                  <c15:fullRef>
                    <c15:sqref>Sensitivity!$AK$28:$AK$34</c15:sqref>
                  </c15:fullRef>
                </c:ext>
              </c:extLst>
              <c:f>Sensitivity!$AK$28:$AK$32</c:f>
              <c:numCache>
                <c:formatCode>General</c:formatCode>
                <c:ptCount val="5"/>
                <c:pt idx="0">
                  <c:v>7.8635637242827272</c:v>
                </c:pt>
                <c:pt idx="1">
                  <c:v>-2.1414271658722726</c:v>
                </c:pt>
                <c:pt idx="2">
                  <c:v>20.384467575066907</c:v>
                </c:pt>
                <c:pt idx="3">
                  <c:v>23.527282978494611</c:v>
                </c:pt>
                <c:pt idx="4">
                  <c:v>32.365916934781524</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UNP US Equity</c:v>
                </c:pt>
              </c:strCache>
            </c:strRef>
          </c:tx>
          <c:spPr>
            <a:ln w="28575" cap="rnd">
              <a:solidFill>
                <a:schemeClr val="accent1"/>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Data'!$U$5:$U$159</c:f>
              <c:numCache>
                <c:formatCode>General</c:formatCode>
                <c:ptCount val="155"/>
                <c:pt idx="0">
                  <c:v>1.1308387229237244</c:v>
                </c:pt>
                <c:pt idx="1">
                  <c:v>1.1308387229237244</c:v>
                </c:pt>
                <c:pt idx="2">
                  <c:v>1.1475721178523766</c:v>
                </c:pt>
                <c:pt idx="3">
                  <c:v>1.1695411148752695</c:v>
                </c:pt>
                <c:pt idx="4">
                  <c:v>1.1332512062416591</c:v>
                </c:pt>
                <c:pt idx="5">
                  <c:v>1.140745303356945</c:v>
                </c:pt>
                <c:pt idx="6">
                  <c:v>1.1261677445847449</c:v>
                </c:pt>
                <c:pt idx="7">
                  <c:v>1.1535776614310647</c:v>
                </c:pt>
                <c:pt idx="8">
                  <c:v>1.1542449440509188</c:v>
                </c:pt>
                <c:pt idx="9">
                  <c:v>1.2067549532902166</c:v>
                </c:pt>
                <c:pt idx="10">
                  <c:v>1.187814392772816</c:v>
                </c:pt>
                <c:pt idx="11">
                  <c:v>1.187814392772816</c:v>
                </c:pt>
                <c:pt idx="12">
                  <c:v>1.1421311980289497</c:v>
                </c:pt>
                <c:pt idx="13">
                  <c:v>1.146545529206447</c:v>
                </c:pt>
                <c:pt idx="14">
                  <c:v>1.1468535058002258</c:v>
                </c:pt>
                <c:pt idx="15">
                  <c:v>1.1377681962837491</c:v>
                </c:pt>
                <c:pt idx="16">
                  <c:v>1.1400780207370909</c:v>
                </c:pt>
                <c:pt idx="17">
                  <c:v>1.1878657222051123</c:v>
                </c:pt>
                <c:pt idx="18">
                  <c:v>1.1103582794374294</c:v>
                </c:pt>
                <c:pt idx="19">
                  <c:v>1.1204701775998358</c:v>
                </c:pt>
                <c:pt idx="20">
                  <c:v>1.0948054614515963</c:v>
                </c:pt>
                <c:pt idx="21">
                  <c:v>1.1220100605687302</c:v>
                </c:pt>
                <c:pt idx="22">
                  <c:v>1.1220100605687302</c:v>
                </c:pt>
                <c:pt idx="23">
                  <c:v>1.094651473154707</c:v>
                </c:pt>
                <c:pt idx="24">
                  <c:v>1.1916127707627555</c:v>
                </c:pt>
                <c:pt idx="25">
                  <c:v>1.2004927625500461</c:v>
                </c:pt>
                <c:pt idx="26">
                  <c:v>1.2192280053382609</c:v>
                </c:pt>
                <c:pt idx="27">
                  <c:v>1.279694076583513</c:v>
                </c:pt>
                <c:pt idx="28">
                  <c:v>1.2662457653218355</c:v>
                </c:pt>
                <c:pt idx="29">
                  <c:v>1.2603942100400372</c:v>
                </c:pt>
                <c:pt idx="30">
                  <c:v>1.2792321116928447</c:v>
                </c:pt>
                <c:pt idx="31">
                  <c:v>1.2425828970331589</c:v>
                </c:pt>
                <c:pt idx="32">
                  <c:v>1.2718920028744483</c:v>
                </c:pt>
                <c:pt idx="33">
                  <c:v>1.2769736166717998</c:v>
                </c:pt>
                <c:pt idx="34">
                  <c:v>1.2024432809773125</c:v>
                </c:pt>
                <c:pt idx="35">
                  <c:v>1.1559901447489991</c:v>
                </c:pt>
                <c:pt idx="36">
                  <c:v>1.1882763576634843</c:v>
                </c:pt>
                <c:pt idx="37">
                  <c:v>1.1802176367929371</c:v>
                </c:pt>
                <c:pt idx="38">
                  <c:v>1.1616877117339082</c:v>
                </c:pt>
                <c:pt idx="39">
                  <c:v>1.2061390001026588</c:v>
                </c:pt>
                <c:pt idx="40">
                  <c:v>1.1989015501488554</c:v>
                </c:pt>
                <c:pt idx="41">
                  <c:v>1.2558258905656503</c:v>
                </c:pt>
                <c:pt idx="42">
                  <c:v>1.2441741094343497</c:v>
                </c:pt>
                <c:pt idx="43">
                  <c:v>1.2091674366081511</c:v>
                </c:pt>
                <c:pt idx="44">
                  <c:v>1.2395544605276667</c:v>
                </c:pt>
                <c:pt idx="45">
                  <c:v>1.1943845601067653</c:v>
                </c:pt>
                <c:pt idx="46">
                  <c:v>1.1821168257879069</c:v>
                </c:pt>
                <c:pt idx="47">
                  <c:v>1.2529514423570476</c:v>
                </c:pt>
                <c:pt idx="48">
                  <c:v>1.243763473975978</c:v>
                </c:pt>
                <c:pt idx="49">
                  <c:v>1.2260548198336927</c:v>
                </c:pt>
                <c:pt idx="50">
                  <c:v>1.2535673955446054</c:v>
                </c:pt>
                <c:pt idx="51">
                  <c:v>1.2595729391232933</c:v>
                </c:pt>
                <c:pt idx="52">
                  <c:v>1.27871881736988</c:v>
                </c:pt>
                <c:pt idx="53">
                  <c:v>1.2813366184170003</c:v>
                </c:pt>
                <c:pt idx="54">
                  <c:v>1.3144954316805255</c:v>
                </c:pt>
                <c:pt idx="55">
                  <c:v>1.2670670362385792</c:v>
                </c:pt>
                <c:pt idx="56">
                  <c:v>1.2551586079457961</c:v>
                </c:pt>
                <c:pt idx="57">
                  <c:v>1.2191766759059646</c:v>
                </c:pt>
                <c:pt idx="58">
                  <c:v>1.2317523868186018</c:v>
                </c:pt>
                <c:pt idx="59">
                  <c:v>1.2337542346781645</c:v>
                </c:pt>
                <c:pt idx="60">
                  <c:v>1.2438148034082743</c:v>
                </c:pt>
                <c:pt idx="61">
                  <c:v>1.1817061903295349</c:v>
                </c:pt>
                <c:pt idx="62">
                  <c:v>1.1557848270198132</c:v>
                </c:pt>
                <c:pt idx="63">
                  <c:v>1.1613797351401294</c:v>
                </c:pt>
                <c:pt idx="64">
                  <c:v>1.1606097936556823</c:v>
                </c:pt>
                <c:pt idx="65">
                  <c:v>1.1400266913047943</c:v>
                </c:pt>
                <c:pt idx="66">
                  <c:v>1.1701570680628273</c:v>
                </c:pt>
                <c:pt idx="67">
                  <c:v>1.1950518427266195</c:v>
                </c:pt>
                <c:pt idx="68">
                  <c:v>1.1910994764397906</c:v>
                </c:pt>
                <c:pt idx="69">
                  <c:v>1.2574171029668413</c:v>
                </c:pt>
                <c:pt idx="70">
                  <c:v>1.2698901550148856</c:v>
                </c:pt>
                <c:pt idx="71">
                  <c:v>1.2337542346781645</c:v>
                </c:pt>
                <c:pt idx="72">
                  <c:v>1.2462272867262087</c:v>
                </c:pt>
                <c:pt idx="73">
                  <c:v>1.1912534647366801</c:v>
                </c:pt>
                <c:pt idx="74">
                  <c:v>1.2031618930294632</c:v>
                </c:pt>
                <c:pt idx="75">
                  <c:v>1.2422235910070833</c:v>
                </c:pt>
                <c:pt idx="76">
                  <c:v>1.2574171029668413</c:v>
                </c:pt>
                <c:pt idx="77">
                  <c:v>1.2574171029668413</c:v>
                </c:pt>
                <c:pt idx="78">
                  <c:v>1.2531054306539371</c:v>
                </c:pt>
                <c:pt idx="79">
                  <c:v>1.2881634329124321</c:v>
                </c:pt>
                <c:pt idx="80">
                  <c:v>1.2985319782363207</c:v>
                </c:pt>
                <c:pt idx="81">
                  <c:v>1.318704445128837</c:v>
                </c:pt>
                <c:pt idx="82">
                  <c:v>1.2657324709988709</c:v>
                </c:pt>
                <c:pt idx="83">
                  <c:v>1.2804126886356637</c:v>
                </c:pt>
                <c:pt idx="84">
                  <c:v>1.2746637922184583</c:v>
                </c:pt>
                <c:pt idx="85">
                  <c:v>1.2339082229750538</c:v>
                </c:pt>
                <c:pt idx="86">
                  <c:v>1.2281593265578483</c:v>
                </c:pt>
                <c:pt idx="87">
                  <c:v>1.2201519351195977</c:v>
                </c:pt>
                <c:pt idx="88">
                  <c:v>1.231444410224823</c:v>
                </c:pt>
                <c:pt idx="89">
                  <c:v>1.2607535160661123</c:v>
                </c:pt>
                <c:pt idx="90">
                  <c:v>1.2502823118776307</c:v>
                </c:pt>
                <c:pt idx="91">
                  <c:v>1.2420696027101941</c:v>
                </c:pt>
                <c:pt idx="92">
                  <c:v>1.1793963658761935</c:v>
                </c:pt>
                <c:pt idx="93">
                  <c:v>1.1876090750436301</c:v>
                </c:pt>
                <c:pt idx="94">
                  <c:v>1.1512165075454266</c:v>
                </c:pt>
                <c:pt idx="95">
                  <c:v>1.1251924853711119</c:v>
                </c:pt>
                <c:pt idx="96">
                  <c:v>1.0855661636382303</c:v>
                </c:pt>
                <c:pt idx="97">
                  <c:v>1.0888512473052048</c:v>
                </c:pt>
                <c:pt idx="98">
                  <c:v>1.0354173082845703</c:v>
                </c:pt>
                <c:pt idx="99">
                  <c:v>1.084796222153783</c:v>
                </c:pt>
                <c:pt idx="100">
                  <c:v>1.0663689559593472</c:v>
                </c:pt>
                <c:pt idx="101">
                  <c:v>1.0392156862745099</c:v>
                </c:pt>
                <c:pt idx="102">
                  <c:v>1.0452212298531978</c:v>
                </c:pt>
                <c:pt idx="103">
                  <c:v>1.0740170413715224</c:v>
                </c:pt>
                <c:pt idx="104">
                  <c:v>1.0949594497484858</c:v>
                </c:pt>
                <c:pt idx="105">
                  <c:v>1.0871573760394211</c:v>
                </c:pt>
                <c:pt idx="106">
                  <c:v>1.1345344420490711</c:v>
                </c:pt>
                <c:pt idx="107">
                  <c:v>1.1507032132224619</c:v>
                </c:pt>
                <c:pt idx="108">
                  <c:v>1.1562467919104815</c:v>
                </c:pt>
                <c:pt idx="109">
                  <c:v>1.177959141771892</c:v>
                </c:pt>
                <c:pt idx="110">
                  <c:v>1.17303151627143</c:v>
                </c:pt>
                <c:pt idx="111">
                  <c:v>1.1947951955651372</c:v>
                </c:pt>
                <c:pt idx="112">
                  <c:v>1.1127194333230674</c:v>
                </c:pt>
                <c:pt idx="113">
                  <c:v>1.0829996920234064</c:v>
                </c:pt>
                <c:pt idx="114">
                  <c:v>1.0410635458371831</c:v>
                </c:pt>
                <c:pt idx="115">
                  <c:v>1.0503028436505493</c:v>
                </c:pt>
                <c:pt idx="116">
                  <c:v>1.0260240221743147</c:v>
                </c:pt>
                <c:pt idx="117">
                  <c:v>1.0505594908120315</c:v>
                </c:pt>
                <c:pt idx="118">
                  <c:v>1.0248947746637922</c:v>
                </c:pt>
                <c:pt idx="119">
                  <c:v>1.019710502001848</c:v>
                </c:pt>
                <c:pt idx="120">
                  <c:v>0.99117133764500565</c:v>
                </c:pt>
                <c:pt idx="121">
                  <c:v>1.0213017144030387</c:v>
                </c:pt>
                <c:pt idx="122">
                  <c:v>1.0214043732676317</c:v>
                </c:pt>
                <c:pt idx="123">
                  <c:v>1.032902166102043</c:v>
                </c:pt>
                <c:pt idx="124">
                  <c:v>1.0045169900420901</c:v>
                </c:pt>
                <c:pt idx="125">
                  <c:v>1.0206857612154809</c:v>
                </c:pt>
                <c:pt idx="126">
                  <c:v>1.0190432193819936</c:v>
                </c:pt>
                <c:pt idx="127">
                  <c:v>1.0330561543989323</c:v>
                </c:pt>
                <c:pt idx="128">
                  <c:v>1.0330561543989323</c:v>
                </c:pt>
                <c:pt idx="129">
                  <c:v>0.96761112822092188</c:v>
                </c:pt>
                <c:pt idx="130">
                  <c:v>0.97531054306539366</c:v>
                </c:pt>
                <c:pt idx="131">
                  <c:v>1.0063648496047635</c:v>
                </c:pt>
                <c:pt idx="132">
                  <c:v>1.0746329945590802</c:v>
                </c:pt>
                <c:pt idx="133">
                  <c:v>0.99589364541628178</c:v>
                </c:pt>
                <c:pt idx="134">
                  <c:v>1.0347500256647162</c:v>
                </c:pt>
                <c:pt idx="135">
                  <c:v>1.0548198336926393</c:v>
                </c:pt>
                <c:pt idx="136">
                  <c:v>1.0794066317626527</c:v>
                </c:pt>
                <c:pt idx="137">
                  <c:v>1.0388563802484345</c:v>
                </c:pt>
                <c:pt idx="138">
                  <c:v>1.0710399342983268</c:v>
                </c:pt>
                <c:pt idx="139">
                  <c:v>1.0944974848578175</c:v>
                </c:pt>
                <c:pt idx="140">
                  <c:v>1.088235294117647</c:v>
                </c:pt>
                <c:pt idx="141">
                  <c:v>1.0628785545631865</c:v>
                </c:pt>
                <c:pt idx="142">
                  <c:v>1.0774561133353866</c:v>
                </c:pt>
                <c:pt idx="143">
                  <c:v>1.078995996304281</c:v>
                </c:pt>
                <c:pt idx="144">
                  <c:v>1.0848475515860794</c:v>
                </c:pt>
                <c:pt idx="145">
                  <c:v>1.1021968997022893</c:v>
                </c:pt>
                <c:pt idx="146">
                  <c:v>1.0950107791807824</c:v>
                </c:pt>
                <c:pt idx="147">
                  <c:v>1.0808951852992508</c:v>
                </c:pt>
                <c:pt idx="148">
                  <c:v>1.116415152448414</c:v>
                </c:pt>
                <c:pt idx="149">
                  <c:v>1.0096499332717379</c:v>
                </c:pt>
                <c:pt idx="150">
                  <c:v>1.0196591725695514</c:v>
                </c:pt>
                <c:pt idx="151">
                  <c:v>0.97797967354481063</c:v>
                </c:pt>
                <c:pt idx="152">
                  <c:v>0.99471306847346264</c:v>
                </c:pt>
                <c:pt idx="153">
                  <c:v>1.0041063545837183</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spx index</c:v>
                </c:pt>
              </c:strCache>
            </c:strRef>
          </c:tx>
          <c:spPr>
            <a:ln w="28575" cap="rnd">
              <a:solidFill>
                <a:schemeClr val="accent3"/>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Data'!$V$5:$V$159</c:f>
              <c:numCache>
                <c:formatCode>General</c:formatCode>
                <c:ptCount val="155"/>
                <c:pt idx="0">
                  <c:v>1.8076371729296468</c:v>
                </c:pt>
                <c:pt idx="1">
                  <c:v>1.8076371729296468</c:v>
                </c:pt>
                <c:pt idx="2">
                  <c:v>1.8017135111919278</c:v>
                </c:pt>
                <c:pt idx="3">
                  <c:v>1.8035681416324094</c:v>
                </c:pt>
                <c:pt idx="4">
                  <c:v>1.7987963030103582</c:v>
                </c:pt>
                <c:pt idx="5">
                  <c:v>1.7819651831482421</c:v>
                </c:pt>
                <c:pt idx="6">
                  <c:v>1.7397298096284604</c:v>
                </c:pt>
                <c:pt idx="7">
                  <c:v>1.7817392807938377</c:v>
                </c:pt>
                <c:pt idx="8">
                  <c:v>1.7561230693715453</c:v>
                </c:pt>
                <c:pt idx="9">
                  <c:v>1.7457929172639599</c:v>
                </c:pt>
                <c:pt idx="10">
                  <c:v>1.7216185764247187</c:v>
                </c:pt>
                <c:pt idx="11">
                  <c:v>1.7216185764247187</c:v>
                </c:pt>
                <c:pt idx="12">
                  <c:v>1.6643816132217024</c:v>
                </c:pt>
                <c:pt idx="13">
                  <c:v>1.6669278953151758</c:v>
                </c:pt>
                <c:pt idx="14">
                  <c:v>1.6734511744133511</c:v>
                </c:pt>
                <c:pt idx="15">
                  <c:v>1.6487218389009433</c:v>
                </c:pt>
                <c:pt idx="16">
                  <c:v>1.6183588891181999</c:v>
                </c:pt>
                <c:pt idx="17">
                  <c:v>1.6617432968356938</c:v>
                </c:pt>
                <c:pt idx="18">
                  <c:v>1.5785024626145547</c:v>
                </c:pt>
                <c:pt idx="19">
                  <c:v>1.5859656070637715</c:v>
                </c:pt>
                <c:pt idx="20">
                  <c:v>1.5409357377524668</c:v>
                </c:pt>
                <c:pt idx="21">
                  <c:v>1.4957971006408932</c:v>
                </c:pt>
                <c:pt idx="22">
                  <c:v>1.4957971006408932</c:v>
                </c:pt>
                <c:pt idx="23">
                  <c:v>1.4151192820209615</c:v>
                </c:pt>
                <c:pt idx="24">
                  <c:v>1.55647837751909</c:v>
                </c:pt>
                <c:pt idx="25">
                  <c:v>1.5806359848505978</c:v>
                </c:pt>
                <c:pt idx="26">
                  <c:v>1.5726541016616373</c:v>
                </c:pt>
                <c:pt idx="27">
                  <c:v>1.609261438746995</c:v>
                </c:pt>
                <c:pt idx="28">
                  <c:v>1.6606611966689164</c:v>
                </c:pt>
                <c:pt idx="29">
                  <c:v>1.6770126226426672</c:v>
                </c:pt>
                <c:pt idx="30">
                  <c:v>1.7053201398921247</c:v>
                </c:pt>
                <c:pt idx="31">
                  <c:v>1.6805991711335835</c:v>
                </c:pt>
                <c:pt idx="32">
                  <c:v>1.6846542578410428</c:v>
                </c:pt>
                <c:pt idx="33">
                  <c:v>1.7015857787495607</c:v>
                </c:pt>
                <c:pt idx="34">
                  <c:v>1.6724192747697748</c:v>
                </c:pt>
                <c:pt idx="35">
                  <c:v>1.6251136484066913</c:v>
                </c:pt>
                <c:pt idx="36">
                  <c:v>1.6573061283683157</c:v>
                </c:pt>
                <c:pt idx="37">
                  <c:v>1.6652182886083857</c:v>
                </c:pt>
                <c:pt idx="38">
                  <c:v>1.6540654057038953</c:v>
                </c:pt>
                <c:pt idx="39">
                  <c:v>1.6875993552021689</c:v>
                </c:pt>
                <c:pt idx="40">
                  <c:v>1.6985263357522551</c:v>
                </c:pt>
                <c:pt idx="41">
                  <c:v>1.6823812897072195</c:v>
                </c:pt>
                <c:pt idx="42">
                  <c:v>1.6647999509150442</c:v>
                </c:pt>
                <c:pt idx="43">
                  <c:v>1.6372677528572466</c:v>
                </c:pt>
                <c:pt idx="44">
                  <c:v>1.6721069159587463</c:v>
                </c:pt>
                <c:pt idx="45">
                  <c:v>1.5977153184107631</c:v>
                </c:pt>
                <c:pt idx="46">
                  <c:v>1.619837015634674</c:v>
                </c:pt>
                <c:pt idx="47">
                  <c:v>1.6356083466736577</c:v>
                </c:pt>
                <c:pt idx="48">
                  <c:v>1.6217641579420017</c:v>
                </c:pt>
                <c:pt idx="49">
                  <c:v>1.6039262386979098</c:v>
                </c:pt>
                <c:pt idx="50">
                  <c:v>1.6003285345351712</c:v>
                </c:pt>
                <c:pt idx="51">
                  <c:v>1.5903944087772828</c:v>
                </c:pt>
                <c:pt idx="52">
                  <c:v>1.5690508196629873</c:v>
                </c:pt>
                <c:pt idx="53">
                  <c:v>1.5083639649488791</c:v>
                </c:pt>
                <c:pt idx="54">
                  <c:v>1.5752924180476457</c:v>
                </c:pt>
                <c:pt idx="55">
                  <c:v>1.5714465001868574</c:v>
                </c:pt>
                <c:pt idx="56">
                  <c:v>1.5490347554955628</c:v>
                </c:pt>
                <c:pt idx="57">
                  <c:v>1.4904423781661191</c:v>
                </c:pt>
                <c:pt idx="58">
                  <c:v>1.4911117184754661</c:v>
                </c:pt>
                <c:pt idx="59">
                  <c:v>1.5224982011479187</c:v>
                </c:pt>
                <c:pt idx="60">
                  <c:v>1.5352993345641759</c:v>
                </c:pt>
                <c:pt idx="61">
                  <c:v>1.5660750442043498</c:v>
                </c:pt>
                <c:pt idx="62">
                  <c:v>1.5526436153301242</c:v>
                </c:pt>
                <c:pt idx="63">
                  <c:v>1.5228830718257929</c:v>
                </c:pt>
                <c:pt idx="64">
                  <c:v>1.5240376838594163</c:v>
                </c:pt>
                <c:pt idx="65">
                  <c:v>1.514828676769987</c:v>
                </c:pt>
                <c:pt idx="66">
                  <c:v>1.4912316419475571</c:v>
                </c:pt>
                <c:pt idx="67">
                  <c:v>1.4718542399919681</c:v>
                </c:pt>
                <c:pt idx="68">
                  <c:v>1.4794428857491873</c:v>
                </c:pt>
                <c:pt idx="69">
                  <c:v>1.4790384926456235</c:v>
                </c:pt>
                <c:pt idx="70">
                  <c:v>1.4565626028413496</c:v>
                </c:pt>
                <c:pt idx="71">
                  <c:v>1.4300985603605514</c:v>
                </c:pt>
                <c:pt idx="72">
                  <c:v>1.4223370016900843</c:v>
                </c:pt>
                <c:pt idx="73">
                  <c:v>1.3853196936652517</c:v>
                </c:pt>
                <c:pt idx="74">
                  <c:v>1.4288770142959935</c:v>
                </c:pt>
                <c:pt idx="75">
                  <c:v>1.451447727310758</c:v>
                </c:pt>
                <c:pt idx="76">
                  <c:v>1.4597698584903032</c:v>
                </c:pt>
                <c:pt idx="77">
                  <c:v>1.4597698584903032</c:v>
                </c:pt>
                <c:pt idx="78">
                  <c:v>1.4271144181480471</c:v>
                </c:pt>
                <c:pt idx="79">
                  <c:v>1.4289551039987505</c:v>
                </c:pt>
                <c:pt idx="80">
                  <c:v>1.4326894651413145</c:v>
                </c:pt>
                <c:pt idx="81">
                  <c:v>1.4192245692516219</c:v>
                </c:pt>
                <c:pt idx="82">
                  <c:v>1.3960124051070666</c:v>
                </c:pt>
                <c:pt idx="83">
                  <c:v>1.4018802884856734</c:v>
                </c:pt>
                <c:pt idx="84">
                  <c:v>1.3829156463875145</c:v>
                </c:pt>
                <c:pt idx="85">
                  <c:v>1.364051405335758</c:v>
                </c:pt>
                <c:pt idx="86">
                  <c:v>1.3497833010748492</c:v>
                </c:pt>
                <c:pt idx="87">
                  <c:v>1.3341709383593354</c:v>
                </c:pt>
                <c:pt idx="88">
                  <c:v>1.3100216977816945</c:v>
                </c:pt>
                <c:pt idx="89">
                  <c:v>1.3302664532214792</c:v>
                </c:pt>
                <c:pt idx="90">
                  <c:v>1.3260272979289496</c:v>
                </c:pt>
                <c:pt idx="91">
                  <c:v>1.316143372694262</c:v>
                </c:pt>
                <c:pt idx="92">
                  <c:v>1.28412101672793</c:v>
                </c:pt>
                <c:pt idx="93">
                  <c:v>1.2814046106391643</c:v>
                </c:pt>
                <c:pt idx="94">
                  <c:v>1.2715625191738111</c:v>
                </c:pt>
                <c:pt idx="95">
                  <c:v>1.2589231429989793</c:v>
                </c:pt>
                <c:pt idx="96">
                  <c:v>1.2313742114334481</c:v>
                </c:pt>
                <c:pt idx="97">
                  <c:v>1.2155052682660181</c:v>
                </c:pt>
                <c:pt idx="98">
                  <c:v>1.1483007122896458</c:v>
                </c:pt>
                <c:pt idx="99">
                  <c:v>1.178083567137622</c:v>
                </c:pt>
                <c:pt idx="100">
                  <c:v>1.206982334993669</c:v>
                </c:pt>
                <c:pt idx="101">
                  <c:v>1.2016053011752501</c:v>
                </c:pt>
                <c:pt idx="102">
                  <c:v>1.1959019639560244</c:v>
                </c:pt>
                <c:pt idx="103">
                  <c:v>1.2048292903319371</c:v>
                </c:pt>
                <c:pt idx="104">
                  <c:v>1.2411577356217334</c:v>
                </c:pt>
                <c:pt idx="105">
                  <c:v>1.243157389795907</c:v>
                </c:pt>
                <c:pt idx="106">
                  <c:v>1.2594112036412115</c:v>
                </c:pt>
                <c:pt idx="107">
                  <c:v>1.2287163726217503</c:v>
                </c:pt>
                <c:pt idx="108">
                  <c:v>1.2186762679815486</c:v>
                </c:pt>
                <c:pt idx="109">
                  <c:v>1.2449869199747883</c:v>
                </c:pt>
                <c:pt idx="110">
                  <c:v>1.2488858272767331</c:v>
                </c:pt>
                <c:pt idx="111">
                  <c:v>1.2779463523742058</c:v>
                </c:pt>
                <c:pt idx="112">
                  <c:v>1.2651480078759043</c:v>
                </c:pt>
                <c:pt idx="113">
                  <c:v>1.2565246735571534</c:v>
                </c:pt>
                <c:pt idx="114">
                  <c:v>1.2268310640837568</c:v>
                </c:pt>
                <c:pt idx="115">
                  <c:v>1.2411744691294673</c:v>
                </c:pt>
                <c:pt idx="116">
                  <c:v>1.2127135613924509</c:v>
                </c:pt>
                <c:pt idx="117">
                  <c:v>1.2297984727885276</c:v>
                </c:pt>
                <c:pt idx="118">
                  <c:v>1.1989167842660404</c:v>
                </c:pt>
                <c:pt idx="119">
                  <c:v>1.1943178585572369</c:v>
                </c:pt>
                <c:pt idx="120">
                  <c:v>1.1728655016426726</c:v>
                </c:pt>
                <c:pt idx="121">
                  <c:v>1.1691088291564637</c:v>
                </c:pt>
                <c:pt idx="122">
                  <c:v>1.1501720762378613</c:v>
                </c:pt>
                <c:pt idx="123">
                  <c:v>1.1535661893898406</c:v>
                </c:pt>
                <c:pt idx="124">
                  <c:v>1.1628337637563377</c:v>
                </c:pt>
                <c:pt idx="125">
                  <c:v>1.1528048147879588</c:v>
                </c:pt>
                <c:pt idx="126">
                  <c:v>1.1539538489856707</c:v>
                </c:pt>
                <c:pt idx="127">
                  <c:v>1.1460528444174232</c:v>
                </c:pt>
                <c:pt idx="128">
                  <c:v>1.1460528444174232</c:v>
                </c:pt>
                <c:pt idx="129">
                  <c:v>1.1074765312554036</c:v>
                </c:pt>
                <c:pt idx="130">
                  <c:v>1.0923187621666546</c:v>
                </c:pt>
                <c:pt idx="131">
                  <c:v>1.0769657688210128</c:v>
                </c:pt>
                <c:pt idx="132">
                  <c:v>1.128295803794044</c:v>
                </c:pt>
                <c:pt idx="133">
                  <c:v>1.1072115840496204</c:v>
                </c:pt>
                <c:pt idx="134">
                  <c:v>1.1376247343555648</c:v>
                </c:pt>
                <c:pt idx="135">
                  <c:v>1.1407957340710952</c:v>
                </c:pt>
                <c:pt idx="136">
                  <c:v>1.1536303345028196</c:v>
                </c:pt>
                <c:pt idx="137">
                  <c:v>1.1352457873394282</c:v>
                </c:pt>
                <c:pt idx="138">
                  <c:v>1.1079283359642127</c:v>
                </c:pt>
                <c:pt idx="139">
                  <c:v>1.1153133907106723</c:v>
                </c:pt>
                <c:pt idx="140">
                  <c:v>1.0863058550543561</c:v>
                </c:pt>
                <c:pt idx="141">
                  <c:v>1.0708050490570669</c:v>
                </c:pt>
                <c:pt idx="142">
                  <c:v>1.0722887534094523</c:v>
                </c:pt>
                <c:pt idx="143">
                  <c:v>1.0743915975479834</c:v>
                </c:pt>
                <c:pt idx="144">
                  <c:v>1.0972663026199097</c:v>
                </c:pt>
                <c:pt idx="145">
                  <c:v>1.1355637239863678</c:v>
                </c:pt>
                <c:pt idx="146">
                  <c:v>1.1228518359446902</c:v>
                </c:pt>
                <c:pt idx="147">
                  <c:v>1.1059007926104831</c:v>
                </c:pt>
                <c:pt idx="148">
                  <c:v>1.1135954172500153</c:v>
                </c:pt>
                <c:pt idx="149">
                  <c:v>1.0515754597531251</c:v>
                </c:pt>
                <c:pt idx="150">
                  <c:v>1.0879736279918117</c:v>
                </c:pt>
                <c:pt idx="151">
                  <c:v>1.0466111857921363</c:v>
                </c:pt>
                <c:pt idx="152">
                  <c:v>0.99928882592131907</c:v>
                </c:pt>
                <c:pt idx="153">
                  <c:v>1.0150713126321249</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tram index</c:v>
                </c:pt>
              </c:strCache>
            </c:strRef>
          </c:tx>
          <c:spPr>
            <a:ln w="28575" cap="rnd">
              <a:solidFill>
                <a:schemeClr val="accent5"/>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UNION PAC CORP</c:v>
                </c:pt>
              </c:strCache>
            </c:strRef>
          </c:tx>
          <c:spPr>
            <a:ln w="28575" cap="rnd">
              <a:solidFill>
                <a:schemeClr val="accent1"/>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Data'!$AF$5:$AF$159</c:f>
              <c:numCache>
                <c:formatCode>General</c:formatCode>
                <c:ptCount val="155"/>
                <c:pt idx="0">
                  <c:v>1.1308387229237244</c:v>
                </c:pt>
                <c:pt idx="1">
                  <c:v>1.1308387229237244</c:v>
                </c:pt>
                <c:pt idx="2">
                  <c:v>1.1475721178523766</c:v>
                </c:pt>
                <c:pt idx="3">
                  <c:v>1.1695411148752695</c:v>
                </c:pt>
                <c:pt idx="4">
                  <c:v>1.1332512062416591</c:v>
                </c:pt>
                <c:pt idx="5">
                  <c:v>1.140745303356945</c:v>
                </c:pt>
                <c:pt idx="6">
                  <c:v>1.1261677445847449</c:v>
                </c:pt>
                <c:pt idx="7">
                  <c:v>1.1535776614310647</c:v>
                </c:pt>
                <c:pt idx="8">
                  <c:v>1.1542449440509188</c:v>
                </c:pt>
                <c:pt idx="9">
                  <c:v>1.2067549532902166</c:v>
                </c:pt>
                <c:pt idx="10">
                  <c:v>1.187814392772816</c:v>
                </c:pt>
                <c:pt idx="11">
                  <c:v>1.187814392772816</c:v>
                </c:pt>
                <c:pt idx="12">
                  <c:v>1.1421311980289497</c:v>
                </c:pt>
                <c:pt idx="13">
                  <c:v>1.146545529206447</c:v>
                </c:pt>
                <c:pt idx="14">
                  <c:v>1.1468535058002258</c:v>
                </c:pt>
                <c:pt idx="15">
                  <c:v>1.1377681962837491</c:v>
                </c:pt>
                <c:pt idx="16">
                  <c:v>1.1400780207370909</c:v>
                </c:pt>
                <c:pt idx="17">
                  <c:v>1.1878657222051123</c:v>
                </c:pt>
                <c:pt idx="18">
                  <c:v>1.1103582794374294</c:v>
                </c:pt>
                <c:pt idx="19">
                  <c:v>1.1204701775998358</c:v>
                </c:pt>
                <c:pt idx="20">
                  <c:v>1.0948054614515963</c:v>
                </c:pt>
                <c:pt idx="21">
                  <c:v>1.1220100605687302</c:v>
                </c:pt>
                <c:pt idx="22">
                  <c:v>1.1220100605687302</c:v>
                </c:pt>
                <c:pt idx="23">
                  <c:v>1.094651473154707</c:v>
                </c:pt>
                <c:pt idx="24">
                  <c:v>1.1916127707627555</c:v>
                </c:pt>
                <c:pt idx="25">
                  <c:v>1.2004927625500461</c:v>
                </c:pt>
                <c:pt idx="26">
                  <c:v>1.2192280053382609</c:v>
                </c:pt>
                <c:pt idx="27">
                  <c:v>1.279694076583513</c:v>
                </c:pt>
                <c:pt idx="28">
                  <c:v>1.2662457653218355</c:v>
                </c:pt>
                <c:pt idx="29">
                  <c:v>1.2603942100400372</c:v>
                </c:pt>
                <c:pt idx="30">
                  <c:v>1.2792321116928447</c:v>
                </c:pt>
                <c:pt idx="31">
                  <c:v>1.2425828970331589</c:v>
                </c:pt>
                <c:pt idx="32">
                  <c:v>1.2718920028744483</c:v>
                </c:pt>
                <c:pt idx="33">
                  <c:v>1.2769736166717998</c:v>
                </c:pt>
                <c:pt idx="34">
                  <c:v>1.2024432809773125</c:v>
                </c:pt>
                <c:pt idx="35">
                  <c:v>1.1559901447489991</c:v>
                </c:pt>
                <c:pt idx="36">
                  <c:v>1.1882763576634843</c:v>
                </c:pt>
                <c:pt idx="37">
                  <c:v>1.1802176367929371</c:v>
                </c:pt>
                <c:pt idx="38">
                  <c:v>1.1616877117339082</c:v>
                </c:pt>
                <c:pt idx="39">
                  <c:v>1.2061390001026588</c:v>
                </c:pt>
                <c:pt idx="40">
                  <c:v>1.1989015501488554</c:v>
                </c:pt>
                <c:pt idx="41">
                  <c:v>1.2558258905656503</c:v>
                </c:pt>
                <c:pt idx="42">
                  <c:v>1.2441741094343497</c:v>
                </c:pt>
                <c:pt idx="43">
                  <c:v>1.2091674366081511</c:v>
                </c:pt>
                <c:pt idx="44">
                  <c:v>1.2395544605276667</c:v>
                </c:pt>
                <c:pt idx="45">
                  <c:v>1.1943845601067653</c:v>
                </c:pt>
                <c:pt idx="46">
                  <c:v>1.1821168257879069</c:v>
                </c:pt>
                <c:pt idx="47">
                  <c:v>1.2529514423570476</c:v>
                </c:pt>
                <c:pt idx="48">
                  <c:v>1.243763473975978</c:v>
                </c:pt>
                <c:pt idx="49">
                  <c:v>1.2260548198336927</c:v>
                </c:pt>
                <c:pt idx="50">
                  <c:v>1.2535673955446054</c:v>
                </c:pt>
                <c:pt idx="51">
                  <c:v>1.2595729391232933</c:v>
                </c:pt>
                <c:pt idx="52">
                  <c:v>1.27871881736988</c:v>
                </c:pt>
                <c:pt idx="53">
                  <c:v>1.2813366184170003</c:v>
                </c:pt>
                <c:pt idx="54">
                  <c:v>1.3144954316805255</c:v>
                </c:pt>
                <c:pt idx="55">
                  <c:v>1.2670670362385792</c:v>
                </c:pt>
                <c:pt idx="56">
                  <c:v>1.2551586079457961</c:v>
                </c:pt>
                <c:pt idx="57">
                  <c:v>1.2191766759059646</c:v>
                </c:pt>
                <c:pt idx="58">
                  <c:v>1.2317523868186018</c:v>
                </c:pt>
                <c:pt idx="59">
                  <c:v>1.2337542346781645</c:v>
                </c:pt>
                <c:pt idx="60">
                  <c:v>1.2438148034082743</c:v>
                </c:pt>
                <c:pt idx="61">
                  <c:v>1.1817061903295349</c:v>
                </c:pt>
                <c:pt idx="62">
                  <c:v>1.1557848270198132</c:v>
                </c:pt>
                <c:pt idx="63">
                  <c:v>1.1613797351401294</c:v>
                </c:pt>
                <c:pt idx="64">
                  <c:v>1.1606097936556823</c:v>
                </c:pt>
                <c:pt idx="65">
                  <c:v>1.1400266913047943</c:v>
                </c:pt>
                <c:pt idx="66">
                  <c:v>1.1701570680628273</c:v>
                </c:pt>
                <c:pt idx="67">
                  <c:v>1.1950518427266195</c:v>
                </c:pt>
                <c:pt idx="68">
                  <c:v>1.1910994764397906</c:v>
                </c:pt>
                <c:pt idx="69">
                  <c:v>1.2574171029668413</c:v>
                </c:pt>
                <c:pt idx="70">
                  <c:v>1.2698901550148856</c:v>
                </c:pt>
                <c:pt idx="71">
                  <c:v>1.2337542346781645</c:v>
                </c:pt>
                <c:pt idx="72">
                  <c:v>1.2462272867262087</c:v>
                </c:pt>
                <c:pt idx="73">
                  <c:v>1.1912534647366801</c:v>
                </c:pt>
                <c:pt idx="74">
                  <c:v>1.2031618930294632</c:v>
                </c:pt>
                <c:pt idx="75">
                  <c:v>1.2422235910070833</c:v>
                </c:pt>
                <c:pt idx="76">
                  <c:v>1.2574171029668413</c:v>
                </c:pt>
                <c:pt idx="77">
                  <c:v>1.2574171029668413</c:v>
                </c:pt>
                <c:pt idx="78">
                  <c:v>1.2531054306539371</c:v>
                </c:pt>
                <c:pt idx="79">
                  <c:v>1.2881634329124321</c:v>
                </c:pt>
                <c:pt idx="80">
                  <c:v>1.2985319782363207</c:v>
                </c:pt>
                <c:pt idx="81">
                  <c:v>1.318704445128837</c:v>
                </c:pt>
                <c:pt idx="82">
                  <c:v>1.2657324709988709</c:v>
                </c:pt>
                <c:pt idx="83">
                  <c:v>1.2804126886356637</c:v>
                </c:pt>
                <c:pt idx="84">
                  <c:v>1.2746637922184583</c:v>
                </c:pt>
                <c:pt idx="85">
                  <c:v>1.2339082229750538</c:v>
                </c:pt>
                <c:pt idx="86">
                  <c:v>1.2281593265578483</c:v>
                </c:pt>
                <c:pt idx="87">
                  <c:v>1.2201519351195977</c:v>
                </c:pt>
                <c:pt idx="88">
                  <c:v>1.231444410224823</c:v>
                </c:pt>
                <c:pt idx="89">
                  <c:v>1.2607535160661123</c:v>
                </c:pt>
                <c:pt idx="90">
                  <c:v>1.2502823118776307</c:v>
                </c:pt>
                <c:pt idx="91">
                  <c:v>1.2420696027101941</c:v>
                </c:pt>
                <c:pt idx="92">
                  <c:v>1.1793963658761935</c:v>
                </c:pt>
                <c:pt idx="93">
                  <c:v>1.1876090750436301</c:v>
                </c:pt>
                <c:pt idx="94">
                  <c:v>1.1512165075454266</c:v>
                </c:pt>
                <c:pt idx="95">
                  <c:v>1.1251924853711119</c:v>
                </c:pt>
                <c:pt idx="96">
                  <c:v>1.0855661636382303</c:v>
                </c:pt>
                <c:pt idx="97">
                  <c:v>1.0888512473052048</c:v>
                </c:pt>
                <c:pt idx="98">
                  <c:v>1.0354173082845703</c:v>
                </c:pt>
                <c:pt idx="99">
                  <c:v>1.084796222153783</c:v>
                </c:pt>
                <c:pt idx="100">
                  <c:v>1.0663689559593472</c:v>
                </c:pt>
                <c:pt idx="101">
                  <c:v>1.0392156862745099</c:v>
                </c:pt>
                <c:pt idx="102">
                  <c:v>1.0452212298531978</c:v>
                </c:pt>
                <c:pt idx="103">
                  <c:v>1.0740170413715224</c:v>
                </c:pt>
                <c:pt idx="104">
                  <c:v>1.0949594497484858</c:v>
                </c:pt>
                <c:pt idx="105">
                  <c:v>1.0871573760394211</c:v>
                </c:pt>
                <c:pt idx="106">
                  <c:v>1.1345344420490711</c:v>
                </c:pt>
                <c:pt idx="107">
                  <c:v>1.1507032132224619</c:v>
                </c:pt>
                <c:pt idx="108">
                  <c:v>1.1562467919104815</c:v>
                </c:pt>
                <c:pt idx="109">
                  <c:v>1.177959141771892</c:v>
                </c:pt>
                <c:pt idx="110">
                  <c:v>1.17303151627143</c:v>
                </c:pt>
                <c:pt idx="111">
                  <c:v>1.1947951955651372</c:v>
                </c:pt>
                <c:pt idx="112">
                  <c:v>1.1127194333230674</c:v>
                </c:pt>
                <c:pt idx="113">
                  <c:v>1.0829996920234064</c:v>
                </c:pt>
                <c:pt idx="114">
                  <c:v>1.0410635458371831</c:v>
                </c:pt>
                <c:pt idx="115">
                  <c:v>1.0503028436505493</c:v>
                </c:pt>
                <c:pt idx="116">
                  <c:v>1.0260240221743147</c:v>
                </c:pt>
                <c:pt idx="117">
                  <c:v>1.0505594908120315</c:v>
                </c:pt>
                <c:pt idx="118">
                  <c:v>1.0248947746637922</c:v>
                </c:pt>
                <c:pt idx="119">
                  <c:v>1.019710502001848</c:v>
                </c:pt>
                <c:pt idx="120">
                  <c:v>0.99117133764500565</c:v>
                </c:pt>
                <c:pt idx="121">
                  <c:v>1.0213017144030387</c:v>
                </c:pt>
                <c:pt idx="122">
                  <c:v>1.0214043732676317</c:v>
                </c:pt>
                <c:pt idx="123">
                  <c:v>1.032902166102043</c:v>
                </c:pt>
                <c:pt idx="124">
                  <c:v>1.0045169900420901</c:v>
                </c:pt>
                <c:pt idx="125">
                  <c:v>1.0206857612154809</c:v>
                </c:pt>
                <c:pt idx="126">
                  <c:v>1.0190432193819936</c:v>
                </c:pt>
                <c:pt idx="127">
                  <c:v>1.0330561543989323</c:v>
                </c:pt>
                <c:pt idx="128">
                  <c:v>1.0330561543989323</c:v>
                </c:pt>
                <c:pt idx="129">
                  <c:v>0.96761112822092188</c:v>
                </c:pt>
                <c:pt idx="130">
                  <c:v>0.97531054306539366</c:v>
                </c:pt>
                <c:pt idx="131">
                  <c:v>1.0063648496047635</c:v>
                </c:pt>
                <c:pt idx="132">
                  <c:v>1.0746329945590802</c:v>
                </c:pt>
                <c:pt idx="133">
                  <c:v>0.99589364541628178</c:v>
                </c:pt>
                <c:pt idx="134">
                  <c:v>1.0347500256647162</c:v>
                </c:pt>
                <c:pt idx="135">
                  <c:v>1.0548198336926393</c:v>
                </c:pt>
                <c:pt idx="136">
                  <c:v>1.0794066317626527</c:v>
                </c:pt>
                <c:pt idx="137">
                  <c:v>1.0388563802484345</c:v>
                </c:pt>
                <c:pt idx="138">
                  <c:v>1.0710399342983268</c:v>
                </c:pt>
                <c:pt idx="139">
                  <c:v>1.0944974848578175</c:v>
                </c:pt>
                <c:pt idx="140">
                  <c:v>1.088235294117647</c:v>
                </c:pt>
                <c:pt idx="141">
                  <c:v>1.0628785545631865</c:v>
                </c:pt>
                <c:pt idx="142">
                  <c:v>1.0774561133353866</c:v>
                </c:pt>
                <c:pt idx="143">
                  <c:v>1.078995996304281</c:v>
                </c:pt>
                <c:pt idx="144">
                  <c:v>1.0848475515860794</c:v>
                </c:pt>
                <c:pt idx="145">
                  <c:v>1.1021968997022893</c:v>
                </c:pt>
                <c:pt idx="146">
                  <c:v>1.0950107791807824</c:v>
                </c:pt>
                <c:pt idx="147">
                  <c:v>1.0808951852992508</c:v>
                </c:pt>
                <c:pt idx="148">
                  <c:v>1.116415152448414</c:v>
                </c:pt>
                <c:pt idx="149">
                  <c:v>1.0096499332717379</c:v>
                </c:pt>
                <c:pt idx="150">
                  <c:v>1.0196591725695514</c:v>
                </c:pt>
                <c:pt idx="151">
                  <c:v>0.97797967354481063</c:v>
                </c:pt>
                <c:pt idx="152">
                  <c:v>0.99471306847346264</c:v>
                </c:pt>
                <c:pt idx="153">
                  <c:v>1.0041063545837183</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CAN NATL RAILWAY</c:v>
                </c:pt>
              </c:strCache>
            </c:strRef>
          </c:tx>
          <c:spPr>
            <a:ln w="28575" cap="rnd">
              <a:solidFill>
                <a:schemeClr val="accent3"/>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Data'!$AG$5:$AG$159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CSX CORP</c:v>
                </c:pt>
              </c:strCache>
            </c:strRef>
          </c:tx>
          <c:spPr>
            <a:ln w="28575" cap="rnd">
              <a:solidFill>
                <a:schemeClr val="accent5"/>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Data'!$AH$5:$AH$159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CANADIAN PACIFIC</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Data'!$AI$5:$AI$159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NORFOLK SOUTHERN</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Data'!$AJ$5:$AJ$159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BNSF RAILWAY CO</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Data'!$AK$5:$AK$159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hyperlink" Target="#Dashboard!A1"/><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5.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2.png"/><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8.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7.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9.xml"/><Relationship Id="rId9" Type="http://schemas.openxmlformats.org/officeDocument/2006/relationships/hyperlink" Target="#Industry!A1"/><Relationship Id="rId14" Type="http://schemas.openxmlformats.org/officeDocument/2006/relationships/hyperlink" Target="#WACC!A1"/><Relationship Id="rId22"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21" Type="http://schemas.openxmlformats.org/officeDocument/2006/relationships/chart" Target="../charts/chart12.xml"/><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1.xml"/><Relationship Id="rId16" Type="http://schemas.openxmlformats.org/officeDocument/2006/relationships/hyperlink" Target="#BS!A1"/><Relationship Id="rId20" Type="http://schemas.openxmlformats.org/officeDocument/2006/relationships/image" Target="../media/image2.png"/><Relationship Id="rId1" Type="http://schemas.openxmlformats.org/officeDocument/2006/relationships/chart" Target="../charts/chart10.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 Id="rId22"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4.xml"/><Relationship Id="rId16" Type="http://schemas.openxmlformats.org/officeDocument/2006/relationships/hyperlink" Target="#BS!A1"/><Relationship Id="rId20" Type="http://schemas.openxmlformats.org/officeDocument/2006/relationships/image" Target="../media/image2.png"/><Relationship Id="rId1" Type="http://schemas.openxmlformats.org/officeDocument/2006/relationships/chart" Target="../charts/chart13.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2.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20" Type="http://schemas.openxmlformats.org/officeDocument/2006/relationships/image" Target="../media/image4.png"/><Relationship Id="rId1" Type="http://schemas.openxmlformats.org/officeDocument/2006/relationships/chart" Target="../charts/chart1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2.png"/><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2.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8.xml"/><Relationship Id="rId16" Type="http://schemas.openxmlformats.org/officeDocument/2006/relationships/hyperlink" Target="#BS!A1"/><Relationship Id="rId20" Type="http://schemas.openxmlformats.org/officeDocument/2006/relationships/image" Target="../media/image2.png"/><Relationship Id="rId1" Type="http://schemas.openxmlformats.org/officeDocument/2006/relationships/chart" Target="../charts/chart1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Downside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131110</xdr:rowOff>
    </xdr:from>
    <xdr:to>
      <xdr:col>8</xdr:col>
      <xdr:colOff>398929</xdr:colOff>
      <xdr:row>35</xdr:row>
      <xdr:rowOff>14890</xdr:rowOff>
    </xdr:to>
    <xdr:sp macro="" textlink="">
      <xdr:nvSpPr>
        <xdr:cNvPr id="22" name="Rounded Rectangle 1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C000000}"/>
            </a:ext>
          </a:extLst>
        </xdr:cNvPr>
        <xdr:cNvSpPr/>
      </xdr:nvSpPr>
      <xdr:spPr>
        <a:xfrm>
          <a:off x="304799" y="3417235"/>
          <a:ext cx="5809130"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15819" y="932980"/>
          <a:ext cx="5708410" cy="5501679"/>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-12,6%</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1"/>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1566333</xdr:colOff>
      <xdr:row>0</xdr:row>
      <xdr:rowOff>93133</xdr:rowOff>
    </xdr:from>
    <xdr:to>
      <xdr:col>2</xdr:col>
      <xdr:colOff>118237</xdr:colOff>
      <xdr:row>3</xdr:row>
      <xdr:rowOff>83887</xdr:rowOff>
    </xdr:to>
    <xdr:pic>
      <xdr:nvPicPr>
        <xdr:cNvPr id="3" name="Imagem 2">
          <a:extLst>
            <a:ext uri="{FF2B5EF4-FFF2-40B4-BE49-F238E27FC236}">
              <a16:creationId xmlns:a16="http://schemas.microsoft.com/office/drawing/2014/main" id="{309F7520-8A87-49C0-8000-1B1B33FEA28B}"/>
            </a:ext>
          </a:extLst>
        </xdr:cNvPr>
        <xdr:cNvPicPr>
          <a:picLocks noChangeAspect="1"/>
        </xdr:cNvPicPr>
      </xdr:nvPicPr>
      <xdr:blipFill>
        <a:blip xmlns:r="http://schemas.openxmlformats.org/officeDocument/2006/relationships" r:embed="rId19"/>
        <a:stretch>
          <a:fillRect/>
        </a:stretch>
      </xdr:blipFill>
      <xdr:spPr>
        <a:xfrm>
          <a:off x="1718733" y="93133"/>
          <a:ext cx="499237" cy="5749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1612900</xdr:colOff>
      <xdr:row>0</xdr:row>
      <xdr:rowOff>101600</xdr:rowOff>
    </xdr:from>
    <xdr:to>
      <xdr:col>2</xdr:col>
      <xdr:colOff>217216</xdr:colOff>
      <xdr:row>3</xdr:row>
      <xdr:rowOff>105054</xdr:rowOff>
    </xdr:to>
    <xdr:pic>
      <xdr:nvPicPr>
        <xdr:cNvPr id="5" name="Imagem 4">
          <a:extLst>
            <a:ext uri="{FF2B5EF4-FFF2-40B4-BE49-F238E27FC236}">
              <a16:creationId xmlns:a16="http://schemas.microsoft.com/office/drawing/2014/main" id="{2600AD68-1DD4-4D12-83A2-790B013A2F15}"/>
            </a:ext>
          </a:extLst>
        </xdr:cNvPr>
        <xdr:cNvPicPr>
          <a:picLocks noChangeAspect="1"/>
        </xdr:cNvPicPr>
      </xdr:nvPicPr>
      <xdr:blipFill>
        <a:blip xmlns:r="http://schemas.openxmlformats.org/officeDocument/2006/relationships" r:embed="rId22"/>
        <a:stretch>
          <a:fillRect/>
        </a:stretch>
      </xdr:blipFill>
      <xdr:spPr>
        <a:xfrm>
          <a:off x="1765300" y="101600"/>
          <a:ext cx="499237" cy="5749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22</xdr:row>
      <xdr:rowOff>8283</xdr:rowOff>
    </xdr:to>
    <xdr:graphicFrame macro="">
      <xdr:nvGraphicFramePr>
        <xdr:cNvPr id="7" name="Chart 6">
          <a:extLst>
            <a:ext uri="{FF2B5EF4-FFF2-40B4-BE49-F238E27FC236}">
              <a16:creationId xmlns:a16="http://schemas.microsoft.com/office/drawing/2014/main" id="{00000000-0008-0000-0200-000007000000}"/>
            </a:ext>
            <a:ext uri="{147F2762-F138-4A5C-976F-8EAC2B608ADB}">
              <a16:predDERef xmlns:a16="http://schemas.microsoft.com/office/drawing/2014/main" pre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1489364</xdr:colOff>
      <xdr:row>0</xdr:row>
      <xdr:rowOff>92363</xdr:rowOff>
    </xdr:from>
    <xdr:to>
      <xdr:col>1</xdr:col>
      <xdr:colOff>1988601</xdr:colOff>
      <xdr:row>3</xdr:row>
      <xdr:rowOff>78499</xdr:rowOff>
    </xdr:to>
    <xdr:pic>
      <xdr:nvPicPr>
        <xdr:cNvPr id="2" name="Imagem 1">
          <a:extLst>
            <a:ext uri="{FF2B5EF4-FFF2-40B4-BE49-F238E27FC236}">
              <a16:creationId xmlns:a16="http://schemas.microsoft.com/office/drawing/2014/main" id="{1E6730C7-0121-40D4-980A-DBD7C6C6F38E}"/>
            </a:ext>
          </a:extLst>
        </xdr:cNvPr>
        <xdr:cNvPicPr>
          <a:picLocks noChangeAspect="1"/>
        </xdr:cNvPicPr>
      </xdr:nvPicPr>
      <xdr:blipFill>
        <a:blip xmlns:r="http://schemas.openxmlformats.org/officeDocument/2006/relationships" r:embed="rId20"/>
        <a:stretch>
          <a:fillRect/>
        </a:stretch>
      </xdr:blipFill>
      <xdr:spPr>
        <a:xfrm>
          <a:off x="1639455" y="92363"/>
          <a:ext cx="499237" cy="574954"/>
        </a:xfrm>
        <a:prstGeom prst="rect">
          <a:avLst/>
        </a:prstGeom>
      </xdr:spPr>
    </xdr:pic>
    <xdr:clientData/>
  </xdr:twoCellAnchor>
  <xdr:twoCellAnchor>
    <xdr:from>
      <xdr:col>19</xdr:col>
      <xdr:colOff>19050</xdr:colOff>
      <xdr:row>5</xdr:row>
      <xdr:rowOff>152400</xdr:rowOff>
    </xdr:from>
    <xdr:to>
      <xdr:col>25</xdr:col>
      <xdr:colOff>133350</xdr:colOff>
      <xdr:row>26</xdr:row>
      <xdr:rowOff>9525</xdr:rowOff>
    </xdr:to>
    <xdr:graphicFrame macro="">
      <xdr:nvGraphicFramePr>
        <xdr:cNvPr id="40" name="Chart 7">
          <a:extLst>
            <a:ext uri="{FF2B5EF4-FFF2-40B4-BE49-F238E27FC236}">
              <a16:creationId xmlns:a16="http://schemas.microsoft.com/office/drawing/2014/main" id="{425BEB3A-92FA-31F3-01DE-41764667DFFC}"/>
            </a:ext>
            <a:ext uri="{147F2762-F138-4A5C-976F-8EAC2B608ADB}">
              <a16:predDERef xmlns:a16="http://schemas.microsoft.com/office/drawing/2014/main" pred="{1E6730C7-0121-40D4-980A-DBD7C6C6F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25</xdr:col>
      <xdr:colOff>283724</xdr:colOff>
      <xdr:row>5</xdr:row>
      <xdr:rowOff>135108</xdr:rowOff>
    </xdr:from>
    <xdr:to>
      <xdr:col>28</xdr:col>
      <xdr:colOff>344726</xdr:colOff>
      <xdr:row>16</xdr:row>
      <xdr:rowOff>93025</xdr:rowOff>
    </xdr:to>
    <xdr:pic>
      <xdr:nvPicPr>
        <xdr:cNvPr id="3" name="Picture 6" descr="A graph with green and blue lines&#10;&#10;AI-generated content may be incorrect.">
          <a:extLst>
            <a:ext uri="{FF2B5EF4-FFF2-40B4-BE49-F238E27FC236}">
              <a16:creationId xmlns:a16="http://schemas.microsoft.com/office/drawing/2014/main" id="{C97D8FAD-11A1-8029-7AD3-1EA1DA298FE4}"/>
            </a:ext>
          </a:extLst>
        </xdr:cNvPr>
        <xdr:cNvPicPr>
          <a:picLocks noChangeAspect="1"/>
        </xdr:cNvPicPr>
      </xdr:nvPicPr>
      <xdr:blipFill>
        <a:blip xmlns:r="http://schemas.openxmlformats.org/officeDocument/2006/relationships" r:embed="rId22"/>
        <a:stretch>
          <a:fillRect/>
        </a:stretch>
      </xdr:blipFill>
      <xdr:spPr>
        <a:xfrm>
          <a:off x="23049150" y="945746"/>
          <a:ext cx="2695576" cy="17683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1452803</xdr:colOff>
      <xdr:row>0</xdr:row>
      <xdr:rowOff>86590</xdr:rowOff>
    </xdr:from>
    <xdr:to>
      <xdr:col>7</xdr:col>
      <xdr:colOff>75903</xdr:colOff>
      <xdr:row>3</xdr:row>
      <xdr:rowOff>81797</xdr:rowOff>
    </xdr:to>
    <xdr:pic>
      <xdr:nvPicPr>
        <xdr:cNvPr id="2" name="Imagem 1">
          <a:extLst>
            <a:ext uri="{FF2B5EF4-FFF2-40B4-BE49-F238E27FC236}">
              <a16:creationId xmlns:a16="http://schemas.microsoft.com/office/drawing/2014/main" id="{75EA92E4-BFBA-4DE9-B2C2-A560D3A7590B}"/>
            </a:ext>
          </a:extLst>
        </xdr:cNvPr>
        <xdr:cNvPicPr>
          <a:picLocks noChangeAspect="1"/>
        </xdr:cNvPicPr>
      </xdr:nvPicPr>
      <xdr:blipFill>
        <a:blip xmlns:r="http://schemas.openxmlformats.org/officeDocument/2006/relationships" r:embed="rId18"/>
        <a:stretch>
          <a:fillRect/>
        </a:stretch>
      </xdr:blipFill>
      <xdr:spPr>
        <a:xfrm>
          <a:off x="1606742" y="86590"/>
          <a:ext cx="499237" cy="5724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1536884</xdr:colOff>
      <xdr:row>0</xdr:row>
      <xdr:rowOff>73623</xdr:rowOff>
    </xdr:from>
    <xdr:to>
      <xdr:col>1</xdr:col>
      <xdr:colOff>2036121</xdr:colOff>
      <xdr:row>3</xdr:row>
      <xdr:rowOff>68794</xdr:rowOff>
    </xdr:to>
    <xdr:pic>
      <xdr:nvPicPr>
        <xdr:cNvPr id="2" name="Imagem 1">
          <a:extLst>
            <a:ext uri="{FF2B5EF4-FFF2-40B4-BE49-F238E27FC236}">
              <a16:creationId xmlns:a16="http://schemas.microsoft.com/office/drawing/2014/main" id="{C772FE52-DEAE-48B6-A5C4-84FB212AB0FF}"/>
            </a:ext>
          </a:extLst>
        </xdr:cNvPr>
        <xdr:cNvPicPr>
          <a:picLocks noChangeAspect="1"/>
        </xdr:cNvPicPr>
      </xdr:nvPicPr>
      <xdr:blipFill>
        <a:blip xmlns:r="http://schemas.openxmlformats.org/officeDocument/2006/relationships" r:embed="rId18"/>
        <a:stretch>
          <a:fillRect/>
        </a:stretch>
      </xdr:blipFill>
      <xdr:spPr>
        <a:xfrm>
          <a:off x="1693333" y="73623"/>
          <a:ext cx="499237" cy="574954"/>
        </a:xfrm>
        <a:prstGeom prst="rect">
          <a:avLst/>
        </a:prstGeom>
      </xdr:spPr>
    </xdr:pic>
    <xdr:clientData/>
  </xdr:twoCellAnchor>
  <xdr:twoCellAnchor editAs="oneCell">
    <xdr:from>
      <xdr:col>2</xdr:col>
      <xdr:colOff>226023</xdr:colOff>
      <xdr:row>6</xdr:row>
      <xdr:rowOff>48301</xdr:rowOff>
    </xdr:from>
    <xdr:to>
      <xdr:col>2</xdr:col>
      <xdr:colOff>671812</xdr:colOff>
      <xdr:row>8</xdr:row>
      <xdr:rowOff>175180</xdr:rowOff>
    </xdr:to>
    <xdr:pic>
      <xdr:nvPicPr>
        <xdr:cNvPr id="3" name="Imagem 2">
          <a:extLst>
            <a:ext uri="{FF2B5EF4-FFF2-40B4-BE49-F238E27FC236}">
              <a16:creationId xmlns:a16="http://schemas.microsoft.com/office/drawing/2014/main" id="{92D3BEB5-74DC-4CDC-B067-205FC0BA56AC}"/>
            </a:ext>
          </a:extLst>
        </xdr:cNvPr>
        <xdr:cNvPicPr>
          <a:picLocks noChangeAspect="1"/>
        </xdr:cNvPicPr>
      </xdr:nvPicPr>
      <xdr:blipFill>
        <a:blip xmlns:r="http://schemas.openxmlformats.org/officeDocument/2006/relationships" r:embed="rId18"/>
        <a:stretch>
          <a:fillRect/>
        </a:stretch>
      </xdr:blipFill>
      <xdr:spPr>
        <a:xfrm>
          <a:off x="2747617" y="1069823"/>
          <a:ext cx="445789" cy="513400"/>
        </a:xfrm>
        <a:prstGeom prst="rect">
          <a:avLst/>
        </a:prstGeom>
      </xdr:spPr>
    </xdr:pic>
    <xdr:clientData/>
  </xdr:twoCellAnchor>
  <xdr:oneCellAnchor>
    <xdr:from>
      <xdr:col>18</xdr:col>
      <xdr:colOff>706120</xdr:colOff>
      <xdr:row>53</xdr:row>
      <xdr:rowOff>157480</xdr:rowOff>
    </xdr:from>
    <xdr:ext cx="65" cy="172227"/>
    <xdr:sp macro="" textlink="">
      <xdr:nvSpPr>
        <xdr:cNvPr id="12" name="CaixaDeTexto 4">
          <a:extLst>
            <a:ext uri="{FF2B5EF4-FFF2-40B4-BE49-F238E27FC236}">
              <a16:creationId xmlns:a16="http://schemas.microsoft.com/office/drawing/2014/main" id="{3D371617-D8D6-3D19-5E75-D9BF86F994A9}"/>
            </a:ext>
          </a:extLst>
        </xdr:cNvPr>
        <xdr:cNvSpPr txBox="1"/>
      </xdr:nvSpPr>
      <xdr:spPr>
        <a:xfrm>
          <a:off x="18221960" y="92506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35378</xdr:colOff>
      <xdr:row>41</xdr:row>
      <xdr:rowOff>47625</xdr:rowOff>
    </xdr:from>
    <xdr:to>
      <xdr:col>50</xdr:col>
      <xdr:colOff>578303</xdr:colOff>
      <xdr:row>59</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37</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1533896</xdr:colOff>
      <xdr:row>0</xdr:row>
      <xdr:rowOff>82467</xdr:rowOff>
    </xdr:from>
    <xdr:to>
      <xdr:col>1</xdr:col>
      <xdr:colOff>2033133</xdr:colOff>
      <xdr:row>3</xdr:row>
      <xdr:rowOff>88395</xdr:rowOff>
    </xdr:to>
    <xdr:pic>
      <xdr:nvPicPr>
        <xdr:cNvPr id="2" name="Imagem 1">
          <a:extLst>
            <a:ext uri="{FF2B5EF4-FFF2-40B4-BE49-F238E27FC236}">
              <a16:creationId xmlns:a16="http://schemas.microsoft.com/office/drawing/2014/main" id="{C1157A6D-F932-4E79-8566-F906731873CF}"/>
            </a:ext>
          </a:extLst>
        </xdr:cNvPr>
        <xdr:cNvPicPr>
          <a:picLocks noChangeAspect="1"/>
        </xdr:cNvPicPr>
      </xdr:nvPicPr>
      <xdr:blipFill>
        <a:blip xmlns:r="http://schemas.openxmlformats.org/officeDocument/2006/relationships" r:embed="rId20"/>
        <a:stretch>
          <a:fillRect/>
        </a:stretch>
      </xdr:blipFill>
      <xdr:spPr>
        <a:xfrm>
          <a:off x="1682338" y="82467"/>
          <a:ext cx="499237" cy="5749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1465385</xdr:colOff>
      <xdr:row>0</xdr:row>
      <xdr:rowOff>73270</xdr:rowOff>
    </xdr:from>
    <xdr:to>
      <xdr:col>1</xdr:col>
      <xdr:colOff>1992866</xdr:colOff>
      <xdr:row>3</xdr:row>
      <xdr:rowOff>119021</xdr:rowOff>
    </xdr:to>
    <xdr:pic>
      <xdr:nvPicPr>
        <xdr:cNvPr id="3" name="Imagem 2">
          <a:extLst>
            <a:ext uri="{FF2B5EF4-FFF2-40B4-BE49-F238E27FC236}">
              <a16:creationId xmlns:a16="http://schemas.microsoft.com/office/drawing/2014/main" id="{629C8775-9154-409A-A85A-04B4A0E2B4F0}"/>
            </a:ext>
          </a:extLst>
        </xdr:cNvPr>
        <xdr:cNvPicPr>
          <a:picLocks noChangeAspect="1"/>
        </xdr:cNvPicPr>
      </xdr:nvPicPr>
      <xdr:blipFill>
        <a:blip xmlns:r="http://schemas.openxmlformats.org/officeDocument/2006/relationships" r:embed="rId19"/>
        <a:stretch>
          <a:fillRect/>
        </a:stretch>
      </xdr:blipFill>
      <xdr:spPr>
        <a:xfrm>
          <a:off x="1620064" y="73270"/>
          <a:ext cx="527481" cy="6074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1593071</xdr:colOff>
      <xdr:row>0</xdr:row>
      <xdr:rowOff>133684</xdr:rowOff>
    </xdr:from>
    <xdr:to>
      <xdr:col>1</xdr:col>
      <xdr:colOff>2092308</xdr:colOff>
      <xdr:row>3</xdr:row>
      <xdr:rowOff>140480</xdr:rowOff>
    </xdr:to>
    <xdr:pic>
      <xdr:nvPicPr>
        <xdr:cNvPr id="5" name="Imagem 4">
          <a:extLst>
            <a:ext uri="{FF2B5EF4-FFF2-40B4-BE49-F238E27FC236}">
              <a16:creationId xmlns:a16="http://schemas.microsoft.com/office/drawing/2014/main" id="{3E6ABB9A-45FA-D44C-276A-77FE29FEDFBF}"/>
            </a:ext>
          </a:extLst>
        </xdr:cNvPr>
        <xdr:cNvPicPr>
          <a:picLocks noChangeAspect="1"/>
        </xdr:cNvPicPr>
      </xdr:nvPicPr>
      <xdr:blipFill>
        <a:blip xmlns:r="http://schemas.openxmlformats.org/officeDocument/2006/relationships" r:embed="rId18"/>
        <a:stretch>
          <a:fillRect/>
        </a:stretch>
      </xdr:blipFill>
      <xdr:spPr>
        <a:xfrm>
          <a:off x="1749036" y="133684"/>
          <a:ext cx="499237" cy="5749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1437569</xdr:colOff>
      <xdr:row>0</xdr:row>
      <xdr:rowOff>97014</xdr:rowOff>
    </xdr:from>
    <xdr:to>
      <xdr:col>1</xdr:col>
      <xdr:colOff>1965050</xdr:colOff>
      <xdr:row>3</xdr:row>
      <xdr:rowOff>122413</xdr:rowOff>
    </xdr:to>
    <xdr:pic>
      <xdr:nvPicPr>
        <xdr:cNvPr id="2" name="Imagem 1">
          <a:extLst>
            <a:ext uri="{FF2B5EF4-FFF2-40B4-BE49-F238E27FC236}">
              <a16:creationId xmlns:a16="http://schemas.microsoft.com/office/drawing/2014/main" id="{C6948BFA-AFFE-41BC-94E1-FFE7658B8A83}"/>
            </a:ext>
          </a:extLst>
        </xdr:cNvPr>
        <xdr:cNvPicPr>
          <a:picLocks noChangeAspect="1"/>
        </xdr:cNvPicPr>
      </xdr:nvPicPr>
      <xdr:blipFill>
        <a:blip xmlns:r="http://schemas.openxmlformats.org/officeDocument/2006/relationships" r:embed="rId18"/>
        <a:stretch>
          <a:fillRect/>
        </a:stretch>
      </xdr:blipFill>
      <xdr:spPr>
        <a:xfrm>
          <a:off x="1702152" y="97014"/>
          <a:ext cx="527481" cy="6074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151642</xdr:colOff>
      <xdr:row>0</xdr:row>
      <xdr:rowOff>66344</xdr:rowOff>
    </xdr:from>
    <xdr:to>
      <xdr:col>3</xdr:col>
      <xdr:colOff>682933</xdr:colOff>
      <xdr:row>3</xdr:row>
      <xdr:rowOff>110884</xdr:rowOff>
    </xdr:to>
    <xdr:pic>
      <xdr:nvPicPr>
        <xdr:cNvPr id="2" name="Imagem 1">
          <a:extLst>
            <a:ext uri="{FF2B5EF4-FFF2-40B4-BE49-F238E27FC236}">
              <a16:creationId xmlns:a16="http://schemas.microsoft.com/office/drawing/2014/main" id="{DC96EE59-BADB-4EC8-8E6B-D7750A2BC6C1}"/>
            </a:ext>
          </a:extLst>
        </xdr:cNvPr>
        <xdr:cNvPicPr>
          <a:picLocks noChangeAspect="1"/>
        </xdr:cNvPicPr>
      </xdr:nvPicPr>
      <xdr:blipFill>
        <a:blip xmlns:r="http://schemas.openxmlformats.org/officeDocument/2006/relationships" r:embed="rId19"/>
        <a:stretch>
          <a:fillRect/>
        </a:stretch>
      </xdr:blipFill>
      <xdr:spPr>
        <a:xfrm>
          <a:off x="1668060" y="66344"/>
          <a:ext cx="527481" cy="607482"/>
        </a:xfrm>
        <a:prstGeom prst="rect">
          <a:avLst/>
        </a:prstGeom>
      </xdr:spPr>
    </xdr:pic>
    <xdr:clientData/>
  </xdr:twoCellAnchor>
  <xdr:twoCellAnchor editAs="oneCell">
    <xdr:from>
      <xdr:col>2</xdr:col>
      <xdr:colOff>203563</xdr:colOff>
      <xdr:row>11</xdr:row>
      <xdr:rowOff>65317</xdr:rowOff>
    </xdr:from>
    <xdr:to>
      <xdr:col>14</xdr:col>
      <xdr:colOff>496373</xdr:colOff>
      <xdr:row>38</xdr:row>
      <xdr:rowOff>0</xdr:rowOff>
    </xdr:to>
    <xdr:pic>
      <xdr:nvPicPr>
        <xdr:cNvPr id="3" name="Imagem 2">
          <a:extLst>
            <a:ext uri="{FF2B5EF4-FFF2-40B4-BE49-F238E27FC236}">
              <a16:creationId xmlns:a16="http://schemas.microsoft.com/office/drawing/2014/main" id="{C8C11E13-B30C-447B-A281-303939708396}"/>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41763" y="1915888"/>
          <a:ext cx="8522410" cy="5237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1469572</xdr:colOff>
      <xdr:row>0</xdr:row>
      <xdr:rowOff>108858</xdr:rowOff>
    </xdr:from>
    <xdr:to>
      <xdr:col>1</xdr:col>
      <xdr:colOff>1997053</xdr:colOff>
      <xdr:row>3</xdr:row>
      <xdr:rowOff>144840</xdr:rowOff>
    </xdr:to>
    <xdr:pic>
      <xdr:nvPicPr>
        <xdr:cNvPr id="3" name="Imagem 2">
          <a:extLst>
            <a:ext uri="{FF2B5EF4-FFF2-40B4-BE49-F238E27FC236}">
              <a16:creationId xmlns:a16="http://schemas.microsoft.com/office/drawing/2014/main" id="{E6EE0F4C-2470-4FF5-9ABD-471D21FC7401}"/>
            </a:ext>
          </a:extLst>
        </xdr:cNvPr>
        <xdr:cNvPicPr>
          <a:picLocks noChangeAspect="1"/>
        </xdr:cNvPicPr>
      </xdr:nvPicPr>
      <xdr:blipFill>
        <a:blip xmlns:r="http://schemas.openxmlformats.org/officeDocument/2006/relationships" r:embed="rId18"/>
        <a:stretch>
          <a:fillRect/>
        </a:stretch>
      </xdr:blipFill>
      <xdr:spPr>
        <a:xfrm>
          <a:off x="1623786" y="108858"/>
          <a:ext cx="527481" cy="6074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1529772</xdr:colOff>
      <xdr:row>0</xdr:row>
      <xdr:rowOff>96212</xdr:rowOff>
    </xdr:from>
    <xdr:to>
      <xdr:col>1</xdr:col>
      <xdr:colOff>2057253</xdr:colOff>
      <xdr:row>3</xdr:row>
      <xdr:rowOff>126421</xdr:rowOff>
    </xdr:to>
    <xdr:pic>
      <xdr:nvPicPr>
        <xdr:cNvPr id="2" name="Imagem 1">
          <a:extLst>
            <a:ext uri="{FF2B5EF4-FFF2-40B4-BE49-F238E27FC236}">
              <a16:creationId xmlns:a16="http://schemas.microsoft.com/office/drawing/2014/main" id="{A4F74906-2DCA-4331-970B-1A7ABCCEE0F4}"/>
            </a:ext>
          </a:extLst>
        </xdr:cNvPr>
        <xdr:cNvPicPr>
          <a:picLocks noChangeAspect="1"/>
        </xdr:cNvPicPr>
      </xdr:nvPicPr>
      <xdr:blipFill>
        <a:blip xmlns:r="http://schemas.openxmlformats.org/officeDocument/2006/relationships" r:embed="rId18"/>
        <a:stretch>
          <a:fillRect/>
        </a:stretch>
      </xdr:blipFill>
      <xdr:spPr>
        <a:xfrm>
          <a:off x="1683711" y="96212"/>
          <a:ext cx="527481" cy="6074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1558324</xdr:colOff>
      <xdr:row>0</xdr:row>
      <xdr:rowOff>94898</xdr:rowOff>
    </xdr:from>
    <xdr:to>
      <xdr:col>1</xdr:col>
      <xdr:colOff>2085805</xdr:colOff>
      <xdr:row>3</xdr:row>
      <xdr:rowOff>119675</xdr:rowOff>
    </xdr:to>
    <xdr:pic>
      <xdr:nvPicPr>
        <xdr:cNvPr id="5" name="Imagem 4">
          <a:extLst>
            <a:ext uri="{FF2B5EF4-FFF2-40B4-BE49-F238E27FC236}">
              <a16:creationId xmlns:a16="http://schemas.microsoft.com/office/drawing/2014/main" id="{5F35E130-6C5E-486B-B079-3C6C4CA38547}"/>
            </a:ext>
          </a:extLst>
        </xdr:cNvPr>
        <xdr:cNvPicPr>
          <a:picLocks noChangeAspect="1"/>
        </xdr:cNvPicPr>
      </xdr:nvPicPr>
      <xdr:blipFill>
        <a:blip xmlns:r="http://schemas.openxmlformats.org/officeDocument/2006/relationships" r:embed="rId18"/>
        <a:stretch>
          <a:fillRect/>
        </a:stretch>
      </xdr:blipFill>
      <xdr:spPr>
        <a:xfrm>
          <a:off x="1712783" y="94898"/>
          <a:ext cx="527481" cy="59112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1498600</xdr:colOff>
      <xdr:row>0</xdr:row>
      <xdr:rowOff>69850</xdr:rowOff>
    </xdr:from>
    <xdr:to>
      <xdr:col>1</xdr:col>
      <xdr:colOff>2026081</xdr:colOff>
      <xdr:row>3</xdr:row>
      <xdr:rowOff>105832</xdr:rowOff>
    </xdr:to>
    <xdr:pic>
      <xdr:nvPicPr>
        <xdr:cNvPr id="5" name="Imagem 4">
          <a:extLst>
            <a:ext uri="{FF2B5EF4-FFF2-40B4-BE49-F238E27FC236}">
              <a16:creationId xmlns:a16="http://schemas.microsoft.com/office/drawing/2014/main" id="{577FD89C-7A38-4252-83C8-9EB03BD5B97C}"/>
            </a:ext>
          </a:extLst>
        </xdr:cNvPr>
        <xdr:cNvPicPr>
          <a:picLocks noChangeAspect="1"/>
        </xdr:cNvPicPr>
      </xdr:nvPicPr>
      <xdr:blipFill>
        <a:blip xmlns:r="http://schemas.openxmlformats.org/officeDocument/2006/relationships" r:embed="rId18"/>
        <a:stretch>
          <a:fillRect/>
        </a:stretch>
      </xdr:blipFill>
      <xdr:spPr>
        <a:xfrm>
          <a:off x="1651000" y="69850"/>
          <a:ext cx="527481" cy="60748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558800</xdr:colOff>
      <xdr:row>0</xdr:row>
      <xdr:rowOff>84667</xdr:rowOff>
    </xdr:from>
    <xdr:to>
      <xdr:col>3</xdr:col>
      <xdr:colOff>358147</xdr:colOff>
      <xdr:row>3</xdr:row>
      <xdr:rowOff>107949</xdr:rowOff>
    </xdr:to>
    <xdr:pic>
      <xdr:nvPicPr>
        <xdr:cNvPr id="4" name="Imagem 3">
          <a:extLst>
            <a:ext uri="{FF2B5EF4-FFF2-40B4-BE49-F238E27FC236}">
              <a16:creationId xmlns:a16="http://schemas.microsoft.com/office/drawing/2014/main" id="{F997A056-63DA-9340-250C-431C9C2E457B}"/>
            </a:ext>
          </a:extLst>
        </xdr:cNvPr>
        <xdr:cNvPicPr>
          <a:picLocks noChangeAspect="1"/>
        </xdr:cNvPicPr>
      </xdr:nvPicPr>
      <xdr:blipFill>
        <a:blip xmlns:r="http://schemas.openxmlformats.org/officeDocument/2006/relationships" r:embed="rId20"/>
        <a:stretch>
          <a:fillRect/>
        </a:stretch>
      </xdr:blipFill>
      <xdr:spPr>
        <a:xfrm>
          <a:off x="1667933" y="84667"/>
          <a:ext cx="527481" cy="607482"/>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l62144@aln.iseg.ulisboa.pt" TargetMode="External"/><Relationship Id="rId3" Type="http://schemas.openxmlformats.org/officeDocument/2006/relationships/hyperlink" Target="mailto:raul.vasconcelos@aln.iseg.ulisboa.pt" TargetMode="External"/><Relationship Id="rId7" Type="http://schemas.openxmlformats.org/officeDocument/2006/relationships/hyperlink" Target="mailto:l63853@aln.iseg.ulisboa.pt" TargetMode="External"/><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mafaldajbento@aln.iseg.ulisboa.pt" TargetMode="External"/><Relationship Id="rId5" Type="http://schemas.openxmlformats.org/officeDocument/2006/relationships/hyperlink" Target="mailto:raul.vasconcelos@aln.iseg.ulisboa.pt" TargetMode="External"/><Relationship Id="rId10" Type="http://schemas.openxmlformats.org/officeDocument/2006/relationships/drawing" Target="../drawings/drawing2.xml"/><Relationship Id="rId4" Type="http://schemas.openxmlformats.org/officeDocument/2006/relationships/hyperlink" Target="mailto:raul.vasconcelos@aln.iseg.ulisboa.pt"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investor.unionpacific.com/news-releases/news-release-details/union-pacific-railroad-announces-pay-raises-and-labor-agreements" TargetMode="External"/><Relationship Id="rId7" Type="http://schemas.openxmlformats.org/officeDocument/2006/relationships/drawing" Target="../drawings/drawing3.xml"/><Relationship Id="rId2" Type="http://schemas.openxmlformats.org/officeDocument/2006/relationships/hyperlink" Target="https://www.reuters.com/legal/litigation/largest-us-rail-union-endorses-union-pacific-norfolk-southern-merger-after-job-2025-09-22/?utm_source=chatgpt.com" TargetMode="External"/><Relationship Id="rId1" Type="http://schemas.openxmlformats.org/officeDocument/2006/relationships/hyperlink" Target="https://www.businesswire.com/news/home/20250922776661/en/SMART-TD-and-Union-Pacific-Announce-Landmark-Agreement-Securing-Jobs-and-the-Future-of-Railroading" TargetMode="External"/><Relationship Id="rId6" Type="http://schemas.openxmlformats.org/officeDocument/2006/relationships/printerSettings" Target="../printerSettings/printerSettings2.bin"/><Relationship Id="rId5" Type="http://schemas.openxmlformats.org/officeDocument/2006/relationships/hyperlink" Target="https://www.theguardian.com/us-news/2025/aug/25/union-pacific-norfolk-southern-railroad-merger" TargetMode="External"/><Relationship Id="rId4" Type="http://schemas.openxmlformats.org/officeDocument/2006/relationships/hyperlink" Target="https://www.wsj.com/articles/union-pacific-ordered-to-pay-damages-for-retaliating-against-worker-264ee9f0"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zoomScale="57" zoomScaleNormal="145" workbookViewId="0">
      <selection activeCell="R38" sqref="R38"/>
    </sheetView>
  </sheetViews>
  <sheetFormatPr defaultColWidth="9" defaultRowHeight="15" customHeight="1" x14ac:dyDescent="0.3"/>
  <cols>
    <col min="1" max="2" width="9" style="568"/>
    <col min="3" max="5" width="10" style="568" bestFit="1" customWidth="1"/>
    <col min="6" max="16384" width="9" style="568"/>
  </cols>
  <sheetData>
    <row r="1" s="563" customFormat="1" ht="15" customHeight="1" x14ac:dyDescent="0.3"/>
    <row r="2" s="563" customFormat="1" ht="15" customHeight="1" x14ac:dyDescent="0.3"/>
    <row r="3" s="563" customFormat="1" ht="15" customHeight="1" x14ac:dyDescent="0.3"/>
    <row r="4" s="563" customFormat="1" ht="15" customHeight="1" x14ac:dyDescent="0.3"/>
    <row r="5" ht="4" customHeight="1" x14ac:dyDescent="0.3"/>
    <row r="101" spans="3:3" ht="15" customHeight="1" x14ac:dyDescent="0.3">
      <c r="C101" s="594"/>
    </row>
    <row r="102" spans="3:3" ht="15" customHeight="1" x14ac:dyDescent="0.3">
      <c r="C102" s="594"/>
    </row>
    <row r="103" spans="3:3" ht="15" customHeight="1" x14ac:dyDescent="0.3">
      <c r="C103" s="594"/>
    </row>
    <row r="104" spans="3:3" ht="15" customHeight="1" x14ac:dyDescent="0.3">
      <c r="C104" s="594"/>
    </row>
    <row r="105" spans="3:3" ht="15" customHeight="1" x14ac:dyDescent="0.3">
      <c r="C105" s="594"/>
    </row>
    <row r="106" spans="3:3" ht="15" customHeight="1" x14ac:dyDescent="0.3">
      <c r="C106" s="594"/>
    </row>
    <row r="107" spans="3:3" ht="15" customHeight="1" x14ac:dyDescent="0.3">
      <c r="C107" s="594"/>
    </row>
    <row r="108" spans="3:3" ht="15" customHeight="1" x14ac:dyDescent="0.3">
      <c r="C108" s="594"/>
    </row>
    <row r="109" spans="3:3" ht="15" customHeight="1" x14ac:dyDescent="0.3">
      <c r="C109" s="594"/>
    </row>
    <row r="110" spans="3:3" ht="15" customHeight="1" x14ac:dyDescent="0.3">
      <c r="C110" s="594"/>
    </row>
    <row r="111" spans="3:3" ht="15" customHeight="1" x14ac:dyDescent="0.3">
      <c r="C111" s="594"/>
    </row>
    <row r="112" spans="3:3" ht="15" customHeight="1" x14ac:dyDescent="0.3">
      <c r="C112" s="594"/>
    </row>
    <row r="113" spans="3:3" ht="15" customHeight="1" x14ac:dyDescent="0.3">
      <c r="C113" s="594"/>
    </row>
    <row r="114" spans="3:3" ht="15" customHeight="1" x14ac:dyDescent="0.3">
      <c r="C114" s="594"/>
    </row>
    <row r="115" spans="3:3" ht="15" customHeight="1" x14ac:dyDescent="0.3">
      <c r="C115" s="594"/>
    </row>
    <row r="116" spans="3:3" ht="15" customHeight="1" x14ac:dyDescent="0.3">
      <c r="C116" s="594"/>
    </row>
    <row r="117" spans="3:3" ht="15" customHeight="1" x14ac:dyDescent="0.3">
      <c r="C117" s="594"/>
    </row>
    <row r="118" spans="3:3" ht="15" customHeight="1" x14ac:dyDescent="0.3">
      <c r="C118" s="594"/>
    </row>
    <row r="119" spans="3:3" ht="15" customHeight="1" x14ac:dyDescent="0.3">
      <c r="C119" s="594"/>
    </row>
    <row r="120" spans="3:3" ht="15" customHeight="1" x14ac:dyDescent="0.3">
      <c r="C120" s="594"/>
    </row>
    <row r="121" spans="3:3" ht="15" customHeight="1" x14ac:dyDescent="0.3">
      <c r="C121" s="594"/>
    </row>
    <row r="122" spans="3:3" ht="15" customHeight="1" x14ac:dyDescent="0.3">
      <c r="C122" s="594"/>
    </row>
    <row r="123" spans="3:3" ht="15" customHeight="1" x14ac:dyDescent="0.3">
      <c r="C123" s="594"/>
    </row>
    <row r="124" spans="3:3" ht="15" customHeight="1" x14ac:dyDescent="0.3">
      <c r="C124" s="594"/>
    </row>
    <row r="125" spans="3:3" ht="15" customHeight="1" x14ac:dyDescent="0.3">
      <c r="C125" s="594"/>
    </row>
    <row r="126" spans="3:3" ht="15" customHeight="1" x14ac:dyDescent="0.3">
      <c r="C126" s="594"/>
    </row>
    <row r="127" spans="3:3" ht="15" customHeight="1" x14ac:dyDescent="0.3">
      <c r="C127" s="594"/>
    </row>
    <row r="128" spans="3:3" ht="15" customHeight="1" x14ac:dyDescent="0.3">
      <c r="C128" s="594"/>
    </row>
    <row r="129" spans="3:3" ht="15" customHeight="1" x14ac:dyDescent="0.3">
      <c r="C129" s="594"/>
    </row>
    <row r="130" spans="3:3" ht="15" customHeight="1" x14ac:dyDescent="0.3">
      <c r="C130" s="594"/>
    </row>
    <row r="131" spans="3:3" ht="15" customHeight="1" x14ac:dyDescent="0.3">
      <c r="C131" s="594"/>
    </row>
    <row r="132" spans="3:3" ht="15" customHeight="1" x14ac:dyDescent="0.3">
      <c r="C132" s="594"/>
    </row>
    <row r="133" spans="3:3" ht="15" customHeight="1" x14ac:dyDescent="0.3">
      <c r="C133" s="594"/>
    </row>
    <row r="134" spans="3:3" ht="15" customHeight="1" x14ac:dyDescent="0.3">
      <c r="C134" s="594"/>
    </row>
    <row r="135" spans="3:3" ht="15" customHeight="1" x14ac:dyDescent="0.3">
      <c r="C135" s="594"/>
    </row>
    <row r="136" spans="3:3" ht="15" customHeight="1" x14ac:dyDescent="0.3">
      <c r="C136" s="594"/>
    </row>
    <row r="137" spans="3:3" ht="15" customHeight="1" x14ac:dyDescent="0.3">
      <c r="C137" s="594"/>
    </row>
    <row r="138" spans="3:3" ht="15" customHeight="1" x14ac:dyDescent="0.3">
      <c r="C138" s="594"/>
    </row>
    <row r="139" spans="3:3" ht="15" customHeight="1" x14ac:dyDescent="0.3">
      <c r="C139" s="594"/>
    </row>
    <row r="140" spans="3:3" ht="15" customHeight="1" x14ac:dyDescent="0.3">
      <c r="C140" s="594"/>
    </row>
    <row r="141" spans="3:3" ht="15" customHeight="1" x14ac:dyDescent="0.3">
      <c r="C141" s="594"/>
    </row>
    <row r="142" spans="3:3" ht="15" customHeight="1" x14ac:dyDescent="0.3">
      <c r="C142" s="594"/>
    </row>
    <row r="143" spans="3:3" ht="15" customHeight="1" x14ac:dyDescent="0.3">
      <c r="C143" s="594"/>
    </row>
    <row r="144" spans="3:3" ht="15" customHeight="1" x14ac:dyDescent="0.3">
      <c r="C144" s="594"/>
    </row>
    <row r="145" spans="3:12" ht="15" customHeight="1" x14ac:dyDescent="0.3">
      <c r="C145" s="594"/>
    </row>
    <row r="146" spans="3:12" ht="15" customHeight="1" x14ac:dyDescent="0.3">
      <c r="C146" s="594"/>
    </row>
    <row r="147" spans="3:12" ht="15" customHeight="1" x14ac:dyDescent="0.3">
      <c r="C147" s="594"/>
    </row>
    <row r="148" spans="3:12" ht="15" customHeight="1" x14ac:dyDescent="0.3">
      <c r="C148" s="594"/>
    </row>
    <row r="149" spans="3:12" ht="15" customHeight="1" x14ac:dyDescent="0.3">
      <c r="C149" s="594"/>
    </row>
    <row r="150" spans="3:12" ht="15" customHeight="1" x14ac:dyDescent="0.3">
      <c r="C150" s="594"/>
    </row>
    <row r="151" spans="3:12" ht="15" customHeight="1" x14ac:dyDescent="0.3">
      <c r="C151" s="594"/>
    </row>
    <row r="152" spans="3:12" ht="15" customHeight="1" x14ac:dyDescent="0.3">
      <c r="C152" s="594"/>
    </row>
    <row r="153" spans="3:12" ht="15" customHeight="1" x14ac:dyDescent="0.3">
      <c r="C153" s="594"/>
    </row>
    <row r="154" spans="3:12" ht="15" customHeight="1" x14ac:dyDescent="0.3">
      <c r="C154" s="594">
        <f t="shared" ref="C154:C164" ca="1" si="0">+C155+1</f>
        <v>45990</v>
      </c>
    </row>
    <row r="155" spans="3:12" ht="15" customHeight="1" x14ac:dyDescent="0.3">
      <c r="C155" s="594">
        <f t="shared" ca="1" si="0"/>
        <v>45989</v>
      </c>
    </row>
    <row r="156" spans="3:12" ht="15" customHeight="1" x14ac:dyDescent="0.3">
      <c r="C156" s="594">
        <f t="shared" ca="1" si="0"/>
        <v>45988</v>
      </c>
    </row>
    <row r="157" spans="3:12" ht="15" customHeight="1" x14ac:dyDescent="0.3">
      <c r="C157" s="594">
        <f t="shared" ca="1" si="0"/>
        <v>45987</v>
      </c>
    </row>
    <row r="158" spans="3:12" ht="15" customHeight="1" x14ac:dyDescent="0.3">
      <c r="C158" s="594">
        <f t="shared" ca="1" si="0"/>
        <v>45986</v>
      </c>
    </row>
    <row r="159" spans="3:12" ht="15" customHeight="1" x14ac:dyDescent="0.3">
      <c r="C159" s="594">
        <f t="shared" ca="1" si="0"/>
        <v>45985</v>
      </c>
    </row>
    <row r="160" spans="3:12" ht="15" customHeight="1" x14ac:dyDescent="0.3">
      <c r="C160" s="594">
        <f t="shared" ca="1" si="0"/>
        <v>45984</v>
      </c>
      <c r="L160" s="568">
        <f ca="1">IF(FCFF!$R$157="Revenue Exit",FCFF!$AF$169,IF(FCFF!$R$157="EBITDA Exit",FCFF!Z169,FCFF!AL169))</f>
        <v>188.76742176757386</v>
      </c>
    </row>
    <row r="161" spans="3:5" ht="15" customHeight="1" x14ac:dyDescent="0.3">
      <c r="C161" s="594">
        <f t="shared" ca="1" si="0"/>
        <v>45983</v>
      </c>
    </row>
    <row r="162" spans="3:5" ht="15" customHeight="1" x14ac:dyDescent="0.3">
      <c r="C162" s="594">
        <f t="shared" ca="1" si="0"/>
        <v>45982</v>
      </c>
      <c r="E162" s="568">
        <f ca="1">IF(FCFF!$R$157="Revenue Exit",FCFF!$AF$169,IF(FCFF!$R$157="EBITDA Exit",FCFF!Z169,FCFF!AL169))</f>
        <v>188.76742176757386</v>
      </c>
    </row>
    <row r="163" spans="3:5" ht="15" customHeight="1" x14ac:dyDescent="0.3">
      <c r="C163" s="594">
        <f t="shared" ca="1" si="0"/>
        <v>45981</v>
      </c>
      <c r="E163" s="568">
        <f t="shared" ref="E163:E192" ca="1" si="1">E164+($E$162-$E$193)/COUNTA($C$162:$C$192)</f>
        <v>189.64718235571681</v>
      </c>
    </row>
    <row r="164" spans="3:5" ht="15" customHeight="1" x14ac:dyDescent="0.3">
      <c r="C164" s="594">
        <f t="shared" ca="1" si="0"/>
        <v>45980</v>
      </c>
      <c r="E164" s="568">
        <f t="shared" ca="1" si="1"/>
        <v>190.52694294385958</v>
      </c>
    </row>
    <row r="165" spans="3:5" ht="15" customHeight="1" x14ac:dyDescent="0.3">
      <c r="C165" s="594">
        <f t="shared" ref="C165:C191" ca="1" si="2">+C166+1</f>
        <v>45979</v>
      </c>
      <c r="E165" s="568">
        <f t="shared" ca="1" si="1"/>
        <v>191.40670353200235</v>
      </c>
    </row>
    <row r="166" spans="3:5" ht="15" customHeight="1" x14ac:dyDescent="0.3">
      <c r="C166" s="594">
        <f t="shared" ca="1" si="2"/>
        <v>45978</v>
      </c>
      <c r="E166" s="568">
        <f t="shared" ca="1" si="1"/>
        <v>192.28646412014513</v>
      </c>
    </row>
    <row r="167" spans="3:5" ht="15" customHeight="1" x14ac:dyDescent="0.3">
      <c r="C167" s="594">
        <f t="shared" ca="1" si="2"/>
        <v>45977</v>
      </c>
      <c r="E167" s="568">
        <f t="shared" ca="1" si="1"/>
        <v>193.1662247082879</v>
      </c>
    </row>
    <row r="168" spans="3:5" ht="15" customHeight="1" x14ac:dyDescent="0.3">
      <c r="C168" s="594">
        <f t="shared" ca="1" si="2"/>
        <v>45976</v>
      </c>
      <c r="E168" s="568">
        <f t="shared" ca="1" si="1"/>
        <v>194.04598529643067</v>
      </c>
    </row>
    <row r="169" spans="3:5" ht="15" customHeight="1" x14ac:dyDescent="0.3">
      <c r="C169" s="594">
        <f t="shared" ca="1" si="2"/>
        <v>45975</v>
      </c>
      <c r="E169" s="568">
        <f t="shared" ca="1" si="1"/>
        <v>194.92574588457344</v>
      </c>
    </row>
    <row r="170" spans="3:5" ht="15" customHeight="1" x14ac:dyDescent="0.3">
      <c r="C170" s="594">
        <f t="shared" ca="1" si="2"/>
        <v>45974</v>
      </c>
      <c r="E170" s="568">
        <f t="shared" ca="1" si="1"/>
        <v>195.80550647271622</v>
      </c>
    </row>
    <row r="171" spans="3:5" ht="15" customHeight="1" x14ac:dyDescent="0.3">
      <c r="C171" s="594">
        <f t="shared" ca="1" si="2"/>
        <v>45973</v>
      </c>
      <c r="E171" s="568">
        <f t="shared" ca="1" si="1"/>
        <v>196.68526706085899</v>
      </c>
    </row>
    <row r="172" spans="3:5" ht="15" customHeight="1" x14ac:dyDescent="0.3">
      <c r="C172" s="594">
        <f t="shared" ca="1" si="2"/>
        <v>45972</v>
      </c>
      <c r="E172" s="568">
        <f t="shared" ca="1" si="1"/>
        <v>197.56502764900176</v>
      </c>
    </row>
    <row r="173" spans="3:5" ht="15" customHeight="1" x14ac:dyDescent="0.3">
      <c r="C173" s="594">
        <f t="shared" ca="1" si="2"/>
        <v>45971</v>
      </c>
      <c r="E173" s="568">
        <f t="shared" ca="1" si="1"/>
        <v>198.44478823714454</v>
      </c>
    </row>
    <row r="174" spans="3:5" ht="15" customHeight="1" x14ac:dyDescent="0.3">
      <c r="C174" s="594">
        <f t="shared" ca="1" si="2"/>
        <v>45970</v>
      </c>
      <c r="E174" s="568">
        <f t="shared" ca="1" si="1"/>
        <v>199.32454882528731</v>
      </c>
    </row>
    <row r="175" spans="3:5" ht="15" customHeight="1" x14ac:dyDescent="0.3">
      <c r="C175" s="594">
        <f t="shared" ca="1" si="2"/>
        <v>45969</v>
      </c>
      <c r="E175" s="568">
        <f t="shared" ca="1" si="1"/>
        <v>200.20430941343008</v>
      </c>
    </row>
    <row r="176" spans="3:5" ht="15" customHeight="1" x14ac:dyDescent="0.3">
      <c r="C176" s="594">
        <f t="shared" ca="1" si="2"/>
        <v>45968</v>
      </c>
      <c r="E176" s="568">
        <f t="shared" ca="1" si="1"/>
        <v>201.08407000157285</v>
      </c>
    </row>
    <row r="177" spans="3:5" ht="15" customHeight="1" x14ac:dyDescent="0.3">
      <c r="C177" s="594">
        <f t="shared" ca="1" si="2"/>
        <v>45967</v>
      </c>
      <c r="E177" s="568">
        <f t="shared" ca="1" si="1"/>
        <v>201.96383058971563</v>
      </c>
    </row>
    <row r="178" spans="3:5" ht="15" customHeight="1" x14ac:dyDescent="0.3">
      <c r="C178" s="594">
        <f t="shared" ca="1" si="2"/>
        <v>45966</v>
      </c>
      <c r="E178" s="568">
        <f t="shared" ca="1" si="1"/>
        <v>202.8435911778584</v>
      </c>
    </row>
    <row r="179" spans="3:5" ht="15" customHeight="1" x14ac:dyDescent="0.3">
      <c r="C179" s="594">
        <f t="shared" ca="1" si="2"/>
        <v>45965</v>
      </c>
      <c r="E179" s="568">
        <f t="shared" ca="1" si="1"/>
        <v>203.72335176600117</v>
      </c>
    </row>
    <row r="180" spans="3:5" ht="15" customHeight="1" x14ac:dyDescent="0.3">
      <c r="C180" s="594">
        <f t="shared" ca="1" si="2"/>
        <v>45964</v>
      </c>
      <c r="E180" s="568">
        <f t="shared" ca="1" si="1"/>
        <v>204.60311235414395</v>
      </c>
    </row>
    <row r="181" spans="3:5" ht="15" customHeight="1" x14ac:dyDescent="0.3">
      <c r="C181" s="594">
        <f t="shared" ca="1" si="2"/>
        <v>45963</v>
      </c>
      <c r="E181" s="568">
        <f t="shared" ca="1" si="1"/>
        <v>205.48287294228672</v>
      </c>
    </row>
    <row r="182" spans="3:5" ht="15" customHeight="1" x14ac:dyDescent="0.3">
      <c r="C182" s="594">
        <f t="shared" ca="1" si="2"/>
        <v>45962</v>
      </c>
      <c r="E182" s="568">
        <f t="shared" ca="1" si="1"/>
        <v>206.36263353042949</v>
      </c>
    </row>
    <row r="183" spans="3:5" ht="15" customHeight="1" x14ac:dyDescent="0.3">
      <c r="C183" s="594">
        <f t="shared" ca="1" si="2"/>
        <v>45961</v>
      </c>
      <c r="E183" s="568">
        <f t="shared" ca="1" si="1"/>
        <v>207.24239411857226</v>
      </c>
    </row>
    <row r="184" spans="3:5" ht="15" customHeight="1" x14ac:dyDescent="0.3">
      <c r="C184" s="594">
        <f t="shared" ca="1" si="2"/>
        <v>45960</v>
      </c>
      <c r="E184" s="568">
        <f t="shared" ca="1" si="1"/>
        <v>208.12215470671504</v>
      </c>
    </row>
    <row r="185" spans="3:5" ht="15" customHeight="1" x14ac:dyDescent="0.3">
      <c r="C185" s="594">
        <f t="shared" ca="1" si="2"/>
        <v>45959</v>
      </c>
      <c r="E185" s="568">
        <f t="shared" ca="1" si="1"/>
        <v>209.00191529485781</v>
      </c>
    </row>
    <row r="186" spans="3:5" ht="15" customHeight="1" x14ac:dyDescent="0.3">
      <c r="C186" s="594">
        <f t="shared" ca="1" si="2"/>
        <v>45958</v>
      </c>
      <c r="E186" s="568">
        <f t="shared" ca="1" si="1"/>
        <v>209.88167588300058</v>
      </c>
    </row>
    <row r="187" spans="3:5" ht="15" customHeight="1" x14ac:dyDescent="0.3">
      <c r="C187" s="594">
        <f t="shared" ca="1" si="2"/>
        <v>45957</v>
      </c>
      <c r="E187" s="568">
        <f t="shared" ca="1" si="1"/>
        <v>210.76143647114336</v>
      </c>
    </row>
    <row r="188" spans="3:5" ht="15" customHeight="1" x14ac:dyDescent="0.3">
      <c r="C188" s="594">
        <f t="shared" ca="1" si="2"/>
        <v>45956</v>
      </c>
      <c r="E188" s="568">
        <f t="shared" ca="1" si="1"/>
        <v>211.64119705928613</v>
      </c>
    </row>
    <row r="189" spans="3:5" ht="15" customHeight="1" x14ac:dyDescent="0.3">
      <c r="C189" s="594">
        <f t="shared" ca="1" si="2"/>
        <v>45955</v>
      </c>
      <c r="E189" s="568">
        <f t="shared" ca="1" si="1"/>
        <v>212.5209576474289</v>
      </c>
    </row>
    <row r="190" spans="3:5" ht="15" customHeight="1" x14ac:dyDescent="0.3">
      <c r="C190" s="594">
        <f t="shared" ca="1" si="2"/>
        <v>45954</v>
      </c>
      <c r="E190" s="568">
        <f t="shared" ca="1" si="1"/>
        <v>213.40071823557167</v>
      </c>
    </row>
    <row r="191" spans="3:5" ht="15" customHeight="1" x14ac:dyDescent="0.3">
      <c r="C191" s="594">
        <f t="shared" ca="1" si="2"/>
        <v>45953</v>
      </c>
      <c r="E191" s="568">
        <f t="shared" ca="1" si="1"/>
        <v>214.28047882371445</v>
      </c>
    </row>
    <row r="192" spans="3:5" ht="15" customHeight="1" x14ac:dyDescent="0.3">
      <c r="C192" s="594">
        <f ca="1">+C193+1</f>
        <v>45952</v>
      </c>
      <c r="E192" s="568">
        <f t="shared" ca="1" si="1"/>
        <v>215.16023941185722</v>
      </c>
    </row>
    <row r="193" spans="2:5" ht="15" customHeight="1" x14ac:dyDescent="0.3">
      <c r="B193" s="568" t="s">
        <v>0</v>
      </c>
      <c r="C193" s="593">
        <f ca="1">+'Stock Data'!AM4</f>
        <v>45951</v>
      </c>
      <c r="D193" s="568">
        <f ca="1">_xlfn.XLOOKUP(C193,'Stock Data'!$AM$4:$AM$1051,'Stock Data'!$AN$4:$AN$1051)</f>
        <v>216.04</v>
      </c>
      <c r="E193" s="568">
        <f ca="1">D193</f>
        <v>216.04</v>
      </c>
    </row>
    <row r="194" spans="2:5" ht="15" customHeight="1" x14ac:dyDescent="0.3">
      <c r="C194" s="593">
        <f ca="1">+'Stock Data'!AM5</f>
        <v>45950</v>
      </c>
      <c r="D194" s="568">
        <f ca="1">_xlfn.XLOOKUP(C194,'Stock Data'!$AM$4:$AM$1051,'Stock Data'!$AN$4:$AN$1051)</f>
        <v>216.04</v>
      </c>
    </row>
    <row r="195" spans="2:5" ht="15" customHeight="1" x14ac:dyDescent="0.3">
      <c r="C195" s="593">
        <f ca="1">+'Stock Data'!AM6</f>
        <v>45949</v>
      </c>
      <c r="D195" s="568">
        <f ca="1">_xlfn.XLOOKUP(C195,'Stock Data'!$AM$4:$AM$1051,'Stock Data'!$AN$4:$AN$1051)</f>
        <v>215.19</v>
      </c>
    </row>
    <row r="196" spans="2:5" ht="15" customHeight="1" x14ac:dyDescent="0.3">
      <c r="C196" s="593">
        <f ca="1">+'Stock Data'!AM7</f>
        <v>45948</v>
      </c>
      <c r="D196" s="568">
        <f ca="1">_xlfn.XLOOKUP(C196,'Stock Data'!$AM$4:$AM$1051,'Stock Data'!$AN$4:$AN$1051)</f>
        <v>216.05</v>
      </c>
    </row>
    <row r="197" spans="2:5" ht="15" customHeight="1" x14ac:dyDescent="0.3">
      <c r="C197" s="593">
        <f ca="1">+'Stock Data'!AM8</f>
        <v>45947</v>
      </c>
      <c r="D197" s="568">
        <f ca="1">_xlfn.XLOOKUP(C197,'Stock Data'!$AM$4:$AM$1051,'Stock Data'!$AN$4:$AN$1051)</f>
        <v>217.26</v>
      </c>
    </row>
    <row r="198" spans="2:5" ht="15" customHeight="1" x14ac:dyDescent="0.3">
      <c r="C198" s="593">
        <f ca="1">+'Stock Data'!AM9</f>
        <v>45946</v>
      </c>
      <c r="D198" s="568">
        <f ca="1">_xlfn.XLOOKUP(C198,'Stock Data'!$AM$4:$AM$1051,'Stock Data'!$AN$4:$AN$1051)</f>
        <v>220.31</v>
      </c>
    </row>
    <row r="199" spans="2:5" ht="15" customHeight="1" x14ac:dyDescent="0.3">
      <c r="C199" s="593">
        <f ca="1">+'Stock Data'!AM10</f>
        <v>45945</v>
      </c>
      <c r="D199" s="568">
        <f ca="1">_xlfn.XLOOKUP(C199,'Stock Data'!$AM$4:$AM$1051,'Stock Data'!$AN$4:$AN$1051)</f>
        <v>220.31</v>
      </c>
    </row>
    <row r="200" spans="2:5" ht="15" customHeight="1" x14ac:dyDescent="0.3">
      <c r="C200" s="593">
        <f ca="1">+'Stock Data'!AM11</f>
        <v>45944</v>
      </c>
      <c r="D200" s="568">
        <f ca="1">_xlfn.XLOOKUP(C200,'Stock Data'!$AM$4:$AM$1051,'Stock Data'!$AN$4:$AN$1051)</f>
        <v>220.31</v>
      </c>
    </row>
    <row r="201" spans="2:5" ht="15" customHeight="1" x14ac:dyDescent="0.3">
      <c r="C201" s="593">
        <f ca="1">+'Stock Data'!AM12</f>
        <v>45943</v>
      </c>
      <c r="D201" s="568">
        <f ca="1">_xlfn.XLOOKUP(C201,'Stock Data'!$AM$4:$AM$1051,'Stock Data'!$AN$4:$AN$1051)</f>
        <v>223.06</v>
      </c>
    </row>
    <row r="202" spans="2:5" ht="15" customHeight="1" x14ac:dyDescent="0.3">
      <c r="C202" s="593">
        <f ca="1">+'Stock Data'!AM13</f>
        <v>45942</v>
      </c>
      <c r="D202" s="568">
        <f ca="1">_xlfn.XLOOKUP(C202,'Stock Data'!$AM$4:$AM$1051,'Stock Data'!$AN$4:$AN$1051)</f>
        <v>221.76</v>
      </c>
    </row>
    <row r="203" spans="2:5" ht="15" customHeight="1" x14ac:dyDescent="0.3">
      <c r="C203" s="593">
        <f ca="1">+'Stock Data'!AM14</f>
        <v>45941</v>
      </c>
      <c r="D203" s="568">
        <f ca="1">_xlfn.XLOOKUP(C203,'Stock Data'!$AM$4:$AM$1051,'Stock Data'!$AN$4:$AN$1051)</f>
        <v>221.99</v>
      </c>
    </row>
    <row r="204" spans="2:5" ht="15" customHeight="1" x14ac:dyDescent="0.3">
      <c r="C204" s="593">
        <f ca="1">+'Stock Data'!AM15</f>
        <v>45940</v>
      </c>
      <c r="D204" s="568">
        <f ca="1">_xlfn.XLOOKUP(C204,'Stock Data'!$AM$4:$AM$1051,'Stock Data'!$AN$4:$AN$1051)</f>
        <v>223.57</v>
      </c>
    </row>
    <row r="205" spans="2:5" ht="15" customHeight="1" x14ac:dyDescent="0.3">
      <c r="C205" s="593">
        <f ca="1">+'Stock Data'!AM16</f>
        <v>45939</v>
      </c>
      <c r="D205" s="568">
        <f ca="1">_xlfn.XLOOKUP(C205,'Stock Data'!$AM$4:$AM$1051,'Stock Data'!$AN$4:$AN$1051)</f>
        <v>223.57</v>
      </c>
    </row>
    <row r="206" spans="2:5" ht="15" customHeight="1" x14ac:dyDescent="0.3">
      <c r="C206" s="593">
        <f ca="1">+'Stock Data'!AM17</f>
        <v>45938</v>
      </c>
      <c r="D206" s="568">
        <f ca="1">_xlfn.XLOOKUP(C206,'Stock Data'!$AM$4:$AM$1051,'Stock Data'!$AN$4:$AN$1051)</f>
        <v>223.57</v>
      </c>
    </row>
    <row r="207" spans="2:5" ht="15" customHeight="1" x14ac:dyDescent="0.3">
      <c r="C207" s="593">
        <f ca="1">+'Stock Data'!AM18</f>
        <v>45937</v>
      </c>
      <c r="D207" s="568">
        <f ca="1">_xlfn.XLOOKUP(C207,'Stock Data'!$AM$4:$AM$1051,'Stock Data'!$AN$4:$AN$1051)</f>
        <v>223.57</v>
      </c>
    </row>
    <row r="208" spans="2:5" ht="15" customHeight="1" x14ac:dyDescent="0.3">
      <c r="C208" s="593">
        <f ca="1">+'Stock Data'!AM19</f>
        <v>45936</v>
      </c>
      <c r="D208" s="568">
        <f ca="1">_xlfn.XLOOKUP(C208,'Stock Data'!$AM$4:$AM$1051,'Stock Data'!$AN$4:$AN$1051)</f>
        <v>222.35</v>
      </c>
    </row>
    <row r="209" spans="3:4" ht="15" customHeight="1" x14ac:dyDescent="0.3">
      <c r="C209" s="593">
        <f ca="1">+'Stock Data'!AM20</f>
        <v>45935</v>
      </c>
      <c r="D209" s="568">
        <f ca="1">_xlfn.XLOOKUP(C209,'Stock Data'!$AM$4:$AM$1051,'Stock Data'!$AN$4:$AN$1051)</f>
        <v>220.95</v>
      </c>
    </row>
    <row r="210" spans="3:4" ht="15" customHeight="1" x14ac:dyDescent="0.3">
      <c r="C210" s="593">
        <f ca="1">+'Stock Data'!AM21</f>
        <v>45934</v>
      </c>
      <c r="D210" s="568">
        <f ca="1">_xlfn.XLOOKUP(C210,'Stock Data'!$AM$4:$AM$1051,'Stock Data'!$AN$4:$AN$1051)</f>
        <v>222.74</v>
      </c>
    </row>
    <row r="211" spans="3:4" ht="15" customHeight="1" x14ac:dyDescent="0.3">
      <c r="C211" s="593">
        <f ca="1">+'Stock Data'!AM22</f>
        <v>45933</v>
      </c>
      <c r="D211" s="568">
        <f ca="1">_xlfn.XLOOKUP(C211,'Stock Data'!$AM$4:$AM$1051,'Stock Data'!$AN$4:$AN$1051)</f>
        <v>223.32</v>
      </c>
    </row>
    <row r="212" spans="3:4" ht="15" customHeight="1" x14ac:dyDescent="0.3">
      <c r="C212" s="593">
        <f ca="1">+'Stock Data'!AM23</f>
        <v>45932</v>
      </c>
      <c r="D212" s="568">
        <f ca="1">_xlfn.XLOOKUP(C212,'Stock Data'!$AM$4:$AM$1051,'Stock Data'!$AN$4:$AN$1051)</f>
        <v>227.85</v>
      </c>
    </row>
    <row r="213" spans="3:4" ht="15" customHeight="1" x14ac:dyDescent="0.3">
      <c r="C213" s="593">
        <f ca="1">+'Stock Data'!AM24</f>
        <v>45931</v>
      </c>
      <c r="D213" s="568">
        <f ca="1">_xlfn.XLOOKUP(C213,'Stock Data'!$AM$4:$AM$1051,'Stock Data'!$AN$4:$AN$1051)</f>
        <v>227.85</v>
      </c>
    </row>
    <row r="214" spans="3:4" ht="15" customHeight="1" x14ac:dyDescent="0.3">
      <c r="C214" s="593">
        <f ca="1">+'Stock Data'!AM25</f>
        <v>45930</v>
      </c>
      <c r="D214" s="568">
        <f ca="1">_xlfn.XLOOKUP(C214,'Stock Data'!$AM$4:$AM$1051,'Stock Data'!$AN$4:$AN$1051)</f>
        <v>227.85</v>
      </c>
    </row>
    <row r="215" spans="3:4" ht="15" customHeight="1" x14ac:dyDescent="0.3">
      <c r="C215" s="593">
        <f ca="1">+'Stock Data'!AM26</f>
        <v>45929</v>
      </c>
      <c r="D215" s="568">
        <f ca="1">_xlfn.XLOOKUP(C215,'Stock Data'!$AM$4:$AM$1051,'Stock Data'!$AN$4:$AN$1051)</f>
        <v>225.3</v>
      </c>
    </row>
    <row r="216" spans="3:4" ht="15" customHeight="1" x14ac:dyDescent="0.3">
      <c r="C216" s="593">
        <f ca="1">+'Stock Data'!AM27</f>
        <v>45928</v>
      </c>
      <c r="D216" s="568">
        <f ca="1">_xlfn.XLOOKUP(C216,'Stock Data'!$AM$4:$AM$1051,'Stock Data'!$AN$4:$AN$1051)</f>
        <v>225.68</v>
      </c>
    </row>
    <row r="217" spans="3:4" ht="15" customHeight="1" x14ac:dyDescent="0.3">
      <c r="C217" s="593">
        <f ca="1">+'Stock Data'!AM28</f>
        <v>45927</v>
      </c>
      <c r="D217" s="568">
        <f ca="1">_xlfn.XLOOKUP(C217,'Stock Data'!$AM$4:$AM$1051,'Stock Data'!$AN$4:$AN$1051)</f>
        <v>223.77</v>
      </c>
    </row>
    <row r="218" spans="3:4" ht="15" customHeight="1" x14ac:dyDescent="0.3">
      <c r="C218" s="593">
        <f ca="1">+'Stock Data'!AM29</f>
        <v>45926</v>
      </c>
      <c r="D218" s="568">
        <f ca="1">_xlfn.XLOOKUP(C218,'Stock Data'!$AM$4:$AM$1051,'Stock Data'!$AN$4:$AN$1051)</f>
        <v>220.08</v>
      </c>
    </row>
    <row r="219" spans="3:4" ht="15" customHeight="1" x14ac:dyDescent="0.3">
      <c r="C219" s="593">
        <f ca="1">+'Stock Data'!AM30</f>
        <v>45925</v>
      </c>
      <c r="D219" s="568">
        <f ca="1">_xlfn.XLOOKUP(C219,'Stock Data'!$AM$4:$AM$1051,'Stock Data'!$AN$4:$AN$1051)</f>
        <v>220.78</v>
      </c>
    </row>
    <row r="220" spans="3:4" ht="15" customHeight="1" x14ac:dyDescent="0.3">
      <c r="C220" s="593">
        <f ca="1">+'Stock Data'!AM31</f>
        <v>45924</v>
      </c>
      <c r="D220" s="568">
        <f ca="1">_xlfn.XLOOKUP(C220,'Stock Data'!$AM$4:$AM$1051,'Stock Data'!$AN$4:$AN$1051)</f>
        <v>220.78</v>
      </c>
    </row>
    <row r="221" spans="3:4" ht="15" customHeight="1" x14ac:dyDescent="0.3">
      <c r="C221" s="593">
        <f ca="1">+'Stock Data'!AM32</f>
        <v>45923</v>
      </c>
      <c r="D221" s="568">
        <f ca="1">_xlfn.XLOOKUP(C221,'Stock Data'!$AM$4:$AM$1051,'Stock Data'!$AN$4:$AN$1051)</f>
        <v>220.78</v>
      </c>
    </row>
    <row r="222" spans="3:4" ht="15" customHeight="1" x14ac:dyDescent="0.3">
      <c r="C222" s="593">
        <f ca="1">+'Stock Data'!AM33</f>
        <v>45922</v>
      </c>
      <c r="D222" s="568">
        <f ca="1">_xlfn.XLOOKUP(C222,'Stock Data'!$AM$4:$AM$1051,'Stock Data'!$AN$4:$AN$1051)</f>
        <v>221.52</v>
      </c>
    </row>
    <row r="223" spans="3:4" ht="15" customHeight="1" x14ac:dyDescent="0.3">
      <c r="C223" s="593">
        <f ca="1">+'Stock Data'!AM34</f>
        <v>45921</v>
      </c>
      <c r="D223" s="568">
        <f ca="1">_xlfn.XLOOKUP(C223,'Stock Data'!$AM$4:$AM$1051,'Stock Data'!$AN$4:$AN$1051)</f>
        <v>223.18</v>
      </c>
    </row>
    <row r="224" spans="3:4" ht="15" customHeight="1" x14ac:dyDescent="0.3">
      <c r="C224" s="593">
        <f ca="1">+'Stock Data'!AM35</f>
        <v>45920</v>
      </c>
      <c r="D224" s="568">
        <f ca="1">_xlfn.XLOOKUP(C224,'Stock Data'!$AM$4:$AM$1051,'Stock Data'!$AN$4:$AN$1051)</f>
        <v>218.8</v>
      </c>
    </row>
    <row r="225" spans="3:4" ht="15" customHeight="1" x14ac:dyDescent="0.3">
      <c r="C225" s="593">
        <f ca="1">+'Stock Data'!AM36</f>
        <v>45919</v>
      </c>
      <c r="D225" s="568">
        <f ca="1">_xlfn.XLOOKUP(C225,'Stock Data'!$AM$4:$AM$1051,'Stock Data'!$AN$4:$AN$1051)</f>
        <v>219.65</v>
      </c>
    </row>
    <row r="226" spans="3:4" ht="15" customHeight="1" x14ac:dyDescent="0.3">
      <c r="C226" s="593">
        <f ca="1">+'Stock Data'!AM37</f>
        <v>45918</v>
      </c>
      <c r="D226" s="568">
        <f ca="1">_xlfn.XLOOKUP(C226,'Stock Data'!$AM$4:$AM$1051,'Stock Data'!$AN$4:$AN$1051)</f>
        <v>222.24</v>
      </c>
    </row>
    <row r="227" spans="3:4" ht="15" customHeight="1" x14ac:dyDescent="0.3">
      <c r="C227" s="593">
        <f ca="1">+'Stock Data'!AM38</f>
        <v>45917</v>
      </c>
      <c r="D227" s="568">
        <f ca="1">_xlfn.XLOOKUP(C227,'Stock Data'!$AM$4:$AM$1051,'Stock Data'!$AN$4:$AN$1051)</f>
        <v>222.24</v>
      </c>
    </row>
    <row r="228" spans="3:4" ht="15" customHeight="1" x14ac:dyDescent="0.3">
      <c r="C228" s="593">
        <f ca="1">+'Stock Data'!AM39</f>
        <v>45916</v>
      </c>
      <c r="D228" s="568">
        <f ca="1">_xlfn.XLOOKUP(C228,'Stock Data'!$AM$4:$AM$1051,'Stock Data'!$AN$4:$AN$1051)</f>
        <v>222.24</v>
      </c>
    </row>
    <row r="229" spans="3:4" ht="15" customHeight="1" x14ac:dyDescent="0.3">
      <c r="C229" s="593">
        <f ca="1">+'Stock Data'!AM40</f>
        <v>45915</v>
      </c>
      <c r="D229" s="568">
        <f ca="1">_xlfn.XLOOKUP(C229,'Stock Data'!$AM$4:$AM$1051,'Stock Data'!$AN$4:$AN$1051)</f>
        <v>222.66</v>
      </c>
    </row>
    <row r="230" spans="3:4" ht="15" customHeight="1" x14ac:dyDescent="0.3">
      <c r="C230" s="593">
        <f ca="1">+'Stock Data'!AM41</f>
        <v>45914</v>
      </c>
      <c r="D230" s="568">
        <f ca="1">_xlfn.XLOOKUP(C230,'Stock Data'!$AM$4:$AM$1051,'Stock Data'!$AN$4:$AN$1051)</f>
        <v>225.46</v>
      </c>
    </row>
    <row r="231" spans="3:4" ht="15" customHeight="1" x14ac:dyDescent="0.3">
      <c r="C231" s="593">
        <f ca="1">+'Stock Data'!AM42</f>
        <v>45913</v>
      </c>
      <c r="D231" s="568">
        <f ca="1">_xlfn.XLOOKUP(C231,'Stock Data'!$AM$4:$AM$1051,'Stock Data'!$AN$4:$AN$1051)</f>
        <v>222.97</v>
      </c>
    </row>
    <row r="232" spans="3:4" ht="15" customHeight="1" x14ac:dyDescent="0.3">
      <c r="C232" s="593">
        <f ca="1">+'Stock Data'!AM43</f>
        <v>45912</v>
      </c>
      <c r="D232" s="568">
        <f ca="1">_xlfn.XLOOKUP(C232,'Stock Data'!$AM$4:$AM$1051,'Stock Data'!$AN$4:$AN$1051)</f>
        <v>222.06</v>
      </c>
    </row>
    <row r="233" spans="3:4" ht="15" customHeight="1" x14ac:dyDescent="0.3">
      <c r="C233" s="593">
        <f ca="1">+'Stock Data'!AM44</f>
        <v>45911</v>
      </c>
      <c r="D233" s="568">
        <f ca="1">_xlfn.XLOOKUP(C233,'Stock Data'!$AM$4:$AM$1051,'Stock Data'!$AN$4:$AN$1051)</f>
        <v>219.4</v>
      </c>
    </row>
    <row r="234" spans="3:4" ht="15" customHeight="1" x14ac:dyDescent="0.3">
      <c r="C234" s="593">
        <f ca="1">+'Stock Data'!AM45</f>
        <v>45910</v>
      </c>
      <c r="D234" s="568">
        <f ca="1">_xlfn.XLOOKUP(C234,'Stock Data'!$AM$4:$AM$1051,'Stock Data'!$AN$4:$AN$1051)</f>
        <v>219.4</v>
      </c>
    </row>
    <row r="235" spans="3:4" ht="15" customHeight="1" x14ac:dyDescent="0.3">
      <c r="C235" s="593">
        <f ca="1">+'Stock Data'!AM46</f>
        <v>45909</v>
      </c>
      <c r="D235" s="568">
        <f ca="1">_xlfn.XLOOKUP(C235,'Stock Data'!$AM$4:$AM$1051,'Stock Data'!$AN$4:$AN$1051)</f>
        <v>219.4</v>
      </c>
    </row>
    <row r="236" spans="3:4" ht="15" customHeight="1" x14ac:dyDescent="0.3">
      <c r="C236" s="593">
        <f ca="1">+'Stock Data'!AM47</f>
        <v>45908</v>
      </c>
      <c r="D236" s="568">
        <f ca="1">_xlfn.XLOOKUP(C236,'Stock Data'!$AM$4:$AM$1051,'Stock Data'!$AN$4:$AN$1051)</f>
        <v>221.97</v>
      </c>
    </row>
    <row r="237" spans="3:4" ht="15" customHeight="1" x14ac:dyDescent="0.3">
      <c r="C237" s="593">
        <f ca="1">+'Stock Data'!AM48</f>
        <v>45907</v>
      </c>
      <c r="D237" s="568">
        <f ca="1">_xlfn.XLOOKUP(C237,'Stock Data'!$AM$4:$AM$1051,'Stock Data'!$AN$4:$AN$1051)</f>
        <v>225.28</v>
      </c>
    </row>
    <row r="238" spans="3:4" ht="15" customHeight="1" x14ac:dyDescent="0.3">
      <c r="C238" s="593">
        <f ca="1">+'Stock Data'!AM49</f>
        <v>45906</v>
      </c>
      <c r="D238" s="568">
        <f ca="1">_xlfn.XLOOKUP(C238,'Stock Data'!$AM$4:$AM$1051,'Stock Data'!$AN$4:$AN$1051)</f>
        <v>223.77</v>
      </c>
    </row>
    <row r="239" spans="3:4" ht="15" customHeight="1" x14ac:dyDescent="0.3">
      <c r="C239" s="593">
        <f ca="1">+'Stock Data'!AM50</f>
        <v>45905</v>
      </c>
      <c r="D239" s="568">
        <f ca="1">_xlfn.XLOOKUP(C239,'Stock Data'!$AM$4:$AM$1051,'Stock Data'!$AN$4:$AN$1051)</f>
        <v>229.24</v>
      </c>
    </row>
    <row r="240" spans="3:4" ht="15" customHeight="1" x14ac:dyDescent="0.3">
      <c r="C240" s="593">
        <f ca="1">+'Stock Data'!AM51</f>
        <v>45904</v>
      </c>
      <c r="D240" s="568">
        <f ca="1">_xlfn.XLOOKUP(C240,'Stock Data'!$AM$4:$AM$1051,'Stock Data'!$AN$4:$AN$1051)</f>
        <v>224.74</v>
      </c>
    </row>
    <row r="241" spans="3:4" ht="15" customHeight="1" x14ac:dyDescent="0.3">
      <c r="C241" s="593">
        <f ca="1">+'Stock Data'!AM52</f>
        <v>45903</v>
      </c>
      <c r="D241" s="568">
        <f ca="1">_xlfn.XLOOKUP(C241,'Stock Data'!$AM$4:$AM$1051,'Stock Data'!$AN$4:$AN$1051)</f>
        <v>224.74</v>
      </c>
    </row>
    <row r="242" spans="3:4" ht="15" customHeight="1" x14ac:dyDescent="0.3">
      <c r="C242" s="593">
        <f ca="1">+'Stock Data'!AM53</f>
        <v>45902</v>
      </c>
      <c r="D242" s="568">
        <f ca="1">_xlfn.XLOOKUP(C242,'Stock Data'!$AM$4:$AM$1051,'Stock Data'!$AN$4:$AN$1051)</f>
        <v>224.74</v>
      </c>
    </row>
    <row r="243" spans="3:4" ht="15" customHeight="1" x14ac:dyDescent="0.3">
      <c r="C243" s="593">
        <f ca="1">+'Stock Data'!AM54</f>
        <v>45901</v>
      </c>
      <c r="D243" s="568">
        <f ca="1">_xlfn.XLOOKUP(C243,'Stock Data'!$AM$4:$AM$1051,'Stock Data'!$AN$4:$AN$1051)</f>
        <v>220.52</v>
      </c>
    </row>
    <row r="244" spans="3:4" ht="15" customHeight="1" x14ac:dyDescent="0.3">
      <c r="C244" s="593">
        <f ca="1">+'Stock Data'!AM55</f>
        <v>45900</v>
      </c>
      <c r="D244" s="568">
        <f ca="1">_xlfn.XLOOKUP(C244,'Stock Data'!$AM$4:$AM$1051,'Stock Data'!$AN$4:$AN$1051)</f>
        <v>231</v>
      </c>
    </row>
    <row r="245" spans="3:4" ht="15" customHeight="1" x14ac:dyDescent="0.3">
      <c r="C245" s="593">
        <f ca="1">+'Stock Data'!AM56</f>
        <v>45899</v>
      </c>
      <c r="D245" s="568">
        <f ca="1">_xlfn.XLOOKUP(C245,'Stock Data'!$AM$4:$AM$1051,'Stock Data'!$AN$4:$AN$1051)</f>
        <v>229.24</v>
      </c>
    </row>
    <row r="246" spans="3:4" ht="15" customHeight="1" x14ac:dyDescent="0.3">
      <c r="C246" s="593">
        <f ca="1">+'Stock Data'!AM57</f>
        <v>45898</v>
      </c>
      <c r="D246" s="568">
        <f ca="1">_xlfn.XLOOKUP(C246,'Stock Data'!$AM$4:$AM$1051,'Stock Data'!$AN$4:$AN$1051)</f>
        <v>225.85</v>
      </c>
    </row>
    <row r="247" spans="3:4" ht="15" customHeight="1" x14ac:dyDescent="0.3">
      <c r="C247" s="593">
        <f ca="1">+'Stock Data'!AM58</f>
        <v>45897</v>
      </c>
      <c r="D247" s="568">
        <f ca="1">_xlfn.XLOOKUP(C247,'Stock Data'!$AM$4:$AM$1051,'Stock Data'!$AN$4:$AN$1051)</f>
        <v>224.87</v>
      </c>
    </row>
    <row r="248" spans="3:4" ht="15" customHeight="1" x14ac:dyDescent="0.3">
      <c r="C248" s="593">
        <f ca="1">+'Stock Data'!AM59</f>
        <v>45896</v>
      </c>
      <c r="D248" s="568">
        <f ca="1">_xlfn.XLOOKUP(C248,'Stock Data'!$AM$4:$AM$1051,'Stock Data'!$AN$4:$AN$1051)</f>
        <v>224.87</v>
      </c>
    </row>
    <row r="249" spans="3:4" ht="15" customHeight="1" x14ac:dyDescent="0.3">
      <c r="C249" s="593">
        <f ca="1">+'Stock Data'!AM60</f>
        <v>45895</v>
      </c>
      <c r="D249" s="568">
        <f ca="1">_xlfn.XLOOKUP(C249,'Stock Data'!$AM$4:$AM$1051,'Stock Data'!$AN$4:$AN$1051)</f>
        <v>224.87</v>
      </c>
    </row>
    <row r="250" spans="3:4" ht="15" customHeight="1" x14ac:dyDescent="0.3">
      <c r="C250" s="593">
        <f ca="1">+'Stock Data'!AM61</f>
        <v>45894</v>
      </c>
      <c r="D250" s="568">
        <f ca="1">_xlfn.XLOOKUP(C250,'Stock Data'!$AM$4:$AM$1051,'Stock Data'!$AN$4:$AN$1051)</f>
        <v>227.49</v>
      </c>
    </row>
    <row r="251" spans="3:4" ht="15" customHeight="1" x14ac:dyDescent="0.3">
      <c r="C251" s="593">
        <f ca="1">+'Stock Data'!AM62</f>
        <v>45893</v>
      </c>
      <c r="D251" s="568">
        <f ca="1">_xlfn.XLOOKUP(C251,'Stock Data'!$AM$4:$AM$1051,'Stock Data'!$AN$4:$AN$1051)</f>
        <v>231.18</v>
      </c>
    </row>
    <row r="252" spans="3:4" ht="15" customHeight="1" x14ac:dyDescent="0.3">
      <c r="C252" s="593">
        <f ca="1">+'Stock Data'!AM63</f>
        <v>45892</v>
      </c>
      <c r="D252" s="568">
        <f ca="1">_xlfn.XLOOKUP(C252,'Stock Data'!$AM$4:$AM$1051,'Stock Data'!$AN$4:$AN$1051)</f>
        <v>231.14</v>
      </c>
    </row>
    <row r="253" spans="3:4" ht="15" customHeight="1" x14ac:dyDescent="0.3">
      <c r="C253" s="593">
        <f ca="1">+'Stock Data'!AM64</f>
        <v>45891</v>
      </c>
      <c r="D253" s="568">
        <f ca="1">_xlfn.XLOOKUP(C253,'Stock Data'!$AM$4:$AM$1051,'Stock Data'!$AN$4:$AN$1051)</f>
        <v>233.31</v>
      </c>
    </row>
    <row r="254" spans="3:4" ht="15" customHeight="1" x14ac:dyDescent="0.3">
      <c r="C254" s="593">
        <f ca="1">+'Stock Data'!AM65</f>
        <v>45890</v>
      </c>
      <c r="D254" s="568">
        <f ca="1">_xlfn.XLOOKUP(C254,'Stock Data'!$AM$4:$AM$1051,'Stock Data'!$AN$4:$AN$1051)</f>
        <v>235.1</v>
      </c>
    </row>
    <row r="255" spans="3:4" ht="15" customHeight="1" x14ac:dyDescent="0.3">
      <c r="C255" s="593">
        <f ca="1">+'Stock Data'!AM66</f>
        <v>45889</v>
      </c>
      <c r="D255" s="568">
        <f ca="1">_xlfn.XLOOKUP(C255,'Stock Data'!$AM$4:$AM$1051,'Stock Data'!$AN$4:$AN$1051)</f>
        <v>235.1</v>
      </c>
    </row>
    <row r="256" spans="3:4" ht="15" customHeight="1" x14ac:dyDescent="0.3">
      <c r="C256" s="593">
        <f ca="1">+'Stock Data'!AM67</f>
        <v>45888</v>
      </c>
      <c r="D256" s="568">
        <f ca="1">_xlfn.XLOOKUP(C256,'Stock Data'!$AM$4:$AM$1051,'Stock Data'!$AN$4:$AN$1051)</f>
        <v>235.1</v>
      </c>
    </row>
    <row r="257" spans="3:4" ht="15" customHeight="1" x14ac:dyDescent="0.3">
      <c r="C257" s="593">
        <f ca="1">+'Stock Data'!AM68</f>
        <v>45887</v>
      </c>
      <c r="D257" s="568">
        <f ca="1">_xlfn.XLOOKUP(C257,'Stock Data'!$AM$4:$AM$1051,'Stock Data'!$AN$4:$AN$1051)</f>
        <v>237</v>
      </c>
    </row>
    <row r="258" spans="3:4" ht="15" customHeight="1" x14ac:dyDescent="0.3">
      <c r="C258" s="593">
        <f ca="1">+'Stock Data'!AM69</f>
        <v>45886</v>
      </c>
      <c r="D258" s="568">
        <f ca="1">_xlfn.XLOOKUP(C258,'Stock Data'!$AM$4:$AM$1051,'Stock Data'!$AN$4:$AN$1051)</f>
        <v>236.49</v>
      </c>
    </row>
    <row r="259" spans="3:4" ht="15" customHeight="1" x14ac:dyDescent="0.3">
      <c r="C259" s="593">
        <f ca="1">+'Stock Data'!AM70</f>
        <v>45885</v>
      </c>
      <c r="D259" s="568">
        <f ca="1">_xlfn.XLOOKUP(C259,'Stock Data'!$AM$4:$AM$1051,'Stock Data'!$AN$4:$AN$1051)</f>
        <v>236.54</v>
      </c>
    </row>
    <row r="260" spans="3:4" ht="15" customHeight="1" x14ac:dyDescent="0.3">
      <c r="C260" s="593">
        <f ca="1">+'Stock Data'!AM71</f>
        <v>45884</v>
      </c>
      <c r="D260" s="568">
        <f ca="1">_xlfn.XLOOKUP(C260,'Stock Data'!$AM$4:$AM$1051,'Stock Data'!$AN$4:$AN$1051)</f>
        <v>235.35</v>
      </c>
    </row>
    <row r="261" spans="3:4" ht="15" customHeight="1" x14ac:dyDescent="0.3">
      <c r="C261" s="593">
        <f ca="1">+'Stock Data'!AM72</f>
        <v>45883</v>
      </c>
      <c r="D261" s="568">
        <f ca="1">_xlfn.XLOOKUP(C261,'Stock Data'!$AM$4:$AM$1051,'Stock Data'!$AN$4:$AN$1051)</f>
        <v>236.28</v>
      </c>
    </row>
    <row r="262" spans="3:4" ht="15" customHeight="1" x14ac:dyDescent="0.3">
      <c r="C262" s="593">
        <f ca="1">+'Stock Data'!AM73</f>
        <v>45882</v>
      </c>
      <c r="D262" s="568">
        <f ca="1">_xlfn.XLOOKUP(C262,'Stock Data'!$AM$4:$AM$1051,'Stock Data'!$AN$4:$AN$1051)</f>
        <v>236.28</v>
      </c>
    </row>
    <row r="263" spans="3:4" ht="15" customHeight="1" x14ac:dyDescent="0.3">
      <c r="C263" s="593">
        <f ca="1">+'Stock Data'!AM74</f>
        <v>45881</v>
      </c>
      <c r="D263" s="568">
        <f ca="1">_xlfn.XLOOKUP(C263,'Stock Data'!$AM$4:$AM$1051,'Stock Data'!$AN$4:$AN$1051)</f>
        <v>236.28</v>
      </c>
    </row>
    <row r="264" spans="3:4" ht="15" customHeight="1" x14ac:dyDescent="0.3">
      <c r="C264" s="593">
        <f ca="1">+'Stock Data'!AM75</f>
        <v>45880</v>
      </c>
      <c r="D264" s="568">
        <f ca="1">_xlfn.XLOOKUP(C264,'Stock Data'!$AM$4:$AM$1051,'Stock Data'!$AN$4:$AN$1051)</f>
        <v>236.28</v>
      </c>
    </row>
    <row r="265" spans="3:4" ht="15" customHeight="1" x14ac:dyDescent="0.3">
      <c r="C265" s="593">
        <f ca="1">+'Stock Data'!AM76</f>
        <v>45879</v>
      </c>
      <c r="D265" s="568">
        <f ca="1">_xlfn.XLOOKUP(C265,'Stock Data'!$AM$4:$AM$1051,'Stock Data'!$AN$4:$AN$1051)</f>
        <v>237.16</v>
      </c>
    </row>
    <row r="266" spans="3:4" ht="15" customHeight="1" x14ac:dyDescent="0.3">
      <c r="C266" s="593">
        <f ca="1">+'Stock Data'!AM77</f>
        <v>45878</v>
      </c>
      <c r="D266" s="568">
        <f ca="1">_xlfn.XLOOKUP(C266,'Stock Data'!$AM$4:$AM$1051,'Stock Data'!$AN$4:$AN$1051)</f>
        <v>235.57</v>
      </c>
    </row>
    <row r="267" spans="3:4" ht="15" customHeight="1" x14ac:dyDescent="0.3">
      <c r="C267" s="593">
        <f ca="1">+'Stock Data'!AM78</f>
        <v>45877</v>
      </c>
      <c r="D267" s="568">
        <f ca="1">_xlfn.XLOOKUP(C267,'Stock Data'!$AM$4:$AM$1051,'Stock Data'!$AN$4:$AN$1051)</f>
        <v>230.08</v>
      </c>
    </row>
    <row r="268" spans="3:4" ht="15" customHeight="1" x14ac:dyDescent="0.3">
      <c r="C268" s="593">
        <f ca="1">+'Stock Data'!AM79</f>
        <v>45876</v>
      </c>
      <c r="D268" s="568">
        <f ca="1">_xlfn.XLOOKUP(C268,'Stock Data'!$AM$4:$AM$1051,'Stock Data'!$AN$4:$AN$1051)</f>
        <v>231.41</v>
      </c>
    </row>
    <row r="269" spans="3:4" ht="15" customHeight="1" x14ac:dyDescent="0.3">
      <c r="C269" s="593">
        <f ca="1">+'Stock Data'!AM80</f>
        <v>45875</v>
      </c>
      <c r="D269" s="568">
        <f ca="1">_xlfn.XLOOKUP(C269,'Stock Data'!$AM$4:$AM$1051,'Stock Data'!$AN$4:$AN$1051)</f>
        <v>231.41</v>
      </c>
    </row>
    <row r="270" spans="3:4" ht="15" customHeight="1" x14ac:dyDescent="0.3">
      <c r="C270" s="593">
        <f ca="1">+'Stock Data'!AM81</f>
        <v>45874</v>
      </c>
      <c r="D270" s="568">
        <f ca="1">_xlfn.XLOOKUP(C270,'Stock Data'!$AM$4:$AM$1051,'Stock Data'!$AN$4:$AN$1051)</f>
        <v>231.41</v>
      </c>
    </row>
    <row r="271" spans="3:4" ht="15" customHeight="1" x14ac:dyDescent="0.3">
      <c r="C271" s="593">
        <f ca="1">+'Stock Data'!AM82</f>
        <v>45873</v>
      </c>
      <c r="D271" s="568">
        <f ca="1">_xlfn.XLOOKUP(C271,'Stock Data'!$AM$4:$AM$1051,'Stock Data'!$AN$4:$AN$1051)</f>
        <v>229.39</v>
      </c>
    </row>
    <row r="272" spans="3:4" ht="15" customHeight="1" x14ac:dyDescent="0.3">
      <c r="C272" s="593">
        <f ca="1">+'Stock Data'!AM83</f>
        <v>45872</v>
      </c>
      <c r="D272" s="568">
        <f ca="1">_xlfn.XLOOKUP(C272,'Stock Data'!$AM$4:$AM$1051,'Stock Data'!$AN$4:$AN$1051)</f>
        <v>226.81</v>
      </c>
    </row>
    <row r="273" spans="3:4" ht="15" customHeight="1" x14ac:dyDescent="0.3">
      <c r="C273" s="593">
        <f ca="1">+'Stock Data'!AM84</f>
        <v>45871</v>
      </c>
      <c r="D273" s="568">
        <f ca="1">_xlfn.XLOOKUP(C273,'Stock Data'!$AM$4:$AM$1051,'Stock Data'!$AN$4:$AN$1051)</f>
        <v>227.91</v>
      </c>
    </row>
    <row r="274" spans="3:4" ht="15" customHeight="1" x14ac:dyDescent="0.3">
      <c r="C274" s="593">
        <f ca="1">+'Stock Data'!AM85</f>
        <v>45870</v>
      </c>
      <c r="D274" s="568">
        <f ca="1">_xlfn.XLOOKUP(C274,'Stock Data'!$AM$4:$AM$1051,'Stock Data'!$AN$4:$AN$1051)</f>
        <v>225.88</v>
      </c>
    </row>
    <row r="275" spans="3:4" ht="15" customHeight="1" x14ac:dyDescent="0.3">
      <c r="C275" s="593">
        <f ca="1">+'Stock Data'!AM86</f>
        <v>45869</v>
      </c>
      <c r="D275" s="568">
        <f ca="1">_xlfn.XLOOKUP(C275,'Stock Data'!$AM$4:$AM$1051,'Stock Data'!$AN$4:$AN$1051)</f>
        <v>222.51</v>
      </c>
    </row>
    <row r="276" spans="3:4" ht="15" customHeight="1" x14ac:dyDescent="0.3">
      <c r="C276" s="593">
        <f ca="1">+'Stock Data'!AM87</f>
        <v>45868</v>
      </c>
      <c r="D276" s="568">
        <f ca="1">_xlfn.XLOOKUP(C276,'Stock Data'!$AM$4:$AM$1051,'Stock Data'!$AN$4:$AN$1051)</f>
        <v>222.51</v>
      </c>
    </row>
    <row r="277" spans="3:4" ht="15" customHeight="1" x14ac:dyDescent="0.3">
      <c r="C277" s="593">
        <f ca="1">+'Stock Data'!AM88</f>
        <v>45867</v>
      </c>
      <c r="D277" s="568">
        <f ca="1">_xlfn.XLOOKUP(C277,'Stock Data'!$AM$4:$AM$1051,'Stock Data'!$AN$4:$AN$1051)</f>
        <v>222.51</v>
      </c>
    </row>
    <row r="278" spans="3:4" ht="15" customHeight="1" x14ac:dyDescent="0.3">
      <c r="C278" s="593">
        <f ca="1">+'Stock Data'!AM89</f>
        <v>45866</v>
      </c>
      <c r="D278" s="568">
        <f ca="1">_xlfn.XLOOKUP(C278,'Stock Data'!$AM$4:$AM$1051,'Stock Data'!$AN$4:$AN$1051)</f>
        <v>222.01</v>
      </c>
    </row>
    <row r="279" spans="3:4" ht="15" customHeight="1" x14ac:dyDescent="0.3">
      <c r="C279" s="593">
        <f ca="1">+'Stock Data'!AM90</f>
        <v>45865</v>
      </c>
      <c r="D279" s="568">
        <f ca="1">_xlfn.XLOOKUP(C279,'Stock Data'!$AM$4:$AM$1051,'Stock Data'!$AN$4:$AN$1051)</f>
        <v>222.01</v>
      </c>
    </row>
    <row r="280" spans="3:4" ht="15" customHeight="1" x14ac:dyDescent="0.3">
      <c r="C280" s="593">
        <f ca="1">+'Stock Data'!AM91</f>
        <v>45864</v>
      </c>
      <c r="D280" s="568">
        <f ca="1">_xlfn.XLOOKUP(C280,'Stock Data'!$AM$4:$AM$1051,'Stock Data'!$AN$4:$AN$1051)</f>
        <v>220.59</v>
      </c>
    </row>
    <row r="281" spans="3:4" ht="15" customHeight="1" x14ac:dyDescent="0.3">
      <c r="C281" s="593">
        <f ca="1">+'Stock Data'!AM92</f>
        <v>45863</v>
      </c>
      <c r="D281" s="568">
        <f ca="1">_xlfn.XLOOKUP(C281,'Stock Data'!$AM$4:$AM$1051,'Stock Data'!$AN$4:$AN$1051)</f>
        <v>224.65</v>
      </c>
    </row>
    <row r="282" spans="3:4" ht="15" customHeight="1" x14ac:dyDescent="0.3">
      <c r="C282" s="593">
        <f ca="1">+'Stock Data'!AM93</f>
        <v>45862</v>
      </c>
      <c r="D282" s="568">
        <f ca="1">_xlfn.XLOOKUP(C282,'Stock Data'!$AM$4:$AM$1051,'Stock Data'!$AN$4:$AN$1051)</f>
        <v>223.37</v>
      </c>
    </row>
    <row r="283" spans="3:4" ht="15" customHeight="1" x14ac:dyDescent="0.3">
      <c r="C283" s="593">
        <f ca="1">+'Stock Data'!AM94</f>
        <v>45861</v>
      </c>
      <c r="D283" s="568">
        <f ca="1">_xlfn.XLOOKUP(C283,'Stock Data'!$AM$4:$AM$1051,'Stock Data'!$AN$4:$AN$1051)</f>
        <v>223.37</v>
      </c>
    </row>
    <row r="284" spans="3:4" ht="15" customHeight="1" x14ac:dyDescent="0.3">
      <c r="C284" s="593">
        <f ca="1">+'Stock Data'!AM95</f>
        <v>45860</v>
      </c>
      <c r="D284" s="568">
        <f ca="1">_xlfn.XLOOKUP(C284,'Stock Data'!$AM$4:$AM$1051,'Stock Data'!$AN$4:$AN$1051)</f>
        <v>223.37</v>
      </c>
    </row>
    <row r="285" spans="3:4" ht="15" customHeight="1" x14ac:dyDescent="0.3">
      <c r="C285" s="593">
        <f ca="1">+'Stock Data'!AM96</f>
        <v>45859</v>
      </c>
      <c r="D285" s="568">
        <f ca="1">_xlfn.XLOOKUP(C285,'Stock Data'!$AM$4:$AM$1051,'Stock Data'!$AN$4:$AN$1051)</f>
        <v>225.49</v>
      </c>
    </row>
    <row r="286" spans="3:4" ht="15" customHeight="1" x14ac:dyDescent="0.3">
      <c r="C286" s="593">
        <f ca="1">+'Stock Data'!AM97</f>
        <v>45858</v>
      </c>
      <c r="D286" s="568">
        <f ca="1">_xlfn.XLOOKUP(C286,'Stock Data'!$AM$4:$AM$1051,'Stock Data'!$AN$4:$AN$1051)</f>
        <v>225.72</v>
      </c>
    </row>
    <row r="287" spans="3:4" ht="15" customHeight="1" x14ac:dyDescent="0.3">
      <c r="C287" s="593">
        <f ca="1">+'Stock Data'!AM98</f>
        <v>45857</v>
      </c>
      <c r="D287" s="568">
        <f ca="1">_xlfn.XLOOKUP(C287,'Stock Data'!$AM$4:$AM$1051,'Stock Data'!$AN$4:$AN$1051)</f>
        <v>226.6</v>
      </c>
    </row>
    <row r="288" spans="3:4" ht="15" customHeight="1" x14ac:dyDescent="0.3">
      <c r="C288" s="593">
        <f ca="1">+'Stock Data'!AM99</f>
        <v>45856</v>
      </c>
      <c r="D288" s="568">
        <f ca="1">_xlfn.XLOOKUP(C288,'Stock Data'!$AM$4:$AM$1051,'Stock Data'!$AN$4:$AN$1051)</f>
        <v>224.14</v>
      </c>
    </row>
    <row r="289" spans="3:4" ht="15" customHeight="1" x14ac:dyDescent="0.3">
      <c r="C289" s="593">
        <f ca="1">+'Stock Data'!AM100</f>
        <v>45855</v>
      </c>
      <c r="D289" s="568">
        <f ca="1">_xlfn.XLOOKUP(C289,'Stock Data'!$AM$4:$AM$1051,'Stock Data'!$AN$4:$AN$1051)</f>
        <v>223.43</v>
      </c>
    </row>
    <row r="290" spans="3:4" ht="15" customHeight="1" x14ac:dyDescent="0.3">
      <c r="C290" s="593">
        <f ca="1">+'Stock Data'!AM101</f>
        <v>45854</v>
      </c>
      <c r="D290" s="568">
        <f ca="1">_xlfn.XLOOKUP(C290,'Stock Data'!$AM$4:$AM$1051,'Stock Data'!$AN$4:$AN$1051)</f>
        <v>223.43</v>
      </c>
    </row>
    <row r="291" spans="3:4" ht="15" customHeight="1" x14ac:dyDescent="0.3">
      <c r="C291" s="593">
        <f ca="1">+'Stock Data'!AM102</f>
        <v>45853</v>
      </c>
      <c r="D291" s="568">
        <f ca="1">_xlfn.XLOOKUP(C291,'Stock Data'!$AM$4:$AM$1051,'Stock Data'!$AN$4:$AN$1051)</f>
        <v>223.43</v>
      </c>
    </row>
    <row r="292" spans="3:4" ht="15" customHeight="1" x14ac:dyDescent="0.3">
      <c r="C292" s="593">
        <f ca="1">+'Stock Data'!AM103</f>
        <v>45852</v>
      </c>
      <c r="D292" s="568">
        <f ca="1">_xlfn.XLOOKUP(C292,'Stock Data'!$AM$4:$AM$1051,'Stock Data'!$AN$4:$AN$1051)</f>
        <v>220.65</v>
      </c>
    </row>
    <row r="293" spans="3:4" ht="15" customHeight="1" x14ac:dyDescent="0.3">
      <c r="C293" s="593">
        <f ca="1">+'Stock Data'!AM104</f>
        <v>45851</v>
      </c>
      <c r="D293" s="568">
        <f ca="1">_xlfn.XLOOKUP(C293,'Stock Data'!$AM$4:$AM$1051,'Stock Data'!$AN$4:$AN$1051)</f>
        <v>220.87</v>
      </c>
    </row>
    <row r="294" spans="3:4" ht="15" customHeight="1" x14ac:dyDescent="0.3">
      <c r="C294" s="593">
        <f ca="1">+'Stock Data'!AM105</f>
        <v>45850</v>
      </c>
      <c r="D294" s="568">
        <f ca="1">_xlfn.XLOOKUP(C294,'Stock Data'!$AM$4:$AM$1051,'Stock Data'!$AN$4:$AN$1051)</f>
        <v>221.78</v>
      </c>
    </row>
    <row r="295" spans="3:4" ht="15" customHeight="1" x14ac:dyDescent="0.3">
      <c r="C295" s="593">
        <f ca="1">+'Stock Data'!AM106</f>
        <v>45849</v>
      </c>
      <c r="D295" s="568">
        <f ca="1">_xlfn.XLOOKUP(C295,'Stock Data'!$AM$4:$AM$1051,'Stock Data'!$AN$4:$AN$1051)</f>
        <v>218.89</v>
      </c>
    </row>
    <row r="296" spans="3:4" ht="15" customHeight="1" x14ac:dyDescent="0.3">
      <c r="C296" s="593">
        <f ca="1">+'Stock Data'!AM107</f>
        <v>45848</v>
      </c>
      <c r="D296" s="568">
        <f ca="1">_xlfn.XLOOKUP(C296,'Stock Data'!$AM$4:$AM$1051,'Stock Data'!$AN$4:$AN$1051)</f>
        <v>221.66</v>
      </c>
    </row>
    <row r="297" spans="3:4" ht="15" customHeight="1" x14ac:dyDescent="0.3">
      <c r="C297" s="593">
        <f ca="1">+'Stock Data'!AM108</f>
        <v>45847</v>
      </c>
      <c r="D297" s="568">
        <f ca="1">_xlfn.XLOOKUP(C297,'Stock Data'!$AM$4:$AM$1051,'Stock Data'!$AN$4:$AN$1051)</f>
        <v>221.66</v>
      </c>
    </row>
    <row r="298" spans="3:4" ht="15" customHeight="1" x14ac:dyDescent="0.3">
      <c r="C298" s="593">
        <f ca="1">+'Stock Data'!AM109</f>
        <v>45846</v>
      </c>
      <c r="D298" s="568">
        <f ca="1">_xlfn.XLOOKUP(C298,'Stock Data'!$AM$4:$AM$1051,'Stock Data'!$AN$4:$AN$1051)</f>
        <v>221.66</v>
      </c>
    </row>
    <row r="299" spans="3:4" ht="15" customHeight="1" x14ac:dyDescent="0.3">
      <c r="C299" s="593">
        <f ca="1">+'Stock Data'!AM110</f>
        <v>45845</v>
      </c>
      <c r="D299" s="568">
        <f ca="1">_xlfn.XLOOKUP(C299,'Stock Data'!$AM$4:$AM$1051,'Stock Data'!$AN$4:$AN$1051)</f>
        <v>222.51</v>
      </c>
    </row>
    <row r="300" spans="3:4" ht="15" customHeight="1" x14ac:dyDescent="0.3">
      <c r="C300" s="593">
        <f ca="1">+'Stock Data'!AM111</f>
        <v>45844</v>
      </c>
      <c r="D300" s="568">
        <f ca="1">_xlfn.XLOOKUP(C300,'Stock Data'!$AM$4:$AM$1051,'Stock Data'!$AN$4:$AN$1051)</f>
        <v>222.18</v>
      </c>
    </row>
    <row r="301" spans="3:4" ht="15" customHeight="1" x14ac:dyDescent="0.3">
      <c r="C301" s="593">
        <f ca="1">+'Stock Data'!AM112</f>
        <v>45843</v>
      </c>
      <c r="D301" s="568">
        <f ca="1">_xlfn.XLOOKUP(C301,'Stock Data'!$AM$4:$AM$1051,'Stock Data'!$AN$4:$AN$1051)</f>
        <v>224.35</v>
      </c>
    </row>
    <row r="302" spans="3:4" ht="15" customHeight="1" x14ac:dyDescent="0.3">
      <c r="C302" s="593">
        <f ca="1">+'Stock Data'!AM113</f>
        <v>45842</v>
      </c>
      <c r="D302" s="568">
        <f ca="1">_xlfn.XLOOKUP(C302,'Stock Data'!$AM$4:$AM$1051,'Stock Data'!$AN$4:$AN$1051)</f>
        <v>222.11</v>
      </c>
    </row>
    <row r="303" spans="3:4" ht="15" customHeight="1" x14ac:dyDescent="0.3">
      <c r="C303" s="593">
        <f ca="1">+'Stock Data'!AM114</f>
        <v>45841</v>
      </c>
      <c r="D303" s="568">
        <f ca="1">_xlfn.XLOOKUP(C303,'Stock Data'!$AM$4:$AM$1051,'Stock Data'!$AN$4:$AN$1051)</f>
        <v>222.11</v>
      </c>
    </row>
    <row r="304" spans="3:4" ht="15" customHeight="1" x14ac:dyDescent="0.3">
      <c r="C304" s="593">
        <f ca="1">+'Stock Data'!AM115</f>
        <v>45840</v>
      </c>
      <c r="D304" s="568">
        <f ca="1">_xlfn.XLOOKUP(C304,'Stock Data'!$AM$4:$AM$1051,'Stock Data'!$AN$4:$AN$1051)</f>
        <v>222.11</v>
      </c>
    </row>
    <row r="305" spans="3:4" ht="15" customHeight="1" x14ac:dyDescent="0.3">
      <c r="C305" s="593">
        <f ca="1">+'Stock Data'!AM116</f>
        <v>45839</v>
      </c>
      <c r="D305" s="568">
        <f ca="1">_xlfn.XLOOKUP(C305,'Stock Data'!$AM$4:$AM$1051,'Stock Data'!$AN$4:$AN$1051)</f>
        <v>222.11</v>
      </c>
    </row>
    <row r="306" spans="3:4" ht="15" customHeight="1" x14ac:dyDescent="0.3">
      <c r="C306" s="593">
        <f ca="1">+'Stock Data'!AM117</f>
        <v>45838</v>
      </c>
      <c r="D306" s="568">
        <f ca="1">_xlfn.XLOOKUP(C306,'Stock Data'!$AM$4:$AM$1051,'Stock Data'!$AN$4:$AN$1051)</f>
        <v>222.87</v>
      </c>
    </row>
    <row r="307" spans="3:4" ht="15" customHeight="1" x14ac:dyDescent="0.3">
      <c r="C307" s="593">
        <f ca="1">+'Stock Data'!AM118</f>
        <v>45837</v>
      </c>
      <c r="D307" s="568">
        <f ca="1">_xlfn.XLOOKUP(C307,'Stock Data'!$AM$4:$AM$1051,'Stock Data'!$AN$4:$AN$1051)</f>
        <v>223.62</v>
      </c>
    </row>
    <row r="308" spans="3:4" ht="15" customHeight="1" x14ac:dyDescent="0.3">
      <c r="C308" s="593">
        <f ca="1">+'Stock Data'!AM119</f>
        <v>45836</v>
      </c>
      <c r="D308" s="568">
        <f ca="1">_xlfn.XLOOKUP(C308,'Stock Data'!$AM$4:$AM$1051,'Stock Data'!$AN$4:$AN$1051)</f>
        <v>228.33</v>
      </c>
    </row>
    <row r="309" spans="3:4" ht="15" customHeight="1" x14ac:dyDescent="0.3">
      <c r="C309" s="593">
        <f ca="1">+'Stock Data'!AM120</f>
        <v>45835</v>
      </c>
      <c r="D309" s="568">
        <f ca="1">_xlfn.XLOOKUP(C309,'Stock Data'!$AM$4:$AM$1051,'Stock Data'!$AN$4:$AN$1051)</f>
        <v>229.5</v>
      </c>
    </row>
    <row r="310" spans="3:4" ht="15" customHeight="1" x14ac:dyDescent="0.3">
      <c r="C310" s="593">
        <f ca="1">+'Stock Data'!AM121</f>
        <v>45834</v>
      </c>
      <c r="D310" s="568">
        <f ca="1">_xlfn.XLOOKUP(C310,'Stock Data'!$AM$4:$AM$1051,'Stock Data'!$AN$4:$AN$1051)</f>
        <v>231.42</v>
      </c>
    </row>
    <row r="311" spans="3:4" ht="15" customHeight="1" x14ac:dyDescent="0.3">
      <c r="C311" s="593">
        <f ca="1">+'Stock Data'!AM122</f>
        <v>45833</v>
      </c>
      <c r="D311" s="568">
        <f ca="1">_xlfn.XLOOKUP(C311,'Stock Data'!$AM$4:$AM$1051,'Stock Data'!$AN$4:$AN$1051)</f>
        <v>231.42</v>
      </c>
    </row>
    <row r="312" spans="3:4" ht="15" customHeight="1" x14ac:dyDescent="0.3">
      <c r="C312" s="593">
        <f ca="1">+'Stock Data'!AM123</f>
        <v>45832</v>
      </c>
      <c r="D312" s="568">
        <f ca="1">_xlfn.XLOOKUP(C312,'Stock Data'!$AM$4:$AM$1051,'Stock Data'!$AN$4:$AN$1051)</f>
        <v>231.42</v>
      </c>
    </row>
    <row r="313" spans="3:4" ht="15" customHeight="1" x14ac:dyDescent="0.3">
      <c r="C313" s="593">
        <f ca="1">+'Stock Data'!AM124</f>
        <v>45831</v>
      </c>
      <c r="D313" s="568">
        <f ca="1">_xlfn.XLOOKUP(C313,'Stock Data'!$AM$4:$AM$1051,'Stock Data'!$AN$4:$AN$1051)</f>
        <v>230.85</v>
      </c>
    </row>
    <row r="314" spans="3:4" ht="15" customHeight="1" x14ac:dyDescent="0.3">
      <c r="C314" s="593">
        <f ca="1">+'Stock Data'!AM125</f>
        <v>45830</v>
      </c>
      <c r="D314" s="568">
        <f ca="1">_xlfn.XLOOKUP(C314,'Stock Data'!$AM$4:$AM$1051,'Stock Data'!$AN$4:$AN$1051)</f>
        <v>228.34</v>
      </c>
    </row>
    <row r="315" spans="3:4" ht="15" customHeight="1" x14ac:dyDescent="0.3">
      <c r="C315" s="593">
        <f ca="1">+'Stock Data'!AM126</f>
        <v>45829</v>
      </c>
      <c r="D315" s="568">
        <f ca="1">_xlfn.XLOOKUP(C315,'Stock Data'!$AM$4:$AM$1051,'Stock Data'!$AN$4:$AN$1051)</f>
        <v>228.25</v>
      </c>
    </row>
    <row r="316" spans="3:4" ht="15" customHeight="1" x14ac:dyDescent="0.3">
      <c r="C316" s="593">
        <f ca="1">+'Stock Data'!AM127</f>
        <v>45828</v>
      </c>
      <c r="D316" s="568">
        <f ca="1">_xlfn.XLOOKUP(C316,'Stock Data'!$AM$4:$AM$1051,'Stock Data'!$AN$4:$AN$1051)</f>
        <v>230.87</v>
      </c>
    </row>
    <row r="317" spans="3:4" ht="15" customHeight="1" x14ac:dyDescent="0.3">
      <c r="C317" s="593">
        <f ca="1">+'Stock Data'!AM128</f>
        <v>45827</v>
      </c>
      <c r="D317" s="568">
        <f ca="1">_xlfn.XLOOKUP(C317,'Stock Data'!$AM$4:$AM$1051,'Stock Data'!$AN$4:$AN$1051)</f>
        <v>216.32</v>
      </c>
    </row>
    <row r="318" spans="3:4" ht="15" customHeight="1" x14ac:dyDescent="0.3">
      <c r="C318" s="593">
        <f ca="1">+'Stock Data'!AM129</f>
        <v>45826</v>
      </c>
      <c r="D318" s="568">
        <f ca="1">_xlfn.XLOOKUP(C318,'Stock Data'!$AM$4:$AM$1051,'Stock Data'!$AN$4:$AN$1051)</f>
        <v>216.32</v>
      </c>
    </row>
    <row r="319" spans="3:4" ht="15" customHeight="1" x14ac:dyDescent="0.3">
      <c r="C319" s="593">
        <f ca="1">+'Stock Data'!AM130</f>
        <v>45825</v>
      </c>
      <c r="D319" s="568">
        <f ca="1">_xlfn.XLOOKUP(C319,'Stock Data'!$AM$4:$AM$1051,'Stock Data'!$AN$4:$AN$1051)</f>
        <v>216.32</v>
      </c>
    </row>
    <row r="320" spans="3:4" ht="15" customHeight="1" x14ac:dyDescent="0.3">
      <c r="C320" s="593">
        <f ca="1">+'Stock Data'!AM131</f>
        <v>45824</v>
      </c>
      <c r="D320" s="568">
        <f ca="1">_xlfn.XLOOKUP(C320,'Stock Data'!$AM$4:$AM$1051,'Stock Data'!$AN$4:$AN$1051)</f>
        <v>216.84</v>
      </c>
    </row>
    <row r="321" spans="3:4" ht="15" customHeight="1" x14ac:dyDescent="0.3">
      <c r="C321" s="593">
        <f ca="1">+'Stock Data'!AM132</f>
        <v>45823</v>
      </c>
      <c r="D321" s="568">
        <f ca="1">_xlfn.XLOOKUP(C321,'Stock Data'!$AM$4:$AM$1051,'Stock Data'!$AN$4:$AN$1051)</f>
        <v>213.85</v>
      </c>
    </row>
    <row r="322" spans="3:4" ht="15" customHeight="1" x14ac:dyDescent="0.3">
      <c r="C322" s="593">
        <f ca="1">+'Stock Data'!AM133</f>
        <v>45822</v>
      </c>
      <c r="D322" s="568">
        <f ca="1">_xlfn.XLOOKUP(C322,'Stock Data'!$AM$4:$AM$1051,'Stock Data'!$AN$4:$AN$1051)</f>
        <v>213.2</v>
      </c>
    </row>
    <row r="323" spans="3:4" ht="15" customHeight="1" x14ac:dyDescent="0.3">
      <c r="C323" s="593">
        <f ca="1">+'Stock Data'!AM134</f>
        <v>45821</v>
      </c>
      <c r="D323" s="568">
        <f ca="1">_xlfn.XLOOKUP(C323,'Stock Data'!$AM$4:$AM$1051,'Stock Data'!$AN$4:$AN$1051)</f>
        <v>216.53</v>
      </c>
    </row>
    <row r="324" spans="3:4" ht="15" customHeight="1" x14ac:dyDescent="0.3">
      <c r="C324" s="593">
        <f ca="1">+'Stock Data'!AM135</f>
        <v>45820</v>
      </c>
      <c r="D324" s="568">
        <f ca="1">_xlfn.XLOOKUP(C324,'Stock Data'!$AM$4:$AM$1051,'Stock Data'!$AN$4:$AN$1051)</f>
        <v>218.29</v>
      </c>
    </row>
    <row r="325" spans="3:4" ht="15" customHeight="1" x14ac:dyDescent="0.3">
      <c r="C325" s="593">
        <f ca="1">+'Stock Data'!AM136</f>
        <v>45819</v>
      </c>
      <c r="D325" s="568">
        <f ca="1">_xlfn.XLOOKUP(C325,'Stock Data'!$AM$4:$AM$1051,'Stock Data'!$AN$4:$AN$1051)</f>
        <v>218.29</v>
      </c>
    </row>
    <row r="326" spans="3:4" ht="15" customHeight="1" x14ac:dyDescent="0.3">
      <c r="C326" s="593">
        <f ca="1">+'Stock Data'!AM137</f>
        <v>45818</v>
      </c>
      <c r="D326" s="568">
        <f ca="1">_xlfn.XLOOKUP(C326,'Stock Data'!$AM$4:$AM$1051,'Stock Data'!$AN$4:$AN$1051)</f>
        <v>218.29</v>
      </c>
    </row>
    <row r="327" spans="3:4" ht="15" customHeight="1" x14ac:dyDescent="0.3">
      <c r="C327" s="593">
        <f ca="1">+'Stock Data'!AM138</f>
        <v>45817</v>
      </c>
      <c r="D327" s="568">
        <f ca="1">_xlfn.XLOOKUP(C327,'Stock Data'!$AM$4:$AM$1051,'Stock Data'!$AN$4:$AN$1051)</f>
        <v>214.08</v>
      </c>
    </row>
    <row r="328" spans="3:4" ht="15" customHeight="1" x14ac:dyDescent="0.3">
      <c r="C328" s="593">
        <f ca="1">+'Stock Data'!AM139</f>
        <v>45816</v>
      </c>
      <c r="D328" s="568">
        <f ca="1">_xlfn.XLOOKUP(C328,'Stock Data'!$AM$4:$AM$1051,'Stock Data'!$AN$4:$AN$1051)</f>
        <v>215.66</v>
      </c>
    </row>
    <row r="329" spans="3:4" ht="15" customHeight="1" x14ac:dyDescent="0.3">
      <c r="C329" s="593">
        <f ca="1">+'Stock Data'!AM140</f>
        <v>45815</v>
      </c>
      <c r="D329" s="568">
        <f ca="1">_xlfn.XLOOKUP(C329,'Stock Data'!$AM$4:$AM$1051,'Stock Data'!$AN$4:$AN$1051)</f>
        <v>214.54</v>
      </c>
    </row>
    <row r="330" spans="3:4" ht="15" customHeight="1" x14ac:dyDescent="0.3">
      <c r="C330" s="593">
        <f ca="1">+'Stock Data'!AM141</f>
        <v>45814</v>
      </c>
      <c r="D330" s="568">
        <f ca="1">_xlfn.XLOOKUP(C330,'Stock Data'!$AM$4:$AM$1051,'Stock Data'!$AN$4:$AN$1051)</f>
        <v>212.61</v>
      </c>
    </row>
    <row r="331" spans="3:4" ht="15" customHeight="1" x14ac:dyDescent="0.3">
      <c r="C331" s="593">
        <f ca="1">+'Stock Data'!AM142</f>
        <v>45813</v>
      </c>
      <c r="D331" s="568">
        <f ca="1">_xlfn.XLOOKUP(C331,'Stock Data'!$AM$4:$AM$1051,'Stock Data'!$AN$4:$AN$1051)</f>
        <v>213.29</v>
      </c>
    </row>
    <row r="332" spans="3:4" ht="15" customHeight="1" x14ac:dyDescent="0.3">
      <c r="C332" s="593">
        <f ca="1">+'Stock Data'!AM143</f>
        <v>45812</v>
      </c>
      <c r="D332" s="568">
        <f ca="1">_xlfn.XLOOKUP(C332,'Stock Data'!$AM$4:$AM$1051,'Stock Data'!$AN$4:$AN$1051)</f>
        <v>213.29</v>
      </c>
    </row>
    <row r="333" spans="3:4" ht="15" customHeight="1" x14ac:dyDescent="0.3">
      <c r="C333" s="593">
        <f ca="1">+'Stock Data'!AM144</f>
        <v>45811</v>
      </c>
      <c r="D333" s="568">
        <f ca="1">_xlfn.XLOOKUP(C333,'Stock Data'!$AM$4:$AM$1051,'Stock Data'!$AN$4:$AN$1051)</f>
        <v>213.29</v>
      </c>
    </row>
    <row r="334" spans="3:4" ht="15" customHeight="1" x14ac:dyDescent="0.3">
      <c r="C334" s="593">
        <f ca="1">+'Stock Data'!AM145</f>
        <v>45810</v>
      </c>
      <c r="D334" s="568">
        <f ca="1">_xlfn.XLOOKUP(C334,'Stock Data'!$AM$4:$AM$1051,'Stock Data'!$AN$4:$AN$1051)</f>
        <v>215.45</v>
      </c>
    </row>
    <row r="335" spans="3:4" ht="15" customHeight="1" x14ac:dyDescent="0.3">
      <c r="C335" s="593">
        <f ca="1">+'Stock Data'!AM146</f>
        <v>45809</v>
      </c>
      <c r="D335" s="568">
        <f ca="1">_xlfn.XLOOKUP(C335,'Stock Data'!$AM$4:$AM$1051,'Stock Data'!$AN$4:$AN$1051)</f>
        <v>219.78</v>
      </c>
    </row>
    <row r="336" spans="3:4" ht="15" customHeight="1" x14ac:dyDescent="0.3">
      <c r="C336" s="593">
        <f ca="1">+'Stock Data'!AM147</f>
        <v>45808</v>
      </c>
      <c r="D336" s="568">
        <f ca="1">_xlfn.XLOOKUP(C336,'Stock Data'!$AM$4:$AM$1051,'Stock Data'!$AN$4:$AN$1051)</f>
        <v>216.9</v>
      </c>
    </row>
    <row r="337" spans="3:4" ht="15" customHeight="1" x14ac:dyDescent="0.3">
      <c r="C337" s="593">
        <f ca="1">+'Stock Data'!AM148</f>
        <v>45807</v>
      </c>
      <c r="D337" s="568">
        <f ca="1">_xlfn.XLOOKUP(C337,'Stock Data'!$AM$4:$AM$1051,'Stock Data'!$AN$4:$AN$1051)</f>
        <v>216.05</v>
      </c>
    </row>
    <row r="338" spans="3:4" ht="15" customHeight="1" x14ac:dyDescent="0.3">
      <c r="C338" s="593">
        <f ca="1">+'Stock Data'!AM149</f>
        <v>45806</v>
      </c>
      <c r="D338" s="568">
        <f ca="1">_xlfn.XLOOKUP(C338,'Stock Data'!$AM$4:$AM$1051,'Stock Data'!$AN$4:$AN$1051)</f>
        <v>220.26</v>
      </c>
    </row>
    <row r="339" spans="3:4" ht="15" customHeight="1" x14ac:dyDescent="0.3">
      <c r="C339" s="593">
        <f ca="1">+'Stock Data'!AM150</f>
        <v>45805</v>
      </c>
      <c r="D339" s="568">
        <f ca="1">_xlfn.XLOOKUP(C339,'Stock Data'!$AM$4:$AM$1051,'Stock Data'!$AN$4:$AN$1051)</f>
        <v>220.26</v>
      </c>
    </row>
    <row r="340" spans="3:4" ht="15" customHeight="1" x14ac:dyDescent="0.3">
      <c r="C340" s="593">
        <f ca="1">+'Stock Data'!AM151</f>
        <v>45804</v>
      </c>
      <c r="D340" s="568">
        <f ca="1">_xlfn.XLOOKUP(C340,'Stock Data'!$AM$4:$AM$1051,'Stock Data'!$AN$4:$AN$1051)</f>
        <v>220.26</v>
      </c>
    </row>
    <row r="341" spans="3:4" ht="15" customHeight="1" x14ac:dyDescent="0.3">
      <c r="C341" s="593">
        <f ca="1">+'Stock Data'!AM152</f>
        <v>45803</v>
      </c>
      <c r="D341" s="568">
        <f ca="1">_xlfn.XLOOKUP(C341,'Stock Data'!$AM$4:$AM$1051,'Stock Data'!$AN$4:$AN$1051)</f>
        <v>220.26</v>
      </c>
    </row>
    <row r="342" spans="3:4" ht="15" customHeight="1" x14ac:dyDescent="0.3">
      <c r="C342" s="593">
        <f ca="1">+'Stock Data'!AM153</f>
        <v>45802</v>
      </c>
      <c r="D342" s="568">
        <f ca="1">_xlfn.XLOOKUP(C342,'Stock Data'!$AM$4:$AM$1051,'Stock Data'!$AN$4:$AN$1051)</f>
        <v>216.6</v>
      </c>
    </row>
    <row r="343" spans="3:4" ht="15" customHeight="1" x14ac:dyDescent="0.3">
      <c r="C343" s="593">
        <f ca="1">+'Stock Data'!AM154</f>
        <v>45801</v>
      </c>
      <c r="D343" s="568">
        <f ca="1">_xlfn.XLOOKUP(C343,'Stock Data'!$AM$4:$AM$1051,'Stock Data'!$AN$4:$AN$1051)</f>
        <v>220.08</v>
      </c>
    </row>
    <row r="344" spans="3:4" ht="15" customHeight="1" x14ac:dyDescent="0.3">
      <c r="C344" s="593">
        <f ca="1">+'Stock Data'!AM155</f>
        <v>45800</v>
      </c>
      <c r="D344" s="568">
        <f ca="1">_xlfn.XLOOKUP(C344,'Stock Data'!$AM$4:$AM$1051,'Stock Data'!$AN$4:$AN$1051)</f>
        <v>222.27</v>
      </c>
    </row>
    <row r="345" spans="3:4" ht="15" customHeight="1" x14ac:dyDescent="0.3">
      <c r="C345" s="593">
        <f ca="1">+'Stock Data'!AM156</f>
        <v>45799</v>
      </c>
      <c r="D345" s="568">
        <f ca="1">_xlfn.XLOOKUP(C345,'Stock Data'!$AM$4:$AM$1051,'Stock Data'!$AN$4:$AN$1051)</f>
        <v>218.59</v>
      </c>
    </row>
    <row r="346" spans="3:4" ht="15" customHeight="1" x14ac:dyDescent="0.3">
      <c r="C346" s="593">
        <f ca="1">+'Stock Data'!AM157</f>
        <v>45798</v>
      </c>
      <c r="D346" s="568">
        <f ca="1">_xlfn.XLOOKUP(C346,'Stock Data'!$AM$4:$AM$1051,'Stock Data'!$AN$4:$AN$1051)</f>
        <v>218.59</v>
      </c>
    </row>
    <row r="347" spans="3:4" ht="15" customHeight="1" x14ac:dyDescent="0.3">
      <c r="C347" s="593">
        <f ca="1">+'Stock Data'!AM158</f>
        <v>45797</v>
      </c>
      <c r="D347" s="568">
        <f ca="1">_xlfn.XLOOKUP(C347,'Stock Data'!$AM$4:$AM$1051,'Stock Data'!$AN$4:$AN$1051)</f>
        <v>218.59</v>
      </c>
    </row>
    <row r="348" spans="3:4" ht="15" customHeight="1" x14ac:dyDescent="0.3">
      <c r="C348" s="593">
        <f ca="1">+'Stock Data'!AM159</f>
        <v>45796</v>
      </c>
      <c r="D348" s="568">
        <f ca="1">_xlfn.XLOOKUP(C348,'Stock Data'!$AM$4:$AM$1051,'Stock Data'!$AN$4:$AN$1051)</f>
        <v>219.32</v>
      </c>
    </row>
    <row r="349" spans="3:4" ht="15" customHeight="1" x14ac:dyDescent="0.3">
      <c r="C349" s="593">
        <f ca="1">+'Stock Data'!AM160</f>
        <v>45795</v>
      </c>
      <c r="D349" s="568">
        <f ca="1">_xlfn.XLOOKUP(C349,'Stock Data'!$AM$4:$AM$1051,'Stock Data'!$AN$4:$AN$1051)</f>
        <v>223.53</v>
      </c>
    </row>
    <row r="350" spans="3:4" ht="15" customHeight="1" x14ac:dyDescent="0.3">
      <c r="C350" s="593">
        <f ca="1">+'Stock Data'!AM161</f>
        <v>45794</v>
      </c>
      <c r="D350" s="568">
        <f ca="1">_xlfn.XLOOKUP(C350,'Stock Data'!$AM$4:$AM$1051,'Stock Data'!$AN$4:$AN$1051)</f>
        <v>208.27</v>
      </c>
    </row>
    <row r="351" spans="3:4" ht="15" customHeight="1" x14ac:dyDescent="0.3">
      <c r="C351" s="593">
        <f ca="1">+'Stock Data'!AM162</f>
        <v>45793</v>
      </c>
      <c r="D351" s="568">
        <f ca="1">_xlfn.XLOOKUP(C351,'Stock Data'!$AM$4:$AM$1051,'Stock Data'!$AN$4:$AN$1051)</f>
        <v>209.97</v>
      </c>
    </row>
    <row r="352" spans="3:4" ht="15" customHeight="1" x14ac:dyDescent="0.3">
      <c r="C352" s="593">
        <f ca="1">+'Stock Data'!AM163</f>
        <v>45792</v>
      </c>
      <c r="D352" s="568">
        <f ca="1">_xlfn.XLOOKUP(C352,'Stock Data'!$AM$4:$AM$1051,'Stock Data'!$AN$4:$AN$1051)</f>
        <v>213.26</v>
      </c>
    </row>
    <row r="353" spans="3:4" ht="15" customHeight="1" x14ac:dyDescent="0.3">
      <c r="C353" s="593">
        <f ca="1">+'Stock Data'!AM164</f>
        <v>45791</v>
      </c>
      <c r="D353" s="568">
        <f ca="1">_xlfn.XLOOKUP(C353,'Stock Data'!$AM$4:$AM$1051,'Stock Data'!$AN$4:$AN$1051)</f>
        <v>213.26</v>
      </c>
    </row>
    <row r="354" spans="3:4" ht="15" customHeight="1" x14ac:dyDescent="0.3">
      <c r="C354" s="593">
        <f ca="1">+'Stock Data'!AM165</f>
        <v>45790</v>
      </c>
      <c r="D354" s="568">
        <f ca="1">_xlfn.XLOOKUP(C354,'Stock Data'!$AM$4:$AM$1051,'Stock Data'!$AN$4:$AN$1051)</f>
        <v>213.26</v>
      </c>
    </row>
    <row r="355" spans="3:4" ht="15" customHeight="1" x14ac:dyDescent="0.3">
      <c r="C355" s="593">
        <f ca="1">+'Stock Data'!AM166</f>
        <v>45789</v>
      </c>
      <c r="D355" s="568">
        <f ca="1">_xlfn.XLOOKUP(C355,'Stock Data'!$AM$4:$AM$1051,'Stock Data'!$AN$4:$AN$1051)</f>
        <v>223.97</v>
      </c>
    </row>
    <row r="356" spans="3:4" ht="15" customHeight="1" x14ac:dyDescent="0.3">
      <c r="C356" s="593">
        <f ca="1">+'Stock Data'!AM167</f>
        <v>45788</v>
      </c>
      <c r="D356" s="568">
        <f ca="1">_xlfn.XLOOKUP(C356,'Stock Data'!$AM$4:$AM$1051,'Stock Data'!$AN$4:$AN$1051)</f>
        <v>238.46</v>
      </c>
    </row>
    <row r="357" spans="3:4" ht="15" customHeight="1" x14ac:dyDescent="0.3">
      <c r="C357" s="593">
        <f ca="1">+'Stock Data'!AM168</f>
        <v>45787</v>
      </c>
      <c r="D357" s="568">
        <f ca="1">_xlfn.XLOOKUP(C357,'Stock Data'!$AM$4:$AM$1051,'Stock Data'!$AN$4:$AN$1051)</f>
        <v>237.17</v>
      </c>
    </row>
    <row r="358" spans="3:4" ht="15" customHeight="1" x14ac:dyDescent="0.3">
      <c r="C358" s="593">
        <f ca="1">+'Stock Data'!AM169</f>
        <v>45786</v>
      </c>
      <c r="D358" s="568">
        <f ca="1">_xlfn.XLOOKUP(C358,'Stock Data'!$AM$4:$AM$1051,'Stock Data'!$AN$4:$AN$1051)</f>
        <v>236.24</v>
      </c>
    </row>
    <row r="359" spans="3:4" ht="15" customHeight="1" x14ac:dyDescent="0.3">
      <c r="C359" s="593">
        <f ca="1">+'Stock Data'!AM170</f>
        <v>45785</v>
      </c>
      <c r="D359" s="568">
        <f ca="1">_xlfn.XLOOKUP(C359,'Stock Data'!$AM$4:$AM$1051,'Stock Data'!$AN$4:$AN$1051)</f>
        <v>232.15</v>
      </c>
    </row>
    <row r="360" spans="3:4" ht="15" customHeight="1" x14ac:dyDescent="0.3">
      <c r="C360" s="593">
        <f ca="1">+'Stock Data'!AM171</f>
        <v>45784</v>
      </c>
      <c r="D360" s="568">
        <f ca="1">_xlfn.XLOOKUP(C360,'Stock Data'!$AM$4:$AM$1051,'Stock Data'!$AN$4:$AN$1051)</f>
        <v>232.15</v>
      </c>
    </row>
    <row r="361" spans="3:4" ht="15" customHeight="1" x14ac:dyDescent="0.3">
      <c r="C361" s="593">
        <f ca="1">+'Stock Data'!AM172</f>
        <v>45783</v>
      </c>
      <c r="D361" s="568">
        <f ca="1">_xlfn.XLOOKUP(C361,'Stock Data'!$AM$4:$AM$1051,'Stock Data'!$AN$4:$AN$1051)</f>
        <v>232.15</v>
      </c>
    </row>
    <row r="362" spans="3:4" ht="15" customHeight="1" x14ac:dyDescent="0.3">
      <c r="C362" s="593">
        <f ca="1">+'Stock Data'!AM173</f>
        <v>45782</v>
      </c>
      <c r="D362" s="568">
        <f ca="1">_xlfn.XLOOKUP(C362,'Stock Data'!$AM$4:$AM$1051,'Stock Data'!$AN$4:$AN$1051)</f>
        <v>235.97</v>
      </c>
    </row>
    <row r="363" spans="3:4" ht="15" customHeight="1" x14ac:dyDescent="0.3">
      <c r="C363" s="593">
        <f ca="1">+'Stock Data'!AM174</f>
        <v>45781</v>
      </c>
      <c r="D363" s="568">
        <f ca="1">_xlfn.XLOOKUP(C363,'Stock Data'!$AM$4:$AM$1051,'Stock Data'!$AN$4:$AN$1051)</f>
        <v>238.03</v>
      </c>
    </row>
    <row r="364" spans="3:4" ht="15" customHeight="1" x14ac:dyDescent="0.3">
      <c r="C364" s="593">
        <f ca="1">+'Stock Data'!AM175</f>
        <v>45780</v>
      </c>
      <c r="D364" s="568">
        <f ca="1">_xlfn.XLOOKUP(C364,'Stock Data'!$AM$4:$AM$1051,'Stock Data'!$AN$4:$AN$1051)</f>
        <v>235.79</v>
      </c>
    </row>
    <row r="365" spans="3:4" ht="15" customHeight="1" x14ac:dyDescent="0.3">
      <c r="C365" s="593">
        <f ca="1">+'Stock Data'!AM176</f>
        <v>45779</v>
      </c>
      <c r="D365" s="568">
        <f ca="1">_xlfn.XLOOKUP(C365,'Stock Data'!$AM$4:$AM$1051,'Stock Data'!$AN$4:$AN$1051)</f>
        <v>235.2</v>
      </c>
    </row>
    <row r="366" spans="3:4" ht="15" customHeight="1" x14ac:dyDescent="0.3">
      <c r="C366" s="593">
        <f ca="1">+'Stock Data'!AM177</f>
        <v>45778</v>
      </c>
      <c r="D366" s="568">
        <f ca="1">_xlfn.XLOOKUP(C366,'Stock Data'!$AM$4:$AM$1051,'Stock Data'!$AN$4:$AN$1051)</f>
        <v>233.88</v>
      </c>
    </row>
    <row r="367" spans="3:4" ht="15" customHeight="1" x14ac:dyDescent="0.3">
      <c r="C367" s="593">
        <f ca="1">+'Stock Data'!AM178</f>
        <v>45777</v>
      </c>
      <c r="D367" s="568">
        <f ca="1">_xlfn.XLOOKUP(C367,'Stock Data'!$AM$4:$AM$1051,'Stock Data'!$AN$4:$AN$1051)</f>
        <v>233.88</v>
      </c>
    </row>
    <row r="368" spans="3:4" ht="15" customHeight="1" x14ac:dyDescent="0.3">
      <c r="C368" s="593">
        <f ca="1">+'Stock Data'!AM179</f>
        <v>45776</v>
      </c>
      <c r="D368" s="568">
        <f ca="1">_xlfn.XLOOKUP(C368,'Stock Data'!$AM$4:$AM$1051,'Stock Data'!$AN$4:$AN$1051)</f>
        <v>233.88</v>
      </c>
    </row>
    <row r="369" spans="3:4" ht="15" customHeight="1" x14ac:dyDescent="0.3">
      <c r="C369" s="593">
        <f ca="1">+'Stock Data'!AM180</f>
        <v>45775</v>
      </c>
      <c r="D369" s="568">
        <f ca="1">_xlfn.XLOOKUP(C369,'Stock Data'!$AM$4:$AM$1051,'Stock Data'!$AN$4:$AN$1051)</f>
        <v>234.79</v>
      </c>
    </row>
    <row r="370" spans="3:4" ht="15" customHeight="1" x14ac:dyDescent="0.3">
      <c r="C370" s="593">
        <f ca="1">+'Stock Data'!AM181</f>
        <v>45774</v>
      </c>
      <c r="D370" s="568">
        <f ca="1">_xlfn.XLOOKUP(C370,'Stock Data'!$AM$4:$AM$1051,'Stock Data'!$AN$4:$AN$1051)</f>
        <v>236.39</v>
      </c>
    </row>
    <row r="371" spans="3:4" ht="15" customHeight="1" x14ac:dyDescent="0.3">
      <c r="C371" s="593">
        <f ca="1">+'Stock Data'!AM182</f>
        <v>45773</v>
      </c>
      <c r="D371" s="568">
        <f ca="1">_xlfn.XLOOKUP(C371,'Stock Data'!$AM$4:$AM$1051,'Stock Data'!$AN$4:$AN$1051)</f>
        <v>237.09</v>
      </c>
    </row>
    <row r="372" spans="3:4" ht="15" customHeight="1" x14ac:dyDescent="0.3">
      <c r="C372" s="593">
        <f ca="1">+'Stock Data'!AM183</f>
        <v>45772</v>
      </c>
      <c r="D372" s="568">
        <f ca="1">_xlfn.XLOOKUP(C372,'Stock Data'!$AM$4:$AM$1051,'Stock Data'!$AN$4:$AN$1051)</f>
        <v>237.86</v>
      </c>
    </row>
    <row r="373" spans="3:4" ht="15" customHeight="1" x14ac:dyDescent="0.3">
      <c r="C373" s="593">
        <f ca="1">+'Stock Data'!AM184</f>
        <v>45771</v>
      </c>
      <c r="D373" s="568">
        <f ca="1">_xlfn.XLOOKUP(C373,'Stock Data'!$AM$4:$AM$1051,'Stock Data'!$AN$4:$AN$1051)</f>
        <v>237.53</v>
      </c>
    </row>
    <row r="374" spans="3:4" ht="15" customHeight="1" x14ac:dyDescent="0.3">
      <c r="C374" s="593">
        <f ca="1">+'Stock Data'!AM185</f>
        <v>45770</v>
      </c>
      <c r="D374" s="568">
        <f ca="1">_xlfn.XLOOKUP(C374,'Stock Data'!$AM$4:$AM$1051,'Stock Data'!$AN$4:$AN$1051)</f>
        <v>237.53</v>
      </c>
    </row>
    <row r="375" spans="3:4" ht="15" customHeight="1" x14ac:dyDescent="0.3">
      <c r="C375" s="593">
        <f ca="1">+'Stock Data'!AM186</f>
        <v>45769</v>
      </c>
      <c r="D375" s="568">
        <f ca="1">_xlfn.XLOOKUP(C375,'Stock Data'!$AM$4:$AM$1051,'Stock Data'!$AN$4:$AN$1051)</f>
        <v>237.53</v>
      </c>
    </row>
    <row r="376" spans="3:4" ht="15" customHeight="1" x14ac:dyDescent="0.3">
      <c r="C376" s="593">
        <f ca="1">+'Stock Data'!AM187</f>
        <v>45768</v>
      </c>
      <c r="D376" s="568">
        <f ca="1">_xlfn.XLOOKUP(C376,'Stock Data'!$AM$4:$AM$1051,'Stock Data'!$AN$4:$AN$1051)</f>
        <v>234.29</v>
      </c>
    </row>
    <row r="377" spans="3:4" ht="15" customHeight="1" x14ac:dyDescent="0.3">
      <c r="C377" s="593">
        <f ca="1">+'Stock Data'!AM188</f>
        <v>45767</v>
      </c>
      <c r="D377" s="568">
        <f ca="1">_xlfn.XLOOKUP(C377,'Stock Data'!$AM$4:$AM$1051,'Stock Data'!$AN$4:$AN$1051)</f>
        <v>237.49</v>
      </c>
    </row>
    <row r="378" spans="3:4" ht="15" customHeight="1" x14ac:dyDescent="0.3">
      <c r="C378" s="593">
        <f ca="1">+'Stock Data'!AM189</f>
        <v>45766</v>
      </c>
      <c r="D378" s="568">
        <f ca="1">_xlfn.XLOOKUP(C378,'Stock Data'!$AM$4:$AM$1051,'Stock Data'!$AN$4:$AN$1051)</f>
        <v>237.78</v>
      </c>
    </row>
    <row r="379" spans="3:4" ht="15" customHeight="1" x14ac:dyDescent="0.3">
      <c r="C379" s="593">
        <f ca="1">+'Stock Data'!AM190</f>
        <v>45765</v>
      </c>
      <c r="D379" s="568">
        <f ca="1">_xlfn.XLOOKUP(C379,'Stock Data'!$AM$4:$AM$1051,'Stock Data'!$AN$4:$AN$1051)</f>
        <v>248.29</v>
      </c>
    </row>
    <row r="380" spans="3:4" ht="15" customHeight="1" x14ac:dyDescent="0.3">
      <c r="C380" s="593">
        <f ca="1">+'Stock Data'!AM191</f>
        <v>45764</v>
      </c>
      <c r="D380" s="568">
        <f ca="1">_xlfn.XLOOKUP(C380,'Stock Data'!$AM$4:$AM$1051,'Stock Data'!$AN$4:$AN$1051)</f>
        <v>249.31</v>
      </c>
    </row>
    <row r="381" spans="3:4" ht="15" customHeight="1" x14ac:dyDescent="0.3">
      <c r="C381" s="593">
        <f ca="1">+'Stock Data'!AM192</f>
        <v>45763</v>
      </c>
      <c r="D381" s="568">
        <f ca="1">_xlfn.XLOOKUP(C381,'Stock Data'!$AM$4:$AM$1051,'Stock Data'!$AN$4:$AN$1051)</f>
        <v>249.31</v>
      </c>
    </row>
    <row r="382" spans="3:4" ht="15" customHeight="1" x14ac:dyDescent="0.3">
      <c r="C382" s="593">
        <f ca="1">+'Stock Data'!AM193</f>
        <v>45762</v>
      </c>
      <c r="D382" s="568">
        <f ca="1">_xlfn.XLOOKUP(C382,'Stock Data'!$AM$4:$AM$1051,'Stock Data'!$AN$4:$AN$1051)</f>
        <v>249.31</v>
      </c>
    </row>
    <row r="383" spans="3:4" ht="15" customHeight="1" x14ac:dyDescent="0.3">
      <c r="C383" s="593">
        <f ca="1">+'Stock Data'!AM194</f>
        <v>45761</v>
      </c>
      <c r="D383" s="568">
        <f ca="1">_xlfn.XLOOKUP(C383,'Stock Data'!$AM$4:$AM$1051,'Stock Data'!$AN$4:$AN$1051)</f>
        <v>245.27</v>
      </c>
    </row>
    <row r="384" spans="3:4" ht="15" customHeight="1" x14ac:dyDescent="0.3">
      <c r="C384" s="593">
        <f ca="1">+'Stock Data'!AM195</f>
        <v>45760</v>
      </c>
      <c r="D384" s="568">
        <f ca="1">_xlfn.XLOOKUP(C384,'Stock Data'!$AM$4:$AM$1051,'Stock Data'!$AN$4:$AN$1051)</f>
        <v>243.61</v>
      </c>
    </row>
    <row r="385" spans="3:4" ht="15" customHeight="1" x14ac:dyDescent="0.3">
      <c r="C385" s="593">
        <f ca="1">+'Stock Data'!AM196</f>
        <v>45759</v>
      </c>
      <c r="D385" s="568">
        <f ca="1">_xlfn.XLOOKUP(C385,'Stock Data'!$AM$4:$AM$1051,'Stock Data'!$AN$4:$AN$1051)</f>
        <v>241.52</v>
      </c>
    </row>
    <row r="386" spans="3:4" ht="15" customHeight="1" x14ac:dyDescent="0.3">
      <c r="C386" s="593">
        <f ca="1">+'Stock Data'!AM197</f>
        <v>45758</v>
      </c>
      <c r="D386" s="568">
        <f ca="1">_xlfn.XLOOKUP(C386,'Stock Data'!$AM$4:$AM$1051,'Stock Data'!$AN$4:$AN$1051)</f>
        <v>245.81</v>
      </c>
    </row>
    <row r="387" spans="3:4" ht="15" customHeight="1" x14ac:dyDescent="0.3">
      <c r="C387" s="593">
        <f ca="1">+'Stock Data'!AM198</f>
        <v>45757</v>
      </c>
      <c r="D387" s="568">
        <f ca="1">_xlfn.XLOOKUP(C387,'Stock Data'!$AM$4:$AM$1051,'Stock Data'!$AN$4:$AN$1051)</f>
        <v>246.69</v>
      </c>
    </row>
    <row r="388" spans="3:4" ht="15" customHeight="1" x14ac:dyDescent="0.3">
      <c r="C388" s="593">
        <f ca="1">+'Stock Data'!AM199</f>
        <v>45756</v>
      </c>
      <c r="D388" s="568">
        <f ca="1">_xlfn.XLOOKUP(C388,'Stock Data'!$AM$4:$AM$1051,'Stock Data'!$AN$4:$AN$1051)</f>
        <v>246.69</v>
      </c>
    </row>
    <row r="389" spans="3:4" ht="15" customHeight="1" x14ac:dyDescent="0.3">
      <c r="C389" s="593">
        <f ca="1">+'Stock Data'!AM200</f>
        <v>45755</v>
      </c>
      <c r="D389" s="568">
        <f ca="1">_xlfn.XLOOKUP(C389,'Stock Data'!$AM$4:$AM$1051,'Stock Data'!$AN$4:$AN$1051)</f>
        <v>246.69</v>
      </c>
    </row>
    <row r="390" spans="3:4" ht="15" customHeight="1" x14ac:dyDescent="0.3">
      <c r="C390" s="593">
        <f ca="1">+'Stock Data'!AM201</f>
        <v>45754</v>
      </c>
      <c r="D390" s="568">
        <f ca="1">_xlfn.XLOOKUP(C390,'Stock Data'!$AM$4:$AM$1051,'Stock Data'!$AN$4:$AN$1051)</f>
        <v>245.07</v>
      </c>
    </row>
    <row r="391" spans="3:4" ht="15" customHeight="1" x14ac:dyDescent="0.3">
      <c r="C391" s="593">
        <f ca="1">+'Stock Data'!AM202</f>
        <v>45753</v>
      </c>
      <c r="D391" s="568">
        <f ca="1">_xlfn.XLOOKUP(C391,'Stock Data'!$AM$4:$AM$1051,'Stock Data'!$AN$4:$AN$1051)</f>
        <v>245.48</v>
      </c>
    </row>
    <row r="392" spans="3:4" ht="15" customHeight="1" x14ac:dyDescent="0.3">
      <c r="C392" s="593">
        <f ca="1">+'Stock Data'!AM203</f>
        <v>45752</v>
      </c>
      <c r="D392" s="568">
        <f ca="1">_xlfn.XLOOKUP(C392,'Stock Data'!$AM$4:$AM$1051,'Stock Data'!$AN$4:$AN$1051)</f>
        <v>245.89</v>
      </c>
    </row>
    <row r="393" spans="3:4" ht="15" customHeight="1" x14ac:dyDescent="0.3">
      <c r="C393" s="593">
        <f ca="1">+'Stock Data'!AM204</f>
        <v>45751</v>
      </c>
      <c r="D393" s="568">
        <f ca="1">_xlfn.XLOOKUP(C393,'Stock Data'!$AM$4:$AM$1051,'Stock Data'!$AN$4:$AN$1051)</f>
        <v>242.33</v>
      </c>
    </row>
    <row r="394" spans="3:4" ht="15" customHeight="1" x14ac:dyDescent="0.3">
      <c r="C394" s="593">
        <f ca="1">+'Stock Data'!AM205</f>
        <v>45750</v>
      </c>
      <c r="D394" s="568">
        <f ca="1">_xlfn.XLOOKUP(C394,'Stock Data'!$AM$4:$AM$1051,'Stock Data'!$AN$4:$AN$1051)</f>
        <v>245.55</v>
      </c>
    </row>
    <row r="395" spans="3:4" ht="15" customHeight="1" x14ac:dyDescent="0.3">
      <c r="C395" s="593">
        <f ca="1">+'Stock Data'!AM206</f>
        <v>45749</v>
      </c>
      <c r="D395" s="568">
        <f ca="1">_xlfn.XLOOKUP(C395,'Stock Data'!$AM$4:$AM$1051,'Stock Data'!$AN$4:$AN$1051)</f>
        <v>245.55</v>
      </c>
    </row>
    <row r="396" spans="3:4" ht="15" customHeight="1" x14ac:dyDescent="0.3">
      <c r="C396" s="593">
        <f ca="1">+'Stock Data'!AM207</f>
        <v>45748</v>
      </c>
      <c r="D396" s="568">
        <f ca="1">_xlfn.XLOOKUP(C396,'Stock Data'!$AM$4:$AM$1051,'Stock Data'!$AN$4:$AN$1051)</f>
        <v>245.55</v>
      </c>
    </row>
    <row r="397" spans="3:4" ht="15" customHeight="1" x14ac:dyDescent="0.3">
      <c r="C397" s="593">
        <f ca="1">+'Stock Data'!AM208</f>
        <v>45747</v>
      </c>
      <c r="D397" s="568">
        <f ca="1">_xlfn.XLOOKUP(C397,'Stock Data'!$AM$4:$AM$1051,'Stock Data'!$AN$4:$AN$1051)</f>
        <v>247.65</v>
      </c>
    </row>
    <row r="398" spans="3:4" ht="15" customHeight="1" x14ac:dyDescent="0.3">
      <c r="C398" s="593">
        <f ca="1">+'Stock Data'!AM209</f>
        <v>45746</v>
      </c>
      <c r="D398" s="568">
        <f ca="1">_xlfn.XLOOKUP(C398,'Stock Data'!$AM$4:$AM$1051,'Stock Data'!$AN$4:$AN$1051)</f>
        <v>247.06</v>
      </c>
    </row>
    <row r="399" spans="3:4" ht="15" customHeight="1" x14ac:dyDescent="0.3">
      <c r="C399" s="593">
        <f ca="1">+'Stock Data'!AM210</f>
        <v>45745</v>
      </c>
      <c r="D399" s="568">
        <f ca="1">_xlfn.XLOOKUP(C399,'Stock Data'!$AM$4:$AM$1051,'Stock Data'!$AN$4:$AN$1051)</f>
        <v>251.17</v>
      </c>
    </row>
    <row r="400" spans="3:4" ht="15" customHeight="1" x14ac:dyDescent="0.3">
      <c r="C400" s="593">
        <f ca="1">+'Stock Data'!AM211</f>
        <v>45744</v>
      </c>
      <c r="D400" s="568">
        <f ca="1">_xlfn.XLOOKUP(C400,'Stock Data'!$AM$4:$AM$1051,'Stock Data'!$AN$4:$AN$1051)</f>
        <v>249.22</v>
      </c>
    </row>
    <row r="401" spans="3:4" ht="15" customHeight="1" x14ac:dyDescent="0.3">
      <c r="C401" s="593">
        <f ca="1">+'Stock Data'!AM212</f>
        <v>45743</v>
      </c>
      <c r="D401" s="568">
        <f ca="1">_xlfn.XLOOKUP(C401,'Stock Data'!$AM$4:$AM$1051,'Stock Data'!$AN$4:$AN$1051)</f>
        <v>249.22</v>
      </c>
    </row>
    <row r="402" spans="3:4" ht="15" customHeight="1" x14ac:dyDescent="0.3">
      <c r="C402" s="593">
        <f ca="1">+'Stock Data'!AM213</f>
        <v>45742</v>
      </c>
      <c r="D402" s="568">
        <f ca="1">_xlfn.XLOOKUP(C402,'Stock Data'!$AM$4:$AM$1051,'Stock Data'!$AN$4:$AN$1051)</f>
        <v>249.22</v>
      </c>
    </row>
    <row r="403" spans="3:4" ht="15" customHeight="1" x14ac:dyDescent="0.3">
      <c r="C403" s="593">
        <f ca="1">+'Stock Data'!AM214</f>
        <v>45741</v>
      </c>
      <c r="D403" s="568">
        <f ca="1">_xlfn.XLOOKUP(C403,'Stock Data'!$AM$4:$AM$1051,'Stock Data'!$AN$4:$AN$1051)</f>
        <v>249.22</v>
      </c>
    </row>
    <row r="404" spans="3:4" ht="15" customHeight="1" x14ac:dyDescent="0.3">
      <c r="C404" s="593">
        <f ca="1">+'Stock Data'!AM215</f>
        <v>45740</v>
      </c>
      <c r="D404" s="568">
        <f ca="1">_xlfn.XLOOKUP(C404,'Stock Data'!$AM$4:$AM$1051,'Stock Data'!$AN$4:$AN$1051)</f>
        <v>250.97</v>
      </c>
    </row>
    <row r="405" spans="3:4" ht="15" customHeight="1" x14ac:dyDescent="0.3">
      <c r="C405" s="593">
        <f ca="1">+'Stock Data'!AM216</f>
        <v>45739</v>
      </c>
      <c r="D405" s="568">
        <f ca="1">_xlfn.XLOOKUP(C405,'Stock Data'!$AM$4:$AM$1051,'Stock Data'!$AN$4:$AN$1051)</f>
        <v>248.51</v>
      </c>
    </row>
    <row r="406" spans="3:4" ht="15" customHeight="1" x14ac:dyDescent="0.3">
      <c r="C406" s="593">
        <f ca="1">+'Stock Data'!AM217</f>
        <v>45738</v>
      </c>
      <c r="D406" s="568">
        <f ca="1">_xlfn.XLOOKUP(C406,'Stock Data'!$AM$4:$AM$1051,'Stock Data'!$AN$4:$AN$1051)</f>
        <v>247.73</v>
      </c>
    </row>
    <row r="407" spans="3:4" ht="15" customHeight="1" x14ac:dyDescent="0.3">
      <c r="C407" s="593">
        <f ca="1">+'Stock Data'!AM218</f>
        <v>45737</v>
      </c>
      <c r="D407" s="568">
        <f ca="1">_xlfn.XLOOKUP(C407,'Stock Data'!$AM$4:$AM$1051,'Stock Data'!$AN$4:$AN$1051)</f>
        <v>244.33</v>
      </c>
    </row>
    <row r="408" spans="3:4" ht="15" customHeight="1" x14ac:dyDescent="0.3">
      <c r="C408" s="593">
        <f ca="1">+'Stock Data'!AM219</f>
        <v>45736</v>
      </c>
      <c r="D408" s="568">
        <f ca="1">_xlfn.XLOOKUP(C408,'Stock Data'!$AM$4:$AM$1051,'Stock Data'!$AN$4:$AN$1051)</f>
        <v>242.08</v>
      </c>
    </row>
    <row r="409" spans="3:4" ht="15" customHeight="1" x14ac:dyDescent="0.3">
      <c r="C409" s="593">
        <f ca="1">+'Stock Data'!AM220</f>
        <v>45735</v>
      </c>
      <c r="D409" s="568">
        <f ca="1">_xlfn.XLOOKUP(C409,'Stock Data'!$AM$4:$AM$1051,'Stock Data'!$AN$4:$AN$1051)</f>
        <v>242.08</v>
      </c>
    </row>
    <row r="410" spans="3:4" ht="15" customHeight="1" x14ac:dyDescent="0.3">
      <c r="C410" s="593">
        <f ca="1">+'Stock Data'!AM221</f>
        <v>45734</v>
      </c>
      <c r="D410" s="568">
        <f ca="1">_xlfn.XLOOKUP(C410,'Stock Data'!$AM$4:$AM$1051,'Stock Data'!$AN$4:$AN$1051)</f>
        <v>242.08</v>
      </c>
    </row>
    <row r="411" spans="3:4" ht="15" customHeight="1" x14ac:dyDescent="0.3">
      <c r="C411" s="593">
        <f ca="1">+'Stock Data'!AM222</f>
        <v>45733</v>
      </c>
      <c r="D411" s="568">
        <f ca="1">_xlfn.XLOOKUP(C411,'Stock Data'!$AM$4:$AM$1051,'Stock Data'!$AN$4:$AN$1051)</f>
        <v>243.51</v>
      </c>
    </row>
    <row r="412" spans="3:4" ht="15" customHeight="1" x14ac:dyDescent="0.3">
      <c r="C412" s="593">
        <f ca="1">+'Stock Data'!AM223</f>
        <v>45732</v>
      </c>
      <c r="D412" s="568">
        <f ca="1">_xlfn.XLOOKUP(C412,'Stock Data'!$AM$4:$AM$1051,'Stock Data'!$AN$4:$AN$1051)</f>
        <v>244.48</v>
      </c>
    </row>
    <row r="413" spans="3:4" ht="15" customHeight="1" x14ac:dyDescent="0.3">
      <c r="C413" s="593">
        <f ca="1">+'Stock Data'!AM224</f>
        <v>45731</v>
      </c>
      <c r="D413" s="568">
        <f ca="1">_xlfn.XLOOKUP(C413,'Stock Data'!$AM$4:$AM$1051,'Stock Data'!$AN$4:$AN$1051)</f>
        <v>243.5</v>
      </c>
    </row>
    <row r="414" spans="3:4" ht="15" customHeight="1" x14ac:dyDescent="0.3">
      <c r="C414" s="593">
        <f ca="1">+'Stock Data'!AM225</f>
        <v>45730</v>
      </c>
      <c r="D414" s="568">
        <f ca="1">_xlfn.XLOOKUP(C414,'Stock Data'!$AM$4:$AM$1051,'Stock Data'!$AN$4:$AN$1051)</f>
        <v>243.02</v>
      </c>
    </row>
    <row r="415" spans="3:4" ht="15" customHeight="1" x14ac:dyDescent="0.3">
      <c r="C415" s="593">
        <f ca="1">+'Stock Data'!AM226</f>
        <v>45729</v>
      </c>
      <c r="D415" s="568">
        <f ca="1">_xlfn.XLOOKUP(C415,'Stock Data'!$AM$4:$AM$1051,'Stock Data'!$AN$4:$AN$1051)</f>
        <v>247.79</v>
      </c>
    </row>
    <row r="416" spans="3:4" ht="15" customHeight="1" x14ac:dyDescent="0.3">
      <c r="C416" s="593">
        <f ca="1">+'Stock Data'!AM227</f>
        <v>45728</v>
      </c>
      <c r="D416" s="568">
        <f ca="1">_xlfn.XLOOKUP(C416,'Stock Data'!$AM$4:$AM$1051,'Stock Data'!$AN$4:$AN$1051)</f>
        <v>247.79</v>
      </c>
    </row>
    <row r="417" spans="3:4" ht="15" customHeight="1" x14ac:dyDescent="0.3">
      <c r="C417" s="593">
        <f ca="1">+'Stock Data'!AM228</f>
        <v>45727</v>
      </c>
      <c r="D417" s="568">
        <f ca="1">_xlfn.XLOOKUP(C417,'Stock Data'!$AM$4:$AM$1051,'Stock Data'!$AN$4:$AN$1051)</f>
        <v>247.79</v>
      </c>
    </row>
    <row r="418" spans="3:4" ht="15" customHeight="1" x14ac:dyDescent="0.3">
      <c r="C418" s="593">
        <f ca="1">+'Stock Data'!AM229</f>
        <v>45726</v>
      </c>
      <c r="D418" s="568">
        <f ca="1">_xlfn.XLOOKUP(C418,'Stock Data'!$AM$4:$AM$1051,'Stock Data'!$AN$4:$AN$1051)</f>
        <v>249.92</v>
      </c>
    </row>
    <row r="419" spans="3:4" ht="15" customHeight="1" x14ac:dyDescent="0.3">
      <c r="C419" s="593">
        <f ca="1">+'Stock Data'!AM230</f>
        <v>45725</v>
      </c>
      <c r="D419" s="568">
        <f ca="1">_xlfn.XLOOKUP(C419,'Stock Data'!$AM$4:$AM$1051,'Stock Data'!$AN$4:$AN$1051)</f>
        <v>249.55</v>
      </c>
    </row>
    <row r="420" spans="3:4" ht="15" customHeight="1" x14ac:dyDescent="0.3">
      <c r="C420" s="593">
        <f ca="1">+'Stock Data'!AM231</f>
        <v>45724</v>
      </c>
      <c r="D420" s="568">
        <f ca="1">_xlfn.XLOOKUP(C420,'Stock Data'!$AM$4:$AM$1051,'Stock Data'!$AN$4:$AN$1051)</f>
        <v>249.16</v>
      </c>
    </row>
    <row r="421" spans="3:4" ht="15" customHeight="1" x14ac:dyDescent="0.3">
      <c r="C421" s="593">
        <f ca="1">+'Stock Data'!AM232</f>
        <v>45723</v>
      </c>
      <c r="D421" s="568">
        <f ca="1">_xlfn.XLOOKUP(C421,'Stock Data'!$AM$4:$AM$1051,'Stock Data'!$AN$4:$AN$1051)</f>
        <v>254.42</v>
      </c>
    </row>
    <row r="422" spans="3:4" ht="15" customHeight="1" x14ac:dyDescent="0.3">
      <c r="C422" s="593">
        <f ca="1">+'Stock Data'!AM233</f>
        <v>45722</v>
      </c>
      <c r="D422" s="568">
        <f ca="1">_xlfn.XLOOKUP(C422,'Stock Data'!$AM$4:$AM$1051,'Stock Data'!$AN$4:$AN$1051)</f>
        <v>248.78</v>
      </c>
    </row>
    <row r="423" spans="3:4" ht="15" customHeight="1" x14ac:dyDescent="0.3">
      <c r="C423" s="593">
        <f ca="1">+'Stock Data'!AM234</f>
        <v>45721</v>
      </c>
      <c r="D423" s="568">
        <f ca="1">_xlfn.XLOOKUP(C423,'Stock Data'!$AM$4:$AM$1051,'Stock Data'!$AN$4:$AN$1051)</f>
        <v>248.78</v>
      </c>
    </row>
    <row r="424" spans="3:4" ht="15" customHeight="1" x14ac:dyDescent="0.3">
      <c r="C424" s="593">
        <f ca="1">+'Stock Data'!AM235</f>
        <v>45720</v>
      </c>
      <c r="D424" s="568">
        <f ca="1">_xlfn.XLOOKUP(C424,'Stock Data'!$AM$4:$AM$1051,'Stock Data'!$AN$4:$AN$1051)</f>
        <v>248.78</v>
      </c>
    </row>
    <row r="425" spans="3:4" ht="15" customHeight="1" x14ac:dyDescent="0.3">
      <c r="C425" s="593">
        <f ca="1">+'Stock Data'!AM236</f>
        <v>45719</v>
      </c>
      <c r="D425" s="568">
        <f ca="1">_xlfn.XLOOKUP(C425,'Stock Data'!$AM$4:$AM$1051,'Stock Data'!$AN$4:$AN$1051)</f>
        <v>248.05</v>
      </c>
    </row>
    <row r="426" spans="3:4" ht="15" customHeight="1" x14ac:dyDescent="0.3">
      <c r="C426" s="593">
        <f ca="1">+'Stock Data'!AM237</f>
        <v>45718</v>
      </c>
      <c r="D426" s="568">
        <f ca="1">_xlfn.XLOOKUP(C426,'Stock Data'!$AM$4:$AM$1051,'Stock Data'!$AN$4:$AN$1051)</f>
        <v>235.8</v>
      </c>
    </row>
    <row r="427" spans="3:4" ht="15" customHeight="1" x14ac:dyDescent="0.3">
      <c r="C427" s="593">
        <f ca="1">+'Stock Data'!AM238</f>
        <v>45717</v>
      </c>
      <c r="D427" s="568">
        <f ca="1">_xlfn.XLOOKUP(C427,'Stock Data'!$AM$4:$AM$1051,'Stock Data'!$AN$4:$AN$1051)</f>
        <v>236.73</v>
      </c>
    </row>
    <row r="428" spans="3:4" ht="15" customHeight="1" x14ac:dyDescent="0.3">
      <c r="C428" s="593">
        <f ca="1">+'Stock Data'!AM239</f>
        <v>45716</v>
      </c>
      <c r="D428" s="568">
        <f ca="1">_xlfn.XLOOKUP(C428,'Stock Data'!$AM$4:$AM$1051,'Stock Data'!$AN$4:$AN$1051)</f>
        <v>234.26</v>
      </c>
    </row>
    <row r="429" spans="3:4" ht="15" customHeight="1" x14ac:dyDescent="0.3">
      <c r="C429" s="593">
        <f ca="1">+'Stock Data'!AM240</f>
        <v>45715</v>
      </c>
      <c r="D429" s="568">
        <f ca="1">_xlfn.XLOOKUP(C429,'Stock Data'!$AM$4:$AM$1051,'Stock Data'!$AN$4:$AN$1051)</f>
        <v>234.26</v>
      </c>
    </row>
    <row r="430" spans="3:4" ht="15" customHeight="1" x14ac:dyDescent="0.3">
      <c r="C430" s="593">
        <f ca="1">+'Stock Data'!AM241</f>
        <v>45714</v>
      </c>
      <c r="D430" s="568">
        <f ca="1">_xlfn.XLOOKUP(C430,'Stock Data'!$AM$4:$AM$1051,'Stock Data'!$AN$4:$AN$1051)</f>
        <v>234.26</v>
      </c>
    </row>
    <row r="431" spans="3:4" ht="15" customHeight="1" x14ac:dyDescent="0.3">
      <c r="C431" s="593">
        <f ca="1">+'Stock Data'!AM242</f>
        <v>45713</v>
      </c>
      <c r="D431" s="568">
        <f ca="1">_xlfn.XLOOKUP(C431,'Stock Data'!$AM$4:$AM$1051,'Stock Data'!$AN$4:$AN$1051)</f>
        <v>234.26</v>
      </c>
    </row>
    <row r="432" spans="3:4" ht="15" customHeight="1" x14ac:dyDescent="0.3">
      <c r="C432" s="593">
        <f ca="1">+'Stock Data'!AM243</f>
        <v>45712</v>
      </c>
      <c r="D432" s="568">
        <f ca="1">_xlfn.XLOOKUP(C432,'Stock Data'!$AM$4:$AM$1051,'Stock Data'!$AN$4:$AN$1051)</f>
        <v>234.89</v>
      </c>
    </row>
    <row r="433" spans="3:4" ht="15" customHeight="1" x14ac:dyDescent="0.3">
      <c r="C433" s="593">
        <f ca="1">+'Stock Data'!AM244</f>
        <v>45711</v>
      </c>
      <c r="D433" s="568">
        <f ca="1">_xlfn.XLOOKUP(C433,'Stock Data'!$AM$4:$AM$1051,'Stock Data'!$AN$4:$AN$1051)</f>
        <v>230.86</v>
      </c>
    </row>
    <row r="434" spans="3:4" ht="15" customHeight="1" x14ac:dyDescent="0.3">
      <c r="C434" s="593">
        <f ca="1">+'Stock Data'!AM245</f>
        <v>45710</v>
      </c>
      <c r="D434" s="568">
        <f ca="1">_xlfn.XLOOKUP(C434,'Stock Data'!$AM$4:$AM$1051,'Stock Data'!$AN$4:$AN$1051)</f>
        <v>229.38</v>
      </c>
    </row>
    <row r="435" spans="3:4" ht="15" customHeight="1" x14ac:dyDescent="0.3">
      <c r="C435" s="593">
        <f ca="1">+'Stock Data'!AM246</f>
        <v>45709</v>
      </c>
      <c r="D435" s="568">
        <f ca="1">_xlfn.XLOOKUP(C435,'Stock Data'!$AM$4:$AM$1051,'Stock Data'!$AN$4:$AN$1051)</f>
        <v>226.76</v>
      </c>
    </row>
    <row r="436" spans="3:4" ht="15" customHeight="1" x14ac:dyDescent="0.3">
      <c r="C436" s="593">
        <f ca="1">+'Stock Data'!AM247</f>
        <v>45708</v>
      </c>
      <c r="D436" s="568">
        <f ca="1">_xlfn.XLOOKUP(C436,'Stock Data'!$AM$4:$AM$1051,'Stock Data'!$AN$4:$AN$1051)</f>
        <v>225.21</v>
      </c>
    </row>
    <row r="437" spans="3:4" ht="15" customHeight="1" x14ac:dyDescent="0.3">
      <c r="C437" s="593">
        <f ca="1">+'Stock Data'!AM248</f>
        <v>45707</v>
      </c>
      <c r="D437" s="568">
        <f ca="1">_xlfn.XLOOKUP(C437,'Stock Data'!$AM$4:$AM$1051,'Stock Data'!$AN$4:$AN$1051)</f>
        <v>225.21</v>
      </c>
    </row>
    <row r="438" spans="3:4" ht="15" customHeight="1" x14ac:dyDescent="0.3">
      <c r="C438" s="593">
        <f ca="1">+'Stock Data'!AM249</f>
        <v>45706</v>
      </c>
      <c r="D438" s="568">
        <f ca="1">_xlfn.XLOOKUP(C438,'Stock Data'!$AM$4:$AM$1051,'Stock Data'!$AN$4:$AN$1051)</f>
        <v>225.21</v>
      </c>
    </row>
    <row r="439" spans="3:4" ht="15" customHeight="1" x14ac:dyDescent="0.3">
      <c r="C439" s="593">
        <f ca="1">+'Stock Data'!AM250</f>
        <v>45705</v>
      </c>
      <c r="D439" s="568">
        <f ca="1">_xlfn.XLOOKUP(C439,'Stock Data'!$AM$4:$AM$1051,'Stock Data'!$AN$4:$AN$1051)</f>
        <v>231.82</v>
      </c>
    </row>
    <row r="440" spans="3:4" ht="15" customHeight="1" x14ac:dyDescent="0.3">
      <c r="C440" s="593">
        <f ca="1">+'Stock Data'!AM251</f>
        <v>45704</v>
      </c>
      <c r="D440" s="568">
        <f ca="1">_xlfn.XLOOKUP(C440,'Stock Data'!$AM$4:$AM$1051,'Stock Data'!$AN$4:$AN$1051)</f>
        <v>231.82</v>
      </c>
    </row>
    <row r="441" spans="3:4" ht="15" customHeight="1" x14ac:dyDescent="0.3">
      <c r="C441" s="593">
        <f ca="1">+'Stock Data'!AM252</f>
        <v>45703</v>
      </c>
      <c r="D441" s="568">
        <f ca="1">_xlfn.XLOOKUP(C441,'Stock Data'!$AM$4:$AM$1051,'Stock Data'!$AN$4:$AN$1051)</f>
        <v>230.54</v>
      </c>
    </row>
    <row r="442" spans="3:4" ht="15" customHeight="1" x14ac:dyDescent="0.3">
      <c r="C442" s="593">
        <f ca="1">+'Stock Data'!AM253</f>
        <v>45702</v>
      </c>
      <c r="D442" s="568">
        <f ca="1">_xlfn.XLOOKUP(C442,'Stock Data'!$AM$4:$AM$1051,'Stock Data'!$AN$4:$AN$1051)</f>
        <v>230.01</v>
      </c>
    </row>
    <row r="443" spans="3:4" ht="15" customHeight="1" x14ac:dyDescent="0.3">
      <c r="C443" s="593">
        <f ca="1">+'Stock Data'!AM254</f>
        <v>45701</v>
      </c>
      <c r="D443" s="568">
        <f ca="1">_xlfn.XLOOKUP(C443,'Stock Data'!$AM$4:$AM$1051,'Stock Data'!$AN$4:$AN$1051)</f>
        <v>231.5</v>
      </c>
    </row>
    <row r="444" spans="3:4" ht="15" customHeight="1" x14ac:dyDescent="0.3">
      <c r="C444" s="593">
        <f ca="1">+'Stock Data'!AM255</f>
        <v>45700</v>
      </c>
      <c r="D444" s="568">
        <f ca="1">_xlfn.XLOOKUP(C444,'Stock Data'!$AM$4:$AM$1051,'Stock Data'!$AN$4:$AN$1051)</f>
        <v>231.5</v>
      </c>
    </row>
    <row r="445" spans="3:4" ht="15" customHeight="1" x14ac:dyDescent="0.3">
      <c r="C445" s="593">
        <f ca="1">+'Stock Data'!AM256</f>
        <v>45699</v>
      </c>
      <c r="D445" s="568">
        <f ca="1">_xlfn.XLOOKUP(C445,'Stock Data'!$AM$4:$AM$1051,'Stock Data'!$AN$4:$AN$1051)</f>
        <v>231.5</v>
      </c>
    </row>
    <row r="446" spans="3:4" ht="15" customHeight="1" x14ac:dyDescent="0.3">
      <c r="C446" s="593">
        <f ca="1">+'Stock Data'!AM257</f>
        <v>45698</v>
      </c>
      <c r="D446" s="568">
        <f ca="1">_xlfn.XLOOKUP(C446,'Stock Data'!$AM$4:$AM$1051,'Stock Data'!$AN$4:$AN$1051)</f>
        <v>229.12</v>
      </c>
    </row>
    <row r="447" spans="3:4" ht="15" customHeight="1" x14ac:dyDescent="0.3">
      <c r="C447" s="593">
        <f ca="1">+'Stock Data'!AM258</f>
        <v>45697</v>
      </c>
      <c r="D447" s="568">
        <f ca="1">_xlfn.XLOOKUP(C447,'Stock Data'!$AM$4:$AM$1051,'Stock Data'!$AN$4:$AN$1051)</f>
        <v>228.04</v>
      </c>
    </row>
    <row r="448" spans="3:4" ht="15" customHeight="1" x14ac:dyDescent="0.3">
      <c r="C448" s="593">
        <f ca="1">+'Stock Data'!AM259</f>
        <v>45696</v>
      </c>
      <c r="D448" s="568">
        <f ca="1">_xlfn.XLOOKUP(C448,'Stock Data'!$AM$4:$AM$1051,'Stock Data'!$AN$4:$AN$1051)</f>
        <v>228.04</v>
      </c>
    </row>
    <row r="449" spans="3:4" ht="15" customHeight="1" x14ac:dyDescent="0.3">
      <c r="C449" s="593">
        <f ca="1">+'Stock Data'!AM260</f>
        <v>45695</v>
      </c>
      <c r="D449" s="568">
        <f ca="1">_xlfn.XLOOKUP(C449,'Stock Data'!$AM$4:$AM$1051,'Stock Data'!$AN$4:$AN$1051)</f>
        <v>227.79</v>
      </c>
    </row>
    <row r="450" spans="3:4" ht="15" customHeight="1" x14ac:dyDescent="0.3">
      <c r="C450" s="593">
        <f ca="1">+'Stock Data'!AM261</f>
        <v>45694</v>
      </c>
      <c r="D450" s="568">
        <f ca="1">_xlfn.XLOOKUP(C450,'Stock Data'!$AM$4:$AM$1051,'Stock Data'!$AN$4:$AN$1051)</f>
        <v>229.93</v>
      </c>
    </row>
    <row r="451" spans="3:4" ht="15" customHeight="1" x14ac:dyDescent="0.3">
      <c r="C451" s="593">
        <f ca="1">+'Stock Data'!AM262</f>
        <v>45693</v>
      </c>
      <c r="D451" s="568">
        <f ca="1">_xlfn.XLOOKUP(C451,'Stock Data'!$AM$4:$AM$1051,'Stock Data'!$AN$4:$AN$1051)</f>
        <v>229.93</v>
      </c>
    </row>
    <row r="452" spans="3:4" ht="15" customHeight="1" x14ac:dyDescent="0.3">
      <c r="C452" s="593">
        <f ca="1">+'Stock Data'!AM263</f>
        <v>45692</v>
      </c>
      <c r="D452" s="568">
        <f ca="1">_xlfn.XLOOKUP(C452,'Stock Data'!$AM$4:$AM$1051,'Stock Data'!$AN$4:$AN$1051)</f>
        <v>229.93</v>
      </c>
    </row>
    <row r="453" spans="3:4" ht="15" customHeight="1" x14ac:dyDescent="0.3">
      <c r="C453" s="593">
        <f ca="1">+'Stock Data'!AM264</f>
        <v>45691</v>
      </c>
      <c r="D453" s="568">
        <f ca="1">_xlfn.XLOOKUP(C453,'Stock Data'!$AM$4:$AM$1051,'Stock Data'!$AN$4:$AN$1051)</f>
        <v>230.23</v>
      </c>
    </row>
    <row r="454" spans="3:4" ht="15" customHeight="1" x14ac:dyDescent="0.3">
      <c r="C454" s="593">
        <f ca="1">+'Stock Data'!AM265</f>
        <v>45690</v>
      </c>
      <c r="D454" s="568">
        <f ca="1">_xlfn.XLOOKUP(C454,'Stock Data'!$AM$4:$AM$1051,'Stock Data'!$AN$4:$AN$1051)</f>
        <v>229.75</v>
      </c>
    </row>
    <row r="455" spans="3:4" ht="15" customHeight="1" x14ac:dyDescent="0.3">
      <c r="C455" s="593">
        <f ca="1">+'Stock Data'!AM266</f>
        <v>45689</v>
      </c>
      <c r="D455" s="568">
        <f ca="1">_xlfn.XLOOKUP(C455,'Stock Data'!$AM$4:$AM$1051,'Stock Data'!$AN$4:$AN$1051)</f>
        <v>229.75</v>
      </c>
    </row>
    <row r="456" spans="3:4" ht="15" customHeight="1" x14ac:dyDescent="0.3">
      <c r="C456" s="593">
        <f ca="1">+'Stock Data'!AM267</f>
        <v>45688</v>
      </c>
      <c r="D456" s="568">
        <f ca="1">_xlfn.XLOOKUP(C456,'Stock Data'!$AM$4:$AM$1051,'Stock Data'!$AN$4:$AN$1051)</f>
        <v>227.13</v>
      </c>
    </row>
    <row r="457" spans="3:4" ht="15" customHeight="1" x14ac:dyDescent="0.3">
      <c r="C457" s="593">
        <f ca="1">+'Stock Data'!AM268</f>
        <v>45687</v>
      </c>
      <c r="D457" s="568">
        <f ca="1">_xlfn.XLOOKUP(C457,'Stock Data'!$AM$4:$AM$1051,'Stock Data'!$AN$4:$AN$1051)</f>
        <v>226.32</v>
      </c>
    </row>
    <row r="458" spans="3:4" ht="15" customHeight="1" x14ac:dyDescent="0.3">
      <c r="C458" s="593">
        <f ca="1">+'Stock Data'!AM269</f>
        <v>45686</v>
      </c>
      <c r="D458" s="568">
        <f ca="1">_xlfn.XLOOKUP(C458,'Stock Data'!$AM$4:$AM$1051,'Stock Data'!$AN$4:$AN$1051)</f>
        <v>226.32</v>
      </c>
    </row>
    <row r="459" spans="3:4" ht="15" customHeight="1" x14ac:dyDescent="0.3">
      <c r="C459" s="593">
        <f ca="1">+'Stock Data'!AM270</f>
        <v>45685</v>
      </c>
      <c r="D459" s="568">
        <f ca="1">_xlfn.XLOOKUP(C459,'Stock Data'!$AM$4:$AM$1051,'Stock Data'!$AN$4:$AN$1051)</f>
        <v>226.32</v>
      </c>
    </row>
    <row r="460" spans="3:4" ht="15" customHeight="1" x14ac:dyDescent="0.3">
      <c r="C460" s="593">
        <f ca="1">+'Stock Data'!AM271</f>
        <v>45684</v>
      </c>
      <c r="D460" s="568">
        <f ca="1">_xlfn.XLOOKUP(C460,'Stock Data'!$AM$4:$AM$1051,'Stock Data'!$AN$4:$AN$1051)</f>
        <v>223.15</v>
      </c>
    </row>
    <row r="461" spans="3:4" ht="15" customHeight="1" x14ac:dyDescent="0.3">
      <c r="C461" s="593">
        <f ca="1">+'Stock Data'!AM272</f>
        <v>45683</v>
      </c>
      <c r="D461" s="568">
        <f ca="1">_xlfn.XLOOKUP(C461,'Stock Data'!$AM$4:$AM$1051,'Stock Data'!$AN$4:$AN$1051)</f>
        <v>224.54</v>
      </c>
    </row>
    <row r="462" spans="3:4" ht="15" customHeight="1" x14ac:dyDescent="0.3">
      <c r="C462" s="593">
        <f ca="1">+'Stock Data'!AM273</f>
        <v>45682</v>
      </c>
      <c r="D462" s="568">
        <f ca="1">_xlfn.XLOOKUP(C462,'Stock Data'!$AM$4:$AM$1051,'Stock Data'!$AN$4:$AN$1051)</f>
        <v>229.88</v>
      </c>
    </row>
    <row r="463" spans="3:4" ht="15" customHeight="1" x14ac:dyDescent="0.3">
      <c r="C463" s="593">
        <f ca="1">+'Stock Data'!AM274</f>
        <v>45681</v>
      </c>
      <c r="D463" s="568">
        <f ca="1">_xlfn.XLOOKUP(C463,'Stock Data'!$AM$4:$AM$1051,'Stock Data'!$AN$4:$AN$1051)</f>
        <v>232.89</v>
      </c>
    </row>
    <row r="464" spans="3:4" ht="15" customHeight="1" x14ac:dyDescent="0.3">
      <c r="C464" s="593">
        <f ca="1">+'Stock Data'!AM275</f>
        <v>45680</v>
      </c>
      <c r="D464" s="568">
        <f ca="1">_xlfn.XLOOKUP(C464,'Stock Data'!$AM$4:$AM$1051,'Stock Data'!$AN$4:$AN$1051)</f>
        <v>234.98</v>
      </c>
    </row>
    <row r="465" spans="3:4" ht="15" customHeight="1" x14ac:dyDescent="0.3">
      <c r="C465" s="593">
        <f ca="1">+'Stock Data'!AM276</f>
        <v>45679</v>
      </c>
      <c r="D465" s="568">
        <f ca="1">_xlfn.XLOOKUP(C465,'Stock Data'!$AM$4:$AM$1051,'Stock Data'!$AN$4:$AN$1051)</f>
        <v>234.98</v>
      </c>
    </row>
    <row r="466" spans="3:4" ht="15" customHeight="1" x14ac:dyDescent="0.3">
      <c r="C466" s="593">
        <f ca="1">+'Stock Data'!AM277</f>
        <v>45678</v>
      </c>
      <c r="D466" s="568">
        <f ca="1">_xlfn.XLOOKUP(C466,'Stock Data'!$AM$4:$AM$1051,'Stock Data'!$AN$4:$AN$1051)</f>
        <v>234.98</v>
      </c>
    </row>
    <row r="467" spans="3:4" ht="15" customHeight="1" x14ac:dyDescent="0.3">
      <c r="C467" s="593">
        <f ca="1">+'Stock Data'!AM278</f>
        <v>45677</v>
      </c>
      <c r="D467" s="568">
        <f ca="1">_xlfn.XLOOKUP(C467,'Stock Data'!$AM$4:$AM$1051,'Stock Data'!$AN$4:$AN$1051)</f>
        <v>233.71</v>
      </c>
    </row>
    <row r="468" spans="3:4" ht="15" customHeight="1" x14ac:dyDescent="0.3">
      <c r="C468" s="593">
        <f ca="1">+'Stock Data'!AM279</f>
        <v>45676</v>
      </c>
      <c r="D468" s="568">
        <f ca="1">_xlfn.XLOOKUP(C468,'Stock Data'!$AM$4:$AM$1051,'Stock Data'!$AN$4:$AN$1051)</f>
        <v>233.78</v>
      </c>
    </row>
    <row r="469" spans="3:4" ht="15" customHeight="1" x14ac:dyDescent="0.3">
      <c r="C469" s="593">
        <f ca="1">+'Stock Data'!AM280</f>
        <v>45675</v>
      </c>
      <c r="D469" s="568">
        <f ca="1">_xlfn.XLOOKUP(C469,'Stock Data'!$AM$4:$AM$1051,'Stock Data'!$AN$4:$AN$1051)</f>
        <v>237.09</v>
      </c>
    </row>
    <row r="470" spans="3:4" ht="15" customHeight="1" x14ac:dyDescent="0.3">
      <c r="C470" s="593">
        <f ca="1">+'Stock Data'!AM281</f>
        <v>45674</v>
      </c>
      <c r="D470" s="568">
        <f ca="1">_xlfn.XLOOKUP(C470,'Stock Data'!$AM$4:$AM$1051,'Stock Data'!$AN$4:$AN$1051)</f>
        <v>233.54</v>
      </c>
    </row>
    <row r="471" spans="3:4" ht="15" customHeight="1" x14ac:dyDescent="0.3">
      <c r="C471" s="593">
        <f ca="1">+'Stock Data'!AM282</f>
        <v>45673</v>
      </c>
      <c r="D471" s="568">
        <f ca="1">_xlfn.XLOOKUP(C471,'Stock Data'!$AM$4:$AM$1051,'Stock Data'!$AN$4:$AN$1051)</f>
        <v>233.57</v>
      </c>
    </row>
    <row r="472" spans="3:4" ht="15" customHeight="1" x14ac:dyDescent="0.3">
      <c r="C472" s="593">
        <f ca="1">+'Stock Data'!AM283</f>
        <v>45672</v>
      </c>
      <c r="D472" s="568">
        <f ca="1">_xlfn.XLOOKUP(C472,'Stock Data'!$AM$4:$AM$1051,'Stock Data'!$AN$4:$AN$1051)</f>
        <v>233.57</v>
      </c>
    </row>
    <row r="473" spans="3:4" ht="15" customHeight="1" x14ac:dyDescent="0.3">
      <c r="C473" s="593">
        <f ca="1">+'Stock Data'!AM284</f>
        <v>45671</v>
      </c>
      <c r="D473" s="568">
        <f ca="1">_xlfn.XLOOKUP(C473,'Stock Data'!$AM$4:$AM$1051,'Stock Data'!$AN$4:$AN$1051)</f>
        <v>233.57</v>
      </c>
    </row>
    <row r="474" spans="3:4" ht="15" customHeight="1" x14ac:dyDescent="0.3">
      <c r="C474" s="593">
        <f ca="1">+'Stock Data'!AM285</f>
        <v>45670</v>
      </c>
      <c r="D474" s="568">
        <f ca="1">_xlfn.XLOOKUP(C474,'Stock Data'!$AM$4:$AM$1051,'Stock Data'!$AN$4:$AN$1051)</f>
        <v>234.63</v>
      </c>
    </row>
    <row r="475" spans="3:4" ht="15" customHeight="1" x14ac:dyDescent="0.3">
      <c r="C475" s="593">
        <f ca="1">+'Stock Data'!AM286</f>
        <v>45669</v>
      </c>
      <c r="D475" s="568">
        <f ca="1">_xlfn.XLOOKUP(C475,'Stock Data'!$AM$4:$AM$1051,'Stock Data'!$AN$4:$AN$1051)</f>
        <v>235</v>
      </c>
    </row>
    <row r="476" spans="3:4" ht="15" customHeight="1" x14ac:dyDescent="0.3">
      <c r="C476" s="593">
        <f ca="1">+'Stock Data'!AM287</f>
        <v>45668</v>
      </c>
      <c r="D476" s="568">
        <f ca="1">_xlfn.XLOOKUP(C476,'Stock Data'!$AM$4:$AM$1051,'Stock Data'!$AN$4:$AN$1051)</f>
        <v>236.99</v>
      </c>
    </row>
    <row r="477" spans="3:4" ht="15" customHeight="1" x14ac:dyDescent="0.3">
      <c r="C477" s="593">
        <f ca="1">+'Stock Data'!AM288</f>
        <v>45667</v>
      </c>
      <c r="D477" s="568">
        <f ca="1">_xlfn.XLOOKUP(C477,'Stock Data'!$AM$4:$AM$1051,'Stock Data'!$AN$4:$AN$1051)</f>
        <v>240.78</v>
      </c>
    </row>
    <row r="478" spans="3:4" ht="15" customHeight="1" x14ac:dyDescent="0.3">
      <c r="C478" s="593">
        <f ca="1">+'Stock Data'!AM289</f>
        <v>45666</v>
      </c>
      <c r="D478" s="568">
        <f ca="1">_xlfn.XLOOKUP(C478,'Stock Data'!$AM$4:$AM$1051,'Stock Data'!$AN$4:$AN$1051)</f>
        <v>244.66</v>
      </c>
    </row>
    <row r="479" spans="3:4" ht="15" customHeight="1" x14ac:dyDescent="0.3">
      <c r="C479" s="593">
        <f ca="1">+'Stock Data'!AM290</f>
        <v>45665</v>
      </c>
      <c r="D479" s="568">
        <f ca="1">_xlfn.XLOOKUP(C479,'Stock Data'!$AM$4:$AM$1051,'Stock Data'!$AN$4:$AN$1051)</f>
        <v>244.66</v>
      </c>
    </row>
    <row r="480" spans="3:4" ht="15" customHeight="1" x14ac:dyDescent="0.3">
      <c r="C480" s="593">
        <f ca="1">+'Stock Data'!AM291</f>
        <v>45664</v>
      </c>
      <c r="D480" s="568">
        <f ca="1">_xlfn.XLOOKUP(C480,'Stock Data'!$AM$4:$AM$1051,'Stock Data'!$AN$4:$AN$1051)</f>
        <v>244.66</v>
      </c>
    </row>
    <row r="481" spans="3:4" ht="15" customHeight="1" x14ac:dyDescent="0.3">
      <c r="C481" s="593">
        <f ca="1">+'Stock Data'!AM292</f>
        <v>45663</v>
      </c>
      <c r="D481" s="568">
        <f ca="1">_xlfn.XLOOKUP(C481,'Stock Data'!$AM$4:$AM$1051,'Stock Data'!$AN$4:$AN$1051)</f>
        <v>245.23</v>
      </c>
    </row>
    <row r="482" spans="3:4" ht="15" customHeight="1" x14ac:dyDescent="0.3">
      <c r="C482" s="593">
        <f ca="1">+'Stock Data'!AM293</f>
        <v>45662</v>
      </c>
      <c r="D482" s="568">
        <f ca="1">_xlfn.XLOOKUP(C482,'Stock Data'!$AM$4:$AM$1051,'Stock Data'!$AN$4:$AN$1051)</f>
        <v>245.23</v>
      </c>
    </row>
    <row r="483" spans="3:4" ht="15" customHeight="1" x14ac:dyDescent="0.3">
      <c r="C483" s="593">
        <f ca="1">+'Stock Data'!AM294</f>
        <v>45661</v>
      </c>
      <c r="D483" s="568">
        <f ca="1">_xlfn.XLOOKUP(C483,'Stock Data'!$AM$4:$AM$1051,'Stock Data'!$AN$4:$AN$1051)</f>
        <v>245.63</v>
      </c>
    </row>
    <row r="484" spans="3:4" ht="15" customHeight="1" x14ac:dyDescent="0.3">
      <c r="C484" s="593">
        <f ca="1">+'Stock Data'!AM295</f>
        <v>45660</v>
      </c>
      <c r="D484" s="568">
        <f ca="1">_xlfn.XLOOKUP(C484,'Stock Data'!$AM$4:$AM$1051,'Stock Data'!$AN$4:$AN$1051)</f>
        <v>249.32</v>
      </c>
    </row>
    <row r="485" spans="3:4" ht="15" customHeight="1" x14ac:dyDescent="0.3">
      <c r="C485" s="593">
        <f ca="1">+'Stock Data'!AM296</f>
        <v>45659</v>
      </c>
      <c r="D485" s="568">
        <f ca="1">_xlfn.XLOOKUP(C485,'Stock Data'!$AM$4:$AM$1051,'Stock Data'!$AN$4:$AN$1051)</f>
        <v>242.39</v>
      </c>
    </row>
    <row r="486" spans="3:4" ht="15" customHeight="1" x14ac:dyDescent="0.3">
      <c r="C486" s="593">
        <f ca="1">+'Stock Data'!AM297</f>
        <v>45658</v>
      </c>
      <c r="D486" s="568">
        <f ca="1">_xlfn.XLOOKUP(C486,'Stock Data'!$AM$4:$AM$1051,'Stock Data'!$AN$4:$AN$1051)</f>
        <v>242.39</v>
      </c>
    </row>
    <row r="487" spans="3:4" ht="15" customHeight="1" x14ac:dyDescent="0.3">
      <c r="C487" s="593">
        <f ca="1">+'Stock Data'!AM298</f>
        <v>45657</v>
      </c>
      <c r="D487" s="568">
        <f ca="1">_xlfn.XLOOKUP(C487,'Stock Data'!$AM$4:$AM$1051,'Stock Data'!$AN$4:$AN$1051)</f>
        <v>242.39</v>
      </c>
    </row>
    <row r="488" spans="3:4" ht="15" customHeight="1" x14ac:dyDescent="0.3">
      <c r="C488" s="593">
        <f ca="1">+'Stock Data'!AM299</f>
        <v>45656</v>
      </c>
      <c r="D488" s="568">
        <f ca="1">_xlfn.XLOOKUP(C488,'Stock Data'!$AM$4:$AM$1051,'Stock Data'!$AN$4:$AN$1051)</f>
        <v>239.02</v>
      </c>
    </row>
    <row r="489" spans="3:4" ht="15" customHeight="1" x14ac:dyDescent="0.3">
      <c r="C489" s="593">
        <f ca="1">+'Stock Data'!AM300</f>
        <v>45655</v>
      </c>
      <c r="D489" s="568">
        <f ca="1">_xlfn.XLOOKUP(C489,'Stock Data'!$AM$4:$AM$1051,'Stock Data'!$AN$4:$AN$1051)</f>
        <v>233.56</v>
      </c>
    </row>
    <row r="490" spans="3:4" ht="15" customHeight="1" x14ac:dyDescent="0.3">
      <c r="C490" s="593">
        <f ca="1">+'Stock Data'!AM301</f>
        <v>45654</v>
      </c>
      <c r="D490" s="568">
        <f ca="1">_xlfn.XLOOKUP(C490,'Stock Data'!$AM$4:$AM$1051,'Stock Data'!$AN$4:$AN$1051)</f>
        <v>233.29</v>
      </c>
    </row>
    <row r="491" spans="3:4" ht="15" customHeight="1" x14ac:dyDescent="0.3">
      <c r="C491" s="593">
        <f ca="1">+'Stock Data'!AM302</f>
        <v>45653</v>
      </c>
      <c r="D491" s="568">
        <f ca="1">_xlfn.XLOOKUP(C491,'Stock Data'!$AM$4:$AM$1051,'Stock Data'!$AN$4:$AN$1051)</f>
        <v>234.41</v>
      </c>
    </row>
    <row r="492" spans="3:4" ht="15" customHeight="1" x14ac:dyDescent="0.3">
      <c r="C492" s="593">
        <f ca="1">+'Stock Data'!AM303</f>
        <v>45652</v>
      </c>
      <c r="D492" s="568">
        <f ca="1">_xlfn.XLOOKUP(C492,'Stock Data'!$AM$4:$AM$1051,'Stock Data'!$AN$4:$AN$1051)</f>
        <v>235.57</v>
      </c>
    </row>
    <row r="493" spans="3:4" ht="15" customHeight="1" x14ac:dyDescent="0.3">
      <c r="C493" s="593">
        <f ca="1">+'Stock Data'!AM304</f>
        <v>45651</v>
      </c>
      <c r="D493" s="568">
        <f ca="1">_xlfn.XLOOKUP(C493,'Stock Data'!$AM$4:$AM$1051,'Stock Data'!$AN$4:$AN$1051)</f>
        <v>235.57</v>
      </c>
    </row>
    <row r="494" spans="3:4" ht="15" customHeight="1" x14ac:dyDescent="0.3">
      <c r="C494" s="593">
        <f ca="1">+'Stock Data'!AM305</f>
        <v>45650</v>
      </c>
      <c r="D494" s="568">
        <f ca="1">_xlfn.XLOOKUP(C494,'Stock Data'!$AM$4:$AM$1051,'Stock Data'!$AN$4:$AN$1051)</f>
        <v>235.57</v>
      </c>
    </row>
    <row r="495" spans="3:4" ht="15" customHeight="1" x14ac:dyDescent="0.3">
      <c r="C495" s="593">
        <f ca="1">+'Stock Data'!AM306</f>
        <v>45649</v>
      </c>
      <c r="D495" s="568">
        <f ca="1">_xlfn.XLOOKUP(C495,'Stock Data'!$AM$4:$AM$1051,'Stock Data'!$AN$4:$AN$1051)</f>
        <v>235.58</v>
      </c>
    </row>
    <row r="496" spans="3:4" ht="15" customHeight="1" x14ac:dyDescent="0.3">
      <c r="C496" s="593">
        <f ca="1">+'Stock Data'!AM307</f>
        <v>45648</v>
      </c>
      <c r="D496" s="568">
        <f ca="1">_xlfn.XLOOKUP(C496,'Stock Data'!$AM$4:$AM$1051,'Stock Data'!$AN$4:$AN$1051)</f>
        <v>240.41</v>
      </c>
    </row>
    <row r="497" spans="3:4" ht="15" customHeight="1" x14ac:dyDescent="0.3">
      <c r="C497" s="593">
        <f ca="1">+'Stock Data'!AM308</f>
        <v>45647</v>
      </c>
      <c r="D497" s="568">
        <f ca="1">_xlfn.XLOOKUP(C497,'Stock Data'!$AM$4:$AM$1051,'Stock Data'!$AN$4:$AN$1051)</f>
        <v>238.91</v>
      </c>
    </row>
    <row r="498" spans="3:4" ht="15" customHeight="1" x14ac:dyDescent="0.3">
      <c r="C498" s="593">
        <f ca="1">+'Stock Data'!AM309</f>
        <v>45646</v>
      </c>
      <c r="D498" s="568">
        <f ca="1">_xlfn.XLOOKUP(C498,'Stock Data'!$AM$4:$AM$1051,'Stock Data'!$AN$4:$AN$1051)</f>
        <v>241.95</v>
      </c>
    </row>
    <row r="499" spans="3:4" ht="15" customHeight="1" x14ac:dyDescent="0.3">
      <c r="C499" s="593">
        <f ca="1">+'Stock Data'!AM310</f>
        <v>45645</v>
      </c>
      <c r="D499" s="568">
        <f ca="1">_xlfn.XLOOKUP(C499,'Stock Data'!$AM$4:$AM$1051,'Stock Data'!$AN$4:$AN$1051)</f>
        <v>241.49</v>
      </c>
    </row>
    <row r="500" spans="3:4" ht="15" customHeight="1" x14ac:dyDescent="0.3">
      <c r="C500" s="593">
        <f ca="1">+'Stock Data'!AM311</f>
        <v>45644</v>
      </c>
      <c r="D500" s="568">
        <f ca="1">_xlfn.XLOOKUP(C500,'Stock Data'!$AM$4:$AM$1051,'Stock Data'!$AN$4:$AN$1051)</f>
        <v>241.49</v>
      </c>
    </row>
    <row r="501" spans="3:4" ht="15" customHeight="1" x14ac:dyDescent="0.3">
      <c r="C501" s="593">
        <f ca="1">+'Stock Data'!AM312</f>
        <v>45643</v>
      </c>
      <c r="D501" s="568">
        <f ca="1">_xlfn.XLOOKUP(C501,'Stock Data'!$AM$4:$AM$1051,'Stock Data'!$AN$4:$AN$1051)</f>
        <v>241.49</v>
      </c>
    </row>
    <row r="502" spans="3:4" ht="15" customHeight="1" x14ac:dyDescent="0.3">
      <c r="C502" s="593">
        <f ca="1">+'Stock Data'!AM313</f>
        <v>45642</v>
      </c>
      <c r="D502" s="568">
        <f ca="1">_xlfn.XLOOKUP(C502,'Stock Data'!$AM$4:$AM$1051,'Stock Data'!$AN$4:$AN$1051)</f>
        <v>242.56</v>
      </c>
    </row>
    <row r="503" spans="3:4" ht="15" customHeight="1" x14ac:dyDescent="0.3">
      <c r="C503" s="593">
        <f ca="1">+'Stock Data'!AM314</f>
        <v>45641</v>
      </c>
      <c r="D503" s="568">
        <f ca="1">_xlfn.XLOOKUP(C503,'Stock Data'!$AM$4:$AM$1051,'Stock Data'!$AN$4:$AN$1051)</f>
        <v>248.49</v>
      </c>
    </row>
    <row r="504" spans="3:4" ht="15" customHeight="1" x14ac:dyDescent="0.3">
      <c r="C504" s="593">
        <f ca="1">+'Stock Data'!AM315</f>
        <v>45640</v>
      </c>
      <c r="D504" s="568">
        <f ca="1">_xlfn.XLOOKUP(C504,'Stock Data'!$AM$4:$AM$1051,'Stock Data'!$AN$4:$AN$1051)</f>
        <v>233.87</v>
      </c>
    </row>
    <row r="505" spans="3:4" ht="15" customHeight="1" x14ac:dyDescent="0.3">
      <c r="C505" s="593">
        <f ca="1">+'Stock Data'!AM316</f>
        <v>45639</v>
      </c>
      <c r="D505" s="568">
        <f ca="1">_xlfn.XLOOKUP(C505,'Stock Data'!$AM$4:$AM$1051,'Stock Data'!$AN$4:$AN$1051)</f>
        <v>229.91</v>
      </c>
    </row>
    <row r="506" spans="3:4" ht="15" customHeight="1" x14ac:dyDescent="0.3">
      <c r="C506" s="593">
        <f ca="1">+'Stock Data'!AM317</f>
        <v>45638</v>
      </c>
      <c r="D506" s="568">
        <f ca="1">_xlfn.XLOOKUP(C506,'Stock Data'!$AM$4:$AM$1051,'Stock Data'!$AN$4:$AN$1051)</f>
        <v>232.69</v>
      </c>
    </row>
    <row r="507" spans="3:4" ht="15" customHeight="1" x14ac:dyDescent="0.3">
      <c r="C507" s="593">
        <f ca="1">+'Stock Data'!AM318</f>
        <v>45637</v>
      </c>
      <c r="D507" s="568">
        <f ca="1">_xlfn.XLOOKUP(C507,'Stock Data'!$AM$4:$AM$1051,'Stock Data'!$AN$4:$AN$1051)</f>
        <v>232.69</v>
      </c>
    </row>
    <row r="508" spans="3:4" ht="15" customHeight="1" x14ac:dyDescent="0.3">
      <c r="C508" s="593">
        <f ca="1">+'Stock Data'!AM319</f>
        <v>45636</v>
      </c>
      <c r="D508" s="568">
        <f ca="1">_xlfn.XLOOKUP(C508,'Stock Data'!$AM$4:$AM$1051,'Stock Data'!$AN$4:$AN$1051)</f>
        <v>232.69</v>
      </c>
    </row>
    <row r="509" spans="3:4" ht="15" customHeight="1" x14ac:dyDescent="0.3">
      <c r="C509" s="593">
        <f ca="1">+'Stock Data'!AM320</f>
        <v>45635</v>
      </c>
      <c r="D509" s="568">
        <f ca="1">_xlfn.XLOOKUP(C509,'Stock Data'!$AM$4:$AM$1051,'Stock Data'!$AN$4:$AN$1051)</f>
        <v>232.07</v>
      </c>
    </row>
    <row r="510" spans="3:4" ht="15" customHeight="1" x14ac:dyDescent="0.3">
      <c r="C510" s="593">
        <f ca="1">+'Stock Data'!AM321</f>
        <v>45634</v>
      </c>
      <c r="D510" s="568">
        <f ca="1">_xlfn.XLOOKUP(C510,'Stock Data'!$AM$4:$AM$1051,'Stock Data'!$AN$4:$AN$1051)</f>
        <v>232.17</v>
      </c>
    </row>
    <row r="511" spans="3:4" ht="15" customHeight="1" x14ac:dyDescent="0.3">
      <c r="C511" s="593">
        <f ca="1">+'Stock Data'!AM322</f>
        <v>45633</v>
      </c>
      <c r="D511" s="568">
        <f ca="1">_xlfn.XLOOKUP(C511,'Stock Data'!$AM$4:$AM$1051,'Stock Data'!$AN$4:$AN$1051)</f>
        <v>231.99</v>
      </c>
    </row>
    <row r="512" spans="3:4" ht="15" customHeight="1" x14ac:dyDescent="0.3">
      <c r="C512" s="593">
        <f ca="1">+'Stock Data'!AM323</f>
        <v>45632</v>
      </c>
      <c r="D512" s="568">
        <f ca="1">_xlfn.XLOOKUP(C512,'Stock Data'!$AM$4:$AM$1051,'Stock Data'!$AN$4:$AN$1051)</f>
        <v>231.98</v>
      </c>
    </row>
    <row r="513" spans="3:4" ht="15" customHeight="1" x14ac:dyDescent="0.3">
      <c r="C513" s="593">
        <f ca="1">+'Stock Data'!AM324</f>
        <v>45631</v>
      </c>
      <c r="D513" s="568">
        <f ca="1">_xlfn.XLOOKUP(C513,'Stock Data'!$AM$4:$AM$1051,'Stock Data'!$AN$4:$AN$1051)</f>
        <v>230.3</v>
      </c>
    </row>
    <row r="514" spans="3:4" ht="15" customHeight="1" x14ac:dyDescent="0.3">
      <c r="C514" s="593">
        <f ca="1">+'Stock Data'!AM325</f>
        <v>45630</v>
      </c>
      <c r="D514" s="568">
        <f ca="1">_xlfn.XLOOKUP(C514,'Stock Data'!$AM$4:$AM$1051,'Stock Data'!$AN$4:$AN$1051)</f>
        <v>230.3</v>
      </c>
    </row>
    <row r="515" spans="3:4" ht="15" customHeight="1" x14ac:dyDescent="0.3">
      <c r="C515" s="593">
        <f ca="1">+'Stock Data'!AM326</f>
        <v>45629</v>
      </c>
      <c r="D515" s="568">
        <f ca="1">_xlfn.XLOOKUP(C515,'Stock Data'!$AM$4:$AM$1051,'Stock Data'!$AN$4:$AN$1051)</f>
        <v>230.3</v>
      </c>
    </row>
    <row r="516" spans="3:4" ht="15" customHeight="1" x14ac:dyDescent="0.3">
      <c r="C516" s="593">
        <f ca="1">+'Stock Data'!AM327</f>
        <v>45628</v>
      </c>
      <c r="D516" s="568">
        <f ca="1">_xlfn.XLOOKUP(C516,'Stock Data'!$AM$4:$AM$1051,'Stock Data'!$AN$4:$AN$1051)</f>
        <v>230.75</v>
      </c>
    </row>
    <row r="517" spans="3:4" ht="15" customHeight="1" x14ac:dyDescent="0.3">
      <c r="C517" s="593">
        <f ca="1">+'Stock Data'!AM328</f>
        <v>45627</v>
      </c>
      <c r="D517" s="568">
        <f ca="1">_xlfn.XLOOKUP(C517,'Stock Data'!$AM$4:$AM$1051,'Stock Data'!$AN$4:$AN$1051)</f>
        <v>241.35</v>
      </c>
    </row>
    <row r="518" spans="3:4" ht="15" customHeight="1" x14ac:dyDescent="0.3">
      <c r="C518" s="593">
        <f ca="1">+'Stock Data'!AM329</f>
        <v>45626</v>
      </c>
      <c r="D518" s="568">
        <f ca="1">_xlfn.XLOOKUP(C518,'Stock Data'!$AM$4:$AM$1051,'Stock Data'!$AN$4:$AN$1051)</f>
        <v>241.45</v>
      </c>
    </row>
    <row r="519" spans="3:4" ht="15" customHeight="1" x14ac:dyDescent="0.3">
      <c r="C519" s="593">
        <f ca="1">+'Stock Data'!AM330</f>
        <v>45625</v>
      </c>
      <c r="D519" s="568">
        <f ca="1">_xlfn.XLOOKUP(C519,'Stock Data'!$AM$4:$AM$1051,'Stock Data'!$AN$4:$AN$1051)</f>
        <v>240.35</v>
      </c>
    </row>
    <row r="520" spans="3:4" ht="15" customHeight="1" x14ac:dyDescent="0.3">
      <c r="C520" s="593">
        <f ca="1">+'Stock Data'!AM331</f>
        <v>45624</v>
      </c>
      <c r="D520" s="568">
        <f ca="1">_xlfn.XLOOKUP(C520,'Stock Data'!$AM$4:$AM$1051,'Stock Data'!$AN$4:$AN$1051)</f>
        <v>244.1</v>
      </c>
    </row>
    <row r="521" spans="3:4" ht="15" customHeight="1" x14ac:dyDescent="0.3">
      <c r="C521" s="593">
        <f ca="1">+'Stock Data'!AM332</f>
        <v>45623</v>
      </c>
      <c r="D521" s="568">
        <f ca="1">_xlfn.XLOOKUP(C521,'Stock Data'!$AM$4:$AM$1051,'Stock Data'!$AN$4:$AN$1051)</f>
        <v>244.1</v>
      </c>
    </row>
    <row r="522" spans="3:4" ht="15" customHeight="1" x14ac:dyDescent="0.3">
      <c r="C522" s="593">
        <f ca="1">+'Stock Data'!AM333</f>
        <v>45622</v>
      </c>
      <c r="D522" s="568">
        <f ca="1">_xlfn.XLOOKUP(C522,'Stock Data'!$AM$4:$AM$1051,'Stock Data'!$AN$4:$AN$1051)</f>
        <v>244.1</v>
      </c>
    </row>
    <row r="523" spans="3:4" ht="15" customHeight="1" x14ac:dyDescent="0.3">
      <c r="C523" s="593">
        <f ca="1">+'Stock Data'!AM334</f>
        <v>45621</v>
      </c>
      <c r="D523" s="568">
        <f ca="1">_xlfn.XLOOKUP(C523,'Stock Data'!$AM$4:$AM$1051,'Stock Data'!$AN$4:$AN$1051)</f>
        <v>241.72</v>
      </c>
    </row>
    <row r="524" spans="3:4" ht="15" customHeight="1" x14ac:dyDescent="0.3">
      <c r="C524" s="593">
        <f ca="1">+'Stock Data'!AM335</f>
        <v>45620</v>
      </c>
      <c r="D524" s="568">
        <f ca="1">_xlfn.XLOOKUP(C524,'Stock Data'!$AM$4:$AM$1051,'Stock Data'!$AN$4:$AN$1051)</f>
        <v>248.1</v>
      </c>
    </row>
    <row r="525" spans="3:4" ht="15" customHeight="1" x14ac:dyDescent="0.3">
      <c r="C525" s="593">
        <f ca="1">+'Stock Data'!AM336</f>
        <v>45619</v>
      </c>
      <c r="D525" s="568">
        <f ca="1">_xlfn.XLOOKUP(C525,'Stock Data'!$AM$4:$AM$1051,'Stock Data'!$AN$4:$AN$1051)</f>
        <v>245.79</v>
      </c>
    </row>
    <row r="526" spans="3:4" ht="15" customHeight="1" x14ac:dyDescent="0.3">
      <c r="C526" s="593">
        <f ca="1">+'Stock Data'!AM337</f>
        <v>45618</v>
      </c>
      <c r="D526" s="568">
        <f ca="1">_xlfn.XLOOKUP(C526,'Stock Data'!$AM$4:$AM$1051,'Stock Data'!$AN$4:$AN$1051)</f>
        <v>245.27</v>
      </c>
    </row>
    <row r="527" spans="3:4" ht="15" customHeight="1" x14ac:dyDescent="0.3">
      <c r="C527" s="593">
        <f ca="1">+'Stock Data'!AM338</f>
        <v>45617</v>
      </c>
      <c r="D527" s="568">
        <f ca="1">_xlfn.XLOOKUP(C527,'Stock Data'!$AM$4:$AM$1051,'Stock Data'!$AN$4:$AN$1051)</f>
        <v>242.31</v>
      </c>
    </row>
    <row r="528" spans="3:4" ht="15" customHeight="1" x14ac:dyDescent="0.3">
      <c r="C528" s="593">
        <f ca="1">+'Stock Data'!AM339</f>
        <v>45616</v>
      </c>
      <c r="D528" s="568">
        <f ca="1">_xlfn.XLOOKUP(C528,'Stock Data'!$AM$4:$AM$1051,'Stock Data'!$AN$4:$AN$1051)</f>
        <v>242.31</v>
      </c>
    </row>
    <row r="529" spans="3:4" ht="15" customHeight="1" x14ac:dyDescent="0.3">
      <c r="C529" s="593">
        <f ca="1">+'Stock Data'!AM340</f>
        <v>45615</v>
      </c>
      <c r="D529" s="568">
        <f ca="1">_xlfn.XLOOKUP(C529,'Stock Data'!$AM$4:$AM$1051,'Stock Data'!$AN$4:$AN$1051)</f>
        <v>242.31</v>
      </c>
    </row>
    <row r="530" spans="3:4" ht="15" customHeight="1" x14ac:dyDescent="0.3">
      <c r="C530" s="593">
        <f ca="1">+'Stock Data'!AM341</f>
        <v>45614</v>
      </c>
      <c r="D530" s="568">
        <f ca="1">_xlfn.XLOOKUP(C530,'Stock Data'!$AM$4:$AM$1051,'Stock Data'!$AN$4:$AN$1051)</f>
        <v>238.82</v>
      </c>
    </row>
    <row r="531" spans="3:4" ht="15" customHeight="1" x14ac:dyDescent="0.3">
      <c r="C531" s="593">
        <f ca="1">+'Stock Data'!AM342</f>
        <v>45613</v>
      </c>
      <c r="D531" s="568">
        <f ca="1">_xlfn.XLOOKUP(C531,'Stock Data'!$AM$4:$AM$1051,'Stock Data'!$AN$4:$AN$1051)</f>
        <v>237.68</v>
      </c>
    </row>
    <row r="532" spans="3:4" ht="15" customHeight="1" x14ac:dyDescent="0.3">
      <c r="C532" s="593">
        <f ca="1">+'Stock Data'!AM343</f>
        <v>45612</v>
      </c>
      <c r="D532" s="568">
        <f ca="1">_xlfn.XLOOKUP(C532,'Stock Data'!$AM$4:$AM$1051,'Stock Data'!$AN$4:$AN$1051)</f>
        <v>237.56</v>
      </c>
    </row>
    <row r="533" spans="3:4" ht="15" customHeight="1" x14ac:dyDescent="0.3">
      <c r="C533" s="593">
        <f ca="1">+'Stock Data'!AM344</f>
        <v>45611</v>
      </c>
      <c r="D533" s="568">
        <f ca="1">_xlfn.XLOOKUP(C533,'Stock Data'!$AM$4:$AM$1051,'Stock Data'!$AN$4:$AN$1051)</f>
        <v>236.87</v>
      </c>
    </row>
    <row r="534" spans="3:4" ht="15" customHeight="1" x14ac:dyDescent="0.3">
      <c r="C534" s="593">
        <f ca="1">+'Stock Data'!AM345</f>
        <v>45610</v>
      </c>
      <c r="D534" s="568">
        <f ca="1">_xlfn.XLOOKUP(C534,'Stock Data'!$AM$4:$AM$1051,'Stock Data'!$AN$4:$AN$1051)</f>
        <v>238.86</v>
      </c>
    </row>
    <row r="535" spans="3:4" ht="15" customHeight="1" x14ac:dyDescent="0.3">
      <c r="C535" s="593">
        <f ca="1">+'Stock Data'!AM346</f>
        <v>45609</v>
      </c>
      <c r="D535" s="568">
        <f ca="1">_xlfn.XLOOKUP(C535,'Stock Data'!$AM$4:$AM$1051,'Stock Data'!$AN$4:$AN$1051)</f>
        <v>238.86</v>
      </c>
    </row>
    <row r="536" spans="3:4" ht="15" customHeight="1" x14ac:dyDescent="0.3">
      <c r="C536" s="593">
        <f ca="1">+'Stock Data'!AM347</f>
        <v>45608</v>
      </c>
      <c r="D536" s="568">
        <f ca="1">_xlfn.XLOOKUP(C536,'Stock Data'!$AM$4:$AM$1051,'Stock Data'!$AN$4:$AN$1051)</f>
        <v>238.86</v>
      </c>
    </row>
    <row r="537" spans="3:4" ht="15" customHeight="1" x14ac:dyDescent="0.3">
      <c r="C537" s="593">
        <f ca="1">+'Stock Data'!AM348</f>
        <v>45607</v>
      </c>
      <c r="D537" s="568">
        <f ca="1">_xlfn.XLOOKUP(C537,'Stock Data'!$AM$4:$AM$1051,'Stock Data'!$AN$4:$AN$1051)</f>
        <v>240.63</v>
      </c>
    </row>
    <row r="538" spans="3:4" ht="15" customHeight="1" x14ac:dyDescent="0.3">
      <c r="C538" s="593">
        <f ca="1">+'Stock Data'!AM349</f>
        <v>45606</v>
      </c>
      <c r="D538" s="568">
        <f ca="1">_xlfn.XLOOKUP(C538,'Stock Data'!$AM$4:$AM$1051,'Stock Data'!$AN$4:$AN$1051)</f>
        <v>243.35</v>
      </c>
    </row>
    <row r="539" spans="3:4" ht="15" customHeight="1" x14ac:dyDescent="0.3">
      <c r="C539" s="593">
        <f ca="1">+'Stock Data'!AM350</f>
        <v>45605</v>
      </c>
      <c r="D539" s="568">
        <f ca="1">_xlfn.XLOOKUP(C539,'Stock Data'!$AM$4:$AM$1051,'Stock Data'!$AN$4:$AN$1051)</f>
        <v>245.55</v>
      </c>
    </row>
    <row r="540" spans="3:4" ht="15" customHeight="1" x14ac:dyDescent="0.3">
      <c r="C540" s="593">
        <f ca="1">+'Stock Data'!AM351</f>
        <v>45604</v>
      </c>
      <c r="D540" s="568">
        <f ca="1">_xlfn.XLOOKUP(C540,'Stock Data'!$AM$4:$AM$1051,'Stock Data'!$AN$4:$AN$1051)</f>
        <v>246.48</v>
      </c>
    </row>
    <row r="541" spans="3:4" ht="15" customHeight="1" x14ac:dyDescent="0.3">
      <c r="C541" s="593">
        <f ca="1">+'Stock Data'!AM352</f>
        <v>45603</v>
      </c>
      <c r="D541" s="568">
        <f ca="1">_xlfn.XLOOKUP(C541,'Stock Data'!$AM$4:$AM$1051,'Stock Data'!$AN$4:$AN$1051)</f>
        <v>244.22</v>
      </c>
    </row>
    <row r="542" spans="3:4" ht="15" customHeight="1" x14ac:dyDescent="0.3">
      <c r="C542" s="593">
        <f ca="1">+'Stock Data'!AM353</f>
        <v>45602</v>
      </c>
      <c r="D542" s="568">
        <f ca="1">_xlfn.XLOOKUP(C542,'Stock Data'!$AM$4:$AM$1051,'Stock Data'!$AN$4:$AN$1051)</f>
        <v>244.22</v>
      </c>
    </row>
    <row r="543" spans="3:4" ht="15" customHeight="1" x14ac:dyDescent="0.3">
      <c r="C543" s="593">
        <f ca="1">+'Stock Data'!AM354</f>
        <v>45601</v>
      </c>
      <c r="D543" s="568">
        <f ca="1">_xlfn.XLOOKUP(C543,'Stock Data'!$AM$4:$AM$1051,'Stock Data'!$AN$4:$AN$1051)</f>
        <v>244.22</v>
      </c>
    </row>
    <row r="544" spans="3:4" ht="15" customHeight="1" x14ac:dyDescent="0.3">
      <c r="C544" s="593">
        <f ca="1">+'Stock Data'!AM355</f>
        <v>45600</v>
      </c>
      <c r="D544" s="568">
        <f ca="1">_xlfn.XLOOKUP(C544,'Stock Data'!$AM$4:$AM$1051,'Stock Data'!$AN$4:$AN$1051)</f>
        <v>243.23</v>
      </c>
    </row>
    <row r="545" spans="3:4" ht="15" customHeight="1" x14ac:dyDescent="0.3">
      <c r="C545" s="593">
        <f ca="1">+'Stock Data'!AM356</f>
        <v>45599</v>
      </c>
      <c r="D545" s="568">
        <f ca="1">_xlfn.XLOOKUP(C545,'Stock Data'!$AM$4:$AM$1051,'Stock Data'!$AN$4:$AN$1051)</f>
        <v>245.5</v>
      </c>
    </row>
    <row r="546" spans="3:4" ht="15" customHeight="1" x14ac:dyDescent="0.3">
      <c r="C546" s="593">
        <f ca="1">+'Stock Data'!AM357</f>
        <v>45598</v>
      </c>
      <c r="D546" s="568">
        <f ca="1">_xlfn.XLOOKUP(C546,'Stock Data'!$AM$4:$AM$1051,'Stock Data'!$AN$4:$AN$1051)</f>
        <v>248.96</v>
      </c>
    </row>
    <row r="547" spans="3:4" ht="15" customHeight="1" x14ac:dyDescent="0.3">
      <c r="C547" s="593">
        <f ca="1">+'Stock Data'!AM358</f>
        <v>45597</v>
      </c>
      <c r="D547" s="568">
        <f ca="1">_xlfn.XLOOKUP(C547,'Stock Data'!$AM$4:$AM$1051,'Stock Data'!$AN$4:$AN$1051)</f>
        <v>244</v>
      </c>
    </row>
    <row r="548" spans="3:4" ht="15" customHeight="1" x14ac:dyDescent="0.3">
      <c r="C548" s="593">
        <f ca="1">+'Stock Data'!AM359</f>
        <v>45596</v>
      </c>
      <c r="D548" s="568">
        <f ca="1">_xlfn.XLOOKUP(C548,'Stock Data'!$AM$4:$AM$1051,'Stock Data'!$AN$4:$AN$1051)</f>
        <v>245.39</v>
      </c>
    </row>
    <row r="549" spans="3:4" ht="15" customHeight="1" x14ac:dyDescent="0.3">
      <c r="C549" s="593">
        <f ca="1">+'Stock Data'!AM360</f>
        <v>45595</v>
      </c>
      <c r="D549" s="568">
        <f ca="1">_xlfn.XLOOKUP(C549,'Stock Data'!$AM$4:$AM$1051,'Stock Data'!$AN$4:$AN$1051)</f>
        <v>245.39</v>
      </c>
    </row>
    <row r="550" spans="3:4" ht="15" customHeight="1" x14ac:dyDescent="0.3">
      <c r="C550" s="593">
        <f ca="1">+'Stock Data'!AM361</f>
        <v>45594</v>
      </c>
      <c r="D550" s="568">
        <f ca="1">_xlfn.XLOOKUP(C550,'Stock Data'!$AM$4:$AM$1051,'Stock Data'!$AN$4:$AN$1051)</f>
        <v>245.39</v>
      </c>
    </row>
    <row r="551" spans="3:4" ht="15" customHeight="1" x14ac:dyDescent="0.3">
      <c r="C551" s="593">
        <f ca="1">+'Stock Data'!AM362</f>
        <v>45593</v>
      </c>
      <c r="D551" s="568">
        <f ca="1">_xlfn.XLOOKUP(C551,'Stock Data'!$AM$4:$AM$1051,'Stock Data'!$AN$4:$AN$1051)</f>
        <v>248.44</v>
      </c>
    </row>
    <row r="552" spans="3:4" ht="15" customHeight="1" x14ac:dyDescent="0.3">
      <c r="C552" s="593">
        <f ca="1">+'Stock Data'!AM363</f>
        <v>45592</v>
      </c>
      <c r="D552" s="568">
        <f ca="1">_xlfn.XLOOKUP(C552,'Stock Data'!$AM$4:$AM$1051,'Stock Data'!$AN$4:$AN$1051)</f>
        <v>251.2</v>
      </c>
    </row>
    <row r="553" spans="3:4" ht="15" customHeight="1" x14ac:dyDescent="0.3">
      <c r="C553" s="593">
        <f ca="1">+'Stock Data'!AM364</f>
        <v>45591</v>
      </c>
      <c r="D553" s="568">
        <f ca="1">_xlfn.XLOOKUP(C553,'Stock Data'!$AM$4:$AM$1051,'Stock Data'!$AN$4:$AN$1051)</f>
        <v>253.55</v>
      </c>
    </row>
    <row r="554" spans="3:4" ht="15" customHeight="1" x14ac:dyDescent="0.3">
      <c r="C554" s="593">
        <f ca="1">+'Stock Data'!AM365</f>
        <v>45590</v>
      </c>
      <c r="D554" s="568">
        <f ca="1">_xlfn.XLOOKUP(C554,'Stock Data'!$AM$4:$AM$1051,'Stock Data'!$AN$4:$AN$1051)</f>
        <v>252.43</v>
      </c>
    </row>
    <row r="555" spans="3:4" ht="15" customHeight="1" x14ac:dyDescent="0.3">
      <c r="C555" s="593">
        <f ca="1">+'Stock Data'!AM366</f>
        <v>45589</v>
      </c>
      <c r="D555" s="568">
        <f ca="1">_xlfn.XLOOKUP(C555,'Stock Data'!$AM$4:$AM$1051,'Stock Data'!$AN$4:$AN$1051)</f>
        <v>249.12</v>
      </c>
    </row>
    <row r="556" spans="3:4" ht="15" customHeight="1" x14ac:dyDescent="0.3">
      <c r="C556" s="593">
        <f ca="1">+'Stock Data'!AM367</f>
        <v>45588</v>
      </c>
      <c r="D556" s="568">
        <f ca="1">_xlfn.XLOOKUP(C556,'Stock Data'!$AM$4:$AM$1051,'Stock Data'!$AN$4:$AN$1051)</f>
        <v>249.12</v>
      </c>
    </row>
    <row r="557" spans="3:4" ht="15" customHeight="1" x14ac:dyDescent="0.3">
      <c r="C557" s="593">
        <f ca="1">+'Stock Data'!AM368</f>
        <v>45587</v>
      </c>
      <c r="D557" s="568">
        <f ca="1">_xlfn.XLOOKUP(C557,'Stock Data'!$AM$4:$AM$1051,'Stock Data'!$AN$4:$AN$1051)</f>
        <v>249.12</v>
      </c>
    </row>
    <row r="558" spans="3:4" ht="15" customHeight="1" x14ac:dyDescent="0.3">
      <c r="C558" s="593">
        <f ca="1">+'Stock Data'!AM369</f>
        <v>45586</v>
      </c>
      <c r="D558" s="568">
        <f ca="1">_xlfn.XLOOKUP(C558,'Stock Data'!$AM$4:$AM$1051,'Stock Data'!$AN$4:$AN$1051)</f>
        <v>248.89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topLeftCell="A3" zoomScale="46" zoomScaleNormal="80" workbookViewId="0">
      <selection activeCell="C22" sqref="C22"/>
    </sheetView>
  </sheetViews>
  <sheetFormatPr defaultColWidth="9" defaultRowHeight="15" customHeight="1" x14ac:dyDescent="0.3"/>
  <cols>
    <col min="1" max="1" width="2" style="21" customWidth="1"/>
    <col min="2" max="2" width="25.5" style="21" customWidth="1"/>
    <col min="3" max="4" width="11.5" style="21" customWidth="1"/>
    <col min="5" max="5" width="10.33203125" style="21" customWidth="1"/>
    <col min="6" max="6" width="25.5" style="21" customWidth="1"/>
    <col min="7" max="7" width="11.5" style="21" customWidth="1"/>
    <col min="8" max="8" width="13.58203125" style="21" bestFit="1" customWidth="1"/>
    <col min="9" max="9" width="10.33203125" style="21" customWidth="1"/>
    <col min="10" max="10" width="27" style="21" customWidth="1"/>
    <col min="11" max="12" width="11.5" style="21" customWidth="1"/>
    <col min="13" max="13" width="10.33203125" style="21" customWidth="1"/>
    <col min="14" max="14" width="25.5" style="21" customWidth="1"/>
    <col min="15" max="16" width="11.5" style="21" customWidth="1"/>
    <col min="17" max="16384" width="9" style="21"/>
  </cols>
  <sheetData>
    <row r="1" spans="2:16" s="569" customFormat="1" ht="15" customHeight="1" x14ac:dyDescent="0.3"/>
    <row r="2" spans="2:16" s="569" customFormat="1" ht="15" customHeight="1" x14ac:dyDescent="0.3"/>
    <row r="3" spans="2:16" s="569" customFormat="1" ht="15" customHeight="1" x14ac:dyDescent="0.3"/>
    <row r="4" spans="2:16" s="569" customFormat="1" ht="15" customHeight="1" x14ac:dyDescent="0.3"/>
    <row r="5" spans="2:16" s="34" customFormat="1" ht="4" customHeight="1" x14ac:dyDescent="0.3"/>
    <row r="7" spans="2:16" ht="15" customHeight="1" x14ac:dyDescent="0.3">
      <c r="B7" s="366" t="s">
        <v>1</v>
      </c>
      <c r="C7" s="183"/>
      <c r="D7" s="183"/>
      <c r="F7" s="366" t="s">
        <v>2</v>
      </c>
      <c r="G7" s="183"/>
      <c r="H7" s="183"/>
      <c r="J7" s="366" t="s">
        <v>3</v>
      </c>
      <c r="K7" s="183"/>
      <c r="L7" s="183"/>
      <c r="M7" s="183"/>
      <c r="N7" s="183"/>
      <c r="O7" s="183"/>
      <c r="P7" s="183"/>
    </row>
    <row r="8" spans="2:16" ht="15" customHeight="1" x14ac:dyDescent="0.3">
      <c r="B8" s="366"/>
      <c r="C8" s="183"/>
      <c r="D8" s="183"/>
      <c r="F8" s="366"/>
      <c r="G8" s="183"/>
      <c r="H8" s="183"/>
      <c r="J8" s="183"/>
      <c r="K8" s="183"/>
      <c r="L8" s="183"/>
      <c r="M8" s="183"/>
      <c r="N8" s="183"/>
      <c r="O8" s="183"/>
      <c r="P8" s="183"/>
    </row>
    <row r="9" spans="2:16" ht="15" customHeight="1" x14ac:dyDescent="0.3">
      <c r="B9" s="183"/>
      <c r="C9" s="183"/>
      <c r="D9" s="183"/>
      <c r="F9" s="183"/>
      <c r="G9" s="183"/>
      <c r="H9" s="183"/>
      <c r="J9" s="183"/>
      <c r="K9" s="183"/>
      <c r="L9" s="183"/>
      <c r="M9" s="183"/>
      <c r="N9" s="183"/>
      <c r="O9" s="183"/>
      <c r="P9" s="183"/>
    </row>
    <row r="10" spans="2:16" ht="4" customHeight="1" x14ac:dyDescent="0.3">
      <c r="B10" s="34"/>
      <c r="C10" s="34"/>
      <c r="D10" s="34"/>
      <c r="F10" s="34"/>
      <c r="G10" s="34"/>
      <c r="H10" s="34"/>
      <c r="J10" s="34"/>
      <c r="K10" s="34"/>
      <c r="L10" s="34"/>
      <c r="M10" s="34"/>
      <c r="N10" s="34"/>
      <c r="O10" s="34"/>
      <c r="P10" s="34"/>
    </row>
    <row r="11" spans="2:16" ht="4" customHeight="1" x14ac:dyDescent="0.3"/>
    <row r="12" spans="2:16" ht="15" customHeight="1" x14ac:dyDescent="0.35">
      <c r="B12" s="475" t="s">
        <v>4</v>
      </c>
      <c r="F12" s="367" t="s">
        <v>5</v>
      </c>
      <c r="H12" s="547" t="s">
        <v>6</v>
      </c>
      <c r="J12" s="524"/>
    </row>
    <row r="13" spans="2:16" ht="15" customHeight="1" x14ac:dyDescent="0.3">
      <c r="B13" s="560" t="s">
        <v>7</v>
      </c>
      <c r="F13" s="367" t="s">
        <v>8</v>
      </c>
      <c r="H13" s="316">
        <v>187.91713467503581</v>
      </c>
      <c r="J13" s="524"/>
    </row>
    <row r="14" spans="2:16" ht="15" customHeight="1" x14ac:dyDescent="0.3">
      <c r="B14" s="655" t="s">
        <v>9</v>
      </c>
      <c r="F14" s="367" t="s">
        <v>10</v>
      </c>
      <c r="H14" s="323">
        <v>-0.13017434421849738</v>
      </c>
      <c r="J14" s="524"/>
    </row>
    <row r="15" spans="2:16" ht="15" customHeight="1" x14ac:dyDescent="0.3">
      <c r="B15" s="369" t="s">
        <v>11</v>
      </c>
      <c r="J15" s="524"/>
    </row>
    <row r="16" spans="2:16" ht="15" customHeight="1" x14ac:dyDescent="0.3">
      <c r="B16" s="560" t="s">
        <v>12</v>
      </c>
      <c r="F16" s="367" t="s">
        <v>13</v>
      </c>
      <c r="H16" s="577" t="s">
        <v>14</v>
      </c>
      <c r="J16" s="524"/>
    </row>
    <row r="17" spans="2:8" ht="15" customHeight="1" x14ac:dyDescent="0.3">
      <c r="B17" s="655" t="s">
        <v>15</v>
      </c>
      <c r="F17" s="367" t="s">
        <v>16</v>
      </c>
      <c r="G17" s="542"/>
      <c r="H17" s="577" t="s">
        <v>17</v>
      </c>
    </row>
    <row r="18" spans="2:8" ht="15" customHeight="1" x14ac:dyDescent="0.3">
      <c r="B18" s="369" t="s">
        <v>18</v>
      </c>
    </row>
    <row r="19" spans="2:8" ht="15" customHeight="1" x14ac:dyDescent="0.3">
      <c r="B19" s="560" t="s">
        <v>19</v>
      </c>
      <c r="F19" s="367" t="s">
        <v>20</v>
      </c>
      <c r="H19" s="1187">
        <f>'Stock Data'!AN4</f>
        <v>216.04</v>
      </c>
    </row>
    <row r="20" spans="2:8" ht="15" customHeight="1" x14ac:dyDescent="0.3">
      <c r="B20" s="655" t="s">
        <v>21</v>
      </c>
      <c r="F20" s="367" t="str">
        <f>"Market Cap (in "&amp;IF(Inputs!$D$14="BLN","billions",IF(Inputs!$D$14="MLN","millions","thousands"))&amp;")"</f>
        <v>Market Cap (in millions)</v>
      </c>
      <c r="H20" s="1188">
        <f>'Stock Data'!AQ4</f>
        <v>128121.1544668</v>
      </c>
    </row>
    <row r="21" spans="2:8" ht="15" customHeight="1" x14ac:dyDescent="0.3">
      <c r="B21" s="369"/>
      <c r="F21" s="369" t="s">
        <v>22</v>
      </c>
      <c r="G21" s="542"/>
      <c r="H21" s="1185" t="str">
        <f>'Stock Data'!E164</f>
        <v>0,81448</v>
      </c>
    </row>
    <row r="22" spans="2:8" ht="15" customHeight="1" x14ac:dyDescent="0.3">
      <c r="B22" s="560"/>
      <c r="F22" s="369" t="s">
        <v>23</v>
      </c>
      <c r="H22" s="1186" t="str">
        <f>'Stock Data'!E165</f>
        <v>0,615945</v>
      </c>
    </row>
    <row r="23" spans="2:8" ht="15" customHeight="1" x14ac:dyDescent="0.3">
      <c r="B23" s="561"/>
      <c r="F23" s="369" t="s">
        <v>24</v>
      </c>
      <c r="H23" s="1187">
        <f>'Stock Data'!E166</f>
        <v>2255855</v>
      </c>
    </row>
    <row r="24" spans="2:8" ht="15" customHeight="1" x14ac:dyDescent="0.3">
      <c r="B24" s="546"/>
      <c r="F24" s="367"/>
      <c r="H24" s="575"/>
    </row>
    <row r="25" spans="2:8" ht="15" customHeight="1" x14ac:dyDescent="0.3">
      <c r="B25" s="367" t="s">
        <v>25</v>
      </c>
      <c r="F25" s="369" t="s">
        <v>26</v>
      </c>
      <c r="H25" s="576">
        <f>'Stock Data'!E168</f>
        <v>4889126</v>
      </c>
    </row>
    <row r="26" spans="2:8" ht="15" customHeight="1" x14ac:dyDescent="0.3">
      <c r="B26" s="369" t="s">
        <v>27</v>
      </c>
      <c r="F26" s="369" t="s">
        <v>28</v>
      </c>
      <c r="H26" s="576">
        <f>'Stock Data'!E169</f>
        <v>5930437</v>
      </c>
    </row>
    <row r="27" spans="2:8" ht="15" customHeight="1" x14ac:dyDescent="0.3">
      <c r="B27" s="560" t="s">
        <v>29</v>
      </c>
      <c r="F27" s="369" t="s">
        <v>30</v>
      </c>
      <c r="H27" s="574">
        <f>'Stock Data'!E170</f>
        <v>0.99</v>
      </c>
    </row>
    <row r="28" spans="2:8" ht="15" customHeight="1" x14ac:dyDescent="0.3">
      <c r="B28" s="561" t="s">
        <v>31</v>
      </c>
      <c r="F28" s="369" t="s">
        <v>32</v>
      </c>
      <c r="H28" s="574">
        <f>IFERROR('Stock Data'!E171,0)</f>
        <v>0.02</v>
      </c>
    </row>
    <row r="29" spans="2:8" ht="15" customHeight="1" x14ac:dyDescent="0.3">
      <c r="F29" s="367"/>
      <c r="H29" s="575"/>
    </row>
    <row r="30" spans="2:8" ht="15" customHeight="1" x14ac:dyDescent="0.3">
      <c r="B30" s="536" t="s">
        <v>33</v>
      </c>
      <c r="F30" s="369" t="s">
        <v>34</v>
      </c>
      <c r="H30" s="574">
        <f>'Stock Data'!E173</f>
        <v>0</v>
      </c>
    </row>
    <row r="31" spans="2:8" ht="15" customHeight="1" x14ac:dyDescent="0.3">
      <c r="B31" s="545" t="s">
        <v>35</v>
      </c>
      <c r="F31" s="369" t="s">
        <v>36</v>
      </c>
      <c r="H31" s="574">
        <f>'Stock Data'!E174</f>
        <v>0.85</v>
      </c>
    </row>
    <row r="32" spans="2:8" ht="15" customHeight="1" x14ac:dyDescent="0.3">
      <c r="B32" s="546" t="s">
        <v>37</v>
      </c>
    </row>
    <row r="34" spans="2:16" ht="15" customHeight="1" x14ac:dyDescent="0.3">
      <c r="B34" s="1205" t="s">
        <v>38</v>
      </c>
      <c r="C34" s="1205"/>
      <c r="D34" s="1205"/>
      <c r="E34" s="1205"/>
      <c r="F34" s="1205"/>
      <c r="G34" s="1205"/>
      <c r="H34" s="1205"/>
      <c r="I34" s="1205"/>
      <c r="J34" s="1205"/>
      <c r="K34" s="1205"/>
      <c r="L34" s="1205"/>
      <c r="M34" s="1205"/>
      <c r="N34" s="1205"/>
      <c r="O34" s="1205"/>
      <c r="P34" s="1205"/>
    </row>
    <row r="35" spans="2:16" ht="15" customHeight="1" x14ac:dyDescent="0.3">
      <c r="B35" s="1205"/>
      <c r="C35" s="1205"/>
      <c r="D35" s="1205"/>
      <c r="E35" s="1205"/>
      <c r="F35" s="1205"/>
      <c r="G35" s="1205"/>
      <c r="H35" s="1205"/>
      <c r="I35" s="1205"/>
      <c r="J35" s="1205"/>
      <c r="K35" s="1205"/>
      <c r="L35" s="1205"/>
      <c r="M35" s="1205"/>
      <c r="N35" s="1205"/>
      <c r="O35" s="1205"/>
      <c r="P35" s="1205"/>
    </row>
    <row r="36" spans="2:16" ht="15" customHeight="1" x14ac:dyDescent="0.3">
      <c r="B36" s="1205"/>
      <c r="C36" s="1205"/>
      <c r="D36" s="1205"/>
      <c r="E36" s="1205"/>
      <c r="F36" s="1205"/>
      <c r="G36" s="1205"/>
      <c r="H36" s="1205"/>
      <c r="I36" s="1205"/>
      <c r="J36" s="1205"/>
      <c r="K36" s="1205"/>
      <c r="L36" s="1205"/>
      <c r="M36" s="1205"/>
      <c r="N36" s="1205"/>
      <c r="O36" s="1205"/>
      <c r="P36" s="1205"/>
    </row>
    <row r="37" spans="2:16" ht="15" customHeight="1" x14ac:dyDescent="0.3">
      <c r="B37" s="1205"/>
      <c r="C37" s="1205"/>
      <c r="D37" s="1205"/>
      <c r="E37" s="1205"/>
      <c r="F37" s="1205"/>
      <c r="G37" s="1205"/>
      <c r="H37" s="1205"/>
      <c r="I37" s="1205"/>
      <c r="J37" s="1205"/>
      <c r="K37" s="1205"/>
      <c r="L37" s="1205"/>
      <c r="M37" s="1205"/>
      <c r="N37" s="1205"/>
      <c r="O37" s="1205"/>
      <c r="P37" s="1205"/>
    </row>
    <row r="38" spans="2:16" ht="15" customHeight="1" x14ac:dyDescent="0.3">
      <c r="B38" s="1205"/>
      <c r="C38" s="1205"/>
      <c r="D38" s="1205"/>
      <c r="E38" s="1205"/>
      <c r="F38" s="1205"/>
      <c r="G38" s="1205"/>
      <c r="H38" s="1205"/>
      <c r="I38" s="1205"/>
      <c r="J38" s="1205"/>
      <c r="K38" s="1205"/>
      <c r="L38" s="1205"/>
      <c r="M38" s="1205"/>
      <c r="N38" s="1205"/>
      <c r="O38" s="1205"/>
      <c r="P38" s="1205"/>
    </row>
    <row r="39" spans="2:16" ht="15" customHeight="1" x14ac:dyDescent="0.3">
      <c r="B39" s="1205"/>
      <c r="C39" s="1205"/>
      <c r="D39" s="1205"/>
      <c r="E39" s="1205"/>
      <c r="F39" s="1205"/>
      <c r="G39" s="1205"/>
      <c r="H39" s="1205"/>
      <c r="I39" s="1205"/>
      <c r="J39" s="1205"/>
      <c r="K39" s="1205"/>
      <c r="L39" s="1205"/>
      <c r="M39" s="1205"/>
      <c r="N39" s="1205"/>
      <c r="O39" s="1205"/>
      <c r="P39" s="1205"/>
    </row>
    <row r="40" spans="2:16" ht="15" customHeight="1" x14ac:dyDescent="0.3">
      <c r="B40" s="1205"/>
      <c r="C40" s="1205"/>
      <c r="D40" s="1205"/>
      <c r="E40" s="1205"/>
      <c r="F40" s="1205"/>
      <c r="G40" s="1205"/>
      <c r="H40" s="1205"/>
      <c r="I40" s="1205"/>
      <c r="J40" s="1205"/>
      <c r="K40" s="1205"/>
      <c r="L40" s="1205"/>
      <c r="M40" s="1205"/>
      <c r="N40" s="1205"/>
      <c r="O40" s="1205"/>
      <c r="P40" s="1205"/>
    </row>
    <row r="41" spans="2:16" ht="15" customHeight="1" x14ac:dyDescent="0.3">
      <c r="B41" s="1205"/>
      <c r="C41" s="1205"/>
      <c r="D41" s="1205"/>
      <c r="E41" s="1205"/>
      <c r="F41" s="1205"/>
      <c r="G41" s="1205"/>
      <c r="H41" s="1205"/>
      <c r="I41" s="1205"/>
      <c r="J41" s="1205"/>
      <c r="K41" s="1205"/>
      <c r="L41" s="1205"/>
      <c r="M41" s="1205"/>
      <c r="N41" s="1205"/>
      <c r="O41" s="1205"/>
      <c r="P41" s="1205"/>
    </row>
    <row r="42" spans="2:16" ht="15" customHeight="1" x14ac:dyDescent="0.3">
      <c r="B42" s="1205"/>
      <c r="C42" s="1205"/>
      <c r="D42" s="1205"/>
      <c r="E42" s="1205"/>
      <c r="F42" s="1205"/>
      <c r="G42" s="1205"/>
      <c r="H42" s="1205"/>
      <c r="I42" s="1205"/>
      <c r="J42" s="1205"/>
      <c r="K42" s="1205"/>
      <c r="L42" s="1205"/>
      <c r="M42" s="1205"/>
      <c r="N42" s="1205"/>
      <c r="O42" s="1205"/>
      <c r="P42" s="1205"/>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9" r:id="rId3" display="raul.vasconcelos@aln.iseg.ulisboa.pt" xr:uid="{913F4351-F364-4566-8CF9-58EAB12BAB1A}"/>
    <hyperlink ref="B16" r:id="rId4" display="raul.vasconcelos@aln.iseg.ulisboa.pt" xr:uid="{EFA83599-0A39-49DD-B76B-5CC8CB13CC21}"/>
    <hyperlink ref="B13" r:id="rId5" display="raul.vasconcelos@aln.iseg.ulisboa.pt" xr:uid="{77AB066A-C300-4B87-AFCB-2C947D186323}"/>
    <hyperlink ref="B14" r:id="rId6" xr:uid="{CCAE00F1-6174-4AE7-A9D3-C93EF3FB4FD0}"/>
    <hyperlink ref="B20" r:id="rId7" xr:uid="{66B7C25A-81A6-4708-A355-2A6ADD12DE63}"/>
    <hyperlink ref="B17" r:id="rId8" xr:uid="{7AEDF85B-2759-4D18-93A1-C68D72237E66}"/>
  </hyperlinks>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zoomScale="51" zoomScaleNormal="100" workbookViewId="0">
      <selection activeCell="J67" sqref="J67:J68"/>
    </sheetView>
  </sheetViews>
  <sheetFormatPr defaultColWidth="7.5" defaultRowHeight="15" customHeight="1" x14ac:dyDescent="0.3"/>
  <cols>
    <col min="1" max="1" width="2" style="371" customWidth="1"/>
    <col min="2" max="2" width="24.83203125" style="371" customWidth="1"/>
    <col min="3" max="3" width="9" style="371" customWidth="1"/>
    <col min="4" max="4" width="20.83203125" style="371" customWidth="1"/>
    <col min="5" max="5" width="9" style="372" customWidth="1"/>
    <col min="6" max="6" width="1.5" style="371" customWidth="1"/>
    <col min="7" max="7" width="24" style="371" customWidth="1"/>
    <col min="8" max="8" width="11" style="371" customWidth="1"/>
    <col min="9" max="9" width="25" style="371" customWidth="1"/>
    <col min="10" max="10" width="34.5" style="371" customWidth="1"/>
    <col min="11" max="11" width="75.5" style="371" customWidth="1"/>
    <col min="12" max="16384" width="7.5" style="371"/>
  </cols>
  <sheetData>
    <row r="1" spans="1:11" s="581" customFormat="1" ht="15" customHeight="1" x14ac:dyDescent="0.3">
      <c r="A1" s="580"/>
      <c r="E1" s="580"/>
    </row>
    <row r="2" spans="1:11" s="581" customFormat="1" ht="15" customHeight="1" x14ac:dyDescent="0.3">
      <c r="E2" s="580"/>
    </row>
    <row r="3" spans="1:11" s="581" customFormat="1" ht="15" customHeight="1" x14ac:dyDescent="0.3">
      <c r="E3" s="580"/>
    </row>
    <row r="4" spans="1:11" s="581" customFormat="1" ht="15" customHeight="1" x14ac:dyDescent="0.3">
      <c r="E4" s="580"/>
    </row>
    <row r="5" spans="1:11" s="386" customFormat="1" ht="4" customHeight="1" x14ac:dyDescent="0.3">
      <c r="E5" s="387"/>
    </row>
    <row r="7" spans="1:11" s="94" customFormat="1" ht="15" customHeight="1" x14ac:dyDescent="0.3">
      <c r="A7" s="374" t="s">
        <v>39</v>
      </c>
      <c r="B7" s="375" t="s">
        <v>40</v>
      </c>
      <c r="C7" s="375"/>
      <c r="D7" s="375"/>
      <c r="E7" s="30"/>
      <c r="F7" s="332"/>
      <c r="G7" s="332"/>
      <c r="H7" s="332"/>
      <c r="I7" s="30"/>
      <c r="J7" s="332"/>
      <c r="K7" s="332"/>
    </row>
    <row r="8" spans="1:11" s="94" customFormat="1" ht="15" customHeight="1" x14ac:dyDescent="0.3">
      <c r="B8" s="376"/>
      <c r="C8" s="376"/>
      <c r="D8" s="376"/>
      <c r="E8" s="30"/>
      <c r="F8" s="377"/>
      <c r="G8" s="377"/>
      <c r="H8" s="377"/>
      <c r="I8" s="378"/>
      <c r="J8" s="377"/>
      <c r="K8" s="377"/>
    </row>
    <row r="9" spans="1:11" s="94" customFormat="1" ht="14.25" customHeight="1" x14ac:dyDescent="0.3">
      <c r="B9" s="376"/>
      <c r="C9" s="376"/>
      <c r="D9" s="376"/>
      <c r="E9" s="30"/>
      <c r="F9" s="379"/>
      <c r="G9" s="379"/>
      <c r="H9" s="379"/>
      <c r="I9" s="377"/>
      <c r="J9" s="379"/>
      <c r="K9" s="379"/>
    </row>
    <row r="10" spans="1:11" s="94" customFormat="1" ht="4" customHeight="1" x14ac:dyDescent="0.3">
      <c r="A10" s="52"/>
      <c r="B10" s="380"/>
      <c r="C10" s="380"/>
      <c r="D10" s="380"/>
      <c r="E10" s="381"/>
      <c r="F10" s="382"/>
      <c r="G10" s="382"/>
      <c r="H10" s="382"/>
      <c r="I10" s="383"/>
      <c r="J10" s="382"/>
      <c r="K10" s="382"/>
    </row>
    <row r="11" spans="1:11" s="21" customFormat="1" ht="15" customHeight="1" x14ac:dyDescent="0.3"/>
    <row r="12" spans="1:11" s="21" customFormat="1" ht="15" customHeight="1" x14ac:dyDescent="0.3">
      <c r="B12" s="366" t="s">
        <v>41</v>
      </c>
      <c r="C12" s="366"/>
      <c r="D12" s="366"/>
      <c r="E12" s="384"/>
      <c r="F12" s="385"/>
      <c r="G12" s="375" t="s">
        <v>42</v>
      </c>
      <c r="H12" s="376"/>
      <c r="I12" s="375"/>
      <c r="J12" s="376"/>
      <c r="K12" s="376"/>
    </row>
    <row r="13" spans="1:11" s="21" customFormat="1" ht="4" customHeight="1" x14ac:dyDescent="0.3">
      <c r="B13" s="386"/>
      <c r="C13" s="386"/>
      <c r="D13" s="386"/>
      <c r="E13" s="387"/>
      <c r="F13" s="333"/>
      <c r="G13" s="380"/>
      <c r="H13" s="380"/>
      <c r="I13" s="380"/>
      <c r="J13" s="380"/>
      <c r="K13" s="380"/>
    </row>
    <row r="14" spans="1:11" s="21" customFormat="1" ht="4" customHeight="1" x14ac:dyDescent="0.3">
      <c r="B14" s="371"/>
      <c r="C14" s="371"/>
      <c r="D14" s="371"/>
      <c r="E14" s="372"/>
      <c r="F14" s="333"/>
      <c r="G14" s="333"/>
      <c r="H14" s="333"/>
      <c r="I14" s="333"/>
      <c r="J14" s="333"/>
    </row>
    <row r="15" spans="1:11" ht="15" customHeight="1" x14ac:dyDescent="0.3">
      <c r="B15" s="367" t="s">
        <v>43</v>
      </c>
      <c r="C15" s="367"/>
      <c r="D15" s="1228">
        <v>71</v>
      </c>
      <c r="E15" s="1228"/>
      <c r="H15" s="523"/>
      <c r="I15" s="523"/>
      <c r="J15" s="523"/>
    </row>
    <row r="16" spans="1:11" ht="15" customHeight="1" x14ac:dyDescent="0.3">
      <c r="B16" s="393" t="s">
        <v>44</v>
      </c>
      <c r="C16" s="369"/>
      <c r="D16" s="1229">
        <v>53</v>
      </c>
      <c r="E16" s="1229"/>
      <c r="G16" s="367"/>
      <c r="H16" s="1217"/>
      <c r="I16" s="1217"/>
      <c r="J16" s="1217"/>
    </row>
    <row r="17" spans="2:11" ht="15" customHeight="1" x14ac:dyDescent="0.3">
      <c r="B17" s="393" t="s">
        <v>45</v>
      </c>
      <c r="C17" s="369"/>
      <c r="D17" s="1229">
        <v>93</v>
      </c>
      <c r="E17" s="1229"/>
      <c r="H17" s="1217"/>
      <c r="I17" s="1217"/>
      <c r="J17" s="1217"/>
      <c r="K17" s="368"/>
    </row>
    <row r="18" spans="2:11" ht="15" customHeight="1" x14ac:dyDescent="0.3">
      <c r="B18" s="393" t="s">
        <v>46</v>
      </c>
      <c r="C18" s="369"/>
      <c r="D18" s="1229">
        <v>64</v>
      </c>
      <c r="E18" s="1229"/>
      <c r="G18" s="367"/>
      <c r="H18" s="1217"/>
      <c r="I18" s="1217"/>
      <c r="J18" s="1217"/>
      <c r="K18" s="368"/>
    </row>
    <row r="19" spans="2:11" ht="15" customHeight="1" x14ac:dyDescent="0.3">
      <c r="B19" s="367" t="s">
        <v>47</v>
      </c>
      <c r="C19" s="367"/>
      <c r="D19" s="1227">
        <v>60</v>
      </c>
      <c r="E19" s="1227"/>
      <c r="H19" s="1217"/>
      <c r="I19" s="1217"/>
      <c r="J19" s="1217"/>
      <c r="K19" s="368"/>
    </row>
    <row r="20" spans="2:11" ht="15" customHeight="1" x14ac:dyDescent="0.3">
      <c r="B20" s="393" t="s">
        <v>48</v>
      </c>
      <c r="C20" s="369"/>
      <c r="D20" s="1229" t="s">
        <v>49</v>
      </c>
      <c r="E20" s="1229"/>
      <c r="G20" s="367"/>
      <c r="H20" s="1217"/>
      <c r="I20" s="1217"/>
      <c r="J20" s="1217"/>
      <c r="K20" s="368"/>
    </row>
    <row r="21" spans="2:11" ht="15" customHeight="1" x14ac:dyDescent="0.3">
      <c r="B21" s="393" t="s">
        <v>50</v>
      </c>
      <c r="C21" s="369"/>
      <c r="D21" s="1229" t="s">
        <v>49</v>
      </c>
      <c r="E21" s="1229"/>
      <c r="H21" s="1217"/>
      <c r="I21" s="1217"/>
      <c r="J21" s="1217"/>
      <c r="K21" s="368"/>
    </row>
    <row r="22" spans="2:11" ht="15" customHeight="1" x14ac:dyDescent="0.3">
      <c r="B22" s="393" t="s">
        <v>51</v>
      </c>
      <c r="C22" s="369"/>
      <c r="D22" s="1229" t="s">
        <v>49</v>
      </c>
      <c r="E22" s="1229"/>
      <c r="G22" s="367"/>
      <c r="H22" s="1217"/>
      <c r="I22" s="1217"/>
      <c r="J22" s="1217"/>
      <c r="K22" s="368"/>
    </row>
    <row r="23" spans="2:11" ht="15" customHeight="1" x14ac:dyDescent="0.3">
      <c r="B23" s="367" t="s">
        <v>52</v>
      </c>
      <c r="C23" s="367"/>
      <c r="D23" s="1226">
        <v>24.8</v>
      </c>
      <c r="E23" s="1226"/>
      <c r="H23" s="1217"/>
      <c r="I23" s="1217"/>
      <c r="J23" s="1217"/>
      <c r="K23" s="368"/>
    </row>
    <row r="24" spans="2:11" ht="15" customHeight="1" x14ac:dyDescent="0.3">
      <c r="B24" s="367" t="s">
        <v>53</v>
      </c>
      <c r="C24" s="367"/>
      <c r="D24" s="1225" t="s">
        <v>54</v>
      </c>
      <c r="E24" s="1225"/>
    </row>
    <row r="25" spans="2:11" ht="15" customHeight="1" x14ac:dyDescent="0.3">
      <c r="B25" s="393" t="s">
        <v>55</v>
      </c>
      <c r="C25" s="369"/>
      <c r="D25" s="1229">
        <v>3.2</v>
      </c>
      <c r="E25" s="1229"/>
      <c r="G25" s="31"/>
      <c r="H25" s="31"/>
      <c r="I25" s="31"/>
      <c r="K25" s="31"/>
    </row>
    <row r="26" spans="2:11" ht="15" customHeight="1" x14ac:dyDescent="0.3">
      <c r="B26" s="393" t="s">
        <v>56</v>
      </c>
      <c r="C26" s="369"/>
      <c r="D26" s="1229">
        <v>1</v>
      </c>
      <c r="E26" s="1229"/>
      <c r="G26" s="367"/>
      <c r="H26" s="1217"/>
      <c r="I26" s="1217"/>
      <c r="J26" s="1217"/>
      <c r="K26" s="367"/>
    </row>
    <row r="27" spans="2:11" ht="15" customHeight="1" x14ac:dyDescent="0.3">
      <c r="B27" s="367" t="s">
        <v>57</v>
      </c>
      <c r="C27" s="367"/>
      <c r="D27" s="1225"/>
      <c r="E27" s="1225"/>
      <c r="H27" s="1217"/>
      <c r="I27" s="1217"/>
      <c r="J27" s="1217"/>
      <c r="K27" s="523"/>
    </row>
    <row r="28" spans="2:11" ht="15" customHeight="1" x14ac:dyDescent="0.3">
      <c r="E28" s="371"/>
      <c r="G28" s="367"/>
      <c r="H28" s="1217"/>
      <c r="I28" s="1217"/>
      <c r="J28" s="1217"/>
      <c r="K28" s="523"/>
    </row>
    <row r="29" spans="2:11" ht="15" customHeight="1" x14ac:dyDescent="0.3">
      <c r="E29" s="371"/>
      <c r="H29" s="1217"/>
      <c r="I29" s="1217"/>
      <c r="J29" s="1217"/>
      <c r="K29" s="523"/>
    </row>
    <row r="30" spans="2:11" ht="15" customHeight="1" x14ac:dyDescent="0.3">
      <c r="B30" s="366" t="s">
        <v>58</v>
      </c>
      <c r="C30" s="366"/>
      <c r="D30" s="366"/>
      <c r="E30" s="366"/>
      <c r="G30" s="366" t="s">
        <v>59</v>
      </c>
      <c r="H30" s="366"/>
      <c r="I30" s="366"/>
      <c r="J30" s="366"/>
      <c r="K30" s="366"/>
    </row>
    <row r="31" spans="2:11" s="21" customFormat="1" ht="4" customHeight="1" x14ac:dyDescent="0.3">
      <c r="B31" s="34"/>
      <c r="C31" s="34"/>
      <c r="D31" s="34"/>
      <c r="E31" s="34"/>
      <c r="F31" s="371"/>
      <c r="G31" s="34"/>
      <c r="H31" s="34"/>
      <c r="I31" s="34"/>
      <c r="J31" s="34"/>
      <c r="K31" s="34"/>
    </row>
    <row r="32" spans="2:11" ht="15" customHeight="1" thickBot="1" x14ac:dyDescent="0.35">
      <c r="B32" s="388"/>
      <c r="C32" s="388"/>
      <c r="D32" s="388"/>
      <c r="E32" s="388"/>
      <c r="G32" s="388"/>
      <c r="H32" s="389" t="s">
        <v>60</v>
      </c>
      <c r="I32" s="389" t="s">
        <v>61</v>
      </c>
      <c r="J32" s="389" t="s">
        <v>62</v>
      </c>
      <c r="K32" s="389" t="s">
        <v>63</v>
      </c>
    </row>
    <row r="33" spans="2:11" ht="15" customHeight="1" x14ac:dyDescent="0.3">
      <c r="B33" s="395" t="s">
        <v>64</v>
      </c>
      <c r="C33" s="1218" t="s">
        <v>65</v>
      </c>
      <c r="D33" s="1218"/>
      <c r="E33" s="1218"/>
      <c r="G33" s="1213" t="s">
        <v>66</v>
      </c>
      <c r="H33" s="1216"/>
      <c r="I33" s="1212" t="s">
        <v>67</v>
      </c>
      <c r="J33" s="1221" t="s">
        <v>68</v>
      </c>
      <c r="K33" s="1207"/>
    </row>
    <row r="34" spans="2:11" ht="15" customHeight="1" x14ac:dyDescent="0.3">
      <c r="B34" s="395" t="s">
        <v>69</v>
      </c>
      <c r="C34" s="1218" t="s">
        <v>70</v>
      </c>
      <c r="D34" s="1218"/>
      <c r="E34" s="1218"/>
      <c r="G34" s="1213"/>
      <c r="H34" s="1216"/>
      <c r="I34" s="1212"/>
      <c r="J34" s="1221"/>
      <c r="K34" s="1207"/>
    </row>
    <row r="35" spans="2:11" ht="15" customHeight="1" x14ac:dyDescent="0.3">
      <c r="B35" s="395" t="s">
        <v>71</v>
      </c>
      <c r="C35" s="1218" t="s">
        <v>72</v>
      </c>
      <c r="D35" s="1218"/>
      <c r="E35" s="1218"/>
      <c r="G35" s="1213" t="s">
        <v>73</v>
      </c>
      <c r="H35" s="1216"/>
      <c r="I35" s="1212" t="s">
        <v>49</v>
      </c>
      <c r="J35" s="1206" t="s">
        <v>74</v>
      </c>
      <c r="K35" s="1221" t="s">
        <v>75</v>
      </c>
    </row>
    <row r="36" spans="2:11" ht="15" customHeight="1" x14ac:dyDescent="0.3">
      <c r="B36" s="395" t="s">
        <v>76</v>
      </c>
      <c r="C36" s="1218" t="s">
        <v>77</v>
      </c>
      <c r="D36" s="1218"/>
      <c r="E36" s="1218"/>
      <c r="G36" s="1213"/>
      <c r="H36" s="1216"/>
      <c r="I36" s="1212"/>
      <c r="J36" s="1206"/>
      <c r="K36" s="1221"/>
    </row>
    <row r="37" spans="2:11" ht="15" customHeight="1" x14ac:dyDescent="0.3">
      <c r="C37" s="1219"/>
      <c r="D37" s="1219"/>
      <c r="E37" s="1219"/>
      <c r="G37" s="1213" t="s">
        <v>78</v>
      </c>
      <c r="H37" s="1216"/>
      <c r="I37" s="1206" t="s">
        <v>79</v>
      </c>
      <c r="J37" s="1206" t="s">
        <v>80</v>
      </c>
      <c r="K37" s="1207"/>
    </row>
    <row r="38" spans="2:11" ht="15" customHeight="1" x14ac:dyDescent="0.3">
      <c r="B38" s="395" t="s">
        <v>81</v>
      </c>
      <c r="C38" s="1220" t="s">
        <v>82</v>
      </c>
      <c r="D38" s="1220"/>
      <c r="E38" s="1220"/>
      <c r="G38" s="1213"/>
      <c r="H38" s="1216"/>
      <c r="I38" s="1206"/>
      <c r="J38" s="1206"/>
      <c r="K38" s="1207"/>
    </row>
    <row r="39" spans="2:11" ht="15" customHeight="1" x14ac:dyDescent="0.3">
      <c r="B39" s="395" t="s">
        <v>83</v>
      </c>
      <c r="C39" s="1223">
        <v>32439</v>
      </c>
      <c r="D39" s="1218"/>
      <c r="E39" s="1218"/>
      <c r="G39" s="1213" t="s">
        <v>84</v>
      </c>
      <c r="H39" s="1214"/>
      <c r="I39" s="1212" t="s">
        <v>49</v>
      </c>
      <c r="J39" s="1206" t="s">
        <v>85</v>
      </c>
      <c r="K39" s="1207"/>
    </row>
    <row r="40" spans="2:11" ht="15" customHeight="1" x14ac:dyDescent="0.3">
      <c r="C40" s="397"/>
      <c r="D40" s="525"/>
      <c r="E40" s="525"/>
      <c r="G40" s="1213"/>
      <c r="H40" s="1214"/>
      <c r="I40" s="1212"/>
      <c r="J40" s="1206"/>
      <c r="K40" s="1207"/>
    </row>
    <row r="41" spans="2:11" ht="15" customHeight="1" x14ac:dyDescent="0.3">
      <c r="B41" s="367" t="s">
        <v>86</v>
      </c>
      <c r="C41" s="1224">
        <v>45695</v>
      </c>
      <c r="D41" s="1218"/>
      <c r="E41" s="1218"/>
      <c r="G41" s="1213" t="s">
        <v>87</v>
      </c>
      <c r="H41" s="1214"/>
      <c r="I41" s="1222"/>
      <c r="J41" s="1207"/>
      <c r="K41" s="1207"/>
    </row>
    <row r="42" spans="2:11" ht="15" customHeight="1" x14ac:dyDescent="0.3">
      <c r="B42" s="367" t="s">
        <v>88</v>
      </c>
      <c r="C42" s="1236">
        <v>45411</v>
      </c>
      <c r="D42" s="1218"/>
      <c r="E42" s="1218"/>
      <c r="G42" s="1213"/>
      <c r="H42" s="1214"/>
      <c r="I42" s="1222"/>
      <c r="J42" s="1207"/>
      <c r="K42" s="1207"/>
    </row>
    <row r="43" spans="2:11" ht="15" customHeight="1" x14ac:dyDescent="0.3">
      <c r="C43" s="396"/>
      <c r="D43" s="396"/>
      <c r="E43" s="396"/>
      <c r="G43" s="370"/>
      <c r="H43" s="390"/>
      <c r="I43" s="391"/>
      <c r="J43" s="392"/>
      <c r="K43" s="392"/>
    </row>
    <row r="44" spans="2:11" ht="15" customHeight="1" x14ac:dyDescent="0.3">
      <c r="B44" s="366" t="s">
        <v>89</v>
      </c>
      <c r="C44" s="366"/>
      <c r="D44" s="366"/>
      <c r="E44" s="366"/>
      <c r="G44" s="366" t="s">
        <v>90</v>
      </c>
      <c r="H44" s="366"/>
      <c r="I44" s="366"/>
      <c r="J44" s="366"/>
      <c r="K44" s="366"/>
    </row>
    <row r="45" spans="2:11" s="21" customFormat="1" ht="4" customHeight="1" x14ac:dyDescent="0.3">
      <c r="B45" s="34"/>
      <c r="C45" s="34"/>
      <c r="D45" s="34"/>
      <c r="E45" s="34"/>
      <c r="F45" s="371"/>
      <c r="G45" s="34"/>
      <c r="H45" s="34"/>
      <c r="I45" s="34"/>
      <c r="J45" s="34"/>
      <c r="K45" s="34"/>
    </row>
    <row r="46" spans="2:11" ht="15" customHeight="1" thickBot="1" x14ac:dyDescent="0.35">
      <c r="B46" s="388"/>
      <c r="C46" s="388"/>
      <c r="D46" s="388"/>
      <c r="E46" s="388"/>
      <c r="G46" s="388"/>
      <c r="H46" s="389" t="s">
        <v>60</v>
      </c>
      <c r="I46" s="389" t="s">
        <v>61</v>
      </c>
      <c r="J46" s="389" t="s">
        <v>62</v>
      </c>
      <c r="K46" s="389" t="s">
        <v>63</v>
      </c>
    </row>
    <row r="47" spans="2:11" ht="15" customHeight="1" x14ac:dyDescent="0.3">
      <c r="B47" s="1231" t="s">
        <v>91</v>
      </c>
      <c r="C47" s="1232"/>
      <c r="D47" s="1232"/>
      <c r="E47" s="1232"/>
      <c r="G47" s="1213" t="s">
        <v>92</v>
      </c>
      <c r="H47" s="1216"/>
      <c r="I47" s="1212" t="s">
        <v>49</v>
      </c>
      <c r="J47" s="1206" t="s">
        <v>93</v>
      </c>
      <c r="K47" s="1207"/>
    </row>
    <row r="48" spans="2:11" ht="15" customHeight="1" x14ac:dyDescent="0.3">
      <c r="B48" s="1233"/>
      <c r="C48" s="1234"/>
      <c r="D48" s="1234"/>
      <c r="E48" s="1234"/>
      <c r="G48" s="1213"/>
      <c r="H48" s="1216"/>
      <c r="I48" s="1212"/>
      <c r="J48" s="1206"/>
      <c r="K48" s="1207"/>
    </row>
    <row r="49" spans="2:11" ht="15" customHeight="1" x14ac:dyDescent="0.3">
      <c r="B49" s="1233" t="s">
        <v>94</v>
      </c>
      <c r="C49" s="1233"/>
      <c r="D49" s="1233"/>
      <c r="E49" s="1233"/>
      <c r="G49" s="1213" t="s">
        <v>95</v>
      </c>
      <c r="H49" s="1216"/>
      <c r="I49" s="1212" t="s">
        <v>96</v>
      </c>
      <c r="J49" s="1206" t="s">
        <v>97</v>
      </c>
      <c r="K49" s="1207"/>
    </row>
    <row r="50" spans="2:11" ht="15" customHeight="1" x14ac:dyDescent="0.3">
      <c r="B50" s="1234"/>
      <c r="C50" s="1234"/>
      <c r="D50" s="1234"/>
      <c r="E50" s="1234"/>
      <c r="G50" s="1213"/>
      <c r="H50" s="1216"/>
      <c r="I50" s="1212"/>
      <c r="J50" s="1206"/>
      <c r="K50" s="1207"/>
    </row>
    <row r="51" spans="2:11" ht="15" customHeight="1" x14ac:dyDescent="0.3">
      <c r="B51" s="1233" t="s">
        <v>98</v>
      </c>
      <c r="C51" s="1234"/>
      <c r="D51" s="1234"/>
      <c r="E51" s="1234"/>
      <c r="G51" s="1213" t="s">
        <v>99</v>
      </c>
      <c r="H51" s="1214"/>
      <c r="I51" s="1206" t="s">
        <v>100</v>
      </c>
      <c r="J51" s="1206" t="s">
        <v>101</v>
      </c>
      <c r="K51" s="1207"/>
    </row>
    <row r="52" spans="2:11" ht="15" customHeight="1" x14ac:dyDescent="0.3">
      <c r="B52" s="1234"/>
      <c r="C52" s="1234"/>
      <c r="D52" s="1234"/>
      <c r="E52" s="1234"/>
      <c r="G52" s="1213"/>
      <c r="H52" s="1214"/>
      <c r="I52" s="1206"/>
      <c r="J52" s="1206"/>
      <c r="K52" s="1207"/>
    </row>
    <row r="53" spans="2:11" ht="15" customHeight="1" x14ac:dyDescent="0.3">
      <c r="B53" s="1233" t="s">
        <v>102</v>
      </c>
      <c r="C53" s="1233"/>
      <c r="D53" s="1233"/>
      <c r="E53" s="1233"/>
      <c r="G53" s="1213" t="s">
        <v>103</v>
      </c>
      <c r="H53" s="1214"/>
      <c r="I53" s="1206" t="s">
        <v>104</v>
      </c>
      <c r="J53" s="1206" t="s">
        <v>105</v>
      </c>
      <c r="K53" s="1206" t="s">
        <v>106</v>
      </c>
    </row>
    <row r="54" spans="2:11" ht="15" customHeight="1" x14ac:dyDescent="0.3">
      <c r="B54" s="1234"/>
      <c r="C54" s="1234"/>
      <c r="D54" s="1234"/>
      <c r="E54" s="1234"/>
      <c r="G54" s="1213"/>
      <c r="H54" s="1214"/>
      <c r="I54" s="1206"/>
      <c r="J54" s="1206"/>
      <c r="K54" s="1206"/>
    </row>
    <row r="55" spans="2:11" ht="15" customHeight="1" x14ac:dyDescent="0.3">
      <c r="B55" s="1233" t="s">
        <v>107</v>
      </c>
      <c r="C55" s="1233"/>
      <c r="D55" s="1233"/>
      <c r="E55" s="1233"/>
      <c r="G55" s="1213" t="s">
        <v>108</v>
      </c>
      <c r="H55" s="1214"/>
      <c r="I55" s="1206" t="s">
        <v>109</v>
      </c>
      <c r="J55" s="1206" t="s">
        <v>110</v>
      </c>
      <c r="K55" s="1206" t="s">
        <v>111</v>
      </c>
    </row>
    <row r="56" spans="2:11" ht="15" customHeight="1" x14ac:dyDescent="0.3">
      <c r="B56" s="1234"/>
      <c r="C56" s="1234"/>
      <c r="D56" s="1234"/>
      <c r="E56" s="1234"/>
      <c r="G56" s="1213"/>
      <c r="H56" s="1214"/>
      <c r="I56" s="1206"/>
      <c r="J56" s="1206"/>
      <c r="K56" s="1206"/>
    </row>
    <row r="57" spans="2:11" ht="15" customHeight="1" x14ac:dyDescent="0.3">
      <c r="B57" s="1234"/>
      <c r="C57" s="1234"/>
      <c r="D57" s="1234"/>
      <c r="E57" s="1234"/>
      <c r="G57" s="1213" t="s">
        <v>112</v>
      </c>
      <c r="H57" s="1214"/>
      <c r="I57" s="1212" t="s">
        <v>49</v>
      </c>
      <c r="J57" s="1206" t="s">
        <v>49</v>
      </c>
      <c r="K57" s="1206" t="s">
        <v>113</v>
      </c>
    </row>
    <row r="58" spans="2:11" ht="15" customHeight="1" x14ac:dyDescent="0.3">
      <c r="B58" s="1234"/>
      <c r="C58" s="1234"/>
      <c r="D58" s="1234"/>
      <c r="E58" s="1234"/>
      <c r="G58" s="1213"/>
      <c r="H58" s="1214"/>
      <c r="I58" s="1212"/>
      <c r="J58" s="1206"/>
      <c r="K58" s="1206"/>
    </row>
    <row r="59" spans="2:11" ht="15" customHeight="1" x14ac:dyDescent="0.3">
      <c r="B59" s="1234"/>
      <c r="C59" s="1234"/>
      <c r="D59" s="1234"/>
      <c r="E59" s="1234"/>
      <c r="G59" s="1213" t="s">
        <v>114</v>
      </c>
      <c r="H59" s="1216"/>
      <c r="I59" s="1212" t="s">
        <v>49</v>
      </c>
      <c r="J59" s="1206" t="s">
        <v>49</v>
      </c>
      <c r="K59" s="1206" t="s">
        <v>115</v>
      </c>
    </row>
    <row r="60" spans="2:11" ht="15" customHeight="1" x14ac:dyDescent="0.3">
      <c r="B60" s="1234"/>
      <c r="C60" s="1234"/>
      <c r="D60" s="1234"/>
      <c r="E60" s="1234"/>
      <c r="G60" s="1213"/>
      <c r="H60" s="1216"/>
      <c r="I60" s="1212"/>
      <c r="J60" s="1206"/>
      <c r="K60" s="1206"/>
    </row>
    <row r="61" spans="2:11" ht="15" customHeight="1" x14ac:dyDescent="0.3">
      <c r="B61" s="1234"/>
      <c r="C61" s="1234"/>
      <c r="D61" s="1234"/>
      <c r="E61" s="1234"/>
      <c r="G61" s="1213" t="s">
        <v>116</v>
      </c>
      <c r="H61" s="1216"/>
      <c r="I61" s="1212" t="s">
        <v>49</v>
      </c>
      <c r="J61" s="1206" t="s">
        <v>49</v>
      </c>
      <c r="K61" s="1206" t="s">
        <v>117</v>
      </c>
    </row>
    <row r="62" spans="2:11" ht="15" customHeight="1" x14ac:dyDescent="0.3">
      <c r="B62" s="1234"/>
      <c r="C62" s="1234"/>
      <c r="D62" s="1234"/>
      <c r="E62" s="1234"/>
      <c r="G62" s="1213"/>
      <c r="H62" s="1216"/>
      <c r="I62" s="1212"/>
      <c r="J62" s="1206"/>
      <c r="K62" s="1206"/>
    </row>
    <row r="63" spans="2:11" ht="15" customHeight="1" x14ac:dyDescent="0.3">
      <c r="B63" s="1234"/>
      <c r="C63" s="1234"/>
      <c r="D63" s="1234"/>
      <c r="E63" s="1234"/>
      <c r="G63" s="1213" t="s">
        <v>118</v>
      </c>
      <c r="H63" s="1216"/>
      <c r="I63" s="1206" t="s">
        <v>119</v>
      </c>
      <c r="J63" s="1206" t="s">
        <v>120</v>
      </c>
      <c r="K63" s="1206" t="s">
        <v>121</v>
      </c>
    </row>
    <row r="64" spans="2:11" ht="15" customHeight="1" x14ac:dyDescent="0.3">
      <c r="B64" s="1234"/>
      <c r="C64" s="1234"/>
      <c r="D64" s="1234"/>
      <c r="E64" s="1234"/>
      <c r="G64" s="1213"/>
      <c r="H64" s="1216"/>
      <c r="I64" s="1206"/>
      <c r="J64" s="1206"/>
      <c r="K64" s="1206"/>
    </row>
    <row r="65" spans="2:11" ht="15" customHeight="1" x14ac:dyDescent="0.3">
      <c r="B65" s="1234"/>
      <c r="C65" s="1234"/>
      <c r="D65" s="1234"/>
      <c r="E65" s="1234"/>
      <c r="G65" s="1213" t="s">
        <v>122</v>
      </c>
      <c r="H65" s="1214"/>
      <c r="I65" s="1206" t="s">
        <v>123</v>
      </c>
      <c r="J65" s="1206" t="s">
        <v>124</v>
      </c>
      <c r="K65" s="1207"/>
    </row>
    <row r="66" spans="2:11" ht="15" customHeight="1" x14ac:dyDescent="0.3">
      <c r="B66" s="1234"/>
      <c r="C66" s="1234"/>
      <c r="D66" s="1234"/>
      <c r="E66" s="1234"/>
      <c r="G66" s="1213"/>
      <c r="H66" s="1214"/>
      <c r="I66" s="1206"/>
      <c r="J66" s="1206"/>
      <c r="K66" s="1207"/>
    </row>
    <row r="67" spans="2:11" ht="15" customHeight="1" x14ac:dyDescent="0.3">
      <c r="B67" s="1234"/>
      <c r="C67" s="1234"/>
      <c r="D67" s="1234"/>
      <c r="E67" s="1234"/>
      <c r="G67" s="1213" t="s">
        <v>125</v>
      </c>
      <c r="H67" s="1215"/>
      <c r="I67" s="1206" t="s">
        <v>126</v>
      </c>
      <c r="J67" s="1206" t="s">
        <v>127</v>
      </c>
      <c r="K67" s="1206" t="s">
        <v>128</v>
      </c>
    </row>
    <row r="68" spans="2:11" ht="15" customHeight="1" x14ac:dyDescent="0.3">
      <c r="B68" s="1234"/>
      <c r="C68" s="1234"/>
      <c r="D68" s="1234"/>
      <c r="E68" s="1234"/>
      <c r="G68" s="1213"/>
      <c r="H68" s="1215"/>
      <c r="I68" s="1206"/>
      <c r="J68" s="1206"/>
      <c r="K68" s="1206"/>
    </row>
    <row r="69" spans="2:11" ht="15" customHeight="1" x14ac:dyDescent="0.3">
      <c r="G69" s="370"/>
      <c r="H69" s="390"/>
      <c r="I69" s="391"/>
      <c r="J69" s="392"/>
      <c r="K69" s="392"/>
    </row>
    <row r="70" spans="2:11" ht="15" customHeight="1" x14ac:dyDescent="0.3">
      <c r="B70" s="375" t="s">
        <v>129</v>
      </c>
      <c r="C70" s="375"/>
      <c r="D70" s="375"/>
      <c r="E70" s="376"/>
      <c r="G70" s="366" t="s">
        <v>130</v>
      </c>
      <c r="H70" s="366"/>
      <c r="I70" s="366"/>
      <c r="J70" s="366"/>
      <c r="K70" s="366"/>
    </row>
    <row r="71" spans="2:11" s="21" customFormat="1" ht="4" customHeight="1" x14ac:dyDescent="0.3">
      <c r="B71" s="380"/>
      <c r="C71" s="380"/>
      <c r="D71" s="380"/>
      <c r="E71" s="380"/>
      <c r="F71" s="371"/>
      <c r="G71" s="34"/>
      <c r="H71" s="34"/>
      <c r="I71" s="34"/>
      <c r="J71" s="34"/>
      <c r="K71" s="34"/>
    </row>
    <row r="72" spans="2:11" ht="15" customHeight="1" thickBot="1" x14ac:dyDescent="0.35">
      <c r="B72" s="389" t="s">
        <v>131</v>
      </c>
      <c r="C72" s="394" t="s">
        <v>132</v>
      </c>
      <c r="D72" s="394"/>
      <c r="E72" s="394" t="s">
        <v>133</v>
      </c>
      <c r="G72" s="388"/>
      <c r="H72" s="389" t="s">
        <v>60</v>
      </c>
      <c r="I72" s="389" t="s">
        <v>61</v>
      </c>
      <c r="J72" s="389" t="s">
        <v>62</v>
      </c>
      <c r="K72" s="389" t="s">
        <v>63</v>
      </c>
    </row>
    <row r="73" spans="2:11" ht="15" customHeight="1" x14ac:dyDescent="0.3">
      <c r="B73" s="731" t="s">
        <v>134</v>
      </c>
      <c r="C73" s="1238" t="s">
        <v>135</v>
      </c>
      <c r="D73" s="1238"/>
      <c r="E73" s="371" t="s">
        <v>136</v>
      </c>
      <c r="G73" s="1213" t="s">
        <v>137</v>
      </c>
      <c r="H73" s="1210"/>
      <c r="I73" s="1212" t="s">
        <v>49</v>
      </c>
      <c r="J73" s="1206" t="s">
        <v>49</v>
      </c>
      <c r="K73" s="1206" t="s">
        <v>138</v>
      </c>
    </row>
    <row r="74" spans="2:11" ht="15" customHeight="1" x14ac:dyDescent="0.3">
      <c r="B74" t="s">
        <v>139</v>
      </c>
      <c r="C74" s="1235" t="s">
        <v>140</v>
      </c>
      <c r="D74" s="1235"/>
      <c r="E74" s="371" t="s">
        <v>141</v>
      </c>
      <c r="G74" s="1213"/>
      <c r="H74" s="1210"/>
      <c r="I74" s="1212"/>
      <c r="J74" s="1206"/>
      <c r="K74" s="1206"/>
    </row>
    <row r="75" spans="2:11" ht="15" customHeight="1" x14ac:dyDescent="0.3">
      <c r="B75" t="s">
        <v>142</v>
      </c>
      <c r="C75" s="1237" t="s">
        <v>143</v>
      </c>
      <c r="D75" s="1235"/>
      <c r="E75" s="371" t="s">
        <v>144</v>
      </c>
      <c r="G75" s="1213" t="s">
        <v>145</v>
      </c>
      <c r="H75" s="1210"/>
      <c r="I75" s="1206" t="s">
        <v>146</v>
      </c>
      <c r="J75" s="1206" t="s">
        <v>147</v>
      </c>
      <c r="K75" s="1206" t="s">
        <v>148</v>
      </c>
    </row>
    <row r="76" spans="2:11" ht="15" customHeight="1" x14ac:dyDescent="0.3">
      <c r="B76" t="s">
        <v>149</v>
      </c>
      <c r="C76" s="1235" t="s">
        <v>150</v>
      </c>
      <c r="D76" s="1235"/>
      <c r="E76" s="371" t="s">
        <v>151</v>
      </c>
      <c r="G76" s="1213"/>
      <c r="H76" s="1210"/>
      <c r="I76" s="1206"/>
      <c r="J76" s="1206"/>
      <c r="K76" s="1206"/>
    </row>
    <row r="77" spans="2:11" ht="15" customHeight="1" x14ac:dyDescent="0.3">
      <c r="B77" t="s">
        <v>152</v>
      </c>
      <c r="C77" s="1235" t="s">
        <v>153</v>
      </c>
      <c r="D77" s="1235"/>
      <c r="E77" s="734" t="s">
        <v>154</v>
      </c>
      <c r="G77" s="1213" t="s">
        <v>155</v>
      </c>
      <c r="H77" s="1210"/>
      <c r="I77" s="1212" t="s">
        <v>49</v>
      </c>
      <c r="J77" s="1206" t="s">
        <v>49</v>
      </c>
      <c r="K77" s="1206" t="s">
        <v>156</v>
      </c>
    </row>
    <row r="78" spans="2:11" ht="15" customHeight="1" x14ac:dyDescent="0.3">
      <c r="B78" t="s">
        <v>157</v>
      </c>
      <c r="C78" s="1237" t="s">
        <v>158</v>
      </c>
      <c r="D78" s="1235"/>
      <c r="E78" s="371" t="s">
        <v>159</v>
      </c>
      <c r="G78" s="1213"/>
      <c r="H78" s="1210"/>
      <c r="I78" s="1212"/>
      <c r="J78" s="1206"/>
      <c r="K78" s="1206"/>
    </row>
    <row r="79" spans="2:11" ht="15" customHeight="1" x14ac:dyDescent="0.3">
      <c r="B79" t="s">
        <v>160</v>
      </c>
      <c r="C79" s="1235" t="s">
        <v>161</v>
      </c>
      <c r="D79" s="1235"/>
      <c r="E79" s="371" t="s">
        <v>162</v>
      </c>
      <c r="G79" s="1213" t="s">
        <v>163</v>
      </c>
      <c r="H79" s="1208"/>
      <c r="I79" s="1212" t="s">
        <v>49</v>
      </c>
      <c r="J79" s="1206" t="s">
        <v>49</v>
      </c>
      <c r="K79" s="1206" t="s">
        <v>164</v>
      </c>
    </row>
    <row r="80" spans="2:11" ht="15" customHeight="1" x14ac:dyDescent="0.3">
      <c r="B80" s="371" t="s">
        <v>165</v>
      </c>
      <c r="C80" s="1235" t="s">
        <v>166</v>
      </c>
      <c r="D80" s="1235"/>
      <c r="E80" s="371" t="s">
        <v>154</v>
      </c>
      <c r="G80" s="1213"/>
      <c r="H80" s="1208"/>
      <c r="I80" s="1212"/>
      <c r="J80" s="1206"/>
      <c r="K80" s="1206"/>
    </row>
    <row r="81" spans="2:11" ht="15" customHeight="1" x14ac:dyDescent="0.3">
      <c r="B81" t="s">
        <v>167</v>
      </c>
      <c r="C81" s="1235" t="s">
        <v>168</v>
      </c>
      <c r="D81" s="1235"/>
      <c r="E81" s="371" t="s">
        <v>169</v>
      </c>
      <c r="G81" s="1213" t="s">
        <v>170</v>
      </c>
      <c r="H81" s="1209"/>
      <c r="I81" s="1212" t="s">
        <v>171</v>
      </c>
      <c r="J81" s="1206" t="s">
        <v>172</v>
      </c>
      <c r="K81" s="1211" t="s">
        <v>173</v>
      </c>
    </row>
    <row r="82" spans="2:11" ht="15" customHeight="1" x14ac:dyDescent="0.3">
      <c r="B82" t="s">
        <v>174</v>
      </c>
      <c r="C82" s="1235" t="s">
        <v>175</v>
      </c>
      <c r="D82" s="1235"/>
      <c r="E82" s="371" t="s">
        <v>162</v>
      </c>
      <c r="G82" s="1213"/>
      <c r="H82" s="1209"/>
      <c r="I82" s="1212"/>
      <c r="J82" s="1206"/>
      <c r="K82" s="1206"/>
    </row>
    <row r="83" spans="2:11" ht="15" customHeight="1" x14ac:dyDescent="0.3">
      <c r="B83" t="s">
        <v>176</v>
      </c>
      <c r="C83" s="1237" t="s">
        <v>161</v>
      </c>
      <c r="D83" s="1235"/>
      <c r="E83" s="371" t="s">
        <v>177</v>
      </c>
      <c r="G83" s="1213" t="s">
        <v>178</v>
      </c>
      <c r="H83" s="1208"/>
      <c r="I83" s="1206" t="s">
        <v>179</v>
      </c>
      <c r="J83" s="1206" t="s">
        <v>49</v>
      </c>
      <c r="K83" s="1206" t="s">
        <v>180</v>
      </c>
    </row>
    <row r="84" spans="2:11" ht="15" customHeight="1" x14ac:dyDescent="0.3">
      <c r="B84"/>
      <c r="C84" s="1230"/>
      <c r="D84" s="1230"/>
      <c r="E84" s="371"/>
      <c r="G84" s="1213"/>
      <c r="H84" s="1208"/>
      <c r="I84" s="1206"/>
      <c r="J84" s="1206"/>
      <c r="K84" s="1206"/>
    </row>
    <row r="85" spans="2:11" ht="15" customHeight="1" x14ac:dyDescent="0.3">
      <c r="C85" s="1230"/>
      <c r="D85" s="1230"/>
      <c r="E85" s="371"/>
      <c r="G85" s="1213" t="s">
        <v>181</v>
      </c>
      <c r="H85" s="1210"/>
      <c r="I85" s="1212" t="s">
        <v>49</v>
      </c>
      <c r="J85" s="1206" t="s">
        <v>49</v>
      </c>
      <c r="K85" s="1206" t="s">
        <v>182</v>
      </c>
    </row>
    <row r="86" spans="2:11" ht="15" customHeight="1" x14ac:dyDescent="0.3">
      <c r="C86" s="1230"/>
      <c r="D86" s="1230"/>
      <c r="E86" s="371"/>
      <c r="G86" s="1213"/>
      <c r="H86" s="1210"/>
      <c r="I86" s="1212"/>
      <c r="J86" s="1206"/>
      <c r="K86" s="1206"/>
    </row>
    <row r="87" spans="2:11" ht="15" customHeight="1" x14ac:dyDescent="0.3">
      <c r="C87" s="1230"/>
      <c r="D87" s="1230"/>
      <c r="E87" s="371"/>
      <c r="G87" s="1213" t="s">
        <v>183</v>
      </c>
      <c r="H87" s="1208"/>
      <c r="I87" s="1206" t="s">
        <v>184</v>
      </c>
      <c r="J87" s="1206" t="s">
        <v>49</v>
      </c>
      <c r="K87" s="1206" t="s">
        <v>185</v>
      </c>
    </row>
    <row r="88" spans="2:11" ht="15" customHeight="1" x14ac:dyDescent="0.3">
      <c r="C88" s="1230"/>
      <c r="D88" s="1230"/>
      <c r="E88" s="371"/>
      <c r="G88" s="1213"/>
      <c r="H88" s="1208"/>
      <c r="I88" s="1206"/>
      <c r="J88" s="1206"/>
      <c r="K88" s="1206"/>
    </row>
    <row r="89" spans="2:11" ht="15" customHeight="1" x14ac:dyDescent="0.3">
      <c r="C89" s="1230"/>
      <c r="D89" s="1230"/>
      <c r="E89" s="371"/>
      <c r="G89" s="1213" t="s">
        <v>186</v>
      </c>
      <c r="H89" s="1210"/>
      <c r="I89" s="1206" t="s">
        <v>187</v>
      </c>
      <c r="J89" s="1206" t="s">
        <v>49</v>
      </c>
      <c r="K89" s="1206" t="s">
        <v>188</v>
      </c>
    </row>
    <row r="90" spans="2:11" ht="15" customHeight="1" x14ac:dyDescent="0.3">
      <c r="C90" s="1230"/>
      <c r="D90" s="1230"/>
      <c r="E90" s="371"/>
      <c r="G90" s="1213"/>
      <c r="H90" s="1210"/>
      <c r="I90" s="1206"/>
      <c r="J90" s="1206"/>
      <c r="K90" s="1206"/>
    </row>
    <row r="91" spans="2:11" ht="15" customHeight="1" x14ac:dyDescent="0.3">
      <c r="C91" s="1230"/>
      <c r="D91" s="1230"/>
      <c r="E91" s="371"/>
      <c r="G91" s="1213" t="s">
        <v>189</v>
      </c>
      <c r="H91" s="1210"/>
      <c r="I91" s="1206" t="s">
        <v>190</v>
      </c>
      <c r="J91" s="1206" t="s">
        <v>191</v>
      </c>
      <c r="K91" s="1207"/>
    </row>
    <row r="92" spans="2:11" ht="15" customHeight="1" x14ac:dyDescent="0.3">
      <c r="C92" s="1230"/>
      <c r="D92" s="1230"/>
      <c r="E92" s="371"/>
      <c r="G92" s="1213"/>
      <c r="H92" s="1210"/>
      <c r="I92" s="1206"/>
      <c r="J92" s="1206"/>
      <c r="K92" s="1207"/>
    </row>
    <row r="93" spans="2:11" ht="15" customHeight="1" x14ac:dyDescent="0.3">
      <c r="C93" s="1230"/>
      <c r="D93" s="1230"/>
      <c r="E93" s="371"/>
      <c r="G93" s="1213" t="s">
        <v>192</v>
      </c>
      <c r="H93" s="1210"/>
      <c r="I93" s="1212" t="s">
        <v>49</v>
      </c>
      <c r="J93" s="1206" t="s">
        <v>49</v>
      </c>
      <c r="K93" s="1206" t="s">
        <v>193</v>
      </c>
    </row>
    <row r="94" spans="2:11" ht="15" customHeight="1" x14ac:dyDescent="0.3">
      <c r="G94" s="1213"/>
      <c r="H94" s="1210"/>
      <c r="I94" s="1212"/>
      <c r="J94" s="1206"/>
      <c r="K94" s="1206"/>
    </row>
  </sheetData>
  <mergeCells count="206">
    <mergeCell ref="C42:E42"/>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 ref="C90:D90"/>
    <mergeCell ref="C91:D91"/>
    <mergeCell ref="C92:D92"/>
    <mergeCell ref="C93:D93"/>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C81:D81"/>
    <mergeCell ref="C82:D82"/>
    <mergeCell ref="D27:E27"/>
    <mergeCell ref="D23:E23"/>
    <mergeCell ref="D24:E24"/>
    <mergeCell ref="D19:E19"/>
    <mergeCell ref="D15:E15"/>
    <mergeCell ref="D16:E16"/>
    <mergeCell ref="D17:E17"/>
    <mergeCell ref="D18:E18"/>
    <mergeCell ref="D20:E20"/>
    <mergeCell ref="D21:E21"/>
    <mergeCell ref="D22:E22"/>
    <mergeCell ref="D25:E25"/>
    <mergeCell ref="D26:E26"/>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G47:G48"/>
    <mergeCell ref="G49:G50"/>
    <mergeCell ref="G51:G52"/>
    <mergeCell ref="G53:G54"/>
    <mergeCell ref="G73:G74"/>
    <mergeCell ref="G55:G56"/>
    <mergeCell ref="G57:G58"/>
    <mergeCell ref="G59:G60"/>
    <mergeCell ref="G61:G62"/>
    <mergeCell ref="G63:G64"/>
    <mergeCell ref="G65:G66"/>
    <mergeCell ref="G67:G68"/>
    <mergeCell ref="I75:I76"/>
    <mergeCell ref="J75:J76"/>
    <mergeCell ref="I77:I78"/>
    <mergeCell ref="J77:J78"/>
    <mergeCell ref="I79:I80"/>
    <mergeCell ref="J79:J80"/>
    <mergeCell ref="I81:I82"/>
    <mergeCell ref="J81:J82"/>
    <mergeCell ref="I61:I62"/>
    <mergeCell ref="J73:J74"/>
    <mergeCell ref="I65:I66"/>
    <mergeCell ref="I67:I68"/>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hyperlinks>
    <hyperlink ref="B47" r:id="rId1" xr:uid="{C1AF035B-29F9-4D7A-A671-5B93EBF2A9DE}"/>
    <hyperlink ref="B51" r:id="rId2" xr:uid="{8DA77010-3BD2-42FC-B116-A6CEA022EE21}"/>
    <hyperlink ref="B49:E49" r:id="rId3" display="https://investor.unionpacific.com/news-releases/news-release-details/union-pacific-railroad-announces-pay-raises-and-labor-agreements" xr:uid="{5B354852-5EF7-4B63-83AD-C49750B6E51E}"/>
    <hyperlink ref="B53:E53" r:id="rId4" display="https://www.wsj.com/articles/union-pacific-ordered-to-pay-damages-for-retaliating-against-worker-264ee9f0?" xr:uid="{8BB9EF24-EB42-4881-B2E8-794941B06032}"/>
    <hyperlink ref="B55:E55" r:id="rId5" display="https://www.theguardian.com/us-news/2025/aug/25/union-pacific-norfolk-southern-railroad-merger?" xr:uid="{F54B7D83-468B-48D8-ADA4-F6094134E218}"/>
  </hyperlinks>
  <pageMargins left="0.7" right="0.7" top="0.75" bottom="0.75" header="0.3" footer="0.3"/>
  <pageSetup paperSize="9"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36"/>
  <sheetViews>
    <sheetView showGridLines="0" topLeftCell="A6" zoomScale="65" zoomScaleNormal="100" workbookViewId="0">
      <selection activeCell="G13" sqref="G13"/>
    </sheetView>
  </sheetViews>
  <sheetFormatPr defaultColWidth="11.5" defaultRowHeight="15" customHeight="1" x14ac:dyDescent="0.3"/>
  <cols>
    <col min="1" max="1" width="2" style="21" customWidth="1"/>
    <col min="2" max="2" width="46.83203125" style="21" customWidth="1"/>
    <col min="3" max="3" width="3.5" style="21" customWidth="1"/>
    <col min="4" max="11" width="11.5" style="21"/>
    <col min="12" max="12" width="14.5" style="21" customWidth="1"/>
    <col min="13" max="13" width="11.5" style="21"/>
    <col min="14" max="14" width="1.5" style="21" customWidth="1"/>
    <col min="15" max="16384" width="11.5" style="21"/>
  </cols>
  <sheetData>
    <row r="1" spans="1:19" s="569" customFormat="1" ht="15" customHeight="1" x14ac:dyDescent="0.3"/>
    <row r="2" spans="1:19" s="569" customFormat="1" ht="15" customHeight="1" x14ac:dyDescent="0.3"/>
    <row r="3" spans="1:19" s="569" customFormat="1" ht="15" customHeight="1" x14ac:dyDescent="0.3"/>
    <row r="4" spans="1:19" s="569" customFormat="1" ht="15" customHeight="1" x14ac:dyDescent="0.3"/>
    <row r="5" spans="1:19" s="34" customFormat="1" ht="4" customHeight="1" x14ac:dyDescent="0.3"/>
    <row r="6" spans="1:19" ht="15" customHeight="1" x14ac:dyDescent="0.3">
      <c r="D6" s="414">
        <v>584.16999999999996</v>
      </c>
      <c r="E6" s="414">
        <v>627.76</v>
      </c>
      <c r="F6" s="414">
        <v>676.06</v>
      </c>
      <c r="G6" s="414">
        <v>729.63</v>
      </c>
      <c r="H6" s="414">
        <v>789.13</v>
      </c>
      <c r="I6" s="414">
        <v>855.3</v>
      </c>
      <c r="J6" s="414">
        <v>929</v>
      </c>
      <c r="K6" s="414">
        <v>997.69</v>
      </c>
      <c r="L6" s="414">
        <v>1067.6300000000001</v>
      </c>
      <c r="M6" s="414">
        <v>1137.57</v>
      </c>
    </row>
    <row r="7" spans="1:19" ht="15" customHeight="1" x14ac:dyDescent="0.3">
      <c r="A7" s="41" t="s">
        <v>39</v>
      </c>
      <c r="B7" s="366" t="s">
        <v>194</v>
      </c>
      <c r="C7" s="183"/>
      <c r="D7" s="30"/>
      <c r="E7" s="30"/>
      <c r="F7" s="30"/>
      <c r="G7" s="30"/>
      <c r="H7" s="30"/>
      <c r="I7" s="30"/>
      <c r="J7" s="30"/>
      <c r="K7" s="30"/>
      <c r="L7" s="30"/>
      <c r="M7" s="30"/>
      <c r="N7" s="414"/>
      <c r="O7" s="366" t="s">
        <v>195</v>
      </c>
      <c r="P7" s="183"/>
      <c r="Q7" s="183"/>
      <c r="R7" s="183"/>
      <c r="S7" s="183"/>
    </row>
    <row r="8" spans="1:19" ht="15" customHeight="1" x14ac:dyDescent="0.3">
      <c r="B8" s="183"/>
      <c r="C8" s="183"/>
      <c r="D8" s="30"/>
      <c r="E8" s="30"/>
      <c r="F8" s="30"/>
      <c r="G8" s="30"/>
      <c r="H8" s="30"/>
      <c r="I8" s="30"/>
      <c r="J8" s="30"/>
      <c r="K8" s="30"/>
      <c r="L8" s="30"/>
      <c r="M8" s="30"/>
      <c r="N8" s="414"/>
      <c r="O8" s="183"/>
      <c r="P8" s="183"/>
      <c r="Q8" s="183"/>
      <c r="R8" s="183"/>
      <c r="S8" s="183"/>
    </row>
    <row r="9" spans="1:19" ht="15" customHeight="1" x14ac:dyDescent="0.3">
      <c r="B9" s="366"/>
      <c r="C9" s="30"/>
      <c r="D9" s="444">
        <v>2022</v>
      </c>
      <c r="E9" s="444">
        <f>+D9+1</f>
        <v>2023</v>
      </c>
      <c r="F9" s="444">
        <f>+E9+1</f>
        <v>2024</v>
      </c>
      <c r="G9" s="445">
        <f>+F9+1</f>
        <v>2025</v>
      </c>
      <c r="H9" s="445">
        <f t="shared" ref="H9:K9" si="0">+G9+1</f>
        <v>2026</v>
      </c>
      <c r="I9" s="445">
        <f t="shared" si="0"/>
        <v>2027</v>
      </c>
      <c r="J9" s="445">
        <f t="shared" si="0"/>
        <v>2028</v>
      </c>
      <c r="K9" s="445">
        <f t="shared" si="0"/>
        <v>2029</v>
      </c>
      <c r="L9" s="530"/>
      <c r="M9" s="531" t="str">
        <f>"CAGR "&amp;$G$9&amp;" - "&amp;$K$9</f>
        <v>CAGR 2025 - 2029</v>
      </c>
      <c r="N9" s="532"/>
      <c r="O9" s="30"/>
      <c r="P9" s="30"/>
      <c r="Q9" s="30"/>
      <c r="R9" s="30"/>
      <c r="S9" s="30"/>
    </row>
    <row r="10" spans="1:19" ht="4" customHeight="1" x14ac:dyDescent="0.3">
      <c r="B10" s="34"/>
      <c r="C10" s="34"/>
      <c r="D10" s="34"/>
      <c r="E10" s="34"/>
      <c r="F10" s="34"/>
      <c r="G10" s="34"/>
      <c r="H10" s="34"/>
      <c r="I10" s="34"/>
      <c r="J10" s="34"/>
      <c r="K10" s="34"/>
      <c r="L10" s="34"/>
      <c r="M10" s="373"/>
      <c r="O10" s="34"/>
      <c r="P10" s="34"/>
      <c r="Q10" s="34"/>
      <c r="R10" s="34"/>
      <c r="S10" s="34"/>
    </row>
    <row r="11" spans="1:19" ht="4" customHeight="1" x14ac:dyDescent="0.3">
      <c r="M11" s="524"/>
    </row>
    <row r="12" spans="1:19" ht="15" customHeight="1" x14ac:dyDescent="0.3">
      <c r="B12" s="367" t="s">
        <v>196</v>
      </c>
      <c r="C12" s="31"/>
      <c r="D12" s="539">
        <v>258.77</v>
      </c>
      <c r="E12" s="539">
        <v>273.23</v>
      </c>
      <c r="F12" s="539">
        <v>296.8</v>
      </c>
      <c r="G12" s="539">
        <v>330.2</v>
      </c>
      <c r="H12" s="539">
        <v>348.68</v>
      </c>
      <c r="I12" s="539">
        <v>367.99</v>
      </c>
      <c r="J12" s="539">
        <v>388.5</v>
      </c>
      <c r="K12" s="539">
        <v>410.23</v>
      </c>
      <c r="L12" s="528"/>
      <c r="M12" s="533">
        <f>(K12/G12)^(1/5)-1</f>
        <v>4.4359615361793558E-2</v>
      </c>
    </row>
    <row r="13" spans="1:19" ht="15" customHeight="1" x14ac:dyDescent="0.3">
      <c r="B13" s="537" t="s">
        <v>197</v>
      </c>
      <c r="D13" s="538">
        <v>0.23300000000000001</v>
      </c>
      <c r="E13" s="538">
        <v>0.245</v>
      </c>
      <c r="F13" s="538">
        <v>0.24399999999999999</v>
      </c>
      <c r="G13" s="538"/>
      <c r="H13" s="538"/>
      <c r="I13" s="538"/>
      <c r="J13" s="538"/>
      <c r="K13" s="538"/>
      <c r="L13" s="528"/>
      <c r="M13" s="541" t="e">
        <f>((K13*K12)/(G13*G12))^(1/5)-1</f>
        <v>#DIV/0!</v>
      </c>
    </row>
    <row r="14" spans="1:19" ht="15" customHeight="1" x14ac:dyDescent="0.3">
      <c r="B14" s="540" t="s">
        <v>198</v>
      </c>
      <c r="C14" s="31"/>
      <c r="D14" s="539"/>
      <c r="E14" s="539"/>
      <c r="F14" s="539"/>
      <c r="G14" s="539"/>
      <c r="H14" s="539"/>
      <c r="I14" s="539"/>
      <c r="J14" s="539"/>
      <c r="K14" s="539"/>
      <c r="L14" s="528"/>
      <c r="M14" s="533" t="e">
        <f>(K14/G14)^(1/5)-1</f>
        <v>#DIV/0!</v>
      </c>
    </row>
    <row r="15" spans="1:19" ht="15" customHeight="1" x14ac:dyDescent="0.3">
      <c r="B15" s="537" t="s">
        <v>197</v>
      </c>
      <c r="D15" s="538"/>
      <c r="E15" s="538"/>
      <c r="F15" s="538"/>
      <c r="G15" s="538"/>
      <c r="H15" s="538"/>
      <c r="I15" s="538"/>
      <c r="J15" s="538"/>
      <c r="K15" s="538"/>
      <c r="L15" s="528"/>
      <c r="M15" s="541" t="e">
        <f>((K15*K14)/(G15*G14))^(1/5)-1</f>
        <v>#DIV/0!</v>
      </c>
    </row>
    <row r="16" spans="1:19" ht="15" customHeight="1" x14ac:dyDescent="0.3">
      <c r="B16" s="540" t="s">
        <v>198</v>
      </c>
      <c r="C16" s="31"/>
      <c r="D16" s="539"/>
      <c r="E16" s="539"/>
      <c r="F16" s="539"/>
      <c r="G16" s="539"/>
      <c r="H16" s="539"/>
      <c r="I16" s="539"/>
      <c r="J16" s="539"/>
      <c r="K16" s="539"/>
      <c r="L16" s="528"/>
      <c r="M16" s="533" t="e">
        <f>(K16/G16)^(1/5)-1</f>
        <v>#DIV/0!</v>
      </c>
    </row>
    <row r="17" spans="1:19" ht="15" customHeight="1" x14ac:dyDescent="0.3">
      <c r="B17" s="537" t="s">
        <v>197</v>
      </c>
      <c r="D17" s="538"/>
      <c r="E17" s="538"/>
      <c r="F17" s="538"/>
      <c r="G17" s="538"/>
      <c r="H17" s="538"/>
      <c r="I17" s="538"/>
      <c r="J17" s="538"/>
      <c r="K17" s="538"/>
      <c r="L17" s="528"/>
      <c r="M17" s="541" t="e">
        <f>((K17*K16)/(G17*G16))^(1/5)-1</f>
        <v>#DIV/0!</v>
      </c>
    </row>
    <row r="18" spans="1:19" ht="15" customHeight="1" x14ac:dyDescent="0.3">
      <c r="B18" s="540" t="s">
        <v>198</v>
      </c>
      <c r="C18" s="31"/>
      <c r="D18" s="539"/>
      <c r="E18" s="539"/>
      <c r="F18" s="539"/>
      <c r="G18" s="539"/>
      <c r="H18" s="539"/>
      <c r="I18" s="539"/>
      <c r="J18" s="539"/>
      <c r="K18" s="539"/>
      <c r="L18" s="528"/>
      <c r="M18" s="533" t="e">
        <f>(K18/G18)^(1/5)-1</f>
        <v>#DIV/0!</v>
      </c>
    </row>
    <row r="19" spans="1:19" ht="15" customHeight="1" x14ac:dyDescent="0.3">
      <c r="B19" s="537" t="s">
        <v>197</v>
      </c>
      <c r="D19" s="538"/>
      <c r="E19" s="538"/>
      <c r="F19" s="538"/>
      <c r="G19" s="538"/>
      <c r="H19" s="538"/>
      <c r="I19" s="538"/>
      <c r="J19" s="538"/>
      <c r="K19" s="538"/>
      <c r="L19" s="528"/>
      <c r="M19" s="541" t="e">
        <f>((K19*K18)/(G19*G18))^(1/5)-1</f>
        <v>#DIV/0!</v>
      </c>
    </row>
    <row r="20" spans="1:19" ht="15" customHeight="1" x14ac:dyDescent="0.3">
      <c r="B20" s="540" t="s">
        <v>198</v>
      </c>
      <c r="C20" s="31"/>
      <c r="D20" s="539"/>
      <c r="E20" s="539"/>
      <c r="F20" s="539"/>
      <c r="G20" s="539"/>
      <c r="H20" s="539"/>
      <c r="I20" s="539"/>
      <c r="J20" s="539"/>
      <c r="K20" s="539"/>
      <c r="L20" s="528"/>
      <c r="M20" s="533" t="e">
        <f t="shared" ref="M20" si="1">(K20/G20)^(1/5)-1</f>
        <v>#DIV/0!</v>
      </c>
    </row>
    <row r="21" spans="1:19" ht="15" customHeight="1" x14ac:dyDescent="0.3">
      <c r="B21" s="537" t="s">
        <v>197</v>
      </c>
      <c r="D21" s="538"/>
      <c r="E21" s="538"/>
      <c r="F21" s="538"/>
      <c r="G21" s="538"/>
      <c r="H21" s="538"/>
      <c r="I21" s="538"/>
      <c r="J21" s="538"/>
      <c r="K21" s="538"/>
      <c r="L21" s="528"/>
      <c r="M21" s="541" t="e">
        <f>((K21*K20)/(G21*G20))^(1/5)-1</f>
        <v>#DIV/0!</v>
      </c>
    </row>
    <row r="22" spans="1:19" ht="15" customHeight="1" x14ac:dyDescent="0.3">
      <c r="E22" s="529"/>
    </row>
    <row r="23" spans="1:19" ht="15" customHeight="1" x14ac:dyDescent="0.3">
      <c r="A23" s="41" t="s">
        <v>39</v>
      </c>
      <c r="B23" s="30"/>
      <c r="C23" s="30"/>
      <c r="D23" s="30"/>
      <c r="E23" s="30"/>
      <c r="F23" s="30"/>
      <c r="G23" s="30"/>
      <c r="H23" s="30"/>
      <c r="I23" s="30"/>
      <c r="J23" s="30"/>
      <c r="K23" s="30"/>
      <c r="L23" s="30"/>
      <c r="M23" s="30"/>
      <c r="O23" s="30"/>
      <c r="P23" s="30"/>
      <c r="Q23" s="30"/>
      <c r="R23" s="30"/>
      <c r="S23" s="30"/>
    </row>
    <row r="24" spans="1:19" ht="15" customHeight="1" x14ac:dyDescent="0.3">
      <c r="B24" s="30"/>
      <c r="C24" s="30"/>
      <c r="D24" s="30"/>
      <c r="E24" s="30"/>
      <c r="F24" s="30"/>
      <c r="G24" s="30"/>
      <c r="H24" s="30"/>
      <c r="I24" s="30"/>
      <c r="J24" s="30"/>
      <c r="K24" s="30"/>
      <c r="L24" s="30"/>
      <c r="M24" s="30"/>
      <c r="O24" s="30"/>
      <c r="P24" s="30"/>
      <c r="Q24" s="30"/>
      <c r="R24" s="30"/>
      <c r="S24" s="30"/>
    </row>
    <row r="25" spans="1:19" s="414" customFormat="1" ht="15" customHeight="1" x14ac:dyDescent="0.3">
      <c r="B25" s="366" t="s">
        <v>199</v>
      </c>
      <c r="C25" s="30"/>
      <c r="D25" s="366" t="s">
        <v>200</v>
      </c>
      <c r="E25" s="30"/>
      <c r="F25" s="30"/>
      <c r="G25" s="30"/>
      <c r="H25" s="30"/>
      <c r="I25" s="30"/>
      <c r="J25" s="30"/>
      <c r="K25" s="30"/>
      <c r="L25" s="30"/>
      <c r="M25" s="30"/>
      <c r="O25" s="366" t="s">
        <v>201</v>
      </c>
      <c r="P25" s="30"/>
      <c r="Q25" s="30"/>
      <c r="R25" s="30"/>
      <c r="S25" s="30"/>
    </row>
    <row r="26" spans="1:19" ht="4" customHeight="1" x14ac:dyDescent="0.3">
      <c r="B26" s="34"/>
      <c r="C26" s="34"/>
      <c r="D26" s="34"/>
      <c r="E26" s="34"/>
      <c r="F26" s="34"/>
      <c r="G26" s="34"/>
      <c r="H26" s="34"/>
      <c r="I26" s="34"/>
      <c r="J26" s="34"/>
      <c r="K26" s="34"/>
      <c r="L26" s="34"/>
      <c r="M26" s="34"/>
      <c r="O26" s="34"/>
      <c r="P26" s="34"/>
      <c r="Q26" s="34"/>
      <c r="R26" s="34"/>
      <c r="S26" s="34"/>
    </row>
    <row r="27" spans="1:19" ht="60" customHeight="1" x14ac:dyDescent="0.3">
      <c r="B27" s="762" t="s">
        <v>202</v>
      </c>
      <c r="C27" s="534"/>
      <c r="D27" s="1239" t="s">
        <v>203</v>
      </c>
      <c r="E27" s="1239"/>
      <c r="F27" s="1239"/>
      <c r="G27" s="1239"/>
      <c r="H27" s="1239"/>
      <c r="I27" s="1239"/>
      <c r="J27" s="1239"/>
      <c r="K27" s="1239"/>
      <c r="L27" s="1239"/>
      <c r="M27" s="1239"/>
    </row>
    <row r="28" spans="1:19" ht="60" customHeight="1" x14ac:dyDescent="0.3">
      <c r="B28" s="762" t="s">
        <v>204</v>
      </c>
      <c r="C28" s="534"/>
      <c r="D28" s="1239" t="s">
        <v>205</v>
      </c>
      <c r="E28" s="1239"/>
      <c r="F28" s="1239"/>
      <c r="G28" s="1239"/>
      <c r="H28" s="1239"/>
      <c r="I28" s="1239"/>
      <c r="J28" s="1239"/>
      <c r="K28" s="1239"/>
      <c r="L28" s="1239"/>
      <c r="M28" s="1239"/>
    </row>
    <row r="29" spans="1:19" ht="60" customHeight="1" x14ac:dyDescent="0.3">
      <c r="B29" s="763" t="s">
        <v>206</v>
      </c>
      <c r="C29" s="534"/>
      <c r="D29" s="1240" t="s">
        <v>207</v>
      </c>
      <c r="E29" s="1240"/>
      <c r="F29" s="1240"/>
      <c r="G29" s="1240"/>
      <c r="H29" s="1240"/>
      <c r="I29" s="1240"/>
      <c r="J29" s="1240"/>
      <c r="K29" s="1240"/>
      <c r="L29" s="1240"/>
      <c r="M29" s="1240"/>
    </row>
    <row r="30" spans="1:19" ht="60" customHeight="1" x14ac:dyDescent="0.3">
      <c r="B30" s="763" t="s">
        <v>208</v>
      </c>
      <c r="C30" s="534"/>
      <c r="D30" s="1239" t="s">
        <v>209</v>
      </c>
      <c r="E30" s="1239"/>
      <c r="F30" s="1239"/>
      <c r="G30" s="1239"/>
      <c r="H30" s="1239"/>
      <c r="I30" s="1239"/>
      <c r="J30" s="1239"/>
      <c r="K30" s="1239"/>
      <c r="L30" s="1239"/>
      <c r="M30" s="1239"/>
    </row>
    <row r="31" spans="1:19" ht="60" customHeight="1" x14ac:dyDescent="0.3">
      <c r="B31" s="536"/>
      <c r="C31" s="534"/>
      <c r="D31" s="1240"/>
      <c r="E31" s="1240"/>
      <c r="F31" s="1240"/>
      <c r="G31" s="1240"/>
      <c r="H31" s="1240"/>
      <c r="I31" s="1240"/>
      <c r="J31" s="1240"/>
      <c r="K31" s="1240"/>
      <c r="L31" s="1240"/>
      <c r="M31" s="1240"/>
    </row>
    <row r="32" spans="1:19" ht="15" customHeight="1" x14ac:dyDescent="0.3">
      <c r="O32" s="369" t="s">
        <v>210</v>
      </c>
      <c r="R32" s="535">
        <v>3</v>
      </c>
    </row>
    <row r="33" spans="15:18" ht="15" customHeight="1" x14ac:dyDescent="0.3">
      <c r="O33" s="369" t="s">
        <v>211</v>
      </c>
      <c r="R33" s="535">
        <v>1</v>
      </c>
    </row>
    <row r="34" spans="15:18" ht="15" customHeight="1" x14ac:dyDescent="0.3">
      <c r="O34" s="369" t="s">
        <v>212</v>
      </c>
      <c r="R34" s="535">
        <v>3</v>
      </c>
    </row>
    <row r="35" spans="15:18" ht="15" customHeight="1" x14ac:dyDescent="0.3">
      <c r="O35" s="369" t="s">
        <v>213</v>
      </c>
      <c r="R35" s="535">
        <v>4</v>
      </c>
    </row>
    <row r="36" spans="15:18" ht="15" customHeight="1" x14ac:dyDescent="0.3">
      <c r="O36" s="369" t="s">
        <v>214</v>
      </c>
      <c r="R36" s="535">
        <v>5</v>
      </c>
    </row>
  </sheetData>
  <mergeCells count="5">
    <mergeCell ref="D27:M27"/>
    <mergeCell ref="D28:M28"/>
    <mergeCell ref="D29:M29"/>
    <mergeCell ref="D30:M30"/>
    <mergeCell ref="D31:M31"/>
  </mergeCells>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46"/>
  <sheetViews>
    <sheetView showGridLines="0" topLeftCell="B5" zoomScale="57" zoomScaleNormal="85" workbookViewId="0">
      <selection activeCell="T26" sqref="T26"/>
    </sheetView>
  </sheetViews>
  <sheetFormatPr defaultColWidth="9" defaultRowHeight="15" customHeight="1" outlineLevelCol="1" x14ac:dyDescent="0.3"/>
  <cols>
    <col min="1" max="1" width="2" style="94" customWidth="1"/>
    <col min="2" max="2" width="21.33203125" style="94" customWidth="1"/>
    <col min="3" max="3" width="3.33203125" style="21" customWidth="1"/>
    <col min="4" max="7" width="9.5" style="94" hidden="1" customWidth="1" outlineLevel="1"/>
    <col min="8" max="8" width="11.5" style="94" customWidth="1" collapsed="1"/>
    <col min="9" max="9" width="1.5" style="21" customWidth="1"/>
    <col min="10" max="13" width="9.5" style="94" hidden="1" customWidth="1" outlineLevel="1"/>
    <col min="14" max="14" width="11.5" style="94" customWidth="1" collapsed="1"/>
    <col min="15" max="15" width="1.5" style="21" customWidth="1"/>
    <col min="16" max="19" width="9.5" style="94" hidden="1" customWidth="1" outlineLevel="1"/>
    <col min="20" max="20" width="11.5" style="94" customWidth="1" collapsed="1"/>
    <col min="21" max="21" width="1.5" style="21" customWidth="1"/>
    <col min="22" max="25" width="9.5" style="94" hidden="1" customWidth="1" outlineLevel="1"/>
    <col min="26" max="26" width="11.5" style="94" customWidth="1" collapsed="1"/>
    <col min="27" max="27" width="1.5" style="21" customWidth="1"/>
    <col min="28" max="31" width="9.5" style="94" hidden="1" customWidth="1" outlineLevel="1"/>
    <col min="32" max="32" width="11.5" style="94" customWidth="1" collapsed="1"/>
    <col min="33" max="33" width="1.5" style="21" customWidth="1"/>
    <col min="34" max="37" width="9.5" style="94" hidden="1" customWidth="1" outlineLevel="1"/>
    <col min="38" max="38" width="11.5" style="94" customWidth="1" collapsed="1"/>
    <col min="39" max="39" width="1.5" style="21" customWidth="1"/>
    <col min="40" max="43" width="9.5" style="94" hidden="1" customWidth="1" outlineLevel="1"/>
    <col min="44" max="44" width="11.5" style="94" customWidth="1" collapsed="1"/>
    <col min="45" max="45" width="1.5" style="21" customWidth="1"/>
    <col min="46" max="46" width="11.5" style="94" customWidth="1"/>
    <col min="47" max="47" width="1.5" style="21" customWidth="1"/>
    <col min="48" max="48" width="11.5" style="102" customWidth="1"/>
    <col min="49" max="49" width="1.5" style="21" customWidth="1"/>
    <col min="50" max="50" width="11.5" style="94" customWidth="1"/>
    <col min="51" max="51" width="1.5" style="94" customWidth="1"/>
    <col min="52" max="16384" width="9" style="94"/>
  </cols>
  <sheetData>
    <row r="1" spans="1:59" s="569" customFormat="1" ht="15" customHeight="1" x14ac:dyDescent="0.3"/>
    <row r="2" spans="1:59" s="569" customFormat="1" ht="15" customHeight="1" x14ac:dyDescent="0.3"/>
    <row r="3" spans="1:59" s="569" customFormat="1" ht="15" customHeight="1" x14ac:dyDescent="0.3"/>
    <row r="4" spans="1:59" s="569" customFormat="1" ht="15" customHeight="1" x14ac:dyDescent="0.3"/>
    <row r="5" spans="1:59" s="285" customFormat="1" ht="4" customHeight="1" x14ac:dyDescent="0.3">
      <c r="C5" s="34"/>
      <c r="I5" s="34"/>
      <c r="O5" s="34"/>
      <c r="U5" s="34"/>
      <c r="AA5" s="34"/>
      <c r="AG5" s="34"/>
      <c r="AM5" s="34"/>
      <c r="AS5" s="34"/>
      <c r="AU5" s="34"/>
      <c r="AV5" s="286"/>
      <c r="AW5" s="34"/>
    </row>
    <row r="7" spans="1:59" s="38" customFormat="1" ht="15" customHeight="1" x14ac:dyDescent="0.3">
      <c r="A7" s="41" t="s">
        <v>39</v>
      </c>
      <c r="B7" s="158" t="s">
        <v>215</v>
      </c>
      <c r="C7" s="16"/>
      <c r="D7" s="199">
        <f>F7</f>
        <v>2020</v>
      </c>
      <c r="E7" s="199">
        <f>F7</f>
        <v>2020</v>
      </c>
      <c r="F7" s="199">
        <v>2020</v>
      </c>
      <c r="G7" s="199">
        <f>F7</f>
        <v>2020</v>
      </c>
      <c r="H7" s="199">
        <f>F7</f>
        <v>2020</v>
      </c>
      <c r="I7" s="16"/>
      <c r="J7" s="199">
        <f>L7</f>
        <v>2021</v>
      </c>
      <c r="K7" s="199">
        <f>L7</f>
        <v>2021</v>
      </c>
      <c r="L7" s="199">
        <v>2021</v>
      </c>
      <c r="M7" s="199">
        <f>L7</f>
        <v>2021</v>
      </c>
      <c r="N7" s="199">
        <f>L7</f>
        <v>2021</v>
      </c>
      <c r="O7" s="166"/>
      <c r="P7" s="199">
        <f>R7</f>
        <v>2022</v>
      </c>
      <c r="Q7" s="199">
        <f>R7</f>
        <v>2022</v>
      </c>
      <c r="R7" s="199">
        <v>2022</v>
      </c>
      <c r="S7" s="199">
        <f>R7</f>
        <v>2022</v>
      </c>
      <c r="T7" s="199">
        <f>R7</f>
        <v>2022</v>
      </c>
      <c r="U7" s="166"/>
      <c r="V7" s="199">
        <f>X7</f>
        <v>2023</v>
      </c>
      <c r="W7" s="199">
        <f>X7</f>
        <v>2023</v>
      </c>
      <c r="X7" s="199">
        <v>2023</v>
      </c>
      <c r="Y7" s="199">
        <f>X7</f>
        <v>2023</v>
      </c>
      <c r="Z7" s="199">
        <f>X7</f>
        <v>2023</v>
      </c>
      <c r="AA7" s="167"/>
      <c r="AB7" s="199">
        <f>AD7</f>
        <v>2024</v>
      </c>
      <c r="AC7" s="199">
        <f>AD7</f>
        <v>2024</v>
      </c>
      <c r="AD7" s="199">
        <v>2024</v>
      </c>
      <c r="AE7" s="199">
        <f>AD7</f>
        <v>2024</v>
      </c>
      <c r="AF7" s="199">
        <f>AD7</f>
        <v>2024</v>
      </c>
      <c r="AG7" s="167"/>
      <c r="AH7" s="199">
        <f>AJ7</f>
        <v>2025</v>
      </c>
      <c r="AI7" s="199">
        <f>AJ7</f>
        <v>2025</v>
      </c>
      <c r="AJ7" s="200">
        <v>2025</v>
      </c>
      <c r="AK7" s="199">
        <f>AJ7</f>
        <v>2025</v>
      </c>
      <c r="AL7" s="199">
        <f>AJ7</f>
        <v>2025</v>
      </c>
      <c r="AM7" s="168"/>
      <c r="AN7" s="199">
        <f>AP7</f>
        <v>2025</v>
      </c>
      <c r="AO7" s="199">
        <f>AP7</f>
        <v>2025</v>
      </c>
      <c r="AP7" s="200">
        <v>2025</v>
      </c>
      <c r="AQ7" s="199">
        <f>AP7</f>
        <v>2025</v>
      </c>
      <c r="AR7" s="199">
        <f>AP7</f>
        <v>2025</v>
      </c>
      <c r="AS7" s="16"/>
      <c r="AT7" s="159"/>
      <c r="AU7" s="16"/>
      <c r="AV7" s="160"/>
      <c r="AW7" s="16"/>
      <c r="AX7" s="160"/>
      <c r="AY7" s="17"/>
      <c r="AZ7" s="161" t="s">
        <v>216</v>
      </c>
      <c r="BA7" s="161"/>
      <c r="BB7" s="161"/>
      <c r="BC7" s="161"/>
      <c r="BD7" s="161"/>
      <c r="BE7" s="161"/>
      <c r="BF7" s="161"/>
      <c r="BG7" s="161"/>
    </row>
    <row r="8" spans="1:59" s="38" customFormat="1" ht="15" customHeight="1" x14ac:dyDescent="0.3">
      <c r="B8" s="161"/>
      <c r="C8" s="16"/>
      <c r="D8" s="1244">
        <v>2020</v>
      </c>
      <c r="E8" s="1244"/>
      <c r="F8" s="1244"/>
      <c r="G8" s="1244"/>
      <c r="H8" s="1244"/>
      <c r="I8" s="166"/>
      <c r="J8" s="1244">
        <f>D8+1</f>
        <v>2021</v>
      </c>
      <c r="K8" s="1244"/>
      <c r="L8" s="1244"/>
      <c r="M8" s="1244"/>
      <c r="N8" s="1244"/>
      <c r="O8" s="166"/>
      <c r="P8" s="1244">
        <f>J8+1</f>
        <v>2022</v>
      </c>
      <c r="Q8" s="1244"/>
      <c r="R8" s="1244"/>
      <c r="S8" s="1244"/>
      <c r="T8" s="1244"/>
      <c r="U8" s="166"/>
      <c r="V8" s="1244">
        <f>P8+1</f>
        <v>2023</v>
      </c>
      <c r="W8" s="1244"/>
      <c r="X8" s="1244"/>
      <c r="Y8" s="1244"/>
      <c r="Z8" s="1244"/>
      <c r="AA8" s="166"/>
      <c r="AB8" s="1244">
        <f>V8+1</f>
        <v>2024</v>
      </c>
      <c r="AC8" s="1244"/>
      <c r="AD8" s="1244"/>
      <c r="AE8" s="1244"/>
      <c r="AF8" s="1244"/>
      <c r="AG8" s="166"/>
      <c r="AH8" s="1243">
        <f>AB8+1</f>
        <v>2025</v>
      </c>
      <c r="AI8" s="1243"/>
      <c r="AJ8" s="1243"/>
      <c r="AK8" s="1243"/>
      <c r="AL8" s="1243"/>
      <c r="AM8" s="166"/>
      <c r="AN8" s="1243">
        <f>AH8+1</f>
        <v>2026</v>
      </c>
      <c r="AO8" s="1243"/>
      <c r="AP8" s="1243"/>
      <c r="AQ8" s="1243"/>
      <c r="AR8" s="1243"/>
      <c r="AS8" s="168"/>
      <c r="AT8" s="163">
        <f>AN8+1</f>
        <v>2027</v>
      </c>
      <c r="AU8" s="164"/>
      <c r="AV8" s="163">
        <f>+AT8+1</f>
        <v>2028</v>
      </c>
      <c r="AW8" s="164"/>
      <c r="AX8" s="163">
        <f>+AV8+1</f>
        <v>2029</v>
      </c>
      <c r="AY8" s="543"/>
      <c r="AZ8" s="161"/>
      <c r="BA8" s="161"/>
      <c r="BB8" s="161"/>
      <c r="BC8" s="161"/>
      <c r="BD8" s="161"/>
      <c r="BE8" s="161"/>
      <c r="BF8" s="161"/>
      <c r="BG8" s="161"/>
    </row>
    <row r="9" spans="1:59" s="38" customFormat="1" ht="15" customHeight="1" x14ac:dyDescent="0.3">
      <c r="B9" s="161"/>
      <c r="C9" s="16"/>
      <c r="D9" s="165" t="s">
        <v>217</v>
      </c>
      <c r="E9" s="165" t="s">
        <v>218</v>
      </c>
      <c r="F9" s="165" t="s">
        <v>219</v>
      </c>
      <c r="G9" s="165" t="s">
        <v>220</v>
      </c>
      <c r="H9" s="165" t="s">
        <v>221</v>
      </c>
      <c r="I9" s="16"/>
      <c r="J9" s="165" t="s">
        <v>217</v>
      </c>
      <c r="K9" s="165" t="s">
        <v>218</v>
      </c>
      <c r="L9" s="165" t="s">
        <v>219</v>
      </c>
      <c r="M9" s="165" t="s">
        <v>220</v>
      </c>
      <c r="N9" s="165" t="s">
        <v>221</v>
      </c>
      <c r="O9" s="162"/>
      <c r="P9" s="165" t="s">
        <v>217</v>
      </c>
      <c r="Q9" s="165" t="s">
        <v>218</v>
      </c>
      <c r="R9" s="165" t="s">
        <v>219</v>
      </c>
      <c r="S9" s="165" t="s">
        <v>220</v>
      </c>
      <c r="T9" s="165" t="s">
        <v>221</v>
      </c>
      <c r="U9" s="162"/>
      <c r="V9" s="165" t="s">
        <v>217</v>
      </c>
      <c r="W9" s="165" t="s">
        <v>218</v>
      </c>
      <c r="X9" s="165" t="s">
        <v>219</v>
      </c>
      <c r="Y9" s="165" t="s">
        <v>220</v>
      </c>
      <c r="Z9" s="165" t="s">
        <v>221</v>
      </c>
      <c r="AA9" s="162"/>
      <c r="AB9" s="165" t="s">
        <v>217</v>
      </c>
      <c r="AC9" s="165" t="s">
        <v>218</v>
      </c>
      <c r="AD9" s="165" t="s">
        <v>219</v>
      </c>
      <c r="AE9" s="165" t="s">
        <v>220</v>
      </c>
      <c r="AF9" s="165" t="s">
        <v>221</v>
      </c>
      <c r="AG9" s="162"/>
      <c r="AH9" s="165" t="s">
        <v>217</v>
      </c>
      <c r="AI9" s="165" t="s">
        <v>218</v>
      </c>
      <c r="AJ9" s="165" t="s">
        <v>219</v>
      </c>
      <c r="AK9" s="165" t="s">
        <v>220</v>
      </c>
      <c r="AL9" s="165" t="s">
        <v>221</v>
      </c>
      <c r="AM9" s="162"/>
      <c r="AN9" s="165" t="s">
        <v>217</v>
      </c>
      <c r="AO9" s="165" t="s">
        <v>218</v>
      </c>
      <c r="AP9" s="165" t="s">
        <v>219</v>
      </c>
      <c r="AQ9" s="165" t="s">
        <v>220</v>
      </c>
      <c r="AR9" s="165" t="s">
        <v>221</v>
      </c>
      <c r="AS9" s="162"/>
      <c r="AT9" s="165" t="s">
        <v>221</v>
      </c>
      <c r="AU9" s="162"/>
      <c r="AV9" s="165" t="s">
        <v>221</v>
      </c>
      <c r="AW9" s="162"/>
      <c r="AX9" s="165" t="s">
        <v>221</v>
      </c>
      <c r="AY9" s="544"/>
      <c r="AZ9" s="161"/>
      <c r="BA9" s="161"/>
      <c r="BB9" s="161"/>
      <c r="BC9" s="161"/>
      <c r="BD9" s="161"/>
      <c r="BE9" s="161"/>
      <c r="BF9" s="161"/>
      <c r="BG9" s="161"/>
    </row>
    <row r="10" spans="1:59" s="38" customFormat="1" ht="4" customHeight="1" x14ac:dyDescent="0.3">
      <c r="A10" s="40"/>
      <c r="B10" s="173"/>
      <c r="C10" s="33"/>
      <c r="D10" s="174"/>
      <c r="E10" s="174"/>
      <c r="F10" s="174"/>
      <c r="G10" s="174"/>
      <c r="H10" s="174"/>
      <c r="I10" s="33"/>
      <c r="J10" s="174"/>
      <c r="K10" s="174"/>
      <c r="L10" s="174"/>
      <c r="M10" s="174"/>
      <c r="N10" s="174"/>
      <c r="O10" s="175"/>
      <c r="P10" s="174"/>
      <c r="Q10" s="174"/>
      <c r="R10" s="174"/>
      <c r="S10" s="174"/>
      <c r="T10" s="174"/>
      <c r="U10" s="175"/>
      <c r="V10" s="174"/>
      <c r="W10" s="174"/>
      <c r="X10" s="174"/>
      <c r="Y10" s="174"/>
      <c r="Z10" s="174"/>
      <c r="AA10" s="175"/>
      <c r="AB10" s="174"/>
      <c r="AC10" s="174"/>
      <c r="AD10" s="174"/>
      <c r="AE10" s="174"/>
      <c r="AF10" s="174"/>
      <c r="AG10" s="175"/>
      <c r="AH10" s="174"/>
      <c r="AI10" s="174"/>
      <c r="AJ10" s="174"/>
      <c r="AK10" s="174"/>
      <c r="AL10" s="176"/>
      <c r="AM10" s="177"/>
      <c r="AN10" s="176"/>
      <c r="AO10" s="176"/>
      <c r="AP10" s="176"/>
      <c r="AQ10" s="176"/>
      <c r="AR10" s="176"/>
      <c r="AS10" s="177"/>
      <c r="AT10" s="176"/>
      <c r="AU10" s="177"/>
      <c r="AV10" s="176"/>
      <c r="AW10" s="177"/>
      <c r="AX10" s="176"/>
      <c r="AY10" s="32"/>
      <c r="AZ10" s="173"/>
      <c r="BA10" s="173"/>
      <c r="BB10" s="173"/>
      <c r="BC10" s="173"/>
      <c r="BD10" s="173"/>
      <c r="BE10" s="173"/>
      <c r="BF10" s="173"/>
      <c r="BG10" s="173"/>
    </row>
    <row r="11" spans="1:59" s="38" customFormat="1" ht="4" customHeight="1" x14ac:dyDescent="0.3">
      <c r="A11" s="40"/>
      <c r="B11" s="169"/>
      <c r="C11" s="17"/>
      <c r="D11" s="170"/>
      <c r="E11" s="170"/>
      <c r="F11" s="170"/>
      <c r="G11" s="170"/>
      <c r="H11" s="170"/>
      <c r="I11" s="17"/>
      <c r="J11" s="170"/>
      <c r="K11" s="170"/>
      <c r="L11" s="170"/>
      <c r="M11" s="170"/>
      <c r="N11" s="170"/>
      <c r="O11" s="171"/>
      <c r="P11" s="170"/>
      <c r="Q11" s="170"/>
      <c r="R11" s="170"/>
      <c r="S11" s="170"/>
      <c r="T11" s="170"/>
      <c r="U11" s="171"/>
      <c r="V11" s="170"/>
      <c r="W11" s="170"/>
      <c r="X11" s="170"/>
      <c r="Y11" s="170"/>
      <c r="Z11" s="170"/>
      <c r="AA11" s="171"/>
      <c r="AB11" s="170"/>
      <c r="AC11" s="170"/>
      <c r="AD11" s="170"/>
      <c r="AE11" s="170"/>
      <c r="AF11" s="170"/>
      <c r="AG11" s="201"/>
      <c r="AH11" s="170"/>
      <c r="AI11" s="170"/>
      <c r="AJ11" s="170"/>
      <c r="AK11" s="170"/>
      <c r="AL11" s="172"/>
      <c r="AM11" s="32"/>
      <c r="AN11" s="172"/>
      <c r="AO11" s="172"/>
      <c r="AP11" s="172"/>
      <c r="AQ11" s="172"/>
      <c r="AR11" s="172"/>
      <c r="AS11" s="32"/>
      <c r="AT11" s="172"/>
      <c r="AU11" s="32"/>
      <c r="AV11" s="172"/>
      <c r="AW11" s="32"/>
      <c r="AX11" s="172"/>
    </row>
    <row r="12" spans="1:59" s="51" customFormat="1" ht="15" hidden="1" customHeight="1" x14ac:dyDescent="0.3">
      <c r="B12" s="42" t="s">
        <v>222</v>
      </c>
      <c r="C12" s="21"/>
      <c r="D12" s="63"/>
      <c r="E12" s="63"/>
      <c r="F12" s="63"/>
      <c r="G12" s="63"/>
      <c r="H12" s="44"/>
      <c r="I12" s="45"/>
      <c r="J12" s="63"/>
      <c r="K12" s="63"/>
      <c r="L12" s="63"/>
      <c r="M12" s="63"/>
      <c r="N12" s="44"/>
      <c r="O12" s="44"/>
      <c r="P12" s="63"/>
      <c r="Q12" s="63"/>
      <c r="R12" s="63"/>
      <c r="S12" s="63"/>
      <c r="T12" s="44"/>
      <c r="U12" s="44"/>
      <c r="V12" s="63"/>
      <c r="W12" s="63"/>
      <c r="X12" s="63"/>
      <c r="Y12" s="63"/>
      <c r="Z12" s="44"/>
      <c r="AA12" s="44"/>
      <c r="AB12" s="63"/>
      <c r="AC12" s="63"/>
      <c r="AD12" s="63"/>
      <c r="AE12" s="63"/>
      <c r="AF12" s="44"/>
      <c r="AG12" s="46"/>
      <c r="AH12" s="63"/>
      <c r="AI12" s="63"/>
      <c r="AJ12" s="65"/>
      <c r="AK12" s="65"/>
      <c r="AL12" s="44"/>
      <c r="AM12" s="48"/>
      <c r="AN12" s="65"/>
      <c r="AO12" s="65"/>
      <c r="AP12" s="65"/>
      <c r="AQ12" s="65"/>
      <c r="AR12" s="44"/>
      <c r="AS12" s="48"/>
      <c r="AT12" s="49"/>
      <c r="AU12" s="50"/>
      <c r="AV12" s="49"/>
      <c r="AW12" s="50"/>
      <c r="AX12" s="49"/>
    </row>
    <row r="13" spans="1:59" s="51" customFormat="1" ht="15" hidden="1" customHeight="1" x14ac:dyDescent="0.3">
      <c r="A13" s="52"/>
      <c r="B13" s="53"/>
      <c r="C13" s="21"/>
      <c r="D13" s="43"/>
      <c r="E13" s="43"/>
      <c r="F13" s="43"/>
      <c r="G13" s="43"/>
      <c r="H13" s="44"/>
      <c r="I13" s="45"/>
      <c r="J13" s="43"/>
      <c r="K13" s="43"/>
      <c r="L13" s="43"/>
      <c r="M13" s="43"/>
      <c r="N13" s="44"/>
      <c r="O13" s="44"/>
      <c r="P13" s="43"/>
      <c r="Q13" s="43"/>
      <c r="R13" s="43"/>
      <c r="S13" s="43"/>
      <c r="T13" s="44"/>
      <c r="U13" s="44"/>
      <c r="V13" s="43"/>
      <c r="W13" s="43"/>
      <c r="X13" s="43"/>
      <c r="Y13" s="43"/>
      <c r="Z13" s="44"/>
      <c r="AA13" s="44"/>
      <c r="AB13" s="43"/>
      <c r="AC13" s="43"/>
      <c r="AD13" s="43"/>
      <c r="AE13" s="43"/>
      <c r="AF13" s="44"/>
      <c r="AG13" s="46"/>
      <c r="AH13" s="43"/>
      <c r="AI13" s="43"/>
      <c r="AJ13" s="47"/>
      <c r="AK13" s="47"/>
      <c r="AL13" s="44"/>
      <c r="AM13" s="48"/>
      <c r="AN13" s="47"/>
      <c r="AO13" s="47"/>
      <c r="AP13" s="47"/>
      <c r="AQ13" s="47"/>
      <c r="AR13" s="44"/>
      <c r="AS13" s="48"/>
      <c r="AT13" s="49"/>
      <c r="AU13" s="50"/>
      <c r="AV13" s="49"/>
      <c r="AW13" s="50"/>
      <c r="AX13" s="49"/>
    </row>
    <row r="14" spans="1:59" s="51" customFormat="1" ht="15" hidden="1" customHeight="1" x14ac:dyDescent="0.3">
      <c r="A14" s="52"/>
      <c r="B14" s="53"/>
      <c r="C14" s="21"/>
      <c r="D14" s="43"/>
      <c r="E14" s="43"/>
      <c r="F14" s="43"/>
      <c r="G14" s="43"/>
      <c r="H14" s="44"/>
      <c r="I14" s="45"/>
      <c r="J14" s="43"/>
      <c r="K14" s="43"/>
      <c r="L14" s="43"/>
      <c r="M14" s="43"/>
      <c r="N14" s="44"/>
      <c r="O14" s="44"/>
      <c r="P14" s="43"/>
      <c r="Q14" s="43"/>
      <c r="R14" s="43"/>
      <c r="S14" s="43"/>
      <c r="T14" s="44"/>
      <c r="U14" s="44"/>
      <c r="V14" s="43"/>
      <c r="W14" s="43"/>
      <c r="X14" s="43"/>
      <c r="Y14" s="43"/>
      <c r="Z14" s="44"/>
      <c r="AA14" s="44"/>
      <c r="AB14" s="43"/>
      <c r="AC14" s="43"/>
      <c r="AD14" s="43"/>
      <c r="AE14" s="43"/>
      <c r="AF14" s="44"/>
      <c r="AG14" s="46"/>
      <c r="AH14" s="43"/>
      <c r="AI14" s="43"/>
      <c r="AJ14" s="47"/>
      <c r="AK14" s="47"/>
      <c r="AL14" s="44"/>
      <c r="AM14" s="48"/>
      <c r="AN14" s="47"/>
      <c r="AO14" s="47"/>
      <c r="AP14" s="47"/>
      <c r="AQ14" s="47"/>
      <c r="AR14" s="44"/>
      <c r="AS14" s="48"/>
      <c r="AT14" s="49"/>
      <c r="AU14" s="50"/>
      <c r="AV14" s="49"/>
      <c r="AW14" s="50"/>
      <c r="AX14" s="49"/>
    </row>
    <row r="15" spans="1:59" s="51" customFormat="1" ht="15" hidden="1" customHeight="1" x14ac:dyDescent="0.3">
      <c r="A15" s="52"/>
      <c r="B15" s="53"/>
      <c r="C15" s="21"/>
      <c r="D15" s="43"/>
      <c r="E15" s="43"/>
      <c r="F15" s="43"/>
      <c r="G15" s="43"/>
      <c r="H15" s="44"/>
      <c r="I15" s="45"/>
      <c r="J15" s="43"/>
      <c r="K15" s="43"/>
      <c r="L15" s="43"/>
      <c r="M15" s="43"/>
      <c r="N15" s="44"/>
      <c r="O15" s="44"/>
      <c r="P15" s="43"/>
      <c r="Q15" s="43"/>
      <c r="R15" s="43"/>
      <c r="S15" s="43"/>
      <c r="T15" s="44"/>
      <c r="U15" s="44"/>
      <c r="V15" s="43"/>
      <c r="W15" s="43"/>
      <c r="X15" s="43"/>
      <c r="Y15" s="43"/>
      <c r="Z15" s="44"/>
      <c r="AA15" s="44"/>
      <c r="AB15" s="43"/>
      <c r="AC15" s="43"/>
      <c r="AD15" s="43"/>
      <c r="AE15" s="43"/>
      <c r="AF15" s="44"/>
      <c r="AG15" s="46"/>
      <c r="AH15" s="43"/>
      <c r="AI15" s="43"/>
      <c r="AJ15" s="47"/>
      <c r="AK15" s="47"/>
      <c r="AL15" s="44"/>
      <c r="AM15" s="48"/>
      <c r="AN15" s="47"/>
      <c r="AO15" s="47"/>
      <c r="AP15" s="47"/>
      <c r="AQ15" s="47"/>
      <c r="AR15" s="44"/>
      <c r="AS15" s="48"/>
      <c r="AT15" s="49"/>
      <c r="AU15" s="50"/>
      <c r="AV15" s="49"/>
      <c r="AW15" s="50"/>
      <c r="AX15" s="49"/>
    </row>
    <row r="16" spans="1:59" s="51" customFormat="1" ht="15" hidden="1" customHeight="1" x14ac:dyDescent="0.3">
      <c r="A16" s="52"/>
      <c r="B16" s="53"/>
      <c r="C16" s="21"/>
      <c r="D16" s="43"/>
      <c r="E16" s="43"/>
      <c r="F16" s="43"/>
      <c r="G16" s="43"/>
      <c r="H16" s="54"/>
      <c r="I16" s="45"/>
      <c r="J16" s="43"/>
      <c r="K16" s="43"/>
      <c r="L16" s="43"/>
      <c r="M16" s="43"/>
      <c r="N16" s="54"/>
      <c r="O16" s="54"/>
      <c r="P16" s="43"/>
      <c r="Q16" s="43"/>
      <c r="R16" s="43"/>
      <c r="S16" s="43"/>
      <c r="T16" s="54"/>
      <c r="U16" s="54"/>
      <c r="V16" s="43"/>
      <c r="W16" s="43"/>
      <c r="X16" s="43"/>
      <c r="Y16" s="43"/>
      <c r="Z16" s="54"/>
      <c r="AA16" s="54"/>
      <c r="AB16" s="43"/>
      <c r="AC16" s="43"/>
      <c r="AD16" s="43"/>
      <c r="AE16" s="43"/>
      <c r="AF16" s="54"/>
      <c r="AG16" s="46"/>
      <c r="AH16" s="43"/>
      <c r="AI16" s="43"/>
      <c r="AJ16" s="47"/>
      <c r="AK16" s="47"/>
      <c r="AL16" s="54"/>
      <c r="AM16" s="48"/>
      <c r="AN16" s="47"/>
      <c r="AO16" s="47"/>
      <c r="AP16" s="47"/>
      <c r="AQ16" s="47"/>
      <c r="AR16" s="54"/>
      <c r="AS16" s="48"/>
      <c r="AT16" s="55"/>
      <c r="AU16" s="50"/>
      <c r="AV16" s="55"/>
      <c r="AW16" s="50"/>
      <c r="AX16" s="55"/>
    </row>
    <row r="17" spans="2:50" s="51" customFormat="1" ht="15" hidden="1" customHeight="1" x14ac:dyDescent="0.3">
      <c r="B17" s="53"/>
      <c r="C17" s="21"/>
      <c r="D17" s="43"/>
      <c r="E17" s="43"/>
      <c r="F17" s="43"/>
      <c r="G17" s="43"/>
      <c r="H17" s="54"/>
      <c r="I17" s="45"/>
      <c r="J17" s="43"/>
      <c r="K17" s="43"/>
      <c r="L17" s="43"/>
      <c r="M17" s="43"/>
      <c r="N17" s="54"/>
      <c r="O17" s="54"/>
      <c r="P17" s="43"/>
      <c r="Q17" s="43"/>
      <c r="R17" s="43"/>
      <c r="S17" s="43"/>
      <c r="T17" s="54"/>
      <c r="U17" s="54"/>
      <c r="V17" s="43"/>
      <c r="W17" s="43"/>
      <c r="X17" s="43"/>
      <c r="Y17" s="43"/>
      <c r="Z17" s="54"/>
      <c r="AA17" s="54"/>
      <c r="AB17" s="43"/>
      <c r="AC17" s="43"/>
      <c r="AD17" s="43"/>
      <c r="AE17" s="43"/>
      <c r="AF17" s="54"/>
      <c r="AG17" s="46"/>
      <c r="AH17" s="43"/>
      <c r="AI17" s="43"/>
      <c r="AJ17" s="47"/>
      <c r="AK17" s="47"/>
      <c r="AL17" s="54"/>
      <c r="AM17" s="48"/>
      <c r="AN17" s="47"/>
      <c r="AO17" s="47"/>
      <c r="AP17" s="47"/>
      <c r="AQ17" s="47"/>
      <c r="AR17" s="54"/>
      <c r="AS17" s="48"/>
      <c r="AT17" s="55"/>
      <c r="AU17" s="50"/>
      <c r="AV17" s="55"/>
      <c r="AW17" s="50"/>
      <c r="AX17" s="55"/>
    </row>
    <row r="18" spans="2:50" s="51" customFormat="1" ht="15" hidden="1" customHeight="1" x14ac:dyDescent="0.3">
      <c r="B18" s="56" t="s">
        <v>223</v>
      </c>
      <c r="C18" s="21"/>
      <c r="D18" s="59">
        <f>IS!D18</f>
        <v>5229</v>
      </c>
      <c r="E18" s="59">
        <f>IS!E18</f>
        <v>4244</v>
      </c>
      <c r="F18" s="59">
        <f>IS!F18</f>
        <v>4919</v>
      </c>
      <c r="G18" s="59">
        <f>IS!G18</f>
        <v>5141</v>
      </c>
      <c r="H18" s="60">
        <f>IS!H18</f>
        <v>19533</v>
      </c>
      <c r="I18" s="93"/>
      <c r="J18" s="59">
        <f>IS!J18</f>
        <v>5001</v>
      </c>
      <c r="K18" s="59">
        <f>IS!K18</f>
        <v>5504</v>
      </c>
      <c r="L18" s="59">
        <f>IS!L18</f>
        <v>5566</v>
      </c>
      <c r="M18" s="59">
        <f>IS!M18</f>
        <v>5733</v>
      </c>
      <c r="N18" s="60">
        <f>IS!N18</f>
        <v>21804</v>
      </c>
      <c r="O18" s="49"/>
      <c r="P18" s="59">
        <f>IS!P18</f>
        <v>5860</v>
      </c>
      <c r="Q18" s="59">
        <f>IS!Q18</f>
        <v>6269</v>
      </c>
      <c r="R18" s="59">
        <f>IS!R18</f>
        <v>6566</v>
      </c>
      <c r="S18" s="59">
        <f>IS!S18</f>
        <v>6180</v>
      </c>
      <c r="T18" s="60">
        <f>IS!T18</f>
        <v>24875</v>
      </c>
      <c r="U18" s="49"/>
      <c r="V18" s="59">
        <f>IS!V18</f>
        <v>6056</v>
      </c>
      <c r="W18" s="59">
        <f>IS!W18</f>
        <v>5963</v>
      </c>
      <c r="X18" s="59">
        <f>IS!X18</f>
        <v>5941</v>
      </c>
      <c r="Y18" s="59">
        <f>IS!Y18</f>
        <v>6159</v>
      </c>
      <c r="Z18" s="60">
        <f>IS!Z18</f>
        <v>24119</v>
      </c>
      <c r="AA18" s="49"/>
      <c r="AB18" s="59">
        <f>IS!AB18</f>
        <v>6031</v>
      </c>
      <c r="AC18" s="59">
        <f>IS!AC18</f>
        <v>6007</v>
      </c>
      <c r="AD18" s="59">
        <f>IS!AD18</f>
        <v>6091</v>
      </c>
      <c r="AE18" s="59">
        <f>IS!AE18</f>
        <v>6121</v>
      </c>
      <c r="AF18" s="60">
        <f>IS!AF18</f>
        <v>24250</v>
      </c>
      <c r="AG18" s="527"/>
      <c r="AH18" s="59">
        <f>IS!AH18</f>
        <v>6027</v>
      </c>
      <c r="AI18" s="59">
        <f>IS!AI18</f>
        <v>6154</v>
      </c>
      <c r="AJ18" s="59">
        <f>IS!AJ18</f>
        <v>0</v>
      </c>
      <c r="AK18" s="59">
        <f>IS!AK18</f>
        <v>0</v>
      </c>
      <c r="AL18" s="60">
        <f>IS!AL18</f>
        <v>0</v>
      </c>
      <c r="AM18" s="50"/>
      <c r="AN18" s="59">
        <f>IS!AN18</f>
        <v>0</v>
      </c>
      <c r="AO18" s="59">
        <f>IS!AO18</f>
        <v>0</v>
      </c>
      <c r="AP18" s="59">
        <f>IS!AP18</f>
        <v>0</v>
      </c>
      <c r="AQ18" s="59">
        <f>IS!AQ18</f>
        <v>0</v>
      </c>
      <c r="AR18" s="60">
        <f>IS!AR18</f>
        <v>0</v>
      </c>
      <c r="AS18" s="50"/>
      <c r="AT18" s="60">
        <f>IS!AT18</f>
        <v>0</v>
      </c>
      <c r="AU18" s="50"/>
      <c r="AV18" s="60">
        <f>IS!AV18</f>
        <v>0</v>
      </c>
      <c r="AW18" s="50"/>
      <c r="AX18" s="60">
        <f>IS!AX18</f>
        <v>0</v>
      </c>
    </row>
    <row r="19" spans="2:50" ht="15" hidden="1" customHeight="1" x14ac:dyDescent="0.3">
      <c r="AG19" s="202"/>
    </row>
    <row r="20" spans="2:50" ht="15" customHeight="1" x14ac:dyDescent="0.3">
      <c r="B20" s="42" t="s">
        <v>224</v>
      </c>
      <c r="AB20" s="309"/>
      <c r="AF20" s="309"/>
      <c r="AG20" s="202"/>
    </row>
    <row r="21" spans="2:50" ht="15" customHeight="1" x14ac:dyDescent="0.3">
      <c r="B21" s="53" t="s">
        <v>225</v>
      </c>
      <c r="D21" s="43">
        <v>1534</v>
      </c>
      <c r="E21" s="43">
        <v>1386</v>
      </c>
      <c r="F21" s="43">
        <v>1478</v>
      </c>
      <c r="G21" s="43">
        <f>H21-F21-E21-D21</f>
        <v>1562</v>
      </c>
      <c r="H21" s="44">
        <v>5960</v>
      </c>
      <c r="I21" s="45"/>
      <c r="J21" s="43">
        <v>1512</v>
      </c>
      <c r="K21" s="43">
        <v>1648</v>
      </c>
      <c r="L21" s="43">
        <v>1687</v>
      </c>
      <c r="M21" s="43">
        <f t="shared" ref="M21:M24" si="0">N21-L21-K21-J21</f>
        <v>1809</v>
      </c>
      <c r="N21" s="44">
        <v>6656</v>
      </c>
      <c r="O21" s="44"/>
      <c r="P21" s="43">
        <v>1832</v>
      </c>
      <c r="Q21" s="43">
        <v>1813</v>
      </c>
      <c r="R21" s="43">
        <v>1959</v>
      </c>
      <c r="S21" s="43">
        <f t="shared" ref="S21:S24" si="1">T21-R21-Q21-P21</f>
        <v>1933</v>
      </c>
      <c r="T21" s="44">
        <v>7537</v>
      </c>
      <c r="U21" s="44"/>
      <c r="V21" s="43">
        <v>1897</v>
      </c>
      <c r="W21" s="43">
        <v>1757</v>
      </c>
      <c r="X21" s="43">
        <v>1766</v>
      </c>
      <c r="Y21" s="43">
        <f t="shared" ref="Y21:Y24" si="2">Z21-X21-W21-V21</f>
        <v>1938</v>
      </c>
      <c r="Z21" s="44">
        <v>7358</v>
      </c>
      <c r="AA21" s="44"/>
      <c r="AB21" s="43">
        <v>1817</v>
      </c>
      <c r="AC21" s="43">
        <v>1721</v>
      </c>
      <c r="AD21" s="43">
        <v>1805</v>
      </c>
      <c r="AE21" s="43">
        <f>AF21-AD21-AC21-AB21</f>
        <v>1864</v>
      </c>
      <c r="AF21" s="44">
        <v>7207</v>
      </c>
      <c r="AG21" s="46"/>
      <c r="AH21" s="43">
        <v>1836</v>
      </c>
      <c r="AI21" s="43">
        <v>1901</v>
      </c>
      <c r="AJ21" s="47"/>
      <c r="AK21" s="47"/>
      <c r="AL21" s="49">
        <f>Anexo_projections!AA60</f>
        <v>7502.4756900000011</v>
      </c>
      <c r="AM21" s="48"/>
      <c r="AN21" s="47"/>
      <c r="AO21" s="47"/>
      <c r="AP21" s="47"/>
      <c r="AQ21" s="47"/>
      <c r="AR21" s="49">
        <f>Anexo_projections!AG60</f>
        <v>7727.1068672000019</v>
      </c>
      <c r="AS21" s="48"/>
      <c r="AT21" s="49">
        <f>Anexo_projections!AI60</f>
        <v>7927.8107115976682</v>
      </c>
      <c r="AU21" s="50"/>
      <c r="AV21" s="49">
        <f>Anexo_projections!AK60</f>
        <v>8179.4589189713888</v>
      </c>
      <c r="AW21" s="50"/>
      <c r="AX21" s="49">
        <f>Anexo_projections!AM60</f>
        <v>8453.6025179965491</v>
      </c>
    </row>
    <row r="22" spans="2:50" ht="15" customHeight="1" x14ac:dyDescent="0.3">
      <c r="B22" s="53" t="s">
        <v>226</v>
      </c>
      <c r="D22" s="43">
        <v>1894</v>
      </c>
      <c r="E22" s="43">
        <v>1500</v>
      </c>
      <c r="F22" s="43">
        <v>1567</v>
      </c>
      <c r="G22" s="43">
        <f>H22-F22-E22-D22</f>
        <v>1661</v>
      </c>
      <c r="H22" s="44">
        <v>6622</v>
      </c>
      <c r="I22" s="45"/>
      <c r="J22" s="43">
        <v>1656</v>
      </c>
      <c r="K22" s="43">
        <v>1859</v>
      </c>
      <c r="L22" s="43">
        <v>1911</v>
      </c>
      <c r="M22" s="43">
        <f t="shared" si="0"/>
        <v>1897</v>
      </c>
      <c r="N22" s="44">
        <v>7323</v>
      </c>
      <c r="O22" s="44"/>
      <c r="P22" s="43">
        <v>1921</v>
      </c>
      <c r="Q22" s="43">
        <v>2091</v>
      </c>
      <c r="R22" s="43">
        <v>2194</v>
      </c>
      <c r="S22" s="43">
        <f t="shared" si="1"/>
        <v>1999</v>
      </c>
      <c r="T22" s="44">
        <v>8205</v>
      </c>
      <c r="U22" s="44"/>
      <c r="V22" s="43">
        <v>2017</v>
      </c>
      <c r="W22" s="43">
        <v>2086</v>
      </c>
      <c r="X22" s="43">
        <v>2057</v>
      </c>
      <c r="Y22" s="43">
        <f t="shared" si="2"/>
        <v>2078</v>
      </c>
      <c r="Z22" s="44">
        <v>8238</v>
      </c>
      <c r="AA22" s="44"/>
      <c r="AB22" s="43">
        <v>2104</v>
      </c>
      <c r="AC22" s="43">
        <v>2123</v>
      </c>
      <c r="AD22" s="43">
        <v>2121</v>
      </c>
      <c r="AE22" s="43">
        <f t="shared" ref="AE22:AE24" si="3">AF22-AD22-AC22-AB22</f>
        <v>2092</v>
      </c>
      <c r="AF22" s="44">
        <v>8440</v>
      </c>
      <c r="AG22" s="46"/>
      <c r="AH22" s="43">
        <v>2082</v>
      </c>
      <c r="AI22" s="43">
        <v>2212</v>
      </c>
      <c r="AJ22" s="47"/>
      <c r="AK22" s="47"/>
      <c r="AL22" s="49">
        <f>Anexo_projections!AA69</f>
        <v>8434.4370366666662</v>
      </c>
      <c r="AM22" s="48"/>
      <c r="AN22" s="47"/>
      <c r="AO22" s="47"/>
      <c r="AP22" s="47"/>
      <c r="AQ22" s="47"/>
      <c r="AR22" s="49">
        <f>Anexo_projections!AG69</f>
        <v>8683.6106463111119</v>
      </c>
      <c r="AS22" s="48"/>
      <c r="AT22" s="49">
        <f>Anexo_projections!AI69</f>
        <v>8963.9600435654083</v>
      </c>
      <c r="AU22" s="50"/>
      <c r="AV22" s="49">
        <f>Anexo_projections!AK69</f>
        <v>9222.794765120485</v>
      </c>
      <c r="AW22" s="50"/>
      <c r="AX22" s="49">
        <f>Anexo_projections!AM69</f>
        <v>9476.3774841713948</v>
      </c>
    </row>
    <row r="23" spans="2:50" ht="15" customHeight="1" x14ac:dyDescent="0.3">
      <c r="B23" s="53" t="s">
        <v>227</v>
      </c>
      <c r="D23" s="43">
        <v>1452</v>
      </c>
      <c r="E23" s="43">
        <v>1086</v>
      </c>
      <c r="F23" s="43">
        <v>1551</v>
      </c>
      <c r="G23" s="43">
        <f>H23-F23-E23-D23</f>
        <v>1580</v>
      </c>
      <c r="H23" s="44">
        <v>5669</v>
      </c>
      <c r="I23" s="45"/>
      <c r="J23" s="43">
        <v>1481</v>
      </c>
      <c r="K23" s="43">
        <v>1625</v>
      </c>
      <c r="L23" s="43">
        <v>1568</v>
      </c>
      <c r="M23" s="43">
        <f t="shared" si="0"/>
        <v>1591</v>
      </c>
      <c r="N23" s="44">
        <v>6265</v>
      </c>
      <c r="O23" s="44"/>
      <c r="P23" s="43">
        <v>1687</v>
      </c>
      <c r="Q23" s="43">
        <v>1938</v>
      </c>
      <c r="R23" s="43">
        <v>1956</v>
      </c>
      <c r="S23" s="43">
        <f t="shared" si="1"/>
        <v>1836</v>
      </c>
      <c r="T23" s="44">
        <v>7417</v>
      </c>
      <c r="U23" s="44"/>
      <c r="V23" s="43">
        <v>1742</v>
      </c>
      <c r="W23" s="43">
        <v>1726</v>
      </c>
      <c r="X23" s="43">
        <v>1722</v>
      </c>
      <c r="Y23" s="43">
        <f t="shared" si="2"/>
        <v>1785</v>
      </c>
      <c r="Z23" s="44">
        <v>6975</v>
      </c>
      <c r="AA23" s="44"/>
      <c r="AB23" s="43">
        <v>1695</v>
      </c>
      <c r="AC23" s="43">
        <v>1794</v>
      </c>
      <c r="AD23" s="43">
        <v>1842</v>
      </c>
      <c r="AE23" s="43">
        <f t="shared" si="3"/>
        <v>1833</v>
      </c>
      <c r="AF23" s="44">
        <v>7164</v>
      </c>
      <c r="AG23" s="46"/>
      <c r="AH23" s="43">
        <v>1773</v>
      </c>
      <c r="AI23" s="43">
        <v>1730</v>
      </c>
      <c r="AJ23" s="47"/>
      <c r="AK23" s="47"/>
      <c r="AL23" s="49">
        <f>Anexo_projections!AA74</f>
        <v>8043.9582666666665</v>
      </c>
      <c r="AM23" s="48"/>
      <c r="AN23" s="47"/>
      <c r="AO23" s="47"/>
      <c r="AP23" s="47"/>
      <c r="AQ23" s="47"/>
      <c r="AR23" s="49">
        <f>Anexo_projections!AG74</f>
        <v>8278.1383044444447</v>
      </c>
      <c r="AS23" s="48"/>
      <c r="AT23" s="49">
        <f>Anexo_projections!AI74</f>
        <v>8436.0021902518529</v>
      </c>
      <c r="AU23" s="50"/>
      <c r="AV23" s="49">
        <f>Anexo_projections!AK74</f>
        <v>8757.966933158521</v>
      </c>
      <c r="AW23" s="50"/>
      <c r="AX23" s="49">
        <f>Anexo_projections!AM74</f>
        <v>8904.1804911122254</v>
      </c>
    </row>
    <row r="24" spans="2:50" ht="15" customHeight="1" x14ac:dyDescent="0.3">
      <c r="B24" s="53" t="s">
        <v>228</v>
      </c>
      <c r="D24" s="43">
        <f>214+11+18</f>
        <v>243</v>
      </c>
      <c r="E24" s="43">
        <f>150+103+19</f>
        <v>272</v>
      </c>
      <c r="F24" s="43">
        <f>193+114+16</f>
        <v>323</v>
      </c>
      <c r="G24" s="43">
        <f>H24-F24-E24-D24</f>
        <v>444</v>
      </c>
      <c r="H24" s="54">
        <f>743+473+66</f>
        <v>1282</v>
      </c>
      <c r="I24" s="45"/>
      <c r="J24" s="43">
        <f>177+161+14</f>
        <v>352</v>
      </c>
      <c r="K24" s="43">
        <f>180+176+16</f>
        <v>372</v>
      </c>
      <c r="L24" s="43">
        <f>182+198+20</f>
        <v>400</v>
      </c>
      <c r="M24" s="43">
        <f t="shared" si="0"/>
        <v>436</v>
      </c>
      <c r="N24" s="54">
        <f>741+752+67</f>
        <v>1560</v>
      </c>
      <c r="O24" s="54"/>
      <c r="P24" s="43">
        <f>205+151+14</f>
        <v>370</v>
      </c>
      <c r="Q24" s="43">
        <f>233+183+11</f>
        <v>427</v>
      </c>
      <c r="R24" s="43">
        <f>231+212+14</f>
        <v>457</v>
      </c>
      <c r="S24" s="43">
        <f t="shared" si="1"/>
        <v>462</v>
      </c>
      <c r="T24" s="54">
        <f>884+779+53</f>
        <v>1716</v>
      </c>
      <c r="U24" s="54"/>
      <c r="V24" s="43">
        <f>235+151+14</f>
        <v>400</v>
      </c>
      <c r="W24" s="43">
        <f>220+149+25</f>
        <v>394</v>
      </c>
      <c r="X24" s="43">
        <f>226+142+28</f>
        <v>396</v>
      </c>
      <c r="Y24" s="43">
        <f t="shared" si="2"/>
        <v>358</v>
      </c>
      <c r="Z24" s="54">
        <f>872+584+92</f>
        <v>1548</v>
      </c>
      <c r="AA24" s="54"/>
      <c r="AB24" s="43">
        <f>217+174+24</f>
        <v>415</v>
      </c>
      <c r="AC24" s="43">
        <f>212+131+26</f>
        <v>369</v>
      </c>
      <c r="AD24" s="43">
        <f>179+122+22</f>
        <v>323</v>
      </c>
      <c r="AE24" s="43">
        <f t="shared" si="3"/>
        <v>332</v>
      </c>
      <c r="AF24" s="54">
        <f>788+554+97</f>
        <v>1439</v>
      </c>
      <c r="AG24" s="46"/>
      <c r="AH24" s="43">
        <f>194+118+24</f>
        <v>336</v>
      </c>
      <c r="AI24" s="43">
        <f>181+107+23</f>
        <v>311</v>
      </c>
      <c r="AJ24" s="47"/>
      <c r="AK24" s="47"/>
      <c r="AL24" s="49">
        <f>Anexo_projections!AA77</f>
        <v>1500</v>
      </c>
      <c r="AM24" s="48"/>
      <c r="AN24" s="47"/>
      <c r="AO24" s="47"/>
      <c r="AP24" s="47"/>
      <c r="AQ24" s="47"/>
      <c r="AR24" s="55">
        <f>Anexo_projections!AG77</f>
        <v>1500</v>
      </c>
      <c r="AS24" s="48"/>
      <c r="AT24" s="55">
        <f>Anexo_projections!AI77</f>
        <v>1500</v>
      </c>
      <c r="AU24" s="50"/>
      <c r="AV24" s="55">
        <f>Anexo_projections!AK77</f>
        <v>1500</v>
      </c>
      <c r="AW24" s="50"/>
      <c r="AX24" s="55">
        <f>Anexo_projections!AM77</f>
        <v>1500</v>
      </c>
    </row>
    <row r="25" spans="2:50" ht="15" hidden="1" customHeight="1" x14ac:dyDescent="0.3">
      <c r="B25" s="53"/>
      <c r="D25" s="43"/>
      <c r="E25" s="43"/>
      <c r="F25" s="43"/>
      <c r="G25" s="43"/>
      <c r="H25" s="54"/>
      <c r="I25" s="45"/>
      <c r="J25" s="43"/>
      <c r="K25" s="43"/>
      <c r="L25" s="43"/>
      <c r="M25" s="43"/>
      <c r="N25" s="54"/>
      <c r="O25" s="54"/>
      <c r="P25" s="43"/>
      <c r="Q25" s="43"/>
      <c r="R25" s="43"/>
      <c r="S25" s="43"/>
      <c r="T25" s="54"/>
      <c r="U25" s="54"/>
      <c r="V25" s="43"/>
      <c r="W25" s="43"/>
      <c r="X25" s="43"/>
      <c r="Y25" s="43"/>
      <c r="Z25" s="54"/>
      <c r="AA25" s="54"/>
      <c r="AB25" s="43"/>
      <c r="AC25" s="43"/>
      <c r="AD25" s="43"/>
      <c r="AE25" s="43"/>
      <c r="AF25" s="54"/>
      <c r="AG25" s="46"/>
      <c r="AH25" s="43"/>
      <c r="AI25" s="43"/>
      <c r="AJ25" s="47"/>
      <c r="AK25" s="47"/>
      <c r="AL25" s="54"/>
      <c r="AM25" s="48"/>
      <c r="AN25" s="47"/>
      <c r="AO25" s="47"/>
      <c r="AP25" s="47"/>
      <c r="AQ25" s="47"/>
      <c r="AR25" s="54"/>
      <c r="AS25" s="48"/>
      <c r="AT25" s="55"/>
      <c r="AU25" s="50"/>
      <c r="AV25" s="55"/>
      <c r="AW25" s="50"/>
      <c r="AX25" s="55"/>
    </row>
    <row r="26" spans="2:50" ht="15" customHeight="1" x14ac:dyDescent="0.3">
      <c r="B26" s="56" t="s">
        <v>223</v>
      </c>
      <c r="D26" s="59">
        <f>IS!D18</f>
        <v>5229</v>
      </c>
      <c r="E26" s="59">
        <f>IS!E18</f>
        <v>4244</v>
      </c>
      <c r="F26" s="59">
        <f>IS!F18</f>
        <v>4919</v>
      </c>
      <c r="G26" s="59">
        <f>IS!G18</f>
        <v>5141</v>
      </c>
      <c r="H26" s="60">
        <f>IS!H18</f>
        <v>19533</v>
      </c>
      <c r="I26" s="93"/>
      <c r="J26" s="59">
        <f>IS!J18</f>
        <v>5001</v>
      </c>
      <c r="K26" s="59">
        <f>IS!K18</f>
        <v>5504</v>
      </c>
      <c r="L26" s="59">
        <f>IS!L18</f>
        <v>5566</v>
      </c>
      <c r="M26" s="59">
        <f>IS!M18</f>
        <v>5733</v>
      </c>
      <c r="N26" s="60">
        <f>IS!N18</f>
        <v>21804</v>
      </c>
      <c r="O26" s="49"/>
      <c r="P26" s="59">
        <f>IS!P18</f>
        <v>5860</v>
      </c>
      <c r="Q26" s="59">
        <f>IS!Q18</f>
        <v>6269</v>
      </c>
      <c r="R26" s="59">
        <f>IS!R18</f>
        <v>6566</v>
      </c>
      <c r="S26" s="59">
        <f>IS!S18</f>
        <v>6180</v>
      </c>
      <c r="T26" s="60">
        <f>IS!T18</f>
        <v>24875</v>
      </c>
      <c r="U26" s="49"/>
      <c r="V26" s="59">
        <f>IS!V18</f>
        <v>6056</v>
      </c>
      <c r="W26" s="59">
        <f>IS!W18</f>
        <v>5963</v>
      </c>
      <c r="X26" s="59">
        <f>IS!X18</f>
        <v>5941</v>
      </c>
      <c r="Y26" s="59">
        <f>IS!Y18</f>
        <v>6159</v>
      </c>
      <c r="Z26" s="60">
        <f>IS!Z18</f>
        <v>24119</v>
      </c>
      <c r="AA26" s="49"/>
      <c r="AB26" s="59">
        <f>IS!AB18</f>
        <v>6031</v>
      </c>
      <c r="AC26" s="59">
        <f>IS!AC18</f>
        <v>6007</v>
      </c>
      <c r="AD26" s="59">
        <f>IS!AD18</f>
        <v>6091</v>
      </c>
      <c r="AE26" s="59">
        <f>IS!AE18</f>
        <v>6121</v>
      </c>
      <c r="AF26" s="60">
        <f>IS!AF18</f>
        <v>24250</v>
      </c>
      <c r="AG26" s="527"/>
      <c r="AH26" s="59">
        <f>IS!AH18</f>
        <v>6027</v>
      </c>
      <c r="AI26" s="59">
        <f>IS!AI18</f>
        <v>6154</v>
      </c>
      <c r="AJ26" s="59">
        <f>IS!AJ18</f>
        <v>0</v>
      </c>
      <c r="AK26" s="59">
        <f>IS!AK18</f>
        <v>0</v>
      </c>
      <c r="AL26" s="60">
        <f>SUM(AL21:AL24)</f>
        <v>25480.870993333334</v>
      </c>
      <c r="AM26" s="50"/>
      <c r="AN26" s="59">
        <f>IS!AN18</f>
        <v>0</v>
      </c>
      <c r="AO26" s="59">
        <f>IS!AO18</f>
        <v>0</v>
      </c>
      <c r="AP26" s="59">
        <f>IS!AP18</f>
        <v>0</v>
      </c>
      <c r="AQ26" s="59">
        <f>IS!AQ18</f>
        <v>0</v>
      </c>
      <c r="AR26" s="60">
        <f>IS!AR18</f>
        <v>0</v>
      </c>
      <c r="AS26" s="50"/>
      <c r="AT26" s="60">
        <f>IS!AT18</f>
        <v>0</v>
      </c>
      <c r="AU26" s="50"/>
      <c r="AV26" s="60">
        <f>IS!AV18</f>
        <v>0</v>
      </c>
      <c r="AW26" s="50"/>
      <c r="AX26" s="60">
        <f>IS!AX18</f>
        <v>0</v>
      </c>
    </row>
    <row r="27" spans="2:50" ht="15" customHeight="1" x14ac:dyDescent="0.3">
      <c r="AG27" s="202"/>
    </row>
    <row r="28" spans="2:50" ht="15" hidden="1" customHeight="1" x14ac:dyDescent="0.3">
      <c r="B28" s="94" t="s">
        <v>229</v>
      </c>
      <c r="AG28" s="202"/>
    </row>
    <row r="29" spans="2:50" ht="15" hidden="1" customHeight="1" x14ac:dyDescent="0.3">
      <c r="B29" s="53" t="s">
        <v>225</v>
      </c>
      <c r="D29" s="43"/>
      <c r="E29" s="43"/>
      <c r="F29" s="43"/>
      <c r="G29" s="43"/>
      <c r="J29" s="43"/>
      <c r="K29" s="43"/>
      <c r="L29" s="43"/>
      <c r="M29" s="43"/>
      <c r="P29" s="43"/>
      <c r="Q29" s="43"/>
      <c r="R29" s="43"/>
      <c r="S29" s="43"/>
      <c r="V29" s="43"/>
      <c r="W29" s="43"/>
      <c r="X29" s="43"/>
      <c r="Y29" s="43"/>
      <c r="AB29" s="43"/>
      <c r="AC29" s="43"/>
      <c r="AD29" s="43"/>
      <c r="AE29" s="43"/>
      <c r="AG29" s="202"/>
      <c r="AH29" s="43"/>
      <c r="AI29" s="43"/>
      <c r="AJ29" s="43"/>
      <c r="AK29" s="43"/>
      <c r="AN29" s="43"/>
      <c r="AO29" s="43"/>
      <c r="AP29" s="43"/>
      <c r="AQ29" s="43"/>
    </row>
    <row r="30" spans="2:50" ht="15" hidden="1" customHeight="1" x14ac:dyDescent="0.3">
      <c r="B30" s="53" t="s">
        <v>226</v>
      </c>
      <c r="D30" s="43"/>
      <c r="E30" s="43"/>
      <c r="F30" s="43"/>
      <c r="G30" s="43"/>
      <c r="J30" s="43"/>
      <c r="K30" s="43"/>
      <c r="L30" s="43"/>
      <c r="M30" s="43"/>
      <c r="P30" s="43"/>
      <c r="Q30" s="43"/>
      <c r="R30" s="43"/>
      <c r="S30" s="43"/>
      <c r="V30" s="43"/>
      <c r="W30" s="43"/>
      <c r="X30" s="43"/>
      <c r="Y30" s="43"/>
      <c r="AB30" s="43"/>
      <c r="AC30" s="43"/>
      <c r="AD30" s="43"/>
      <c r="AE30" s="43"/>
      <c r="AG30" s="202"/>
      <c r="AH30" s="43"/>
      <c r="AI30" s="43"/>
      <c r="AJ30" s="43"/>
      <c r="AK30" s="43"/>
      <c r="AN30" s="43"/>
      <c r="AO30" s="43"/>
      <c r="AP30" s="43"/>
      <c r="AQ30" s="43"/>
    </row>
    <row r="31" spans="2:50" ht="15" hidden="1" customHeight="1" x14ac:dyDescent="0.3">
      <c r="B31" s="53" t="s">
        <v>227</v>
      </c>
      <c r="D31" s="43"/>
      <c r="E31" s="43"/>
      <c r="F31" s="43"/>
      <c r="G31" s="43"/>
      <c r="J31" s="43"/>
      <c r="K31" s="43"/>
      <c r="L31" s="43"/>
      <c r="M31" s="43"/>
      <c r="P31" s="43"/>
      <c r="Q31" s="43"/>
      <c r="R31" s="43"/>
      <c r="S31" s="43"/>
      <c r="V31" s="43"/>
      <c r="W31" s="43"/>
      <c r="X31" s="43"/>
      <c r="Y31" s="43"/>
      <c r="AB31" s="43"/>
      <c r="AC31" s="43"/>
      <c r="AD31" s="43"/>
      <c r="AE31" s="43"/>
      <c r="AG31" s="202"/>
      <c r="AH31" s="43"/>
      <c r="AI31" s="43"/>
      <c r="AJ31" s="43"/>
      <c r="AK31" s="43"/>
      <c r="AN31" s="43"/>
      <c r="AO31" s="43"/>
      <c r="AP31" s="43"/>
      <c r="AQ31" s="43"/>
    </row>
    <row r="32" spans="2:50" ht="15" hidden="1" customHeight="1" x14ac:dyDescent="0.3">
      <c r="B32" s="53"/>
      <c r="D32" s="43"/>
      <c r="E32" s="43"/>
      <c r="F32" s="43"/>
      <c r="G32" s="43"/>
      <c r="J32" s="43"/>
      <c r="K32" s="43"/>
      <c r="L32" s="43"/>
      <c r="M32" s="43"/>
      <c r="P32" s="43"/>
      <c r="Q32" s="43"/>
      <c r="R32" s="43"/>
      <c r="S32" s="43"/>
      <c r="V32" s="43"/>
      <c r="W32" s="43"/>
      <c r="X32" s="43"/>
      <c r="Y32" s="43"/>
      <c r="AB32" s="43"/>
      <c r="AC32" s="43"/>
      <c r="AD32" s="43"/>
      <c r="AE32" s="43"/>
      <c r="AG32" s="202"/>
      <c r="AH32" s="43"/>
      <c r="AI32" s="43"/>
      <c r="AJ32" s="43"/>
      <c r="AK32" s="43"/>
      <c r="AN32" s="43"/>
      <c r="AO32" s="43"/>
      <c r="AP32" s="43"/>
      <c r="AQ32" s="43"/>
    </row>
    <row r="33" spans="1:50" ht="15" hidden="1" customHeight="1" x14ac:dyDescent="0.3">
      <c r="B33" s="53"/>
      <c r="D33" s="43"/>
      <c r="E33" s="43"/>
      <c r="F33" s="43"/>
      <c r="G33" s="43"/>
      <c r="J33" s="43"/>
      <c r="K33" s="43"/>
      <c r="L33" s="43"/>
      <c r="M33" s="43"/>
      <c r="P33" s="43"/>
      <c r="Q33" s="43"/>
      <c r="R33" s="43"/>
      <c r="S33" s="43"/>
      <c r="V33" s="43"/>
      <c r="W33" s="43"/>
      <c r="X33" s="43"/>
      <c r="Y33" s="43"/>
      <c r="AB33" s="43"/>
      <c r="AC33" s="43"/>
      <c r="AD33" s="43"/>
      <c r="AE33" s="43"/>
      <c r="AG33" s="202"/>
      <c r="AH33" s="43"/>
      <c r="AI33" s="43"/>
      <c r="AJ33" s="43"/>
      <c r="AK33" s="43"/>
      <c r="AN33" s="43"/>
      <c r="AO33" s="43"/>
      <c r="AP33" s="43"/>
      <c r="AQ33" s="43"/>
    </row>
    <row r="34" spans="1:50" ht="15" hidden="1" customHeight="1" x14ac:dyDescent="0.3"/>
    <row r="35" spans="1:50" ht="15" customHeight="1" x14ac:dyDescent="0.3">
      <c r="A35" s="41" t="s">
        <v>39</v>
      </c>
      <c r="B35" s="158" t="s">
        <v>230</v>
      </c>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row>
    <row r="36" spans="1:50" ht="15" customHeight="1" x14ac:dyDescent="0.3">
      <c r="B36" s="16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c r="AU36" s="161"/>
      <c r="AV36" s="161"/>
      <c r="AW36" s="161"/>
      <c r="AX36" s="161"/>
    </row>
    <row r="37" spans="1:50" ht="15" customHeight="1" x14ac:dyDescent="0.3">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1"/>
      <c r="AX37" s="161"/>
    </row>
    <row r="38" spans="1:50" ht="4" customHeight="1" x14ac:dyDescent="0.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row>
    <row r="39" spans="1:50" ht="4" customHeight="1" x14ac:dyDescent="0.3"/>
    <row r="40" spans="1:50" s="21" customFormat="1" ht="60" customHeight="1" x14ac:dyDescent="0.3">
      <c r="B40" s="562" t="s">
        <v>224</v>
      </c>
      <c r="C40" s="534"/>
      <c r="D40" s="1242" t="s">
        <v>231</v>
      </c>
      <c r="E40" s="1217"/>
      <c r="F40" s="1217"/>
      <c r="G40" s="1217"/>
      <c r="H40" s="1217"/>
      <c r="I40" s="1217"/>
      <c r="J40" s="1217"/>
      <c r="K40" s="1217"/>
      <c r="L40" s="1217"/>
      <c r="M40" s="1217"/>
      <c r="N40" s="1217"/>
      <c r="O40" s="1217"/>
      <c r="P40" s="1217"/>
      <c r="Q40" s="1217"/>
      <c r="R40" s="1217"/>
      <c r="S40" s="1217"/>
      <c r="T40" s="1217"/>
      <c r="U40" s="1217"/>
      <c r="V40" s="1217"/>
      <c r="W40" s="1217"/>
      <c r="X40" s="1217"/>
      <c r="Y40" s="1217"/>
      <c r="Z40" s="1217"/>
      <c r="AA40" s="1217"/>
      <c r="AB40" s="1217"/>
      <c r="AC40" s="1217"/>
      <c r="AD40" s="1217"/>
      <c r="AE40" s="1217"/>
      <c r="AF40" s="1217"/>
      <c r="AG40" s="1217"/>
      <c r="AH40" s="1217"/>
      <c r="AI40" s="1217"/>
      <c r="AJ40" s="1217"/>
      <c r="AK40" s="1217"/>
      <c r="AL40" s="1217"/>
      <c r="AM40" s="1217"/>
      <c r="AN40" s="1217"/>
      <c r="AO40" s="1217"/>
      <c r="AP40" s="1217"/>
      <c r="AQ40" s="1217"/>
      <c r="AR40" s="1217"/>
      <c r="AS40" s="1217"/>
      <c r="AT40" s="1217"/>
      <c r="AU40" s="1217"/>
      <c r="AV40" s="1217"/>
      <c r="AW40" s="1217"/>
      <c r="AX40" s="1217"/>
    </row>
    <row r="41" spans="1:50" ht="62.5" customHeight="1" x14ac:dyDescent="0.3">
      <c r="B41" s="562" t="s">
        <v>232</v>
      </c>
      <c r="C41" s="534"/>
      <c r="D41" s="1242" t="s">
        <v>233</v>
      </c>
      <c r="E41" s="1217"/>
      <c r="F41" s="1217"/>
      <c r="G41" s="1217"/>
      <c r="H41" s="1217"/>
      <c r="I41" s="1217"/>
      <c r="J41" s="1217"/>
      <c r="K41" s="1217"/>
      <c r="L41" s="1217"/>
      <c r="M41" s="1217"/>
      <c r="N41" s="1217"/>
      <c r="O41" s="1217"/>
      <c r="P41" s="1217"/>
      <c r="Q41" s="1217"/>
      <c r="R41" s="1217"/>
      <c r="S41" s="1217"/>
      <c r="T41" s="1217"/>
      <c r="U41" s="1217"/>
      <c r="V41" s="1217"/>
      <c r="W41" s="1217"/>
      <c r="X41" s="1217"/>
      <c r="Y41" s="1217"/>
      <c r="Z41" s="1217"/>
      <c r="AA41" s="1217"/>
      <c r="AB41" s="1217"/>
      <c r="AC41" s="1217"/>
      <c r="AD41" s="1217"/>
      <c r="AE41" s="1217"/>
      <c r="AF41" s="1217"/>
      <c r="AG41" s="1217"/>
      <c r="AH41" s="1217"/>
      <c r="AI41" s="1217"/>
      <c r="AJ41" s="1217"/>
      <c r="AK41" s="1217"/>
      <c r="AL41" s="1217"/>
      <c r="AM41" s="1217"/>
      <c r="AN41" s="1217"/>
      <c r="AO41" s="1217"/>
      <c r="AP41" s="1217"/>
      <c r="AQ41" s="1217"/>
      <c r="AR41" s="1217"/>
      <c r="AS41" s="1217"/>
      <c r="AT41" s="1217"/>
      <c r="AU41" s="1217"/>
      <c r="AV41" s="1217"/>
      <c r="AW41" s="1217"/>
      <c r="AX41" s="1217"/>
    </row>
    <row r="42" spans="1:50" ht="60" customHeight="1" x14ac:dyDescent="0.3">
      <c r="B42" s="562"/>
      <c r="C42" s="202"/>
      <c r="H42" s="1241"/>
      <c r="I42" s="1241"/>
      <c r="J42" s="1241"/>
      <c r="K42" s="1241"/>
      <c r="L42" s="1241"/>
      <c r="M42" s="1241"/>
      <c r="N42" s="1241"/>
      <c r="O42" s="1241"/>
      <c r="P42" s="1241"/>
      <c r="Q42" s="1241"/>
      <c r="R42" s="1241"/>
      <c r="S42" s="1241"/>
      <c r="T42" s="1241"/>
      <c r="U42" s="1241"/>
      <c r="V42" s="1241"/>
      <c r="W42" s="1241"/>
      <c r="X42" s="1241"/>
      <c r="Y42" s="1241"/>
      <c r="Z42" s="1241"/>
      <c r="AA42" s="1241"/>
      <c r="AB42" s="1241"/>
      <c r="AC42" s="1241"/>
      <c r="AD42" s="1241"/>
      <c r="AE42" s="1241"/>
      <c r="AF42" s="1241"/>
      <c r="AG42" s="1241"/>
      <c r="AH42" s="1241"/>
      <c r="AI42" s="1241"/>
      <c r="AJ42" s="1241"/>
      <c r="AK42" s="1241"/>
      <c r="AL42" s="1241"/>
      <c r="AM42" s="1241"/>
      <c r="AN42" s="1241"/>
      <c r="AO42" s="1241"/>
      <c r="AP42" s="1241"/>
      <c r="AQ42" s="1241"/>
      <c r="AR42" s="1241"/>
      <c r="AS42" s="1241"/>
      <c r="AT42" s="1241"/>
      <c r="AU42" s="1241"/>
      <c r="AV42" s="1241"/>
      <c r="AW42" s="1241"/>
      <c r="AX42" s="1241"/>
    </row>
    <row r="43" spans="1:50" ht="60" customHeight="1" x14ac:dyDescent="0.3">
      <c r="B43" s="562"/>
      <c r="C43" s="202"/>
      <c r="H43" s="1241"/>
      <c r="I43" s="1241"/>
      <c r="J43" s="1241"/>
      <c r="K43" s="1241"/>
      <c r="L43" s="1241"/>
      <c r="M43" s="1241"/>
      <c r="N43" s="1241"/>
      <c r="O43" s="1241"/>
      <c r="P43" s="1241"/>
      <c r="Q43" s="1241"/>
      <c r="R43" s="1241"/>
      <c r="S43" s="1241"/>
      <c r="T43" s="1241"/>
      <c r="U43" s="1241"/>
      <c r="V43" s="1241"/>
      <c r="W43" s="1241"/>
      <c r="X43" s="1241"/>
      <c r="Y43" s="1241"/>
      <c r="Z43" s="1241"/>
      <c r="AA43" s="1241"/>
      <c r="AB43" s="1241"/>
      <c r="AC43" s="1241"/>
      <c r="AD43" s="1241"/>
      <c r="AE43" s="1241"/>
      <c r="AF43" s="1241"/>
      <c r="AG43" s="1241"/>
      <c r="AH43" s="1241"/>
      <c r="AI43" s="1241"/>
      <c r="AJ43" s="1241"/>
      <c r="AK43" s="1241"/>
      <c r="AL43" s="1241"/>
      <c r="AM43" s="1241"/>
      <c r="AN43" s="1241"/>
      <c r="AO43" s="1241"/>
      <c r="AP43" s="1241"/>
      <c r="AQ43" s="1241"/>
      <c r="AR43" s="1241"/>
      <c r="AS43" s="1241"/>
      <c r="AT43" s="1241"/>
      <c r="AU43" s="1241"/>
      <c r="AV43" s="1241"/>
      <c r="AW43" s="1241"/>
      <c r="AX43" s="1241"/>
    </row>
    <row r="44" spans="1:50" ht="60" customHeight="1" x14ac:dyDescent="0.3">
      <c r="B44" s="562"/>
      <c r="C44" s="202"/>
      <c r="H44" s="1241"/>
      <c r="I44" s="1241"/>
      <c r="J44" s="1241"/>
      <c r="K44" s="1241"/>
      <c r="L44" s="1241"/>
      <c r="M44" s="1241"/>
      <c r="N44" s="1241"/>
      <c r="O44" s="1241"/>
      <c r="P44" s="1241"/>
      <c r="Q44" s="1241"/>
      <c r="R44" s="1241"/>
      <c r="S44" s="1241"/>
      <c r="T44" s="1241"/>
      <c r="U44" s="1241"/>
      <c r="V44" s="1241"/>
      <c r="W44" s="1241"/>
      <c r="X44" s="1241"/>
      <c r="Y44" s="1241"/>
      <c r="Z44" s="1241"/>
      <c r="AA44" s="1241"/>
      <c r="AB44" s="1241"/>
      <c r="AC44" s="1241"/>
      <c r="AD44" s="1241"/>
      <c r="AE44" s="1241"/>
      <c r="AF44" s="1241"/>
      <c r="AG44" s="1241"/>
      <c r="AH44" s="1241"/>
      <c r="AI44" s="1241"/>
      <c r="AJ44" s="1241"/>
      <c r="AK44" s="1241"/>
      <c r="AL44" s="1241"/>
      <c r="AM44" s="1241"/>
      <c r="AN44" s="1241"/>
      <c r="AO44" s="1241"/>
      <c r="AP44" s="1241"/>
      <c r="AQ44" s="1241"/>
      <c r="AR44" s="1241"/>
      <c r="AS44" s="1241"/>
      <c r="AT44" s="1241"/>
      <c r="AU44" s="1241"/>
      <c r="AV44" s="1241"/>
      <c r="AW44" s="1241"/>
      <c r="AX44" s="1241"/>
    </row>
    <row r="45" spans="1:50" ht="60" customHeight="1" x14ac:dyDescent="0.3">
      <c r="B45" s="562"/>
      <c r="C45" s="202"/>
      <c r="H45" s="1241"/>
      <c r="I45" s="1241"/>
      <c r="J45" s="1241"/>
      <c r="K45" s="1241"/>
      <c r="L45" s="1241"/>
      <c r="M45" s="1241"/>
      <c r="N45" s="1241"/>
      <c r="O45" s="1241"/>
      <c r="P45" s="1241"/>
      <c r="Q45" s="1241"/>
      <c r="R45" s="1241"/>
      <c r="S45" s="1241"/>
      <c r="T45" s="1241"/>
      <c r="U45" s="1241"/>
      <c r="V45" s="1241"/>
      <c r="W45" s="1241"/>
      <c r="X45" s="1241"/>
      <c r="Y45" s="1241"/>
      <c r="Z45" s="1241"/>
      <c r="AA45" s="1241"/>
      <c r="AB45" s="1241"/>
      <c r="AC45" s="1241"/>
      <c r="AD45" s="1241"/>
      <c r="AE45" s="1241"/>
      <c r="AF45" s="1241"/>
      <c r="AG45" s="1241"/>
      <c r="AH45" s="1241"/>
      <c r="AI45" s="1241"/>
      <c r="AJ45" s="1241"/>
      <c r="AK45" s="1241"/>
      <c r="AL45" s="1241"/>
      <c r="AM45" s="1241"/>
      <c r="AN45" s="1241"/>
      <c r="AO45" s="1241"/>
      <c r="AP45" s="1241"/>
      <c r="AQ45" s="1241"/>
      <c r="AR45" s="1241"/>
      <c r="AS45" s="1241"/>
      <c r="AT45" s="1241"/>
      <c r="AU45" s="1241"/>
      <c r="AV45" s="1241"/>
      <c r="AW45" s="1241"/>
      <c r="AX45" s="1241"/>
    </row>
    <row r="46" spans="1:50" ht="60" customHeight="1" x14ac:dyDescent="0.3">
      <c r="B46" s="562"/>
      <c r="C46" s="202"/>
      <c r="H46" s="1241"/>
      <c r="I46" s="1241"/>
      <c r="J46" s="1241"/>
      <c r="K46" s="1241"/>
      <c r="L46" s="1241"/>
      <c r="M46" s="1241"/>
      <c r="N46" s="1241"/>
      <c r="O46" s="1241"/>
      <c r="P46" s="1241"/>
      <c r="Q46" s="1241"/>
      <c r="R46" s="1241"/>
      <c r="S46" s="1241"/>
      <c r="T46" s="1241"/>
      <c r="U46" s="1241"/>
      <c r="V46" s="1241"/>
      <c r="W46" s="1241"/>
      <c r="X46" s="1241"/>
      <c r="Y46" s="1241"/>
      <c r="Z46" s="1241"/>
      <c r="AA46" s="1241"/>
      <c r="AB46" s="1241"/>
      <c r="AC46" s="1241"/>
      <c r="AD46" s="1241"/>
      <c r="AE46" s="1241"/>
      <c r="AF46" s="1241"/>
      <c r="AG46" s="1241"/>
      <c r="AH46" s="1241"/>
      <c r="AI46" s="1241"/>
      <c r="AJ46" s="1241"/>
      <c r="AK46" s="1241"/>
      <c r="AL46" s="1241"/>
      <c r="AM46" s="1241"/>
      <c r="AN46" s="1241"/>
      <c r="AO46" s="1241"/>
      <c r="AP46" s="1241"/>
      <c r="AQ46" s="1241"/>
      <c r="AR46" s="1241"/>
      <c r="AS46" s="1241"/>
      <c r="AT46" s="1241"/>
      <c r="AU46" s="1241"/>
      <c r="AV46" s="1241"/>
      <c r="AW46" s="1241"/>
      <c r="AX46" s="1241"/>
    </row>
  </sheetData>
  <mergeCells count="14">
    <mergeCell ref="D40:AX40"/>
    <mergeCell ref="D41:AX41"/>
    <mergeCell ref="AN8:AR8"/>
    <mergeCell ref="D8:H8"/>
    <mergeCell ref="J8:N8"/>
    <mergeCell ref="P8:T8"/>
    <mergeCell ref="V8:Z8"/>
    <mergeCell ref="AB8:AF8"/>
    <mergeCell ref="AH8:AL8"/>
    <mergeCell ref="H46:AX46"/>
    <mergeCell ref="H42:AX42"/>
    <mergeCell ref="H43:AX43"/>
    <mergeCell ref="H44:AX44"/>
    <mergeCell ref="H45:AX45"/>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R116"/>
  <sheetViews>
    <sheetView showGridLines="0" zoomScale="63" zoomScaleNormal="100" workbookViewId="0">
      <selection activeCell="B93" sqref="B93"/>
    </sheetView>
  </sheetViews>
  <sheetFormatPr defaultColWidth="11.5" defaultRowHeight="15" customHeight="1" x14ac:dyDescent="0.3"/>
  <cols>
    <col min="1" max="1" width="2" style="21" customWidth="1"/>
    <col min="2" max="2" width="31" style="21" customWidth="1"/>
    <col min="3" max="6" width="12.33203125" style="21" customWidth="1"/>
    <col min="7" max="7" width="12.83203125" style="21" customWidth="1"/>
    <col min="8" max="18" width="12.33203125" style="21" customWidth="1"/>
    <col min="19" max="16384" width="11.5" style="21"/>
  </cols>
  <sheetData>
    <row r="1" spans="1:18" s="569" customFormat="1" ht="15" customHeight="1" x14ac:dyDescent="0.3"/>
    <row r="2" spans="1:18" s="569" customFormat="1" ht="15" customHeight="1" x14ac:dyDescent="0.3"/>
    <row r="3" spans="1:18" s="569" customFormat="1" ht="15" customHeight="1" x14ac:dyDescent="0.3"/>
    <row r="4" spans="1:18" s="569" customFormat="1" ht="15" customHeight="1" x14ac:dyDescent="0.3"/>
    <row r="5" spans="1:18" s="34" customFormat="1" ht="4" customHeight="1" x14ac:dyDescent="0.3"/>
    <row r="7" spans="1:18" ht="15" customHeight="1" x14ac:dyDescent="0.3">
      <c r="B7" s="578" t="s">
        <v>234</v>
      </c>
      <c r="C7" s="569"/>
      <c r="D7" s="569"/>
      <c r="E7" s="569"/>
      <c r="F7" s="569"/>
      <c r="G7" s="569"/>
      <c r="H7" s="569"/>
      <c r="I7" s="569"/>
      <c r="J7" s="569"/>
      <c r="K7" s="569"/>
      <c r="L7" s="569"/>
      <c r="M7" s="569"/>
      <c r="N7" s="569"/>
      <c r="O7" s="569"/>
      <c r="P7" s="569"/>
      <c r="Q7" s="569"/>
      <c r="R7" s="569"/>
    </row>
    <row r="8" spans="1:18" ht="15" customHeight="1" x14ac:dyDescent="0.3">
      <c r="B8" s="569"/>
      <c r="C8" s="569"/>
      <c r="D8" s="569"/>
      <c r="E8" s="569"/>
      <c r="F8" s="569"/>
      <c r="G8" s="569"/>
      <c r="H8" s="569"/>
      <c r="I8" s="569"/>
      <c r="J8" s="569"/>
      <c r="K8" s="569"/>
      <c r="L8" s="569"/>
      <c r="M8" s="569"/>
      <c r="N8" s="569"/>
      <c r="O8" s="569"/>
      <c r="P8" s="569"/>
      <c r="Q8" s="569"/>
      <c r="R8" s="569"/>
    </row>
    <row r="9" spans="1:18" ht="15" customHeight="1" x14ac:dyDescent="0.3">
      <c r="B9" s="569"/>
      <c r="C9" s="569"/>
      <c r="D9" s="569"/>
      <c r="E9" s="569"/>
      <c r="F9" s="569"/>
      <c r="G9" s="569"/>
      <c r="H9" s="569"/>
      <c r="I9" s="569"/>
      <c r="J9" s="569"/>
      <c r="K9" s="569"/>
      <c r="L9" s="569"/>
      <c r="M9" s="569"/>
      <c r="N9" s="569"/>
      <c r="O9" s="569"/>
      <c r="P9" s="569"/>
      <c r="Q9" s="569"/>
      <c r="R9" s="569"/>
    </row>
    <row r="10" spans="1:18" ht="4" customHeight="1" x14ac:dyDescent="0.3">
      <c r="B10" s="34"/>
      <c r="C10" s="34"/>
      <c r="D10" s="34"/>
      <c r="E10" s="34"/>
      <c r="F10" s="34"/>
      <c r="G10" s="34"/>
      <c r="H10" s="34"/>
      <c r="I10" s="34"/>
      <c r="J10" s="34"/>
      <c r="K10" s="34"/>
      <c r="L10" s="34"/>
      <c r="M10" s="34"/>
      <c r="N10" s="34"/>
      <c r="O10" s="34"/>
      <c r="P10" s="34"/>
      <c r="Q10" s="34"/>
      <c r="R10" s="34"/>
    </row>
    <row r="11" spans="1:18" ht="4" customHeight="1" x14ac:dyDescent="0.3">
      <c r="I11" s="735"/>
      <c r="N11" s="735"/>
    </row>
    <row r="12" spans="1:18" ht="15" customHeight="1" x14ac:dyDescent="0.3">
      <c r="A12" s="374" t="s">
        <v>39</v>
      </c>
      <c r="B12" s="583" t="s">
        <v>235</v>
      </c>
      <c r="C12" s="584" t="s">
        <v>236</v>
      </c>
      <c r="D12" s="584" t="s">
        <v>237</v>
      </c>
      <c r="E12" s="584" t="s">
        <v>238</v>
      </c>
      <c r="F12" s="584" t="s">
        <v>239</v>
      </c>
      <c r="G12" s="656" t="s">
        <v>240</v>
      </c>
      <c r="H12" s="584" t="s">
        <v>241</v>
      </c>
      <c r="I12" s="736" t="str" cm="1">
        <f t="array" ref="I12:M12">TRANSPOSE(Inputs!H21:H25)</f>
        <v>BOEING CO/THE</v>
      </c>
      <c r="J12" s="584" t="str">
        <v>LOCKHEED MARTIN</v>
      </c>
      <c r="K12" s="584" t="str">
        <v>NORTHROP GRUMMAN</v>
      </c>
      <c r="L12" s="584" t="str">
        <v>GENERAL DYNAMICS</v>
      </c>
      <c r="M12" s="584" t="str">
        <v>3M CO</v>
      </c>
      <c r="N12" s="736" t="str" cm="1">
        <f t="array" ref="N12:R12">TRANSPOSE(Inputs!N21:N25)</f>
        <v>DEERE &amp; CO</v>
      </c>
      <c r="O12" s="584" t="str">
        <v>ILLINOIS TOOL WO</v>
      </c>
      <c r="P12" s="584" t="str">
        <v>HONEYWELL INTL</v>
      </c>
      <c r="Q12" s="584" t="str">
        <v>AUTOMATIC DATA</v>
      </c>
      <c r="R12" s="584" t="str">
        <v>WASTE MANAGEMENT</v>
      </c>
    </row>
    <row r="13" spans="1:18" ht="4" customHeight="1" x14ac:dyDescent="0.3">
      <c r="A13" s="374"/>
      <c r="B13" s="582"/>
      <c r="C13" s="34"/>
      <c r="D13" s="34"/>
      <c r="E13" s="34"/>
      <c r="F13" s="34"/>
      <c r="G13" s="34"/>
      <c r="H13" s="34"/>
      <c r="I13" s="737"/>
      <c r="J13" s="34"/>
      <c r="K13" s="34"/>
      <c r="L13" s="34"/>
      <c r="M13" s="34"/>
      <c r="N13" s="737"/>
      <c r="O13" s="34"/>
      <c r="P13" s="34"/>
      <c r="Q13" s="34"/>
      <c r="R13" s="34"/>
    </row>
    <row r="14" spans="1:18" ht="15" customHeight="1" x14ac:dyDescent="0.3">
      <c r="B14" s="369" t="s">
        <v>242</v>
      </c>
      <c r="C14" s="570">
        <v>0.01</v>
      </c>
      <c r="D14" s="570">
        <v>0.01</v>
      </c>
      <c r="E14" s="570">
        <v>-0.03</v>
      </c>
      <c r="F14" s="570">
        <v>0.05</v>
      </c>
      <c r="G14" s="570">
        <v>0.01</v>
      </c>
      <c r="H14" s="570">
        <v>0.01</v>
      </c>
      <c r="I14" s="770">
        <v>0.02</v>
      </c>
      <c r="J14" s="771">
        <v>0.01</v>
      </c>
      <c r="K14" s="772">
        <v>-0.01</v>
      </c>
      <c r="L14" s="772">
        <v>-0.01</v>
      </c>
      <c r="M14" s="671">
        <v>0.12</v>
      </c>
      <c r="N14" s="773">
        <v>0.12</v>
      </c>
      <c r="O14" s="671">
        <v>0.12</v>
      </c>
      <c r="P14" s="671">
        <v>0.12</v>
      </c>
      <c r="Q14" s="671">
        <v>0.12</v>
      </c>
      <c r="R14" s="671">
        <v>0.12</v>
      </c>
    </row>
    <row r="15" spans="1:18" ht="15" customHeight="1" x14ac:dyDescent="0.3">
      <c r="B15" s="369" t="s">
        <v>243</v>
      </c>
      <c r="C15" s="570">
        <v>0.01</v>
      </c>
      <c r="D15" s="570">
        <v>0.04</v>
      </c>
      <c r="E15" s="570">
        <v>0</v>
      </c>
      <c r="F15" s="570">
        <v>0.14000000000000001</v>
      </c>
      <c r="G15" s="570">
        <v>0.01</v>
      </c>
      <c r="H15" s="570">
        <v>-0.01</v>
      </c>
      <c r="I15" s="774">
        <v>7.0000000000000007E-2</v>
      </c>
      <c r="J15" s="775">
        <v>0.04</v>
      </c>
      <c r="K15" s="776">
        <v>0.05</v>
      </c>
      <c r="L15" s="777">
        <v>0.09</v>
      </c>
      <c r="M15" s="674">
        <v>-0.11</v>
      </c>
      <c r="N15" s="778">
        <v>-0.03</v>
      </c>
      <c r="O15" s="771">
        <v>0.01</v>
      </c>
      <c r="P15" s="779">
        <v>0.05</v>
      </c>
      <c r="Q15" s="780">
        <v>0.08</v>
      </c>
      <c r="R15" s="781">
        <v>0.08</v>
      </c>
    </row>
    <row r="16" spans="1:18" ht="15" customHeight="1" x14ac:dyDescent="0.3">
      <c r="B16" s="369" t="s">
        <v>244</v>
      </c>
      <c r="C16" s="570" t="s">
        <v>245</v>
      </c>
      <c r="D16" s="570" t="s">
        <v>245</v>
      </c>
      <c r="E16" s="570" t="s">
        <v>245</v>
      </c>
      <c r="F16" s="570" t="s">
        <v>245</v>
      </c>
      <c r="G16" s="570" t="s">
        <v>245</v>
      </c>
      <c r="H16" s="570" t="s">
        <v>245</v>
      </c>
      <c r="I16" s="782">
        <v>-1.04</v>
      </c>
      <c r="J16" s="783">
        <v>-0.31</v>
      </c>
      <c r="K16" s="671">
        <v>0.14000000000000001</v>
      </c>
      <c r="L16" s="671">
        <v>0.14000000000000001</v>
      </c>
      <c r="M16" s="784">
        <v>0.1</v>
      </c>
      <c r="N16" s="785">
        <v>0.1</v>
      </c>
      <c r="O16" s="784">
        <v>0.1</v>
      </c>
      <c r="P16" s="784">
        <v>0.1</v>
      </c>
      <c r="Q16" s="784">
        <v>0.1</v>
      </c>
      <c r="R16" s="784">
        <v>0.1</v>
      </c>
    </row>
    <row r="17" spans="1:18" ht="15" customHeight="1" x14ac:dyDescent="0.3">
      <c r="B17" s="369" t="s">
        <v>246</v>
      </c>
      <c r="C17" s="570">
        <v>0.05</v>
      </c>
      <c r="D17" s="570">
        <v>-0.02</v>
      </c>
      <c r="E17" s="570">
        <v>-0.09</v>
      </c>
      <c r="F17" s="570">
        <v>0.1</v>
      </c>
      <c r="G17" s="570">
        <v>0.55000000000000004</v>
      </c>
      <c r="H17" s="570">
        <v>7.0000000000000007E-2</v>
      </c>
      <c r="I17" s="773">
        <v>2.76</v>
      </c>
      <c r="J17" s="674">
        <v>-0.16</v>
      </c>
      <c r="K17" s="786">
        <v>0.43</v>
      </c>
      <c r="L17" s="786">
        <v>0.43</v>
      </c>
      <c r="M17" s="787">
        <v>0.14000000000000001</v>
      </c>
      <c r="N17" s="788">
        <v>0.14000000000000001</v>
      </c>
      <c r="O17" s="787">
        <v>0.14000000000000001</v>
      </c>
      <c r="P17" s="787">
        <v>0.14000000000000001</v>
      </c>
      <c r="Q17" s="787">
        <v>0.14000000000000001</v>
      </c>
      <c r="R17" s="787">
        <v>0.14000000000000001</v>
      </c>
    </row>
    <row r="18" spans="1:18" ht="15" customHeight="1" x14ac:dyDescent="0.3">
      <c r="B18" s="369" t="s">
        <v>247</v>
      </c>
      <c r="C18" s="570">
        <v>0.05</v>
      </c>
      <c r="D18" s="570">
        <v>0</v>
      </c>
      <c r="E18" s="570">
        <v>-0.06</v>
      </c>
      <c r="F18" s="570">
        <v>0.09</v>
      </c>
      <c r="G18" s="570">
        <v>0.39</v>
      </c>
      <c r="H18" s="570">
        <v>0.05</v>
      </c>
      <c r="I18" s="773">
        <v>8.41</v>
      </c>
      <c r="J18" s="674">
        <v>-0.12</v>
      </c>
      <c r="K18" s="789">
        <v>0.31</v>
      </c>
      <c r="L18" s="789">
        <v>0.31</v>
      </c>
      <c r="M18" s="790">
        <v>0.13</v>
      </c>
      <c r="N18" s="791">
        <v>0.13</v>
      </c>
      <c r="O18" s="790">
        <v>0.13</v>
      </c>
      <c r="P18" s="790">
        <v>0.13</v>
      </c>
      <c r="Q18" s="790">
        <v>0.13</v>
      </c>
      <c r="R18" s="790">
        <v>0.13</v>
      </c>
    </row>
    <row r="19" spans="1:18" ht="15" customHeight="1" x14ac:dyDescent="0.3">
      <c r="B19" s="369" t="s">
        <v>248</v>
      </c>
      <c r="C19" s="570">
        <v>0.23</v>
      </c>
      <c r="D19" s="570">
        <v>-0.17</v>
      </c>
      <c r="E19" s="570">
        <v>-0.17</v>
      </c>
      <c r="F19" s="570">
        <v>0.49</v>
      </c>
      <c r="G19" s="570">
        <v>1.01</v>
      </c>
      <c r="H19" s="570">
        <v>0.12</v>
      </c>
      <c r="I19" s="738" t="s">
        <v>245</v>
      </c>
      <c r="J19" s="570">
        <v>-0.15</v>
      </c>
      <c r="K19" s="570">
        <v>0.25</v>
      </c>
      <c r="L19" s="570">
        <v>-0.16</v>
      </c>
      <c r="M19" s="570">
        <v>-0.87</v>
      </c>
      <c r="N19" s="738">
        <v>7.0000000000000007E-2</v>
      </c>
      <c r="O19" s="570">
        <v>-0.08</v>
      </c>
      <c r="P19" s="570">
        <v>0.15</v>
      </c>
      <c r="Q19" s="570">
        <v>0.21</v>
      </c>
      <c r="R19" s="570">
        <v>0.18</v>
      </c>
    </row>
    <row r="20" spans="1:18" ht="15" customHeight="1" x14ac:dyDescent="0.3">
      <c r="B20" s="369"/>
      <c r="I20" s="735"/>
      <c r="N20" s="735"/>
    </row>
    <row r="21" spans="1:18" ht="15" customHeight="1" x14ac:dyDescent="0.3">
      <c r="A21" s="374" t="s">
        <v>39</v>
      </c>
      <c r="B21" s="583" t="s">
        <v>249</v>
      </c>
      <c r="C21" s="584" t="str">
        <f>C12</f>
        <v>Union Pacific Corp</v>
      </c>
      <c r="D21" s="584" t="str">
        <f t="shared" ref="D21:R21" si="0">D12</f>
        <v>CAN NATL RAILWAY</v>
      </c>
      <c r="E21" s="584" t="str">
        <f t="shared" si="0"/>
        <v>CSX CORP</v>
      </c>
      <c r="F21" s="584" t="str">
        <f t="shared" si="0"/>
        <v>CANADIAN PACIFIC</v>
      </c>
      <c r="G21" s="584" t="str">
        <f t="shared" si="0"/>
        <v>NORFOLK SOUTHERN</v>
      </c>
      <c r="H21" s="584" t="str">
        <f t="shared" si="0"/>
        <v>BNSF RAILWAY CO</v>
      </c>
      <c r="I21" s="736" t="str">
        <f t="shared" si="0"/>
        <v>BOEING CO/THE</v>
      </c>
      <c r="J21" s="584" t="str">
        <f t="shared" si="0"/>
        <v>LOCKHEED MARTIN</v>
      </c>
      <c r="K21" s="584" t="str">
        <f t="shared" si="0"/>
        <v>NORTHROP GRUMMAN</v>
      </c>
      <c r="L21" s="584" t="str">
        <f t="shared" si="0"/>
        <v>GENERAL DYNAMICS</v>
      </c>
      <c r="M21" s="584" t="str">
        <f t="shared" si="0"/>
        <v>3M CO</v>
      </c>
      <c r="N21" s="736" t="str">
        <f t="shared" si="0"/>
        <v>DEERE &amp; CO</v>
      </c>
      <c r="O21" s="584" t="str">
        <f t="shared" si="0"/>
        <v>ILLINOIS TOOL WO</v>
      </c>
      <c r="P21" s="584" t="str">
        <f t="shared" si="0"/>
        <v>HONEYWELL INTL</v>
      </c>
      <c r="Q21" s="584" t="str">
        <f t="shared" si="0"/>
        <v>AUTOMATIC DATA</v>
      </c>
      <c r="R21" s="584" t="str">
        <f t="shared" si="0"/>
        <v>WASTE MANAGEMENT</v>
      </c>
    </row>
    <row r="22" spans="1:18" ht="4" customHeight="1" x14ac:dyDescent="0.3">
      <c r="A22" s="374"/>
      <c r="B22" s="582"/>
      <c r="C22" s="34"/>
      <c r="D22" s="34"/>
      <c r="E22" s="34"/>
      <c r="F22" s="34"/>
      <c r="G22" s="34" t="s">
        <v>245</v>
      </c>
      <c r="H22" s="34"/>
      <c r="I22" s="737"/>
      <c r="J22" s="34"/>
      <c r="K22" s="34"/>
      <c r="L22" s="34"/>
      <c r="M22" s="34"/>
      <c r="N22" s="737"/>
      <c r="O22" s="34"/>
      <c r="P22" s="34"/>
      <c r="Q22" s="34"/>
      <c r="R22" s="34"/>
    </row>
    <row r="23" spans="1:18" ht="15" customHeight="1" x14ac:dyDescent="0.3">
      <c r="B23" s="369" t="s">
        <v>250</v>
      </c>
      <c r="C23" s="570" t="s">
        <v>245</v>
      </c>
      <c r="D23" s="570" t="s">
        <v>245</v>
      </c>
      <c r="E23" s="570" t="s">
        <v>245</v>
      </c>
      <c r="F23" s="570" t="s">
        <v>245</v>
      </c>
      <c r="G23" s="698" t="s">
        <v>245</v>
      </c>
      <c r="H23" s="570">
        <v>0.66</v>
      </c>
      <c r="I23" s="738">
        <v>-0.03</v>
      </c>
      <c r="J23" s="570">
        <v>0.1</v>
      </c>
      <c r="K23" s="570">
        <v>0.2</v>
      </c>
      <c r="L23" s="570">
        <v>0.15</v>
      </c>
      <c r="M23" s="570">
        <v>0.41</v>
      </c>
      <c r="N23" s="738">
        <v>0.4</v>
      </c>
      <c r="O23" s="570">
        <v>0.44</v>
      </c>
      <c r="P23" s="570">
        <v>0.38</v>
      </c>
      <c r="Q23" s="570">
        <v>0.46</v>
      </c>
      <c r="R23" s="570">
        <v>0.39</v>
      </c>
    </row>
    <row r="24" spans="1:18" ht="15" customHeight="1" x14ac:dyDescent="0.3">
      <c r="B24" s="369" t="s">
        <v>251</v>
      </c>
      <c r="C24" s="570">
        <v>0.4</v>
      </c>
      <c r="D24" s="570">
        <v>0.37</v>
      </c>
      <c r="E24" s="570">
        <v>0.36</v>
      </c>
      <c r="F24" s="570">
        <v>0.36</v>
      </c>
      <c r="G24" s="570">
        <v>0.34</v>
      </c>
      <c r="H24" s="570">
        <v>0.32</v>
      </c>
      <c r="I24" s="738">
        <v>-0.16</v>
      </c>
      <c r="J24" s="570">
        <v>0.1</v>
      </c>
      <c r="K24" s="570">
        <v>0.11</v>
      </c>
      <c r="L24" s="570">
        <v>0.1</v>
      </c>
      <c r="M24" s="570">
        <v>0.2</v>
      </c>
      <c r="N24" s="738">
        <v>0.24</v>
      </c>
      <c r="O24" s="570">
        <v>0.27</v>
      </c>
      <c r="P24" s="570">
        <v>0.19</v>
      </c>
      <c r="Q24" s="570">
        <v>0.26</v>
      </c>
      <c r="R24" s="570">
        <v>0.18</v>
      </c>
    </row>
    <row r="25" spans="1:18" ht="15" customHeight="1" x14ac:dyDescent="0.3">
      <c r="B25" s="369" t="s">
        <v>252</v>
      </c>
      <c r="C25" s="570">
        <v>0.5</v>
      </c>
      <c r="D25" s="570">
        <v>0.49</v>
      </c>
      <c r="E25" s="570">
        <v>0.46</v>
      </c>
      <c r="F25" s="570">
        <v>0.49</v>
      </c>
      <c r="G25" s="570">
        <v>0.53</v>
      </c>
      <c r="H25" s="570">
        <v>0.45</v>
      </c>
      <c r="I25" s="738">
        <v>-0.1</v>
      </c>
      <c r="J25" s="570">
        <v>0.11</v>
      </c>
      <c r="K25" s="570">
        <v>0.14000000000000001</v>
      </c>
      <c r="L25" s="570">
        <v>0.12</v>
      </c>
      <c r="M25" s="570">
        <v>0.24</v>
      </c>
      <c r="N25" s="738">
        <v>0.27</v>
      </c>
      <c r="O25" s="570">
        <v>0.28999999999999998</v>
      </c>
      <c r="P25" s="570">
        <v>0.23</v>
      </c>
      <c r="Q25" s="570">
        <v>0.3</v>
      </c>
      <c r="R25" s="570">
        <v>0.28000000000000003</v>
      </c>
    </row>
    <row r="26" spans="1:18" ht="15" customHeight="1" x14ac:dyDescent="0.3">
      <c r="B26" s="369" t="s">
        <v>253</v>
      </c>
      <c r="C26" s="570">
        <v>0.28000000000000003</v>
      </c>
      <c r="D26" s="570">
        <v>0.26</v>
      </c>
      <c r="E26" s="570">
        <v>0.24</v>
      </c>
      <c r="F26" s="570">
        <v>0.26</v>
      </c>
      <c r="G26" s="570">
        <v>0.22</v>
      </c>
      <c r="H26" s="570">
        <v>0.31</v>
      </c>
      <c r="I26" s="738">
        <v>-0.18</v>
      </c>
      <c r="J26" s="570">
        <v>0.08</v>
      </c>
      <c r="K26" s="570">
        <v>0.1</v>
      </c>
      <c r="L26" s="570">
        <v>0.08</v>
      </c>
      <c r="M26" s="570">
        <v>0.17</v>
      </c>
      <c r="N26" s="738">
        <v>0.14000000000000001</v>
      </c>
      <c r="O26" s="570">
        <v>0.22</v>
      </c>
      <c r="P26" s="570">
        <v>0.15</v>
      </c>
      <c r="Q26" s="570">
        <v>0.2</v>
      </c>
      <c r="R26" s="570">
        <v>0.12</v>
      </c>
    </row>
    <row r="27" spans="1:18" ht="15" customHeight="1" x14ac:dyDescent="0.3">
      <c r="B27" s="369" t="s">
        <v>254</v>
      </c>
      <c r="C27" s="570" t="s">
        <v>245</v>
      </c>
      <c r="D27" s="570" t="s">
        <v>245</v>
      </c>
      <c r="E27" s="570" t="s">
        <v>245</v>
      </c>
      <c r="F27" s="570" t="s">
        <v>245</v>
      </c>
      <c r="G27" s="570" t="s">
        <v>245</v>
      </c>
      <c r="H27" s="570" t="s">
        <v>245</v>
      </c>
      <c r="I27" s="792">
        <v>7.0000000000000007E-2</v>
      </c>
      <c r="J27" s="570" t="s">
        <v>245</v>
      </c>
      <c r="K27" s="793">
        <v>0.1</v>
      </c>
      <c r="L27" s="674">
        <v>0.04</v>
      </c>
      <c r="M27" s="794">
        <v>0.17</v>
      </c>
      <c r="N27" s="795">
        <v>0.1</v>
      </c>
      <c r="O27" s="796">
        <v>0.17</v>
      </c>
      <c r="P27" s="797">
        <v>0.14000000000000001</v>
      </c>
      <c r="Q27" s="671">
        <v>0.2</v>
      </c>
      <c r="R27" s="695">
        <v>0.11</v>
      </c>
    </row>
    <row r="28" spans="1:18" ht="15" customHeight="1" x14ac:dyDescent="0.3">
      <c r="B28" s="369" t="s">
        <v>255</v>
      </c>
      <c r="C28" s="570">
        <v>0</v>
      </c>
      <c r="D28" s="570" t="s">
        <v>245</v>
      </c>
      <c r="E28" s="570" t="s">
        <v>245</v>
      </c>
      <c r="F28" s="570" t="s">
        <v>245</v>
      </c>
      <c r="G28" s="570" t="s">
        <v>245</v>
      </c>
      <c r="H28" s="570" t="s">
        <v>245</v>
      </c>
      <c r="I28" s="798">
        <v>0.05</v>
      </c>
      <c r="J28" s="570" t="s">
        <v>245</v>
      </c>
      <c r="K28" s="570" t="s">
        <v>245</v>
      </c>
      <c r="L28" s="799">
        <v>0.01</v>
      </c>
      <c r="M28" s="695">
        <v>0.05</v>
      </c>
      <c r="N28" s="773">
        <v>0.05</v>
      </c>
      <c r="O28" s="570" t="s">
        <v>245</v>
      </c>
      <c r="P28" s="800">
        <v>0.05</v>
      </c>
      <c r="Q28" s="674">
        <v>0</v>
      </c>
      <c r="R28" s="570" t="s">
        <v>245</v>
      </c>
    </row>
    <row r="29" spans="1:18" ht="15" customHeight="1" x14ac:dyDescent="0.3">
      <c r="B29" s="369"/>
      <c r="I29" s="735"/>
      <c r="N29" s="735"/>
    </row>
    <row r="30" spans="1:18" ht="15" customHeight="1" x14ac:dyDescent="0.3">
      <c r="A30" s="374" t="s">
        <v>39</v>
      </c>
      <c r="B30" s="583" t="s">
        <v>256</v>
      </c>
      <c r="C30" s="584" t="str">
        <f>C21</f>
        <v>Union Pacific Corp</v>
      </c>
      <c r="D30" s="584" t="str">
        <f t="shared" ref="D30:R30" si="1">D21</f>
        <v>CAN NATL RAILWAY</v>
      </c>
      <c r="E30" s="584" t="str">
        <f t="shared" si="1"/>
        <v>CSX CORP</v>
      </c>
      <c r="F30" s="584" t="str">
        <f t="shared" si="1"/>
        <v>CANADIAN PACIFIC</v>
      </c>
      <c r="G30" s="584" t="str">
        <f t="shared" si="1"/>
        <v>NORFOLK SOUTHERN</v>
      </c>
      <c r="H30" s="584" t="str">
        <f t="shared" si="1"/>
        <v>BNSF RAILWAY CO</v>
      </c>
      <c r="I30" s="736" t="str">
        <f t="shared" si="1"/>
        <v>BOEING CO/THE</v>
      </c>
      <c r="J30" s="584" t="str">
        <f t="shared" si="1"/>
        <v>LOCKHEED MARTIN</v>
      </c>
      <c r="K30" s="584" t="str">
        <f t="shared" si="1"/>
        <v>NORTHROP GRUMMAN</v>
      </c>
      <c r="L30" s="584" t="str">
        <f t="shared" si="1"/>
        <v>GENERAL DYNAMICS</v>
      </c>
      <c r="M30" s="584" t="str">
        <f t="shared" si="1"/>
        <v>3M CO</v>
      </c>
      <c r="N30" s="736" t="str">
        <f t="shared" si="1"/>
        <v>DEERE &amp; CO</v>
      </c>
      <c r="O30" s="584" t="str">
        <f t="shared" si="1"/>
        <v>ILLINOIS TOOL WO</v>
      </c>
      <c r="P30" s="584" t="str">
        <f t="shared" si="1"/>
        <v>HONEYWELL INTL</v>
      </c>
      <c r="Q30" s="584" t="str">
        <f t="shared" si="1"/>
        <v>AUTOMATIC DATA</v>
      </c>
      <c r="R30" s="584" t="str">
        <f t="shared" si="1"/>
        <v>WASTE MANAGEMENT</v>
      </c>
    </row>
    <row r="31" spans="1:18" ht="4" customHeight="1" x14ac:dyDescent="0.3">
      <c r="A31" s="374"/>
      <c r="B31" s="582"/>
      <c r="C31" s="34"/>
      <c r="D31" s="34"/>
      <c r="E31" s="34"/>
      <c r="F31" s="34"/>
      <c r="G31" s="34"/>
      <c r="H31" s="34"/>
      <c r="I31" s="737"/>
      <c r="J31" s="34"/>
      <c r="K31" s="34"/>
      <c r="L31" s="34"/>
      <c r="M31" s="34"/>
      <c r="N31" s="737"/>
      <c r="O31" s="34"/>
      <c r="P31" s="34"/>
      <c r="Q31" s="34"/>
      <c r="R31" s="34"/>
    </row>
    <row r="32" spans="1:18" ht="15" customHeight="1" x14ac:dyDescent="0.3">
      <c r="B32" s="369" t="s">
        <v>257</v>
      </c>
      <c r="C32" s="570">
        <v>0.12</v>
      </c>
      <c r="D32" s="570">
        <v>0.08</v>
      </c>
      <c r="E32" s="570">
        <v>0.11</v>
      </c>
      <c r="F32" s="570">
        <v>0.05</v>
      </c>
      <c r="G32" s="570">
        <v>0.12</v>
      </c>
      <c r="H32" s="570">
        <v>0.08</v>
      </c>
      <c r="I32" s="738">
        <v>-0.23</v>
      </c>
      <c r="J32" s="570">
        <v>0.19</v>
      </c>
      <c r="K32" s="570">
        <v>0.08</v>
      </c>
      <c r="L32" s="570">
        <v>0.13</v>
      </c>
      <c r="M32" s="570">
        <v>0.22</v>
      </c>
      <c r="N32" s="738">
        <v>0.08</v>
      </c>
      <c r="O32" s="570">
        <v>0.27</v>
      </c>
      <c r="P32" s="570">
        <v>0.11</v>
      </c>
      <c r="Q32" s="570">
        <v>0.43</v>
      </c>
      <c r="R32" s="570">
        <v>0.12</v>
      </c>
    </row>
    <row r="33" spans="1:18" ht="15" customHeight="1" x14ac:dyDescent="0.3">
      <c r="B33" s="369" t="s">
        <v>258</v>
      </c>
      <c r="C33" s="570">
        <v>0.09</v>
      </c>
      <c r="D33" s="570">
        <v>0.06</v>
      </c>
      <c r="E33" s="570">
        <v>7.0000000000000007E-2</v>
      </c>
      <c r="F33" s="570">
        <v>0.03</v>
      </c>
      <c r="G33" s="570">
        <v>0.04</v>
      </c>
      <c r="H33" s="570">
        <v>7.0000000000000007E-2</v>
      </c>
      <c r="I33" s="738">
        <v>-0.28000000000000003</v>
      </c>
      <c r="J33" s="570">
        <v>0.17</v>
      </c>
      <c r="K33" s="570">
        <v>7.0000000000000007E-2</v>
      </c>
      <c r="L33" s="570">
        <v>0.1</v>
      </c>
      <c r="M33" s="570">
        <v>0.05</v>
      </c>
      <c r="N33" s="738">
        <v>0.05</v>
      </c>
      <c r="O33" s="570">
        <v>0.25</v>
      </c>
      <c r="P33" s="570">
        <v>0.09</v>
      </c>
      <c r="Q33" s="570">
        <v>0.44</v>
      </c>
      <c r="R33" s="570">
        <v>0.06</v>
      </c>
    </row>
    <row r="34" spans="1:18" ht="15" customHeight="1" x14ac:dyDescent="0.3">
      <c r="B34" s="369" t="s">
        <v>259</v>
      </c>
      <c r="C34" s="570">
        <v>0.17</v>
      </c>
      <c r="D34" s="570">
        <v>0.13</v>
      </c>
      <c r="E34" s="570">
        <v>0.15</v>
      </c>
      <c r="F34" s="570">
        <v>0.1</v>
      </c>
      <c r="G34" s="570">
        <v>0.12</v>
      </c>
      <c r="H34" s="570">
        <v>0.11</v>
      </c>
      <c r="I34" s="738">
        <v>-0.3</v>
      </c>
      <c r="J34" s="570">
        <v>0.84</v>
      </c>
      <c r="K34" s="570">
        <v>0.34</v>
      </c>
      <c r="L34" s="570">
        <v>0.36</v>
      </c>
      <c r="M34" s="570">
        <v>0.35</v>
      </c>
      <c r="N34" s="738">
        <v>2.0699999999999998</v>
      </c>
      <c r="O34" s="570">
        <v>0.95</v>
      </c>
      <c r="P34" s="570">
        <v>0.54</v>
      </c>
      <c r="Q34" s="570">
        <v>1.8</v>
      </c>
      <c r="R34" s="570">
        <v>0.21</v>
      </c>
    </row>
    <row r="35" spans="1:18" ht="15" customHeight="1" x14ac:dyDescent="0.3">
      <c r="B35" s="369" t="s">
        <v>260</v>
      </c>
      <c r="C35" s="570">
        <v>0.57999999999999996</v>
      </c>
      <c r="D35" s="570">
        <v>0.3</v>
      </c>
      <c r="E35" s="570">
        <v>0.42</v>
      </c>
      <c r="F35" s="570">
        <v>0.11</v>
      </c>
      <c r="G35" s="570">
        <v>0.28000000000000003</v>
      </c>
      <c r="H35" s="570">
        <v>0.1</v>
      </c>
      <c r="I35" s="738">
        <v>2.74</v>
      </c>
      <c r="J35" s="570">
        <v>1.1100000000000001</v>
      </c>
      <c r="K35" s="570">
        <v>0.28999999999999998</v>
      </c>
      <c r="L35" s="570">
        <v>0.22</v>
      </c>
      <c r="M35" s="570">
        <v>1.24</v>
      </c>
      <c r="N35" s="738">
        <v>0.55000000000000004</v>
      </c>
      <c r="O35" s="570">
        <v>1.29</v>
      </c>
      <c r="P35" s="570">
        <v>0.39</v>
      </c>
      <c r="Q35" s="570">
        <v>0.87</v>
      </c>
      <c r="R35" s="570">
        <v>0.49</v>
      </c>
    </row>
    <row r="36" spans="1:18" ht="15" customHeight="1" x14ac:dyDescent="0.3">
      <c r="B36" s="369" t="s">
        <v>261</v>
      </c>
      <c r="C36" s="570">
        <v>0.42</v>
      </c>
      <c r="D36" s="570">
        <v>0.22</v>
      </c>
      <c r="E36" s="570">
        <v>0.25</v>
      </c>
      <c r="F36" s="570">
        <v>0.09</v>
      </c>
      <c r="G36" s="570">
        <v>0.24</v>
      </c>
      <c r="H36" s="570">
        <v>0.1</v>
      </c>
      <c r="I36" s="570" t="s">
        <v>245</v>
      </c>
      <c r="J36" s="801">
        <v>0.73</v>
      </c>
      <c r="K36" s="695">
        <v>0.27</v>
      </c>
      <c r="L36" s="802">
        <v>0.18</v>
      </c>
      <c r="M36" s="803">
        <v>0.96</v>
      </c>
      <c r="N36" s="804">
        <v>0.22</v>
      </c>
      <c r="O36" s="671">
        <v>1.0900000000000001</v>
      </c>
      <c r="P36" s="805">
        <v>0.35</v>
      </c>
      <c r="Q36" s="806">
        <v>0.76</v>
      </c>
      <c r="R36" s="807">
        <v>0.33</v>
      </c>
    </row>
    <row r="37" spans="1:18" ht="15" customHeight="1" x14ac:dyDescent="0.3">
      <c r="B37" s="369" t="s">
        <v>262</v>
      </c>
      <c r="C37" s="570">
        <v>0.1</v>
      </c>
      <c r="D37" s="570">
        <v>0.08</v>
      </c>
      <c r="E37" s="570">
        <v>7.0000000000000007E-2</v>
      </c>
      <c r="F37" s="570">
        <v>0.05</v>
      </c>
      <c r="G37" s="570">
        <v>0.08</v>
      </c>
      <c r="H37" s="570">
        <v>0.08</v>
      </c>
      <c r="I37" s="738">
        <v>-7.0000000000000007E-2</v>
      </c>
      <c r="J37" s="808">
        <v>7.0000000000000007E-2</v>
      </c>
      <c r="K37" s="809">
        <v>0.08</v>
      </c>
      <c r="L37" s="808">
        <v>7.0000000000000007E-2</v>
      </c>
      <c r="M37" s="810">
        <v>0.1</v>
      </c>
      <c r="N37" s="811">
        <v>0.05</v>
      </c>
      <c r="O37" s="671">
        <v>0.21</v>
      </c>
      <c r="P37" s="695">
        <v>0.08</v>
      </c>
      <c r="Q37" s="812">
        <v>0.08</v>
      </c>
      <c r="R37" s="813">
        <v>7.0000000000000007E-2</v>
      </c>
    </row>
    <row r="38" spans="1:18" ht="15" customHeight="1" x14ac:dyDescent="0.3">
      <c r="B38" s="369"/>
      <c r="I38" s="735"/>
      <c r="N38" s="735"/>
    </row>
    <row r="39" spans="1:18" ht="15" customHeight="1" x14ac:dyDescent="0.3">
      <c r="A39" s="374" t="s">
        <v>39</v>
      </c>
      <c r="B39" s="583" t="s">
        <v>263</v>
      </c>
      <c r="C39" s="584" t="str">
        <f>C30</f>
        <v>Union Pacific Corp</v>
      </c>
      <c r="D39" s="584" t="str">
        <f t="shared" ref="D39:R39" si="2">D30</f>
        <v>CAN NATL RAILWAY</v>
      </c>
      <c r="E39" s="584" t="str">
        <f t="shared" si="2"/>
        <v>CSX CORP</v>
      </c>
      <c r="F39" s="584" t="str">
        <f t="shared" si="2"/>
        <v>CANADIAN PACIFIC</v>
      </c>
      <c r="G39" s="584" t="str">
        <f t="shared" si="2"/>
        <v>NORFOLK SOUTHERN</v>
      </c>
      <c r="H39" s="584" t="str">
        <f t="shared" si="2"/>
        <v>BNSF RAILWAY CO</v>
      </c>
      <c r="I39" s="736" t="str">
        <f t="shared" si="2"/>
        <v>BOEING CO/THE</v>
      </c>
      <c r="J39" s="584" t="str">
        <f t="shared" si="2"/>
        <v>LOCKHEED MARTIN</v>
      </c>
      <c r="K39" s="584" t="str">
        <f t="shared" si="2"/>
        <v>NORTHROP GRUMMAN</v>
      </c>
      <c r="L39" s="584" t="str">
        <f t="shared" si="2"/>
        <v>GENERAL DYNAMICS</v>
      </c>
      <c r="M39" s="584" t="str">
        <f t="shared" si="2"/>
        <v>3M CO</v>
      </c>
      <c r="N39" s="736" t="str">
        <f t="shared" si="2"/>
        <v>DEERE &amp; CO</v>
      </c>
      <c r="O39" s="584" t="str">
        <f t="shared" si="2"/>
        <v>ILLINOIS TOOL WO</v>
      </c>
      <c r="P39" s="584" t="str">
        <f t="shared" si="2"/>
        <v>HONEYWELL INTL</v>
      </c>
      <c r="Q39" s="584" t="str">
        <f t="shared" si="2"/>
        <v>AUTOMATIC DATA</v>
      </c>
      <c r="R39" s="584" t="str">
        <f t="shared" si="2"/>
        <v>WASTE MANAGEMENT</v>
      </c>
    </row>
    <row r="40" spans="1:18" ht="4" customHeight="1" x14ac:dyDescent="0.3">
      <c r="A40" s="374"/>
      <c r="B40" s="582"/>
      <c r="C40" s="34"/>
      <c r="D40" s="34"/>
      <c r="E40" s="34"/>
      <c r="F40" s="34"/>
      <c r="G40" s="34"/>
      <c r="H40" s="34"/>
      <c r="I40" s="737"/>
      <c r="J40" s="34"/>
      <c r="K40" s="34"/>
      <c r="L40" s="34"/>
      <c r="M40" s="34"/>
      <c r="N40" s="737"/>
      <c r="O40" s="34"/>
      <c r="P40" s="34"/>
      <c r="Q40" s="34"/>
      <c r="R40" s="34"/>
    </row>
    <row r="41" spans="1:18" ht="15" customHeight="1" x14ac:dyDescent="0.3">
      <c r="B41" s="369" t="s">
        <v>264</v>
      </c>
      <c r="C41" s="666" t="s">
        <v>265</v>
      </c>
      <c r="D41" s="814" t="s">
        <v>266</v>
      </c>
      <c r="E41" s="815" t="s">
        <v>266</v>
      </c>
      <c r="F41" s="661" t="s">
        <v>267</v>
      </c>
      <c r="G41" s="816" t="s">
        <v>266</v>
      </c>
      <c r="H41" s="817" t="s">
        <v>267</v>
      </c>
      <c r="I41" s="818" t="s">
        <v>268</v>
      </c>
      <c r="J41" s="659" t="s">
        <v>269</v>
      </c>
      <c r="K41" s="819" t="s">
        <v>270</v>
      </c>
      <c r="L41" s="820" t="s">
        <v>271</v>
      </c>
      <c r="M41" s="821" t="s">
        <v>272</v>
      </c>
      <c r="N41" s="822" t="s">
        <v>265</v>
      </c>
      <c r="O41" s="823" t="s">
        <v>273</v>
      </c>
      <c r="P41" s="824" t="s">
        <v>268</v>
      </c>
      <c r="Q41" s="825" t="s">
        <v>265</v>
      </c>
      <c r="R41" s="826" t="s">
        <v>272</v>
      </c>
    </row>
    <row r="42" spans="1:18" ht="15" customHeight="1" x14ac:dyDescent="0.3">
      <c r="B42" s="369" t="s">
        <v>274</v>
      </c>
      <c r="C42" s="827" t="s">
        <v>275</v>
      </c>
      <c r="D42" s="828" t="s">
        <v>268</v>
      </c>
      <c r="E42" s="829" t="s">
        <v>272</v>
      </c>
      <c r="F42" s="661" t="s">
        <v>267</v>
      </c>
      <c r="G42" s="830" t="s">
        <v>268</v>
      </c>
      <c r="H42" s="831" t="s">
        <v>266</v>
      </c>
      <c r="I42" s="832" t="s">
        <v>271</v>
      </c>
      <c r="J42" s="833" t="s">
        <v>276</v>
      </c>
      <c r="K42" s="834" t="s">
        <v>277</v>
      </c>
      <c r="L42" s="835" t="s">
        <v>278</v>
      </c>
      <c r="M42" s="836" t="s">
        <v>269</v>
      </c>
      <c r="N42" s="837" t="s">
        <v>277</v>
      </c>
      <c r="O42" s="659" t="s">
        <v>279</v>
      </c>
      <c r="P42" s="838" t="s">
        <v>280</v>
      </c>
      <c r="Q42" s="830" t="s">
        <v>268</v>
      </c>
      <c r="R42" s="839" t="s">
        <v>280</v>
      </c>
    </row>
    <row r="43" spans="1:18" ht="15" customHeight="1" x14ac:dyDescent="0.3">
      <c r="B43" s="369" t="s">
        <v>281</v>
      </c>
      <c r="C43" s="840" t="s">
        <v>265</v>
      </c>
      <c r="D43" s="831" t="s">
        <v>265</v>
      </c>
      <c r="E43" s="840" t="s">
        <v>265</v>
      </c>
      <c r="F43" s="661" t="s">
        <v>266</v>
      </c>
      <c r="G43" s="831" t="s">
        <v>266</v>
      </c>
      <c r="H43" s="661" t="s">
        <v>266</v>
      </c>
      <c r="I43" s="841" t="s">
        <v>282</v>
      </c>
      <c r="J43" s="842" t="s">
        <v>283</v>
      </c>
      <c r="K43" s="843" t="s">
        <v>284</v>
      </c>
      <c r="L43" s="844" t="s">
        <v>285</v>
      </c>
      <c r="M43" s="669" t="s">
        <v>286</v>
      </c>
      <c r="N43" s="845" t="s">
        <v>287</v>
      </c>
      <c r="O43" s="846" t="s">
        <v>288</v>
      </c>
      <c r="P43" s="847" t="s">
        <v>289</v>
      </c>
      <c r="Q43" s="659" t="s">
        <v>290</v>
      </c>
      <c r="R43" s="816" t="s">
        <v>269</v>
      </c>
    </row>
    <row r="44" spans="1:18" ht="15" customHeight="1" x14ac:dyDescent="0.3">
      <c r="B44" s="369" t="s">
        <v>291</v>
      </c>
      <c r="C44" s="848">
        <v>804</v>
      </c>
      <c r="D44" s="849">
        <v>498</v>
      </c>
      <c r="E44" s="850">
        <v>601</v>
      </c>
      <c r="F44" s="851">
        <v>540</v>
      </c>
      <c r="G44" s="852">
        <v>621</v>
      </c>
      <c r="H44" s="570" t="s">
        <v>245</v>
      </c>
      <c r="I44" s="853">
        <v>438</v>
      </c>
      <c r="J44" s="854">
        <v>594</v>
      </c>
      <c r="K44" s="855">
        <v>418</v>
      </c>
      <c r="L44" s="856">
        <v>430</v>
      </c>
      <c r="M44" s="857">
        <v>400</v>
      </c>
      <c r="N44" s="858" t="s">
        <v>292</v>
      </c>
      <c r="O44" s="859">
        <v>359</v>
      </c>
      <c r="P44" s="860">
        <v>392</v>
      </c>
      <c r="Q44" s="661">
        <v>307</v>
      </c>
      <c r="R44" s="861">
        <v>388</v>
      </c>
    </row>
    <row r="45" spans="1:18" ht="15" customHeight="1" x14ac:dyDescent="0.3">
      <c r="B45" s="369" t="s">
        <v>293</v>
      </c>
      <c r="C45" s="659">
        <v>324</v>
      </c>
      <c r="D45" s="862">
        <v>186</v>
      </c>
      <c r="E45" s="863">
        <v>208</v>
      </c>
      <c r="F45" s="864">
        <v>213</v>
      </c>
      <c r="G45" s="865">
        <v>234</v>
      </c>
      <c r="H45" s="570" t="s">
        <v>245</v>
      </c>
      <c r="I45" s="866">
        <v>-59</v>
      </c>
      <c r="J45" s="867">
        <v>62</v>
      </c>
      <c r="K45" s="868">
        <v>41</v>
      </c>
      <c r="L45" s="869">
        <v>44</v>
      </c>
      <c r="M45" s="870">
        <v>97</v>
      </c>
      <c r="N45" s="871">
        <v>276</v>
      </c>
      <c r="O45" s="665">
        <v>93</v>
      </c>
      <c r="P45" s="872">
        <v>80</v>
      </c>
      <c r="Q45" s="872">
        <v>81</v>
      </c>
      <c r="R45" s="855">
        <v>71</v>
      </c>
    </row>
    <row r="46" spans="1:18" ht="15" customHeight="1" x14ac:dyDescent="0.3">
      <c r="B46" s="369"/>
      <c r="I46" s="735"/>
      <c r="N46" s="735"/>
    </row>
    <row r="47" spans="1:18" ht="15" customHeight="1" x14ac:dyDescent="0.3">
      <c r="A47" s="374" t="s">
        <v>39</v>
      </c>
      <c r="B47" s="583" t="s">
        <v>294</v>
      </c>
      <c r="C47" s="584" t="str">
        <f>C39</f>
        <v>Union Pacific Corp</v>
      </c>
      <c r="D47" s="584" t="str">
        <f t="shared" ref="D47:R47" si="3">D39</f>
        <v>CAN NATL RAILWAY</v>
      </c>
      <c r="E47" s="584" t="str">
        <f t="shared" si="3"/>
        <v>CSX CORP</v>
      </c>
      <c r="F47" s="584" t="str">
        <f t="shared" si="3"/>
        <v>CANADIAN PACIFIC</v>
      </c>
      <c r="G47" s="584" t="str">
        <f t="shared" si="3"/>
        <v>NORFOLK SOUTHERN</v>
      </c>
      <c r="H47" s="584" t="str">
        <f t="shared" si="3"/>
        <v>BNSF RAILWAY CO</v>
      </c>
      <c r="I47" s="736" t="str">
        <f t="shared" si="3"/>
        <v>BOEING CO/THE</v>
      </c>
      <c r="J47" s="584" t="str">
        <f t="shared" si="3"/>
        <v>LOCKHEED MARTIN</v>
      </c>
      <c r="K47" s="584" t="str">
        <f t="shared" si="3"/>
        <v>NORTHROP GRUMMAN</v>
      </c>
      <c r="L47" s="584" t="str">
        <f t="shared" si="3"/>
        <v>GENERAL DYNAMICS</v>
      </c>
      <c r="M47" s="584" t="str">
        <f t="shared" si="3"/>
        <v>3M CO</v>
      </c>
      <c r="N47" s="736" t="str">
        <f t="shared" si="3"/>
        <v>DEERE &amp; CO</v>
      </c>
      <c r="O47" s="584" t="str">
        <f t="shared" si="3"/>
        <v>ILLINOIS TOOL WO</v>
      </c>
      <c r="P47" s="584" t="str">
        <f t="shared" si="3"/>
        <v>HONEYWELL INTL</v>
      </c>
      <c r="Q47" s="584" t="str">
        <f t="shared" si="3"/>
        <v>AUTOMATIC DATA</v>
      </c>
      <c r="R47" s="584" t="str">
        <f t="shared" si="3"/>
        <v>WASTE MANAGEMENT</v>
      </c>
    </row>
    <row r="48" spans="1:18" ht="4" customHeight="1" x14ac:dyDescent="0.3">
      <c r="A48" s="374"/>
      <c r="B48" s="582"/>
      <c r="C48" s="34"/>
      <c r="D48" s="34"/>
      <c r="E48" s="34"/>
      <c r="F48" s="34"/>
      <c r="G48" s="34"/>
      <c r="H48" s="34"/>
      <c r="I48" s="737"/>
      <c r="J48" s="34"/>
      <c r="K48" s="34"/>
      <c r="L48" s="34"/>
      <c r="M48" s="34"/>
      <c r="N48" s="737"/>
      <c r="O48" s="34"/>
      <c r="P48" s="34"/>
      <c r="Q48" s="34"/>
      <c r="R48" s="34"/>
    </row>
    <row r="49" spans="1:18" ht="15" customHeight="1" x14ac:dyDescent="0.3">
      <c r="B49" s="369" t="s">
        <v>295</v>
      </c>
      <c r="C49" s="572">
        <v>30</v>
      </c>
      <c r="D49" s="572">
        <v>25</v>
      </c>
      <c r="E49" s="572">
        <v>37</v>
      </c>
      <c r="F49" s="572">
        <v>48</v>
      </c>
      <c r="G49" s="572">
        <v>73</v>
      </c>
      <c r="H49" s="572">
        <v>32</v>
      </c>
      <c r="I49" s="866">
        <v>16</v>
      </c>
      <c r="J49" s="661">
        <v>16</v>
      </c>
      <c r="K49" s="873">
        <v>18</v>
      </c>
      <c r="L49" s="874">
        <v>24</v>
      </c>
      <c r="M49" s="875">
        <v>54</v>
      </c>
      <c r="N49" s="876">
        <v>56</v>
      </c>
      <c r="O49" s="659">
        <v>76</v>
      </c>
      <c r="P49" s="877">
        <v>76</v>
      </c>
      <c r="Q49" s="878">
        <v>62</v>
      </c>
      <c r="R49" s="879">
        <v>47</v>
      </c>
    </row>
    <row r="50" spans="1:18" ht="15" customHeight="1" x14ac:dyDescent="0.3">
      <c r="B50" s="369" t="s">
        <v>296</v>
      </c>
      <c r="C50" s="570" t="s">
        <v>245</v>
      </c>
      <c r="D50" s="570" t="s">
        <v>245</v>
      </c>
      <c r="E50" s="570" t="s">
        <v>245</v>
      </c>
      <c r="F50" s="570" t="s">
        <v>245</v>
      </c>
      <c r="G50" s="570" t="s">
        <v>245</v>
      </c>
      <c r="H50" s="570" t="s">
        <v>245</v>
      </c>
      <c r="I50" s="858">
        <v>414</v>
      </c>
      <c r="J50" s="880">
        <v>19</v>
      </c>
      <c r="K50" s="881">
        <v>17</v>
      </c>
      <c r="L50" s="665">
        <v>84</v>
      </c>
      <c r="M50" s="882">
        <v>102</v>
      </c>
      <c r="N50" s="883">
        <v>105</v>
      </c>
      <c r="O50" s="855">
        <v>73</v>
      </c>
      <c r="P50" s="884">
        <v>98</v>
      </c>
      <c r="Q50" s="572" t="s">
        <v>245</v>
      </c>
      <c r="R50" s="661">
        <v>5</v>
      </c>
    </row>
    <row r="51" spans="1:18" ht="15" customHeight="1" x14ac:dyDescent="0.3">
      <c r="B51" s="369" t="s">
        <v>297</v>
      </c>
      <c r="C51" s="570" t="s">
        <v>245</v>
      </c>
      <c r="D51" s="570" t="s">
        <v>245</v>
      </c>
      <c r="E51" s="570" t="s">
        <v>245</v>
      </c>
      <c r="F51" s="570" t="s">
        <v>245</v>
      </c>
      <c r="G51" s="570" t="s">
        <v>245</v>
      </c>
      <c r="H51" s="570" t="s">
        <v>245</v>
      </c>
      <c r="I51" s="885">
        <v>54</v>
      </c>
      <c r="J51" s="886">
        <v>19</v>
      </c>
      <c r="K51" s="887">
        <v>28</v>
      </c>
      <c r="L51" s="888">
        <v>26</v>
      </c>
      <c r="M51" s="889">
        <v>71</v>
      </c>
      <c r="N51" s="890">
        <v>39</v>
      </c>
      <c r="O51" s="857">
        <v>25</v>
      </c>
      <c r="P51" s="659">
        <v>97</v>
      </c>
      <c r="Q51" s="661">
        <v>4</v>
      </c>
      <c r="R51" s="891">
        <v>48</v>
      </c>
    </row>
    <row r="52" spans="1:18" ht="15" customHeight="1" x14ac:dyDescent="0.3">
      <c r="B52" s="369" t="s">
        <v>298</v>
      </c>
      <c r="C52" s="570" t="s">
        <v>245</v>
      </c>
      <c r="D52" s="570" t="s">
        <v>245</v>
      </c>
      <c r="E52" s="570" t="s">
        <v>245</v>
      </c>
      <c r="F52" s="570" t="s">
        <v>245</v>
      </c>
      <c r="G52" s="570" t="s">
        <v>245</v>
      </c>
      <c r="H52" s="572">
        <v>53</v>
      </c>
      <c r="I52" s="858">
        <v>400</v>
      </c>
      <c r="J52" s="892">
        <v>18</v>
      </c>
      <c r="K52" s="661">
        <v>0</v>
      </c>
      <c r="L52" s="870">
        <v>78</v>
      </c>
      <c r="M52" s="893">
        <v>86</v>
      </c>
      <c r="N52" s="894">
        <v>96</v>
      </c>
      <c r="O52" s="895">
        <v>116</v>
      </c>
      <c r="P52" s="872">
        <v>66</v>
      </c>
      <c r="Q52" s="698" t="s">
        <v>245</v>
      </c>
      <c r="R52" s="840">
        <v>3</v>
      </c>
    </row>
    <row r="53" spans="1:18" ht="15" customHeight="1" x14ac:dyDescent="0.3">
      <c r="B53" s="369" t="s">
        <v>299</v>
      </c>
      <c r="C53" s="570">
        <v>-0.04</v>
      </c>
      <c r="D53" s="570">
        <v>-7.0000000000000007E-2</v>
      </c>
      <c r="E53" s="570">
        <v>-0.01</v>
      </c>
      <c r="F53" s="570">
        <v>-0.11</v>
      </c>
      <c r="G53" s="570">
        <v>-0.09</v>
      </c>
      <c r="H53" s="570">
        <v>-0.03</v>
      </c>
      <c r="I53" s="773">
        <v>0.28000000000000003</v>
      </c>
      <c r="J53" s="807">
        <v>0.03</v>
      </c>
      <c r="K53" s="896">
        <v>0.02</v>
      </c>
      <c r="L53" s="897">
        <v>0.13</v>
      </c>
      <c r="M53" s="898">
        <v>0.22</v>
      </c>
      <c r="N53" s="782">
        <v>-0.22</v>
      </c>
      <c r="O53" s="899">
        <v>0.12</v>
      </c>
      <c r="P53" s="900">
        <v>0.13</v>
      </c>
      <c r="Q53" s="901">
        <v>0.06</v>
      </c>
      <c r="R53" s="902">
        <v>-0.01</v>
      </c>
    </row>
    <row r="54" spans="1:18" ht="15" customHeight="1" x14ac:dyDescent="0.3">
      <c r="B54" s="369" t="s">
        <v>300</v>
      </c>
      <c r="C54" s="698" t="s">
        <v>273</v>
      </c>
      <c r="D54" s="698" t="s">
        <v>278</v>
      </c>
      <c r="E54" s="698" t="s">
        <v>273</v>
      </c>
      <c r="F54" s="698" t="s">
        <v>273</v>
      </c>
      <c r="G54" s="698" t="s">
        <v>273</v>
      </c>
      <c r="H54" s="698" t="s">
        <v>269</v>
      </c>
      <c r="I54" s="918" t="s">
        <v>278</v>
      </c>
      <c r="J54" s="698" t="s">
        <v>273</v>
      </c>
      <c r="K54" s="698" t="s">
        <v>273</v>
      </c>
      <c r="L54" s="698" t="s">
        <v>271</v>
      </c>
      <c r="M54" s="698" t="s">
        <v>265</v>
      </c>
      <c r="N54" s="918" t="s">
        <v>275</v>
      </c>
      <c r="O54" s="698" t="s">
        <v>270</v>
      </c>
      <c r="P54" s="698" t="s">
        <v>270</v>
      </c>
      <c r="Q54" s="698" t="s">
        <v>271</v>
      </c>
      <c r="R54" s="698" t="s">
        <v>269</v>
      </c>
    </row>
    <row r="55" spans="1:18" ht="15" customHeight="1" x14ac:dyDescent="0.3">
      <c r="B55" s="369" t="s">
        <v>301</v>
      </c>
      <c r="C55" s="906">
        <v>0.39</v>
      </c>
      <c r="D55" s="907">
        <v>0.39</v>
      </c>
      <c r="E55" s="908">
        <v>0.36</v>
      </c>
      <c r="F55" s="908">
        <v>0.36</v>
      </c>
      <c r="G55" s="909">
        <v>0.33</v>
      </c>
      <c r="H55" s="671">
        <v>0.41</v>
      </c>
      <c r="I55" s="782">
        <v>-0.18</v>
      </c>
      <c r="J55" s="910">
        <v>0.1</v>
      </c>
      <c r="K55" s="783">
        <v>0.11</v>
      </c>
      <c r="L55" s="911">
        <v>0.09</v>
      </c>
      <c r="M55" s="912">
        <v>7.0000000000000007E-2</v>
      </c>
      <c r="N55" s="913">
        <v>0.18</v>
      </c>
      <c r="O55" s="914">
        <v>0.21</v>
      </c>
      <c r="P55" s="915">
        <v>0.16</v>
      </c>
      <c r="Q55" s="916">
        <v>0.24</v>
      </c>
      <c r="R55" s="917">
        <v>0.24</v>
      </c>
    </row>
    <row r="56" spans="1:18" ht="15" customHeight="1" x14ac:dyDescent="0.3">
      <c r="B56" s="369"/>
      <c r="I56" s="735"/>
      <c r="N56" s="735"/>
    </row>
    <row r="57" spans="1:18" ht="15" customHeight="1" x14ac:dyDescent="0.3">
      <c r="A57" s="374" t="s">
        <v>39</v>
      </c>
      <c r="B57" s="583" t="s">
        <v>302</v>
      </c>
      <c r="C57" s="584" t="str">
        <f>C47</f>
        <v>Union Pacific Corp</v>
      </c>
      <c r="D57" s="584" t="str">
        <f t="shared" ref="D57:R57" si="4">D47</f>
        <v>CAN NATL RAILWAY</v>
      </c>
      <c r="E57" s="584" t="str">
        <f t="shared" si="4"/>
        <v>CSX CORP</v>
      </c>
      <c r="F57" s="584" t="str">
        <f t="shared" si="4"/>
        <v>CANADIAN PACIFIC</v>
      </c>
      <c r="G57" s="584" t="str">
        <f t="shared" si="4"/>
        <v>NORFOLK SOUTHERN</v>
      </c>
      <c r="H57" s="584" t="str">
        <f t="shared" si="4"/>
        <v>BNSF RAILWAY CO</v>
      </c>
      <c r="I57" s="736" t="str">
        <f t="shared" si="4"/>
        <v>BOEING CO/THE</v>
      </c>
      <c r="J57" s="584" t="str">
        <f t="shared" si="4"/>
        <v>LOCKHEED MARTIN</v>
      </c>
      <c r="K57" s="584" t="str">
        <f t="shared" si="4"/>
        <v>NORTHROP GRUMMAN</v>
      </c>
      <c r="L57" s="584" t="str">
        <f t="shared" si="4"/>
        <v>GENERAL DYNAMICS</v>
      </c>
      <c r="M57" s="584" t="str">
        <f t="shared" si="4"/>
        <v>3M CO</v>
      </c>
      <c r="N57" s="736" t="str">
        <f t="shared" si="4"/>
        <v>DEERE &amp; CO</v>
      </c>
      <c r="O57" s="584" t="str">
        <f t="shared" si="4"/>
        <v>ILLINOIS TOOL WO</v>
      </c>
      <c r="P57" s="584" t="str">
        <f t="shared" si="4"/>
        <v>HONEYWELL INTL</v>
      </c>
      <c r="Q57" s="584" t="str">
        <f t="shared" si="4"/>
        <v>AUTOMATIC DATA</v>
      </c>
      <c r="R57" s="584" t="str">
        <f t="shared" si="4"/>
        <v>WASTE MANAGEMENT</v>
      </c>
    </row>
    <row r="58" spans="1:18" ht="4" customHeight="1" x14ac:dyDescent="0.3">
      <c r="A58" s="374"/>
      <c r="B58" s="582"/>
      <c r="C58" s="34"/>
      <c r="D58" s="34"/>
      <c r="E58" s="34"/>
      <c r="F58" s="34"/>
      <c r="G58" s="34"/>
      <c r="H58" s="34"/>
      <c r="I58" s="737"/>
      <c r="J58" s="34"/>
      <c r="K58" s="34"/>
      <c r="L58" s="34"/>
      <c r="M58" s="34"/>
      <c r="N58" s="737"/>
      <c r="O58" s="34"/>
      <c r="P58" s="34"/>
      <c r="Q58" s="34"/>
      <c r="R58" s="34"/>
    </row>
    <row r="59" spans="1:18" ht="15" customHeight="1" x14ac:dyDescent="0.35">
      <c r="B59" s="369" t="s">
        <v>303</v>
      </c>
      <c r="C59" s="1190" t="s">
        <v>304</v>
      </c>
      <c r="D59" s="1190" t="s">
        <v>305</v>
      </c>
      <c r="E59" s="1190" t="s">
        <v>287</v>
      </c>
      <c r="F59" s="1190" t="s">
        <v>306</v>
      </c>
      <c r="G59" s="1190" t="s">
        <v>305</v>
      </c>
      <c r="H59" s="1190" t="s">
        <v>307</v>
      </c>
      <c r="I59" s="1191" t="s">
        <v>245</v>
      </c>
      <c r="J59" s="1190" t="s">
        <v>308</v>
      </c>
      <c r="K59" s="1190" t="s">
        <v>309</v>
      </c>
      <c r="L59" s="1190" t="s">
        <v>277</v>
      </c>
      <c r="M59" s="1190" t="s">
        <v>310</v>
      </c>
      <c r="N59" s="1192" t="s">
        <v>267</v>
      </c>
      <c r="O59" s="1190" t="s">
        <v>311</v>
      </c>
      <c r="P59" s="1190" t="s">
        <v>306</v>
      </c>
      <c r="Q59" s="1193" t="s">
        <v>312</v>
      </c>
      <c r="R59" s="1190" t="s">
        <v>313</v>
      </c>
    </row>
    <row r="60" spans="1:18" ht="15" customHeight="1" x14ac:dyDescent="0.3">
      <c r="B60" s="369" t="s">
        <v>314</v>
      </c>
      <c r="C60" s="698" t="s">
        <v>315</v>
      </c>
      <c r="D60" s="698" t="s">
        <v>282</v>
      </c>
      <c r="E60" s="698" t="s">
        <v>316</v>
      </c>
      <c r="F60" s="698" t="s">
        <v>317</v>
      </c>
      <c r="G60" s="698" t="s">
        <v>318</v>
      </c>
      <c r="H60" s="698" t="s">
        <v>267</v>
      </c>
      <c r="I60" s="1194" t="s">
        <v>319</v>
      </c>
      <c r="J60" s="698" t="s">
        <v>320</v>
      </c>
      <c r="K60" s="698" t="s">
        <v>321</v>
      </c>
      <c r="L60" s="698" t="s">
        <v>309</v>
      </c>
      <c r="M60" s="698" t="s">
        <v>322</v>
      </c>
      <c r="N60" s="918" t="s">
        <v>265</v>
      </c>
      <c r="O60" s="698" t="s">
        <v>305</v>
      </c>
      <c r="P60" s="698" t="s">
        <v>323</v>
      </c>
      <c r="Q60" s="1195" t="s">
        <v>324</v>
      </c>
      <c r="R60" s="698" t="s">
        <v>325</v>
      </c>
    </row>
    <row r="61" spans="1:18" ht="15" customHeight="1" x14ac:dyDescent="0.3">
      <c r="B61" s="369" t="s">
        <v>326</v>
      </c>
      <c r="C61" s="698" t="s">
        <v>327</v>
      </c>
      <c r="D61" s="698" t="s">
        <v>328</v>
      </c>
      <c r="E61" s="698" t="s">
        <v>329</v>
      </c>
      <c r="F61" s="1196" t="s">
        <v>245</v>
      </c>
      <c r="G61" s="698" t="s">
        <v>330</v>
      </c>
      <c r="H61" s="698" t="s">
        <v>331</v>
      </c>
      <c r="I61" s="1194" t="s">
        <v>332</v>
      </c>
      <c r="J61" s="698" t="s">
        <v>333</v>
      </c>
      <c r="K61" s="698" t="s">
        <v>328</v>
      </c>
      <c r="L61" s="698" t="s">
        <v>334</v>
      </c>
      <c r="M61" s="698" t="s">
        <v>335</v>
      </c>
      <c r="N61" s="918" t="s">
        <v>336</v>
      </c>
      <c r="O61" s="698" t="s">
        <v>337</v>
      </c>
      <c r="P61" s="698" t="s">
        <v>328</v>
      </c>
      <c r="Q61" s="698" t="s">
        <v>338</v>
      </c>
      <c r="R61" s="698" t="s">
        <v>333</v>
      </c>
    </row>
    <row r="62" spans="1:18" ht="15" customHeight="1" x14ac:dyDescent="0.3">
      <c r="B62" s="369" t="s">
        <v>339</v>
      </c>
      <c r="C62" s="771">
        <v>0.66</v>
      </c>
      <c r="D62" s="688">
        <v>0.5</v>
      </c>
      <c r="E62" s="808">
        <v>0.6</v>
      </c>
      <c r="F62" s="802">
        <v>0.32</v>
      </c>
      <c r="G62" s="927">
        <v>0.55000000000000004</v>
      </c>
      <c r="H62" s="671">
        <v>0.02</v>
      </c>
      <c r="I62" s="1180">
        <v>1.08</v>
      </c>
      <c r="J62" s="1181">
        <v>0.77</v>
      </c>
      <c r="K62" s="929">
        <v>0.55000000000000004</v>
      </c>
      <c r="L62" s="691">
        <v>0.33</v>
      </c>
      <c r="M62" s="1181">
        <v>0.78</v>
      </c>
      <c r="N62" s="1180">
        <v>0.74</v>
      </c>
      <c r="O62" s="1181">
        <v>0.71</v>
      </c>
      <c r="P62" s="673">
        <v>0.63</v>
      </c>
      <c r="Q62" s="911">
        <v>0.42</v>
      </c>
      <c r="R62" s="1181">
        <v>0.75</v>
      </c>
    </row>
    <row r="63" spans="1:18" ht="15" customHeight="1" x14ac:dyDescent="0.3">
      <c r="B63" s="369" t="s">
        <v>340</v>
      </c>
      <c r="C63" s="672">
        <v>0.05</v>
      </c>
      <c r="D63" s="673">
        <v>0.06</v>
      </c>
      <c r="E63" s="674">
        <v>0.04</v>
      </c>
      <c r="F63" s="675">
        <v>0.13</v>
      </c>
      <c r="G63" s="676">
        <v>0.04</v>
      </c>
      <c r="H63" s="671">
        <v>0.21</v>
      </c>
      <c r="I63" s="782">
        <v>0.03</v>
      </c>
      <c r="J63" s="931">
        <v>0.04</v>
      </c>
      <c r="K63" s="807">
        <v>0.1</v>
      </c>
      <c r="L63" s="928">
        <v>0.17</v>
      </c>
      <c r="M63" s="932">
        <v>0.15</v>
      </c>
      <c r="N63" s="773">
        <v>0.34</v>
      </c>
      <c r="O63" s="933">
        <v>0.2</v>
      </c>
      <c r="P63" s="934">
        <v>0.18</v>
      </c>
      <c r="Q63" s="935">
        <v>0.03</v>
      </c>
      <c r="R63" s="936">
        <v>0.06</v>
      </c>
    </row>
    <row r="64" spans="1:18" ht="15" customHeight="1" x14ac:dyDescent="0.3">
      <c r="B64" s="369"/>
      <c r="I64" s="735"/>
      <c r="N64" s="735"/>
    </row>
    <row r="65" spans="1:18" ht="15" customHeight="1" x14ac:dyDescent="0.3">
      <c r="A65" s="374" t="s">
        <v>39</v>
      </c>
      <c r="B65" s="583" t="s">
        <v>341</v>
      </c>
      <c r="C65" s="584" t="str">
        <f>C57</f>
        <v>Union Pacific Corp</v>
      </c>
      <c r="D65" s="584" t="str">
        <f t="shared" ref="D65:R65" si="5">D57</f>
        <v>CAN NATL RAILWAY</v>
      </c>
      <c r="E65" s="584" t="str">
        <f t="shared" si="5"/>
        <v>CSX CORP</v>
      </c>
      <c r="F65" s="584" t="str">
        <f t="shared" si="5"/>
        <v>CANADIAN PACIFIC</v>
      </c>
      <c r="G65" s="584" t="str">
        <f t="shared" si="5"/>
        <v>NORFOLK SOUTHERN</v>
      </c>
      <c r="H65" s="584" t="str">
        <f t="shared" si="5"/>
        <v>BNSF RAILWAY CO</v>
      </c>
      <c r="I65" s="736" t="str">
        <f t="shared" si="5"/>
        <v>BOEING CO/THE</v>
      </c>
      <c r="J65" s="584" t="str">
        <f t="shared" si="5"/>
        <v>LOCKHEED MARTIN</v>
      </c>
      <c r="K65" s="584" t="str">
        <f t="shared" si="5"/>
        <v>NORTHROP GRUMMAN</v>
      </c>
      <c r="L65" s="584" t="str">
        <f t="shared" si="5"/>
        <v>GENERAL DYNAMICS</v>
      </c>
      <c r="M65" s="584" t="str">
        <f t="shared" si="5"/>
        <v>3M CO</v>
      </c>
      <c r="N65" s="736" t="str">
        <f t="shared" si="5"/>
        <v>DEERE &amp; CO</v>
      </c>
      <c r="O65" s="584" t="str">
        <f t="shared" si="5"/>
        <v>ILLINOIS TOOL WO</v>
      </c>
      <c r="P65" s="584" t="str">
        <f t="shared" si="5"/>
        <v>HONEYWELL INTL</v>
      </c>
      <c r="Q65" s="584" t="str">
        <f t="shared" si="5"/>
        <v>AUTOMATIC DATA</v>
      </c>
      <c r="R65" s="584" t="str">
        <f t="shared" si="5"/>
        <v>WASTE MANAGEMENT</v>
      </c>
    </row>
    <row r="66" spans="1:18" ht="4" customHeight="1" x14ac:dyDescent="0.3">
      <c r="A66" s="374"/>
      <c r="B66" s="582"/>
      <c r="C66" s="34"/>
      <c r="D66" s="34"/>
      <c r="E66" s="34"/>
      <c r="F66" s="34"/>
      <c r="G66" s="34"/>
      <c r="H66" s="34"/>
      <c r="I66" s="737"/>
      <c r="J66" s="34"/>
      <c r="K66" s="34"/>
      <c r="L66" s="34"/>
      <c r="M66" s="34"/>
      <c r="N66" s="737"/>
      <c r="O66" s="34"/>
      <c r="P66" s="34"/>
      <c r="Q66" s="34"/>
      <c r="R66" s="34"/>
    </row>
    <row r="67" spans="1:18" ht="15" customHeight="1" x14ac:dyDescent="0.3">
      <c r="B67" s="369" t="s">
        <v>342</v>
      </c>
      <c r="C67" s="678" t="s">
        <v>270</v>
      </c>
      <c r="D67" s="679" t="s">
        <v>275</v>
      </c>
      <c r="E67" s="680" t="s">
        <v>271</v>
      </c>
      <c r="F67" s="661" t="s">
        <v>272</v>
      </c>
      <c r="G67" s="659" t="s">
        <v>271</v>
      </c>
      <c r="H67" s="681" t="s">
        <v>271</v>
      </c>
      <c r="I67" s="937" t="s">
        <v>269</v>
      </c>
      <c r="J67" s="938" t="s">
        <v>278</v>
      </c>
      <c r="K67" s="939" t="s">
        <v>273</v>
      </c>
      <c r="L67" s="940" t="s">
        <v>343</v>
      </c>
      <c r="M67" s="659" t="s">
        <v>343</v>
      </c>
      <c r="N67" s="925" t="s">
        <v>275</v>
      </c>
      <c r="O67" s="941" t="s">
        <v>343</v>
      </c>
      <c r="P67" s="942" t="s">
        <v>269</v>
      </c>
      <c r="Q67" s="836" t="s">
        <v>273</v>
      </c>
      <c r="R67" s="814" t="s">
        <v>270</v>
      </c>
    </row>
    <row r="68" spans="1:18" ht="15" customHeight="1" x14ac:dyDescent="0.3">
      <c r="B68" s="369" t="s">
        <v>344</v>
      </c>
      <c r="C68" s="662" t="s">
        <v>272</v>
      </c>
      <c r="D68" s="661" t="s">
        <v>265</v>
      </c>
      <c r="E68" s="664" t="s">
        <v>275</v>
      </c>
      <c r="F68" s="682" t="s">
        <v>268</v>
      </c>
      <c r="G68" s="659" t="s">
        <v>270</v>
      </c>
      <c r="H68" s="683" t="s">
        <v>272</v>
      </c>
      <c r="I68" s="943" t="s">
        <v>266</v>
      </c>
      <c r="J68" s="661" t="s">
        <v>267</v>
      </c>
      <c r="K68" s="815" t="s">
        <v>265</v>
      </c>
      <c r="L68" s="840" t="s">
        <v>266</v>
      </c>
      <c r="M68" s="659" t="s">
        <v>273</v>
      </c>
      <c r="N68" s="944" t="s">
        <v>265</v>
      </c>
      <c r="O68" s="945" t="s">
        <v>271</v>
      </c>
      <c r="P68" s="946" t="s">
        <v>271</v>
      </c>
      <c r="Q68" s="947" t="s">
        <v>266</v>
      </c>
      <c r="R68" s="847" t="s">
        <v>272</v>
      </c>
    </row>
    <row r="69" spans="1:18" ht="15" customHeight="1" x14ac:dyDescent="0.3">
      <c r="B69" s="369" t="s">
        <v>345</v>
      </c>
      <c r="C69" s="684" t="s">
        <v>267</v>
      </c>
      <c r="D69" s="661" t="s">
        <v>307</v>
      </c>
      <c r="E69" s="685" t="s">
        <v>266</v>
      </c>
      <c r="F69" s="686" t="s">
        <v>307</v>
      </c>
      <c r="G69" s="659" t="s">
        <v>268</v>
      </c>
      <c r="H69" s="687" t="s">
        <v>307</v>
      </c>
      <c r="I69" s="948" t="s">
        <v>266</v>
      </c>
      <c r="J69" s="687" t="s">
        <v>307</v>
      </c>
      <c r="K69" s="949" t="s">
        <v>266</v>
      </c>
      <c r="L69" s="950" t="s">
        <v>307</v>
      </c>
      <c r="M69" s="659" t="s">
        <v>275</v>
      </c>
      <c r="N69" s="951" t="s">
        <v>267</v>
      </c>
      <c r="O69" s="843" t="s">
        <v>267</v>
      </c>
      <c r="P69" s="952" t="s">
        <v>268</v>
      </c>
      <c r="Q69" s="662" t="s">
        <v>267</v>
      </c>
      <c r="R69" s="661" t="s">
        <v>307</v>
      </c>
    </row>
    <row r="70" spans="1:18" ht="15" customHeight="1" x14ac:dyDescent="0.3">
      <c r="I70" s="735"/>
      <c r="N70" s="735"/>
    </row>
    <row r="71" spans="1:18" ht="15" customHeight="1" x14ac:dyDescent="0.3">
      <c r="A71" s="374" t="s">
        <v>39</v>
      </c>
      <c r="B71" s="583" t="s">
        <v>346</v>
      </c>
      <c r="C71" s="584" t="str">
        <f>C65</f>
        <v>Union Pacific Corp</v>
      </c>
      <c r="D71" s="584" t="str">
        <f t="shared" ref="D71:R71" si="6">D65</f>
        <v>CAN NATL RAILWAY</v>
      </c>
      <c r="E71" s="584" t="str">
        <f t="shared" si="6"/>
        <v>CSX CORP</v>
      </c>
      <c r="F71" s="584" t="str">
        <f t="shared" si="6"/>
        <v>CANADIAN PACIFIC</v>
      </c>
      <c r="G71" s="584" t="str">
        <f t="shared" si="6"/>
        <v>NORFOLK SOUTHERN</v>
      </c>
      <c r="H71" s="584" t="str">
        <f t="shared" si="6"/>
        <v>BNSF RAILWAY CO</v>
      </c>
      <c r="I71" s="736" t="str">
        <f t="shared" si="6"/>
        <v>BOEING CO/THE</v>
      </c>
      <c r="J71" s="584" t="str">
        <f t="shared" si="6"/>
        <v>LOCKHEED MARTIN</v>
      </c>
      <c r="K71" s="584" t="str">
        <f t="shared" si="6"/>
        <v>NORTHROP GRUMMAN</v>
      </c>
      <c r="L71" s="584" t="str">
        <f t="shared" si="6"/>
        <v>GENERAL DYNAMICS</v>
      </c>
      <c r="M71" s="584" t="str">
        <f t="shared" si="6"/>
        <v>3M CO</v>
      </c>
      <c r="N71" s="736" t="str">
        <f t="shared" si="6"/>
        <v>DEERE &amp; CO</v>
      </c>
      <c r="O71" s="584" t="str">
        <f t="shared" si="6"/>
        <v>ILLINOIS TOOL WO</v>
      </c>
      <c r="P71" s="584" t="str">
        <f t="shared" si="6"/>
        <v>HONEYWELL INTL</v>
      </c>
      <c r="Q71" s="584" t="str">
        <f t="shared" si="6"/>
        <v>AUTOMATIC DATA</v>
      </c>
      <c r="R71" s="584" t="str">
        <f t="shared" si="6"/>
        <v>WASTE MANAGEMENT</v>
      </c>
    </row>
    <row r="72" spans="1:18" ht="4" customHeight="1" x14ac:dyDescent="0.3">
      <c r="A72" s="374"/>
      <c r="B72" s="582"/>
      <c r="C72" s="34"/>
      <c r="D72" s="34"/>
      <c r="E72" s="34"/>
      <c r="F72" s="34"/>
      <c r="G72" s="34"/>
      <c r="H72" s="34"/>
      <c r="I72" s="737"/>
      <c r="J72" s="34"/>
      <c r="K72" s="34"/>
      <c r="L72" s="34"/>
      <c r="M72" s="34"/>
      <c r="N72" s="737"/>
      <c r="O72" s="34"/>
      <c r="P72" s="34"/>
      <c r="Q72" s="34"/>
      <c r="R72" s="34"/>
    </row>
    <row r="73" spans="1:18" ht="15" customHeight="1" x14ac:dyDescent="0.3">
      <c r="B73" s="369" t="s">
        <v>347</v>
      </c>
      <c r="C73" s="953">
        <v>0.14000000000000001</v>
      </c>
      <c r="D73" s="671">
        <v>0.21</v>
      </c>
      <c r="E73" s="954">
        <v>0.17</v>
      </c>
      <c r="F73" s="907">
        <v>0.19</v>
      </c>
      <c r="G73" s="955">
        <v>0.2</v>
      </c>
      <c r="H73" s="956">
        <v>0.16</v>
      </c>
      <c r="I73" s="957">
        <v>0.03</v>
      </c>
      <c r="J73" s="958">
        <v>0.02</v>
      </c>
      <c r="K73" s="716">
        <v>0.04</v>
      </c>
      <c r="L73" s="674">
        <v>0.02</v>
      </c>
      <c r="M73" s="959">
        <v>0.05</v>
      </c>
      <c r="N73" s="960">
        <v>0.09</v>
      </c>
      <c r="O73" s="961">
        <v>0.03</v>
      </c>
      <c r="P73" s="799">
        <v>0.03</v>
      </c>
      <c r="Q73" s="962">
        <v>0.03</v>
      </c>
      <c r="R73" s="963">
        <v>0.15</v>
      </c>
    </row>
    <row r="74" spans="1:18" ht="15" customHeight="1" x14ac:dyDescent="0.3">
      <c r="B74" s="369" t="s">
        <v>348</v>
      </c>
      <c r="C74" s="964">
        <v>1.44</v>
      </c>
      <c r="D74" s="781">
        <v>1.88</v>
      </c>
      <c r="E74" s="965">
        <v>1.53</v>
      </c>
      <c r="F74" s="966">
        <v>1.49</v>
      </c>
      <c r="G74" s="967">
        <v>1.76</v>
      </c>
      <c r="H74" s="968">
        <v>1.4</v>
      </c>
      <c r="I74" s="804">
        <v>1.21</v>
      </c>
      <c r="J74" s="969">
        <v>1.08</v>
      </c>
      <c r="K74" s="929">
        <v>1.29</v>
      </c>
      <c r="L74" s="970">
        <v>1.03</v>
      </c>
      <c r="M74" s="674">
        <v>0.87</v>
      </c>
      <c r="N74" s="773">
        <v>2.27</v>
      </c>
      <c r="O74" s="969">
        <v>1.0900000000000001</v>
      </c>
      <c r="P74" s="674">
        <v>0.87</v>
      </c>
      <c r="Q74" s="962">
        <v>0.94</v>
      </c>
      <c r="R74" s="971">
        <v>1.43</v>
      </c>
    </row>
    <row r="75" spans="1:18" ht="15" customHeight="1" x14ac:dyDescent="0.3">
      <c r="B75" s="369" t="s">
        <v>349</v>
      </c>
      <c r="C75" s="570" t="s">
        <v>245</v>
      </c>
      <c r="D75" s="570" t="s">
        <v>245</v>
      </c>
      <c r="E75" s="570" t="s">
        <v>245</v>
      </c>
      <c r="F75" s="570" t="s">
        <v>245</v>
      </c>
      <c r="G75" s="570" t="s">
        <v>245</v>
      </c>
      <c r="H75" s="570" t="s">
        <v>245</v>
      </c>
      <c r="I75" s="570" t="s">
        <v>245</v>
      </c>
      <c r="J75" s="570" t="s">
        <v>245</v>
      </c>
      <c r="K75" s="570" t="s">
        <v>245</v>
      </c>
      <c r="L75" s="570" t="s">
        <v>245</v>
      </c>
      <c r="M75" s="570" t="s">
        <v>245</v>
      </c>
      <c r="N75" s="570" t="s">
        <v>245</v>
      </c>
      <c r="O75" s="570" t="s">
        <v>245</v>
      </c>
      <c r="P75" s="570" t="s">
        <v>245</v>
      </c>
      <c r="Q75" s="570" t="s">
        <v>245</v>
      </c>
      <c r="R75" s="570" t="s">
        <v>245</v>
      </c>
    </row>
    <row r="76" spans="1:18" ht="15" customHeight="1" x14ac:dyDescent="0.3">
      <c r="B76" s="369" t="s">
        <v>350</v>
      </c>
      <c r="C76" s="570" t="s">
        <v>245</v>
      </c>
      <c r="D76" s="570" t="s">
        <v>245</v>
      </c>
      <c r="E76" s="570" t="s">
        <v>245</v>
      </c>
      <c r="F76" s="570" t="s">
        <v>245</v>
      </c>
      <c r="G76" s="570" t="s">
        <v>245</v>
      </c>
      <c r="H76" s="570" t="s">
        <v>245</v>
      </c>
      <c r="I76" s="570" t="s">
        <v>245</v>
      </c>
      <c r="J76" s="570" t="s">
        <v>245</v>
      </c>
      <c r="K76" s="570" t="s">
        <v>245</v>
      </c>
      <c r="L76" s="570" t="s">
        <v>245</v>
      </c>
      <c r="M76" s="570" t="s">
        <v>245</v>
      </c>
      <c r="N76" s="570" t="s">
        <v>245</v>
      </c>
      <c r="O76" s="570" t="s">
        <v>245</v>
      </c>
      <c r="P76" s="570" t="s">
        <v>245</v>
      </c>
      <c r="Q76" s="570" t="s">
        <v>245</v>
      </c>
      <c r="R76" s="570" t="s">
        <v>245</v>
      </c>
    </row>
    <row r="77" spans="1:18" ht="15" customHeight="1" x14ac:dyDescent="0.3">
      <c r="B77" s="369" t="s">
        <v>351</v>
      </c>
      <c r="C77" s="689">
        <v>0.48</v>
      </c>
      <c r="D77" s="671">
        <v>0.48</v>
      </c>
      <c r="E77" s="690">
        <v>0.27</v>
      </c>
      <c r="F77" s="691">
        <v>0.19</v>
      </c>
      <c r="G77" s="692">
        <v>0.47</v>
      </c>
      <c r="H77" s="674">
        <v>0</v>
      </c>
      <c r="I77" s="570" t="s">
        <v>245</v>
      </c>
      <c r="J77" s="972">
        <v>0.56999999999999995</v>
      </c>
      <c r="K77" s="973">
        <v>0.28000000000000003</v>
      </c>
      <c r="L77" s="929">
        <v>0.41</v>
      </c>
      <c r="M77" s="974">
        <v>0.5</v>
      </c>
      <c r="N77" s="975">
        <v>0.23</v>
      </c>
      <c r="O77" s="810">
        <v>0.49</v>
      </c>
      <c r="P77" s="976">
        <v>0.5</v>
      </c>
      <c r="Q77" s="671">
        <v>0.6</v>
      </c>
      <c r="R77" s="813">
        <v>0.44</v>
      </c>
    </row>
    <row r="78" spans="1:18" ht="15" customHeight="1" x14ac:dyDescent="0.3">
      <c r="B78" s="369" t="s">
        <v>352</v>
      </c>
      <c r="C78" s="977">
        <v>0.8</v>
      </c>
      <c r="D78" s="964">
        <v>1.51</v>
      </c>
      <c r="E78" s="673">
        <v>1.1499999999999999</v>
      </c>
      <c r="F78" s="978">
        <v>0.26</v>
      </c>
      <c r="G78" s="910">
        <v>0.72</v>
      </c>
      <c r="H78" s="674">
        <v>0</v>
      </c>
      <c r="I78" s="788">
        <v>1.27</v>
      </c>
      <c r="J78" s="896">
        <v>1.3</v>
      </c>
      <c r="K78" s="771">
        <v>1.47</v>
      </c>
      <c r="L78" s="979">
        <v>0.95</v>
      </c>
      <c r="M78" s="671">
        <v>5.74</v>
      </c>
      <c r="N78" s="980">
        <v>1.28</v>
      </c>
      <c r="O78" s="790">
        <v>1.1100000000000001</v>
      </c>
      <c r="P78" s="688">
        <v>0.84</v>
      </c>
      <c r="Q78" s="981">
        <v>0.78</v>
      </c>
      <c r="R78" s="911">
        <v>0.67</v>
      </c>
    </row>
    <row r="79" spans="1:18" ht="15" customHeight="1" x14ac:dyDescent="0.3">
      <c r="B79" s="369" t="s">
        <v>353</v>
      </c>
      <c r="C79" s="693">
        <v>0.16</v>
      </c>
      <c r="D79" s="694">
        <v>0.4</v>
      </c>
      <c r="E79" s="671">
        <v>0.43</v>
      </c>
      <c r="F79" s="674">
        <v>0</v>
      </c>
      <c r="G79" s="674">
        <v>0</v>
      </c>
      <c r="H79" s="674">
        <v>0</v>
      </c>
      <c r="I79" s="782">
        <v>-0.01</v>
      </c>
      <c r="J79" s="982">
        <v>0.53</v>
      </c>
      <c r="K79" s="934">
        <v>0.56999999999999995</v>
      </c>
      <c r="L79" s="729">
        <v>0.37</v>
      </c>
      <c r="M79" s="671">
        <v>0.99</v>
      </c>
      <c r="N79" s="983">
        <v>0.43</v>
      </c>
      <c r="O79" s="930">
        <v>0.46</v>
      </c>
      <c r="P79" s="984">
        <v>0.27</v>
      </c>
      <c r="Q79" s="688">
        <v>0.26</v>
      </c>
      <c r="R79" s="961">
        <v>0.05</v>
      </c>
    </row>
    <row r="80" spans="1:18" ht="15" customHeight="1" x14ac:dyDescent="0.3">
      <c r="B80" s="369"/>
      <c r="I80" s="735"/>
      <c r="N80" s="735"/>
    </row>
    <row r="81" spans="1:18" ht="15" customHeight="1" x14ac:dyDescent="0.3">
      <c r="A81" s="374" t="s">
        <v>39</v>
      </c>
      <c r="B81" s="583" t="s">
        <v>354</v>
      </c>
      <c r="C81" s="584" t="str">
        <f>C71</f>
        <v>Union Pacific Corp</v>
      </c>
      <c r="D81" s="584" t="str">
        <f t="shared" ref="D81:R81" si="7">D71</f>
        <v>CAN NATL RAILWAY</v>
      </c>
      <c r="E81" s="584" t="str">
        <f t="shared" si="7"/>
        <v>CSX CORP</v>
      </c>
      <c r="F81" s="584" t="str">
        <f t="shared" si="7"/>
        <v>CANADIAN PACIFIC</v>
      </c>
      <c r="G81" s="584" t="str">
        <f t="shared" si="7"/>
        <v>NORFOLK SOUTHERN</v>
      </c>
      <c r="H81" s="584" t="str">
        <f t="shared" si="7"/>
        <v>BNSF RAILWAY CO</v>
      </c>
      <c r="I81" s="736" t="str">
        <f t="shared" si="7"/>
        <v>BOEING CO/THE</v>
      </c>
      <c r="J81" s="584" t="str">
        <f t="shared" si="7"/>
        <v>LOCKHEED MARTIN</v>
      </c>
      <c r="K81" s="584" t="str">
        <f t="shared" si="7"/>
        <v>NORTHROP GRUMMAN</v>
      </c>
      <c r="L81" s="584" t="str">
        <f t="shared" si="7"/>
        <v>GENERAL DYNAMICS</v>
      </c>
      <c r="M81" s="584" t="str">
        <f t="shared" si="7"/>
        <v>3M CO</v>
      </c>
      <c r="N81" s="736" t="str">
        <f t="shared" si="7"/>
        <v>DEERE &amp; CO</v>
      </c>
      <c r="O81" s="584" t="str">
        <f t="shared" si="7"/>
        <v>ILLINOIS TOOL WO</v>
      </c>
      <c r="P81" s="584" t="str">
        <f t="shared" si="7"/>
        <v>HONEYWELL INTL</v>
      </c>
      <c r="Q81" s="584" t="str">
        <f t="shared" si="7"/>
        <v>AUTOMATIC DATA</v>
      </c>
      <c r="R81" s="584" t="str">
        <f t="shared" si="7"/>
        <v>WASTE MANAGEMENT</v>
      </c>
    </row>
    <row r="82" spans="1:18" ht="4" customHeight="1" x14ac:dyDescent="0.3">
      <c r="A82" s="374"/>
      <c r="B82" s="582"/>
      <c r="C82" s="34"/>
      <c r="D82" s="34"/>
      <c r="E82" s="34"/>
      <c r="F82" s="34"/>
      <c r="G82" s="34"/>
      <c r="H82" s="34"/>
      <c r="I82" s="737"/>
      <c r="J82" s="34"/>
      <c r="K82" s="34"/>
      <c r="L82" s="34"/>
      <c r="M82" s="34"/>
      <c r="N82" s="737"/>
      <c r="O82" s="34"/>
      <c r="P82" s="34"/>
      <c r="Q82" s="34"/>
      <c r="R82" s="34"/>
    </row>
    <row r="83" spans="1:18" ht="15" customHeight="1" x14ac:dyDescent="0.3">
      <c r="B83" s="369" t="s">
        <v>355</v>
      </c>
      <c r="C83" s="903" t="s">
        <v>356</v>
      </c>
      <c r="D83" s="985" t="s">
        <v>357</v>
      </c>
      <c r="E83" s="904" t="s">
        <v>358</v>
      </c>
      <c r="F83" s="669" t="s">
        <v>330</v>
      </c>
      <c r="G83" s="986" t="s">
        <v>321</v>
      </c>
      <c r="H83" s="570" t="s">
        <v>245</v>
      </c>
      <c r="I83" s="858" t="s">
        <v>359</v>
      </c>
      <c r="J83" s="926" t="s">
        <v>360</v>
      </c>
      <c r="K83" s="987" t="s">
        <v>361</v>
      </c>
      <c r="L83" s="988" t="s">
        <v>362</v>
      </c>
      <c r="M83" s="661" t="s">
        <v>310</v>
      </c>
      <c r="N83" s="989" t="s">
        <v>363</v>
      </c>
      <c r="O83" s="988" t="s">
        <v>362</v>
      </c>
      <c r="P83" s="827" t="s">
        <v>336</v>
      </c>
      <c r="Q83" s="670" t="s">
        <v>330</v>
      </c>
      <c r="R83" s="924" t="s">
        <v>364</v>
      </c>
    </row>
    <row r="84" spans="1:18" ht="15" customHeight="1" x14ac:dyDescent="0.3">
      <c r="B84" s="369" t="s">
        <v>365</v>
      </c>
      <c r="C84" s="669" t="s">
        <v>366</v>
      </c>
      <c r="D84" s="990" t="s">
        <v>308</v>
      </c>
      <c r="E84" s="669" t="s">
        <v>366</v>
      </c>
      <c r="F84" s="666" t="s">
        <v>367</v>
      </c>
      <c r="G84" s="827" t="s">
        <v>276</v>
      </c>
      <c r="H84" s="570" t="s">
        <v>245</v>
      </c>
      <c r="I84" s="858" t="s">
        <v>368</v>
      </c>
      <c r="J84" s="903" t="s">
        <v>320</v>
      </c>
      <c r="K84" s="990" t="s">
        <v>309</v>
      </c>
      <c r="L84" s="669" t="s">
        <v>369</v>
      </c>
      <c r="M84" s="661" t="s">
        <v>272</v>
      </c>
      <c r="N84" s="991" t="s">
        <v>362</v>
      </c>
      <c r="O84" s="903" t="s">
        <v>320</v>
      </c>
      <c r="P84" s="926" t="s">
        <v>287</v>
      </c>
      <c r="Q84" s="904" t="s">
        <v>360</v>
      </c>
      <c r="R84" s="678" t="s">
        <v>279</v>
      </c>
    </row>
    <row r="85" spans="1:18" ht="15" customHeight="1" x14ac:dyDescent="0.3">
      <c r="I85" s="735"/>
      <c r="N85" s="735"/>
    </row>
    <row r="86" spans="1:18" ht="15" customHeight="1" x14ac:dyDescent="0.3">
      <c r="A86" s="374" t="s">
        <v>39</v>
      </c>
      <c r="B86" s="583" t="s">
        <v>370</v>
      </c>
      <c r="C86" s="584" t="str">
        <f>C81</f>
        <v>Union Pacific Corp</v>
      </c>
      <c r="D86" s="584" t="str">
        <f t="shared" ref="D86:R86" si="8">D81</f>
        <v>CAN NATL RAILWAY</v>
      </c>
      <c r="E86" s="584" t="str">
        <f t="shared" si="8"/>
        <v>CSX CORP</v>
      </c>
      <c r="F86" s="584" t="str">
        <f t="shared" si="8"/>
        <v>CANADIAN PACIFIC</v>
      </c>
      <c r="G86" s="584" t="str">
        <f t="shared" si="8"/>
        <v>NORFOLK SOUTHERN</v>
      </c>
      <c r="H86" s="584" t="str">
        <f t="shared" si="8"/>
        <v>BNSF RAILWAY CO</v>
      </c>
      <c r="I86" s="736" t="str">
        <f t="shared" si="8"/>
        <v>BOEING CO/THE</v>
      </c>
      <c r="J86" s="584" t="str">
        <f t="shared" si="8"/>
        <v>LOCKHEED MARTIN</v>
      </c>
      <c r="K86" s="584" t="str">
        <f t="shared" si="8"/>
        <v>NORTHROP GRUMMAN</v>
      </c>
      <c r="L86" s="584" t="str">
        <f t="shared" si="8"/>
        <v>GENERAL DYNAMICS</v>
      </c>
      <c r="M86" s="584" t="str">
        <f t="shared" si="8"/>
        <v>3M CO</v>
      </c>
      <c r="N86" s="736" t="str">
        <f t="shared" si="8"/>
        <v>DEERE &amp; CO</v>
      </c>
      <c r="O86" s="584" t="str">
        <f t="shared" si="8"/>
        <v>ILLINOIS TOOL WO</v>
      </c>
      <c r="P86" s="584" t="str">
        <f t="shared" si="8"/>
        <v>HONEYWELL INTL</v>
      </c>
      <c r="Q86" s="584" t="str">
        <f t="shared" si="8"/>
        <v>AUTOMATIC DATA</v>
      </c>
      <c r="R86" s="584" t="str">
        <f t="shared" si="8"/>
        <v>WASTE MANAGEMENT</v>
      </c>
    </row>
    <row r="87" spans="1:18" ht="4" customHeight="1" x14ac:dyDescent="0.3">
      <c r="A87" s="374"/>
      <c r="B87" s="582"/>
      <c r="C87" s="34"/>
      <c r="D87" s="34"/>
      <c r="E87" s="34"/>
      <c r="F87" s="34"/>
      <c r="G87" s="34"/>
      <c r="H87" s="34"/>
      <c r="I87" s="737"/>
      <c r="J87" s="34"/>
      <c r="K87" s="34"/>
      <c r="L87" s="34"/>
      <c r="M87" s="34"/>
      <c r="N87" s="737"/>
      <c r="O87" s="34"/>
      <c r="P87" s="34"/>
      <c r="Q87" s="34"/>
      <c r="R87" s="34"/>
    </row>
    <row r="88" spans="1:18" ht="15" customHeight="1" x14ac:dyDescent="0.3">
      <c r="B88" s="369" t="s">
        <v>371</v>
      </c>
      <c r="C88" s="992" t="s">
        <v>372</v>
      </c>
      <c r="D88" s="886" t="s">
        <v>373</v>
      </c>
      <c r="E88" s="868" t="s">
        <v>374</v>
      </c>
      <c r="F88" s="993" t="s">
        <v>375</v>
      </c>
      <c r="G88" s="661" t="s">
        <v>376</v>
      </c>
      <c r="H88" s="570" t="s">
        <v>245</v>
      </c>
      <c r="I88" s="570" t="s">
        <v>245</v>
      </c>
      <c r="J88" s="968">
        <v>0</v>
      </c>
      <c r="K88" s="936">
        <v>0</v>
      </c>
      <c r="L88" s="671">
        <v>0.01</v>
      </c>
      <c r="M88" s="979">
        <v>0</v>
      </c>
      <c r="N88" s="994">
        <v>0</v>
      </c>
      <c r="O88" s="673">
        <v>0</v>
      </c>
      <c r="P88" s="995">
        <v>0.01</v>
      </c>
      <c r="Q88" s="807">
        <v>0</v>
      </c>
      <c r="R88" s="786">
        <v>0</v>
      </c>
    </row>
    <row r="89" spans="1:18" ht="15" customHeight="1" x14ac:dyDescent="0.3">
      <c r="B89" s="369" t="s">
        <v>377</v>
      </c>
      <c r="C89" s="570" t="s">
        <v>245</v>
      </c>
      <c r="D89" s="570" t="s">
        <v>245</v>
      </c>
      <c r="E89" s="570" t="s">
        <v>245</v>
      </c>
      <c r="F89" s="570" t="s">
        <v>245</v>
      </c>
      <c r="G89" s="570" t="s">
        <v>245</v>
      </c>
      <c r="H89" s="570" t="s">
        <v>245</v>
      </c>
      <c r="I89" s="996">
        <v>0.01</v>
      </c>
      <c r="J89" s="910">
        <v>0</v>
      </c>
      <c r="K89" s="674">
        <v>0</v>
      </c>
      <c r="L89" s="911">
        <v>0</v>
      </c>
      <c r="M89" s="906">
        <v>0.01</v>
      </c>
      <c r="N89" s="778">
        <v>0</v>
      </c>
      <c r="O89" s="911">
        <v>0</v>
      </c>
      <c r="P89" s="896">
        <v>0.01</v>
      </c>
      <c r="Q89" s="671">
        <v>0.01</v>
      </c>
      <c r="R89" s="805">
        <v>0.01</v>
      </c>
    </row>
    <row r="90" spans="1:18" ht="15" customHeight="1" x14ac:dyDescent="0.3">
      <c r="B90" s="369" t="s">
        <v>378</v>
      </c>
      <c r="C90" s="570" t="s">
        <v>245</v>
      </c>
      <c r="D90" s="570" t="s">
        <v>245</v>
      </c>
      <c r="E90" s="570" t="s">
        <v>245</v>
      </c>
      <c r="F90" s="570" t="s">
        <v>245</v>
      </c>
      <c r="G90" s="570" t="s">
        <v>245</v>
      </c>
      <c r="H90" s="570" t="s">
        <v>245</v>
      </c>
      <c r="I90" s="782">
        <v>-0.03</v>
      </c>
      <c r="J90" s="771">
        <v>0.04</v>
      </c>
      <c r="K90" s="979">
        <v>0.02</v>
      </c>
      <c r="L90" s="997">
        <v>0.04</v>
      </c>
      <c r="M90" s="671">
        <v>0.16</v>
      </c>
      <c r="N90" s="998">
        <v>0.02</v>
      </c>
      <c r="O90" s="984">
        <v>0.02</v>
      </c>
      <c r="P90" s="809">
        <v>0.03</v>
      </c>
      <c r="Q90" s="999">
        <v>0.05</v>
      </c>
      <c r="R90" s="902">
        <v>0.02</v>
      </c>
    </row>
    <row r="91" spans="1:18" ht="15" customHeight="1" x14ac:dyDescent="0.3">
      <c r="B91" s="369" t="s">
        <v>379</v>
      </c>
      <c r="C91" s="1000" t="s">
        <v>380</v>
      </c>
      <c r="D91" s="1001" t="s">
        <v>381</v>
      </c>
      <c r="E91" s="857" t="s">
        <v>382</v>
      </c>
      <c r="F91" s="1002" t="s">
        <v>383</v>
      </c>
      <c r="G91" s="1003" t="s">
        <v>384</v>
      </c>
      <c r="H91" s="570" t="s">
        <v>245</v>
      </c>
      <c r="I91" s="923" t="s">
        <v>385</v>
      </c>
      <c r="J91" s="1004" t="s">
        <v>386</v>
      </c>
      <c r="K91" s="659" t="s">
        <v>387</v>
      </c>
      <c r="L91" s="1005" t="s">
        <v>388</v>
      </c>
      <c r="M91" s="1006" t="s">
        <v>389</v>
      </c>
      <c r="N91" s="1007" t="s">
        <v>390</v>
      </c>
      <c r="O91" s="1008" t="s">
        <v>391</v>
      </c>
      <c r="P91" s="1009" t="s">
        <v>392</v>
      </c>
      <c r="Q91" s="665" t="s">
        <v>393</v>
      </c>
      <c r="R91" s="1010" t="s">
        <v>394</v>
      </c>
    </row>
    <row r="105" spans="2:18" ht="15" customHeight="1" x14ac:dyDescent="0.3">
      <c r="B105" s="1178" t="s">
        <v>395</v>
      </c>
      <c r="C105" s="1177" t="s">
        <v>236</v>
      </c>
      <c r="D105" s="1177" t="s">
        <v>237</v>
      </c>
      <c r="E105" s="1177" t="s">
        <v>238</v>
      </c>
      <c r="F105" s="1177" t="s">
        <v>239</v>
      </c>
      <c r="G105" s="1177" t="s">
        <v>240</v>
      </c>
      <c r="H105" s="1177" t="s">
        <v>241</v>
      </c>
      <c r="I105" s="1177" t="s">
        <v>396</v>
      </c>
      <c r="J105" s="1177" t="s">
        <v>397</v>
      </c>
      <c r="K105" s="1177" t="s">
        <v>398</v>
      </c>
      <c r="L105" s="1177" t="s">
        <v>399</v>
      </c>
      <c r="M105" s="1177" t="s">
        <v>400</v>
      </c>
      <c r="N105" s="1177" t="s">
        <v>401</v>
      </c>
      <c r="O105" s="1177" t="s">
        <v>402</v>
      </c>
      <c r="P105" s="1177" t="s">
        <v>403</v>
      </c>
      <c r="Q105" s="1177" t="s">
        <v>404</v>
      </c>
      <c r="R105" s="1177" t="s">
        <v>405</v>
      </c>
    </row>
    <row r="106" spans="2:18" ht="15" hidden="1" customHeight="1" x14ac:dyDescent="0.3"/>
    <row r="107" spans="2:18" ht="15" customHeight="1" x14ac:dyDescent="0.3">
      <c r="B107" s="369" t="s">
        <v>251</v>
      </c>
      <c r="C107" s="570">
        <v>0.4</v>
      </c>
      <c r="D107" s="570">
        <v>0.37</v>
      </c>
      <c r="E107" s="570">
        <v>0.36</v>
      </c>
      <c r="F107" s="570">
        <v>0.36</v>
      </c>
      <c r="G107" s="570">
        <v>0.34</v>
      </c>
      <c r="H107" s="570">
        <v>0.32</v>
      </c>
      <c r="I107" s="738">
        <v>-0.16</v>
      </c>
      <c r="J107" s="570">
        <v>0.1</v>
      </c>
      <c r="K107" s="570">
        <v>0.11</v>
      </c>
      <c r="L107" s="570">
        <v>0.1</v>
      </c>
      <c r="M107" s="570">
        <v>0.2</v>
      </c>
      <c r="N107" s="738">
        <v>0.24</v>
      </c>
      <c r="O107" s="570">
        <v>0.27</v>
      </c>
      <c r="P107" s="570">
        <v>0.19</v>
      </c>
      <c r="Q107" s="570">
        <v>0.26</v>
      </c>
      <c r="R107" s="570">
        <v>0.18</v>
      </c>
    </row>
    <row r="108" spans="2:18" ht="15" customHeight="1" x14ac:dyDescent="0.3">
      <c r="B108" s="369" t="s">
        <v>252</v>
      </c>
      <c r="C108" s="570">
        <v>0.5</v>
      </c>
      <c r="D108" s="570">
        <v>0.49</v>
      </c>
      <c r="E108" s="570">
        <v>0.46</v>
      </c>
      <c r="F108" s="570">
        <v>0.49</v>
      </c>
      <c r="G108" s="570">
        <v>0.53</v>
      </c>
      <c r="H108" s="570">
        <v>0.45</v>
      </c>
      <c r="I108" s="738">
        <v>-0.1</v>
      </c>
      <c r="J108" s="570">
        <v>0.11</v>
      </c>
      <c r="K108" s="570">
        <v>0.14000000000000001</v>
      </c>
      <c r="L108" s="570">
        <v>0.12</v>
      </c>
      <c r="M108" s="570">
        <v>0.24</v>
      </c>
      <c r="N108" s="738">
        <v>0.27</v>
      </c>
      <c r="O108" s="570">
        <v>0.28999999999999998</v>
      </c>
      <c r="P108" s="570">
        <v>0.23</v>
      </c>
      <c r="Q108" s="570">
        <v>0.3</v>
      </c>
      <c r="R108" s="570">
        <v>0.28000000000000003</v>
      </c>
    </row>
    <row r="109" spans="2:18" ht="15" customHeight="1" x14ac:dyDescent="0.3">
      <c r="B109" s="369" t="s">
        <v>260</v>
      </c>
      <c r="C109" s="570">
        <v>0.57999999999999996</v>
      </c>
      <c r="D109" s="570">
        <v>0.3</v>
      </c>
      <c r="E109" s="570">
        <v>0.42</v>
      </c>
      <c r="F109" s="570">
        <v>0.11</v>
      </c>
      <c r="G109" s="570">
        <v>0.28000000000000003</v>
      </c>
      <c r="H109" s="570">
        <v>0.1</v>
      </c>
      <c r="I109" s="738">
        <v>2.74</v>
      </c>
      <c r="J109" s="570">
        <v>1.1100000000000001</v>
      </c>
      <c r="K109" s="570">
        <v>0.28999999999999998</v>
      </c>
      <c r="L109" s="570">
        <v>0.22</v>
      </c>
      <c r="M109" s="570">
        <v>1.24</v>
      </c>
      <c r="N109" s="738">
        <v>0.55000000000000004</v>
      </c>
      <c r="O109" s="570">
        <v>1.29</v>
      </c>
      <c r="P109" s="570">
        <v>0.39</v>
      </c>
      <c r="Q109" s="570">
        <v>0.87</v>
      </c>
      <c r="R109" s="570">
        <v>0.49</v>
      </c>
    </row>
    <row r="110" spans="2:18" ht="15" customHeight="1" x14ac:dyDescent="0.3">
      <c r="B110" s="369" t="s">
        <v>261</v>
      </c>
      <c r="C110" s="570">
        <v>0.42</v>
      </c>
      <c r="D110" s="570">
        <v>0.22</v>
      </c>
      <c r="E110" s="570">
        <v>0.25</v>
      </c>
      <c r="F110" s="570">
        <v>0.09</v>
      </c>
      <c r="G110" s="570">
        <v>0.24</v>
      </c>
      <c r="H110" s="570">
        <v>0.1</v>
      </c>
      <c r="I110" s="738" t="e">
        <v>#NAME?</v>
      </c>
      <c r="J110" s="801">
        <v>0.73</v>
      </c>
      <c r="K110" s="695">
        <v>0.27</v>
      </c>
      <c r="L110" s="802">
        <v>0.18</v>
      </c>
      <c r="M110" s="803">
        <v>0.96</v>
      </c>
      <c r="N110" s="804">
        <v>0.22</v>
      </c>
      <c r="O110" s="671">
        <v>1.0900000000000001</v>
      </c>
      <c r="P110" s="805">
        <v>0.35</v>
      </c>
      <c r="Q110" s="806">
        <v>0.76</v>
      </c>
      <c r="R110" s="807">
        <v>0.33</v>
      </c>
    </row>
    <row r="111" spans="2:18" ht="15" customHeight="1" x14ac:dyDescent="0.3">
      <c r="B111" s="369" t="s">
        <v>274</v>
      </c>
      <c r="C111" s="827" t="s">
        <v>275</v>
      </c>
      <c r="D111" s="828" t="s">
        <v>268</v>
      </c>
      <c r="E111" s="829" t="s">
        <v>272</v>
      </c>
      <c r="F111" s="661" t="s">
        <v>267</v>
      </c>
      <c r="G111" s="830" t="s">
        <v>268</v>
      </c>
      <c r="H111" s="831" t="s">
        <v>266</v>
      </c>
      <c r="I111" s="832" t="s">
        <v>271</v>
      </c>
      <c r="J111" s="833" t="s">
        <v>276</v>
      </c>
      <c r="K111" s="834" t="s">
        <v>277</v>
      </c>
      <c r="L111" s="835" t="s">
        <v>278</v>
      </c>
      <c r="M111" s="836" t="s">
        <v>269</v>
      </c>
      <c r="N111" s="837" t="s">
        <v>277</v>
      </c>
      <c r="O111" s="659" t="s">
        <v>279</v>
      </c>
      <c r="P111" s="838" t="s">
        <v>280</v>
      </c>
      <c r="Q111" s="830" t="s">
        <v>268</v>
      </c>
      <c r="R111" s="839" t="s">
        <v>280</v>
      </c>
    </row>
    <row r="112" spans="2:18" ht="15" customHeight="1" x14ac:dyDescent="0.3">
      <c r="B112" s="369" t="s">
        <v>303</v>
      </c>
      <c r="C112" s="660" t="s">
        <v>308</v>
      </c>
      <c r="D112" s="668" t="s">
        <v>305</v>
      </c>
      <c r="E112" s="659" t="s">
        <v>287</v>
      </c>
      <c r="F112" s="677" t="s">
        <v>306</v>
      </c>
      <c r="G112" s="663" t="s">
        <v>305</v>
      </c>
      <c r="H112" s="661" t="s">
        <v>307</v>
      </c>
      <c r="I112" s="918" t="s">
        <v>406</v>
      </c>
      <c r="J112" s="821" t="s">
        <v>308</v>
      </c>
      <c r="K112" s="846" t="s">
        <v>309</v>
      </c>
      <c r="L112" s="919" t="s">
        <v>277</v>
      </c>
      <c r="M112" s="905" t="s">
        <v>310</v>
      </c>
      <c r="N112" s="920" t="s">
        <v>267</v>
      </c>
      <c r="O112" s="678" t="s">
        <v>311</v>
      </c>
      <c r="P112" s="921" t="s">
        <v>306</v>
      </c>
      <c r="Q112" s="922" t="s">
        <v>312</v>
      </c>
      <c r="R112" s="659" t="s">
        <v>313</v>
      </c>
    </row>
    <row r="113" spans="2:18" ht="15" customHeight="1" x14ac:dyDescent="0.3">
      <c r="B113" s="369" t="s">
        <v>347</v>
      </c>
      <c r="C113" s="953">
        <v>0.14000000000000001</v>
      </c>
      <c r="D113" s="671">
        <v>0.21</v>
      </c>
      <c r="E113" s="954">
        <v>0.17</v>
      </c>
      <c r="F113" s="907">
        <v>0.19</v>
      </c>
      <c r="G113" s="955">
        <v>0.2</v>
      </c>
      <c r="H113" s="956">
        <v>0.16</v>
      </c>
      <c r="I113" s="957">
        <v>0.03</v>
      </c>
      <c r="J113" s="958">
        <v>0.02</v>
      </c>
      <c r="K113" s="716">
        <v>0.04</v>
      </c>
      <c r="L113" s="674">
        <v>0.02</v>
      </c>
      <c r="M113" s="959">
        <v>0.05</v>
      </c>
      <c r="N113" s="960">
        <v>0.09</v>
      </c>
      <c r="O113" s="961">
        <v>0.03</v>
      </c>
      <c r="P113" s="799">
        <v>0.03</v>
      </c>
      <c r="Q113" s="962">
        <v>0.03</v>
      </c>
      <c r="R113" s="963">
        <v>0.15</v>
      </c>
    </row>
    <row r="114" spans="2:18" ht="15" customHeight="1" x14ac:dyDescent="0.3">
      <c r="B114" s="369" t="s">
        <v>351</v>
      </c>
      <c r="C114" s="689">
        <v>0.48</v>
      </c>
      <c r="D114" s="671">
        <v>0.48</v>
      </c>
      <c r="E114" s="690">
        <v>0.27</v>
      </c>
      <c r="F114" s="691">
        <v>0.19</v>
      </c>
      <c r="G114" s="692">
        <v>0.47</v>
      </c>
      <c r="H114" s="674">
        <v>0</v>
      </c>
      <c r="I114" s="738" t="e" cm="1">
        <f t="array" ref="I114">_xll.BDP(Inputs!$K$21,"DVD_PAYOUT_RATIO")/100</f>
        <v>#VALUE!</v>
      </c>
      <c r="J114" s="972">
        <v>0.56999999999999995</v>
      </c>
      <c r="K114" s="973">
        <v>0.28000000000000003</v>
      </c>
      <c r="L114" s="929">
        <v>0.41</v>
      </c>
      <c r="M114" s="974">
        <v>0.5</v>
      </c>
      <c r="N114" s="975">
        <v>0.23</v>
      </c>
      <c r="O114" s="810">
        <v>0.49</v>
      </c>
      <c r="P114" s="976">
        <v>0.5</v>
      </c>
      <c r="Q114" s="671">
        <v>0.6</v>
      </c>
      <c r="R114" s="813">
        <v>0.44</v>
      </c>
    </row>
    <row r="115" spans="2:18" ht="15" customHeight="1" x14ac:dyDescent="0.3">
      <c r="B115" s="369" t="s">
        <v>355</v>
      </c>
      <c r="C115" s="903" t="s">
        <v>356</v>
      </c>
      <c r="D115" s="985" t="s">
        <v>357</v>
      </c>
      <c r="E115" s="904" t="s">
        <v>358</v>
      </c>
      <c r="F115" s="669" t="s">
        <v>330</v>
      </c>
      <c r="G115" s="986" t="s">
        <v>321</v>
      </c>
      <c r="H115" s="571" t="e" cm="1">
        <f t="array" ref="H115">_xll.BDP(Inputs!$E$25,"cf_cash_from_oper")/_xll.BDP(Inputs!$E$25,"BEST_NET_INCOME")</f>
        <v>#VALUE!</v>
      </c>
      <c r="I115" s="858" t="s">
        <v>359</v>
      </c>
      <c r="J115" s="926" t="s">
        <v>360</v>
      </c>
      <c r="K115" s="987" t="s">
        <v>361</v>
      </c>
      <c r="L115" s="988" t="s">
        <v>362</v>
      </c>
      <c r="M115" s="661" t="s">
        <v>310</v>
      </c>
      <c r="N115" s="989" t="s">
        <v>363</v>
      </c>
      <c r="O115" s="988" t="s">
        <v>362</v>
      </c>
      <c r="P115" s="827" t="s">
        <v>336</v>
      </c>
      <c r="Q115" s="670" t="s">
        <v>330</v>
      </c>
      <c r="R115" s="924" t="s">
        <v>364</v>
      </c>
    </row>
    <row r="116" spans="2:18" ht="15" customHeight="1" x14ac:dyDescent="0.3">
      <c r="B116" s="369" t="s">
        <v>379</v>
      </c>
      <c r="C116" s="1000" t="s">
        <v>380</v>
      </c>
      <c r="D116" s="1001" t="s">
        <v>381</v>
      </c>
      <c r="E116" s="857" t="s">
        <v>382</v>
      </c>
      <c r="F116" s="1002" t="s">
        <v>383</v>
      </c>
      <c r="G116" s="1003" t="s">
        <v>384</v>
      </c>
      <c r="H116" s="579" t="e">
        <v>#N/A</v>
      </c>
      <c r="I116" s="923" t="s">
        <v>385</v>
      </c>
      <c r="J116" s="1004" t="s">
        <v>386</v>
      </c>
      <c r="K116" s="659" t="s">
        <v>387</v>
      </c>
      <c r="L116" s="1005" t="s">
        <v>388</v>
      </c>
      <c r="M116" s="1006" t="s">
        <v>389</v>
      </c>
      <c r="N116" s="1007" t="s">
        <v>390</v>
      </c>
      <c r="O116" s="1008" t="s">
        <v>391</v>
      </c>
      <c r="P116" s="1009" t="s">
        <v>392</v>
      </c>
      <c r="Q116" s="665" t="s">
        <v>393</v>
      </c>
      <c r="R116" s="1010" t="s">
        <v>394</v>
      </c>
    </row>
  </sheetData>
  <conditionalFormatting sqref="C14:R14">
    <cfRule type="colorScale" priority="29">
      <colorScale>
        <cfvo type="min"/>
        <cfvo type="percentile" val="50"/>
        <cfvo type="max"/>
        <color theme="4" tint="0.79998168889431442"/>
        <color theme="0"/>
        <color rgb="FF8DEB91"/>
      </colorScale>
    </cfRule>
  </conditionalFormatting>
  <conditionalFormatting sqref="C15:R15">
    <cfRule type="colorScale" priority="28">
      <colorScale>
        <cfvo type="min"/>
        <cfvo type="percentile" val="50"/>
        <cfvo type="max"/>
        <color theme="4" tint="0.79998168889431442"/>
        <color theme="0"/>
        <color rgb="FF8DEB91"/>
      </colorScale>
    </cfRule>
  </conditionalFormatting>
  <conditionalFormatting sqref="C16:R16">
    <cfRule type="colorScale" priority="27">
      <colorScale>
        <cfvo type="min"/>
        <cfvo type="percentile" val="50"/>
        <cfvo type="max"/>
        <color theme="4" tint="0.79998168889431442"/>
        <color theme="0"/>
        <color rgb="FF8DEB91"/>
      </colorScale>
    </cfRule>
  </conditionalFormatting>
  <conditionalFormatting sqref="C17:R17">
    <cfRule type="colorScale" priority="26">
      <colorScale>
        <cfvo type="min"/>
        <cfvo type="percentile" val="50"/>
        <cfvo type="max"/>
        <color theme="4" tint="0.79998168889431442"/>
        <color theme="0"/>
        <color rgb="FF8DEB91"/>
      </colorScale>
    </cfRule>
  </conditionalFormatting>
  <conditionalFormatting sqref="C18:R18">
    <cfRule type="colorScale" priority="25">
      <colorScale>
        <cfvo type="min"/>
        <cfvo type="percentile" val="50"/>
        <cfvo type="max"/>
        <color theme="4" tint="0.79998168889431442"/>
        <color theme="0"/>
        <color rgb="FF8DEB91"/>
      </colorScale>
    </cfRule>
  </conditionalFormatting>
  <conditionalFormatting sqref="C19:R19">
    <cfRule type="colorScale" priority="24">
      <colorScale>
        <cfvo type="min"/>
        <cfvo type="percentile" val="50"/>
        <cfvo type="max"/>
        <color theme="4" tint="0.79998168889431442"/>
        <color theme="0"/>
        <color rgb="FF8DEB91"/>
      </colorScale>
    </cfRule>
  </conditionalFormatting>
  <conditionalFormatting sqref="C24:R24">
    <cfRule type="colorScale" priority="22">
      <colorScale>
        <cfvo type="min"/>
        <cfvo type="percentile" val="50"/>
        <cfvo type="max"/>
        <color theme="4" tint="0.79998168889431442"/>
        <color theme="0"/>
        <color rgb="FF8DEB91"/>
      </colorScale>
    </cfRule>
  </conditionalFormatting>
  <conditionalFormatting sqref="C25:R25">
    <cfRule type="colorScale" priority="21">
      <colorScale>
        <cfvo type="min"/>
        <cfvo type="percentile" val="50"/>
        <cfvo type="max"/>
        <color theme="4" tint="0.79998168889431442"/>
        <color theme="0"/>
        <color rgb="FF8DEB91"/>
      </colorScale>
    </cfRule>
  </conditionalFormatting>
  <conditionalFormatting sqref="C26:R26">
    <cfRule type="colorScale" priority="20">
      <colorScale>
        <cfvo type="min"/>
        <cfvo type="percentile" val="50"/>
        <cfvo type="max"/>
        <color theme="4" tint="0.79998168889431442"/>
        <color theme="0"/>
        <color rgb="FF8DEB91"/>
      </colorScale>
    </cfRule>
  </conditionalFormatting>
  <conditionalFormatting sqref="C27:R27">
    <cfRule type="colorScale" priority="19">
      <colorScale>
        <cfvo type="min"/>
        <cfvo type="percentile" val="50"/>
        <cfvo type="max"/>
        <color theme="4" tint="0.79998168889431442"/>
        <color theme="0"/>
        <color rgb="FF8DEB91"/>
      </colorScale>
    </cfRule>
  </conditionalFormatting>
  <conditionalFormatting sqref="C28:R28">
    <cfRule type="colorScale" priority="18">
      <colorScale>
        <cfvo type="min"/>
        <cfvo type="percentile" val="50"/>
        <cfvo type="max"/>
        <color theme="4" tint="0.79998168889431442"/>
        <color theme="0"/>
        <color rgb="FF8DEB91"/>
      </colorScale>
    </cfRule>
  </conditionalFormatting>
  <conditionalFormatting sqref="C32:R32">
    <cfRule type="colorScale" priority="17">
      <colorScale>
        <cfvo type="min"/>
        <cfvo type="percentile" val="50"/>
        <cfvo type="max"/>
        <color theme="4" tint="0.79998168889431442"/>
        <color theme="0"/>
        <color rgb="FF8DEB91"/>
      </colorScale>
    </cfRule>
  </conditionalFormatting>
  <conditionalFormatting sqref="C33:R33">
    <cfRule type="colorScale" priority="16">
      <colorScale>
        <cfvo type="min"/>
        <cfvo type="percentile" val="50"/>
        <cfvo type="max"/>
        <color theme="4" tint="0.79998168889431442"/>
        <color theme="0"/>
        <color rgb="FF8DEB91"/>
      </colorScale>
    </cfRule>
  </conditionalFormatting>
  <conditionalFormatting sqref="C34:R34">
    <cfRule type="colorScale" priority="15">
      <colorScale>
        <cfvo type="min"/>
        <cfvo type="percentile" val="50"/>
        <cfvo type="max"/>
        <color theme="4" tint="0.79998168889431442"/>
        <color theme="0"/>
        <color rgb="FF8DEB91"/>
      </colorScale>
    </cfRule>
  </conditionalFormatting>
  <conditionalFormatting sqref="C35:R35">
    <cfRule type="colorScale" priority="14">
      <colorScale>
        <cfvo type="min"/>
        <cfvo type="percentile" val="50"/>
        <cfvo type="max"/>
        <color theme="4" tint="0.79998168889431442"/>
        <color theme="0"/>
        <color rgb="FF8DEB91"/>
      </colorScale>
    </cfRule>
  </conditionalFormatting>
  <conditionalFormatting sqref="C36:R36">
    <cfRule type="colorScale" priority="13">
      <colorScale>
        <cfvo type="min"/>
        <cfvo type="percentile" val="50"/>
        <cfvo type="max"/>
        <color theme="4" tint="0.79998168889431442"/>
        <color theme="0"/>
        <color rgb="FF8DEB91"/>
      </colorScale>
    </cfRule>
  </conditionalFormatting>
  <conditionalFormatting sqref="C37:R37">
    <cfRule type="colorScale" priority="12">
      <colorScale>
        <cfvo type="min"/>
        <cfvo type="percentile" val="50"/>
        <cfvo type="max"/>
        <color theme="4" tint="0.79998168889431442"/>
        <color theme="0"/>
        <color rgb="FF8DEB91"/>
      </colorScale>
    </cfRule>
  </conditionalFormatting>
  <conditionalFormatting sqref="C49:R49">
    <cfRule type="colorScale" priority="11">
      <colorScale>
        <cfvo type="min"/>
        <cfvo type="percentile" val="50"/>
        <cfvo type="max"/>
        <color rgb="FF8DEB91"/>
        <color theme="0"/>
        <color theme="4" tint="0.79998168889431442"/>
      </colorScale>
    </cfRule>
  </conditionalFormatting>
  <conditionalFormatting sqref="C53:R53">
    <cfRule type="colorScale" priority="9">
      <colorScale>
        <cfvo type="min"/>
        <cfvo type="percentile" val="50"/>
        <cfvo type="max"/>
        <color rgb="FF8DEB91"/>
        <color theme="0"/>
        <color theme="4" tint="0.79998168889431442"/>
      </colorScale>
    </cfRule>
  </conditionalFormatting>
  <conditionalFormatting sqref="C54:R54">
    <cfRule type="colorScale" priority="8">
      <colorScale>
        <cfvo type="min"/>
        <cfvo type="percentile" val="50"/>
        <cfvo type="max"/>
        <color rgb="FF8DEB91"/>
        <color theme="0"/>
        <color theme="4" tint="0.79998168889431442"/>
      </colorScale>
    </cfRule>
  </conditionalFormatting>
  <conditionalFormatting sqref="C59:R59">
    <cfRule type="colorScale" priority="6">
      <colorScale>
        <cfvo type="min"/>
        <cfvo type="percentile" val="50"/>
        <cfvo type="max"/>
        <color rgb="FF8DEB91"/>
        <color theme="0"/>
        <color theme="4" tint="0.79998168889431442"/>
      </colorScale>
    </cfRule>
  </conditionalFormatting>
  <conditionalFormatting sqref="C61:R61">
    <cfRule type="colorScale" priority="5">
      <colorScale>
        <cfvo type="min"/>
        <cfvo type="percentile" val="50"/>
        <cfvo type="max"/>
        <color rgb="FFF8696B"/>
        <color rgb="FFFFEB84"/>
        <color rgb="FF63BE7B"/>
      </colorScale>
    </cfRule>
  </conditionalFormatting>
  <conditionalFormatting sqref="C62:R62">
    <cfRule type="colorScale" priority="4">
      <colorScale>
        <cfvo type="min"/>
        <cfvo type="percentile" val="50"/>
        <cfvo type="max"/>
        <color rgb="FF8DEB91"/>
        <color theme="0"/>
        <color theme="4" tint="0.79998168889431442"/>
      </colorScale>
    </cfRule>
  </conditionalFormatting>
  <conditionalFormatting sqref="C63:R63">
    <cfRule type="colorScale" priority="3">
      <colorScale>
        <cfvo type="min"/>
        <cfvo type="percentile" val="50"/>
        <cfvo type="max"/>
        <color rgb="FF8DEB91"/>
        <color theme="0"/>
        <color theme="4" tint="0.79998168889431442"/>
      </colorScale>
    </cfRule>
  </conditionalFormatting>
  <conditionalFormatting sqref="C73:R73">
    <cfRule type="colorScale" priority="2">
      <colorScale>
        <cfvo type="min"/>
        <cfvo type="percentile" val="50"/>
        <cfvo type="max"/>
        <color rgb="FF8DEB91"/>
        <color theme="0"/>
        <color theme="4" tint="0.79998168889431442"/>
      </colorScale>
    </cfRule>
  </conditionalFormatting>
  <conditionalFormatting sqref="C88:R88">
    <cfRule type="colorScale" priority="1">
      <colorScale>
        <cfvo type="min"/>
        <cfvo type="percentile" val="50"/>
        <cfvo type="max"/>
        <color rgb="FF8DEB91"/>
        <color theme="0"/>
        <color theme="4" tint="0.79998168889431442"/>
      </colorScale>
    </cfRule>
  </conditionalFormatting>
  <conditionalFormatting sqref="D23:R23">
    <cfRule type="colorScale" priority="23">
      <colorScale>
        <cfvo type="min"/>
        <cfvo type="percentile" val="50"/>
        <cfvo type="max"/>
        <color theme="4" tint="0.79998168889431442"/>
        <color theme="0"/>
        <color rgb="FF8DEB91"/>
      </colorScale>
    </cfRule>
  </conditionalFormatting>
  <conditionalFormatting sqref="I50:R50">
    <cfRule type="colorScale" priority="10">
      <colorScale>
        <cfvo type="min"/>
        <cfvo type="percentile" val="50"/>
        <cfvo type="max"/>
        <color rgb="FF8DEB91"/>
        <color theme="0"/>
        <color theme="4" tint="0.79998168889431442"/>
      </colorScale>
    </cfRule>
  </conditionalFormatting>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AB57"/>
  <sheetViews>
    <sheetView showGridLines="0" topLeftCell="A4" zoomScale="65" zoomScaleNormal="55" workbookViewId="0">
      <selection activeCell="Q12" sqref="Q12"/>
    </sheetView>
  </sheetViews>
  <sheetFormatPr defaultColWidth="9" defaultRowHeight="15" customHeight="1" x14ac:dyDescent="0.3"/>
  <cols>
    <col min="1" max="1" width="2" style="557" customWidth="1"/>
    <col min="2" max="2" width="28" style="557" customWidth="1"/>
    <col min="3" max="4" width="10.5" style="557" customWidth="1"/>
    <col min="5" max="5" width="8.5" style="557" customWidth="1"/>
    <col min="6" max="7" width="11.5" style="557" customWidth="1"/>
    <col min="8" max="8" width="1.5" style="557" customWidth="1"/>
    <col min="9" max="17" width="9.5" style="557" customWidth="1"/>
    <col min="18" max="18" width="1.5" style="557" customWidth="1"/>
    <col min="19" max="20" width="8.5" style="557" customWidth="1"/>
    <col min="21" max="21" width="1.5" style="557" customWidth="1"/>
    <col min="22" max="24" width="9.5" style="557" customWidth="1"/>
    <col min="25" max="25" width="1.5" style="557" customWidth="1"/>
    <col min="26" max="26" width="8.5" style="557" customWidth="1"/>
    <col min="27" max="16384" width="9" style="557"/>
  </cols>
  <sheetData>
    <row r="1" spans="2:28" s="569" customFormat="1" ht="15" customHeight="1" x14ac:dyDescent="0.3"/>
    <row r="2" spans="2:28" s="569" customFormat="1" ht="15" customHeight="1" x14ac:dyDescent="0.3"/>
    <row r="3" spans="2:28" s="569" customFormat="1" ht="15" customHeight="1" x14ac:dyDescent="0.3"/>
    <row r="4" spans="2:28" s="569" customFormat="1" ht="15" customHeight="1" x14ac:dyDescent="0.3"/>
    <row r="5" spans="2:28" s="555" customFormat="1" ht="4" customHeight="1" x14ac:dyDescent="0.3">
      <c r="B5" s="34"/>
      <c r="C5" s="34"/>
      <c r="D5" s="34"/>
      <c r="E5" s="34"/>
      <c r="F5" s="34"/>
      <c r="G5" s="34"/>
      <c r="H5" s="34"/>
      <c r="I5" s="34"/>
      <c r="J5" s="34"/>
      <c r="K5" s="34"/>
      <c r="L5" s="34"/>
      <c r="M5" s="34"/>
      <c r="N5" s="34"/>
      <c r="O5" s="34"/>
      <c r="P5" s="34"/>
      <c r="Q5" s="34"/>
      <c r="R5" s="34"/>
      <c r="S5" s="34"/>
      <c r="T5" s="34"/>
      <c r="U5" s="34"/>
      <c r="V5" s="34"/>
      <c r="W5" s="34"/>
      <c r="X5" s="34"/>
      <c r="Y5" s="34"/>
      <c r="Z5" s="34"/>
      <c r="AA5" s="34"/>
      <c r="AB5" s="34"/>
    </row>
    <row r="7" spans="2:28" s="556" customFormat="1" ht="15" customHeight="1" x14ac:dyDescent="0.3">
      <c r="B7" s="608"/>
      <c r="C7" s="366"/>
      <c r="D7" s="609" t="s">
        <v>407</v>
      </c>
      <c r="E7" s="609" t="s">
        <v>408</v>
      </c>
      <c r="F7" s="609"/>
      <c r="G7" s="609"/>
      <c r="H7" s="609"/>
      <c r="I7" s="1245" t="s">
        <v>409</v>
      </c>
      <c r="J7" s="1245"/>
      <c r="K7" s="1245"/>
      <c r="L7" s="1245"/>
      <c r="M7" s="1245"/>
      <c r="N7" s="1245"/>
      <c r="O7" s="1245"/>
      <c r="P7" s="1245"/>
      <c r="Q7" s="1245"/>
      <c r="R7" s="609"/>
      <c r="S7" s="609" t="s">
        <v>410</v>
      </c>
      <c r="T7" s="609" t="s">
        <v>411</v>
      </c>
      <c r="U7" s="609"/>
      <c r="V7" s="1245" t="s">
        <v>412</v>
      </c>
      <c r="W7" s="1245"/>
      <c r="X7" s="1245"/>
      <c r="Y7" s="609"/>
      <c r="Z7" s="609" t="s">
        <v>413</v>
      </c>
      <c r="AA7" s="334"/>
      <c r="AB7" s="334"/>
    </row>
    <row r="8" spans="2:28" s="556" customFormat="1" ht="15" customHeight="1" x14ac:dyDescent="0.3">
      <c r="B8" s="366"/>
      <c r="C8" s="366"/>
      <c r="D8" s="609" t="s">
        <v>414</v>
      </c>
      <c r="E8" s="609" t="s">
        <v>415</v>
      </c>
      <c r="F8" s="609" t="s">
        <v>416</v>
      </c>
      <c r="G8" s="609" t="s">
        <v>417</v>
      </c>
      <c r="H8" s="609"/>
      <c r="I8" s="609" t="s">
        <v>410</v>
      </c>
      <c r="J8" s="522">
        <v>2025</v>
      </c>
      <c r="K8" s="522">
        <v>2026</v>
      </c>
      <c r="L8" s="609" t="s">
        <v>410</v>
      </c>
      <c r="M8" s="609" t="s">
        <v>418</v>
      </c>
      <c r="N8" s="609" t="s">
        <v>419</v>
      </c>
      <c r="O8" s="609" t="s">
        <v>410</v>
      </c>
      <c r="P8" s="609" t="s">
        <v>418</v>
      </c>
      <c r="Q8" s="609" t="s">
        <v>419</v>
      </c>
      <c r="R8" s="609"/>
      <c r="S8" s="609" t="s">
        <v>420</v>
      </c>
      <c r="T8" s="609" t="s">
        <v>421</v>
      </c>
      <c r="U8" s="609"/>
      <c r="V8" s="609" t="s">
        <v>410</v>
      </c>
      <c r="W8" s="609" t="s">
        <v>418</v>
      </c>
      <c r="X8" s="609" t="s">
        <v>419</v>
      </c>
      <c r="Y8" s="609"/>
      <c r="Z8" s="609" t="s">
        <v>422</v>
      </c>
      <c r="AA8" s="334"/>
      <c r="AB8" s="334" t="s">
        <v>423</v>
      </c>
    </row>
    <row r="9" spans="2:28" s="556" customFormat="1" ht="15" customHeight="1" x14ac:dyDescent="0.3">
      <c r="B9" s="366" t="s">
        <v>424</v>
      </c>
      <c r="C9" s="366" t="s">
        <v>13</v>
      </c>
      <c r="D9" s="609" t="s">
        <v>425</v>
      </c>
      <c r="E9" s="609" t="s">
        <v>426</v>
      </c>
      <c r="F9" s="609" t="s">
        <v>427</v>
      </c>
      <c r="G9" s="609" t="s">
        <v>427</v>
      </c>
      <c r="H9" s="609"/>
      <c r="I9" s="609" t="s">
        <v>428</v>
      </c>
      <c r="J9" s="609" t="s">
        <v>428</v>
      </c>
      <c r="K9" s="609" t="s">
        <v>428</v>
      </c>
      <c r="L9" s="609" t="s">
        <v>420</v>
      </c>
      <c r="M9" s="609" t="s">
        <v>420</v>
      </c>
      <c r="N9" s="609" t="s">
        <v>420</v>
      </c>
      <c r="O9" s="609" t="s">
        <v>429</v>
      </c>
      <c r="P9" s="609" t="s">
        <v>429</v>
      </c>
      <c r="Q9" s="609" t="s">
        <v>429</v>
      </c>
      <c r="R9" s="609"/>
      <c r="S9" s="609" t="s">
        <v>430</v>
      </c>
      <c r="T9" s="609" t="s">
        <v>420</v>
      </c>
      <c r="U9" s="609"/>
      <c r="V9" s="609" t="s">
        <v>422</v>
      </c>
      <c r="W9" s="609" t="s">
        <v>422</v>
      </c>
      <c r="X9" s="609" t="s">
        <v>422</v>
      </c>
      <c r="Y9" s="609"/>
      <c r="Z9" s="609" t="s">
        <v>235</v>
      </c>
      <c r="AA9" s="334"/>
      <c r="AB9" s="334"/>
    </row>
    <row r="10" spans="2:28" ht="4" customHeight="1" x14ac:dyDescent="0.3">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21"/>
      <c r="AB10" s="21"/>
    </row>
    <row r="11" spans="2:28" ht="4" customHeight="1" x14ac:dyDescent="0.3">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row>
    <row r="12" spans="2:28" ht="15" customHeight="1" x14ac:dyDescent="0.3">
      <c r="B12" s="21" t="s">
        <v>431</v>
      </c>
      <c r="C12" s="698" t="s">
        <v>432</v>
      </c>
      <c r="D12" s="698" t="s">
        <v>433</v>
      </c>
      <c r="E12" s="698" t="s">
        <v>434</v>
      </c>
      <c r="F12" s="699" t="s">
        <v>435</v>
      </c>
      <c r="G12" s="699" t="s">
        <v>436</v>
      </c>
      <c r="H12" s="698"/>
      <c r="I12" s="661" t="s">
        <v>437</v>
      </c>
      <c r="J12" s="661" t="s">
        <v>437</v>
      </c>
      <c r="K12" s="700" t="s">
        <v>316</v>
      </c>
      <c r="L12" s="661" t="s">
        <v>438</v>
      </c>
      <c r="M12" s="661" t="s">
        <v>439</v>
      </c>
      <c r="N12" s="700" t="s">
        <v>440</v>
      </c>
      <c r="O12" s="661" t="s">
        <v>441</v>
      </c>
      <c r="P12" s="661" t="s">
        <v>442</v>
      </c>
      <c r="Q12" s="700" t="s">
        <v>443</v>
      </c>
      <c r="R12" s="657"/>
      <c r="S12" s="667">
        <v>0.5</v>
      </c>
      <c r="T12" s="697" t="s">
        <v>309</v>
      </c>
      <c r="U12" s="696" t="s">
        <v>444</v>
      </c>
      <c r="V12" s="658" t="s">
        <v>445</v>
      </c>
      <c r="W12" s="658" t="s">
        <v>446</v>
      </c>
      <c r="X12" s="658" t="s">
        <v>447</v>
      </c>
      <c r="Y12" s="696" t="s">
        <v>444</v>
      </c>
      <c r="Z12" s="667">
        <v>0.1</v>
      </c>
      <c r="AA12" s="21"/>
      <c r="AB12" s="21"/>
    </row>
    <row r="13" spans="2:28" ht="15" customHeight="1" x14ac:dyDescent="0.3">
      <c r="B13" s="21"/>
      <c r="C13" s="524"/>
      <c r="D13" s="524"/>
      <c r="E13" s="701"/>
      <c r="F13" s="702"/>
      <c r="G13" s="702"/>
      <c r="H13" s="524"/>
      <c r="I13" s="703"/>
      <c r="J13" s="703"/>
      <c r="K13" s="704"/>
      <c r="L13" s="703"/>
      <c r="M13" s="703"/>
      <c r="N13" s="704"/>
      <c r="O13" s="703"/>
      <c r="P13" s="703"/>
      <c r="Q13" s="704"/>
      <c r="R13" s="21"/>
      <c r="S13" s="479"/>
      <c r="T13" s="610"/>
      <c r="U13" s="21"/>
      <c r="V13" s="610"/>
      <c r="W13" s="610"/>
      <c r="X13" s="610"/>
      <c r="Y13" s="21"/>
      <c r="Z13" s="479"/>
      <c r="AA13" s="21"/>
      <c r="AB13" s="21"/>
    </row>
    <row r="14" spans="2:28" s="558" customFormat="1" ht="15" customHeight="1" x14ac:dyDescent="0.3">
      <c r="B14" s="366"/>
      <c r="C14" s="30"/>
      <c r="D14" s="30"/>
      <c r="E14" s="30"/>
      <c r="F14" s="30"/>
      <c r="G14" s="30"/>
      <c r="H14" s="30"/>
      <c r="I14" s="30"/>
      <c r="J14" s="30"/>
      <c r="K14" s="30"/>
      <c r="L14" s="30"/>
      <c r="M14" s="30"/>
      <c r="N14" s="30"/>
      <c r="O14" s="30"/>
      <c r="P14" s="30"/>
      <c r="Q14" s="30"/>
      <c r="R14" s="30"/>
      <c r="S14" s="30"/>
      <c r="T14" s="30"/>
      <c r="U14" s="30"/>
      <c r="V14" s="30"/>
      <c r="W14" s="30"/>
      <c r="X14" s="30"/>
      <c r="Y14" s="30"/>
      <c r="Z14" s="30"/>
      <c r="AA14" s="414"/>
      <c r="AB14" s="414"/>
    </row>
    <row r="15" spans="2:28" ht="4" customHeight="1" x14ac:dyDescent="0.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21"/>
      <c r="AB15" s="21"/>
    </row>
    <row r="16" spans="2:28" ht="4" customHeight="1" x14ac:dyDescent="0.3">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row>
    <row r="17" spans="2:26" ht="15" customHeight="1" x14ac:dyDescent="0.3">
      <c r="B17" s="21" t="str">
        <f>+Inputs!B21</f>
        <v>CAN NATL RAILWAY</v>
      </c>
      <c r="C17" s="698" t="s">
        <v>448</v>
      </c>
      <c r="D17" s="698" t="s">
        <v>449</v>
      </c>
      <c r="E17" s="698" t="s">
        <v>450</v>
      </c>
      <c r="F17" s="699" t="s">
        <v>451</v>
      </c>
      <c r="G17" s="699" t="s">
        <v>452</v>
      </c>
      <c r="H17" s="657"/>
      <c r="I17" s="705" t="s">
        <v>358</v>
      </c>
      <c r="J17" s="705" t="s">
        <v>329</v>
      </c>
      <c r="K17" s="706" t="s">
        <v>453</v>
      </c>
      <c r="L17" s="707" t="s">
        <v>454</v>
      </c>
      <c r="M17" s="708" t="s">
        <v>455</v>
      </c>
      <c r="N17" s="709" t="s">
        <v>456</v>
      </c>
      <c r="O17" s="705" t="s">
        <v>457</v>
      </c>
      <c r="P17" s="710" t="s">
        <v>458</v>
      </c>
      <c r="Q17" s="711" t="s">
        <v>459</v>
      </c>
      <c r="R17" s="698"/>
      <c r="S17" s="695">
        <v>0.49</v>
      </c>
      <c r="T17" s="712" t="s">
        <v>305</v>
      </c>
      <c r="U17" s="713" t="s">
        <v>444</v>
      </c>
      <c r="V17" s="659" t="s">
        <v>460</v>
      </c>
      <c r="W17" s="659" t="s">
        <v>442</v>
      </c>
      <c r="X17" s="659" t="s">
        <v>443</v>
      </c>
      <c r="Y17" s="713" t="s">
        <v>444</v>
      </c>
      <c r="Z17" s="674">
        <v>7.0000000000000007E-2</v>
      </c>
    </row>
    <row r="18" spans="2:26" ht="15" customHeight="1" x14ac:dyDescent="0.3">
      <c r="B18" s="21" t="str">
        <f>+Inputs!B22</f>
        <v>CSX CORP</v>
      </c>
      <c r="C18" s="698" t="s">
        <v>461</v>
      </c>
      <c r="D18" s="698" t="s">
        <v>462</v>
      </c>
      <c r="E18" s="698" t="s">
        <v>463</v>
      </c>
      <c r="F18" s="699" t="s">
        <v>464</v>
      </c>
      <c r="G18" s="699" t="s">
        <v>465</v>
      </c>
      <c r="H18" s="657"/>
      <c r="I18" s="659" t="s">
        <v>466</v>
      </c>
      <c r="J18" s="659" t="s">
        <v>289</v>
      </c>
      <c r="K18" s="714" t="s">
        <v>321</v>
      </c>
      <c r="L18" s="659" t="s">
        <v>334</v>
      </c>
      <c r="M18" s="659" t="s">
        <v>334</v>
      </c>
      <c r="N18" s="714" t="s">
        <v>467</v>
      </c>
      <c r="O18" s="715" t="s">
        <v>468</v>
      </c>
      <c r="P18" s="659" t="s">
        <v>458</v>
      </c>
      <c r="Q18" s="714" t="s">
        <v>469</v>
      </c>
      <c r="R18" s="698"/>
      <c r="S18" s="716">
        <v>0.46</v>
      </c>
      <c r="T18" s="661" t="s">
        <v>287</v>
      </c>
      <c r="U18" s="713" t="s">
        <v>444</v>
      </c>
      <c r="V18" s="717" t="s">
        <v>470</v>
      </c>
      <c r="W18" s="718" t="s">
        <v>471</v>
      </c>
      <c r="X18" s="719" t="s">
        <v>472</v>
      </c>
      <c r="Y18" s="713" t="s">
        <v>444</v>
      </c>
      <c r="Z18" s="688">
        <v>0.09</v>
      </c>
    </row>
    <row r="19" spans="2:26" ht="15" customHeight="1" x14ac:dyDescent="0.3">
      <c r="B19" s="21" t="str">
        <f>+Inputs!B23</f>
        <v>CANADIAN PACIFIC</v>
      </c>
      <c r="C19" s="698" t="s">
        <v>473</v>
      </c>
      <c r="D19" s="698" t="s">
        <v>474</v>
      </c>
      <c r="E19" s="698" t="s">
        <v>475</v>
      </c>
      <c r="F19" s="699" t="s">
        <v>476</v>
      </c>
      <c r="G19" s="699" t="s">
        <v>477</v>
      </c>
      <c r="H19" s="657"/>
      <c r="I19" s="661" t="s">
        <v>478</v>
      </c>
      <c r="J19" s="661" t="s">
        <v>479</v>
      </c>
      <c r="K19" s="700" t="s">
        <v>288</v>
      </c>
      <c r="L19" s="661" t="s">
        <v>480</v>
      </c>
      <c r="M19" s="661" t="s">
        <v>481</v>
      </c>
      <c r="N19" s="700" t="s">
        <v>482</v>
      </c>
      <c r="O19" s="661" t="s">
        <v>483</v>
      </c>
      <c r="P19" s="661" t="s">
        <v>470</v>
      </c>
      <c r="Q19" s="700" t="s">
        <v>447</v>
      </c>
      <c r="R19" s="698"/>
      <c r="S19" s="671">
        <v>0.52</v>
      </c>
      <c r="T19" s="720" t="s">
        <v>287</v>
      </c>
      <c r="U19" s="713" t="s">
        <v>444</v>
      </c>
      <c r="V19" s="661" t="s">
        <v>484</v>
      </c>
      <c r="W19" s="721" t="s">
        <v>485</v>
      </c>
      <c r="X19" s="721" t="s">
        <v>486</v>
      </c>
      <c r="Y19" s="713" t="s">
        <v>444</v>
      </c>
      <c r="Z19" s="745">
        <v>0.09</v>
      </c>
    </row>
    <row r="20" spans="2:26" ht="15" customHeight="1" x14ac:dyDescent="0.3">
      <c r="B20" s="21" t="str">
        <f>+Inputs!B24</f>
        <v>NORFOLK SOUTHERN</v>
      </c>
      <c r="C20" s="698" t="s">
        <v>487</v>
      </c>
      <c r="D20" s="698" t="s">
        <v>488</v>
      </c>
      <c r="E20" s="698" t="s">
        <v>489</v>
      </c>
      <c r="F20" s="699" t="s">
        <v>490</v>
      </c>
      <c r="G20" s="699" t="s">
        <v>491</v>
      </c>
      <c r="H20" s="657"/>
      <c r="I20" s="722" t="s">
        <v>453</v>
      </c>
      <c r="J20" s="723" t="s">
        <v>453</v>
      </c>
      <c r="K20" s="724" t="s">
        <v>466</v>
      </c>
      <c r="L20" s="725" t="s">
        <v>492</v>
      </c>
      <c r="M20" s="665" t="s">
        <v>440</v>
      </c>
      <c r="N20" s="726" t="s">
        <v>338</v>
      </c>
      <c r="O20" s="659" t="s">
        <v>493</v>
      </c>
      <c r="P20" s="727" t="s">
        <v>442</v>
      </c>
      <c r="Q20" s="728" t="s">
        <v>494</v>
      </c>
      <c r="R20" s="698"/>
      <c r="S20" s="729">
        <v>0.49</v>
      </c>
      <c r="T20" s="665" t="s">
        <v>308</v>
      </c>
      <c r="U20" s="713" t="s">
        <v>444</v>
      </c>
      <c r="V20" s="730" t="s">
        <v>495</v>
      </c>
      <c r="W20" s="661" t="s">
        <v>496</v>
      </c>
      <c r="X20" s="661" t="s">
        <v>497</v>
      </c>
      <c r="Y20" s="713" t="s">
        <v>444</v>
      </c>
      <c r="Z20" s="671">
        <v>0.09</v>
      </c>
    </row>
    <row r="21" spans="2:26" ht="15" customHeight="1" x14ac:dyDescent="0.3">
      <c r="B21" s="21" t="str">
        <f>+Inputs!B25</f>
        <v>BNSF RAILWAY CO</v>
      </c>
      <c r="C21" s="698" t="s">
        <v>498</v>
      </c>
      <c r="D21" s="698" t="s">
        <v>499</v>
      </c>
      <c r="E21" s="698" t="s">
        <v>245</v>
      </c>
      <c r="F21" s="699" t="s">
        <v>406</v>
      </c>
      <c r="G21" s="699" t="s">
        <v>406</v>
      </c>
      <c r="H21" s="21"/>
      <c r="I21" s="703" t="s">
        <v>245</v>
      </c>
      <c r="J21" s="703" t="s">
        <v>245</v>
      </c>
      <c r="K21" s="746" t="s">
        <v>245</v>
      </c>
      <c r="L21" s="703" t="s">
        <v>245</v>
      </c>
      <c r="M21" s="703" t="s">
        <v>245</v>
      </c>
      <c r="N21" s="746" t="s">
        <v>245</v>
      </c>
      <c r="O21" s="703" t="s">
        <v>245</v>
      </c>
      <c r="P21" s="703" t="s">
        <v>245</v>
      </c>
      <c r="Q21" s="746" t="s">
        <v>245</v>
      </c>
      <c r="R21" s="524"/>
      <c r="S21" s="674">
        <v>0.45</v>
      </c>
      <c r="T21" s="659" t="s">
        <v>307</v>
      </c>
      <c r="U21" s="747"/>
      <c r="V21" s="703" t="s">
        <v>245</v>
      </c>
      <c r="W21" s="703" t="s">
        <v>245</v>
      </c>
      <c r="X21" s="703" t="s">
        <v>245</v>
      </c>
      <c r="Y21" s="747"/>
      <c r="Z21" s="570" t="s">
        <v>245</v>
      </c>
    </row>
    <row r="22" spans="2:26" ht="15" customHeight="1" x14ac:dyDescent="0.3">
      <c r="B22" s="21"/>
      <c r="C22" s="21"/>
      <c r="D22" s="21"/>
      <c r="E22" s="21"/>
      <c r="F22" s="21"/>
      <c r="G22" s="21"/>
      <c r="H22" s="21"/>
      <c r="I22" s="524"/>
      <c r="J22" s="524"/>
      <c r="K22" s="747"/>
      <c r="L22" s="524"/>
      <c r="M22" s="524"/>
      <c r="N22" s="747"/>
      <c r="O22" s="524"/>
      <c r="P22" s="524"/>
      <c r="Q22" s="747"/>
      <c r="R22" s="524"/>
      <c r="S22" s="524"/>
      <c r="T22" s="524"/>
      <c r="U22" s="747"/>
      <c r="V22" s="524"/>
      <c r="W22" s="524"/>
      <c r="X22" s="524"/>
      <c r="Y22" s="747"/>
      <c r="Z22" s="524" t="s">
        <v>245</v>
      </c>
    </row>
    <row r="23" spans="2:26" ht="15" customHeight="1" x14ac:dyDescent="0.3">
      <c r="B23" s="611" t="s">
        <v>500</v>
      </c>
      <c r="C23" s="612"/>
      <c r="D23" s="612"/>
      <c r="E23" s="612"/>
      <c r="F23" s="612"/>
      <c r="G23" s="612"/>
      <c r="H23" s="612"/>
      <c r="I23" s="748" t="s">
        <v>316</v>
      </c>
      <c r="J23" s="748" t="s">
        <v>364</v>
      </c>
      <c r="K23" s="748" t="s">
        <v>501</v>
      </c>
      <c r="L23" s="748" t="s">
        <v>502</v>
      </c>
      <c r="M23" s="748" t="s">
        <v>503</v>
      </c>
      <c r="N23" s="748" t="s">
        <v>334</v>
      </c>
      <c r="O23" s="748" t="s">
        <v>504</v>
      </c>
      <c r="P23" s="748" t="s">
        <v>505</v>
      </c>
      <c r="Q23" s="748" t="s">
        <v>506</v>
      </c>
      <c r="R23" s="749" t="s">
        <v>444</v>
      </c>
      <c r="S23" s="748" t="s">
        <v>507</v>
      </c>
      <c r="T23" s="748" t="s">
        <v>367</v>
      </c>
      <c r="U23" s="750" t="s">
        <v>444</v>
      </c>
      <c r="V23" s="748" t="s">
        <v>471</v>
      </c>
      <c r="W23" s="748" t="s">
        <v>471</v>
      </c>
      <c r="X23" s="748" t="s">
        <v>508</v>
      </c>
      <c r="Y23" s="750" t="s">
        <v>444</v>
      </c>
      <c r="Z23" s="748" t="s">
        <v>509</v>
      </c>
    </row>
    <row r="24" spans="2:26" ht="15" customHeight="1" x14ac:dyDescent="0.3">
      <c r="B24" s="613" t="s">
        <v>510</v>
      </c>
      <c r="C24" s="614"/>
      <c r="D24" s="614"/>
      <c r="E24" s="614"/>
      <c r="F24" s="614"/>
      <c r="G24" s="614"/>
      <c r="H24" s="614"/>
      <c r="I24" s="751" t="s">
        <v>501</v>
      </c>
      <c r="J24" s="751" t="s">
        <v>511</v>
      </c>
      <c r="K24" s="751" t="s">
        <v>512</v>
      </c>
      <c r="L24" s="751" t="s">
        <v>440</v>
      </c>
      <c r="M24" s="751" t="s">
        <v>440</v>
      </c>
      <c r="N24" s="751" t="s">
        <v>456</v>
      </c>
      <c r="O24" s="751" t="s">
        <v>513</v>
      </c>
      <c r="P24" s="751" t="s">
        <v>513</v>
      </c>
      <c r="Q24" s="751" t="s">
        <v>481</v>
      </c>
      <c r="R24" s="751" t="s">
        <v>444</v>
      </c>
      <c r="S24" s="751" t="s">
        <v>514</v>
      </c>
      <c r="T24" s="751" t="s">
        <v>308</v>
      </c>
      <c r="U24" s="752" t="s">
        <v>444</v>
      </c>
      <c r="V24" s="751" t="s">
        <v>515</v>
      </c>
      <c r="W24" s="751" t="s">
        <v>515</v>
      </c>
      <c r="X24" s="751" t="s">
        <v>516</v>
      </c>
      <c r="Y24" s="752" t="s">
        <v>444</v>
      </c>
      <c r="Z24" s="751" t="s">
        <v>517</v>
      </c>
    </row>
    <row r="26" spans="2:26" s="558" customFormat="1" ht="15" customHeight="1" x14ac:dyDescent="0.3">
      <c r="B26" s="366"/>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2:26" ht="4" customHeight="1" x14ac:dyDescent="0.3">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4" customHeight="1" x14ac:dyDescent="0.3">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2:26" ht="15" customHeight="1" x14ac:dyDescent="0.3">
      <c r="B29" s="21" t="str">
        <f>+Inputs!H21</f>
        <v>BOEING CO/THE</v>
      </c>
      <c r="C29" s="657" t="s">
        <v>518</v>
      </c>
      <c r="D29" s="657" t="s">
        <v>519</v>
      </c>
      <c r="E29" s="657" t="s">
        <v>520</v>
      </c>
      <c r="F29" s="1011" t="s">
        <v>521</v>
      </c>
      <c r="G29" s="1011" t="s">
        <v>522</v>
      </c>
      <c r="H29" s="657"/>
      <c r="I29" s="1012" t="s">
        <v>279</v>
      </c>
      <c r="J29" s="1013" t="s">
        <v>367</v>
      </c>
      <c r="K29" s="1014" t="s">
        <v>523</v>
      </c>
      <c r="L29" s="1015" t="s">
        <v>524</v>
      </c>
      <c r="M29" s="661" t="s">
        <v>525</v>
      </c>
      <c r="N29" s="700" t="s">
        <v>526</v>
      </c>
      <c r="O29" s="1015" t="s">
        <v>527</v>
      </c>
      <c r="P29" s="661" t="s">
        <v>528</v>
      </c>
      <c r="Q29" s="700" t="s">
        <v>529</v>
      </c>
      <c r="R29" s="698"/>
      <c r="S29" s="674">
        <v>-0.11</v>
      </c>
      <c r="T29" s="698" t="s">
        <v>406</v>
      </c>
      <c r="U29" s="713" t="s">
        <v>444</v>
      </c>
      <c r="V29" s="1015" t="s">
        <v>530</v>
      </c>
      <c r="W29" s="1015" t="s">
        <v>531</v>
      </c>
      <c r="X29" s="661" t="s">
        <v>532</v>
      </c>
      <c r="Y29" s="713" t="s">
        <v>444</v>
      </c>
      <c r="Z29" s="674">
        <v>-2.75</v>
      </c>
    </row>
    <row r="30" spans="2:26" ht="15" customHeight="1" x14ac:dyDescent="0.3">
      <c r="B30" s="21" t="str">
        <f>+Inputs!H22</f>
        <v>LOCKHEED MARTIN</v>
      </c>
      <c r="C30" s="657" t="s">
        <v>533</v>
      </c>
      <c r="D30" s="657" t="s">
        <v>534</v>
      </c>
      <c r="E30" s="657" t="s">
        <v>535</v>
      </c>
      <c r="F30" s="1011" t="s">
        <v>536</v>
      </c>
      <c r="G30" s="1011" t="s">
        <v>537</v>
      </c>
      <c r="H30" s="657"/>
      <c r="I30" s="1016" t="s">
        <v>311</v>
      </c>
      <c r="J30" s="1017" t="s">
        <v>311</v>
      </c>
      <c r="K30" s="714" t="s">
        <v>310</v>
      </c>
      <c r="L30" s="1009" t="s">
        <v>438</v>
      </c>
      <c r="M30" s="1018" t="s">
        <v>538</v>
      </c>
      <c r="N30" s="1019" t="s">
        <v>539</v>
      </c>
      <c r="O30" s="1009" t="s">
        <v>442</v>
      </c>
      <c r="P30" s="1013" t="s">
        <v>513</v>
      </c>
      <c r="Q30" s="714" t="s">
        <v>538</v>
      </c>
      <c r="R30" s="698"/>
      <c r="S30" s="1020">
        <v>0.13</v>
      </c>
      <c r="T30" s="1021" t="s">
        <v>309</v>
      </c>
      <c r="U30" s="713" t="s">
        <v>444</v>
      </c>
      <c r="V30" s="1022" t="s">
        <v>483</v>
      </c>
      <c r="W30" s="727" t="s">
        <v>540</v>
      </c>
      <c r="X30" s="725" t="s">
        <v>457</v>
      </c>
      <c r="Y30" s="713" t="s">
        <v>444</v>
      </c>
      <c r="Z30" s="1023">
        <v>0.12</v>
      </c>
    </row>
    <row r="31" spans="2:26" ht="15" customHeight="1" x14ac:dyDescent="0.3">
      <c r="B31" s="21" t="str">
        <f>+Inputs!H23</f>
        <v>NORTHROP GRUMMAN</v>
      </c>
      <c r="C31" s="657" t="s">
        <v>541</v>
      </c>
      <c r="D31" s="657" t="s">
        <v>542</v>
      </c>
      <c r="E31" s="657" t="s">
        <v>543</v>
      </c>
      <c r="F31" s="1011" t="s">
        <v>544</v>
      </c>
      <c r="G31" s="1011" t="s">
        <v>545</v>
      </c>
      <c r="H31" s="657"/>
      <c r="I31" s="1024" t="s">
        <v>276</v>
      </c>
      <c r="J31" s="1025" t="s">
        <v>546</v>
      </c>
      <c r="K31" s="1026" t="s">
        <v>523</v>
      </c>
      <c r="L31" s="1027" t="s">
        <v>493</v>
      </c>
      <c r="M31" s="1028" t="s">
        <v>547</v>
      </c>
      <c r="N31" s="1029" t="s">
        <v>538</v>
      </c>
      <c r="O31" s="1030" t="s">
        <v>495</v>
      </c>
      <c r="P31" s="665" t="s">
        <v>548</v>
      </c>
      <c r="Q31" s="728" t="s">
        <v>549</v>
      </c>
      <c r="R31" s="698"/>
      <c r="S31" s="973">
        <v>0.13</v>
      </c>
      <c r="T31" s="1031" t="s">
        <v>286</v>
      </c>
      <c r="U31" s="713" t="s">
        <v>444</v>
      </c>
      <c r="V31" s="857" t="s">
        <v>550</v>
      </c>
      <c r="W31" s="1032" t="s">
        <v>551</v>
      </c>
      <c r="X31" s="665" t="s">
        <v>552</v>
      </c>
      <c r="Y31" s="713" t="s">
        <v>444</v>
      </c>
      <c r="Z31" s="812">
        <v>0.08</v>
      </c>
    </row>
    <row r="32" spans="2:26" ht="15" customHeight="1" x14ac:dyDescent="0.3">
      <c r="B32" s="21" t="str">
        <f>+Inputs!H24</f>
        <v>GENERAL DYNAMICS</v>
      </c>
      <c r="C32" s="657" t="s">
        <v>553</v>
      </c>
      <c r="D32" s="657" t="s">
        <v>554</v>
      </c>
      <c r="E32" s="657" t="s">
        <v>555</v>
      </c>
      <c r="F32" s="1011" t="s">
        <v>556</v>
      </c>
      <c r="G32" s="1011" t="s">
        <v>557</v>
      </c>
      <c r="H32" s="657"/>
      <c r="I32" s="659" t="s">
        <v>558</v>
      </c>
      <c r="J32" s="659" t="s">
        <v>558</v>
      </c>
      <c r="K32" s="714" t="s">
        <v>310</v>
      </c>
      <c r="L32" s="727" t="s">
        <v>559</v>
      </c>
      <c r="M32" s="1033" t="s">
        <v>482</v>
      </c>
      <c r="N32" s="1034" t="s">
        <v>560</v>
      </c>
      <c r="O32" s="1009" t="s">
        <v>561</v>
      </c>
      <c r="P32" s="1035" t="s">
        <v>562</v>
      </c>
      <c r="Q32" s="1036" t="s">
        <v>337</v>
      </c>
      <c r="R32" s="698"/>
      <c r="S32" s="1037">
        <v>0.12</v>
      </c>
      <c r="T32" s="1038" t="s">
        <v>558</v>
      </c>
      <c r="U32" s="713" t="s">
        <v>444</v>
      </c>
      <c r="V32" s="1009" t="s">
        <v>563</v>
      </c>
      <c r="W32" s="1009" t="s">
        <v>564</v>
      </c>
      <c r="X32" s="1039" t="s">
        <v>565</v>
      </c>
      <c r="Y32" s="713" t="s">
        <v>444</v>
      </c>
      <c r="Z32" s="812">
        <v>0.08</v>
      </c>
    </row>
    <row r="33" spans="2:26" ht="15" customHeight="1" x14ac:dyDescent="0.3">
      <c r="B33" s="21" t="str">
        <f>+Inputs!H25</f>
        <v>3M CO</v>
      </c>
      <c r="C33" s="657" t="s">
        <v>566</v>
      </c>
      <c r="D33" s="657" t="s">
        <v>567</v>
      </c>
      <c r="E33" s="657" t="s">
        <v>568</v>
      </c>
      <c r="F33" s="1011" t="s">
        <v>569</v>
      </c>
      <c r="G33" s="1011" t="s">
        <v>570</v>
      </c>
      <c r="H33" s="657"/>
      <c r="I33" s="1040" t="s">
        <v>336</v>
      </c>
      <c r="J33" s="1041" t="s">
        <v>571</v>
      </c>
      <c r="K33" s="1042" t="s">
        <v>320</v>
      </c>
      <c r="L33" s="1043" t="s">
        <v>455</v>
      </c>
      <c r="M33" s="1044" t="s">
        <v>439</v>
      </c>
      <c r="N33" s="1045" t="s">
        <v>455</v>
      </c>
      <c r="O33" s="708" t="s">
        <v>337</v>
      </c>
      <c r="P33" s="659" t="s">
        <v>493</v>
      </c>
      <c r="Q33" s="1046" t="s">
        <v>572</v>
      </c>
      <c r="R33" s="698"/>
      <c r="S33" s="695">
        <v>0.28999999999999998</v>
      </c>
      <c r="T33" s="719" t="s">
        <v>367</v>
      </c>
      <c r="U33" s="713" t="s">
        <v>444</v>
      </c>
      <c r="V33" s="1047" t="s">
        <v>460</v>
      </c>
      <c r="W33" s="1022" t="s">
        <v>446</v>
      </c>
      <c r="X33" s="1048" t="s">
        <v>573</v>
      </c>
      <c r="Y33" s="713" t="s">
        <v>444</v>
      </c>
      <c r="Z33" s="812">
        <v>7.0000000000000007E-2</v>
      </c>
    </row>
    <row r="34" spans="2:26" ht="15" customHeight="1" x14ac:dyDescent="0.3">
      <c r="B34" s="21"/>
      <c r="C34" s="21"/>
      <c r="D34" s="21"/>
      <c r="E34" s="21"/>
      <c r="F34" s="21"/>
      <c r="G34" s="21"/>
      <c r="H34" s="21"/>
      <c r="I34" s="524"/>
      <c r="J34" s="524"/>
      <c r="K34" s="747"/>
      <c r="L34" s="524"/>
      <c r="M34" s="524"/>
      <c r="N34" s="747"/>
      <c r="O34" s="524"/>
      <c r="P34" s="524"/>
      <c r="Q34" s="747"/>
      <c r="R34" s="524"/>
      <c r="S34" s="524"/>
      <c r="T34" s="524"/>
      <c r="U34" s="747"/>
      <c r="V34" s="524"/>
      <c r="W34" s="524"/>
      <c r="X34" s="524"/>
      <c r="Y34" s="747"/>
      <c r="Z34" s="524"/>
    </row>
    <row r="35" spans="2:26" ht="15" customHeight="1" x14ac:dyDescent="0.3">
      <c r="B35" s="611" t="s">
        <v>500</v>
      </c>
      <c r="C35" s="612"/>
      <c r="D35" s="612"/>
      <c r="E35" s="612"/>
      <c r="F35" s="612"/>
      <c r="G35" s="612"/>
      <c r="H35" s="612"/>
      <c r="I35" s="748" t="s">
        <v>574</v>
      </c>
      <c r="J35" s="748" t="s">
        <v>367</v>
      </c>
      <c r="K35" s="1049" t="s">
        <v>276</v>
      </c>
      <c r="L35" s="748" t="s">
        <v>282</v>
      </c>
      <c r="M35" s="748" t="s">
        <v>550</v>
      </c>
      <c r="N35" s="1049" t="s">
        <v>459</v>
      </c>
      <c r="O35" s="748" t="s">
        <v>575</v>
      </c>
      <c r="P35" s="748" t="s">
        <v>576</v>
      </c>
      <c r="Q35" s="1049" t="s">
        <v>577</v>
      </c>
      <c r="R35" s="749" t="s">
        <v>444</v>
      </c>
      <c r="S35" s="748" t="s">
        <v>578</v>
      </c>
      <c r="T35" s="748" t="s">
        <v>305</v>
      </c>
      <c r="U35" s="750" t="s">
        <v>444</v>
      </c>
      <c r="V35" s="748" t="s">
        <v>482</v>
      </c>
      <c r="W35" s="1050" t="s">
        <v>579</v>
      </c>
      <c r="X35" s="748" t="s">
        <v>580</v>
      </c>
      <c r="Y35" s="750" t="s">
        <v>444</v>
      </c>
      <c r="Z35" s="1050" t="s">
        <v>581</v>
      </c>
    </row>
    <row r="36" spans="2:26" ht="15" customHeight="1" x14ac:dyDescent="0.3">
      <c r="B36" s="613" t="s">
        <v>510</v>
      </c>
      <c r="C36" s="614"/>
      <c r="D36" s="614"/>
      <c r="E36" s="614"/>
      <c r="F36" s="614"/>
      <c r="G36" s="614"/>
      <c r="H36" s="614"/>
      <c r="I36" s="751" t="s">
        <v>276</v>
      </c>
      <c r="J36" s="751" t="s">
        <v>546</v>
      </c>
      <c r="K36" s="1051" t="s">
        <v>523</v>
      </c>
      <c r="L36" s="751" t="s">
        <v>438</v>
      </c>
      <c r="M36" s="751" t="s">
        <v>482</v>
      </c>
      <c r="N36" s="1051" t="s">
        <v>560</v>
      </c>
      <c r="O36" s="751" t="s">
        <v>442</v>
      </c>
      <c r="P36" s="751" t="s">
        <v>513</v>
      </c>
      <c r="Q36" s="1051" t="s">
        <v>572</v>
      </c>
      <c r="R36" s="755" t="s">
        <v>444</v>
      </c>
      <c r="S36" s="751" t="s">
        <v>582</v>
      </c>
      <c r="T36" s="751" t="s">
        <v>279</v>
      </c>
      <c r="U36" s="752" t="s">
        <v>444</v>
      </c>
      <c r="V36" s="751" t="s">
        <v>483</v>
      </c>
      <c r="W36" s="751" t="s">
        <v>564</v>
      </c>
      <c r="X36" s="751" t="s">
        <v>565</v>
      </c>
      <c r="Y36" s="752" t="s">
        <v>444</v>
      </c>
      <c r="Z36" s="751" t="s">
        <v>583</v>
      </c>
    </row>
    <row r="38" spans="2:26" s="558" customFormat="1" ht="15" customHeight="1" x14ac:dyDescent="0.3">
      <c r="B38" s="366"/>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2:26" ht="4" customHeight="1" x14ac:dyDescent="0.3">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2:26" ht="4" customHeight="1" x14ac:dyDescent="0.3">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2:26" ht="15" customHeight="1" x14ac:dyDescent="0.3">
      <c r="B41" s="21" t="str">
        <f>+Inputs!N21</f>
        <v>DEERE &amp; CO</v>
      </c>
      <c r="C41" s="657" t="s">
        <v>584</v>
      </c>
      <c r="D41" s="657" t="s">
        <v>585</v>
      </c>
      <c r="E41" s="657" t="s">
        <v>586</v>
      </c>
      <c r="F41" s="1011" t="s">
        <v>587</v>
      </c>
      <c r="G41" s="1011" t="s">
        <v>588</v>
      </c>
      <c r="H41" s="657"/>
      <c r="I41" s="1018" t="s">
        <v>369</v>
      </c>
      <c r="J41" s="1052" t="s">
        <v>336</v>
      </c>
      <c r="K41" s="1053" t="s">
        <v>313</v>
      </c>
      <c r="L41" s="1054" t="s">
        <v>589</v>
      </c>
      <c r="M41" s="1055" t="s">
        <v>470</v>
      </c>
      <c r="N41" s="1056" t="s">
        <v>590</v>
      </c>
      <c r="O41" s="1057" t="s">
        <v>591</v>
      </c>
      <c r="P41" s="1021" t="s">
        <v>592</v>
      </c>
      <c r="Q41" s="1058" t="s">
        <v>563</v>
      </c>
      <c r="R41" s="698"/>
      <c r="S41" s="813">
        <v>0.27</v>
      </c>
      <c r="T41" s="661" t="s">
        <v>289</v>
      </c>
      <c r="U41" s="713" t="s">
        <v>444</v>
      </c>
      <c r="V41" s="1059" t="s">
        <v>593</v>
      </c>
      <c r="W41" s="1060" t="s">
        <v>594</v>
      </c>
      <c r="X41" s="1061" t="s">
        <v>496</v>
      </c>
      <c r="Y41" s="713" t="s">
        <v>444</v>
      </c>
      <c r="Z41" s="671">
        <v>0.18</v>
      </c>
    </row>
    <row r="42" spans="2:26" ht="15" customHeight="1" x14ac:dyDescent="0.3">
      <c r="B42" s="21" t="str">
        <f>+Inputs!N22</f>
        <v>ILLINOIS TOOL WO</v>
      </c>
      <c r="C42" s="657" t="s">
        <v>595</v>
      </c>
      <c r="D42" s="657" t="s">
        <v>596</v>
      </c>
      <c r="E42" s="657" t="s">
        <v>597</v>
      </c>
      <c r="F42" s="1011" t="s">
        <v>598</v>
      </c>
      <c r="G42" s="1011" t="s">
        <v>599</v>
      </c>
      <c r="H42" s="657"/>
      <c r="I42" s="707" t="s">
        <v>600</v>
      </c>
      <c r="J42" s="1062" t="s">
        <v>330</v>
      </c>
      <c r="K42" s="1058" t="s">
        <v>360</v>
      </c>
      <c r="L42" s="1063" t="s">
        <v>601</v>
      </c>
      <c r="M42" s="727" t="s">
        <v>602</v>
      </c>
      <c r="N42" s="1064" t="s">
        <v>468</v>
      </c>
      <c r="O42" s="1065" t="s">
        <v>548</v>
      </c>
      <c r="P42" s="665" t="s">
        <v>603</v>
      </c>
      <c r="Q42" s="728" t="s">
        <v>549</v>
      </c>
      <c r="R42" s="698"/>
      <c r="S42" s="812">
        <v>0.28999999999999998</v>
      </c>
      <c r="T42" s="1066" t="s">
        <v>523</v>
      </c>
      <c r="U42" s="713" t="s">
        <v>444</v>
      </c>
      <c r="V42" s="1031" t="s">
        <v>604</v>
      </c>
      <c r="W42" s="1067" t="s">
        <v>605</v>
      </c>
      <c r="X42" s="705" t="s">
        <v>606</v>
      </c>
      <c r="Y42" s="713" t="s">
        <v>444</v>
      </c>
      <c r="Z42" s="812">
        <v>0.06</v>
      </c>
    </row>
    <row r="43" spans="2:26" ht="15" customHeight="1" x14ac:dyDescent="0.3">
      <c r="B43" s="21" t="str">
        <f>+Inputs!N23</f>
        <v>HONEYWELL INTL</v>
      </c>
      <c r="C43" s="657" t="s">
        <v>607</v>
      </c>
      <c r="D43" s="657" t="s">
        <v>608</v>
      </c>
      <c r="E43" s="657" t="s">
        <v>609</v>
      </c>
      <c r="F43" s="1011" t="s">
        <v>610</v>
      </c>
      <c r="G43" s="1011" t="s">
        <v>611</v>
      </c>
      <c r="H43" s="657"/>
      <c r="I43" s="712" t="s">
        <v>612</v>
      </c>
      <c r="J43" s="1068" t="s">
        <v>323</v>
      </c>
      <c r="K43" s="1069" t="s">
        <v>362</v>
      </c>
      <c r="L43" s="1070" t="s">
        <v>472</v>
      </c>
      <c r="M43" s="1021" t="s">
        <v>562</v>
      </c>
      <c r="N43" s="1071" t="s">
        <v>480</v>
      </c>
      <c r="O43" s="1072" t="s">
        <v>613</v>
      </c>
      <c r="P43" s="1073" t="s">
        <v>614</v>
      </c>
      <c r="Q43" s="1074" t="s">
        <v>602</v>
      </c>
      <c r="R43" s="698"/>
      <c r="S43" s="929">
        <v>0.24</v>
      </c>
      <c r="T43" s="1075" t="s">
        <v>362</v>
      </c>
      <c r="U43" s="713" t="s">
        <v>444</v>
      </c>
      <c r="V43" s="1076" t="s">
        <v>564</v>
      </c>
      <c r="W43" s="1022" t="s">
        <v>445</v>
      </c>
      <c r="X43" s="1077" t="s">
        <v>615</v>
      </c>
      <c r="Y43" s="713" t="s">
        <v>444</v>
      </c>
      <c r="Z43" s="812">
        <v>7.0000000000000007E-2</v>
      </c>
    </row>
    <row r="44" spans="2:26" ht="15" customHeight="1" x14ac:dyDescent="0.3">
      <c r="B44" s="21" t="str">
        <f>+Inputs!N24</f>
        <v>AUTOMATIC DATA</v>
      </c>
      <c r="C44" s="657" t="s">
        <v>616</v>
      </c>
      <c r="D44" s="657" t="s">
        <v>617</v>
      </c>
      <c r="E44" s="657" t="s">
        <v>618</v>
      </c>
      <c r="F44" s="1011" t="s">
        <v>619</v>
      </c>
      <c r="G44" s="1011" t="s">
        <v>620</v>
      </c>
      <c r="H44" s="657"/>
      <c r="I44" s="1027" t="s">
        <v>512</v>
      </c>
      <c r="J44" s="1078" t="s">
        <v>512</v>
      </c>
      <c r="K44" s="1079" t="s">
        <v>289</v>
      </c>
      <c r="L44" s="661" t="s">
        <v>621</v>
      </c>
      <c r="M44" s="872" t="s">
        <v>622</v>
      </c>
      <c r="N44" s="1080" t="s">
        <v>565</v>
      </c>
      <c r="O44" s="1081" t="s">
        <v>623</v>
      </c>
      <c r="P44" s="1021" t="s">
        <v>624</v>
      </c>
      <c r="Q44" s="1082" t="s">
        <v>497</v>
      </c>
      <c r="R44" s="698"/>
      <c r="S44" s="673">
        <v>0.3</v>
      </c>
      <c r="T44" s="1083" t="s">
        <v>275</v>
      </c>
      <c r="U44" s="713" t="s">
        <v>444</v>
      </c>
      <c r="V44" s="1084" t="s">
        <v>625</v>
      </c>
      <c r="W44" s="661" t="s">
        <v>625</v>
      </c>
      <c r="X44" s="1085" t="s">
        <v>626</v>
      </c>
      <c r="Y44" s="713" t="s">
        <v>444</v>
      </c>
      <c r="Z44" s="695">
        <v>0.08</v>
      </c>
    </row>
    <row r="45" spans="2:26" ht="15" customHeight="1" x14ac:dyDescent="0.3">
      <c r="B45" s="21" t="str">
        <f>+Inputs!N25</f>
        <v>WASTE MANAGEMENT</v>
      </c>
      <c r="C45" s="657" t="s">
        <v>627</v>
      </c>
      <c r="D45" s="657" t="s">
        <v>628</v>
      </c>
      <c r="E45" s="657" t="s">
        <v>629</v>
      </c>
      <c r="F45" s="1011" t="s">
        <v>630</v>
      </c>
      <c r="G45" s="1011" t="s">
        <v>631</v>
      </c>
      <c r="H45" s="657"/>
      <c r="I45" s="1086" t="s">
        <v>360</v>
      </c>
      <c r="J45" s="1087" t="s">
        <v>632</v>
      </c>
      <c r="K45" s="728" t="s">
        <v>323</v>
      </c>
      <c r="L45" s="1088" t="s">
        <v>562</v>
      </c>
      <c r="M45" s="665" t="s">
        <v>481</v>
      </c>
      <c r="N45" s="728" t="s">
        <v>633</v>
      </c>
      <c r="O45" s="661" t="s">
        <v>634</v>
      </c>
      <c r="P45" s="1021" t="s">
        <v>635</v>
      </c>
      <c r="Q45" s="1089" t="s">
        <v>613</v>
      </c>
      <c r="R45" s="698"/>
      <c r="S45" s="695">
        <v>0.28999999999999998</v>
      </c>
      <c r="T45" s="1059" t="s">
        <v>313</v>
      </c>
      <c r="U45" s="713" t="s">
        <v>444</v>
      </c>
      <c r="V45" s="661" t="s">
        <v>636</v>
      </c>
      <c r="W45" s="1090" t="s">
        <v>625</v>
      </c>
      <c r="X45" s="707" t="s">
        <v>637</v>
      </c>
      <c r="Y45" s="713" t="s">
        <v>444</v>
      </c>
      <c r="Z45" s="1091">
        <v>0.12</v>
      </c>
    </row>
    <row r="46" spans="2:26" ht="15" customHeight="1" x14ac:dyDescent="0.3">
      <c r="B46" s="21"/>
      <c r="C46" s="21"/>
      <c r="D46" s="21"/>
      <c r="E46" s="21"/>
      <c r="F46" s="21"/>
      <c r="G46" s="21"/>
      <c r="H46" s="21"/>
      <c r="I46" s="524"/>
      <c r="J46" s="524"/>
      <c r="K46" s="753"/>
      <c r="L46" s="524"/>
      <c r="M46" s="524"/>
      <c r="N46" s="747"/>
      <c r="O46" s="524"/>
      <c r="P46" s="524"/>
      <c r="Q46" s="747"/>
      <c r="R46" s="524"/>
      <c r="S46" s="524"/>
      <c r="T46" s="524"/>
      <c r="U46" s="747"/>
      <c r="V46" s="524"/>
      <c r="W46" s="524"/>
      <c r="X46" s="524"/>
      <c r="Y46" s="747"/>
      <c r="Z46" s="524"/>
    </row>
    <row r="47" spans="2:26" ht="15" customHeight="1" x14ac:dyDescent="0.3">
      <c r="B47" s="611" t="s">
        <v>500</v>
      </c>
      <c r="C47" s="612"/>
      <c r="D47" s="612"/>
      <c r="E47" s="612"/>
      <c r="F47" s="612"/>
      <c r="G47" s="612"/>
      <c r="H47" s="612"/>
      <c r="I47" s="748" t="s">
        <v>361</v>
      </c>
      <c r="J47" s="748" t="s">
        <v>638</v>
      </c>
      <c r="K47" s="1049" t="s">
        <v>639</v>
      </c>
      <c r="L47" s="748" t="s">
        <v>561</v>
      </c>
      <c r="M47" s="748" t="s">
        <v>447</v>
      </c>
      <c r="N47" s="1049" t="s">
        <v>562</v>
      </c>
      <c r="O47" s="748" t="s">
        <v>497</v>
      </c>
      <c r="P47" s="748" t="s">
        <v>640</v>
      </c>
      <c r="Q47" s="1049" t="s">
        <v>577</v>
      </c>
      <c r="R47" s="749" t="s">
        <v>444</v>
      </c>
      <c r="S47" s="748" t="s">
        <v>641</v>
      </c>
      <c r="T47" s="748" t="s">
        <v>369</v>
      </c>
      <c r="U47" s="750" t="s">
        <v>444</v>
      </c>
      <c r="V47" s="748" t="s">
        <v>642</v>
      </c>
      <c r="W47" s="748" t="s">
        <v>642</v>
      </c>
      <c r="X47" s="748" t="s">
        <v>643</v>
      </c>
      <c r="Y47" s="750" t="s">
        <v>444</v>
      </c>
      <c r="Z47" s="754">
        <v>0.1</v>
      </c>
    </row>
    <row r="48" spans="2:26" ht="15" customHeight="1" x14ac:dyDescent="0.3">
      <c r="B48" s="613" t="s">
        <v>510</v>
      </c>
      <c r="C48" s="614"/>
      <c r="D48" s="614"/>
      <c r="E48" s="614"/>
      <c r="F48" s="614"/>
      <c r="G48" s="614"/>
      <c r="H48" s="614"/>
      <c r="I48" s="751" t="s">
        <v>360</v>
      </c>
      <c r="J48" s="751" t="s">
        <v>632</v>
      </c>
      <c r="K48" s="1051" t="s">
        <v>323</v>
      </c>
      <c r="L48" s="751" t="s">
        <v>601</v>
      </c>
      <c r="M48" s="751" t="s">
        <v>602</v>
      </c>
      <c r="N48" s="1051" t="s">
        <v>468</v>
      </c>
      <c r="O48" s="751" t="s">
        <v>613</v>
      </c>
      <c r="P48" s="751" t="s">
        <v>624</v>
      </c>
      <c r="Q48" s="1051" t="s">
        <v>497</v>
      </c>
      <c r="R48" s="755" t="s">
        <v>444</v>
      </c>
      <c r="S48" s="751" t="s">
        <v>644</v>
      </c>
      <c r="T48" s="751" t="s">
        <v>313</v>
      </c>
      <c r="U48" s="752" t="s">
        <v>444</v>
      </c>
      <c r="V48" s="751" t="s">
        <v>593</v>
      </c>
      <c r="W48" s="751" t="s">
        <v>594</v>
      </c>
      <c r="X48" s="751" t="s">
        <v>606</v>
      </c>
      <c r="Y48" s="752" t="s">
        <v>444</v>
      </c>
      <c r="Z48" s="756">
        <v>0.08</v>
      </c>
    </row>
    <row r="49" spans="2:26" ht="15" customHeight="1" x14ac:dyDescent="0.3">
      <c r="B49" s="21"/>
      <c r="C49" s="21"/>
      <c r="D49" s="21"/>
      <c r="E49" s="21"/>
      <c r="F49" s="21"/>
      <c r="G49" s="21"/>
      <c r="H49" s="21"/>
      <c r="I49" s="21"/>
      <c r="J49" s="615"/>
      <c r="K49" s="21"/>
      <c r="L49" s="21"/>
      <c r="M49" s="21"/>
      <c r="N49" s="21"/>
      <c r="O49" s="21"/>
      <c r="P49" s="21"/>
      <c r="Q49" s="21"/>
      <c r="R49" s="21"/>
      <c r="S49" s="21"/>
      <c r="T49" s="21"/>
      <c r="U49" s="21"/>
      <c r="V49" s="21"/>
      <c r="W49" s="21"/>
      <c r="X49" s="21"/>
      <c r="Y49" s="21"/>
      <c r="Z49" s="21"/>
    </row>
    <row r="50" spans="2:26" s="558" customFormat="1" ht="15" customHeight="1" x14ac:dyDescent="0.3">
      <c r="B50" s="366" t="s">
        <v>645</v>
      </c>
      <c r="C50" s="30"/>
      <c r="D50" s="30"/>
      <c r="E50" s="30"/>
      <c r="F50" s="30"/>
      <c r="G50" s="30"/>
      <c r="H50" s="30"/>
      <c r="I50" s="30"/>
      <c r="J50" s="616"/>
      <c r="K50" s="30"/>
      <c r="L50" s="30"/>
      <c r="M50" s="30"/>
      <c r="N50" s="30"/>
      <c r="O50" s="30"/>
      <c r="P50" s="30"/>
      <c r="Q50" s="30"/>
      <c r="R50" s="30"/>
      <c r="S50" s="30"/>
      <c r="T50" s="30"/>
      <c r="U50" s="30"/>
      <c r="V50" s="30"/>
      <c r="W50" s="30"/>
      <c r="X50" s="30"/>
      <c r="Y50" s="30"/>
      <c r="Z50" s="30"/>
    </row>
    <row r="51" spans="2:26" ht="4" customHeight="1" x14ac:dyDescent="0.3">
      <c r="B51" s="34"/>
      <c r="C51" s="34"/>
      <c r="D51" s="34"/>
      <c r="E51" s="34"/>
      <c r="F51" s="34"/>
      <c r="G51" s="34"/>
      <c r="H51" s="34"/>
      <c r="I51" s="34"/>
      <c r="J51" s="617"/>
      <c r="K51" s="34"/>
      <c r="L51" s="34"/>
      <c r="M51" s="34"/>
      <c r="N51" s="34"/>
      <c r="O51" s="34"/>
      <c r="P51" s="34"/>
      <c r="Q51" s="34"/>
      <c r="R51" s="34"/>
      <c r="S51" s="34"/>
      <c r="T51" s="34"/>
      <c r="U51" s="34"/>
      <c r="V51" s="34"/>
      <c r="W51" s="34"/>
      <c r="X51" s="34"/>
      <c r="Y51" s="34"/>
      <c r="Z51" s="34"/>
    </row>
    <row r="52" spans="2:26" ht="15" customHeight="1" x14ac:dyDescent="0.3">
      <c r="B52" s="21"/>
      <c r="C52" s="21"/>
      <c r="D52" s="21"/>
      <c r="E52" s="21"/>
      <c r="F52" s="21"/>
      <c r="G52" s="21"/>
      <c r="H52" s="21"/>
      <c r="I52" s="21"/>
      <c r="J52" s="615"/>
      <c r="K52" s="21"/>
      <c r="L52" s="21"/>
      <c r="M52" s="21"/>
      <c r="N52" s="21"/>
      <c r="O52" s="21"/>
      <c r="P52" s="21"/>
      <c r="Q52" s="21"/>
      <c r="R52" s="21"/>
      <c r="S52" s="21"/>
      <c r="T52" s="21"/>
      <c r="U52" s="21"/>
      <c r="V52" s="21"/>
      <c r="W52" s="21"/>
      <c r="X52" s="21"/>
      <c r="Y52" s="21"/>
      <c r="Z52" s="21"/>
    </row>
    <row r="53" spans="2:26" ht="15" customHeight="1" x14ac:dyDescent="0.3">
      <c r="B53" s="611" t="s">
        <v>500</v>
      </c>
      <c r="C53" s="612"/>
      <c r="D53" s="612"/>
      <c r="E53" s="612"/>
      <c r="F53" s="612"/>
      <c r="G53" s="612"/>
      <c r="H53" s="612"/>
      <c r="I53" s="748" t="s">
        <v>612</v>
      </c>
      <c r="J53" s="748" t="s">
        <v>612</v>
      </c>
      <c r="K53" s="748" t="s">
        <v>362</v>
      </c>
      <c r="L53" s="748" t="s">
        <v>334</v>
      </c>
      <c r="M53" s="748" t="s">
        <v>646</v>
      </c>
      <c r="N53" s="748" t="s">
        <v>547</v>
      </c>
      <c r="O53" s="748" t="s">
        <v>647</v>
      </c>
      <c r="P53" s="748" t="s">
        <v>648</v>
      </c>
      <c r="Q53" s="748" t="s">
        <v>649</v>
      </c>
      <c r="R53" s="749" t="s">
        <v>444</v>
      </c>
      <c r="S53" s="748" t="s">
        <v>650</v>
      </c>
      <c r="T53" s="748" t="s">
        <v>308</v>
      </c>
      <c r="U53" s="750" t="s">
        <v>444</v>
      </c>
      <c r="V53" s="748" t="s">
        <v>621</v>
      </c>
      <c r="W53" s="748" t="s">
        <v>651</v>
      </c>
      <c r="X53" s="748" t="s">
        <v>606</v>
      </c>
      <c r="Y53" s="750" t="s">
        <v>444</v>
      </c>
      <c r="Z53" s="754">
        <v>-0.1</v>
      </c>
    </row>
    <row r="54" spans="2:26" ht="15" customHeight="1" x14ac:dyDescent="0.3">
      <c r="B54" s="613" t="s">
        <v>510</v>
      </c>
      <c r="C54" s="614"/>
      <c r="D54" s="614"/>
      <c r="E54" s="614"/>
      <c r="F54" s="614"/>
      <c r="G54" s="614"/>
      <c r="H54" s="614"/>
      <c r="I54" s="751" t="s">
        <v>632</v>
      </c>
      <c r="J54" s="751" t="s">
        <v>612</v>
      </c>
      <c r="K54" s="751" t="s">
        <v>652</v>
      </c>
      <c r="L54" s="751" t="s">
        <v>482</v>
      </c>
      <c r="M54" s="751" t="s">
        <v>337</v>
      </c>
      <c r="N54" s="751" t="s">
        <v>653</v>
      </c>
      <c r="O54" s="751" t="s">
        <v>654</v>
      </c>
      <c r="P54" s="751" t="s">
        <v>649</v>
      </c>
      <c r="Q54" s="751" t="s">
        <v>504</v>
      </c>
      <c r="R54" s="755" t="s">
        <v>444</v>
      </c>
      <c r="S54" s="751" t="s">
        <v>655</v>
      </c>
      <c r="T54" s="751" t="s">
        <v>309</v>
      </c>
      <c r="U54" s="752" t="s">
        <v>444</v>
      </c>
      <c r="V54" s="751" t="s">
        <v>640</v>
      </c>
      <c r="W54" s="751" t="s">
        <v>495</v>
      </c>
      <c r="X54" s="751" t="s">
        <v>656</v>
      </c>
      <c r="Y54" s="752" t="s">
        <v>444</v>
      </c>
      <c r="Z54" s="756">
        <v>0.08</v>
      </c>
    </row>
    <row r="55" spans="2:26" ht="15" customHeight="1" x14ac:dyDescent="0.3">
      <c r="B55" s="21"/>
      <c r="C55" s="21"/>
      <c r="D55" s="21"/>
      <c r="E55" s="21"/>
      <c r="F55" s="21"/>
      <c r="G55" s="21"/>
      <c r="H55" s="21"/>
      <c r="I55" s="21"/>
      <c r="J55" s="615"/>
      <c r="K55" s="21"/>
      <c r="L55" s="21"/>
      <c r="M55" s="21"/>
      <c r="N55" s="21"/>
      <c r="O55" s="21"/>
      <c r="P55" s="21"/>
      <c r="Q55" s="21"/>
      <c r="R55" s="21"/>
      <c r="S55" s="21"/>
      <c r="T55" s="21"/>
      <c r="U55" s="21"/>
      <c r="V55" s="21"/>
      <c r="W55" s="21"/>
      <c r="X55" s="21"/>
      <c r="Y55" s="21"/>
      <c r="Z55" s="21"/>
    </row>
    <row r="56" spans="2:26" ht="15" customHeight="1" x14ac:dyDescent="0.3">
      <c r="B56" s="611" t="s">
        <v>426</v>
      </c>
      <c r="C56" s="612"/>
      <c r="D56" s="612"/>
      <c r="E56" s="612"/>
      <c r="F56" s="612"/>
      <c r="G56" s="612"/>
      <c r="H56" s="612"/>
      <c r="I56" s="748" t="s">
        <v>478</v>
      </c>
      <c r="J56" s="748" t="s">
        <v>479</v>
      </c>
      <c r="K56" s="748" t="s">
        <v>288</v>
      </c>
      <c r="L56" s="748" t="s">
        <v>621</v>
      </c>
      <c r="M56" s="748" t="s">
        <v>657</v>
      </c>
      <c r="N56" s="748" t="s">
        <v>658</v>
      </c>
      <c r="O56" s="748" t="s">
        <v>634</v>
      </c>
      <c r="P56" s="748" t="s">
        <v>659</v>
      </c>
      <c r="Q56" s="748" t="s">
        <v>660</v>
      </c>
      <c r="R56" s="749" t="s">
        <v>444</v>
      </c>
      <c r="S56" s="748" t="s">
        <v>661</v>
      </c>
      <c r="T56" s="748" t="s">
        <v>289</v>
      </c>
      <c r="U56" s="750" t="s">
        <v>444</v>
      </c>
      <c r="V56" s="748" t="s">
        <v>662</v>
      </c>
      <c r="W56" s="748" t="s">
        <v>625</v>
      </c>
      <c r="X56" s="748" t="s">
        <v>663</v>
      </c>
      <c r="Y56" s="750" t="s">
        <v>444</v>
      </c>
      <c r="Z56" s="754">
        <v>0.18</v>
      </c>
    </row>
    <row r="57" spans="2:26" ht="15" customHeight="1" x14ac:dyDescent="0.3">
      <c r="B57" s="613" t="s">
        <v>664</v>
      </c>
      <c r="C57" s="614"/>
      <c r="D57" s="614"/>
      <c r="E57" s="614"/>
      <c r="F57" s="614"/>
      <c r="G57" s="614"/>
      <c r="H57" s="614"/>
      <c r="I57" s="751" t="s">
        <v>558</v>
      </c>
      <c r="J57" s="751" t="s">
        <v>558</v>
      </c>
      <c r="K57" s="751" t="s">
        <v>310</v>
      </c>
      <c r="L57" s="757" t="s">
        <v>524</v>
      </c>
      <c r="M57" s="751" t="s">
        <v>334</v>
      </c>
      <c r="N57" s="751" t="s">
        <v>467</v>
      </c>
      <c r="O57" s="757" t="s">
        <v>527</v>
      </c>
      <c r="P57" s="751" t="s">
        <v>493</v>
      </c>
      <c r="Q57" s="751" t="s">
        <v>538</v>
      </c>
      <c r="R57" s="755" t="s">
        <v>444</v>
      </c>
      <c r="S57" s="757" t="s">
        <v>665</v>
      </c>
      <c r="T57" s="751" t="s">
        <v>307</v>
      </c>
      <c r="U57" s="752" t="s">
        <v>444</v>
      </c>
      <c r="V57" s="757" t="s">
        <v>666</v>
      </c>
      <c r="W57" s="757" t="s">
        <v>667</v>
      </c>
      <c r="X57" s="751" t="s">
        <v>443</v>
      </c>
      <c r="Y57" s="752" t="s">
        <v>444</v>
      </c>
      <c r="Z57" s="756">
        <v>-2.57</v>
      </c>
    </row>
  </sheetData>
  <mergeCells count="2">
    <mergeCell ref="I7:Q7"/>
    <mergeCell ref="V7:X7"/>
  </mergeCells>
  <conditionalFormatting sqref="I13">
    <cfRule type="colorScale" priority="15">
      <colorScale>
        <cfvo type="min"/>
        <cfvo type="percentile" val="50"/>
        <cfvo type="max"/>
        <color rgb="FF8DEB91"/>
        <color theme="0"/>
        <color theme="4" tint="0.79998168889431442"/>
      </colorScale>
    </cfRule>
  </conditionalFormatting>
  <conditionalFormatting sqref="I21">
    <cfRule type="colorScale" priority="38">
      <colorScale>
        <cfvo type="min"/>
        <cfvo type="percentile" val="50"/>
        <cfvo type="max"/>
        <color rgb="FF8DEB91"/>
        <color theme="0"/>
        <color theme="4" tint="0.79998168889431442"/>
      </colorScale>
    </cfRule>
  </conditionalFormatting>
  <conditionalFormatting sqref="J13">
    <cfRule type="colorScale" priority="14">
      <colorScale>
        <cfvo type="min"/>
        <cfvo type="percentile" val="50"/>
        <cfvo type="max"/>
        <color rgb="FF8DEB91"/>
        <color theme="0"/>
        <color theme="4" tint="0.79998168889431442"/>
      </colorScale>
    </cfRule>
  </conditionalFormatting>
  <conditionalFormatting sqref="J21">
    <cfRule type="colorScale" priority="29">
      <colorScale>
        <cfvo type="min"/>
        <cfvo type="percentile" val="50"/>
        <cfvo type="max"/>
        <color rgb="FF8DEB91"/>
        <color theme="0"/>
        <color theme="4" tint="0.79998168889431442"/>
      </colorScale>
    </cfRule>
  </conditionalFormatting>
  <conditionalFormatting sqref="K13">
    <cfRule type="colorScale" priority="13">
      <colorScale>
        <cfvo type="min"/>
        <cfvo type="percentile" val="50"/>
        <cfvo type="max"/>
        <color rgb="FF8DEB91"/>
        <color theme="0"/>
        <color theme="4" tint="0.79998168889431442"/>
      </colorScale>
    </cfRule>
  </conditionalFormatting>
  <conditionalFormatting sqref="K21">
    <cfRule type="colorScale" priority="28">
      <colorScale>
        <cfvo type="min"/>
        <cfvo type="percentile" val="50"/>
        <cfvo type="max"/>
        <color rgb="FF8DEB91"/>
        <color theme="0"/>
        <color theme="4" tint="0.79998168889431442"/>
      </colorScale>
    </cfRule>
  </conditionalFormatting>
  <conditionalFormatting sqref="L13">
    <cfRule type="colorScale" priority="12">
      <colorScale>
        <cfvo type="min"/>
        <cfvo type="percentile" val="50"/>
        <cfvo type="max"/>
        <color rgb="FF8DEB91"/>
        <color theme="0"/>
        <color theme="4" tint="0.79998168889431442"/>
      </colorScale>
    </cfRule>
  </conditionalFormatting>
  <conditionalFormatting sqref="L21">
    <cfRule type="colorScale" priority="27">
      <colorScale>
        <cfvo type="min"/>
        <cfvo type="percentile" val="50"/>
        <cfvo type="max"/>
        <color rgb="FF8DEB91"/>
        <color theme="0"/>
        <color theme="4" tint="0.79998168889431442"/>
      </colorScale>
    </cfRule>
  </conditionalFormatting>
  <conditionalFormatting sqref="M13">
    <cfRule type="colorScale" priority="11">
      <colorScale>
        <cfvo type="min"/>
        <cfvo type="percentile" val="50"/>
        <cfvo type="max"/>
        <color rgb="FF8DEB91"/>
        <color theme="0"/>
        <color theme="4" tint="0.79998168889431442"/>
      </colorScale>
    </cfRule>
  </conditionalFormatting>
  <conditionalFormatting sqref="M21">
    <cfRule type="colorScale" priority="26">
      <colorScale>
        <cfvo type="min"/>
        <cfvo type="percentile" val="50"/>
        <cfvo type="max"/>
        <color rgb="FF8DEB91"/>
        <color theme="0"/>
        <color theme="4" tint="0.79998168889431442"/>
      </colorScale>
    </cfRule>
  </conditionalFormatting>
  <conditionalFormatting sqref="N13">
    <cfRule type="colorScale" priority="10">
      <colorScale>
        <cfvo type="min"/>
        <cfvo type="percentile" val="50"/>
        <cfvo type="max"/>
        <color rgb="FF8DEB91"/>
        <color theme="0"/>
        <color theme="4" tint="0.79998168889431442"/>
      </colorScale>
    </cfRule>
  </conditionalFormatting>
  <conditionalFormatting sqref="N21">
    <cfRule type="colorScale" priority="25">
      <colorScale>
        <cfvo type="min"/>
        <cfvo type="percentile" val="50"/>
        <cfvo type="max"/>
        <color rgb="FF8DEB91"/>
        <color theme="0"/>
        <color theme="4" tint="0.79998168889431442"/>
      </colorScale>
    </cfRule>
  </conditionalFormatting>
  <conditionalFormatting sqref="O13">
    <cfRule type="colorScale" priority="9">
      <colorScale>
        <cfvo type="min"/>
        <cfvo type="percentile" val="50"/>
        <cfvo type="max"/>
        <color rgb="FF8DEB91"/>
        <color theme="0"/>
        <color theme="4" tint="0.79998168889431442"/>
      </colorScale>
    </cfRule>
  </conditionalFormatting>
  <conditionalFormatting sqref="O21">
    <cfRule type="colorScale" priority="24">
      <colorScale>
        <cfvo type="min"/>
        <cfvo type="percentile" val="50"/>
        <cfvo type="max"/>
        <color rgb="FF8DEB91"/>
        <color theme="0"/>
        <color theme="4" tint="0.79998168889431442"/>
      </colorScale>
    </cfRule>
  </conditionalFormatting>
  <conditionalFormatting sqref="P13">
    <cfRule type="colorScale" priority="8">
      <colorScale>
        <cfvo type="min"/>
        <cfvo type="percentile" val="50"/>
        <cfvo type="max"/>
        <color rgb="FF8DEB91"/>
        <color theme="0"/>
        <color theme="4" tint="0.79998168889431442"/>
      </colorScale>
    </cfRule>
  </conditionalFormatting>
  <conditionalFormatting sqref="P21">
    <cfRule type="colorScale" priority="23">
      <colorScale>
        <cfvo type="min"/>
        <cfvo type="percentile" val="50"/>
        <cfvo type="max"/>
        <color rgb="FF8DEB91"/>
        <color theme="0"/>
        <color theme="4" tint="0.79998168889431442"/>
      </colorScale>
    </cfRule>
  </conditionalFormatting>
  <conditionalFormatting sqref="Q13">
    <cfRule type="colorScale" priority="7">
      <colorScale>
        <cfvo type="min"/>
        <cfvo type="percentile" val="50"/>
        <cfvo type="max"/>
        <color rgb="FF8DEB91"/>
        <color theme="0"/>
        <color theme="4" tint="0.79998168889431442"/>
      </colorScale>
    </cfRule>
  </conditionalFormatting>
  <conditionalFormatting sqref="Q21">
    <cfRule type="colorScale" priority="22">
      <colorScale>
        <cfvo type="min"/>
        <cfvo type="percentile" val="50"/>
        <cfvo type="max"/>
        <color rgb="FF8DEB91"/>
        <color theme="0"/>
        <color theme="4" tint="0.79998168889431442"/>
      </colorScale>
    </cfRule>
  </conditionalFormatting>
  <conditionalFormatting sqref="S13">
    <cfRule type="colorScale" priority="2">
      <colorScale>
        <cfvo type="min"/>
        <cfvo type="percentile" val="50"/>
        <cfvo type="max"/>
        <color theme="4" tint="0.79998168889431442"/>
        <color theme="0"/>
        <color rgb="FF8DEB91"/>
      </colorScale>
    </cfRule>
  </conditionalFormatting>
  <conditionalFormatting sqref="T13">
    <cfRule type="colorScale" priority="6">
      <colorScale>
        <cfvo type="min"/>
        <cfvo type="percentile" val="50"/>
        <cfvo type="max"/>
        <color rgb="FF8DEB91"/>
        <color theme="0"/>
        <color theme="4" tint="0.79998168889431442"/>
      </colorScale>
    </cfRule>
  </conditionalFormatting>
  <conditionalFormatting sqref="V13">
    <cfRule type="colorScale" priority="5">
      <colorScale>
        <cfvo type="min"/>
        <cfvo type="percentile" val="50"/>
        <cfvo type="max"/>
        <color rgb="FF8DEB91"/>
        <color theme="0"/>
        <color theme="4" tint="0.79998168889431442"/>
      </colorScale>
    </cfRule>
  </conditionalFormatting>
  <conditionalFormatting sqref="V21">
    <cfRule type="colorScale" priority="20">
      <colorScale>
        <cfvo type="min"/>
        <cfvo type="percentile" val="50"/>
        <cfvo type="max"/>
        <color rgb="FF8DEB91"/>
        <color theme="0"/>
        <color theme="4" tint="0.79998168889431442"/>
      </colorScale>
    </cfRule>
  </conditionalFormatting>
  <conditionalFormatting sqref="W13">
    <cfRule type="colorScale" priority="4">
      <colorScale>
        <cfvo type="min"/>
        <cfvo type="percentile" val="50"/>
        <cfvo type="max"/>
        <color rgb="FF8DEB91"/>
        <color theme="0"/>
        <color theme="4" tint="0.79998168889431442"/>
      </colorScale>
    </cfRule>
  </conditionalFormatting>
  <conditionalFormatting sqref="W21">
    <cfRule type="colorScale" priority="19">
      <colorScale>
        <cfvo type="min"/>
        <cfvo type="percentile" val="50"/>
        <cfvo type="max"/>
        <color rgb="FF8DEB91"/>
        <color theme="0"/>
        <color theme="4" tint="0.79998168889431442"/>
      </colorScale>
    </cfRule>
  </conditionalFormatting>
  <conditionalFormatting sqref="X13">
    <cfRule type="colorScale" priority="3">
      <colorScale>
        <cfvo type="min"/>
        <cfvo type="percentile" val="50"/>
        <cfvo type="max"/>
        <color rgb="FF8DEB91"/>
        <color theme="0"/>
        <color theme="4" tint="0.79998168889431442"/>
      </colorScale>
    </cfRule>
  </conditionalFormatting>
  <conditionalFormatting sqref="X21">
    <cfRule type="colorScale" priority="18">
      <colorScale>
        <cfvo type="min"/>
        <cfvo type="percentile" val="50"/>
        <cfvo type="max"/>
        <color rgb="FF8DEB91"/>
        <color theme="0"/>
        <color theme="4" tint="0.79998168889431442"/>
      </colorScale>
    </cfRule>
  </conditionalFormatting>
  <conditionalFormatting sqref="Z13">
    <cfRule type="colorScale" priority="1">
      <colorScale>
        <cfvo type="min"/>
        <cfvo type="percentile" val="50"/>
        <cfvo type="max"/>
        <color theme="4" tint="0.79998168889431442"/>
        <color theme="0"/>
        <color rgb="FF8DEB91"/>
      </colorScale>
    </cfRule>
  </conditionalFormatting>
  <conditionalFormatting sqref="Z21">
    <cfRule type="colorScale" priority="16">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topLeftCell="A25" zoomScale="73" zoomScaleNormal="160" workbookViewId="0">
      <selection activeCell="E31" sqref="E31"/>
    </sheetView>
  </sheetViews>
  <sheetFormatPr defaultColWidth="8.83203125" defaultRowHeight="15" customHeight="1" x14ac:dyDescent="0.3"/>
  <cols>
    <col min="1" max="1" width="2" style="557" customWidth="1"/>
    <col min="2" max="2" width="50.5" style="557" customWidth="1"/>
    <col min="3" max="3" width="3.5" style="557" customWidth="1"/>
    <col min="4" max="8" width="11.5" style="557" customWidth="1"/>
    <col min="9" max="9" width="1.5" style="557" customWidth="1"/>
    <col min="10" max="10" width="9" style="557" customWidth="1"/>
    <col min="11" max="11" width="40.5" style="557" customWidth="1"/>
    <col min="12" max="18" width="9" style="557" customWidth="1"/>
    <col min="19" max="16384" width="8.83203125" style="557"/>
  </cols>
  <sheetData>
    <row r="1" spans="1:18" s="569" customFormat="1" ht="15" customHeight="1" x14ac:dyDescent="0.3"/>
    <row r="2" spans="1:18" s="569" customFormat="1" ht="15" customHeight="1" x14ac:dyDescent="0.3"/>
    <row r="3" spans="1:18" s="569" customFormat="1" ht="15" customHeight="1" x14ac:dyDescent="0.3"/>
    <row r="4" spans="1:18" s="569" customFormat="1" ht="15" customHeight="1" x14ac:dyDescent="0.3"/>
    <row r="5" spans="1:18" s="555" customFormat="1" ht="4" customHeight="1" x14ac:dyDescent="0.3">
      <c r="A5" s="34"/>
      <c r="B5" s="34"/>
      <c r="C5" s="34"/>
      <c r="D5" s="34"/>
      <c r="E5" s="34"/>
      <c r="F5" s="34"/>
      <c r="G5" s="34"/>
      <c r="H5" s="34"/>
      <c r="I5" s="34"/>
      <c r="J5" s="34"/>
      <c r="K5" s="34"/>
      <c r="L5" s="34"/>
      <c r="M5" s="34"/>
      <c r="N5" s="34"/>
      <c r="O5" s="34"/>
      <c r="P5" s="34"/>
      <c r="Q5" s="34"/>
      <c r="R5" s="34"/>
    </row>
    <row r="7" spans="1:18" ht="15" customHeight="1" x14ac:dyDescent="0.3">
      <c r="A7" s="606" t="s">
        <v>39</v>
      </c>
      <c r="B7" s="366" t="s">
        <v>668</v>
      </c>
      <c r="C7" s="30"/>
      <c r="D7" s="30"/>
      <c r="E7" s="30"/>
      <c r="F7" s="30"/>
      <c r="G7" s="30"/>
      <c r="H7" s="30"/>
      <c r="I7" s="30"/>
      <c r="J7" s="618"/>
      <c r="K7" s="366" t="s">
        <v>669</v>
      </c>
      <c r="L7" s="366"/>
      <c r="M7" s="366"/>
      <c r="N7" s="30"/>
      <c r="O7" s="30"/>
      <c r="P7" s="30"/>
      <c r="Q7" s="30"/>
      <c r="R7" s="30"/>
    </row>
    <row r="8" spans="1:18" ht="15" customHeight="1" x14ac:dyDescent="0.3">
      <c r="A8" s="21"/>
      <c r="B8" s="30"/>
      <c r="C8" s="30"/>
      <c r="D8" s="30"/>
      <c r="E8" s="30"/>
      <c r="F8" s="30"/>
      <c r="G8" s="30"/>
      <c r="H8" s="30"/>
      <c r="I8" s="30"/>
      <c r="J8" s="618"/>
      <c r="K8" s="30"/>
      <c r="L8" s="366"/>
      <c r="M8" s="30"/>
      <c r="N8" s="619"/>
      <c r="O8" s="619"/>
      <c r="P8" s="620" t="s">
        <v>670</v>
      </c>
      <c r="Q8" s="619"/>
      <c r="R8" s="619"/>
    </row>
    <row r="9" spans="1:18" ht="15" customHeight="1" x14ac:dyDescent="0.3">
      <c r="A9" s="21"/>
      <c r="B9" s="366"/>
      <c r="C9" s="30"/>
      <c r="D9" s="35">
        <v>2025</v>
      </c>
      <c r="E9" s="35">
        <f>+D9+1</f>
        <v>2026</v>
      </c>
      <c r="F9" s="35">
        <f t="shared" ref="F9:H9" si="0">+E9+1</f>
        <v>2027</v>
      </c>
      <c r="G9" s="35">
        <f t="shared" si="0"/>
        <v>2028</v>
      </c>
      <c r="H9" s="35">
        <f t="shared" si="0"/>
        <v>2029</v>
      </c>
      <c r="I9" s="587"/>
      <c r="J9" s="618"/>
      <c r="K9" s="366"/>
      <c r="L9" s="366"/>
      <c r="M9" s="366" t="s">
        <v>671</v>
      </c>
      <c r="N9" s="35">
        <v>2025</v>
      </c>
      <c r="O9" s="35">
        <f>+N9+1</f>
        <v>2026</v>
      </c>
      <c r="P9" s="35">
        <f t="shared" ref="P9:R9" si="1">+O9+1</f>
        <v>2027</v>
      </c>
      <c r="Q9" s="35">
        <f t="shared" si="1"/>
        <v>2028</v>
      </c>
      <c r="R9" s="35">
        <f t="shared" si="1"/>
        <v>2029</v>
      </c>
    </row>
    <row r="10" spans="1:18" ht="4" customHeight="1" x14ac:dyDescent="0.3">
      <c r="A10" s="21"/>
      <c r="B10" s="415"/>
      <c r="C10" s="381"/>
      <c r="D10" s="381"/>
      <c r="E10" s="381"/>
      <c r="F10" s="381"/>
      <c r="G10" s="381"/>
      <c r="H10" s="381"/>
      <c r="I10" s="381"/>
      <c r="J10" s="618"/>
      <c r="K10" s="415"/>
      <c r="L10" s="415"/>
      <c r="M10" s="415"/>
      <c r="N10" s="381"/>
      <c r="O10" s="381"/>
      <c r="P10" s="381"/>
      <c r="Q10" s="381"/>
      <c r="R10" s="381"/>
    </row>
    <row r="11" spans="1:18" ht="4" customHeight="1" x14ac:dyDescent="0.3">
      <c r="A11" s="21"/>
      <c r="B11" s="334"/>
      <c r="C11" s="414"/>
      <c r="D11" s="414"/>
      <c r="E11" s="414"/>
      <c r="F11" s="414"/>
      <c r="G11" s="414"/>
      <c r="H11" s="414"/>
      <c r="I11" s="618"/>
      <c r="J11" s="618"/>
      <c r="K11" s="618"/>
      <c r="L11" s="21"/>
      <c r="M11" s="618"/>
      <c r="N11" s="618"/>
      <c r="O11" s="618"/>
      <c r="P11" s="618"/>
      <c r="Q11" s="21"/>
      <c r="R11" s="21"/>
    </row>
    <row r="12" spans="1:18" ht="15" customHeight="1" x14ac:dyDescent="0.3">
      <c r="A12" s="21"/>
      <c r="B12" s="475" t="s">
        <v>672</v>
      </c>
      <c r="C12" s="414"/>
      <c r="D12" s="414"/>
      <c r="E12" s="414"/>
      <c r="F12" s="414"/>
      <c r="G12" s="414"/>
      <c r="H12" s="414"/>
      <c r="I12" s="618"/>
      <c r="J12" s="618"/>
      <c r="K12" s="621" t="s">
        <v>673</v>
      </c>
      <c r="L12" s="21"/>
      <c r="M12" s="622">
        <v>4.3299999999999998E-2</v>
      </c>
      <c r="N12" s="623">
        <v>0.6</v>
      </c>
      <c r="O12" s="623">
        <v>0.6</v>
      </c>
      <c r="P12" s="623">
        <v>0.6</v>
      </c>
      <c r="Q12" s="623">
        <v>0.6</v>
      </c>
      <c r="R12" s="623">
        <v>0.6</v>
      </c>
    </row>
    <row r="13" spans="1:18" ht="15" customHeight="1" x14ac:dyDescent="0.3">
      <c r="A13" s="21"/>
      <c r="B13" s="624" t="s">
        <v>674</v>
      </c>
      <c r="C13" s="21"/>
      <c r="D13" s="625">
        <f>+Inputs!J13</f>
        <v>128121.1544668</v>
      </c>
      <c r="E13" s="625">
        <f>FCFF!AF99*FCFF!AF31</f>
        <v>133563.16467157335</v>
      </c>
      <c r="F13" s="625">
        <f>FCFF!AH99*FCFF!AH31</f>
        <v>134138.86472707466</v>
      </c>
      <c r="G13" s="625">
        <f>FCFF!AJ99*FCFF!AJ31</f>
        <v>138301.10308625197</v>
      </c>
      <c r="H13" s="625">
        <f>FCFF!AL99*FCFF!AL31</f>
        <v>141670.80246640084</v>
      </c>
      <c r="I13" s="21"/>
      <c r="J13" s="618"/>
      <c r="K13" s="621" t="s">
        <v>675</v>
      </c>
      <c r="L13" s="21"/>
      <c r="M13" s="622">
        <f>((0.0687+0.0433)/2)</f>
        <v>5.5999999999999994E-2</v>
      </c>
      <c r="N13" s="623">
        <v>0.4</v>
      </c>
      <c r="O13" s="623">
        <v>0.4</v>
      </c>
      <c r="P13" s="623">
        <v>0.4</v>
      </c>
      <c r="Q13" s="623">
        <v>0.4</v>
      </c>
      <c r="R13" s="623">
        <v>0.4</v>
      </c>
    </row>
    <row r="14" spans="1:18" ht="15" customHeight="1" x14ac:dyDescent="0.3">
      <c r="A14" s="21"/>
      <c r="B14" s="626" t="s">
        <v>676</v>
      </c>
      <c r="C14" s="21"/>
      <c r="D14" s="541">
        <f>IFERROR(D13/D35,"")</f>
        <v>0.79049484110386725</v>
      </c>
      <c r="E14" s="541">
        <f>IFERROR(E13/E35,"")</f>
        <v>0.79408160988306697</v>
      </c>
      <c r="F14" s="541">
        <f>IFERROR(E13/F35,"")</f>
        <v>0.78813817001934405</v>
      </c>
      <c r="G14" s="541">
        <f>IFERROR(F13/G35,"")</f>
        <v>0.7694295116450427</v>
      </c>
      <c r="H14" s="541">
        <f>IFERROR(G13/H35,"")</f>
        <v>0.77511800248236495</v>
      </c>
      <c r="I14" s="471"/>
      <c r="J14" s="471"/>
      <c r="K14" s="621"/>
      <c r="L14" s="21"/>
      <c r="M14" s="622"/>
      <c r="N14" s="623" t="s">
        <v>245</v>
      </c>
      <c r="O14" s="623" t="s">
        <v>245</v>
      </c>
      <c r="P14" s="623" t="s">
        <v>245</v>
      </c>
      <c r="Q14" s="623" t="s">
        <v>245</v>
      </c>
      <c r="R14" s="623" t="s">
        <v>245</v>
      </c>
    </row>
    <row r="15" spans="1:18" ht="15" customHeight="1" x14ac:dyDescent="0.3">
      <c r="A15" s="21"/>
      <c r="B15" s="472" t="s">
        <v>677</v>
      </c>
      <c r="C15" s="21"/>
      <c r="D15" s="622">
        <v>4.1599999999999998E-2</v>
      </c>
      <c r="E15" s="622">
        <v>3.6200000000000003E-2</v>
      </c>
      <c r="F15" s="622">
        <v>3.5499999999999997E-2</v>
      </c>
      <c r="G15" s="622">
        <v>3.56E-2</v>
      </c>
      <c r="H15" s="622">
        <v>3.6799999999999999E-2</v>
      </c>
      <c r="I15" s="542"/>
      <c r="J15" s="542"/>
      <c r="K15" s="621"/>
      <c r="L15" s="21"/>
      <c r="M15" s="622"/>
      <c r="N15" s="623" t="s">
        <v>245</v>
      </c>
      <c r="O15" s="623" t="s">
        <v>245</v>
      </c>
      <c r="P15" s="623" t="s">
        <v>245</v>
      </c>
      <c r="Q15" s="623" t="s">
        <v>245</v>
      </c>
      <c r="R15" s="623" t="s">
        <v>245</v>
      </c>
    </row>
    <row r="16" spans="1:18" ht="15" customHeight="1" x14ac:dyDescent="0.3">
      <c r="A16" s="21"/>
      <c r="B16" s="472" t="s">
        <v>22</v>
      </c>
      <c r="C16" s="21"/>
      <c r="D16" s="1176">
        <f>+Inputs!M18</f>
        <v>0.82</v>
      </c>
      <c r="E16" s="627">
        <f>+D17*(1+(E28/E13)*(1-E32))</f>
        <v>0.81700366189911988</v>
      </c>
      <c r="F16" s="627">
        <f>+E17*(1+(F28/F13)*(1-F32))</f>
        <v>0.81912802013537978</v>
      </c>
      <c r="G16" s="627">
        <f>+F17*(1+(G28/G13)*(1-G32))</f>
        <v>0.81765064171057955</v>
      </c>
      <c r="H16" s="627">
        <f>+G17*(1+(H28/H13)*(1-H32))</f>
        <v>0.81706844799231237</v>
      </c>
      <c r="I16" s="628"/>
      <c r="J16" s="628"/>
      <c r="K16" s="621"/>
      <c r="L16" s="21"/>
      <c r="M16" s="622"/>
      <c r="N16" s="623" t="s">
        <v>245</v>
      </c>
      <c r="O16" s="623" t="s">
        <v>245</v>
      </c>
      <c r="P16" s="623" t="s">
        <v>245</v>
      </c>
      <c r="Q16" s="623" t="s">
        <v>245</v>
      </c>
      <c r="R16" s="623" t="s">
        <v>245</v>
      </c>
    </row>
    <row r="17" spans="2:18" ht="15" customHeight="1" x14ac:dyDescent="0.3">
      <c r="B17" s="472" t="s">
        <v>678</v>
      </c>
      <c r="C17" s="21"/>
      <c r="D17" s="627">
        <f>+D16/(1+(D28/D13)*(1-D32))</f>
        <v>0.68102160374516707</v>
      </c>
      <c r="E17" s="627">
        <f>+E16/(1+(E28/E13)*(1-E32))</f>
        <v>0.68102160374516707</v>
      </c>
      <c r="F17" s="627">
        <f>+F16/(1+(F28/F13)*(1-F32))</f>
        <v>0.68102160374516707</v>
      </c>
      <c r="G17" s="627">
        <f>+G16/(1+(G28/G13)*(1-G32))</f>
        <v>0.68102160374516707</v>
      </c>
      <c r="H17" s="627">
        <f>+H16/(1+(H28/H13)*(1-H32))</f>
        <v>0.68102160374516707</v>
      </c>
      <c r="I17" s="628"/>
      <c r="J17" s="628"/>
      <c r="K17" s="628"/>
      <c r="L17" s="21"/>
      <c r="M17" s="628"/>
      <c r="N17" s="628"/>
      <c r="O17" s="628"/>
      <c r="P17" s="628"/>
      <c r="Q17" s="21"/>
      <c r="R17" s="21"/>
    </row>
    <row r="18" spans="2:18" ht="15" customHeight="1" x14ac:dyDescent="0.3">
      <c r="B18" s="472" t="s">
        <v>669</v>
      </c>
      <c r="C18" s="21"/>
      <c r="D18" s="629">
        <f>+N18</f>
        <v>4.8379999999999999E-2</v>
      </c>
      <c r="E18" s="629">
        <f>+O18</f>
        <v>4.8379999999999999E-2</v>
      </c>
      <c r="F18" s="629">
        <f>+P18</f>
        <v>4.8379999999999999E-2</v>
      </c>
      <c r="G18" s="629">
        <f>+Q18</f>
        <v>4.8379999999999999E-2</v>
      </c>
      <c r="H18" s="629">
        <f>+R18</f>
        <v>4.8379999999999999E-2</v>
      </c>
      <c r="I18" s="630"/>
      <c r="J18" s="630"/>
      <c r="K18" s="631" t="s">
        <v>671</v>
      </c>
      <c r="L18" s="290"/>
      <c r="M18" s="290"/>
      <c r="N18" s="632">
        <f>+SUMPRODUCT($M12:$M16,N12:N16)</f>
        <v>4.8379999999999999E-2</v>
      </c>
      <c r="O18" s="632">
        <f>+SUMPRODUCT($M12:$M16,O12:O16)</f>
        <v>4.8379999999999999E-2</v>
      </c>
      <c r="P18" s="632">
        <f>+SUMPRODUCT($M12:$M16,P12:P16)</f>
        <v>4.8379999999999999E-2</v>
      </c>
      <c r="Q18" s="632">
        <f>+SUMPRODUCT($M12:$M16,Q12:Q16)</f>
        <v>4.8379999999999999E-2</v>
      </c>
      <c r="R18" s="632">
        <f>+SUMPRODUCT($M12:$M16,R12:R16)</f>
        <v>4.8379999999999999E-2</v>
      </c>
    </row>
    <row r="19" spans="2:18" ht="15" customHeight="1" x14ac:dyDescent="0.3">
      <c r="B19" s="633" t="s">
        <v>679</v>
      </c>
      <c r="C19" s="21"/>
      <c r="D19" s="634">
        <f>IFERROR(+D15+D16*D18,"")</f>
        <v>8.1271599999999999E-2</v>
      </c>
      <c r="E19" s="634">
        <f>IFERROR(+E15+E16*E18,"")</f>
        <v>7.5726637162679425E-2</v>
      </c>
      <c r="F19" s="634">
        <f>IFERROR(+F15+F16*F18,"")</f>
        <v>7.5129413614149668E-2</v>
      </c>
      <c r="G19" s="634">
        <f>IFERROR(+G15+G16*G18,"")</f>
        <v>7.5157938045957828E-2</v>
      </c>
      <c r="H19" s="634">
        <f>IFERROR(+H15+H16*H18,"")</f>
        <v>7.6329771513868078E-2</v>
      </c>
      <c r="I19" s="635"/>
      <c r="J19" s="635"/>
      <c r="K19" s="635"/>
      <c r="L19" s="635"/>
      <c r="M19" s="635"/>
      <c r="N19" s="635"/>
      <c r="O19" s="635"/>
      <c r="P19" s="21"/>
      <c r="Q19" s="21"/>
      <c r="R19" s="21"/>
    </row>
    <row r="20" spans="2:18" ht="15" customHeight="1" x14ac:dyDescent="0.3">
      <c r="B20" s="369"/>
      <c r="C20" s="21"/>
      <c r="D20" s="21"/>
      <c r="E20" s="21"/>
      <c r="F20" s="21"/>
      <c r="G20" s="21"/>
      <c r="H20" s="21"/>
      <c r="I20" s="542"/>
      <c r="J20" s="542"/>
      <c r="K20" s="21"/>
      <c r="L20" s="21"/>
      <c r="M20" s="21"/>
      <c r="N20" s="21"/>
      <c r="O20" s="21"/>
      <c r="P20" s="21"/>
      <c r="Q20" s="21"/>
      <c r="R20" s="21"/>
    </row>
    <row r="21" spans="2:18" ht="15" customHeight="1" x14ac:dyDescent="0.3">
      <c r="B21" s="475" t="s">
        <v>680</v>
      </c>
      <c r="C21" s="21"/>
      <c r="D21" s="21"/>
      <c r="E21" s="21"/>
      <c r="F21" s="21"/>
      <c r="G21" s="21"/>
      <c r="H21" s="21"/>
      <c r="I21" s="21"/>
      <c r="J21" s="21"/>
      <c r="K21" s="366" t="s">
        <v>681</v>
      </c>
      <c r="L21" s="366"/>
      <c r="M21" s="366"/>
      <c r="N21" s="366"/>
      <c r="O21" s="366"/>
      <c r="P21" s="366"/>
      <c r="Q21" s="366"/>
      <c r="R21" s="366"/>
    </row>
    <row r="22" spans="2:18" ht="15" customHeight="1" x14ac:dyDescent="0.3">
      <c r="B22" s="472" t="s">
        <v>682</v>
      </c>
      <c r="C22" s="21"/>
      <c r="D22" s="93">
        <f ca="1">IFERROR(Inputs!J14,0)</f>
        <v>0</v>
      </c>
      <c r="E22" s="22">
        <f ca="1">+D22*(E13/D13)</f>
        <v>0</v>
      </c>
      <c r="F22" s="22">
        <f ca="1">+E22*(F13/E13)</f>
        <v>0</v>
      </c>
      <c r="G22" s="22">
        <f ca="1">+F22*(G13/F13)</f>
        <v>0</v>
      </c>
      <c r="H22" s="22">
        <f ca="1">+G22*(H13/G13)</f>
        <v>0</v>
      </c>
      <c r="I22" s="21"/>
      <c r="J22" s="21"/>
      <c r="K22" s="366"/>
      <c r="L22" s="366"/>
      <c r="M22" s="366"/>
      <c r="N22" s="366"/>
      <c r="O22" s="366"/>
      <c r="P22" s="366"/>
      <c r="Q22" s="366"/>
      <c r="R22" s="366"/>
    </row>
    <row r="23" spans="2:18" ht="15" customHeight="1" x14ac:dyDescent="0.3">
      <c r="B23" s="626" t="s">
        <v>683</v>
      </c>
      <c r="C23" s="21"/>
      <c r="D23" s="471">
        <f ca="1">+D22/D35</f>
        <v>0</v>
      </c>
      <c r="E23" s="471">
        <f ca="1">+E22/E35</f>
        <v>0</v>
      </c>
      <c r="F23" s="471">
        <f ca="1">+F22/F35</f>
        <v>0</v>
      </c>
      <c r="G23" s="471">
        <f ca="1">+G22/G35</f>
        <v>0</v>
      </c>
      <c r="H23" s="471">
        <f ca="1">+H22/H35</f>
        <v>0</v>
      </c>
      <c r="I23" s="21"/>
      <c r="J23" s="21"/>
      <c r="K23" s="366"/>
      <c r="L23" s="366"/>
      <c r="M23" s="366"/>
      <c r="N23" s="366"/>
      <c r="O23" s="366"/>
      <c r="P23" s="366"/>
      <c r="Q23" s="366"/>
      <c r="R23" s="366"/>
    </row>
    <row r="24" spans="2:18" ht="15" customHeight="1" x14ac:dyDescent="0.3">
      <c r="B24" s="472" t="s">
        <v>684</v>
      </c>
      <c r="C24" s="21"/>
      <c r="D24" s="419">
        <f>+IS!AF50</f>
        <v>0</v>
      </c>
      <c r="E24" s="636">
        <f>D24</f>
        <v>0</v>
      </c>
      <c r="F24" s="636">
        <f t="shared" ref="F24:H24" si="2">E24</f>
        <v>0</v>
      </c>
      <c r="G24" s="636">
        <f t="shared" si="2"/>
        <v>0</v>
      </c>
      <c r="H24" s="636">
        <f t="shared" si="2"/>
        <v>0</v>
      </c>
      <c r="I24" s="21"/>
      <c r="J24" s="21"/>
      <c r="K24" s="21"/>
      <c r="L24" s="21"/>
      <c r="M24" s="21"/>
      <c r="N24" s="21"/>
      <c r="O24" s="637"/>
      <c r="P24" s="21"/>
      <c r="Q24" s="21"/>
      <c r="R24" s="21"/>
    </row>
    <row r="25" spans="2:18" ht="15" customHeight="1" x14ac:dyDescent="0.3">
      <c r="B25" s="633" t="s">
        <v>685</v>
      </c>
      <c r="C25" s="21"/>
      <c r="D25" s="634">
        <f ca="1">IFERROR(D24/D22,0)</f>
        <v>0</v>
      </c>
      <c r="E25" s="634">
        <f ca="1">IFERROR(E24/E22,0)</f>
        <v>0</v>
      </c>
      <c r="F25" s="634">
        <f ca="1">IFERROR(F24/F22,0)</f>
        <v>0</v>
      </c>
      <c r="G25" s="634">
        <f ca="1">IFERROR(G24/G22,0)</f>
        <v>0</v>
      </c>
      <c r="H25" s="634">
        <f ca="1">IFERROR(H24/H22,0)</f>
        <v>0</v>
      </c>
      <c r="I25" s="21"/>
      <c r="J25" s="21"/>
      <c r="K25" s="21"/>
      <c r="L25" s="21"/>
      <c r="M25" s="21"/>
      <c r="N25" s="21"/>
      <c r="O25" s="637"/>
      <c r="P25" s="21"/>
      <c r="Q25" s="21"/>
      <c r="R25" s="21"/>
    </row>
    <row r="26" spans="2:18" ht="15" customHeight="1" x14ac:dyDescent="0.3">
      <c r="B26" s="369"/>
      <c r="C26" s="21"/>
      <c r="D26" s="21"/>
      <c r="E26" s="21"/>
      <c r="F26" s="21"/>
      <c r="G26" s="21"/>
      <c r="H26" s="21"/>
      <c r="I26" s="21"/>
      <c r="J26" s="21"/>
      <c r="K26" s="21"/>
      <c r="L26" s="21"/>
      <c r="M26" s="21"/>
      <c r="N26" s="21"/>
      <c r="O26" s="637"/>
      <c r="P26" s="21"/>
      <c r="Q26" s="21"/>
      <c r="R26" s="21"/>
    </row>
    <row r="27" spans="2:18" ht="15" customHeight="1" x14ac:dyDescent="0.3">
      <c r="B27" s="369" t="s">
        <v>686</v>
      </c>
      <c r="C27" s="21"/>
      <c r="D27" s="21"/>
      <c r="E27" s="21"/>
      <c r="F27" s="21"/>
      <c r="G27" s="21"/>
      <c r="H27" s="21"/>
      <c r="I27" s="21"/>
      <c r="J27" s="21"/>
      <c r="K27" s="21"/>
      <c r="L27" s="21"/>
      <c r="M27" s="21"/>
      <c r="N27" s="21"/>
      <c r="O27" s="637"/>
      <c r="P27" s="21"/>
      <c r="Q27" s="21"/>
      <c r="R27" s="21"/>
    </row>
    <row r="28" spans="2:18" ht="15" customHeight="1" x14ac:dyDescent="0.3">
      <c r="B28" s="624" t="s">
        <v>687</v>
      </c>
      <c r="C28" s="603">
        <f>+BS!AF38+BS!AF39+BS!AF44+BS!AF45</f>
        <v>32463</v>
      </c>
      <c r="D28" s="638">
        <f>+BS!AI38+BS!AI39+BS!AI44+BS!AI45</f>
        <v>33956</v>
      </c>
      <c r="E28" s="639">
        <f>D28*1.02</f>
        <v>34635.120000000003</v>
      </c>
      <c r="F28" s="639">
        <f>E28*1.02</f>
        <v>35327.822400000005</v>
      </c>
      <c r="G28" s="639">
        <f>F28*1.02</f>
        <v>36034.378848000008</v>
      </c>
      <c r="H28" s="639">
        <f>G28*1.02</f>
        <v>36755.066424960009</v>
      </c>
      <c r="I28" s="21"/>
      <c r="J28" s="21"/>
      <c r="K28" s="21"/>
      <c r="L28" s="21"/>
      <c r="M28" s="21"/>
      <c r="N28" s="21"/>
      <c r="O28" s="637"/>
      <c r="P28" s="21"/>
      <c r="Q28" s="21"/>
      <c r="R28" s="21"/>
    </row>
    <row r="29" spans="2:18" ht="15" customHeight="1" x14ac:dyDescent="0.3">
      <c r="B29" s="626" t="s">
        <v>688</v>
      </c>
      <c r="C29" s="21"/>
      <c r="D29" s="541">
        <f>IFERROR(D28/D35,"")</f>
        <v>0.20950515889613286</v>
      </c>
      <c r="E29" s="541">
        <f>IFERROR(E28/E35,"")</f>
        <v>0.20591839011693305</v>
      </c>
      <c r="F29" s="541">
        <f>IFERROR(F28/F35,"")</f>
        <v>0.20846470181782348</v>
      </c>
      <c r="G29" s="541">
        <f>IFERROR(G28/G35,"")</f>
        <v>0.20669561037259093</v>
      </c>
      <c r="H29" s="541">
        <f>IFERROR(H28/H35,"")</f>
        <v>0.20599628659978261</v>
      </c>
      <c r="I29" s="637"/>
      <c r="J29" s="637"/>
      <c r="K29" s="637"/>
      <c r="L29" s="637"/>
      <c r="M29" s="637"/>
      <c r="N29" s="637"/>
      <c r="O29" s="21"/>
      <c r="P29" s="21"/>
      <c r="Q29" s="21"/>
      <c r="R29" s="21"/>
    </row>
    <row r="30" spans="2:18" ht="15" customHeight="1" x14ac:dyDescent="0.3">
      <c r="B30" s="472" t="s">
        <v>689</v>
      </c>
      <c r="C30" s="21"/>
      <c r="D30" s="542">
        <f>+D31-D15</f>
        <v>-3.8158086936034841E-3</v>
      </c>
      <c r="E30" s="622">
        <v>5.0000000000000001E-3</v>
      </c>
      <c r="F30" s="622">
        <v>5.0000000000000001E-3</v>
      </c>
      <c r="G30" s="622">
        <v>5.0000000000000001E-3</v>
      </c>
      <c r="H30" s="622">
        <v>5.0000000000000001E-3</v>
      </c>
      <c r="I30" s="628"/>
      <c r="J30" s="628"/>
      <c r="K30" s="628"/>
      <c r="L30" s="628"/>
      <c r="M30" s="628"/>
      <c r="N30" s="628"/>
      <c r="O30" s="628"/>
      <c r="P30" s="21"/>
      <c r="Q30" s="21"/>
      <c r="R30" s="21"/>
    </row>
    <row r="31" spans="2:18" ht="15" customHeight="1" x14ac:dyDescent="0.3">
      <c r="B31" s="472" t="s">
        <v>690</v>
      </c>
      <c r="C31" s="21"/>
      <c r="D31" s="600">
        <f>+(IS!AI36+IS!AH36+IS!AE36+IS!AD36)/WACC!D28</f>
        <v>3.7784191306396514E-2</v>
      </c>
      <c r="E31" s="542">
        <f>+E30+E15</f>
        <v>4.1200000000000001E-2</v>
      </c>
      <c r="F31" s="542">
        <f>+F30+F15</f>
        <v>4.0499999999999994E-2</v>
      </c>
      <c r="G31" s="542">
        <f>+G30+G15</f>
        <v>4.0599999999999997E-2</v>
      </c>
      <c r="H31" s="542">
        <f>+H30+H15</f>
        <v>4.1799999999999997E-2</v>
      </c>
      <c r="I31" s="628"/>
      <c r="J31" s="628"/>
      <c r="K31" s="628"/>
      <c r="L31" s="628"/>
      <c r="M31" s="628"/>
      <c r="N31" s="628"/>
      <c r="O31" s="628"/>
      <c r="P31" s="21"/>
      <c r="Q31" s="21"/>
      <c r="R31" s="21"/>
    </row>
    <row r="32" spans="2:18" ht="15" customHeight="1" x14ac:dyDescent="0.3">
      <c r="B32" s="472" t="s">
        <v>691</v>
      </c>
      <c r="C32" s="21"/>
      <c r="D32" s="640">
        <f>+FCFF!Z124</f>
        <v>0.23</v>
      </c>
      <c r="E32" s="640">
        <f>+FCFF!AF124</f>
        <v>0.23</v>
      </c>
      <c r="F32" s="640">
        <f>+FCFF!AH124</f>
        <v>0.23</v>
      </c>
      <c r="G32" s="640">
        <f>+FCFF!AJ124</f>
        <v>0.23</v>
      </c>
      <c r="H32" s="640">
        <f>+FCFF!AL124</f>
        <v>0.23</v>
      </c>
      <c r="I32" s="628"/>
      <c r="J32" s="628"/>
      <c r="K32" s="628"/>
      <c r="L32" s="628"/>
      <c r="M32" s="628"/>
      <c r="N32" s="628"/>
      <c r="O32" s="21"/>
      <c r="P32" s="21"/>
      <c r="Q32" s="21"/>
      <c r="R32" s="21"/>
    </row>
    <row r="33" spans="1:14" ht="15" customHeight="1" x14ac:dyDescent="0.3">
      <c r="A33" s="21"/>
      <c r="B33" s="633" t="s">
        <v>692</v>
      </c>
      <c r="C33" s="21"/>
      <c r="D33" s="634">
        <f>+D31*(1-D32)</f>
        <v>2.9093827305925316E-2</v>
      </c>
      <c r="E33" s="634">
        <f>+E31*(1-E32)</f>
        <v>3.1724000000000002E-2</v>
      </c>
      <c r="F33" s="634">
        <f>+F31*(1-F32)</f>
        <v>3.1184999999999997E-2</v>
      </c>
      <c r="G33" s="634">
        <f>+G31*(1-G32)</f>
        <v>3.1261999999999998E-2</v>
      </c>
      <c r="H33" s="634">
        <f>+H31*(1-H32)</f>
        <v>3.2185999999999999E-2</v>
      </c>
      <c r="I33" s="628"/>
      <c r="J33" s="628"/>
      <c r="K33" s="628"/>
      <c r="L33" s="628"/>
      <c r="M33" s="628"/>
      <c r="N33" s="628"/>
    </row>
    <row r="34" spans="1:14" ht="15" customHeight="1" x14ac:dyDescent="0.3">
      <c r="A34" s="21"/>
      <c r="B34" s="367"/>
      <c r="C34" s="21"/>
      <c r="D34" s="634"/>
      <c r="E34" s="634"/>
      <c r="F34" s="634"/>
      <c r="G34" s="634"/>
      <c r="H34" s="634"/>
      <c r="I34" s="21"/>
      <c r="J34" s="21"/>
      <c r="K34" s="21"/>
      <c r="L34" s="21"/>
      <c r="M34" s="21"/>
      <c r="N34" s="21"/>
    </row>
    <row r="35" spans="1:14" ht="15" customHeight="1" x14ac:dyDescent="0.3">
      <c r="A35" s="21"/>
      <c r="B35" s="369" t="s">
        <v>693</v>
      </c>
      <c r="C35" s="21"/>
      <c r="D35" s="637">
        <f>+D13+D24+D28</f>
        <v>162077.15446679998</v>
      </c>
      <c r="E35" s="637">
        <f>+E13+E24+E28</f>
        <v>168198.28467157335</v>
      </c>
      <c r="F35" s="637">
        <f>+F13+F24+F28</f>
        <v>169466.68712707466</v>
      </c>
      <c r="G35" s="637">
        <f>+G13+G24+G28</f>
        <v>174335.48193425196</v>
      </c>
      <c r="H35" s="637">
        <f>+H13+H24+H28</f>
        <v>178425.86889136085</v>
      </c>
      <c r="I35" s="21"/>
      <c r="J35" s="21"/>
      <c r="K35" s="21"/>
      <c r="L35" s="21"/>
      <c r="M35" s="21"/>
      <c r="N35" s="21"/>
    </row>
    <row r="36" spans="1:14" ht="15" customHeight="1" x14ac:dyDescent="0.3">
      <c r="A36" s="21"/>
      <c r="B36" s="369"/>
      <c r="C36" s="21"/>
      <c r="D36" s="21"/>
      <c r="E36" s="21"/>
      <c r="F36" s="21"/>
      <c r="G36" s="21"/>
      <c r="H36" s="21"/>
      <c r="I36" s="637"/>
      <c r="J36" s="637"/>
      <c r="K36" s="637"/>
      <c r="L36" s="637"/>
      <c r="M36" s="637"/>
      <c r="N36" s="637"/>
    </row>
    <row r="37" spans="1:14" ht="15" customHeight="1" x14ac:dyDescent="0.3">
      <c r="A37" s="21"/>
      <c r="B37" s="369" t="s">
        <v>694</v>
      </c>
      <c r="C37" s="21"/>
      <c r="D37" s="641">
        <v>0</v>
      </c>
      <c r="E37" s="641">
        <v>0</v>
      </c>
      <c r="F37" s="641">
        <v>0</v>
      </c>
      <c r="G37" s="641">
        <v>0</v>
      </c>
      <c r="H37" s="641">
        <v>0</v>
      </c>
      <c r="I37" s="21"/>
      <c r="J37" s="21"/>
      <c r="K37" s="21"/>
      <c r="L37" s="21"/>
      <c r="M37" s="21"/>
      <c r="N37" s="21"/>
    </row>
    <row r="38" spans="1:14" ht="15" customHeight="1" x14ac:dyDescent="0.3">
      <c r="A38" s="21"/>
      <c r="B38" s="369"/>
      <c r="C38" s="21"/>
      <c r="D38" s="21"/>
      <c r="E38" s="21"/>
      <c r="F38" s="21"/>
      <c r="G38" s="21"/>
      <c r="H38" s="21"/>
      <c r="I38" s="628"/>
      <c r="J38" s="628"/>
      <c r="K38" s="628"/>
      <c r="L38" s="628"/>
      <c r="M38" s="628"/>
      <c r="N38" s="628"/>
    </row>
    <row r="39" spans="1:14" ht="15" customHeight="1" x14ac:dyDescent="0.3">
      <c r="A39" s="606" t="s">
        <v>39</v>
      </c>
      <c r="B39" s="642" t="s">
        <v>695</v>
      </c>
      <c r="C39" s="643"/>
      <c r="D39" s="644">
        <f ca="1">+D19*D14+D25*D23+D33*D29+D37</f>
        <v>7.0340087440881577E-2</v>
      </c>
      <c r="E39" s="644">
        <f ca="1">+E19*E14+E25*E23+E33*E29+E37</f>
        <v>6.6665684957240956E-2</v>
      </c>
      <c r="F39" s="644">
        <f ca="1">+F19*F14+F25*F23+F33*F29+F37</f>
        <v>6.5713330286671132E-2</v>
      </c>
      <c r="G39" s="644">
        <f ca="1">+G19*G14+G25*G23+G33*G29+G37</f>
        <v>6.4290453738417644E-2</v>
      </c>
      <c r="H39" s="645">
        <f ca="1">+H19*H14+H25*H23+H33*H29+H37</f>
        <v>6.5794776506265348E-2</v>
      </c>
      <c r="I39" s="21"/>
      <c r="J39" s="21"/>
      <c r="K39" s="21"/>
      <c r="L39" s="21"/>
      <c r="M39" s="21"/>
      <c r="N39" s="21"/>
    </row>
    <row r="40" spans="1:14" ht="15" customHeight="1" x14ac:dyDescent="0.3">
      <c r="A40" s="21"/>
      <c r="B40" s="21"/>
      <c r="C40" s="21"/>
      <c r="D40" s="21"/>
      <c r="E40" s="21"/>
      <c r="F40" s="21"/>
      <c r="G40" s="21"/>
      <c r="H40" s="21"/>
      <c r="I40" s="646"/>
      <c r="J40" s="646"/>
      <c r="K40" s="646"/>
      <c r="L40" s="646"/>
      <c r="M40" s="646"/>
      <c r="N40" s="646"/>
    </row>
    <row r="41" spans="1:14" ht="15" hidden="1" customHeight="1" x14ac:dyDescent="0.3">
      <c r="A41" s="21"/>
      <c r="B41" s="21" t="s">
        <v>696</v>
      </c>
      <c r="C41" s="21"/>
      <c r="D41" s="22">
        <f>+FCFF!Z126</f>
        <v>8401.411719173655</v>
      </c>
      <c r="E41" s="22">
        <f>+FCFF!AF126</f>
        <v>8620.0281781379326</v>
      </c>
      <c r="F41" s="22">
        <f>+FCFF!AH126</f>
        <v>9149.7741234303467</v>
      </c>
      <c r="G41" s="22">
        <f>+FCFF!AJ126</f>
        <v>9662.7039747663239</v>
      </c>
      <c r="H41" s="22">
        <f>+FCFF!AL126</f>
        <v>10204.503477356498</v>
      </c>
      <c r="I41" s="646"/>
      <c r="J41" s="646"/>
      <c r="K41" s="646"/>
      <c r="L41" s="646"/>
      <c r="M41" s="646"/>
      <c r="N41" s="646"/>
    </row>
    <row r="42" spans="1:14" ht="15" hidden="1" customHeight="1" x14ac:dyDescent="0.3">
      <c r="A42" s="21"/>
      <c r="B42" s="21" t="s">
        <v>697</v>
      </c>
      <c r="C42" s="21"/>
      <c r="D42" s="22">
        <f>+FCFF!Z112+FCFF!Z115</f>
        <v>-8091.6070392446718</v>
      </c>
      <c r="E42" s="22">
        <f>+FCFF!AF112+FCFF!AF115</f>
        <v>-7906.6121165993109</v>
      </c>
      <c r="F42" s="22">
        <f>+FCFF!AH112+FCFF!AH115</f>
        <v>-8184.4028730750488</v>
      </c>
      <c r="G42" s="22">
        <f>+FCFF!AJ112+FCFF!AJ115</f>
        <v>-4058.3356694018557</v>
      </c>
      <c r="H42" s="22">
        <f>+FCFF!AL112+FCFF!AL115</f>
        <v>-4183.846425716164</v>
      </c>
      <c r="I42" s="646"/>
      <c r="J42" s="646"/>
      <c r="K42" s="646"/>
      <c r="L42" s="646"/>
      <c r="M42" s="646"/>
      <c r="N42" s="646"/>
    </row>
    <row r="43" spans="1:14" ht="15" hidden="1" customHeight="1" x14ac:dyDescent="0.3">
      <c r="A43" s="21"/>
      <c r="B43" s="21" t="s">
        <v>698</v>
      </c>
      <c r="C43" s="604">
        <f>+BS!AF54</f>
        <v>16890</v>
      </c>
      <c r="D43" s="22">
        <f>+C43+D41+D42</f>
        <v>17199.804679928984</v>
      </c>
      <c r="E43" s="22">
        <f t="shared" ref="E43:G43" si="3">+D43+E41+E42</f>
        <v>17913.220741467609</v>
      </c>
      <c r="F43" s="22">
        <f t="shared" si="3"/>
        <v>18878.591991822905</v>
      </c>
      <c r="G43" s="22">
        <f t="shared" si="3"/>
        <v>24482.960297187372</v>
      </c>
      <c r="H43" s="22">
        <f>+G43+H41+H42</f>
        <v>30503.617348827702</v>
      </c>
      <c r="I43" s="646"/>
      <c r="J43" s="646"/>
      <c r="K43" s="646"/>
      <c r="L43" s="646"/>
      <c r="M43" s="646"/>
      <c r="N43" s="646"/>
    </row>
    <row r="44" spans="1:14" ht="15" hidden="1" customHeight="1" x14ac:dyDescent="0.3">
      <c r="A44" s="21"/>
      <c r="B44" s="21" t="s">
        <v>699</v>
      </c>
      <c r="C44" s="604">
        <f t="shared" ref="C44:H44" si="4">+C43+C28</f>
        <v>49353</v>
      </c>
      <c r="D44" s="22">
        <f t="shared" si="4"/>
        <v>51155.804679928988</v>
      </c>
      <c r="E44" s="22">
        <f t="shared" si="4"/>
        <v>52548.340741467611</v>
      </c>
      <c r="F44" s="22">
        <f t="shared" si="4"/>
        <v>54206.414391822909</v>
      </c>
      <c r="G44" s="22">
        <f t="shared" si="4"/>
        <v>60517.339145187376</v>
      </c>
      <c r="H44" s="22">
        <f t="shared" si="4"/>
        <v>67258.683773787707</v>
      </c>
      <c r="I44" s="646"/>
      <c r="J44" s="646"/>
      <c r="K44" s="21"/>
      <c r="L44" s="646"/>
      <c r="M44" s="646"/>
      <c r="N44" s="646"/>
    </row>
    <row r="45" spans="1:14" ht="15" customHeight="1" x14ac:dyDescent="0.3">
      <c r="A45" s="606" t="s">
        <v>39</v>
      </c>
      <c r="B45" s="601" t="s">
        <v>257</v>
      </c>
      <c r="C45" s="647"/>
      <c r="D45" s="648">
        <f>+D41/((D44+C44)/2)</f>
        <v>0.16717762679454823</v>
      </c>
      <c r="E45" s="648">
        <f t="shared" ref="E45:H45" si="5">+E41/((E44+D44)/2)</f>
        <v>0.16624269248082379</v>
      </c>
      <c r="F45" s="648">
        <f t="shared" si="5"/>
        <v>0.17141670386497043</v>
      </c>
      <c r="G45" s="648">
        <f t="shared" si="5"/>
        <v>0.16845167067601396</v>
      </c>
      <c r="H45" s="649">
        <f t="shared" si="5"/>
        <v>0.15972485673352574</v>
      </c>
      <c r="I45" s="21"/>
      <c r="J45" s="21"/>
      <c r="K45" s="21"/>
      <c r="L45" s="21"/>
      <c r="M45" s="21"/>
      <c r="N45" s="21"/>
    </row>
    <row r="46" spans="1:14" ht="15" customHeight="1" x14ac:dyDescent="0.3">
      <c r="A46" s="21"/>
      <c r="B46" s="21"/>
      <c r="C46" s="21"/>
      <c r="D46" s="21"/>
      <c r="E46" s="21"/>
      <c r="F46" s="21"/>
      <c r="G46" s="21"/>
      <c r="H46" s="21"/>
      <c r="I46" s="21"/>
      <c r="J46" s="21"/>
      <c r="K46" s="21"/>
      <c r="L46" s="21"/>
      <c r="M46" s="21"/>
      <c r="N46" s="21"/>
    </row>
    <row r="49" spans="23:23" ht="15" customHeight="1" x14ac:dyDescent="0.3">
      <c r="W49" s="21" t="s">
        <v>700</v>
      </c>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opLeftCell="S154" zoomScale="60" zoomScaleNormal="115" workbookViewId="0">
      <selection activeCell="AF165" sqref="AF165"/>
    </sheetView>
  </sheetViews>
  <sheetFormatPr defaultColWidth="9" defaultRowHeight="14.25" customHeight="1" outlineLevelCol="1" x14ac:dyDescent="0.3"/>
  <cols>
    <col min="1" max="1" width="2" style="94" customWidth="1"/>
    <col min="2" max="2" width="50.5" style="94" customWidth="1"/>
    <col min="3" max="3" width="3.33203125" style="21" customWidth="1"/>
    <col min="4" max="7" width="9.5" style="94" customWidth="1" outlineLevel="1"/>
    <col min="8" max="8" width="11.5" style="94" customWidth="1"/>
    <col min="9" max="9" width="1.5" style="21" customWidth="1"/>
    <col min="10" max="13" width="9.5" style="94" customWidth="1" outlineLevel="1"/>
    <col min="14" max="14" width="11.5" style="94" customWidth="1"/>
    <col min="15" max="15" width="1.5" style="21" customWidth="1"/>
    <col min="16" max="19" width="9.5" style="94" customWidth="1" outlineLevel="1"/>
    <col min="20" max="20" width="11.5" style="94" customWidth="1"/>
    <col min="21" max="21" width="1.5" style="21" customWidth="1"/>
    <col min="22" max="25" width="9.5" style="94" customWidth="1" outlineLevel="1"/>
    <col min="26" max="26" width="11.5" style="94" customWidth="1"/>
    <col min="27" max="27" width="1.5" style="21" customWidth="1"/>
    <col min="28" max="31" width="9.5" style="94" customWidth="1" outlineLevel="1"/>
    <col min="32" max="32" width="11.5" style="94" customWidth="1"/>
    <col min="33" max="33" width="1.5" style="21" customWidth="1"/>
    <col min="34" max="34" width="11.5" style="94" customWidth="1"/>
    <col min="35" max="35" width="1.5" style="21" customWidth="1"/>
    <col min="36" max="36" width="11.5" style="102" customWidth="1"/>
    <col min="37" max="37" width="1.5" style="94" customWidth="1"/>
    <col min="38" max="38" width="11.5" style="94" customWidth="1"/>
    <col min="39" max="39" width="1.5" style="94" customWidth="1"/>
    <col min="40" max="44" width="9" style="94"/>
    <col min="45" max="45" width="15.58203125" style="94" customWidth="1"/>
    <col min="46" max="16384" width="9" style="94"/>
  </cols>
  <sheetData>
    <row r="1" spans="1:60" s="569" customFormat="1" ht="15" customHeight="1" x14ac:dyDescent="0.3"/>
    <row r="2" spans="1:60" s="569" customFormat="1" ht="15" customHeight="1" x14ac:dyDescent="0.3"/>
    <row r="3" spans="1:60" s="569" customFormat="1" ht="15" customHeight="1" x14ac:dyDescent="0.3"/>
    <row r="4" spans="1:60" s="569" customFormat="1" ht="15" customHeight="1" x14ac:dyDescent="0.3"/>
    <row r="5" spans="1:60" s="285" customFormat="1" ht="4" customHeight="1" x14ac:dyDescent="0.3">
      <c r="C5" s="34"/>
      <c r="I5" s="34"/>
      <c r="O5" s="34"/>
      <c r="U5" s="34"/>
      <c r="AA5" s="34"/>
      <c r="AG5" s="34"/>
      <c r="AI5" s="34"/>
      <c r="AJ5" s="286"/>
    </row>
    <row r="7" spans="1:60" s="38" customFormat="1" ht="15" customHeight="1" x14ac:dyDescent="0.3">
      <c r="A7" s="28" t="s">
        <v>39</v>
      </c>
      <c r="B7" s="158" t="s">
        <v>701</v>
      </c>
      <c r="C7" s="16"/>
      <c r="D7" s="159"/>
      <c r="E7" s="159"/>
      <c r="F7" s="159"/>
      <c r="G7" s="159"/>
      <c r="H7" s="159"/>
      <c r="I7" s="16"/>
      <c r="J7" s="159"/>
      <c r="K7" s="159"/>
      <c r="L7" s="159"/>
      <c r="M7" s="159"/>
      <c r="N7" s="159"/>
      <c r="O7" s="16"/>
      <c r="P7" s="159"/>
      <c r="Q7" s="159"/>
      <c r="R7" s="159"/>
      <c r="S7" s="159"/>
      <c r="T7" s="159"/>
      <c r="U7" s="16"/>
      <c r="V7" s="159"/>
      <c r="W7" s="159"/>
      <c r="X7" s="159"/>
      <c r="Y7" s="159"/>
      <c r="Z7" s="159"/>
      <c r="AA7" s="16"/>
      <c r="AB7" s="159"/>
      <c r="AC7" s="159"/>
      <c r="AD7" s="159"/>
      <c r="AE7" s="159"/>
      <c r="AF7" s="159"/>
      <c r="AG7" s="16"/>
      <c r="AH7" s="159"/>
      <c r="AI7" s="16"/>
      <c r="AJ7" s="160"/>
      <c r="AK7" s="16"/>
      <c r="AL7" s="160"/>
    </row>
    <row r="8" spans="1:60" s="38" customFormat="1" ht="15" customHeight="1" x14ac:dyDescent="0.3">
      <c r="B8" s="161"/>
      <c r="C8" s="16"/>
      <c r="D8" s="1244">
        <v>2022</v>
      </c>
      <c r="E8" s="1244"/>
      <c r="F8" s="1244"/>
      <c r="G8" s="1244"/>
      <c r="H8" s="1244"/>
      <c r="I8" s="166"/>
      <c r="J8" s="1244">
        <f>D8+1</f>
        <v>2023</v>
      </c>
      <c r="K8" s="1244"/>
      <c r="L8" s="1244"/>
      <c r="M8" s="1244"/>
      <c r="N8" s="1244"/>
      <c r="O8" s="166"/>
      <c r="P8" s="1244">
        <f>J8+1</f>
        <v>2024</v>
      </c>
      <c r="Q8" s="1244"/>
      <c r="R8" s="1244"/>
      <c r="S8" s="1244"/>
      <c r="T8" s="1244"/>
      <c r="U8" s="166"/>
      <c r="V8" s="1243">
        <f>P8+1</f>
        <v>2025</v>
      </c>
      <c r="W8" s="1243"/>
      <c r="X8" s="1243"/>
      <c r="Y8" s="1243"/>
      <c r="Z8" s="1243"/>
      <c r="AA8" s="166"/>
      <c r="AB8" s="1243">
        <f>V8+1</f>
        <v>2026</v>
      </c>
      <c r="AC8" s="1243"/>
      <c r="AD8" s="1243"/>
      <c r="AE8" s="1243"/>
      <c r="AF8" s="1243"/>
      <c r="AG8" s="168"/>
      <c r="AH8" s="163">
        <f>AB8+1</f>
        <v>2027</v>
      </c>
      <c r="AI8" s="164"/>
      <c r="AJ8" s="163">
        <f>+AH8+1</f>
        <v>2028</v>
      </c>
      <c r="AK8" s="164"/>
      <c r="AL8" s="163">
        <f>+AJ8+1</f>
        <v>2029</v>
      </c>
    </row>
    <row r="9" spans="1:60" s="38" customFormat="1" ht="14.25" customHeight="1" x14ac:dyDescent="0.3">
      <c r="B9" s="161"/>
      <c r="C9" s="16"/>
      <c r="D9" s="165" t="s">
        <v>217</v>
      </c>
      <c r="E9" s="165" t="s">
        <v>218</v>
      </c>
      <c r="F9" s="165" t="s">
        <v>219</v>
      </c>
      <c r="G9" s="165" t="s">
        <v>220</v>
      </c>
      <c r="H9" s="165" t="s">
        <v>221</v>
      </c>
      <c r="I9" s="162"/>
      <c r="J9" s="165" t="s">
        <v>217</v>
      </c>
      <c r="K9" s="165" t="s">
        <v>218</v>
      </c>
      <c r="L9" s="165" t="s">
        <v>219</v>
      </c>
      <c r="M9" s="165" t="s">
        <v>220</v>
      </c>
      <c r="N9" s="165" t="s">
        <v>221</v>
      </c>
      <c r="O9" s="162"/>
      <c r="P9" s="165" t="s">
        <v>217</v>
      </c>
      <c r="Q9" s="165" t="s">
        <v>218</v>
      </c>
      <c r="R9" s="165" t="s">
        <v>219</v>
      </c>
      <c r="S9" s="165" t="s">
        <v>220</v>
      </c>
      <c r="T9" s="165" t="s">
        <v>221</v>
      </c>
      <c r="U9" s="162"/>
      <c r="V9" s="165" t="s">
        <v>217</v>
      </c>
      <c r="W9" s="165" t="s">
        <v>218</v>
      </c>
      <c r="X9" s="165" t="s">
        <v>219</v>
      </c>
      <c r="Y9" s="165" t="s">
        <v>220</v>
      </c>
      <c r="Z9" s="165" t="s">
        <v>221</v>
      </c>
      <c r="AA9" s="162"/>
      <c r="AB9" s="165" t="s">
        <v>217</v>
      </c>
      <c r="AC9" s="165" t="s">
        <v>218</v>
      </c>
      <c r="AD9" s="165" t="s">
        <v>219</v>
      </c>
      <c r="AE9" s="165" t="s">
        <v>220</v>
      </c>
      <c r="AF9" s="165" t="s">
        <v>221</v>
      </c>
      <c r="AG9" s="162"/>
      <c r="AH9" s="165" t="s">
        <v>221</v>
      </c>
      <c r="AI9" s="162"/>
      <c r="AJ9" s="165" t="s">
        <v>221</v>
      </c>
      <c r="AK9" s="162"/>
      <c r="AL9" s="165" t="s">
        <v>221</v>
      </c>
    </row>
    <row r="10" spans="1:60" ht="14.25" customHeight="1" x14ac:dyDescent="0.3">
      <c r="AJ10" s="94"/>
    </row>
    <row r="11" spans="1:60" ht="14.25" customHeight="1" x14ac:dyDescent="0.3">
      <c r="B11" s="94" t="s">
        <v>225</v>
      </c>
      <c r="H11" s="309">
        <f>Segments!T21</f>
        <v>7537</v>
      </c>
      <c r="N11" s="309">
        <f>Segments!Z21</f>
        <v>7358</v>
      </c>
      <c r="T11" s="309">
        <f>Segments!AF21</f>
        <v>7207</v>
      </c>
      <c r="Z11" s="1110">
        <f>Anexo_projections!AA60</f>
        <v>7502.4756900000011</v>
      </c>
      <c r="AF11" s="1110">
        <f>Anexo_projections!AG60</f>
        <v>7727.1068672000019</v>
      </c>
      <c r="AH11" s="1110">
        <f>Anexo_projections!AI60</f>
        <v>7927.8107115976682</v>
      </c>
      <c r="AJ11" s="1110">
        <f>Anexo_projections!AK60</f>
        <v>8179.4589189713888</v>
      </c>
      <c r="AL11" s="1110">
        <f>Anexo_projections!AM60</f>
        <v>8453.6025179965491</v>
      </c>
    </row>
    <row r="12" spans="1:60" ht="14.25" customHeight="1" x14ac:dyDescent="0.3">
      <c r="B12" s="94" t="s">
        <v>65</v>
      </c>
      <c r="H12" s="309">
        <f>Segments!T22</f>
        <v>8205</v>
      </c>
      <c r="N12" s="309">
        <f>Segments!Z22</f>
        <v>8238</v>
      </c>
      <c r="T12" s="309">
        <f>Segments!AF22</f>
        <v>8440</v>
      </c>
      <c r="Z12" s="1110">
        <f>Anexo_projections!AA69</f>
        <v>8434.4370366666662</v>
      </c>
      <c r="AF12" s="1110">
        <f>Anexo_projections!AG69</f>
        <v>8683.6106463111119</v>
      </c>
      <c r="AH12" s="1110">
        <f>Anexo_projections!AI69</f>
        <v>8963.9600435654083</v>
      </c>
      <c r="AJ12" s="1110">
        <f>Anexo_projections!AK69</f>
        <v>9222.794765120485</v>
      </c>
      <c r="AL12" s="1110">
        <f>Anexo_projections!AM69</f>
        <v>9476.3774841713948</v>
      </c>
    </row>
    <row r="13" spans="1:60" ht="14.25" customHeight="1" x14ac:dyDescent="0.3">
      <c r="B13" s="94" t="s">
        <v>227</v>
      </c>
      <c r="H13" s="309">
        <f>Segments!T23</f>
        <v>7417</v>
      </c>
      <c r="N13" s="309">
        <f>Segments!Z23</f>
        <v>6975</v>
      </c>
      <c r="T13" s="309">
        <f>Segments!AF23</f>
        <v>7164</v>
      </c>
      <c r="Z13" s="1110">
        <f>Anexo_projections!AA74</f>
        <v>8043.9582666666665</v>
      </c>
      <c r="AF13" s="1110">
        <f>Anexo_projections!AG74</f>
        <v>8278.1383044444447</v>
      </c>
      <c r="AH13" s="1110">
        <f>Anexo_projections!AI74</f>
        <v>8436.0021902518529</v>
      </c>
      <c r="AJ13" s="1110">
        <f>Anexo_projections!AK74</f>
        <v>8757.966933158521</v>
      </c>
      <c r="AL13" s="1110">
        <f>Anexo_projections!AM74</f>
        <v>8904.1804911122254</v>
      </c>
    </row>
    <row r="14" spans="1:60" ht="14.25" customHeight="1" x14ac:dyDescent="0.3">
      <c r="B14" s="94" t="s">
        <v>228</v>
      </c>
      <c r="H14" s="309">
        <f>Segments!T24</f>
        <v>1716</v>
      </c>
      <c r="N14" s="309">
        <f>Segments!Z24</f>
        <v>1548</v>
      </c>
      <c r="T14" s="309">
        <f>Segments!AF24</f>
        <v>1439</v>
      </c>
      <c r="Z14" s="94">
        <f>Anexo_projections!AA77</f>
        <v>1500</v>
      </c>
      <c r="AF14" s="94">
        <f>Anexo_projections!AG77</f>
        <v>1500</v>
      </c>
      <c r="AH14" s="94">
        <f>Anexo_projections!AI77</f>
        <v>1500</v>
      </c>
      <c r="AJ14" s="102">
        <f>Anexo_projections!AK77</f>
        <v>1500</v>
      </c>
      <c r="AL14" s="94">
        <f>Anexo_projections!AM77</f>
        <v>1500</v>
      </c>
    </row>
    <row r="15" spans="1:60" ht="14.25" hidden="1" customHeight="1" x14ac:dyDescent="0.3">
      <c r="AS15" s="598"/>
      <c r="AT15" s="598"/>
      <c r="AU15" s="598"/>
      <c r="AV15" s="599"/>
      <c r="AW15" s="599"/>
      <c r="AX15" s="599"/>
      <c r="AY15" s="599"/>
      <c r="AZ15" s="599"/>
    </row>
    <row r="16" spans="1:60" ht="14.25" hidden="1" customHeight="1" x14ac:dyDescent="0.3">
      <c r="AS16" s="309"/>
      <c r="AT16" s="309"/>
      <c r="AU16" s="309"/>
      <c r="AV16" s="309"/>
      <c r="AW16" s="309"/>
      <c r="AX16" s="309"/>
      <c r="AY16" s="309"/>
      <c r="AZ16" s="309"/>
      <c r="BA16" s="309"/>
      <c r="BB16" s="309"/>
      <c r="BC16" s="309"/>
      <c r="BD16" s="309"/>
      <c r="BE16" s="309"/>
      <c r="BF16" s="309"/>
      <c r="BG16" s="309"/>
      <c r="BH16" s="309"/>
    </row>
    <row r="17" spans="1:55" ht="14.25" hidden="1" customHeight="1" x14ac:dyDescent="0.3">
      <c r="X17" s="309"/>
      <c r="AS17" s="309"/>
      <c r="AT17" s="309"/>
      <c r="AU17" s="309"/>
      <c r="AV17" s="309"/>
      <c r="AW17" s="309"/>
      <c r="AX17" s="309"/>
      <c r="AY17" s="309"/>
      <c r="AZ17" s="309"/>
    </row>
    <row r="18" spans="1:55" ht="14.25" hidden="1" customHeight="1" x14ac:dyDescent="0.3">
      <c r="AS18" s="323"/>
      <c r="AT18" s="323"/>
      <c r="AU18" s="323"/>
      <c r="AV18" s="323"/>
      <c r="AW18" s="323"/>
      <c r="AX18" s="323"/>
      <c r="AY18" s="323"/>
      <c r="AZ18" s="323"/>
      <c r="BC18" s="309"/>
    </row>
    <row r="19" spans="1:55" ht="14.25" hidden="1" customHeight="1" x14ac:dyDescent="0.3"/>
    <row r="20" spans="1:55" ht="14.25" hidden="1" customHeight="1" x14ac:dyDescent="0.3"/>
    <row r="21" spans="1:55" s="38" customFormat="1" ht="15" customHeight="1" x14ac:dyDescent="0.3">
      <c r="B21" s="516" t="s">
        <v>702</v>
      </c>
      <c r="C21" s="517"/>
      <c r="D21" s="518"/>
      <c r="E21" s="518"/>
      <c r="F21" s="518"/>
      <c r="G21" s="518"/>
      <c r="H21" s="520">
        <f>SUM(H11:H19)</f>
        <v>24875</v>
      </c>
      <c r="I21" s="517"/>
      <c r="J21" s="518"/>
      <c r="K21" s="518"/>
      <c r="L21" s="518"/>
      <c r="M21" s="518"/>
      <c r="N21" s="520">
        <f>SUM(N11:N19)</f>
        <v>24119</v>
      </c>
      <c r="O21" s="517"/>
      <c r="P21" s="518"/>
      <c r="Q21" s="518"/>
      <c r="R21" s="518"/>
      <c r="S21" s="518"/>
      <c r="T21" s="520">
        <f>SUM(T11:T19)</f>
        <v>24250</v>
      </c>
      <c r="U21" s="519"/>
      <c r="V21" s="518"/>
      <c r="W21" s="518"/>
      <c r="X21" s="520"/>
      <c r="Y21" s="520"/>
      <c r="Z21" s="520">
        <f t="shared" ref="Z21:AL21" si="0">SUM(Z11:Z19)</f>
        <v>25480.870993333334</v>
      </c>
      <c r="AA21" s="520">
        <f t="shared" si="0"/>
        <v>0</v>
      </c>
      <c r="AB21" s="520"/>
      <c r="AC21" s="520"/>
      <c r="AD21" s="520"/>
      <c r="AE21" s="520"/>
      <c r="AF21" s="520">
        <f t="shared" si="0"/>
        <v>26188.855817955558</v>
      </c>
      <c r="AG21" s="520">
        <f t="shared" si="0"/>
        <v>0</v>
      </c>
      <c r="AH21" s="520">
        <f t="shared" si="0"/>
        <v>26827.77294541493</v>
      </c>
      <c r="AI21" s="520">
        <f t="shared" si="0"/>
        <v>0</v>
      </c>
      <c r="AJ21" s="520">
        <f t="shared" si="0"/>
        <v>27660.220617250394</v>
      </c>
      <c r="AK21" s="520">
        <f t="shared" si="0"/>
        <v>0</v>
      </c>
      <c r="AL21" s="520">
        <f t="shared" si="0"/>
        <v>28334.160493280171</v>
      </c>
      <c r="AM21" s="521"/>
    </row>
    <row r="22" spans="1:55" s="38" customFormat="1" ht="15" customHeight="1" x14ac:dyDescent="0.3">
      <c r="C22" s="15"/>
      <c r="I22" s="15"/>
      <c r="O22" s="15"/>
      <c r="U22" s="15"/>
      <c r="AA22" s="15"/>
      <c r="AG22" s="15"/>
      <c r="AI22" s="15"/>
      <c r="AJ22" s="39"/>
      <c r="AK22" s="15"/>
      <c r="AL22" s="39"/>
    </row>
    <row r="23" spans="1:55" s="38" customFormat="1" ht="15" customHeight="1" x14ac:dyDescent="0.3">
      <c r="A23" s="28" t="s">
        <v>39</v>
      </c>
      <c r="B23" s="158" t="s">
        <v>703</v>
      </c>
      <c r="C23" s="16"/>
      <c r="D23" s="159"/>
      <c r="E23" s="159"/>
      <c r="F23" s="159"/>
      <c r="G23" s="159"/>
      <c r="H23" s="159"/>
      <c r="I23" s="16"/>
      <c r="J23" s="159"/>
      <c r="K23" s="159"/>
      <c r="L23" s="159"/>
      <c r="M23" s="159"/>
      <c r="N23" s="159"/>
      <c r="O23" s="16"/>
      <c r="P23" s="159"/>
      <c r="Q23" s="159"/>
      <c r="R23" s="159"/>
      <c r="S23" s="159"/>
      <c r="T23" s="159"/>
      <c r="U23" s="16"/>
      <c r="V23" s="159"/>
      <c r="W23" s="159"/>
      <c r="X23" s="159"/>
      <c r="Y23" s="159"/>
      <c r="Z23" s="159"/>
      <c r="AA23" s="16"/>
      <c r="AB23" s="159"/>
      <c r="AC23" s="159"/>
      <c r="AD23" s="159"/>
      <c r="AE23" s="159"/>
      <c r="AF23" s="159"/>
      <c r="AG23" s="16"/>
      <c r="AH23" s="159"/>
      <c r="AI23" s="16"/>
      <c r="AJ23" s="160"/>
      <c r="AK23" s="16"/>
      <c r="AL23" s="160"/>
      <c r="AM23" s="160"/>
    </row>
    <row r="24" spans="1:55" s="38" customFormat="1" ht="15" customHeight="1" x14ac:dyDescent="0.3">
      <c r="B24" s="161"/>
      <c r="C24" s="16"/>
      <c r="D24" s="1244">
        <f>D$8</f>
        <v>2022</v>
      </c>
      <c r="E24" s="1244">
        <f>F24</f>
        <v>0</v>
      </c>
      <c r="F24" s="1244">
        <f>F$8</f>
        <v>0</v>
      </c>
      <c r="G24" s="1244">
        <f>F24</f>
        <v>0</v>
      </c>
      <c r="H24" s="1244">
        <f>F24</f>
        <v>0</v>
      </c>
      <c r="I24" s="166"/>
      <c r="J24" s="1244">
        <f>J$8</f>
        <v>2023</v>
      </c>
      <c r="K24" s="1244">
        <f>L24</f>
        <v>0</v>
      </c>
      <c r="L24" s="1244">
        <f>L$8</f>
        <v>0</v>
      </c>
      <c r="M24" s="1244">
        <f>L24</f>
        <v>0</v>
      </c>
      <c r="N24" s="1244">
        <f>L24</f>
        <v>0</v>
      </c>
      <c r="O24" s="166"/>
      <c r="P24" s="1244">
        <f>P$8</f>
        <v>2024</v>
      </c>
      <c r="Q24" s="1244">
        <f>R24</f>
        <v>0</v>
      </c>
      <c r="R24" s="1244">
        <f>R$8</f>
        <v>0</v>
      </c>
      <c r="S24" s="1244">
        <f>R24</f>
        <v>0</v>
      </c>
      <c r="T24" s="1244">
        <f>R24</f>
        <v>0</v>
      </c>
      <c r="U24" s="166"/>
      <c r="V24" s="1243">
        <f>V$8</f>
        <v>2025</v>
      </c>
      <c r="W24" s="1243">
        <f>X24</f>
        <v>0</v>
      </c>
      <c r="X24" s="1243">
        <f>X$8</f>
        <v>0</v>
      </c>
      <c r="Y24" s="1243">
        <f>X24</f>
        <v>0</v>
      </c>
      <c r="Z24" s="1243">
        <f>X24</f>
        <v>0</v>
      </c>
      <c r="AA24" s="166"/>
      <c r="AB24" s="1243">
        <f>AB$8</f>
        <v>2026</v>
      </c>
      <c r="AC24" s="1243">
        <f>AD24</f>
        <v>0</v>
      </c>
      <c r="AD24" s="1243">
        <f>AD$8</f>
        <v>0</v>
      </c>
      <c r="AE24" s="1243">
        <f>AD24</f>
        <v>0</v>
      </c>
      <c r="AF24" s="1243">
        <f>AD24</f>
        <v>0</v>
      </c>
      <c r="AG24" s="168"/>
      <c r="AH24" s="163">
        <f>AH$8</f>
        <v>2027</v>
      </c>
      <c r="AI24" s="164"/>
      <c r="AJ24" s="163">
        <f>AJ$8</f>
        <v>2028</v>
      </c>
      <c r="AK24" s="164"/>
      <c r="AL24" s="163">
        <f>AL$8</f>
        <v>2029</v>
      </c>
      <c r="AM24" s="160">
        <f>AN24</f>
        <v>0</v>
      </c>
    </row>
    <row r="25" spans="1:55" s="38" customFormat="1" ht="14.25" customHeight="1" x14ac:dyDescent="0.3">
      <c r="B25" s="161"/>
      <c r="C25" s="16"/>
      <c r="D25" s="165" t="s">
        <v>217</v>
      </c>
      <c r="E25" s="165" t="s">
        <v>218</v>
      </c>
      <c r="F25" s="165" t="s">
        <v>219</v>
      </c>
      <c r="G25" s="165" t="s">
        <v>220</v>
      </c>
      <c r="H25" s="165" t="s">
        <v>221</v>
      </c>
      <c r="I25" s="162"/>
      <c r="J25" s="165" t="s">
        <v>217</v>
      </c>
      <c r="K25" s="165" t="s">
        <v>218</v>
      </c>
      <c r="L25" s="165" t="s">
        <v>219</v>
      </c>
      <c r="M25" s="165" t="s">
        <v>220</v>
      </c>
      <c r="N25" s="165" t="s">
        <v>221</v>
      </c>
      <c r="O25" s="162"/>
      <c r="P25" s="165" t="s">
        <v>217</v>
      </c>
      <c r="Q25" s="165" t="s">
        <v>218</v>
      </c>
      <c r="R25" s="165" t="s">
        <v>219</v>
      </c>
      <c r="S25" s="165" t="s">
        <v>220</v>
      </c>
      <c r="T25" s="165" t="s">
        <v>221</v>
      </c>
      <c r="U25" s="162"/>
      <c r="V25" s="165" t="s">
        <v>217</v>
      </c>
      <c r="W25" s="165" t="s">
        <v>218</v>
      </c>
      <c r="X25" s="165" t="s">
        <v>219</v>
      </c>
      <c r="Y25" s="165" t="s">
        <v>220</v>
      </c>
      <c r="Z25" s="165" t="s">
        <v>221</v>
      </c>
      <c r="AA25" s="162"/>
      <c r="AB25" s="165" t="s">
        <v>217</v>
      </c>
      <c r="AC25" s="165" t="s">
        <v>218</v>
      </c>
      <c r="AD25" s="165" t="s">
        <v>219</v>
      </c>
      <c r="AE25" s="165" t="s">
        <v>220</v>
      </c>
      <c r="AF25" s="165" t="s">
        <v>221</v>
      </c>
      <c r="AG25" s="162"/>
      <c r="AH25" s="165" t="s">
        <v>221</v>
      </c>
      <c r="AI25" s="162"/>
      <c r="AJ25" s="165" t="s">
        <v>221</v>
      </c>
      <c r="AK25" s="162"/>
      <c r="AL25" s="165" t="s">
        <v>221</v>
      </c>
      <c r="AM25" s="160"/>
    </row>
    <row r="26" spans="1:55" s="38" customFormat="1" ht="4" customHeight="1" x14ac:dyDescent="0.3">
      <c r="A26" s="40"/>
      <c r="B26" s="173"/>
      <c r="C26" s="33"/>
      <c r="D26" s="174"/>
      <c r="E26" s="174"/>
      <c r="F26" s="174"/>
      <c r="G26" s="174"/>
      <c r="H26" s="174"/>
      <c r="I26" s="175"/>
      <c r="J26" s="174"/>
      <c r="K26" s="174"/>
      <c r="L26" s="174"/>
      <c r="M26" s="174"/>
      <c r="N26" s="174"/>
      <c r="O26" s="175"/>
      <c r="P26" s="174"/>
      <c r="Q26" s="174"/>
      <c r="R26" s="174"/>
      <c r="S26" s="174"/>
      <c r="T26" s="174"/>
      <c r="U26" s="175"/>
      <c r="V26" s="174"/>
      <c r="W26" s="174"/>
      <c r="X26" s="174"/>
      <c r="Y26" s="174"/>
      <c r="Z26" s="176"/>
      <c r="AA26" s="177"/>
      <c r="AB26" s="176"/>
      <c r="AC26" s="176"/>
      <c r="AD26" s="176"/>
      <c r="AE26" s="176"/>
      <c r="AF26" s="176"/>
      <c r="AG26" s="177"/>
      <c r="AH26" s="176"/>
      <c r="AI26" s="177"/>
      <c r="AJ26" s="176"/>
      <c r="AK26" s="177"/>
      <c r="AL26" s="176"/>
      <c r="AM26" s="176"/>
    </row>
    <row r="27" spans="1:55" s="51" customFormat="1" ht="4" customHeight="1" x14ac:dyDescent="0.3">
      <c r="A27" s="41"/>
      <c r="B27" s="42"/>
      <c r="C27" s="21"/>
      <c r="D27" s="63"/>
      <c r="E27" s="63"/>
      <c r="F27" s="63"/>
      <c r="G27" s="63"/>
      <c r="H27" s="54"/>
      <c r="I27" s="54"/>
      <c r="J27" s="63"/>
      <c r="K27" s="63"/>
      <c r="L27" s="63"/>
      <c r="M27" s="63"/>
      <c r="N27" s="54"/>
      <c r="O27" s="54"/>
      <c r="P27" s="63"/>
      <c r="Q27" s="63"/>
      <c r="R27" s="63"/>
      <c r="S27" s="63"/>
      <c r="T27" s="54"/>
      <c r="U27" s="68"/>
      <c r="V27" s="63"/>
      <c r="W27" s="63"/>
      <c r="X27" s="65"/>
      <c r="Y27" s="65"/>
      <c r="Z27" s="54"/>
      <c r="AA27" s="68"/>
      <c r="AB27" s="65"/>
      <c r="AC27" s="65"/>
      <c r="AD27" s="65"/>
      <c r="AE27" s="65"/>
      <c r="AF27" s="54"/>
      <c r="AG27" s="68"/>
      <c r="AH27" s="55"/>
      <c r="AI27" s="69"/>
      <c r="AJ27" s="55"/>
    </row>
    <row r="28" spans="1:55" s="51" customFormat="1" ht="14.25" customHeight="1" x14ac:dyDescent="0.3">
      <c r="A28" s="41"/>
      <c r="B28" s="158" t="s">
        <v>704</v>
      </c>
      <c r="C28" s="183"/>
      <c r="D28" s="184"/>
      <c r="E28" s="184"/>
      <c r="F28" s="184"/>
      <c r="G28" s="184"/>
      <c r="H28" s="185"/>
      <c r="I28" s="185"/>
      <c r="J28" s="184"/>
      <c r="K28" s="184"/>
      <c r="L28" s="184"/>
      <c r="M28" s="184"/>
      <c r="N28" s="185"/>
      <c r="O28" s="185"/>
      <c r="P28" s="184"/>
      <c r="Q28" s="184"/>
      <c r="R28" s="184"/>
      <c r="S28" s="184"/>
      <c r="T28" s="185"/>
      <c r="U28" s="186"/>
      <c r="V28" s="184"/>
      <c r="W28" s="184"/>
      <c r="X28" s="187"/>
      <c r="Y28" s="187"/>
      <c r="Z28" s="185"/>
      <c r="AA28" s="186"/>
      <c r="AB28" s="187"/>
      <c r="AC28" s="187"/>
      <c r="AD28" s="187"/>
      <c r="AE28" s="187"/>
      <c r="AF28" s="185"/>
      <c r="AG28" s="186"/>
      <c r="AH28" s="188"/>
      <c r="AI28" s="189"/>
      <c r="AJ28" s="188"/>
      <c r="AK28" s="190"/>
      <c r="AL28" s="190"/>
      <c r="AM28" s="190"/>
    </row>
    <row r="29" spans="1:55" s="51" customFormat="1" ht="4" customHeight="1" x14ac:dyDescent="0.3">
      <c r="A29" s="41"/>
      <c r="B29" s="191"/>
      <c r="C29" s="34"/>
      <c r="D29" s="192"/>
      <c r="E29" s="192"/>
      <c r="F29" s="192"/>
      <c r="G29" s="192"/>
      <c r="H29" s="193"/>
      <c r="I29" s="193"/>
      <c r="J29" s="192"/>
      <c r="K29" s="192"/>
      <c r="L29" s="192"/>
      <c r="M29" s="192"/>
      <c r="N29" s="193"/>
      <c r="O29" s="193"/>
      <c r="P29" s="192"/>
      <c r="Q29" s="192"/>
      <c r="R29" s="192"/>
      <c r="S29" s="192"/>
      <c r="T29" s="193"/>
      <c r="U29" s="194"/>
      <c r="V29" s="192"/>
      <c r="W29" s="192"/>
      <c r="X29" s="195"/>
      <c r="Y29" s="195"/>
      <c r="Z29" s="193"/>
      <c r="AA29" s="194"/>
      <c r="AB29" s="195"/>
      <c r="AC29" s="195"/>
      <c r="AD29" s="195"/>
      <c r="AE29" s="195"/>
      <c r="AF29" s="193"/>
      <c r="AG29" s="194"/>
      <c r="AH29" s="196"/>
      <c r="AI29" s="197"/>
      <c r="AJ29" s="196"/>
      <c r="AK29" s="198"/>
      <c r="AL29" s="198"/>
      <c r="AM29" s="198"/>
    </row>
    <row r="30" spans="1:55" s="51" customFormat="1" ht="4" customHeight="1" x14ac:dyDescent="0.3">
      <c r="A30" s="41"/>
      <c r="B30" s="42"/>
      <c r="C30" s="21"/>
      <c r="D30" s="63"/>
      <c r="E30" s="63"/>
      <c r="F30" s="63"/>
      <c r="G30" s="63"/>
      <c r="H30" s="54"/>
      <c r="I30" s="54"/>
      <c r="J30" s="63"/>
      <c r="K30" s="63"/>
      <c r="L30" s="63"/>
      <c r="M30" s="63"/>
      <c r="N30" s="54"/>
      <c r="O30" s="54"/>
      <c r="P30" s="63"/>
      <c r="Q30" s="63"/>
      <c r="R30" s="63"/>
      <c r="S30" s="63"/>
      <c r="T30" s="54"/>
      <c r="U30" s="46"/>
      <c r="V30" s="63"/>
      <c r="W30" s="63"/>
      <c r="X30" s="65"/>
      <c r="Y30" s="65"/>
      <c r="Z30" s="54"/>
      <c r="AA30" s="68"/>
      <c r="AB30" s="65"/>
      <c r="AC30" s="65"/>
      <c r="AD30" s="65"/>
      <c r="AE30" s="65"/>
      <c r="AF30" s="54"/>
      <c r="AG30" s="68"/>
      <c r="AH30" s="55"/>
      <c r="AI30" s="69"/>
      <c r="AJ30" s="55"/>
    </row>
    <row r="31" spans="1:55" s="51" customFormat="1" ht="14.25" customHeight="1" x14ac:dyDescent="0.3">
      <c r="A31" s="41"/>
      <c r="B31" s="26" t="s">
        <v>702</v>
      </c>
      <c r="C31" s="21"/>
      <c r="D31" s="47">
        <f>IS!P18</f>
        <v>5860</v>
      </c>
      <c r="E31" s="47">
        <f>IS!Q18</f>
        <v>6269</v>
      </c>
      <c r="F31" s="47">
        <f>IS!R18</f>
        <v>6566</v>
      </c>
      <c r="G31" s="47">
        <f>IS!S18</f>
        <v>6180</v>
      </c>
      <c r="H31" s="55">
        <f>IS!T18</f>
        <v>24875</v>
      </c>
      <c r="I31" s="54"/>
      <c r="J31" s="47">
        <f>IS!V18</f>
        <v>6056</v>
      </c>
      <c r="K31" s="47">
        <f>IS!W18</f>
        <v>5963</v>
      </c>
      <c r="L31" s="47">
        <f>IS!X18</f>
        <v>5941</v>
      </c>
      <c r="M31" s="47">
        <f>IS!Y18</f>
        <v>6159</v>
      </c>
      <c r="N31" s="55">
        <f>IS!Z18</f>
        <v>24119</v>
      </c>
      <c r="O31" s="54"/>
      <c r="P31" s="47">
        <f>IS!AB18</f>
        <v>6031</v>
      </c>
      <c r="Q31" s="47">
        <f>IS!AC18</f>
        <v>6007</v>
      </c>
      <c r="R31" s="47">
        <f>IS!AD18</f>
        <v>6091</v>
      </c>
      <c r="S31" s="47">
        <f>IS!AE18</f>
        <v>6121</v>
      </c>
      <c r="T31" s="55">
        <f>IS!AF18</f>
        <v>24250</v>
      </c>
      <c r="U31" s="46"/>
      <c r="V31" s="47">
        <f>IS!AH18</f>
        <v>6027</v>
      </c>
      <c r="W31" s="47">
        <f>IS!AI18</f>
        <v>6154</v>
      </c>
      <c r="X31" s="297"/>
      <c r="Y31" s="297"/>
      <c r="Z31" s="54">
        <f>Z21</f>
        <v>25480.870993333334</v>
      </c>
      <c r="AA31" s="68"/>
      <c r="AB31" s="297"/>
      <c r="AC31" s="297"/>
      <c r="AD31" s="297"/>
      <c r="AE31" s="297"/>
      <c r="AF31" s="54">
        <f>AF21</f>
        <v>26188.855817955558</v>
      </c>
      <c r="AG31" s="68"/>
      <c r="AH31" s="54">
        <f t="shared" ref="AH31:AL31" si="1">AH21</f>
        <v>26827.77294541493</v>
      </c>
      <c r="AI31" s="54">
        <f t="shared" si="1"/>
        <v>0</v>
      </c>
      <c r="AJ31" s="54">
        <f t="shared" si="1"/>
        <v>27660.220617250394</v>
      </c>
      <c r="AK31" s="54">
        <f t="shared" si="1"/>
        <v>0</v>
      </c>
      <c r="AL31" s="54">
        <f t="shared" si="1"/>
        <v>28334.160493280171</v>
      </c>
      <c r="AS31" s="309"/>
      <c r="AT31" s="309"/>
      <c r="AU31" s="309"/>
      <c r="AV31" s="309"/>
      <c r="AW31" s="309"/>
      <c r="AX31" s="309"/>
      <c r="AY31" s="309"/>
      <c r="AZ31" s="309"/>
    </row>
    <row r="32" spans="1:55" s="51" customFormat="1" ht="14.25" customHeight="1" x14ac:dyDescent="0.3">
      <c r="A32" s="52"/>
      <c r="B32" s="29" t="s">
        <v>705</v>
      </c>
      <c r="C32" s="21"/>
      <c r="D32" s="302">
        <f>D31/IS!J18-1</f>
        <v>0.1717656468706259</v>
      </c>
      <c r="E32" s="302">
        <f>E31/IS!K18-1</f>
        <v>0.13898982558139528</v>
      </c>
      <c r="F32" s="302">
        <f>F31/IS!L18-1</f>
        <v>0.17966223499820333</v>
      </c>
      <c r="G32" s="302">
        <f>G31/IS!M18-1</f>
        <v>7.796964939822093E-2</v>
      </c>
      <c r="H32" s="303">
        <f>H31/IS!N18-1</f>
        <v>0.14084571638231513</v>
      </c>
      <c r="I32" s="54"/>
      <c r="J32" s="302">
        <f>J31/IS!P18-1</f>
        <v>3.3447098976109313E-2</v>
      </c>
      <c r="K32" s="302">
        <f>K31/IS!Q18-1</f>
        <v>-4.8811612697399864E-2</v>
      </c>
      <c r="L32" s="302">
        <f>L31/IS!R18-1</f>
        <v>-9.5187328662808435E-2</v>
      </c>
      <c r="M32" s="302">
        <f>M31/IS!S18-1</f>
        <v>-3.3980582524272274E-3</v>
      </c>
      <c r="N32" s="303">
        <f>N31/H31-1</f>
        <v>-3.0391959798995005E-2</v>
      </c>
      <c r="O32" s="54"/>
      <c r="P32" s="302">
        <f>P31/IS!V18-1</f>
        <v>-4.1281373844122005E-3</v>
      </c>
      <c r="Q32" s="302">
        <f>Q31/IS!W18-1</f>
        <v>7.3788361562971971E-3</v>
      </c>
      <c r="R32" s="302">
        <f>R31/IS!X18-1</f>
        <v>2.5248274701228812E-2</v>
      </c>
      <c r="S32" s="302">
        <f>S31/IS!Y18-1</f>
        <v>-6.1698327650592244E-3</v>
      </c>
      <c r="T32" s="303">
        <f>T31/N31-1</f>
        <v>5.4314026286330641E-3</v>
      </c>
      <c r="U32" s="46"/>
      <c r="V32" s="302">
        <f>V31/IS!AB18-1</f>
        <v>-6.632399270436462E-4</v>
      </c>
      <c r="W32" s="302">
        <f>W31/IS!AC18-1</f>
        <v>2.4471449975029147E-2</v>
      </c>
      <c r="X32" s="302">
        <f>X31/IS!AD18-1</f>
        <v>-1</v>
      </c>
      <c r="Y32" s="302">
        <f>Y31/IS!AE18-1</f>
        <v>-1</v>
      </c>
      <c r="Z32" s="303">
        <f>Z31/T31-1</f>
        <v>5.0757566735395221E-2</v>
      </c>
      <c r="AA32" s="68"/>
      <c r="AB32" s="302">
        <f>AB31/IS!AH18-1</f>
        <v>-1</v>
      </c>
      <c r="AC32" s="302">
        <f>AC31/IS!AI18-1</f>
        <v>-1</v>
      </c>
      <c r="AD32" s="302" t="e">
        <f>AD31/X31-1</f>
        <v>#DIV/0!</v>
      </c>
      <c r="AE32" s="302" t="e">
        <f>AE31/Y31-1</f>
        <v>#DIV/0!</v>
      </c>
      <c r="AF32" s="303">
        <f>AF31/Z31-1</f>
        <v>2.7784953850575E-2</v>
      </c>
      <c r="AG32" s="68"/>
      <c r="AH32" s="303">
        <f>AH31/AF31-1</f>
        <v>2.439652697699457E-2</v>
      </c>
      <c r="AI32" s="69"/>
      <c r="AJ32" s="303">
        <f>AJ31/AH31-1</f>
        <v>3.1029324481357534E-2</v>
      </c>
      <c r="AL32" s="303">
        <f>AL31/AJ31-1</f>
        <v>2.4364949410760284E-2</v>
      </c>
    </row>
    <row r="33" spans="2:45" s="51" customFormat="1" ht="14.25" customHeight="1" x14ac:dyDescent="0.3">
      <c r="B33" s="29"/>
      <c r="C33" s="21"/>
      <c r="D33" s="302"/>
      <c r="E33" s="302"/>
      <c r="F33" s="302"/>
      <c r="G33" s="302"/>
      <c r="H33" s="305"/>
      <c r="I33" s="45"/>
      <c r="J33" s="302"/>
      <c r="K33" s="302"/>
      <c r="L33" s="302"/>
      <c r="M33" s="302"/>
      <c r="N33" s="305"/>
      <c r="O33" s="68"/>
      <c r="P33" s="302"/>
      <c r="Q33" s="302"/>
      <c r="R33" s="302"/>
      <c r="S33" s="302"/>
      <c r="T33" s="305"/>
      <c r="U33" s="46"/>
      <c r="V33" s="302"/>
      <c r="W33" s="302"/>
      <c r="X33" s="47"/>
      <c r="Y33" s="47"/>
      <c r="Z33" s="63"/>
      <c r="AA33" s="68"/>
      <c r="AB33" s="47"/>
      <c r="AC33" s="47"/>
      <c r="AD33" s="47"/>
      <c r="AE33" s="47"/>
      <c r="AF33" s="63"/>
      <c r="AG33" s="68"/>
      <c r="AH33" s="65"/>
      <c r="AI33" s="69"/>
      <c r="AJ33" s="65"/>
    </row>
    <row r="34" spans="2:45" s="51" customFormat="1" ht="14.25" hidden="1" customHeight="1" x14ac:dyDescent="0.3">
      <c r="B34" s="26" t="s">
        <v>706</v>
      </c>
      <c r="C34" s="21"/>
      <c r="D34" s="47">
        <f>IS!P21</f>
        <v>0</v>
      </c>
      <c r="E34" s="47">
        <f>IS!Q21</f>
        <v>0</v>
      </c>
      <c r="F34" s="47">
        <f>IS!R21</f>
        <v>0</v>
      </c>
      <c r="G34" s="47">
        <f>IS!S21</f>
        <v>0</v>
      </c>
      <c r="H34" s="55">
        <f>IS!T21</f>
        <v>0</v>
      </c>
      <c r="I34" s="54"/>
      <c r="J34" s="47">
        <f>IS!V21</f>
        <v>0</v>
      </c>
      <c r="K34" s="47">
        <f>IS!W21</f>
        <v>0</v>
      </c>
      <c r="L34" s="47">
        <f>IS!X21</f>
        <v>0</v>
      </c>
      <c r="M34" s="47">
        <f>IS!Y21</f>
        <v>0</v>
      </c>
      <c r="N34" s="55">
        <f>IS!Z21</f>
        <v>0</v>
      </c>
      <c r="O34" s="54"/>
      <c r="P34" s="47">
        <f>IS!AB21</f>
        <v>0</v>
      </c>
      <c r="Q34" s="47">
        <f>IS!AC21</f>
        <v>0</v>
      </c>
      <c r="R34" s="47">
        <f>IS!AD21</f>
        <v>0</v>
      </c>
      <c r="S34" s="47">
        <f>IS!AE21</f>
        <v>0</v>
      </c>
      <c r="T34" s="55">
        <f>IS!AF21</f>
        <v>0</v>
      </c>
      <c r="U34" s="46"/>
      <c r="V34" s="47">
        <f>IS!AH21</f>
        <v>0</v>
      </c>
      <c r="W34" s="47">
        <f>IS!AI21</f>
        <v>0</v>
      </c>
      <c r="X34" s="43">
        <f>(X35+Sensitivity!$U$39)*X$31</f>
        <v>0</v>
      </c>
      <c r="Y34" s="43">
        <f>(Y35+Sensitivity!$U$39)*Y$31</f>
        <v>0</v>
      </c>
      <c r="Z34" s="54">
        <f>(Z35+Sensitivity!$U$39)*Z$31</f>
        <v>0</v>
      </c>
      <c r="AA34" s="68"/>
      <c r="AB34" s="43">
        <f>(AB35+Sensitivity!$U$39)*AB$31</f>
        <v>0</v>
      </c>
      <c r="AC34" s="43">
        <f>(AC35+Sensitivity!$U$39)*AC$31</f>
        <v>0</v>
      </c>
      <c r="AD34" s="43">
        <f>(AD35+Sensitivity!$U$39)*AD$31</f>
        <v>0</v>
      </c>
      <c r="AE34" s="43">
        <f>(AE35+Sensitivity!$U$39)*AE$31</f>
        <v>0</v>
      </c>
      <c r="AF34" s="54">
        <f>(AF35+Sensitivity!$U$39)*AF$31</f>
        <v>0</v>
      </c>
      <c r="AG34" s="68"/>
      <c r="AH34" s="54">
        <f>(AH35+Sensitivity!$U$39)*AH$31</f>
        <v>0</v>
      </c>
      <c r="AI34" s="69"/>
      <c r="AJ34" s="54">
        <f>(AJ35+Sensitivity!$U$39)*AJ$31</f>
        <v>0</v>
      </c>
      <c r="AL34" s="54">
        <f>(AL35+Sensitivity!$U$39)*AL$31</f>
        <v>0</v>
      </c>
    </row>
    <row r="35" spans="2:45" s="51" customFormat="1" ht="14.25" hidden="1" customHeight="1" x14ac:dyDescent="0.3">
      <c r="B35" s="29" t="s">
        <v>707</v>
      </c>
      <c r="C35" s="21"/>
      <c r="D35" s="302">
        <f>D34/D31</f>
        <v>0</v>
      </c>
      <c r="E35" s="302">
        <f t="shared" ref="E35:H35" si="2">E34/E31</f>
        <v>0</v>
      </c>
      <c r="F35" s="302">
        <f>F34/F31</f>
        <v>0</v>
      </c>
      <c r="G35" s="302">
        <f t="shared" si="2"/>
        <v>0</v>
      </c>
      <c r="H35" s="303">
        <f t="shared" si="2"/>
        <v>0</v>
      </c>
      <c r="I35" s="54"/>
      <c r="J35" s="302">
        <f>J34/J31</f>
        <v>0</v>
      </c>
      <c r="K35" s="302">
        <f t="shared" ref="K35:N35" si="3">K34/K31</f>
        <v>0</v>
      </c>
      <c r="L35" s="302">
        <f t="shared" si="3"/>
        <v>0</v>
      </c>
      <c r="M35" s="302">
        <f t="shared" si="3"/>
        <v>0</v>
      </c>
      <c r="N35" s="303">
        <f t="shared" si="3"/>
        <v>0</v>
      </c>
      <c r="O35" s="54"/>
      <c r="P35" s="302">
        <f>P34/P31</f>
        <v>0</v>
      </c>
      <c r="Q35" s="302">
        <f t="shared" ref="Q35:T35" si="4">Q34/Q31</f>
        <v>0</v>
      </c>
      <c r="R35" s="302">
        <f t="shared" si="4"/>
        <v>0</v>
      </c>
      <c r="S35" s="302">
        <f t="shared" si="4"/>
        <v>0</v>
      </c>
      <c r="T35" s="303">
        <f t="shared" si="4"/>
        <v>0</v>
      </c>
      <c r="U35" s="46"/>
      <c r="V35" s="302">
        <f>V34/V31</f>
        <v>0</v>
      </c>
      <c r="W35" s="302">
        <f t="shared" ref="W35" si="5">W34/W31</f>
        <v>0</v>
      </c>
      <c r="X35" s="313"/>
      <c r="Y35" s="313"/>
      <c r="Z35" s="313">
        <f>AVERAGE(T35,N35,H35)</f>
        <v>0</v>
      </c>
      <c r="AA35" s="68"/>
      <c r="AB35" s="313"/>
      <c r="AC35" s="313"/>
      <c r="AD35" s="313"/>
      <c r="AE35" s="313"/>
      <c r="AF35" s="313">
        <v>0</v>
      </c>
      <c r="AG35" s="68"/>
      <c r="AH35" s="313">
        <v>0</v>
      </c>
      <c r="AI35" s="69"/>
      <c r="AJ35" s="313">
        <v>0</v>
      </c>
      <c r="AL35" s="313">
        <v>0</v>
      </c>
    </row>
    <row r="36" spans="2:45" s="51" customFormat="1" ht="14.25" hidden="1" customHeight="1" x14ac:dyDescent="0.3">
      <c r="B36" s="29"/>
      <c r="C36" s="21"/>
      <c r="D36" s="43"/>
      <c r="E36" s="43"/>
      <c r="F36" s="43"/>
      <c r="G36" s="43"/>
      <c r="H36" s="54"/>
      <c r="I36" s="54"/>
      <c r="J36" s="43"/>
      <c r="K36" s="43"/>
      <c r="L36" s="43"/>
      <c r="M36" s="43"/>
      <c r="N36" s="54"/>
      <c r="O36" s="54"/>
      <c r="P36" s="43"/>
      <c r="Q36" s="43"/>
      <c r="R36" s="43"/>
      <c r="S36" s="43"/>
      <c r="T36" s="54"/>
      <c r="U36" s="46"/>
      <c r="V36" s="43"/>
      <c r="W36" s="43"/>
      <c r="X36" s="47"/>
      <c r="Y36" s="47"/>
      <c r="Z36" s="54"/>
      <c r="AA36" s="68"/>
      <c r="AB36" s="47"/>
      <c r="AC36" s="47"/>
      <c r="AD36" s="47"/>
      <c r="AE36" s="47"/>
      <c r="AF36" s="54"/>
      <c r="AG36" s="68"/>
      <c r="AH36" s="55"/>
      <c r="AI36" s="69"/>
      <c r="AJ36" s="55"/>
    </row>
    <row r="37" spans="2:45" s="51" customFormat="1" ht="14.25" hidden="1" customHeight="1" x14ac:dyDescent="0.3">
      <c r="B37" s="26" t="s">
        <v>708</v>
      </c>
      <c r="C37" s="21"/>
      <c r="D37" s="47">
        <f>IS!P22</f>
        <v>0</v>
      </c>
      <c r="E37" s="47">
        <f>IS!Q22</f>
        <v>0</v>
      </c>
      <c r="F37" s="47">
        <f>IS!R22</f>
        <v>0</v>
      </c>
      <c r="G37" s="47">
        <f>IS!S22</f>
        <v>0</v>
      </c>
      <c r="H37" s="55">
        <f>IS!T22</f>
        <v>0</v>
      </c>
      <c r="I37" s="54"/>
      <c r="J37" s="47">
        <f>IS!V22</f>
        <v>0</v>
      </c>
      <c r="K37" s="47">
        <f>IS!W22</f>
        <v>0</v>
      </c>
      <c r="L37" s="47">
        <f>IS!X22</f>
        <v>0</v>
      </c>
      <c r="M37" s="47">
        <f>IS!Y22</f>
        <v>0</v>
      </c>
      <c r="N37" s="55">
        <f>IS!Z22</f>
        <v>0</v>
      </c>
      <c r="O37" s="54"/>
      <c r="P37" s="47">
        <f>IS!AB22</f>
        <v>0</v>
      </c>
      <c r="Q37" s="47">
        <f>IS!AC22</f>
        <v>0</v>
      </c>
      <c r="R37" s="47">
        <f>IS!AD22</f>
        <v>0</v>
      </c>
      <c r="S37" s="47">
        <f>IS!AE22</f>
        <v>0</v>
      </c>
      <c r="T37" s="55">
        <f>IS!AF22</f>
        <v>0</v>
      </c>
      <c r="U37" s="46"/>
      <c r="V37" s="47">
        <f>IS!AH22</f>
        <v>0</v>
      </c>
      <c r="W37" s="47">
        <f>IS!AI22</f>
        <v>0</v>
      </c>
      <c r="X37" s="43">
        <f>X38*X34</f>
        <v>0</v>
      </c>
      <c r="Y37" s="43">
        <f>Y38*Y34</f>
        <v>0</v>
      </c>
      <c r="Z37" s="54">
        <f>SUM(V37:Y37)</f>
        <v>0</v>
      </c>
      <c r="AA37" s="68"/>
      <c r="AB37" s="43">
        <f t="shared" ref="AB37:AE37" si="6">AB38*AB34</f>
        <v>0</v>
      </c>
      <c r="AC37" s="43">
        <f t="shared" si="6"/>
        <v>0</v>
      </c>
      <c r="AD37" s="43">
        <f t="shared" si="6"/>
        <v>0</v>
      </c>
      <c r="AE37" s="43">
        <f t="shared" si="6"/>
        <v>0</v>
      </c>
      <c r="AF37" s="54">
        <f>SUM(AB37:AE37)</f>
        <v>0</v>
      </c>
      <c r="AG37" s="68"/>
      <c r="AH37" s="54">
        <f t="shared" ref="AH37:AL37" si="7">AH38*AH34</f>
        <v>0</v>
      </c>
      <c r="AI37" s="69"/>
      <c r="AJ37" s="54">
        <f t="shared" si="7"/>
        <v>0</v>
      </c>
      <c r="AL37" s="54">
        <f t="shared" si="7"/>
        <v>0</v>
      </c>
    </row>
    <row r="38" spans="2:45" s="51" customFormat="1" ht="14.25" hidden="1" customHeight="1" x14ac:dyDescent="0.3">
      <c r="B38" s="29" t="s">
        <v>709</v>
      </c>
      <c r="C38" s="21"/>
      <c r="D38" s="304" t="e">
        <f>D37/D34</f>
        <v>#DIV/0!</v>
      </c>
      <c r="E38" s="304" t="e">
        <f t="shared" ref="E38:H38" si="8">E37/E34</f>
        <v>#DIV/0!</v>
      </c>
      <c r="F38" s="304" t="e">
        <f t="shared" si="8"/>
        <v>#DIV/0!</v>
      </c>
      <c r="G38" s="304" t="e">
        <f t="shared" si="8"/>
        <v>#DIV/0!</v>
      </c>
      <c r="H38" s="303" t="e">
        <f t="shared" si="8"/>
        <v>#DIV/0!</v>
      </c>
      <c r="I38" s="54"/>
      <c r="J38" s="304" t="e">
        <f>J37/J34</f>
        <v>#DIV/0!</v>
      </c>
      <c r="K38" s="304" t="e">
        <f t="shared" ref="K38:N38" si="9">K37/K34</f>
        <v>#DIV/0!</v>
      </c>
      <c r="L38" s="304" t="e">
        <f t="shared" si="9"/>
        <v>#DIV/0!</v>
      </c>
      <c r="M38" s="304" t="e">
        <f t="shared" si="9"/>
        <v>#DIV/0!</v>
      </c>
      <c r="N38" s="303" t="e">
        <f t="shared" si="9"/>
        <v>#DIV/0!</v>
      </c>
      <c r="O38" s="54"/>
      <c r="P38" s="304" t="e">
        <f>P37/P34</f>
        <v>#DIV/0!</v>
      </c>
      <c r="Q38" s="304" t="e">
        <f t="shared" ref="Q38:T38" si="10">Q37/Q34</f>
        <v>#DIV/0!</v>
      </c>
      <c r="R38" s="304" t="e">
        <f t="shared" si="10"/>
        <v>#DIV/0!</v>
      </c>
      <c r="S38" s="304" t="e">
        <f t="shared" si="10"/>
        <v>#DIV/0!</v>
      </c>
      <c r="T38" s="303" t="e">
        <f t="shared" si="10"/>
        <v>#DIV/0!</v>
      </c>
      <c r="U38" s="46"/>
      <c r="V38" s="304" t="e">
        <f>V37/V34</f>
        <v>#DIV/0!</v>
      </c>
      <c r="W38" s="304" t="e">
        <f t="shared" ref="W38" si="11">W37/W34</f>
        <v>#DIV/0!</v>
      </c>
      <c r="X38" s="313"/>
      <c r="Y38" s="313"/>
      <c r="Z38" s="313">
        <v>0</v>
      </c>
      <c r="AA38" s="68"/>
      <c r="AB38" s="313"/>
      <c r="AC38" s="313"/>
      <c r="AD38" s="313"/>
      <c r="AE38" s="313"/>
      <c r="AF38" s="313">
        <v>0</v>
      </c>
      <c r="AG38" s="68"/>
      <c r="AH38" s="313">
        <v>0</v>
      </c>
      <c r="AI38" s="69"/>
      <c r="AJ38" s="313">
        <v>0</v>
      </c>
      <c r="AL38" s="313">
        <v>0</v>
      </c>
    </row>
    <row r="39" spans="2:45" s="51" customFormat="1" ht="14.25" hidden="1" customHeight="1" x14ac:dyDescent="0.3">
      <c r="B39" s="29"/>
      <c r="C39" s="21"/>
      <c r="D39" s="57"/>
      <c r="E39" s="57"/>
      <c r="F39" s="57"/>
      <c r="G39" s="57"/>
      <c r="H39" s="178"/>
      <c r="I39" s="54"/>
      <c r="J39" s="57"/>
      <c r="K39" s="57"/>
      <c r="L39" s="57"/>
      <c r="M39" s="57"/>
      <c r="N39" s="178"/>
      <c r="O39" s="54"/>
      <c r="P39" s="57"/>
      <c r="Q39" s="57"/>
      <c r="R39" s="57"/>
      <c r="S39" s="57"/>
      <c r="T39" s="178"/>
      <c r="U39" s="46"/>
      <c r="V39" s="57"/>
      <c r="W39" s="57"/>
      <c r="X39" s="59"/>
      <c r="Y39" s="59"/>
      <c r="Z39" s="178"/>
      <c r="AA39" s="68"/>
      <c r="AB39" s="59"/>
      <c r="AC39" s="59"/>
      <c r="AD39" s="59"/>
      <c r="AE39" s="59"/>
      <c r="AF39" s="178"/>
      <c r="AG39" s="68"/>
      <c r="AH39" s="179"/>
      <c r="AI39" s="69"/>
      <c r="AJ39" s="179"/>
    </row>
    <row r="40" spans="2:45" s="51" customFormat="1" ht="14.25" hidden="1" customHeight="1" x14ac:dyDescent="0.3">
      <c r="B40" s="26" t="s">
        <v>710</v>
      </c>
      <c r="C40" s="21"/>
      <c r="D40" s="47">
        <f>IS!P24</f>
        <v>5860</v>
      </c>
      <c r="E40" s="47">
        <f>IS!Q24</f>
        <v>6269</v>
      </c>
      <c r="F40" s="47">
        <f>IS!R24</f>
        <v>6566</v>
      </c>
      <c r="G40" s="47">
        <f>IS!S24</f>
        <v>6180</v>
      </c>
      <c r="H40" s="55">
        <f>IS!T24</f>
        <v>24875</v>
      </c>
      <c r="I40" s="54"/>
      <c r="J40" s="47">
        <f>IS!V24</f>
        <v>6056</v>
      </c>
      <c r="K40" s="47">
        <f>IS!W24</f>
        <v>5963</v>
      </c>
      <c r="L40" s="47">
        <f>IS!X24</f>
        <v>5941</v>
      </c>
      <c r="M40" s="47">
        <f>IS!Y24</f>
        <v>6159</v>
      </c>
      <c r="N40" s="55">
        <f>IS!Z24</f>
        <v>24119</v>
      </c>
      <c r="O40" s="54"/>
      <c r="P40" s="47">
        <f>IS!AB24</f>
        <v>6031</v>
      </c>
      <c r="Q40" s="47">
        <f>IS!AC24</f>
        <v>6007</v>
      </c>
      <c r="R40" s="47">
        <f>IS!AD24</f>
        <v>6091</v>
      </c>
      <c r="S40" s="47">
        <f>IS!AE24</f>
        <v>6121</v>
      </c>
      <c r="T40" s="55">
        <f>IS!AF24</f>
        <v>24250</v>
      </c>
      <c r="U40" s="46"/>
      <c r="V40" s="47">
        <f>IS!AH24</f>
        <v>6027</v>
      </c>
      <c r="W40" s="47">
        <f>IS!AI24</f>
        <v>6154</v>
      </c>
      <c r="X40" s="43">
        <f>X31-X34-X37</f>
        <v>0</v>
      </c>
      <c r="Y40" s="43">
        <f>Y31-Y34-Y37</f>
        <v>0</v>
      </c>
      <c r="Z40" s="54">
        <f>Z31</f>
        <v>25480.870993333334</v>
      </c>
      <c r="AA40" s="68"/>
      <c r="AB40" s="43">
        <f t="shared" ref="AB40:AE40" si="12">AB31-AB34-AB37</f>
        <v>0</v>
      </c>
      <c r="AC40" s="43">
        <f t="shared" si="12"/>
        <v>0</v>
      </c>
      <c r="AD40" s="43">
        <f t="shared" si="12"/>
        <v>0</v>
      </c>
      <c r="AE40" s="43">
        <f t="shared" si="12"/>
        <v>0</v>
      </c>
      <c r="AF40" s="54">
        <f>AF31</f>
        <v>26188.855817955558</v>
      </c>
      <c r="AG40" s="54"/>
      <c r="AH40" s="54">
        <f t="shared" ref="AH40:AL40" si="13">AH31-AH34-AH37</f>
        <v>26827.77294541493</v>
      </c>
      <c r="AI40" s="54"/>
      <c r="AJ40" s="54">
        <f t="shared" si="13"/>
        <v>27660.220617250394</v>
      </c>
      <c r="AK40" s="54"/>
      <c r="AL40" s="54">
        <f t="shared" si="13"/>
        <v>28334.160493280171</v>
      </c>
    </row>
    <row r="41" spans="2:45" s="51" customFormat="1" ht="14.25" hidden="1" customHeight="1" x14ac:dyDescent="0.3">
      <c r="B41" s="29" t="s">
        <v>707</v>
      </c>
      <c r="C41" s="19"/>
      <c r="D41" s="302">
        <f>D40/D31</f>
        <v>1</v>
      </c>
      <c r="E41" s="302">
        <f t="shared" ref="E41:H41" si="14">E40/E31</f>
        <v>1</v>
      </c>
      <c r="F41" s="302">
        <f t="shared" si="14"/>
        <v>1</v>
      </c>
      <c r="G41" s="302">
        <f t="shared" si="14"/>
        <v>1</v>
      </c>
      <c r="H41" s="305">
        <f t="shared" si="14"/>
        <v>1</v>
      </c>
      <c r="I41" s="45"/>
      <c r="J41" s="302">
        <f>J40/J31</f>
        <v>1</v>
      </c>
      <c r="K41" s="302">
        <f t="shared" ref="K41:N41" si="15">K40/K31</f>
        <v>1</v>
      </c>
      <c r="L41" s="302">
        <f t="shared" si="15"/>
        <v>1</v>
      </c>
      <c r="M41" s="302">
        <f t="shared" si="15"/>
        <v>1</v>
      </c>
      <c r="N41" s="305">
        <f t="shared" si="15"/>
        <v>1</v>
      </c>
      <c r="O41" s="68"/>
      <c r="P41" s="302">
        <f>P40/P31</f>
        <v>1</v>
      </c>
      <c r="Q41" s="302">
        <f t="shared" ref="Q41:T41" si="16">Q40/Q31</f>
        <v>1</v>
      </c>
      <c r="R41" s="302">
        <f t="shared" si="16"/>
        <v>1</v>
      </c>
      <c r="S41" s="302">
        <f t="shared" si="16"/>
        <v>1</v>
      </c>
      <c r="T41" s="305">
        <f t="shared" si="16"/>
        <v>1</v>
      </c>
      <c r="U41" s="46"/>
      <c r="V41" s="302">
        <f>V40/V31</f>
        <v>1</v>
      </c>
      <c r="W41" s="302">
        <f t="shared" ref="W41:AL41" si="17">W40/W31</f>
        <v>1</v>
      </c>
      <c r="X41" s="302" t="e">
        <f t="shared" si="17"/>
        <v>#DIV/0!</v>
      </c>
      <c r="Y41" s="302" t="e">
        <f t="shared" si="17"/>
        <v>#DIV/0!</v>
      </c>
      <c r="Z41" s="303">
        <f>Z40/Z$31</f>
        <v>1</v>
      </c>
      <c r="AA41" s="180"/>
      <c r="AB41" s="302" t="e">
        <f t="shared" si="17"/>
        <v>#DIV/0!</v>
      </c>
      <c r="AC41" s="302" t="e">
        <f t="shared" si="17"/>
        <v>#DIV/0!</v>
      </c>
      <c r="AD41" s="302" t="e">
        <f t="shared" si="17"/>
        <v>#DIV/0!</v>
      </c>
      <c r="AE41" s="302" t="e">
        <f t="shared" si="17"/>
        <v>#DIV/0!</v>
      </c>
      <c r="AF41" s="303">
        <f>AF40/AF$31</f>
        <v>1</v>
      </c>
      <c r="AG41" s="180"/>
      <c r="AH41" s="305">
        <f t="shared" si="17"/>
        <v>1</v>
      </c>
      <c r="AI41" s="181"/>
      <c r="AJ41" s="305">
        <f t="shared" si="17"/>
        <v>1</v>
      </c>
      <c r="AL41" s="305">
        <f t="shared" si="17"/>
        <v>1</v>
      </c>
    </row>
    <row r="42" spans="2:45" s="51" customFormat="1" ht="14.25" hidden="1" customHeight="1" x14ac:dyDescent="0.3">
      <c r="B42" s="26"/>
      <c r="C42" s="21"/>
      <c r="D42" s="57"/>
      <c r="E42" s="57"/>
      <c r="F42" s="57"/>
      <c r="G42" s="57"/>
      <c r="H42" s="63"/>
      <c r="I42" s="45"/>
      <c r="J42" s="57"/>
      <c r="K42" s="57"/>
      <c r="L42" s="57"/>
      <c r="M42" s="57"/>
      <c r="N42" s="63"/>
      <c r="O42" s="68"/>
      <c r="P42" s="57"/>
      <c r="Q42" s="57"/>
      <c r="R42" s="57"/>
      <c r="S42" s="57"/>
      <c r="T42" s="63"/>
      <c r="U42" s="46"/>
      <c r="V42" s="57"/>
      <c r="W42" s="57"/>
      <c r="X42" s="47"/>
      <c r="Y42" s="47"/>
      <c r="Z42" s="63"/>
      <c r="AA42" s="68"/>
      <c r="AB42" s="47"/>
      <c r="AC42" s="47"/>
      <c r="AD42" s="47"/>
      <c r="AE42" s="47"/>
      <c r="AF42" s="63"/>
      <c r="AG42" s="68"/>
      <c r="AH42" s="65"/>
      <c r="AI42" s="69"/>
      <c r="AJ42" s="65"/>
    </row>
    <row r="43" spans="2:45" s="51" customFormat="1" ht="14.25" hidden="1" customHeight="1" x14ac:dyDescent="0.3">
      <c r="B43" s="26" t="s">
        <v>711</v>
      </c>
      <c r="C43" s="19"/>
      <c r="D43" s="59">
        <f>IS!P27</f>
        <v>0</v>
      </c>
      <c r="E43" s="59">
        <f>IS!Q27</f>
        <v>0</v>
      </c>
      <c r="F43" s="59">
        <f>IS!R27</f>
        <v>0</v>
      </c>
      <c r="G43" s="59">
        <f>IS!S27</f>
        <v>0</v>
      </c>
      <c r="H43" s="65">
        <f>IS!T27</f>
        <v>0</v>
      </c>
      <c r="I43" s="45"/>
      <c r="J43" s="59">
        <f>IS!V27</f>
        <v>0</v>
      </c>
      <c r="K43" s="59">
        <f>IS!W27</f>
        <v>0</v>
      </c>
      <c r="L43" s="59">
        <f>IS!X27</f>
        <v>0</v>
      </c>
      <c r="M43" s="59">
        <f>IS!Y27</f>
        <v>0</v>
      </c>
      <c r="N43" s="65">
        <f>IS!Z27</f>
        <v>0</v>
      </c>
      <c r="O43" s="68"/>
      <c r="P43" s="59">
        <f>IS!AB27</f>
        <v>0</v>
      </c>
      <c r="Q43" s="59">
        <f>IS!AC27</f>
        <v>0</v>
      </c>
      <c r="R43" s="59">
        <f>IS!AD27</f>
        <v>0</v>
      </c>
      <c r="S43" s="59">
        <f>IS!AE27</f>
        <v>0</v>
      </c>
      <c r="T43" s="65">
        <f>IS!AF27</f>
        <v>0</v>
      </c>
      <c r="U43" s="46"/>
      <c r="V43" s="59">
        <f>IS!AH27</f>
        <v>0</v>
      </c>
      <c r="W43" s="59">
        <f>IS!AI27</f>
        <v>0</v>
      </c>
      <c r="X43" s="43">
        <f>(X44+Sensitivity!$U$40)*X$31</f>
        <v>0</v>
      </c>
      <c r="Y43" s="43">
        <f>(Y44+Sensitivity!$U$40)*Y$31</f>
        <v>0</v>
      </c>
      <c r="Z43" s="54">
        <f>SUM(V43:Y43)</f>
        <v>0</v>
      </c>
      <c r="AA43" s="68"/>
      <c r="AB43" s="43">
        <f>(AB44+Sensitivity!$U$40)*AB$31</f>
        <v>0</v>
      </c>
      <c r="AC43" s="43">
        <f>(AC44+Sensitivity!$U$40)*AC$31</f>
        <v>0</v>
      </c>
      <c r="AD43" s="43">
        <f>(AD44+Sensitivity!$U$40)*AD$31</f>
        <v>0</v>
      </c>
      <c r="AE43" s="43">
        <f>(AE44+Sensitivity!$U$40)*AE$31</f>
        <v>0</v>
      </c>
      <c r="AF43" s="54">
        <f>SUM(AB43:AE43)</f>
        <v>0</v>
      </c>
      <c r="AG43" s="54"/>
      <c r="AH43" s="54">
        <f>(AH44+Sensitivity!$U$40)*AH$31</f>
        <v>0</v>
      </c>
      <c r="AI43" s="54"/>
      <c r="AJ43" s="54">
        <f>(AJ44+Sensitivity!$U$40)*AJ$31</f>
        <v>0</v>
      </c>
      <c r="AK43" s="54"/>
      <c r="AL43" s="54">
        <f>(AL44+Sensitivity!$U$40)*AL$31</f>
        <v>0</v>
      </c>
    </row>
    <row r="44" spans="2:45" s="51" customFormat="1" ht="14.25" hidden="1" customHeight="1" x14ac:dyDescent="0.3">
      <c r="B44" s="29" t="s">
        <v>707</v>
      </c>
      <c r="C44" s="21"/>
      <c r="D44" s="302">
        <f>D43/D31</f>
        <v>0</v>
      </c>
      <c r="E44" s="302">
        <f t="shared" ref="E44:H44" si="18">E43/E31</f>
        <v>0</v>
      </c>
      <c r="F44" s="302">
        <f t="shared" si="18"/>
        <v>0</v>
      </c>
      <c r="G44" s="302">
        <f t="shared" si="18"/>
        <v>0</v>
      </c>
      <c r="H44" s="305">
        <f t="shared" si="18"/>
        <v>0</v>
      </c>
      <c r="I44" s="45"/>
      <c r="J44" s="302">
        <f>J43/J31</f>
        <v>0</v>
      </c>
      <c r="K44" s="302">
        <f t="shared" ref="K44:N44" si="19">K43/K31</f>
        <v>0</v>
      </c>
      <c r="L44" s="302">
        <f t="shared" si="19"/>
        <v>0</v>
      </c>
      <c r="M44" s="302">
        <f t="shared" si="19"/>
        <v>0</v>
      </c>
      <c r="N44" s="305">
        <f t="shared" si="19"/>
        <v>0</v>
      </c>
      <c r="O44" s="68"/>
      <c r="P44" s="302">
        <f>P43/P31</f>
        <v>0</v>
      </c>
      <c r="Q44" s="302">
        <f t="shared" ref="Q44:T44" si="20">Q43/Q31</f>
        <v>0</v>
      </c>
      <c r="R44" s="302">
        <f t="shared" si="20"/>
        <v>0</v>
      </c>
      <c r="S44" s="302">
        <f t="shared" si="20"/>
        <v>0</v>
      </c>
      <c r="T44" s="305">
        <f t="shared" si="20"/>
        <v>0</v>
      </c>
      <c r="U44" s="46"/>
      <c r="V44" s="302">
        <f>V43/V31</f>
        <v>0</v>
      </c>
      <c r="W44" s="302">
        <f t="shared" ref="W44" si="21">W43/W31</f>
        <v>0</v>
      </c>
      <c r="X44" s="313">
        <v>0</v>
      </c>
      <c r="Y44" s="313">
        <v>0</v>
      </c>
      <c r="Z44" s="303"/>
      <c r="AA44" s="68"/>
      <c r="AB44" s="313">
        <v>0</v>
      </c>
      <c r="AC44" s="313">
        <v>0</v>
      </c>
      <c r="AD44" s="313">
        <v>0</v>
      </c>
      <c r="AE44" s="313">
        <v>0</v>
      </c>
      <c r="AF44" s="303"/>
      <c r="AG44" s="68"/>
      <c r="AH44" s="313">
        <v>0</v>
      </c>
      <c r="AI44" s="69"/>
      <c r="AJ44" s="313">
        <v>0</v>
      </c>
      <c r="AL44" s="313">
        <v>0</v>
      </c>
    </row>
    <row r="45" spans="2:45" s="51" customFormat="1" ht="14.25" hidden="1" customHeight="1" x14ac:dyDescent="0.3">
      <c r="B45" s="27"/>
      <c r="C45" s="19"/>
      <c r="D45" s="43"/>
      <c r="E45" s="43"/>
      <c r="F45" s="43"/>
      <c r="G45" s="43"/>
      <c r="H45" s="63"/>
      <c r="I45" s="45"/>
      <c r="J45" s="43"/>
      <c r="K45" s="43"/>
      <c r="L45" s="43"/>
      <c r="M45" s="43"/>
      <c r="N45" s="63"/>
      <c r="O45" s="68"/>
      <c r="P45" s="43"/>
      <c r="Q45" s="43"/>
      <c r="R45" s="43"/>
      <c r="S45" s="43"/>
      <c r="T45" s="63"/>
      <c r="U45" s="46"/>
      <c r="V45" s="43"/>
      <c r="W45" s="43"/>
      <c r="X45" s="47"/>
      <c r="Y45" s="47"/>
      <c r="Z45" s="63"/>
      <c r="AA45" s="68"/>
      <c r="AB45" s="47"/>
      <c r="AC45" s="47"/>
      <c r="AD45" s="47"/>
      <c r="AE45" s="47"/>
      <c r="AF45" s="63"/>
      <c r="AG45" s="68"/>
      <c r="AH45" s="65"/>
      <c r="AI45" s="69"/>
      <c r="AJ45" s="65"/>
    </row>
    <row r="46" spans="2:45" s="51" customFormat="1" ht="15" hidden="1" x14ac:dyDescent="0.3">
      <c r="B46" s="26" t="s">
        <v>712</v>
      </c>
      <c r="C46" s="21"/>
      <c r="D46" s="47">
        <f>IS!P29</f>
        <v>0</v>
      </c>
      <c r="E46" s="47">
        <f>IS!Q29</f>
        <v>0</v>
      </c>
      <c r="F46" s="47">
        <f>IS!R29</f>
        <v>0</v>
      </c>
      <c r="G46" s="47">
        <f>IS!S29</f>
        <v>0</v>
      </c>
      <c r="H46" s="65">
        <f>IS!T29</f>
        <v>0</v>
      </c>
      <c r="I46" s="45"/>
      <c r="J46" s="47">
        <f>IS!V29</f>
        <v>0</v>
      </c>
      <c r="K46" s="47">
        <f>IS!W29</f>
        <v>0</v>
      </c>
      <c r="L46" s="47">
        <f>IS!X29</f>
        <v>0</v>
      </c>
      <c r="M46" s="47">
        <f>IS!Y29</f>
        <v>0</v>
      </c>
      <c r="N46" s="65">
        <f>IS!Z29</f>
        <v>0</v>
      </c>
      <c r="O46" s="68"/>
      <c r="P46" s="47">
        <f>IS!AB29</f>
        <v>0</v>
      </c>
      <c r="Q46" s="47">
        <f>IS!AC29</f>
        <v>0</v>
      </c>
      <c r="R46" s="47">
        <f>IS!AD29</f>
        <v>0</v>
      </c>
      <c r="S46" s="47">
        <f>IS!AE29</f>
        <v>0</v>
      </c>
      <c r="T46" s="65">
        <f>IS!AF29</f>
        <v>0</v>
      </c>
      <c r="U46" s="46"/>
      <c r="V46" s="47">
        <f>IS!AH29</f>
        <v>0</v>
      </c>
      <c r="W46" s="47">
        <f>IS!AI29</f>
        <v>0</v>
      </c>
      <c r="X46" s="43">
        <f>X47*X40</f>
        <v>0</v>
      </c>
      <c r="Y46" s="43">
        <f>Y47*Y40</f>
        <v>0</v>
      </c>
      <c r="Z46" s="54">
        <f>SUM(V46:Y46)</f>
        <v>0</v>
      </c>
      <c r="AA46" s="68"/>
      <c r="AB46" s="43">
        <f t="shared" ref="AB46:AE46" si="22">AB47*AB40</f>
        <v>0</v>
      </c>
      <c r="AC46" s="43">
        <f t="shared" si="22"/>
        <v>0</v>
      </c>
      <c r="AD46" s="43">
        <f t="shared" si="22"/>
        <v>0</v>
      </c>
      <c r="AE46" s="43">
        <f t="shared" si="22"/>
        <v>0</v>
      </c>
      <c r="AF46" s="54">
        <f>SUM(AB46:AE46)</f>
        <v>0</v>
      </c>
      <c r="AG46" s="68"/>
      <c r="AH46" s="54">
        <f t="shared" ref="AH46:AJ46" si="23">AH47*AH40</f>
        <v>0</v>
      </c>
      <c r="AI46" s="69"/>
      <c r="AJ46" s="54">
        <f t="shared" si="23"/>
        <v>0</v>
      </c>
      <c r="AL46" s="54">
        <f>AL47*AL40</f>
        <v>0</v>
      </c>
      <c r="AS46" s="309"/>
    </row>
    <row r="47" spans="2:45" s="51" customFormat="1" ht="14.25" hidden="1" customHeight="1" x14ac:dyDescent="0.3">
      <c r="B47" s="29" t="s">
        <v>713</v>
      </c>
      <c r="C47" s="19"/>
      <c r="D47" s="302">
        <f>D46/D40</f>
        <v>0</v>
      </c>
      <c r="E47" s="302">
        <f t="shared" ref="E47:G47" si="24">E46/E40</f>
        <v>0</v>
      </c>
      <c r="F47" s="302">
        <f t="shared" si="24"/>
        <v>0</v>
      </c>
      <c r="G47" s="302">
        <f t="shared" si="24"/>
        <v>0</v>
      </c>
      <c r="H47" s="305">
        <f>H46/H40</f>
        <v>0</v>
      </c>
      <c r="I47" s="45"/>
      <c r="J47" s="302">
        <f>J46/J40</f>
        <v>0</v>
      </c>
      <c r="K47" s="302">
        <f t="shared" ref="K47" si="25">K46/K40</f>
        <v>0</v>
      </c>
      <c r="L47" s="302">
        <f t="shared" ref="L47" si="26">L46/L40</f>
        <v>0</v>
      </c>
      <c r="M47" s="302">
        <f t="shared" ref="M47" si="27">M46/M40</f>
        <v>0</v>
      </c>
      <c r="N47" s="305">
        <f>N46/N40</f>
        <v>0</v>
      </c>
      <c r="O47" s="83"/>
      <c r="P47" s="302">
        <f>P46/P40</f>
        <v>0</v>
      </c>
      <c r="Q47" s="302">
        <f t="shared" ref="Q47" si="28">Q46/Q40</f>
        <v>0</v>
      </c>
      <c r="R47" s="302">
        <f t="shared" ref="R47" si="29">R46/R40</f>
        <v>0</v>
      </c>
      <c r="S47" s="302">
        <f t="shared" ref="S47" si="30">S46/S40</f>
        <v>0</v>
      </c>
      <c r="T47" s="305">
        <f>T46/T40</f>
        <v>0</v>
      </c>
      <c r="U47" s="79"/>
      <c r="V47" s="302">
        <f>V46/V40</f>
        <v>0</v>
      </c>
      <c r="W47" s="302">
        <f t="shared" ref="W47" si="31">W46/W40</f>
        <v>0</v>
      </c>
      <c r="X47" s="313">
        <v>0</v>
      </c>
      <c r="Y47" s="313">
        <v>0</v>
      </c>
      <c r="Z47" s="303">
        <f>Z46/Z$40</f>
        <v>0</v>
      </c>
      <c r="AA47" s="68"/>
      <c r="AB47" s="313">
        <v>0</v>
      </c>
      <c r="AC47" s="313">
        <v>0</v>
      </c>
      <c r="AD47" s="313">
        <v>0</v>
      </c>
      <c r="AE47" s="313">
        <v>0</v>
      </c>
      <c r="AF47" s="303">
        <v>0</v>
      </c>
      <c r="AG47" s="68"/>
      <c r="AH47" s="313">
        <v>0</v>
      </c>
      <c r="AI47" s="69"/>
      <c r="AJ47" s="313">
        <v>0</v>
      </c>
      <c r="AL47" s="313">
        <v>0</v>
      </c>
    </row>
    <row r="48" spans="2:45" s="51" customFormat="1" ht="14.25" hidden="1" customHeight="1" x14ac:dyDescent="0.3">
      <c r="B48" s="29"/>
      <c r="C48" s="21"/>
      <c r="D48" s="302"/>
      <c r="E48" s="302"/>
      <c r="F48" s="302"/>
      <c r="G48" s="302"/>
      <c r="H48" s="305"/>
      <c r="I48" s="45"/>
      <c r="J48" s="302"/>
      <c r="K48" s="302"/>
      <c r="L48" s="302"/>
      <c r="M48" s="302"/>
      <c r="N48" s="305"/>
      <c r="O48" s="68"/>
      <c r="P48" s="302"/>
      <c r="Q48" s="302"/>
      <c r="R48" s="302"/>
      <c r="S48" s="302"/>
      <c r="T48" s="305"/>
      <c r="U48" s="46"/>
      <c r="V48" s="302"/>
      <c r="W48" s="302"/>
      <c r="X48" s="47"/>
      <c r="Y48" s="47"/>
      <c r="Z48" s="63"/>
      <c r="AA48" s="68"/>
      <c r="AB48" s="47"/>
      <c r="AC48" s="47"/>
      <c r="AD48" s="47"/>
      <c r="AE48" s="47"/>
      <c r="AF48" s="63"/>
      <c r="AG48" s="68"/>
      <c r="AH48" s="65"/>
      <c r="AI48" s="69"/>
      <c r="AJ48" s="65"/>
    </row>
    <row r="49" spans="2:38" s="51" customFormat="1" ht="14.25" customHeight="1" x14ac:dyDescent="0.3">
      <c r="B49" s="26" t="s">
        <v>714</v>
      </c>
      <c r="C49" s="19"/>
      <c r="D49" s="47">
        <f>IS!P28</f>
        <v>555</v>
      </c>
      <c r="E49" s="47">
        <f>IS!Q28</f>
        <v>559</v>
      </c>
      <c r="F49" s="47">
        <f>IS!R28</f>
        <v>563</v>
      </c>
      <c r="G49" s="47">
        <f>IS!S28</f>
        <v>569</v>
      </c>
      <c r="H49" s="65">
        <f>IS!T28</f>
        <v>2246</v>
      </c>
      <c r="I49" s="45"/>
      <c r="J49" s="47">
        <f>IS!V28</f>
        <v>572</v>
      </c>
      <c r="K49" s="47">
        <f>IS!W28</f>
        <v>577</v>
      </c>
      <c r="L49" s="47">
        <f>IS!X28</f>
        <v>580</v>
      </c>
      <c r="M49" s="47">
        <f>IS!Y28</f>
        <v>589</v>
      </c>
      <c r="N49" s="65">
        <f>IS!Z28</f>
        <v>2318</v>
      </c>
      <c r="O49" s="83"/>
      <c r="P49" s="47">
        <f>IS!AB28</f>
        <v>594</v>
      </c>
      <c r="Q49" s="47">
        <f>IS!AC28</f>
        <v>596</v>
      </c>
      <c r="R49" s="47">
        <f>IS!AD28</f>
        <v>602</v>
      </c>
      <c r="S49" s="47">
        <f>IS!AE28</f>
        <v>606</v>
      </c>
      <c r="T49" s="65">
        <f>IS!AF28</f>
        <v>2398</v>
      </c>
      <c r="U49" s="79"/>
      <c r="V49" s="47">
        <f>IS!AH28</f>
        <v>610</v>
      </c>
      <c r="W49" s="47">
        <f>IS!AI28</f>
        <v>613</v>
      </c>
      <c r="X49" s="43">
        <f>X52+X55</f>
        <v>0</v>
      </c>
      <c r="Y49" s="43">
        <f>Y52+Y55</f>
        <v>0</v>
      </c>
      <c r="Z49" s="54">
        <f>Z52</f>
        <v>2385.6</v>
      </c>
      <c r="AA49" s="182"/>
      <c r="AB49" s="43">
        <f t="shared" ref="AB49:AE49" si="32">AB52+AB55</f>
        <v>0</v>
      </c>
      <c r="AC49" s="43">
        <f t="shared" si="32"/>
        <v>0</v>
      </c>
      <c r="AD49" s="43">
        <f t="shared" si="32"/>
        <v>0</v>
      </c>
      <c r="AE49" s="43">
        <f t="shared" si="32"/>
        <v>0</v>
      </c>
      <c r="AF49" s="54">
        <f>AF52</f>
        <v>2425.8560000000002</v>
      </c>
      <c r="AG49" s="182"/>
      <c r="AH49" s="63">
        <f>AH52+AH55</f>
        <v>2476.8217600000003</v>
      </c>
      <c r="AI49" s="182"/>
      <c r="AJ49" s="63">
        <f>AJ52+AJ55</f>
        <v>2527.9844180943237</v>
      </c>
      <c r="AK49" s="63"/>
      <c r="AL49" s="63">
        <f>AL52+AL55</f>
        <v>2559.6341003333523</v>
      </c>
    </row>
    <row r="50" spans="2:38" s="51" customFormat="1" ht="14.25" customHeight="1" x14ac:dyDescent="0.3">
      <c r="B50" s="29" t="s">
        <v>715</v>
      </c>
      <c r="C50" s="21"/>
      <c r="D50" s="302">
        <f>D49/(D79+D82)</f>
        <v>9.7726752478385654E-3</v>
      </c>
      <c r="E50" s="302">
        <f>E49/(E79+E82)</f>
        <v>9.8034057627891472E-3</v>
      </c>
      <c r="F50" s="302">
        <f>F49/(F79+F82)</f>
        <v>9.8097295790354061E-3</v>
      </c>
      <c r="G50" s="302">
        <f>G49/(G79+G82)</f>
        <v>9.8596430428002074E-3</v>
      </c>
      <c r="H50" s="305">
        <f>H49/(H79+H82)</f>
        <v>3.8918731588979377E-2</v>
      </c>
      <c r="I50" s="45"/>
      <c r="J50" s="302">
        <f>J49/(J79+J82)</f>
        <v>9.8664918756684039E-3</v>
      </c>
      <c r="K50" s="302">
        <f>K49/(K79+K82)</f>
        <v>9.8984423248473195E-3</v>
      </c>
      <c r="L50" s="302">
        <f>L49/(L79+L82)</f>
        <v>9.8841172460804368E-3</v>
      </c>
      <c r="M50" s="302">
        <f>M49/(M79+M82)</f>
        <v>9.9761182906793582E-3</v>
      </c>
      <c r="N50" s="305">
        <f>N49/(N79+N82)</f>
        <v>3.9260852627834894E-2</v>
      </c>
      <c r="O50" s="68"/>
      <c r="P50" s="302">
        <f>P49/(P79+P82)</f>
        <v>1.0060464407296377E-2</v>
      </c>
      <c r="Q50" s="302">
        <f>Q49/(Q79+Q82)</f>
        <v>1.0063997568430117E-2</v>
      </c>
      <c r="R50" s="302">
        <f>R49/(R79+R82)</f>
        <v>1.0137922904632795E-2</v>
      </c>
      <c r="S50" s="302">
        <f>S49/(S79+S82)</f>
        <v>1.0160965794768611E-2</v>
      </c>
      <c r="T50" s="305">
        <f>T49/(T79+T82)</f>
        <v>4.0207914151576124E-2</v>
      </c>
      <c r="U50" s="46"/>
      <c r="V50" s="302">
        <f>V49/(V79+V82)</f>
        <v>1.0191806455924613E-2</v>
      </c>
      <c r="W50" s="302">
        <f>W49/(W79+W82)</f>
        <v>1.0181033050988208E-2</v>
      </c>
      <c r="X50" s="302">
        <f>X49/( X79+X82)</f>
        <v>0</v>
      </c>
      <c r="Y50" s="302">
        <f>Y49/( Y79+Y82)</f>
        <v>0</v>
      </c>
      <c r="Z50" s="313">
        <v>0.04</v>
      </c>
      <c r="AA50" s="68"/>
      <c r="AB50" s="302">
        <f t="shared" ref="AB50:AE50" si="33">AB49/( AB79+AB82)</f>
        <v>0</v>
      </c>
      <c r="AC50" s="302">
        <f t="shared" si="33"/>
        <v>0</v>
      </c>
      <c r="AD50" s="302">
        <f t="shared" si="33"/>
        <v>0</v>
      </c>
      <c r="AE50" s="302">
        <f t="shared" si="33"/>
        <v>0</v>
      </c>
      <c r="AF50" s="313">
        <v>0.04</v>
      </c>
      <c r="AG50" s="68"/>
      <c r="AH50" s="313">
        <v>0.04</v>
      </c>
      <c r="AI50" s="69"/>
      <c r="AJ50" s="313">
        <v>0.04</v>
      </c>
      <c r="AL50" s="313">
        <v>0.04</v>
      </c>
    </row>
    <row r="51" spans="2:38" s="51" customFormat="1" ht="14.25" customHeight="1" x14ac:dyDescent="0.3">
      <c r="B51" s="29"/>
      <c r="C51" s="21"/>
      <c r="D51" s="302"/>
      <c r="E51" s="302"/>
      <c r="F51" s="302"/>
      <c r="G51" s="302"/>
      <c r="H51" s="305"/>
      <c r="I51" s="45"/>
      <c r="J51" s="302"/>
      <c r="K51" s="302"/>
      <c r="L51" s="302"/>
      <c r="M51" s="302"/>
      <c r="N51" s="305"/>
      <c r="O51" s="68"/>
      <c r="P51" s="302"/>
      <c r="Q51" s="302"/>
      <c r="R51" s="302"/>
      <c r="S51" s="302"/>
      <c r="T51" s="305"/>
      <c r="U51" s="46"/>
      <c r="V51" s="302"/>
      <c r="W51" s="302"/>
      <c r="X51" s="47"/>
      <c r="Y51" s="47"/>
      <c r="Z51" s="63"/>
      <c r="AA51" s="68"/>
      <c r="AB51" s="47"/>
      <c r="AC51" s="47"/>
      <c r="AD51" s="47"/>
      <c r="AE51" s="47"/>
      <c r="AF51" s="63"/>
      <c r="AG51" s="68"/>
      <c r="AH51" s="65"/>
      <c r="AI51" s="69"/>
      <c r="AJ51" s="65"/>
    </row>
    <row r="52" spans="2:38" s="51" customFormat="1" ht="14.25" hidden="1" customHeight="1" x14ac:dyDescent="0.3">
      <c r="B52" s="298" t="s">
        <v>716</v>
      </c>
      <c r="C52" s="21"/>
      <c r="D52" s="47">
        <f>IS!P64</f>
        <v>0</v>
      </c>
      <c r="E52" s="47">
        <f>IS!Q64</f>
        <v>0</v>
      </c>
      <c r="F52" s="47">
        <f>IS!R64</f>
        <v>0</v>
      </c>
      <c r="G52" s="47">
        <f>IS!S64</f>
        <v>0</v>
      </c>
      <c r="H52" s="65">
        <f>IS!T64</f>
        <v>0</v>
      </c>
      <c r="I52" s="45"/>
      <c r="J52" s="47">
        <f>IS!V64</f>
        <v>0</v>
      </c>
      <c r="K52" s="47">
        <f>IS!W64</f>
        <v>0</v>
      </c>
      <c r="L52" s="47">
        <f>IS!X64</f>
        <v>0</v>
      </c>
      <c r="M52" s="47">
        <f>IS!Y64</f>
        <v>0</v>
      </c>
      <c r="N52" s="65">
        <f>IS!Z64</f>
        <v>0</v>
      </c>
      <c r="O52" s="68"/>
      <c r="P52" s="47">
        <f>IS!AB64</f>
        <v>0</v>
      </c>
      <c r="Q52" s="47">
        <f>IS!AC64</f>
        <v>0</v>
      </c>
      <c r="R52" s="47">
        <f>IS!AD64</f>
        <v>0</v>
      </c>
      <c r="S52" s="47">
        <f>IS!AE64</f>
        <v>0</v>
      </c>
      <c r="T52" s="65">
        <f>IS!AF64</f>
        <v>0</v>
      </c>
      <c r="U52" s="46"/>
      <c r="V52" s="47">
        <f>IS!AH64</f>
        <v>0</v>
      </c>
      <c r="W52" s="47">
        <f>IS!AI64</f>
        <v>0</v>
      </c>
      <c r="X52" s="43">
        <f>X53*W79</f>
        <v>0</v>
      </c>
      <c r="Y52" s="43">
        <f>Y53*X79</f>
        <v>0</v>
      </c>
      <c r="Z52" s="54">
        <f>Z53*T79</f>
        <v>2385.6</v>
      </c>
      <c r="AA52" s="68"/>
      <c r="AB52" s="43">
        <f>AB53*Y79</f>
        <v>0</v>
      </c>
      <c r="AC52" s="43">
        <f>AC53*AB79</f>
        <v>0</v>
      </c>
      <c r="AD52" s="43">
        <f t="shared" ref="AD52:AE52" si="34">AD53*AC79</f>
        <v>0</v>
      </c>
      <c r="AE52" s="43">
        <f t="shared" si="34"/>
        <v>0</v>
      </c>
      <c r="AF52" s="54">
        <f>AF53*Z79</f>
        <v>2425.8560000000002</v>
      </c>
      <c r="AG52" s="68"/>
      <c r="AH52" s="54">
        <f>AH53*AF79</f>
        <v>2476.8217600000003</v>
      </c>
      <c r="AI52" s="69"/>
      <c r="AJ52" s="54">
        <f>AJ53*AH79</f>
        <v>2527.9844180943237</v>
      </c>
      <c r="AL52" s="54">
        <f>AL53*AJ79</f>
        <v>2559.6341003333523</v>
      </c>
    </row>
    <row r="53" spans="2:38" s="51" customFormat="1" ht="14.25" hidden="1" customHeight="1" x14ac:dyDescent="0.3">
      <c r="B53" s="299" t="s">
        <v>717</v>
      </c>
      <c r="C53" s="21"/>
      <c r="D53" s="302">
        <f>D52/D79</f>
        <v>0</v>
      </c>
      <c r="E53" s="302">
        <f>E52/E79</f>
        <v>0</v>
      </c>
      <c r="F53" s="302">
        <f>F52/F79</f>
        <v>0</v>
      </c>
      <c r="G53" s="302">
        <f>G52/G79</f>
        <v>0</v>
      </c>
      <c r="H53" s="305">
        <f>H52/H79</f>
        <v>0</v>
      </c>
      <c r="I53" s="45"/>
      <c r="J53" s="302">
        <f>J52/J79</f>
        <v>0</v>
      </c>
      <c r="K53" s="302">
        <f>K52/K79</f>
        <v>0</v>
      </c>
      <c r="L53" s="302">
        <f>L52/L79</f>
        <v>0</v>
      </c>
      <c r="M53" s="302">
        <f>M52/M79</f>
        <v>0</v>
      </c>
      <c r="N53" s="305">
        <f>N52/N79</f>
        <v>0</v>
      </c>
      <c r="O53" s="68"/>
      <c r="P53" s="302">
        <f>P52/P79</f>
        <v>0</v>
      </c>
      <c r="Q53" s="302">
        <f>Q52/Q79</f>
        <v>0</v>
      </c>
      <c r="R53" s="302">
        <f>R52/R79</f>
        <v>0</v>
      </c>
      <c r="S53" s="302">
        <f>S52/S79</f>
        <v>0</v>
      </c>
      <c r="T53" s="305">
        <f>T52/T79</f>
        <v>0</v>
      </c>
      <c r="U53" s="46"/>
      <c r="V53" s="302">
        <f>V52/V79</f>
        <v>0</v>
      </c>
      <c r="W53" s="302">
        <f>W52/W79</f>
        <v>0</v>
      </c>
      <c r="X53" s="313"/>
      <c r="Y53" s="313"/>
      <c r="Z53" s="313">
        <v>0.04</v>
      </c>
      <c r="AA53" s="68"/>
      <c r="AB53" s="313"/>
      <c r="AC53" s="313"/>
      <c r="AD53" s="313"/>
      <c r="AE53" s="313"/>
      <c r="AF53" s="313">
        <v>0.04</v>
      </c>
      <c r="AG53" s="68"/>
      <c r="AH53" s="313">
        <v>0.04</v>
      </c>
      <c r="AI53" s="69"/>
      <c r="AJ53" s="313">
        <v>0.04</v>
      </c>
      <c r="AL53" s="313">
        <v>0.04</v>
      </c>
    </row>
    <row r="54" spans="2:38" s="51" customFormat="1" ht="14.25" hidden="1" customHeight="1" x14ac:dyDescent="0.3">
      <c r="B54" s="29"/>
      <c r="C54" s="21"/>
      <c r="D54" s="302"/>
      <c r="E54" s="302"/>
      <c r="F54" s="302"/>
      <c r="G54" s="302"/>
      <c r="H54" s="305"/>
      <c r="I54" s="45"/>
      <c r="J54" s="302"/>
      <c r="K54" s="302"/>
      <c r="L54" s="302"/>
      <c r="M54" s="302"/>
      <c r="N54" s="305"/>
      <c r="O54" s="68"/>
      <c r="P54" s="302"/>
      <c r="Q54" s="302"/>
      <c r="R54" s="302"/>
      <c r="S54" s="302"/>
      <c r="T54" s="305"/>
      <c r="U54" s="46"/>
      <c r="V54" s="302"/>
      <c r="W54" s="302"/>
      <c r="X54" s="47"/>
      <c r="Y54" s="47"/>
      <c r="Z54" s="63"/>
      <c r="AA54" s="68"/>
      <c r="AB54" s="47"/>
      <c r="AC54" s="47"/>
      <c r="AD54" s="47"/>
      <c r="AE54" s="47"/>
      <c r="AF54" s="63"/>
      <c r="AG54" s="68"/>
      <c r="AH54" s="65"/>
      <c r="AI54" s="69"/>
      <c r="AJ54" s="65"/>
    </row>
    <row r="55" spans="2:38" s="51" customFormat="1" ht="14.25" hidden="1" customHeight="1" x14ac:dyDescent="0.3">
      <c r="B55" s="298" t="s">
        <v>718</v>
      </c>
      <c r="C55" s="21"/>
      <c r="D55" s="47">
        <f>IS!P65</f>
        <v>0</v>
      </c>
      <c r="E55" s="47">
        <f>IS!Q65</f>
        <v>0</v>
      </c>
      <c r="F55" s="47">
        <f>IS!R65</f>
        <v>0</v>
      </c>
      <c r="G55" s="47">
        <f>IS!S65</f>
        <v>0</v>
      </c>
      <c r="H55" s="65">
        <f>IS!T65</f>
        <v>0</v>
      </c>
      <c r="I55" s="45"/>
      <c r="J55" s="47">
        <f>IS!V65</f>
        <v>0</v>
      </c>
      <c r="K55" s="47">
        <f>IS!W65</f>
        <v>0</v>
      </c>
      <c r="L55" s="47">
        <f>IS!X65</f>
        <v>0</v>
      </c>
      <c r="M55" s="47">
        <f>IS!Y65</f>
        <v>0</v>
      </c>
      <c r="N55" s="65">
        <f>IS!Z65</f>
        <v>0</v>
      </c>
      <c r="O55" s="68"/>
      <c r="P55" s="47">
        <f>IS!AB65</f>
        <v>0</v>
      </c>
      <c r="Q55" s="47">
        <f>IS!AC65</f>
        <v>0</v>
      </c>
      <c r="R55" s="47">
        <f>IS!AD65</f>
        <v>0</v>
      </c>
      <c r="S55" s="47">
        <f>IS!AE65</f>
        <v>0</v>
      </c>
      <c r="T55" s="65">
        <f>IS!AF65</f>
        <v>0</v>
      </c>
      <c r="U55" s="46"/>
      <c r="V55" s="47">
        <f>IS!AH65</f>
        <v>0</v>
      </c>
      <c r="W55" s="47">
        <f>IS!AI65</f>
        <v>0</v>
      </c>
      <c r="X55" s="43">
        <f>X56*W82</f>
        <v>0</v>
      </c>
      <c r="Y55" s="43">
        <f>Y56*X82</f>
        <v>0</v>
      </c>
      <c r="Z55" s="54">
        <f>SUM(V55:Y55)</f>
        <v>0</v>
      </c>
      <c r="AA55" s="68"/>
      <c r="AB55" s="43">
        <f>AB56*Y82</f>
        <v>0</v>
      </c>
      <c r="AC55" s="43">
        <f t="shared" ref="AC55:AE55" si="35">AC56*AB82</f>
        <v>0</v>
      </c>
      <c r="AD55" s="43">
        <f t="shared" si="35"/>
        <v>0</v>
      </c>
      <c r="AE55" s="43">
        <f t="shared" si="35"/>
        <v>0</v>
      </c>
      <c r="AF55" s="54">
        <f>SUM(AB55:AE55)</f>
        <v>0</v>
      </c>
      <c r="AG55" s="68"/>
      <c r="AH55" s="54">
        <f>AH56*AF82</f>
        <v>0</v>
      </c>
      <c r="AI55" s="69"/>
      <c r="AJ55" s="54">
        <f>AJ56*AH82</f>
        <v>0</v>
      </c>
      <c r="AL55" s="54">
        <f>AL56*AJ82</f>
        <v>0</v>
      </c>
    </row>
    <row r="56" spans="2:38" s="51" customFormat="1" ht="14.25" hidden="1" customHeight="1" x14ac:dyDescent="0.3">
      <c r="B56" s="299" t="s">
        <v>719</v>
      </c>
      <c r="C56" s="21"/>
      <c r="D56" s="302" t="e">
        <f>D55/D82</f>
        <v>#DIV/0!</v>
      </c>
      <c r="E56" s="302" t="e">
        <f>E55/E82</f>
        <v>#DIV/0!</v>
      </c>
      <c r="F56" s="302" t="e">
        <f>F55/F82</f>
        <v>#DIV/0!</v>
      </c>
      <c r="G56" s="302" t="e">
        <f>G55/G82</f>
        <v>#DIV/0!</v>
      </c>
      <c r="H56" s="305" t="e">
        <f>H55/H82</f>
        <v>#DIV/0!</v>
      </c>
      <c r="I56" s="45"/>
      <c r="J56" s="302" t="e">
        <f>J55/J82</f>
        <v>#DIV/0!</v>
      </c>
      <c r="K56" s="302" t="e">
        <f>K55/K82</f>
        <v>#DIV/0!</v>
      </c>
      <c r="L56" s="302" t="e">
        <f>L55/L82</f>
        <v>#DIV/0!</v>
      </c>
      <c r="M56" s="302" t="e">
        <f>M55/M82</f>
        <v>#DIV/0!</v>
      </c>
      <c r="N56" s="305" t="e">
        <f>N55/N82</f>
        <v>#DIV/0!</v>
      </c>
      <c r="O56" s="68"/>
      <c r="P56" s="302" t="e">
        <f>P55/P82</f>
        <v>#DIV/0!</v>
      </c>
      <c r="Q56" s="302" t="e">
        <f>Q55/Q82</f>
        <v>#DIV/0!</v>
      </c>
      <c r="R56" s="302" t="e">
        <f>R55/R82</f>
        <v>#DIV/0!</v>
      </c>
      <c r="S56" s="302" t="e">
        <f>S55/S82</f>
        <v>#DIV/0!</v>
      </c>
      <c r="T56" s="305" t="e">
        <f>T55/T82</f>
        <v>#DIV/0!</v>
      </c>
      <c r="U56" s="46"/>
      <c r="V56" s="302" t="e">
        <f>V55/V82</f>
        <v>#DIV/0!</v>
      </c>
      <c r="W56" s="302" t="e">
        <f>W55/W82</f>
        <v>#DIV/0!</v>
      </c>
      <c r="X56" s="313">
        <v>0</v>
      </c>
      <c r="Y56" s="313">
        <v>0</v>
      </c>
      <c r="Z56" s="303">
        <f>Z55/Z82</f>
        <v>0</v>
      </c>
      <c r="AA56" s="68"/>
      <c r="AB56" s="313">
        <v>0</v>
      </c>
      <c r="AC56" s="313">
        <v>0</v>
      </c>
      <c r="AD56" s="313">
        <v>0</v>
      </c>
      <c r="AE56" s="313">
        <v>0</v>
      </c>
      <c r="AF56" s="303">
        <f>AF55/AF82</f>
        <v>0</v>
      </c>
      <c r="AG56" s="68"/>
      <c r="AH56" s="313">
        <v>0</v>
      </c>
      <c r="AI56" s="69"/>
      <c r="AJ56" s="313">
        <v>0</v>
      </c>
      <c r="AL56" s="313">
        <v>0</v>
      </c>
    </row>
    <row r="57" spans="2:38" s="51" customFormat="1" ht="14" hidden="1" x14ac:dyDescent="0.3">
      <c r="B57" s="29"/>
      <c r="C57" s="21"/>
      <c r="D57" s="43"/>
      <c r="E57" s="43"/>
      <c r="F57" s="43"/>
      <c r="G57" s="43"/>
      <c r="H57" s="63"/>
      <c r="I57" s="45"/>
      <c r="J57" s="43"/>
      <c r="K57" s="43"/>
      <c r="L57" s="43"/>
      <c r="M57" s="43"/>
      <c r="N57" s="63"/>
      <c r="O57" s="68"/>
      <c r="P57" s="43"/>
      <c r="Q57" s="43"/>
      <c r="R57" s="43"/>
      <c r="S57" s="43"/>
      <c r="T57" s="63"/>
      <c r="U57" s="46"/>
      <c r="V57" s="43"/>
      <c r="W57" s="43"/>
      <c r="X57" s="47"/>
      <c r="Y57" s="47"/>
      <c r="Z57" s="63"/>
      <c r="AA57" s="68"/>
      <c r="AB57" s="47"/>
      <c r="AC57" s="47"/>
      <c r="AD57" s="47"/>
      <c r="AE57" s="47"/>
      <c r="AF57" s="63"/>
      <c r="AG57" s="68"/>
      <c r="AH57" s="65"/>
      <c r="AI57" s="69"/>
      <c r="AJ57" s="65"/>
    </row>
    <row r="58" spans="2:38" s="51" customFormat="1" ht="14.25" customHeight="1" x14ac:dyDescent="0.3">
      <c r="B58" s="37" t="s">
        <v>720</v>
      </c>
      <c r="C58" s="21"/>
      <c r="D58" s="47">
        <f>IS!P30+IS!P32</f>
        <v>2928</v>
      </c>
      <c r="E58" s="47">
        <f>IS!Q30+IS!Q32</f>
        <v>3215</v>
      </c>
      <c r="F58" s="47">
        <f>IS!R30+IS!R32</f>
        <v>3256</v>
      </c>
      <c r="G58" s="47">
        <f>IS!S30+IS!S32</f>
        <v>3221</v>
      </c>
      <c r="H58" s="65">
        <f>IS!T30+IS!T32</f>
        <v>12620</v>
      </c>
      <c r="I58" s="45"/>
      <c r="J58" s="47">
        <f>IS!V30+IS!V32</f>
        <v>3190</v>
      </c>
      <c r="K58" s="47">
        <f>IS!W30+IS!W32</f>
        <v>3182</v>
      </c>
      <c r="L58" s="47">
        <f>IS!X30+IS!X32</f>
        <v>3184</v>
      </c>
      <c r="M58" s="47">
        <f>IS!Y30+IS!Y32</f>
        <v>3163</v>
      </c>
      <c r="N58" s="65">
        <f>IS!Z30+IS!Z32</f>
        <v>12719</v>
      </c>
      <c r="O58" s="68"/>
      <c r="P58" s="47">
        <f>IS!AB30+IS!AB32</f>
        <v>3065</v>
      </c>
      <c r="Q58" s="47">
        <f>IS!AC30+IS!AC32</f>
        <v>3011</v>
      </c>
      <c r="R58" s="47">
        <f>IS!AD30+IS!AD32</f>
        <v>3073</v>
      </c>
      <c r="S58" s="47">
        <f>IS!AE30+IS!AE32</f>
        <v>2990</v>
      </c>
      <c r="T58" s="65">
        <f>IS!AF30+IS!AF32</f>
        <v>12139</v>
      </c>
      <c r="U58" s="46"/>
      <c r="V58" s="47">
        <f>IS!AH30+IS!AH32</f>
        <v>3046</v>
      </c>
      <c r="W58" s="47">
        <f>IS!AI30+IS!AI32</f>
        <v>3016</v>
      </c>
      <c r="X58" s="43">
        <f>X59*X$31</f>
        <v>0</v>
      </c>
      <c r="Y58" s="43">
        <f>Y59*Y$31</f>
        <v>0</v>
      </c>
      <c r="Z58" s="54">
        <f>Anexo_projections!BM24</f>
        <v>12184.346682718198</v>
      </c>
      <c r="AA58" s="68"/>
      <c r="AB58" s="43">
        <f>AB59*AB$31</f>
        <v>0</v>
      </c>
      <c r="AC58" s="43">
        <f>AC59*AC$31</f>
        <v>0</v>
      </c>
      <c r="AD58" s="43">
        <f>AD59*AD$31</f>
        <v>0</v>
      </c>
      <c r="AE58" s="43">
        <f>AE59*AE$31</f>
        <v>0</v>
      </c>
      <c r="AF58" s="54">
        <f>Anexo_projections!BS24</f>
        <v>12568.158028166035</v>
      </c>
      <c r="AG58" s="68"/>
      <c r="AH58" s="54">
        <f>Anexo_projections!BU24</f>
        <v>12468.127648492404</v>
      </c>
      <c r="AI58" s="69"/>
      <c r="AJ58" s="54">
        <f>Anexo_projections!BW24</f>
        <v>12583.269998160842</v>
      </c>
      <c r="AL58" s="54">
        <f>Anexo_projections!BY24</f>
        <v>12521.924474302017</v>
      </c>
    </row>
    <row r="59" spans="2:38" s="51" customFormat="1" ht="14.25" customHeight="1" x14ac:dyDescent="0.3">
      <c r="B59" s="29" t="s">
        <v>707</v>
      </c>
      <c r="C59" s="19"/>
      <c r="D59" s="302">
        <f>D58/D31</f>
        <v>0.49965870307167237</v>
      </c>
      <c r="E59" s="302">
        <f>E58/E31</f>
        <v>0.51284096347104802</v>
      </c>
      <c r="F59" s="302">
        <f>F58/F31</f>
        <v>0.49588790740176669</v>
      </c>
      <c r="G59" s="302">
        <f>G58/G31</f>
        <v>0.52119741100323624</v>
      </c>
      <c r="H59" s="305">
        <f>H58/H31</f>
        <v>0.50733668341708538</v>
      </c>
      <c r="I59" s="45"/>
      <c r="J59" s="302">
        <f>J58/J31</f>
        <v>0.52675033025099072</v>
      </c>
      <c r="K59" s="302">
        <f>K58/K31</f>
        <v>0.53362401475767229</v>
      </c>
      <c r="L59" s="302">
        <f>L58/L31</f>
        <v>0.5359367109914156</v>
      </c>
      <c r="M59" s="302">
        <f>M58/M31</f>
        <v>0.51355739568111702</v>
      </c>
      <c r="N59" s="305">
        <f>N58/N31</f>
        <v>0.52734358804262205</v>
      </c>
      <c r="O59" s="83"/>
      <c r="P59" s="302">
        <f>P58/P31</f>
        <v>0.50820759409716465</v>
      </c>
      <c r="Q59" s="302">
        <f>Q58/Q31</f>
        <v>0.50124854336607294</v>
      </c>
      <c r="R59" s="302">
        <f>R58/R31</f>
        <v>0.5045148579871942</v>
      </c>
      <c r="S59" s="302">
        <f>S58/S31</f>
        <v>0.48848227413821271</v>
      </c>
      <c r="T59" s="305">
        <f>T58/T31</f>
        <v>0.50057731958762886</v>
      </c>
      <c r="U59" s="79"/>
      <c r="V59" s="302">
        <f>V58/V31</f>
        <v>0.50539240086278414</v>
      </c>
      <c r="W59" s="302">
        <f>W58/W31</f>
        <v>0.49008774780630482</v>
      </c>
      <c r="X59" s="313"/>
      <c r="Y59" s="313"/>
      <c r="Z59" s="305">
        <f>Z58/Z31</f>
        <v>0.47817622427059259</v>
      </c>
      <c r="AA59" s="68"/>
      <c r="AB59" s="313"/>
      <c r="AC59" s="313"/>
      <c r="AD59" s="313"/>
      <c r="AE59" s="313"/>
      <c r="AF59" s="305">
        <f>AF58/AF31</f>
        <v>0.4799048158319722</v>
      </c>
      <c r="AG59" s="68"/>
      <c r="AH59" s="305">
        <f>AH58/AH31</f>
        <v>0.46474702443101229</v>
      </c>
      <c r="AI59" s="69"/>
      <c r="AJ59" s="305">
        <f>AJ58/AJ31</f>
        <v>0.4549229802712868</v>
      </c>
      <c r="AL59" s="305">
        <f>AL58/AL31</f>
        <v>0.44193737369673475</v>
      </c>
    </row>
    <row r="60" spans="2:38" s="51" customFormat="1" ht="14.25" customHeight="1" x14ac:dyDescent="0.3">
      <c r="B60" s="37"/>
      <c r="C60" s="21"/>
      <c r="D60" s="43"/>
      <c r="E60" s="43"/>
      <c r="F60" s="43"/>
      <c r="G60" s="43"/>
      <c r="H60" s="63"/>
      <c r="I60" s="45"/>
      <c r="J60" s="43"/>
      <c r="K60" s="43"/>
      <c r="L60" s="43"/>
      <c r="M60" s="43"/>
      <c r="N60" s="63"/>
      <c r="O60" s="68"/>
      <c r="P60" s="43"/>
      <c r="Q60" s="43"/>
      <c r="R60" s="43"/>
      <c r="S60" s="43"/>
      <c r="T60" s="63"/>
      <c r="U60" s="46"/>
      <c r="V60" s="43"/>
      <c r="W60" s="43"/>
      <c r="X60" s="47"/>
      <c r="Y60" s="47"/>
      <c r="Z60" s="63"/>
      <c r="AA60" s="68"/>
      <c r="AB60" s="47"/>
      <c r="AC60" s="47"/>
      <c r="AD60" s="47"/>
      <c r="AE60" s="47"/>
      <c r="AF60" s="63"/>
      <c r="AG60" s="68"/>
      <c r="AH60" s="65"/>
      <c r="AI60" s="69"/>
      <c r="AJ60" s="65"/>
    </row>
    <row r="61" spans="2:38" s="51" customFormat="1" ht="14.25" customHeight="1" x14ac:dyDescent="0.3">
      <c r="B61" s="26" t="s">
        <v>721</v>
      </c>
      <c r="C61" s="21"/>
      <c r="D61" s="47">
        <f>IS!P33</f>
        <v>2377</v>
      </c>
      <c r="E61" s="47">
        <f>IS!Q33</f>
        <v>2495</v>
      </c>
      <c r="F61" s="47">
        <f>IS!R33</f>
        <v>2747</v>
      </c>
      <c r="G61" s="47">
        <f>IS!S33</f>
        <v>2390</v>
      </c>
      <c r="H61" s="65">
        <f>IS!T33</f>
        <v>10009</v>
      </c>
      <c r="I61" s="45"/>
      <c r="J61" s="47">
        <f>IS!V33</f>
        <v>2294</v>
      </c>
      <c r="K61" s="47">
        <f>IS!W33</f>
        <v>2204</v>
      </c>
      <c r="L61" s="47">
        <f>IS!X33</f>
        <v>2177</v>
      </c>
      <c r="M61" s="47">
        <f>IS!Y33</f>
        <v>2407</v>
      </c>
      <c r="N61" s="65">
        <f>IS!Z33</f>
        <v>9082</v>
      </c>
      <c r="O61" s="68"/>
      <c r="P61" s="47">
        <f>IS!AB33</f>
        <v>2372</v>
      </c>
      <c r="Q61" s="47">
        <f>IS!AC33</f>
        <v>2400</v>
      </c>
      <c r="R61" s="47">
        <f>IS!AD33</f>
        <v>2416</v>
      </c>
      <c r="S61" s="47">
        <f>IS!AE33</f>
        <v>2525</v>
      </c>
      <c r="T61" s="65">
        <f>IS!AF33</f>
        <v>9713</v>
      </c>
      <c r="U61" s="46"/>
      <c r="V61" s="47">
        <f>IS!AH33</f>
        <v>2371</v>
      </c>
      <c r="W61" s="47">
        <f>IS!AI33</f>
        <v>2525</v>
      </c>
      <c r="X61" s="43">
        <f>X40-X43-X46-X49-X58</f>
        <v>0</v>
      </c>
      <c r="Y61" s="43">
        <f>Y40-Y43-Y46-Y49-Y58</f>
        <v>0</v>
      </c>
      <c r="Z61" s="51">
        <f>Z40-Z43-Z46-Z49-Z58</f>
        <v>10910.924310615137</v>
      </c>
      <c r="AA61" s="68"/>
      <c r="AB61" s="43">
        <f t="shared" ref="AB61:AE61" si="36">AB40-AB43-AB46-AB49-AB58</f>
        <v>0</v>
      </c>
      <c r="AC61" s="43">
        <f t="shared" si="36"/>
        <v>0</v>
      </c>
      <c r="AD61" s="43">
        <f t="shared" si="36"/>
        <v>0</v>
      </c>
      <c r="AE61" s="43">
        <f t="shared" si="36"/>
        <v>0</v>
      </c>
      <c r="AF61" s="51">
        <f>AF40-AF43-AF46-AF49-AF58</f>
        <v>11194.841789789523</v>
      </c>
      <c r="AG61" s="68"/>
      <c r="AH61" s="51">
        <f>AH40-AH43-AH46-AH49-AH58</f>
        <v>11882.823536922528</v>
      </c>
      <c r="AI61" s="69"/>
      <c r="AJ61" s="51">
        <f>AJ40-AJ43-AJ46-AJ49-AJ58</f>
        <v>12548.966200995226</v>
      </c>
      <c r="AL61" s="51">
        <f>AL40-AL43-AL46-AL49-AL58</f>
        <v>13252.601918644803</v>
      </c>
    </row>
    <row r="62" spans="2:38" s="51" customFormat="1" ht="14.25" customHeight="1" x14ac:dyDescent="0.3">
      <c r="B62" s="29" t="s">
        <v>707</v>
      </c>
      <c r="C62" s="21"/>
      <c r="D62" s="302">
        <f>D61/D31</f>
        <v>0.40563139931740616</v>
      </c>
      <c r="E62" s="302">
        <f>E61/E31</f>
        <v>0.39799011006540119</v>
      </c>
      <c r="F62" s="302">
        <f>F61/F31</f>
        <v>0.41836734693877553</v>
      </c>
      <c r="G62" s="302">
        <f>G61/G31</f>
        <v>0.38673139158576053</v>
      </c>
      <c r="H62" s="305">
        <f>H61/H31</f>
        <v>0.40237185929648239</v>
      </c>
      <c r="I62" s="45"/>
      <c r="J62" s="302">
        <f>J61/J31</f>
        <v>0.37879788639365919</v>
      </c>
      <c r="K62" s="302">
        <f>K61/K31</f>
        <v>0.36961261110179439</v>
      </c>
      <c r="L62" s="302">
        <f>L61/L31</f>
        <v>0.36643662683049993</v>
      </c>
      <c r="M62" s="302">
        <f>M61/M31</f>
        <v>0.39081019646046439</v>
      </c>
      <c r="N62" s="305">
        <f>N61/N31</f>
        <v>0.37654960819271116</v>
      </c>
      <c r="O62" s="68"/>
      <c r="P62" s="302">
        <f>P61/P31</f>
        <v>0.39330127673685955</v>
      </c>
      <c r="Q62" s="302">
        <f>Q61/Q31</f>
        <v>0.39953387714333277</v>
      </c>
      <c r="R62" s="302">
        <f>R61/R31</f>
        <v>0.3966507962567723</v>
      </c>
      <c r="S62" s="302">
        <f>S61/S31</f>
        <v>0.41251429504982845</v>
      </c>
      <c r="T62" s="305">
        <f>T61/T31</f>
        <v>0.40053608247422678</v>
      </c>
      <c r="U62" s="46"/>
      <c r="V62" s="302">
        <f>V61/V31</f>
        <v>0.39339638294342127</v>
      </c>
      <c r="W62" s="302">
        <f>W61/W31</f>
        <v>0.41030224244393892</v>
      </c>
      <c r="X62" s="304" t="e">
        <f t="shared" ref="X62:Y62" si="37">X61/X$31</f>
        <v>#DIV/0!</v>
      </c>
      <c r="Y62" s="304" t="e">
        <f t="shared" si="37"/>
        <v>#DIV/0!</v>
      </c>
      <c r="Z62" s="303">
        <f>Z61/Z$31</f>
        <v>0.42820060246252206</v>
      </c>
      <c r="AA62" s="68"/>
      <c r="AB62" s="304" t="e">
        <f t="shared" ref="AB62" si="38">AB61/AB$31</f>
        <v>#DIV/0!</v>
      </c>
      <c r="AC62" s="304" t="e">
        <f t="shared" ref="AC62" si="39">AC61/AC$31</f>
        <v>#DIV/0!</v>
      </c>
      <c r="AD62" s="304" t="e">
        <f t="shared" ref="AD62" si="40">AD61/AD$31</f>
        <v>#DIV/0!</v>
      </c>
      <c r="AE62" s="304" t="e">
        <f t="shared" ref="AE62" si="41">AE61/AE$31</f>
        <v>#DIV/0!</v>
      </c>
      <c r="AF62" s="303">
        <f>AF61/AF$31</f>
        <v>0.42746586057853414</v>
      </c>
      <c r="AG62" s="68"/>
      <c r="AH62" s="303">
        <f>AH61/AH$31</f>
        <v>0.44292992791835123</v>
      </c>
      <c r="AI62" s="69"/>
      <c r="AJ62" s="303">
        <f>AJ61/AJ$31</f>
        <v>0.45368279503775971</v>
      </c>
      <c r="AL62" s="303">
        <f>AL61/AL$31</f>
        <v>0.46772523653163595</v>
      </c>
    </row>
    <row r="63" spans="2:38" s="51" customFormat="1" ht="14.25" customHeight="1" x14ac:dyDescent="0.3">
      <c r="B63" s="29"/>
      <c r="C63" s="21"/>
      <c r="D63" s="43"/>
      <c r="E63" s="43"/>
      <c r="F63" s="43"/>
      <c r="G63" s="43"/>
      <c r="H63" s="63"/>
      <c r="I63" s="45"/>
      <c r="J63" s="43"/>
      <c r="K63" s="43"/>
      <c r="L63" s="43"/>
      <c r="M63" s="43"/>
      <c r="N63" s="63"/>
      <c r="O63" s="68"/>
      <c r="P63" s="43"/>
      <c r="Q63" s="43"/>
      <c r="R63" s="43"/>
      <c r="S63" s="43"/>
      <c r="T63" s="63"/>
      <c r="U63" s="46"/>
      <c r="V63" s="43"/>
      <c r="W63" s="43"/>
      <c r="X63" s="47"/>
      <c r="Y63" s="47"/>
      <c r="Z63" s="63"/>
      <c r="AA63" s="68"/>
      <c r="AB63" s="47"/>
      <c r="AC63" s="47"/>
      <c r="AD63" s="47"/>
      <c r="AE63" s="47"/>
      <c r="AF63" s="63"/>
      <c r="AG63" s="68"/>
      <c r="AH63" s="65"/>
      <c r="AI63" s="69"/>
      <c r="AJ63" s="65"/>
    </row>
    <row r="64" spans="2:38" s="51" customFormat="1" ht="14.25" customHeight="1" x14ac:dyDescent="0.3">
      <c r="B64" s="26" t="s">
        <v>722</v>
      </c>
      <c r="C64" s="21"/>
      <c r="D64" s="315">
        <f>IS!P59</f>
        <v>632.20000000000005</v>
      </c>
      <c r="E64" s="315">
        <f>IS!Q59</f>
        <v>625.6</v>
      </c>
      <c r="F64" s="315">
        <f>IS!R59</f>
        <v>620.4</v>
      </c>
      <c r="G64" s="315">
        <f>IS!S59</f>
        <v>612.70000000000005</v>
      </c>
      <c r="H64" s="325">
        <f>IS!T59</f>
        <v>622.70000000000005</v>
      </c>
      <c r="I64" s="326"/>
      <c r="J64" s="315">
        <f>IS!V59</f>
        <v>610.6</v>
      </c>
      <c r="K64" s="315">
        <f>IS!W59</f>
        <v>608.70000000000005</v>
      </c>
      <c r="L64" s="315">
        <f>IS!X59</f>
        <v>608.70000000000005</v>
      </c>
      <c r="M64" s="315">
        <f>IS!Y59</f>
        <v>608.9</v>
      </c>
      <c r="N64" s="325">
        <f>IS!Z59</f>
        <v>609.20000000000005</v>
      </c>
      <c r="O64" s="329"/>
      <c r="P64" s="315">
        <f>IS!AB59</f>
        <v>609.20000000000005</v>
      </c>
      <c r="Q64" s="315">
        <f>IS!AC59</f>
        <v>609.4</v>
      </c>
      <c r="R64" s="315">
        <f>IS!AD59</f>
        <v>607.6</v>
      </c>
      <c r="S64" s="315">
        <f>IS!AE59</f>
        <v>604.20000000000005</v>
      </c>
      <c r="T64" s="325">
        <f>IS!AF59</f>
        <v>607.6</v>
      </c>
      <c r="U64" s="330"/>
      <c r="V64" s="315">
        <f>IS!AH59</f>
        <v>601</v>
      </c>
      <c r="W64" s="315">
        <f>IS!AI59</f>
        <v>594.1</v>
      </c>
      <c r="X64" s="769">
        <f>W64+X101</f>
        <v>594.1</v>
      </c>
      <c r="Y64" s="315">
        <f>X64+Y101</f>
        <v>594.1</v>
      </c>
      <c r="Z64" s="325">
        <f>AVERAGE(V64:Y64)</f>
        <v>595.82499999999993</v>
      </c>
      <c r="AA64" s="68"/>
      <c r="AB64" s="315">
        <f>Y64+AB101</f>
        <v>594.1</v>
      </c>
      <c r="AC64" s="315">
        <f t="shared" ref="AC64:AE64" si="42">AB64+AC101</f>
        <v>594.1</v>
      </c>
      <c r="AD64" s="315">
        <f t="shared" si="42"/>
        <v>594.1</v>
      </c>
      <c r="AE64" s="315">
        <f t="shared" si="42"/>
        <v>594.1</v>
      </c>
      <c r="AF64" s="325">
        <f>AVERAGE(AB64:AE64)</f>
        <v>594.1</v>
      </c>
      <c r="AG64" s="68"/>
      <c r="AH64" s="325">
        <f>AE64+AH101</f>
        <v>594.1</v>
      </c>
      <c r="AI64" s="69"/>
      <c r="AJ64" s="325">
        <f>AF64+AJ101</f>
        <v>594.1</v>
      </c>
      <c r="AL64" s="325">
        <f>AH64+AL101</f>
        <v>594.1</v>
      </c>
    </row>
    <row r="65" spans="2:38" s="51" customFormat="1" ht="14.25" customHeight="1" x14ac:dyDescent="0.3">
      <c r="B65" s="26" t="s">
        <v>723</v>
      </c>
      <c r="C65" s="21"/>
      <c r="D65" s="315">
        <f>IS!P60</f>
        <v>633.6</v>
      </c>
      <c r="E65" s="315">
        <f>IS!Q60</f>
        <v>626.79999999999995</v>
      </c>
      <c r="F65" s="315">
        <f>IS!R60</f>
        <v>621.5</v>
      </c>
      <c r="G65" s="315">
        <f>IS!S60</f>
        <v>613.70000000000005</v>
      </c>
      <c r="H65" s="325">
        <f>IS!T60</f>
        <v>624</v>
      </c>
      <c r="I65" s="326"/>
      <c r="J65" s="315">
        <f>IS!V60</f>
        <v>611.5</v>
      </c>
      <c r="K65" s="315">
        <f>IS!W60</f>
        <v>609.5</v>
      </c>
      <c r="L65" s="315">
        <f>IS!X60</f>
        <v>609.79999999999995</v>
      </c>
      <c r="M65" s="315">
        <f>IS!Y60</f>
        <v>609.9</v>
      </c>
      <c r="N65" s="325">
        <f>IS!Z60</f>
        <v>610.20000000000005</v>
      </c>
      <c r="O65" s="329"/>
      <c r="P65" s="315">
        <f>IS!AB60</f>
        <v>610.20000000000005</v>
      </c>
      <c r="Q65" s="315">
        <f>IS!AC60</f>
        <v>610.29999999999995</v>
      </c>
      <c r="R65" s="315">
        <f>IS!AD60</f>
        <v>608.6</v>
      </c>
      <c r="S65" s="315">
        <f>IS!AE60</f>
        <v>605.20000000000005</v>
      </c>
      <c r="T65" s="325">
        <f>IS!AF60</f>
        <v>608.6</v>
      </c>
      <c r="U65" s="330"/>
      <c r="V65" s="315">
        <f>IS!AH60</f>
        <v>601.9</v>
      </c>
      <c r="W65" s="315">
        <f>IS!AI60</f>
        <v>594.79999999999995</v>
      </c>
      <c r="X65" s="315">
        <f>W65</f>
        <v>594.79999999999995</v>
      </c>
      <c r="Y65" s="315">
        <f>X65</f>
        <v>594.79999999999995</v>
      </c>
      <c r="Z65" s="325">
        <f>AVERAGE(V65:Y65)</f>
        <v>596.57499999999993</v>
      </c>
      <c r="AA65" s="68"/>
      <c r="AB65" s="315">
        <f>Y65</f>
        <v>594.79999999999995</v>
      </c>
      <c r="AC65" s="315">
        <f t="shared" ref="AC65:AE65" si="43">AB65</f>
        <v>594.79999999999995</v>
      </c>
      <c r="AD65" s="315">
        <f t="shared" si="43"/>
        <v>594.79999999999995</v>
      </c>
      <c r="AE65" s="315">
        <f t="shared" si="43"/>
        <v>594.79999999999995</v>
      </c>
      <c r="AF65" s="325">
        <f>AVERAGE(AB65:AE65)</f>
        <v>594.79999999999995</v>
      </c>
      <c r="AG65" s="68"/>
      <c r="AH65" s="325">
        <f>AF65</f>
        <v>594.79999999999995</v>
      </c>
      <c r="AI65" s="69"/>
      <c r="AJ65" s="325">
        <f>AH65</f>
        <v>594.79999999999995</v>
      </c>
      <c r="AL65" s="325">
        <f>AJ65</f>
        <v>594.79999999999995</v>
      </c>
    </row>
    <row r="66" spans="2:38" ht="14.25" customHeight="1" x14ac:dyDescent="0.3">
      <c r="U66" s="202"/>
    </row>
    <row r="67" spans="2:38" s="52" customFormat="1" ht="14.25" customHeight="1" x14ac:dyDescent="0.3">
      <c r="B67" s="158" t="s">
        <v>724</v>
      </c>
      <c r="C67" s="30"/>
      <c r="D67" s="351" t="s">
        <v>725</v>
      </c>
      <c r="E67" s="351" t="s">
        <v>726</v>
      </c>
      <c r="F67" s="351" t="s">
        <v>727</v>
      </c>
      <c r="G67" s="351" t="s">
        <v>728</v>
      </c>
      <c r="H67" s="351" t="s">
        <v>729</v>
      </c>
      <c r="I67" s="35"/>
      <c r="J67" s="351" t="s">
        <v>730</v>
      </c>
      <c r="K67" s="351" t="s">
        <v>731</v>
      </c>
      <c r="L67" s="351" t="s">
        <v>732</v>
      </c>
      <c r="M67" s="351" t="s">
        <v>733</v>
      </c>
      <c r="N67" s="351" t="s">
        <v>734</v>
      </c>
      <c r="O67" s="35"/>
      <c r="P67" s="351" t="s">
        <v>735</v>
      </c>
      <c r="Q67" s="351" t="s">
        <v>736</v>
      </c>
      <c r="R67" s="351" t="s">
        <v>737</v>
      </c>
      <c r="S67" s="351" t="s">
        <v>738</v>
      </c>
      <c r="T67" s="351" t="s">
        <v>739</v>
      </c>
      <c r="U67" s="35"/>
      <c r="V67" s="351" t="s">
        <v>740</v>
      </c>
      <c r="W67" s="351" t="s">
        <v>741</v>
      </c>
      <c r="X67" s="351" t="s">
        <v>742</v>
      </c>
      <c r="Y67" s="351" t="s">
        <v>743</v>
      </c>
      <c r="Z67" s="351" t="s">
        <v>744</v>
      </c>
      <c r="AA67" s="35"/>
      <c r="AB67" s="351" t="s">
        <v>745</v>
      </c>
      <c r="AC67" s="351" t="s">
        <v>746</v>
      </c>
      <c r="AD67" s="351" t="s">
        <v>747</v>
      </c>
      <c r="AE67" s="351" t="s">
        <v>748</v>
      </c>
      <c r="AF67" s="351" t="s">
        <v>749</v>
      </c>
      <c r="AG67" s="35"/>
      <c r="AH67" s="351" t="s">
        <v>750</v>
      </c>
      <c r="AI67" s="35"/>
      <c r="AJ67" s="351" t="s">
        <v>751</v>
      </c>
      <c r="AK67" s="351"/>
      <c r="AL67" s="351" t="s">
        <v>752</v>
      </c>
    </row>
    <row r="68" spans="2:38" ht="4" customHeight="1" x14ac:dyDescent="0.3">
      <c r="B68" s="285"/>
      <c r="C68" s="34"/>
      <c r="D68" s="285"/>
      <c r="E68" s="285"/>
      <c r="F68" s="285"/>
      <c r="G68" s="285"/>
      <c r="H68" s="285"/>
      <c r="I68" s="34"/>
      <c r="J68" s="285"/>
      <c r="K68" s="285"/>
      <c r="L68" s="285"/>
      <c r="M68" s="285"/>
      <c r="N68" s="285"/>
      <c r="O68" s="34"/>
      <c r="P68" s="285"/>
      <c r="Q68" s="285"/>
      <c r="R68" s="285"/>
      <c r="S68" s="285"/>
      <c r="T68" s="285"/>
      <c r="U68" s="34"/>
      <c r="V68" s="285"/>
      <c r="W68" s="285"/>
      <c r="X68" s="285"/>
      <c r="Y68" s="285"/>
      <c r="Z68" s="285"/>
      <c r="AA68" s="34"/>
      <c r="AB68" s="285"/>
      <c r="AC68" s="285"/>
      <c r="AD68" s="285"/>
      <c r="AE68" s="285"/>
      <c r="AF68" s="285"/>
      <c r="AG68" s="34"/>
      <c r="AH68" s="285"/>
      <c r="AI68" s="34"/>
      <c r="AJ68" s="286"/>
      <c r="AK68" s="285"/>
      <c r="AL68" s="285"/>
    </row>
    <row r="69" spans="2:38" ht="4" customHeight="1" x14ac:dyDescent="0.3">
      <c r="U69" s="202"/>
    </row>
    <row r="70" spans="2:38" ht="14.25" customHeight="1" x14ac:dyDescent="0.3">
      <c r="B70" s="26" t="s">
        <v>753</v>
      </c>
      <c r="D70" s="47">
        <f>BS!P18</f>
        <v>1958</v>
      </c>
      <c r="E70" s="47">
        <f>BS!Q18</f>
        <v>2052</v>
      </c>
      <c r="F70" s="47">
        <f>BS!R18</f>
        <v>2052</v>
      </c>
      <c r="G70" s="47">
        <f>BS!S18</f>
        <v>1891</v>
      </c>
      <c r="H70" s="65">
        <f>BS!T18</f>
        <v>1891</v>
      </c>
      <c r="J70" s="47">
        <f>BS!V18</f>
        <v>1955</v>
      </c>
      <c r="K70" s="47">
        <f>BS!W18</f>
        <v>1826</v>
      </c>
      <c r="L70" s="47">
        <f>BS!X18</f>
        <v>1934</v>
      </c>
      <c r="M70" s="47">
        <f>BS!Y18</f>
        <v>2073</v>
      </c>
      <c r="N70" s="65">
        <f>BS!Z18</f>
        <v>2073</v>
      </c>
      <c r="P70" s="47">
        <f>BS!AB18</f>
        <v>2162</v>
      </c>
      <c r="Q70" s="47">
        <f>BS!AC18</f>
        <v>2118</v>
      </c>
      <c r="R70" s="47">
        <f>BS!AD18</f>
        <v>2036</v>
      </c>
      <c r="S70" s="47">
        <f>BS!AE18</f>
        <v>1894</v>
      </c>
      <c r="T70" s="65">
        <f>BS!AF18</f>
        <v>1894</v>
      </c>
      <c r="U70" s="202"/>
      <c r="V70" s="47">
        <f>BS!AH18</f>
        <v>1965</v>
      </c>
      <c r="W70" s="47">
        <f>BS!AI18</f>
        <v>1915</v>
      </c>
      <c r="X70" s="43">
        <f>X31*X71/92</f>
        <v>0</v>
      </c>
      <c r="Y70" s="43">
        <f>Y31*Y71/92</f>
        <v>0</v>
      </c>
      <c r="Z70" s="309">
        <f>Z31*Z71/365</f>
        <v>1954.6969529132418</v>
      </c>
      <c r="AB70" s="43">
        <f>AB31*AB71/90</f>
        <v>0</v>
      </c>
      <c r="AC70" s="43">
        <f>AC31*AC71/91</f>
        <v>0</v>
      </c>
      <c r="AD70" s="43">
        <f t="shared" ref="AD70:AE70" si="44">AD31*AD71/92</f>
        <v>0</v>
      </c>
      <c r="AE70" s="43">
        <f t="shared" si="44"/>
        <v>0</v>
      </c>
      <c r="AF70" s="309">
        <f>AF31*AF71/365</f>
        <v>2009.0081175417961</v>
      </c>
      <c r="AH70" s="309">
        <f>AH31*AH71/365</f>
        <v>2058.0209382784055</v>
      </c>
      <c r="AJ70" s="309">
        <f>AJ31*AJ71/366</f>
        <v>2267.2311981352782</v>
      </c>
      <c r="AL70" s="309">
        <f>AL31*AL71/365</f>
        <v>2173.5794351009449</v>
      </c>
    </row>
    <row r="71" spans="2:38" ht="14.25" customHeight="1" x14ac:dyDescent="0.3">
      <c r="B71" s="29" t="s">
        <v>754</v>
      </c>
      <c r="D71" s="318">
        <f>D70/D31*90</f>
        <v>30.071672354948806</v>
      </c>
      <c r="E71" s="318">
        <f>E70/E31*91</f>
        <v>29.786568830754508</v>
      </c>
      <c r="F71" s="318">
        <f>F70/F31*92</f>
        <v>28.751751446847397</v>
      </c>
      <c r="G71" s="318">
        <f>G70/G31*92</f>
        <v>28.150809061488673</v>
      </c>
      <c r="H71" s="319">
        <f>H70/H31*365</f>
        <v>27.747336683417085</v>
      </c>
      <c r="I71" s="320"/>
      <c r="J71" s="318">
        <f>J70/J31*90</f>
        <v>29.053830911492735</v>
      </c>
      <c r="K71" s="318">
        <f>K70/K31*91</f>
        <v>27.866174744256249</v>
      </c>
      <c r="L71" s="318">
        <f>L70/L31*92</f>
        <v>29.949166806934862</v>
      </c>
      <c r="M71" s="318">
        <f>M70/M31*92</f>
        <v>30.965416463711644</v>
      </c>
      <c r="N71" s="319">
        <f>N70/N31*365</f>
        <v>31.371325511007921</v>
      </c>
      <c r="O71" s="320"/>
      <c r="P71" s="318">
        <f>P70/P31*90</f>
        <v>32.263306251036312</v>
      </c>
      <c r="Q71" s="318">
        <f>Q70/Q31*91</f>
        <v>32.085566838688202</v>
      </c>
      <c r="R71" s="318">
        <f>R70/R31*92</f>
        <v>30.752257428993598</v>
      </c>
      <c r="S71" s="318">
        <f>S70/S31*92</f>
        <v>28.467243914393077</v>
      </c>
      <c r="T71" s="319">
        <f>T70/T31*365</f>
        <v>28.507628865979378</v>
      </c>
      <c r="U71" s="321"/>
      <c r="V71" s="318">
        <f>V70/V31*90</f>
        <v>29.34295669487307</v>
      </c>
      <c r="W71" s="318">
        <f>W70/W31*91</f>
        <v>28.317354566135847</v>
      </c>
      <c r="X71" s="322"/>
      <c r="Y71" s="322"/>
      <c r="Z71" s="322">
        <v>28</v>
      </c>
      <c r="AA71" s="320"/>
      <c r="AB71" s="322"/>
      <c r="AC71" s="322"/>
      <c r="AD71" s="322"/>
      <c r="AE71" s="322"/>
      <c r="AF71" s="322">
        <v>28</v>
      </c>
      <c r="AG71" s="320"/>
      <c r="AH71" s="322">
        <v>28</v>
      </c>
      <c r="AI71" s="320"/>
      <c r="AJ71" s="322">
        <v>30</v>
      </c>
      <c r="AK71" s="319"/>
      <c r="AL71" s="322">
        <v>28</v>
      </c>
    </row>
    <row r="72" spans="2:38" ht="14.25" customHeight="1" x14ac:dyDescent="0.3">
      <c r="B72" s="26"/>
      <c r="D72" s="43"/>
      <c r="E72" s="43"/>
      <c r="F72" s="43"/>
      <c r="G72" s="43"/>
      <c r="J72" s="43"/>
      <c r="K72" s="43"/>
      <c r="L72" s="43"/>
      <c r="M72" s="43"/>
      <c r="P72" s="43"/>
      <c r="Q72" s="43"/>
      <c r="R72" s="43"/>
      <c r="S72" s="43"/>
      <c r="U72" s="202"/>
      <c r="V72" s="43"/>
      <c r="W72" s="43"/>
      <c r="X72" s="43"/>
      <c r="Y72" s="43"/>
      <c r="AB72" s="43"/>
      <c r="AC72" s="43"/>
      <c r="AD72" s="43"/>
      <c r="AE72" s="43"/>
    </row>
    <row r="73" spans="2:38" ht="14.25" customHeight="1" x14ac:dyDescent="0.3">
      <c r="B73" s="26" t="s">
        <v>755</v>
      </c>
      <c r="D73" s="47">
        <f>BS!P19</f>
        <v>726</v>
      </c>
      <c r="E73" s="47">
        <f>BS!Q19</f>
        <v>790</v>
      </c>
      <c r="F73" s="47">
        <f>BS!R19</f>
        <v>794</v>
      </c>
      <c r="G73" s="47">
        <f>BS!S19</f>
        <v>741</v>
      </c>
      <c r="H73" s="65">
        <f>BS!T19</f>
        <v>741</v>
      </c>
      <c r="J73" s="47">
        <f>BS!V19</f>
        <v>728</v>
      </c>
      <c r="K73" s="47">
        <f>BS!W19</f>
        <v>742</v>
      </c>
      <c r="L73" s="47">
        <f>BS!X19</f>
        <v>770</v>
      </c>
      <c r="M73" s="47">
        <f>BS!Y19</f>
        <v>743</v>
      </c>
      <c r="N73" s="65">
        <f>BS!Z19</f>
        <v>743</v>
      </c>
      <c r="P73" s="47">
        <f>BS!AB19</f>
        <v>770</v>
      </c>
      <c r="Q73" s="47">
        <f>BS!AC19</f>
        <v>807</v>
      </c>
      <c r="R73" s="47">
        <f>BS!AD19</f>
        <v>775</v>
      </c>
      <c r="S73" s="47">
        <f>BS!AE19</f>
        <v>769</v>
      </c>
      <c r="T73" s="65">
        <f>BS!AF19</f>
        <v>769</v>
      </c>
      <c r="U73" s="202"/>
      <c r="V73" s="47">
        <f>BS!AH19</f>
        <v>747</v>
      </c>
      <c r="W73" s="47">
        <f>BS!AI19</f>
        <v>774</v>
      </c>
      <c r="X73" s="43">
        <f>X74*X31</f>
        <v>0</v>
      </c>
      <c r="Y73" s="43">
        <f>Y74*Y31</f>
        <v>0</v>
      </c>
      <c r="Z73" s="309">
        <f>Z74*Z31</f>
        <v>815.38787178666666</v>
      </c>
      <c r="AB73" s="43">
        <f t="shared" ref="AB73:AE73" si="45">AB74*AB31</f>
        <v>0</v>
      </c>
      <c r="AC73" s="43">
        <f t="shared" si="45"/>
        <v>0</v>
      </c>
      <c r="AD73" s="43">
        <f t="shared" si="45"/>
        <v>0</v>
      </c>
      <c r="AE73" s="43">
        <f t="shared" si="45"/>
        <v>0</v>
      </c>
      <c r="AF73" s="309">
        <f>AF74*AF31</f>
        <v>838.0433861745779</v>
      </c>
      <c r="AH73" s="309">
        <f>AH74*AH31</f>
        <v>858.48873425327781</v>
      </c>
      <c r="AJ73" s="309">
        <f>AJ74*AJ31</f>
        <v>885.12705975201266</v>
      </c>
      <c r="AL73" s="309">
        <f>AL74*AL31</f>
        <v>906.69313578496553</v>
      </c>
    </row>
    <row r="74" spans="2:38" ht="14.25" customHeight="1" x14ac:dyDescent="0.3">
      <c r="B74" s="29" t="s">
        <v>756</v>
      </c>
      <c r="D74" s="302">
        <f>D73/D31</f>
        <v>0.12389078498293515</v>
      </c>
      <c r="E74" s="302">
        <f t="shared" ref="E74:G74" si="46">E73/E31</f>
        <v>0.12601690859786249</v>
      </c>
      <c r="F74" s="302">
        <f t="shared" si="46"/>
        <v>0.1209259823332318</v>
      </c>
      <c r="G74" s="302">
        <f t="shared" si="46"/>
        <v>0.11990291262135923</v>
      </c>
      <c r="H74" s="305">
        <f>H73/H31</f>
        <v>2.978894472361809E-2</v>
      </c>
      <c r="I74" s="320"/>
      <c r="J74" s="302">
        <f t="shared" ref="J74:M74" si="47">J73/J31</f>
        <v>0.1202113606340819</v>
      </c>
      <c r="K74" s="302">
        <f t="shared" si="47"/>
        <v>0.12443400972664766</v>
      </c>
      <c r="L74" s="302">
        <f t="shared" si="47"/>
        <v>0.12960781013297426</v>
      </c>
      <c r="M74" s="302">
        <f t="shared" si="47"/>
        <v>0.1206364669589219</v>
      </c>
      <c r="N74" s="305">
        <f>N73/N31</f>
        <v>3.0805588954765952E-2</v>
      </c>
      <c r="O74" s="320"/>
      <c r="P74" s="302">
        <f t="shared" ref="P74:S74" si="48">P73/P31</f>
        <v>0.12767368595589454</v>
      </c>
      <c r="Q74" s="302">
        <f t="shared" si="48"/>
        <v>0.13434326618944564</v>
      </c>
      <c r="R74" s="302">
        <f t="shared" si="48"/>
        <v>0.12723690691183714</v>
      </c>
      <c r="S74" s="302">
        <f t="shared" si="48"/>
        <v>0.12563306649240319</v>
      </c>
      <c r="T74" s="305">
        <f>T73/T31</f>
        <v>3.1711340206185566E-2</v>
      </c>
      <c r="U74" s="321"/>
      <c r="V74" s="302">
        <f t="shared" ref="V74:W74" si="49">V73/V31</f>
        <v>0.12394225983076157</v>
      </c>
      <c r="W74" s="302">
        <f t="shared" si="49"/>
        <v>0.12577185570360741</v>
      </c>
      <c r="X74" s="313"/>
      <c r="Y74" s="313"/>
      <c r="Z74" s="313">
        <v>3.2000000000000001E-2</v>
      </c>
      <c r="AA74" s="320"/>
      <c r="AB74" s="313"/>
      <c r="AC74" s="313"/>
      <c r="AD74" s="313"/>
      <c r="AE74" s="313"/>
      <c r="AF74" s="313">
        <v>3.2000000000000001E-2</v>
      </c>
      <c r="AG74" s="320"/>
      <c r="AH74" s="313">
        <v>3.2000000000000001E-2</v>
      </c>
      <c r="AI74" s="320"/>
      <c r="AJ74" s="313">
        <v>3.2000000000000001E-2</v>
      </c>
      <c r="AK74" s="319"/>
      <c r="AL74" s="313">
        <v>3.2000000000000001E-2</v>
      </c>
    </row>
    <row r="75" spans="2:38" ht="14.25" customHeight="1" x14ac:dyDescent="0.3">
      <c r="B75" s="26"/>
      <c r="D75" s="43"/>
      <c r="E75" s="43"/>
      <c r="F75" s="43"/>
      <c r="G75" s="43"/>
      <c r="J75" s="43"/>
      <c r="K75" s="43"/>
      <c r="L75" s="43"/>
      <c r="M75" s="43"/>
      <c r="P75" s="43"/>
      <c r="Q75" s="43"/>
      <c r="R75" s="43"/>
      <c r="S75" s="43"/>
      <c r="U75" s="202"/>
      <c r="V75" s="43"/>
      <c r="W75" s="43"/>
      <c r="X75" s="43"/>
      <c r="Y75" s="43"/>
      <c r="AB75" s="43"/>
      <c r="AC75" s="43"/>
      <c r="AD75" s="43"/>
      <c r="AE75" s="43"/>
    </row>
    <row r="76" spans="2:38" ht="14.25" customHeight="1" x14ac:dyDescent="0.3">
      <c r="B76" s="26" t="s">
        <v>757</v>
      </c>
      <c r="D76" s="47">
        <f>BS!P20</f>
        <v>237</v>
      </c>
      <c r="E76" s="47">
        <f>BS!Q20</f>
        <v>300</v>
      </c>
      <c r="F76" s="47">
        <f>BS!R20</f>
        <v>246</v>
      </c>
      <c r="G76" s="47">
        <f>BS!S20</f>
        <v>301</v>
      </c>
      <c r="H76" s="65">
        <f>BS!T20</f>
        <v>301</v>
      </c>
      <c r="J76" s="47">
        <f>BS!V20</f>
        <v>296</v>
      </c>
      <c r="K76" s="47">
        <f>BS!W20</f>
        <v>354</v>
      </c>
      <c r="L76" s="47">
        <f>BS!X20</f>
        <v>343</v>
      </c>
      <c r="M76" s="47">
        <f>BS!Y20</f>
        <v>261</v>
      </c>
      <c r="N76" s="65">
        <f>BS!Z20</f>
        <v>261</v>
      </c>
      <c r="P76" s="47">
        <f>BS!AB20</f>
        <v>317</v>
      </c>
      <c r="Q76" s="47">
        <f>BS!AC20</f>
        <v>416</v>
      </c>
      <c r="R76" s="47">
        <f>BS!AD20</f>
        <v>371</v>
      </c>
      <c r="S76" s="47">
        <f>BS!AE20</f>
        <v>322</v>
      </c>
      <c r="T76" s="65">
        <f>BS!AF20</f>
        <v>322</v>
      </c>
      <c r="U76" s="202"/>
      <c r="V76" s="47">
        <f>BS!AH20</f>
        <v>416</v>
      </c>
      <c r="W76" s="47">
        <f>BS!AI20</f>
        <v>434</v>
      </c>
      <c r="X76" s="43">
        <f>X77*X$31</f>
        <v>0</v>
      </c>
      <c r="Y76" s="43">
        <f>Y77*Y$31</f>
        <v>0</v>
      </c>
      <c r="Z76" s="309">
        <f>Z77*Z31</f>
        <v>331.25132291333335</v>
      </c>
      <c r="AB76" s="43">
        <f t="shared" ref="AB76:AE76" si="50">AB77*AB$31</f>
        <v>0</v>
      </c>
      <c r="AC76" s="43">
        <f t="shared" si="50"/>
        <v>0</v>
      </c>
      <c r="AD76" s="43">
        <f t="shared" si="50"/>
        <v>0</v>
      </c>
      <c r="AE76" s="43">
        <f t="shared" si="50"/>
        <v>0</v>
      </c>
      <c r="AF76" s="309">
        <f>AF77*AF31</f>
        <v>314.26626981546673</v>
      </c>
      <c r="AH76" s="54">
        <f>AH77*AH$31</f>
        <v>321.93327534497917</v>
      </c>
      <c r="AJ76" s="54">
        <f>AJ77*AJ$31</f>
        <v>331.92264740700472</v>
      </c>
      <c r="AL76" s="54">
        <f>AL77*AL$31</f>
        <v>340.00992591936205</v>
      </c>
    </row>
    <row r="77" spans="2:38" ht="14.25" customHeight="1" x14ac:dyDescent="0.3">
      <c r="B77" s="29" t="s">
        <v>707</v>
      </c>
      <c r="D77" s="302">
        <f>D76/D31</f>
        <v>4.0443686006825935E-2</v>
      </c>
      <c r="E77" s="302">
        <f>E76/E31</f>
        <v>4.785452225235285E-2</v>
      </c>
      <c r="F77" s="302">
        <f>F76/F31</f>
        <v>3.746573256168139E-2</v>
      </c>
      <c r="G77" s="302">
        <f>G76/G31</f>
        <v>4.8705501618122975E-2</v>
      </c>
      <c r="H77" s="305">
        <f>H76/H31</f>
        <v>1.2100502512562814E-2</v>
      </c>
      <c r="J77" s="302">
        <f>J76/J31</f>
        <v>4.8877146631439897E-2</v>
      </c>
      <c r="K77" s="302">
        <f>K76/K31</f>
        <v>5.9366090893845383E-2</v>
      </c>
      <c r="L77" s="302">
        <f>L76/L31</f>
        <v>5.7734388150143076E-2</v>
      </c>
      <c r="M77" s="302">
        <f>M76/M31</f>
        <v>4.2377009254749146E-2</v>
      </c>
      <c r="N77" s="305">
        <f>N76/N31</f>
        <v>1.0821344168497865E-2</v>
      </c>
      <c r="P77" s="302">
        <f>P76/P31</f>
        <v>5.2561764218205936E-2</v>
      </c>
      <c r="Q77" s="302">
        <f>Q76/Q31</f>
        <v>6.9252538704844352E-2</v>
      </c>
      <c r="R77" s="302">
        <f>R76/R31</f>
        <v>6.0909538663602034E-2</v>
      </c>
      <c r="S77" s="302">
        <f>S76/S31</f>
        <v>5.2605783368730598E-2</v>
      </c>
      <c r="T77" s="305">
        <f>T76/T31</f>
        <v>1.3278350515463918E-2</v>
      </c>
      <c r="U77" s="202"/>
      <c r="V77" s="302">
        <f>V76/V31</f>
        <v>6.9022731043636973E-2</v>
      </c>
      <c r="W77" s="302">
        <f>W76/W31</f>
        <v>7.0523236919077026E-2</v>
      </c>
      <c r="X77" s="313"/>
      <c r="Y77" s="313"/>
      <c r="Z77" s="313">
        <v>1.2999999999999999E-2</v>
      </c>
      <c r="AB77" s="313"/>
      <c r="AC77" s="313"/>
      <c r="AD77" s="313"/>
      <c r="AE77" s="313"/>
      <c r="AF77" s="313">
        <v>1.2E-2</v>
      </c>
      <c r="AH77" s="313">
        <v>1.2E-2</v>
      </c>
      <c r="AJ77" s="313">
        <v>1.2E-2</v>
      </c>
      <c r="AL77" s="313">
        <v>1.2E-2</v>
      </c>
    </row>
    <row r="78" spans="2:38" ht="14.25" customHeight="1" x14ac:dyDescent="0.3">
      <c r="B78" s="26"/>
      <c r="D78" s="43"/>
      <c r="E78" s="43"/>
      <c r="F78" s="43"/>
      <c r="G78" s="43"/>
      <c r="J78" s="43"/>
      <c r="K78" s="43"/>
      <c r="L78" s="43"/>
      <c r="M78" s="43"/>
      <c r="P78" s="43"/>
      <c r="Q78" s="43"/>
      <c r="R78" s="43"/>
      <c r="S78" s="43"/>
      <c r="U78" s="202"/>
      <c r="V78" s="43"/>
      <c r="W78" s="43"/>
      <c r="X78" s="43"/>
      <c r="Y78" s="43"/>
      <c r="AB78" s="43"/>
      <c r="AC78" s="43"/>
      <c r="AD78" s="43"/>
      <c r="AE78" s="43"/>
    </row>
    <row r="79" spans="2:38" ht="14.25" customHeight="1" x14ac:dyDescent="0.3">
      <c r="B79" s="26" t="s">
        <v>758</v>
      </c>
      <c r="D79" s="47">
        <f>BS!P24</f>
        <v>56791</v>
      </c>
      <c r="E79" s="47">
        <f>BS!Q24</f>
        <v>57021</v>
      </c>
      <c r="F79" s="47">
        <f>BS!R24</f>
        <v>57392</v>
      </c>
      <c r="G79" s="47">
        <f>BS!S24</f>
        <v>57710</v>
      </c>
      <c r="H79" s="65">
        <f>BS!T24</f>
        <v>57710</v>
      </c>
      <c r="J79" s="47">
        <f>BS!V24</f>
        <v>57974</v>
      </c>
      <c r="K79" s="47">
        <f>BS!W24</f>
        <v>58292</v>
      </c>
      <c r="L79" s="47">
        <f>BS!X24</f>
        <v>58680</v>
      </c>
      <c r="M79" s="47">
        <f>BS!Y24</f>
        <v>59041</v>
      </c>
      <c r="N79" s="65">
        <f>BS!Z24</f>
        <v>59041</v>
      </c>
      <c r="P79" s="47">
        <f>BS!AB24</f>
        <v>59043</v>
      </c>
      <c r="Q79" s="47">
        <f>BS!AC24</f>
        <v>59221</v>
      </c>
      <c r="R79" s="47">
        <f>BS!AD24</f>
        <v>59381</v>
      </c>
      <c r="S79" s="47">
        <f>BS!AE24</f>
        <v>59640</v>
      </c>
      <c r="T79" s="65">
        <f>BS!AF24</f>
        <v>59640</v>
      </c>
      <c r="U79" s="202"/>
      <c r="V79" s="47">
        <f>BS!AH24</f>
        <v>59852</v>
      </c>
      <c r="W79" s="47">
        <f>BS!AI24</f>
        <v>60210</v>
      </c>
      <c r="X79" s="43">
        <f>W79-X80*X106-X109-X52-X37</f>
        <v>60210</v>
      </c>
      <c r="Y79" s="43">
        <f>X79-Y80*Y106-Y109-Y52-Y37</f>
        <v>60210</v>
      </c>
      <c r="Z79" s="54">
        <f>T79-Z80*Z106-Z109-Z49-Z37</f>
        <v>60646.400000000001</v>
      </c>
      <c r="AB79" s="43">
        <f>Y79-AB80*AB106-AB109-AB52-AB37</f>
        <v>60210</v>
      </c>
      <c r="AC79" s="43">
        <f>AB79-AC80*AC106-AC109-AC52-AC37</f>
        <v>60210</v>
      </c>
      <c r="AD79" s="43">
        <f>AC79-AD80*AD106-AD109-AD52-AD37</f>
        <v>60210</v>
      </c>
      <c r="AE79" s="43">
        <f>AD79-AE80*AE106-AE109-AE52-AE37</f>
        <v>60210</v>
      </c>
      <c r="AF79" s="54">
        <f>Z79-AF80*AF106-AF109-AF49</f>
        <v>61920.544000000002</v>
      </c>
      <c r="AH79" s="54">
        <f>AF79-AH80*AH106-AH109-AH52-AH37</f>
        <v>63199.610452358094</v>
      </c>
      <c r="AI79" s="69"/>
      <c r="AJ79" s="54">
        <f>AH79-AJ80*AJ106-AJ109-AJ52-AJ37</f>
        <v>63990.85250833381</v>
      </c>
      <c r="AK79" s="51"/>
      <c r="AL79" s="54">
        <f>AJ79-AL80*AL106-AL109-AL49-AL37</f>
        <v>64264.634457328473</v>
      </c>
    </row>
    <row r="80" spans="2:38" ht="14.25" customHeight="1" x14ac:dyDescent="0.3">
      <c r="B80" s="29" t="s">
        <v>759</v>
      </c>
      <c r="D80" s="302"/>
      <c r="E80" s="302"/>
      <c r="F80" s="302"/>
      <c r="G80" s="302"/>
      <c r="H80" s="305"/>
      <c r="J80" s="302"/>
      <c r="K80" s="302"/>
      <c r="L80" s="302"/>
      <c r="M80" s="302"/>
      <c r="N80" s="305"/>
      <c r="P80" s="302"/>
      <c r="Q80" s="302"/>
      <c r="R80" s="302"/>
      <c r="S80" s="302"/>
      <c r="T80" s="305"/>
      <c r="U80" s="202"/>
      <c r="V80" s="302"/>
      <c r="W80" s="302"/>
      <c r="X80" s="313"/>
      <c r="Y80" s="313"/>
      <c r="Z80" s="313">
        <v>1</v>
      </c>
      <c r="AB80" s="313"/>
      <c r="AC80" s="313"/>
      <c r="AD80" s="313"/>
      <c r="AE80" s="313"/>
      <c r="AF80" s="313">
        <v>1</v>
      </c>
      <c r="AH80" s="313">
        <v>1</v>
      </c>
      <c r="AJ80" s="313">
        <v>1</v>
      </c>
      <c r="AL80" s="313">
        <v>1</v>
      </c>
    </row>
    <row r="81" spans="2:39" ht="14.25" customHeight="1" x14ac:dyDescent="0.3">
      <c r="D81" s="43"/>
      <c r="E81" s="43"/>
      <c r="F81" s="43"/>
      <c r="G81" s="43"/>
      <c r="J81" s="43"/>
      <c r="K81" s="43"/>
      <c r="L81" s="43"/>
      <c r="M81" s="43"/>
      <c r="P81" s="43"/>
      <c r="Q81" s="43"/>
      <c r="R81" s="43"/>
      <c r="S81" s="43"/>
      <c r="U81" s="202"/>
      <c r="V81" s="43"/>
      <c r="W81" s="43"/>
      <c r="X81" s="43"/>
      <c r="Y81" s="43"/>
      <c r="AB81" s="43"/>
      <c r="AC81" s="43"/>
      <c r="AD81" s="43"/>
      <c r="AE81" s="43"/>
    </row>
    <row r="82" spans="2:39" ht="14.25" customHeight="1" x14ac:dyDescent="0.3">
      <c r="B82" s="26" t="s">
        <v>760</v>
      </c>
      <c r="D82" s="47">
        <f>IF($B$82="Intangibles excl. Goodwill",BS!P29,BS!P27)</f>
        <v>0</v>
      </c>
      <c r="E82" s="47">
        <f>IF($B$82="Intangibles excl. Goodwill",BS!Q29,BS!Q27)</f>
        <v>0</v>
      </c>
      <c r="F82" s="47">
        <f>IF($B$82="Intangibles excl. Goodwill",BS!R29,BS!R27)</f>
        <v>0</v>
      </c>
      <c r="G82" s="47">
        <f>IF($B$82="Intangibles excl. Goodwill",BS!S29,BS!S27)</f>
        <v>0</v>
      </c>
      <c r="H82" s="65">
        <f>IF($B$82="Intangibles excl. Goodwill",BS!T29,BS!T27)</f>
        <v>0</v>
      </c>
      <c r="J82" s="47">
        <f>IF($B$82="Intangibles excl. Goodwill",BS!V29,BS!V27)</f>
        <v>0</v>
      </c>
      <c r="K82" s="47">
        <f>IF($B$82="Intangibles excl. Goodwill",BS!W29,BS!W27)</f>
        <v>0</v>
      </c>
      <c r="L82" s="47">
        <f>IF($B$82="Intangibles excl. Goodwill",BS!X29,BS!X27)</f>
        <v>0</v>
      </c>
      <c r="M82" s="47">
        <f>IF($B$82="Intangibles excl. Goodwill",BS!Y29,BS!Y27)</f>
        <v>0</v>
      </c>
      <c r="N82" s="65">
        <f>IF($B$82="Intangibles excl. Goodwill",BS!Z29,BS!Z27)</f>
        <v>0</v>
      </c>
      <c r="P82" s="47">
        <f>IF($B$82="Intangibles excl. Goodwill",BS!AB29,BS!AB27)</f>
        <v>0</v>
      </c>
      <c r="Q82" s="47">
        <f>IF($B$82="Intangibles excl. Goodwill",BS!AC29,BS!AC27)</f>
        <v>0</v>
      </c>
      <c r="R82" s="47">
        <f>IF($B$82="Intangibles excl. Goodwill",BS!AD29,BS!AD27)</f>
        <v>0</v>
      </c>
      <c r="S82" s="47">
        <f>IF($B$82="Intangibles excl. Goodwill",BS!AE29,BS!AE27)</f>
        <v>0</v>
      </c>
      <c r="T82" s="65">
        <f>IF($B$82="Intangibles excl. Goodwill",BS!AF29,BS!AF27)</f>
        <v>0</v>
      </c>
      <c r="U82" s="202"/>
      <c r="V82" s="47">
        <f>IF($B$82="Intangibles excl. Goodwill",BS!AH29,BS!AH27)</f>
        <v>0</v>
      </c>
      <c r="W82" s="47">
        <f>IF($B$82="Intangibles excl. Goodwill",BS!AI29,BS!AI27)</f>
        <v>0</v>
      </c>
      <c r="X82" s="43">
        <f>W82-(1-X80)*X106-X55+X83*X46</f>
        <v>800</v>
      </c>
      <c r="Y82" s="43">
        <f>X82-(1-Y80)*Y106-Y55+Y83*Y46</f>
        <v>1550</v>
      </c>
      <c r="Z82" s="54">
        <f>Y82</f>
        <v>1550</v>
      </c>
      <c r="AB82" s="43">
        <f>Y82-(1-AB80)*AB106-AB55+AB83*AB46</f>
        <v>1550</v>
      </c>
      <c r="AC82" s="43">
        <f>AB82-(1-AC80)*AC106-AC55+AC83*AC46</f>
        <v>1550</v>
      </c>
      <c r="AD82" s="43">
        <f t="shared" ref="AD82:AE82" si="51">AC82-(1-AD80)*AD106-AD55+AD83*AD46</f>
        <v>1550</v>
      </c>
      <c r="AE82" s="43">
        <f t="shared" si="51"/>
        <v>1550</v>
      </c>
      <c r="AF82" s="54">
        <f>AE82</f>
        <v>1550</v>
      </c>
      <c r="AH82" s="54">
        <f>AF82-(1-AH80)*AH106-AH55+AH83*AH46</f>
        <v>1550</v>
      </c>
      <c r="AJ82" s="54">
        <f>AH82-(1-AJ80)*AJ106-AJ55+AJ83*AJ46</f>
        <v>1550</v>
      </c>
      <c r="AL82" s="54">
        <f>AJ82-(1-AL80)*AL106-AL55+AL83*AL46</f>
        <v>1550</v>
      </c>
    </row>
    <row r="83" spans="2:39" ht="14.25" customHeight="1" x14ac:dyDescent="0.3">
      <c r="B83" s="29" t="s">
        <v>761</v>
      </c>
      <c r="D83" s="302" t="str">
        <f>IFERROR(BS!P57/FCFF!D82,"")</f>
        <v/>
      </c>
      <c r="E83" s="302" t="str">
        <f>IFERROR(BS!Q57/FCFF!E82,"")</f>
        <v/>
      </c>
      <c r="F83" s="302" t="str">
        <f>IFERROR(BS!R57/FCFF!F82,"")</f>
        <v/>
      </c>
      <c r="G83" s="302" t="str">
        <f>IFERROR(BS!S57/FCFF!G82,"")</f>
        <v/>
      </c>
      <c r="H83" s="305" t="str">
        <f>IFERROR(BS!T57/FCFF!H82,"")</f>
        <v/>
      </c>
      <c r="J83" s="302" t="str">
        <f>IFERROR(BS!V57/FCFF!J82,"")</f>
        <v/>
      </c>
      <c r="K83" s="302" t="str">
        <f>IFERROR(BS!W57/FCFF!K82,"")</f>
        <v/>
      </c>
      <c r="L83" s="302" t="str">
        <f>IFERROR(BS!X57/FCFF!L82,"")</f>
        <v/>
      </c>
      <c r="M83" s="302" t="str">
        <f>IFERROR(BS!Y57/FCFF!M82,"")</f>
        <v/>
      </c>
      <c r="N83" s="305" t="str">
        <f>IFERROR(BS!Z57/FCFF!N82,"")</f>
        <v/>
      </c>
      <c r="P83" s="302" t="str">
        <f>IFERROR(BS!AB57/FCFF!P82,"")</f>
        <v/>
      </c>
      <c r="Q83" s="302" t="str">
        <f>IFERROR(BS!AC57/FCFF!Q82,"")</f>
        <v/>
      </c>
      <c r="R83" s="302" t="str">
        <f>IFERROR(BS!AD57/FCFF!R82,"")</f>
        <v/>
      </c>
      <c r="S83" s="302" t="str">
        <f>IFERROR(BS!AE57/FCFF!S82,"")</f>
        <v/>
      </c>
      <c r="T83" s="305" t="str">
        <f>IFERROR(BS!AF57/FCFF!T82,"")</f>
        <v/>
      </c>
      <c r="U83" s="202"/>
      <c r="V83" s="302" t="str">
        <f>IFERROR(BS!AH57/FCFF!V82,"")</f>
        <v/>
      </c>
      <c r="W83" s="302" t="str">
        <f>IFERROR(BS!AI57/FCFF!W82,"")</f>
        <v/>
      </c>
      <c r="X83" s="313"/>
      <c r="Y83" s="313"/>
      <c r="Z83" s="313">
        <v>2.5000000000000001E-2</v>
      </c>
      <c r="AB83" s="313"/>
      <c r="AC83" s="313"/>
      <c r="AD83" s="313"/>
      <c r="AE83" s="313"/>
      <c r="AF83" s="313">
        <v>2.5000000000000001E-2</v>
      </c>
      <c r="AH83" s="313">
        <v>0</v>
      </c>
      <c r="AJ83" s="313">
        <v>0</v>
      </c>
      <c r="AL83" s="313">
        <v>0</v>
      </c>
    </row>
    <row r="84" spans="2:39" ht="14.25" customHeight="1" x14ac:dyDescent="0.3">
      <c r="D84" s="43"/>
      <c r="E84" s="43"/>
      <c r="F84" s="43"/>
      <c r="G84" s="43"/>
      <c r="J84" s="43"/>
      <c r="K84" s="43"/>
      <c r="L84" s="43"/>
      <c r="M84" s="43"/>
      <c r="P84" s="43"/>
      <c r="Q84" s="43"/>
      <c r="R84" s="43"/>
      <c r="S84" s="43"/>
      <c r="U84" s="202"/>
      <c r="V84" s="43"/>
      <c r="W84" s="43"/>
      <c r="X84" s="43"/>
      <c r="Y84" s="43"/>
      <c r="AB84" s="43"/>
      <c r="AC84" s="43"/>
      <c r="AD84" s="43"/>
      <c r="AE84" s="43"/>
    </row>
    <row r="85" spans="2:39" ht="14.25" customHeight="1" x14ac:dyDescent="0.3">
      <c r="B85" s="26" t="s">
        <v>762</v>
      </c>
      <c r="D85" s="47">
        <f>BS!P37</f>
        <v>2936</v>
      </c>
      <c r="E85" s="47">
        <f>BS!Q37</f>
        <v>2637</v>
      </c>
      <c r="F85" s="47">
        <f>BS!R37</f>
        <v>3225</v>
      </c>
      <c r="G85" s="47">
        <f>BS!S37</f>
        <v>3080</v>
      </c>
      <c r="H85" s="65">
        <f>BS!T37</f>
        <v>3080</v>
      </c>
      <c r="J85" s="47">
        <f>BS!V37</f>
        <v>2854</v>
      </c>
      <c r="K85" s="47">
        <f>BS!W37</f>
        <v>2743</v>
      </c>
      <c r="L85" s="47">
        <f>BS!X37</f>
        <v>2856</v>
      </c>
      <c r="M85" s="47">
        <f>BS!Y37</f>
        <v>2868</v>
      </c>
      <c r="N85" s="65">
        <f>BS!Z37</f>
        <v>2868</v>
      </c>
      <c r="P85" s="47">
        <f>BS!AB37</f>
        <v>2995</v>
      </c>
      <c r="Q85" s="47">
        <f>BS!AC37</f>
        <v>2794</v>
      </c>
      <c r="R85" s="47">
        <f>BS!AD37</f>
        <v>2913</v>
      </c>
      <c r="S85" s="47">
        <f>BS!AE37</f>
        <v>2870</v>
      </c>
      <c r="T85" s="65">
        <f>BS!AF37</f>
        <v>2870</v>
      </c>
      <c r="U85" s="202"/>
      <c r="V85" s="47">
        <f>BS!AH37</f>
        <v>3085</v>
      </c>
      <c r="W85" s="47">
        <f>BS!AI37</f>
        <v>3134</v>
      </c>
      <c r="X85" s="43">
        <f>X31*X86</f>
        <v>0</v>
      </c>
      <c r="Y85" s="43">
        <f>Y31*Y86</f>
        <v>0</v>
      </c>
      <c r="Z85" s="309">
        <f>Z86*Z58</f>
        <v>2680.5562701980039</v>
      </c>
      <c r="AB85" s="43">
        <f t="shared" ref="AB85:AE85" si="52">AB31*AB86</f>
        <v>0</v>
      </c>
      <c r="AC85" s="43">
        <f t="shared" si="52"/>
        <v>0</v>
      </c>
      <c r="AD85" s="43">
        <f t="shared" si="52"/>
        <v>0</v>
      </c>
      <c r="AE85" s="43">
        <f t="shared" si="52"/>
        <v>0</v>
      </c>
      <c r="AF85" s="309">
        <f>AF86*AF58</f>
        <v>2764.994766196528</v>
      </c>
      <c r="AH85" s="54" cm="1">
        <f t="array" ref="AH85:AI85">AH86*AH58:AI58</f>
        <v>2742.9880826683288</v>
      </c>
      <c r="AI85" s="21">
        <v>0</v>
      </c>
      <c r="AJ85" s="54" cm="1">
        <f t="array" ref="AJ85:AK85">AJ86*AJ58:AK58</f>
        <v>2768.3193995953852</v>
      </c>
      <c r="AK85" s="94">
        <v>0</v>
      </c>
      <c r="AL85" s="54" cm="1">
        <f t="array" ref="AL85:AM85">AL86*AL58:AM58</f>
        <v>2754.8233843464436</v>
      </c>
      <c r="AM85" s="94">
        <v>0</v>
      </c>
    </row>
    <row r="86" spans="2:39" ht="14.25" customHeight="1" x14ac:dyDescent="0.3">
      <c r="B86" s="29" t="s">
        <v>763</v>
      </c>
      <c r="D86" s="302">
        <f t="shared" ref="D86:F86" si="53">D85/D58</f>
        <v>1.0027322404371584</v>
      </c>
      <c r="E86" s="302">
        <f t="shared" si="53"/>
        <v>0.82021772939346815</v>
      </c>
      <c r="F86" s="302">
        <f t="shared" si="53"/>
        <v>0.99047911547911549</v>
      </c>
      <c r="G86" s="302">
        <f>G85/G58</f>
        <v>0.95622477491462277</v>
      </c>
      <c r="H86" s="305">
        <f>H85/H58</f>
        <v>0.24405705229793978</v>
      </c>
      <c r="I86" s="320"/>
      <c r="J86" s="302">
        <f t="shared" ref="J86" si="54">J85/J58</f>
        <v>0.89467084639498429</v>
      </c>
      <c r="K86" s="302">
        <f t="shared" ref="K86" si="55">K85/K58</f>
        <v>0.86203645505971083</v>
      </c>
      <c r="L86" s="302">
        <f t="shared" ref="L86" si="56">L85/L58</f>
        <v>0.89698492462311563</v>
      </c>
      <c r="M86" s="302">
        <f t="shared" ref="M86" si="57">M85/M58</f>
        <v>0.90673411318368635</v>
      </c>
      <c r="N86" s="305">
        <f>N85/N58</f>
        <v>0.22548942526928217</v>
      </c>
      <c r="O86" s="320"/>
      <c r="P86" s="302">
        <f t="shared" ref="P86" si="58">P85/P58</f>
        <v>0.97716150081566067</v>
      </c>
      <c r="Q86" s="302">
        <f t="shared" ref="Q86" si="59">Q85/Q58</f>
        <v>0.92793091996014609</v>
      </c>
      <c r="R86" s="302">
        <f t="shared" ref="R86" si="60">R85/R58</f>
        <v>0.94793361535958343</v>
      </c>
      <c r="S86" s="302">
        <f t="shared" ref="S86" si="61">S85/S58</f>
        <v>0.95986622073578598</v>
      </c>
      <c r="T86" s="305">
        <f>T85/T58</f>
        <v>0.23642804184858721</v>
      </c>
      <c r="U86" s="321"/>
      <c r="V86" s="302">
        <f>V85/V58</f>
        <v>1.0128036769533815</v>
      </c>
      <c r="W86" s="302">
        <f>W85/W58</f>
        <v>1.0391246684350133</v>
      </c>
      <c r="X86" s="313"/>
      <c r="Y86" s="313"/>
      <c r="Z86" s="313">
        <v>0.22</v>
      </c>
      <c r="AA86" s="320"/>
      <c r="AB86" s="313"/>
      <c r="AC86" s="313"/>
      <c r="AD86" s="313"/>
      <c r="AE86" s="313"/>
      <c r="AF86" s="313">
        <v>0.22</v>
      </c>
      <c r="AG86" s="320"/>
      <c r="AH86" s="313">
        <v>0.22</v>
      </c>
      <c r="AI86" s="320"/>
      <c r="AJ86" s="313">
        <v>0.22</v>
      </c>
      <c r="AK86" s="319">
        <v>2</v>
      </c>
      <c r="AL86" s="313">
        <v>0.22</v>
      </c>
    </row>
    <row r="87" spans="2:39" ht="14.25" customHeight="1" x14ac:dyDescent="0.3">
      <c r="B87" s="26"/>
      <c r="D87" s="43"/>
      <c r="E87" s="43"/>
      <c r="F87" s="43"/>
      <c r="G87" s="43"/>
      <c r="J87" s="43"/>
      <c r="K87" s="43"/>
      <c r="L87" s="43"/>
      <c r="M87" s="43"/>
      <c r="P87" s="43"/>
      <c r="Q87" s="43"/>
      <c r="R87" s="43"/>
      <c r="S87" s="43"/>
      <c r="U87" s="202"/>
      <c r="V87" s="43"/>
      <c r="W87" s="43"/>
      <c r="X87" s="43"/>
      <c r="Y87" s="43"/>
      <c r="AB87" s="43"/>
      <c r="AC87" s="43"/>
      <c r="AD87" s="43"/>
      <c r="AE87" s="43"/>
    </row>
    <row r="88" spans="2:39" ht="14.25" customHeight="1" x14ac:dyDescent="0.3">
      <c r="B88" s="26" t="s">
        <v>764</v>
      </c>
      <c r="D88" s="47">
        <f>BS!P40</f>
        <v>662</v>
      </c>
      <c r="E88" s="47">
        <f>BS!Q40</f>
        <v>717</v>
      </c>
      <c r="F88" s="47">
        <f>BS!R40</f>
        <v>483</v>
      </c>
      <c r="G88" s="47">
        <f>BS!S40</f>
        <v>431</v>
      </c>
      <c r="H88" s="65">
        <f>BS!T40</f>
        <v>431</v>
      </c>
      <c r="J88" s="47">
        <f>BS!V40</f>
        <v>419</v>
      </c>
      <c r="K88" s="47">
        <f>BS!W40</f>
        <v>415</v>
      </c>
      <c r="L88" s="47">
        <f>BS!X40</f>
        <v>362</v>
      </c>
      <c r="M88" s="47">
        <f>BS!Y40</f>
        <v>460</v>
      </c>
      <c r="N88" s="65">
        <f>BS!Z40</f>
        <v>460</v>
      </c>
      <c r="P88" s="47">
        <f>BS!AB40</f>
        <v>484</v>
      </c>
      <c r="Q88" s="47">
        <f>BS!AC40</f>
        <v>449</v>
      </c>
      <c r="R88" s="47">
        <f>BS!AD40</f>
        <v>452</v>
      </c>
      <c r="S88" s="47">
        <f>BS!AE40</f>
        <v>613</v>
      </c>
      <c r="T88" s="65">
        <f>BS!AF40</f>
        <v>613</v>
      </c>
      <c r="U88" s="202"/>
      <c r="V88" s="47">
        <f>BS!AH40</f>
        <v>606</v>
      </c>
      <c r="W88" s="47">
        <f>BS!AI40</f>
        <v>484</v>
      </c>
      <c r="X88" s="43">
        <f>X89*X31</f>
        <v>0</v>
      </c>
      <c r="Y88" s="43">
        <f>Y89*Y31</f>
        <v>0</v>
      </c>
      <c r="Z88" s="309">
        <f>Z89*Z31</f>
        <v>637.02177483333344</v>
      </c>
      <c r="AB88" s="43">
        <f>AB89*AB31</f>
        <v>0</v>
      </c>
      <c r="AC88" s="43">
        <f>AC89*AC31</f>
        <v>0</v>
      </c>
      <c r="AD88" s="43">
        <f>AD89*AD31</f>
        <v>0</v>
      </c>
      <c r="AE88" s="43">
        <f>AE89*AE31</f>
        <v>0</v>
      </c>
      <c r="AF88" s="54">
        <f>AF89*AF31</f>
        <v>523.77711635911123</v>
      </c>
      <c r="AH88" s="54">
        <f>AH89*AH31</f>
        <v>536.55545890829865</v>
      </c>
      <c r="AJ88" s="54">
        <f>AJ89*AJ31</f>
        <v>553.20441234500788</v>
      </c>
      <c r="AL88" s="54">
        <f>AL89*AL31</f>
        <v>566.68320986560343</v>
      </c>
    </row>
    <row r="89" spans="2:39" ht="14.25" customHeight="1" x14ac:dyDescent="0.3">
      <c r="B89" s="29" t="s">
        <v>707</v>
      </c>
      <c r="D89" s="302">
        <f>D88/D31</f>
        <v>0.11296928327645051</v>
      </c>
      <c r="E89" s="302">
        <f t="shared" ref="E89:G89" si="62">E88/E31</f>
        <v>0.1143723081831233</v>
      </c>
      <c r="F89" s="302">
        <f t="shared" si="62"/>
        <v>7.3560767590618331E-2</v>
      </c>
      <c r="G89" s="302">
        <f t="shared" si="62"/>
        <v>6.97411003236246E-2</v>
      </c>
      <c r="H89" s="305">
        <f>H88/H31</f>
        <v>1.7326633165829147E-2</v>
      </c>
      <c r="J89" s="302">
        <f t="shared" ref="J89:M89" si="63">J88/J31</f>
        <v>6.9187582562747693E-2</v>
      </c>
      <c r="K89" s="302">
        <f t="shared" si="63"/>
        <v>6.9595841019620991E-2</v>
      </c>
      <c r="L89" s="302">
        <f t="shared" si="63"/>
        <v>6.0932502945632051E-2</v>
      </c>
      <c r="M89" s="302">
        <f t="shared" si="63"/>
        <v>7.468744926124371E-2</v>
      </c>
      <c r="N89" s="305">
        <f>N88/N31</f>
        <v>1.9072100833367883E-2</v>
      </c>
      <c r="P89" s="302">
        <f t="shared" ref="P89:S89" si="64">P88/P31</f>
        <v>8.0252031172276569E-2</v>
      </c>
      <c r="Q89" s="302">
        <f t="shared" si="64"/>
        <v>7.4746129515565168E-2</v>
      </c>
      <c r="R89" s="302">
        <f t="shared" si="64"/>
        <v>7.4207847644065017E-2</v>
      </c>
      <c r="S89" s="302">
        <f t="shared" si="64"/>
        <v>0.10014703479823558</v>
      </c>
      <c r="T89" s="305">
        <f>T88/T31</f>
        <v>2.5278350515463916E-2</v>
      </c>
      <c r="U89" s="202"/>
      <c r="V89" s="302">
        <f t="shared" ref="V89:W89" si="65">V88/V31</f>
        <v>0.10054753608760578</v>
      </c>
      <c r="W89" s="302">
        <f t="shared" si="65"/>
        <v>7.8648033799155026E-2</v>
      </c>
      <c r="X89" s="313"/>
      <c r="Y89" s="313"/>
      <c r="Z89" s="313">
        <v>2.5000000000000001E-2</v>
      </c>
      <c r="AB89" s="313"/>
      <c r="AC89" s="313"/>
      <c r="AD89" s="313"/>
      <c r="AE89" s="313"/>
      <c r="AF89" s="313">
        <v>0.02</v>
      </c>
      <c r="AH89" s="313">
        <v>0.02</v>
      </c>
      <c r="AJ89" s="313">
        <v>0.02</v>
      </c>
      <c r="AL89" s="313">
        <v>0.02</v>
      </c>
    </row>
    <row r="90" spans="2:39" ht="14.25" customHeight="1" x14ac:dyDescent="0.3">
      <c r="U90" s="202"/>
    </row>
    <row r="91" spans="2:39" ht="14.25" customHeight="1" x14ac:dyDescent="0.3">
      <c r="B91" s="158" t="s">
        <v>765</v>
      </c>
      <c r="C91" s="183"/>
      <c r="D91" s="351" t="s">
        <v>725</v>
      </c>
      <c r="E91" s="351" t="s">
        <v>726</v>
      </c>
      <c r="F91" s="351" t="s">
        <v>727</v>
      </c>
      <c r="G91" s="351" t="s">
        <v>728</v>
      </c>
      <c r="H91" s="351" t="s">
        <v>729</v>
      </c>
      <c r="I91" s="35"/>
      <c r="J91" s="351" t="s">
        <v>730</v>
      </c>
      <c r="K91" s="351" t="s">
        <v>731</v>
      </c>
      <c r="L91" s="351" t="s">
        <v>732</v>
      </c>
      <c r="M91" s="351" t="s">
        <v>733</v>
      </c>
      <c r="N91" s="351" t="s">
        <v>734</v>
      </c>
      <c r="O91" s="35"/>
      <c r="P91" s="351" t="s">
        <v>735</v>
      </c>
      <c r="Q91" s="351" t="s">
        <v>736</v>
      </c>
      <c r="R91" s="351" t="s">
        <v>737</v>
      </c>
      <c r="S91" s="351" t="s">
        <v>738</v>
      </c>
      <c r="T91" s="351" t="s">
        <v>739</v>
      </c>
      <c r="U91" s="35"/>
      <c r="V91" s="351" t="s">
        <v>740</v>
      </c>
      <c r="W91" s="351" t="s">
        <v>741</v>
      </c>
      <c r="X91" s="351" t="s">
        <v>742</v>
      </c>
      <c r="Y91" s="351" t="s">
        <v>743</v>
      </c>
      <c r="Z91" s="351" t="s">
        <v>744</v>
      </c>
      <c r="AA91" s="35"/>
      <c r="AB91" s="351" t="s">
        <v>745</v>
      </c>
      <c r="AC91" s="351" t="s">
        <v>746</v>
      </c>
      <c r="AD91" s="351" t="s">
        <v>747</v>
      </c>
      <c r="AE91" s="351" t="s">
        <v>748</v>
      </c>
      <c r="AF91" s="351" t="s">
        <v>749</v>
      </c>
      <c r="AG91" s="35"/>
      <c r="AH91" s="351" t="s">
        <v>750</v>
      </c>
      <c r="AI91" s="35"/>
      <c r="AJ91" s="351" t="s">
        <v>751</v>
      </c>
      <c r="AK91" s="351"/>
      <c r="AL91" s="351" t="s">
        <v>752</v>
      </c>
    </row>
    <row r="92" spans="2:39" ht="4" customHeight="1" x14ac:dyDescent="0.3">
      <c r="B92" s="285"/>
      <c r="C92" s="34"/>
      <c r="D92" s="285"/>
      <c r="E92" s="285"/>
      <c r="F92" s="285"/>
      <c r="G92" s="285"/>
      <c r="H92" s="285"/>
      <c r="I92" s="34"/>
      <c r="J92" s="285"/>
      <c r="K92" s="285"/>
      <c r="L92" s="285"/>
      <c r="M92" s="285"/>
      <c r="N92" s="285"/>
      <c r="O92" s="34"/>
      <c r="P92" s="285"/>
      <c r="Q92" s="285"/>
      <c r="R92" s="285"/>
      <c r="S92" s="285"/>
      <c r="T92" s="285"/>
      <c r="U92" s="34"/>
      <c r="V92" s="285"/>
      <c r="W92" s="285"/>
      <c r="X92" s="285"/>
      <c r="Y92" s="285"/>
      <c r="Z92" s="285"/>
      <c r="AA92" s="34"/>
      <c r="AB92" s="285"/>
      <c r="AC92" s="285"/>
      <c r="AD92" s="285"/>
      <c r="AE92" s="285"/>
      <c r="AF92" s="285"/>
      <c r="AG92" s="34"/>
      <c r="AH92" s="285"/>
      <c r="AI92" s="34"/>
      <c r="AJ92" s="286"/>
      <c r="AK92" s="285"/>
      <c r="AL92" s="285"/>
    </row>
    <row r="93" spans="2:39" ht="4" customHeight="1" x14ac:dyDescent="0.3">
      <c r="U93" s="202"/>
    </row>
    <row r="94" spans="2:39" ht="14.25" customHeight="1" x14ac:dyDescent="0.3">
      <c r="B94" s="26" t="s">
        <v>714</v>
      </c>
      <c r="D94" s="47">
        <f>CF!P17</f>
        <v>555</v>
      </c>
      <c r="E94" s="47">
        <f>CF!Q17</f>
        <v>559</v>
      </c>
      <c r="F94" s="47">
        <f>CF!R17</f>
        <v>563</v>
      </c>
      <c r="G94" s="47">
        <f>CF!S17</f>
        <v>569</v>
      </c>
      <c r="H94" s="65">
        <f>CF!T17</f>
        <v>2246</v>
      </c>
      <c r="J94" s="47">
        <f>CF!V17</f>
        <v>572</v>
      </c>
      <c r="K94" s="47">
        <f>CF!W17</f>
        <v>577</v>
      </c>
      <c r="L94" s="47">
        <f>CF!X17</f>
        <v>580</v>
      </c>
      <c r="M94" s="47">
        <f>CF!Y17</f>
        <v>589</v>
      </c>
      <c r="N94" s="65">
        <f>CF!Z17</f>
        <v>2318</v>
      </c>
      <c r="P94" s="47">
        <f>CF!AB17</f>
        <v>594</v>
      </c>
      <c r="Q94" s="47">
        <f>CF!AC17</f>
        <v>596</v>
      </c>
      <c r="R94" s="47">
        <f>CF!AD17</f>
        <v>602</v>
      </c>
      <c r="S94" s="47">
        <f>CF!AE17</f>
        <v>606</v>
      </c>
      <c r="T94" s="65">
        <f>CF!AF17</f>
        <v>2398</v>
      </c>
      <c r="U94" s="202"/>
      <c r="V94" s="47">
        <f>CF!AH17</f>
        <v>610</v>
      </c>
      <c r="W94" s="47">
        <f>CF!AI17</f>
        <v>613</v>
      </c>
      <c r="X94" s="43">
        <f>X37+X49</f>
        <v>0</v>
      </c>
      <c r="Y94" s="43">
        <f>Y37+Y49</f>
        <v>0</v>
      </c>
      <c r="Z94" s="309">
        <f>Z49</f>
        <v>2385.6</v>
      </c>
      <c r="AB94" s="43">
        <f t="shared" ref="AB94:AE94" si="66">AB37+AB49</f>
        <v>0</v>
      </c>
      <c r="AC94" s="43">
        <f t="shared" si="66"/>
        <v>0</v>
      </c>
      <c r="AD94" s="43">
        <f t="shared" si="66"/>
        <v>0</v>
      </c>
      <c r="AE94" s="43">
        <f t="shared" si="66"/>
        <v>0</v>
      </c>
      <c r="AF94" s="309">
        <f>AF49</f>
        <v>2425.8560000000002</v>
      </c>
      <c r="AH94" s="54">
        <f>AH37+AH49</f>
        <v>2476.8217600000003</v>
      </c>
      <c r="AJ94" s="54">
        <f>AJ37+AJ49</f>
        <v>2527.9844180943237</v>
      </c>
      <c r="AL94" s="54">
        <f>AL37+AL49</f>
        <v>2559.6341003333523</v>
      </c>
    </row>
    <row r="95" spans="2:39" ht="14.25" customHeight="1" x14ac:dyDescent="0.3">
      <c r="B95" s="29" t="s">
        <v>715</v>
      </c>
      <c r="D95" s="302">
        <f>D94/(D82+D79)</f>
        <v>9.7726752478385654E-3</v>
      </c>
      <c r="E95" s="302">
        <f>E94/(E82+E79)</f>
        <v>9.8034057627891472E-3</v>
      </c>
      <c r="F95" s="302">
        <f>F94/(F82+F79)</f>
        <v>9.8097295790354061E-3</v>
      </c>
      <c r="G95" s="302">
        <f>G94/(G82+G79)</f>
        <v>9.8596430428002074E-3</v>
      </c>
      <c r="H95" s="305">
        <f>H94/(H82+H79)</f>
        <v>3.8918731588979377E-2</v>
      </c>
      <c r="J95" s="302">
        <f>J94/(J82+J79)</f>
        <v>9.8664918756684039E-3</v>
      </c>
      <c r="K95" s="302">
        <f>K94/(K82+K79)</f>
        <v>9.8984423248473195E-3</v>
      </c>
      <c r="L95" s="302">
        <f>L94/(L82+L79)</f>
        <v>9.8841172460804368E-3</v>
      </c>
      <c r="M95" s="302">
        <f>M94/(M82+M79)</f>
        <v>9.9761182906793582E-3</v>
      </c>
      <c r="N95" s="305">
        <f>N94/(N82+N79)</f>
        <v>3.9260852627834894E-2</v>
      </c>
      <c r="P95" s="302">
        <f>P94/(P82+P79)</f>
        <v>1.0060464407296377E-2</v>
      </c>
      <c r="Q95" s="302">
        <f>Q94/(Q82+Q79)</f>
        <v>1.0063997568430117E-2</v>
      </c>
      <c r="R95" s="302">
        <f>R94/(R82+R79)</f>
        <v>1.0137922904632795E-2</v>
      </c>
      <c r="S95" s="302">
        <f>S94/(S82+S79)</f>
        <v>1.0160965794768611E-2</v>
      </c>
      <c r="T95" s="305">
        <f>T94/(T82+T79)</f>
        <v>4.0207914151576124E-2</v>
      </c>
      <c r="U95" s="202"/>
      <c r="V95" s="302">
        <f>V94/(V82+V79)</f>
        <v>1.0191806455924613E-2</v>
      </c>
      <c r="W95" s="302">
        <f>W94/(W82+W79)</f>
        <v>1.0181033050988208E-2</v>
      </c>
      <c r="X95" s="302">
        <f>X94/(X79+X82)</f>
        <v>0</v>
      </c>
      <c r="Y95" s="302">
        <f>Y94/(Y79+Y82)</f>
        <v>0</v>
      </c>
      <c r="Z95" s="323">
        <f>Z94/(Z79+Z82)</f>
        <v>3.8355917705847925E-2</v>
      </c>
      <c r="AB95" s="302">
        <f t="shared" ref="AB95:AL95" si="67">AB94/(AB79+AB82)</f>
        <v>0</v>
      </c>
      <c r="AC95" s="302">
        <f t="shared" si="67"/>
        <v>0</v>
      </c>
      <c r="AD95" s="302">
        <f t="shared" si="67"/>
        <v>0</v>
      </c>
      <c r="AE95" s="302">
        <f t="shared" si="67"/>
        <v>0</v>
      </c>
      <c r="AF95" s="323">
        <f t="shared" si="67"/>
        <v>3.8220186044096299E-2</v>
      </c>
      <c r="AH95" s="323">
        <f t="shared" si="67"/>
        <v>3.825230364624993E-2</v>
      </c>
      <c r="AJ95" s="323">
        <f t="shared" si="67"/>
        <v>3.8571125051705415E-2</v>
      </c>
      <c r="AL95" s="323">
        <f t="shared" si="67"/>
        <v>3.8891564489246154E-2</v>
      </c>
    </row>
    <row r="96" spans="2:39" ht="14.25" customHeight="1" x14ac:dyDescent="0.3">
      <c r="D96" s="43"/>
      <c r="E96" s="43"/>
      <c r="F96" s="43"/>
      <c r="G96" s="43"/>
      <c r="J96" s="43"/>
      <c r="K96" s="43"/>
      <c r="L96" s="43"/>
      <c r="M96" s="43"/>
      <c r="P96" s="43"/>
      <c r="Q96" s="43"/>
      <c r="R96" s="43"/>
      <c r="S96" s="43"/>
      <c r="U96" s="202"/>
      <c r="V96" s="43"/>
      <c r="W96" s="43"/>
      <c r="X96" s="43"/>
      <c r="Y96" s="43"/>
      <c r="AB96" s="43"/>
      <c r="AC96" s="43"/>
      <c r="AD96" s="43"/>
      <c r="AE96" s="43"/>
    </row>
    <row r="97" spans="2:38" ht="14.25" customHeight="1" x14ac:dyDescent="0.3">
      <c r="B97" s="26" t="s">
        <v>766</v>
      </c>
      <c r="D97" s="47">
        <f>CF!P18</f>
        <v>0</v>
      </c>
      <c r="E97" s="47">
        <f>CF!Q18</f>
        <v>0</v>
      </c>
      <c r="F97" s="47">
        <f>CF!R18</f>
        <v>0</v>
      </c>
      <c r="G97" s="47">
        <f>CF!S18</f>
        <v>0</v>
      </c>
      <c r="H97" s="65">
        <f>CF!T18</f>
        <v>0</v>
      </c>
      <c r="J97" s="47">
        <f>CF!V18</f>
        <v>0</v>
      </c>
      <c r="K97" s="47">
        <f>CF!W18</f>
        <v>0</v>
      </c>
      <c r="L97" s="47">
        <f>CF!X18</f>
        <v>0</v>
      </c>
      <c r="M97" s="47">
        <f>CF!Y18</f>
        <v>0</v>
      </c>
      <c r="N97" s="65">
        <f>CF!Z18</f>
        <v>0</v>
      </c>
      <c r="P97" s="47">
        <f>CF!AB18</f>
        <v>0</v>
      </c>
      <c r="Q97" s="47">
        <f>CF!AC18</f>
        <v>0</v>
      </c>
      <c r="R97" s="47">
        <f>CF!AD18</f>
        <v>0</v>
      </c>
      <c r="S97" s="47">
        <f>CF!AE18</f>
        <v>0</v>
      </c>
      <c r="T97" s="65">
        <f>CF!AF18</f>
        <v>0</v>
      </c>
      <c r="U97" s="202"/>
      <c r="V97" s="47">
        <f>CF!AH18</f>
        <v>0</v>
      </c>
      <c r="W97" s="47">
        <f>CF!AI18</f>
        <v>0</v>
      </c>
      <c r="X97" s="43">
        <f>X98*X43</f>
        <v>0</v>
      </c>
      <c r="Y97" s="43">
        <f>Y98*Y43</f>
        <v>0</v>
      </c>
      <c r="Z97" s="309">
        <f>SUM(V97:Y97)</f>
        <v>0</v>
      </c>
      <c r="AB97" s="43">
        <f t="shared" ref="AB97:AE97" si="68">AB98*AB43</f>
        <v>0</v>
      </c>
      <c r="AC97" s="43">
        <f t="shared" si="68"/>
        <v>0</v>
      </c>
      <c r="AD97" s="43">
        <f t="shared" si="68"/>
        <v>0</v>
      </c>
      <c r="AE97" s="43">
        <f t="shared" si="68"/>
        <v>0</v>
      </c>
      <c r="AF97" s="309">
        <f>SUM(AB97:AE97)</f>
        <v>0</v>
      </c>
      <c r="AH97" s="63">
        <f t="shared" ref="AH97:AL97" si="69">AH98*AH43</f>
        <v>0</v>
      </c>
      <c r="AJ97" s="63">
        <f t="shared" si="69"/>
        <v>0</v>
      </c>
      <c r="AL97" s="63">
        <f t="shared" si="69"/>
        <v>0</v>
      </c>
    </row>
    <row r="98" spans="2:38" ht="14.25" customHeight="1" x14ac:dyDescent="0.3">
      <c r="B98" s="29" t="s">
        <v>767</v>
      </c>
      <c r="D98" s="764" t="s">
        <v>245</v>
      </c>
      <c r="E98" s="764" t="s">
        <v>245</v>
      </c>
      <c r="F98" s="764" t="s">
        <v>245</v>
      </c>
      <c r="G98" s="764" t="s">
        <v>245</v>
      </c>
      <c r="H98" s="765" t="s">
        <v>245</v>
      </c>
      <c r="J98" s="764" t="s">
        <v>245</v>
      </c>
      <c r="K98" s="764" t="s">
        <v>245</v>
      </c>
      <c r="L98" s="764" t="s">
        <v>245</v>
      </c>
      <c r="M98" s="764" t="s">
        <v>245</v>
      </c>
      <c r="N98" s="765" t="s">
        <v>245</v>
      </c>
      <c r="P98" s="764" t="s">
        <v>245</v>
      </c>
      <c r="Q98" s="764" t="s">
        <v>245</v>
      </c>
      <c r="R98" s="764" t="s">
        <v>245</v>
      </c>
      <c r="S98" s="764" t="s">
        <v>245</v>
      </c>
      <c r="T98" s="765" t="s">
        <v>245</v>
      </c>
      <c r="U98" s="202"/>
      <c r="V98" s="764" t="s">
        <v>245</v>
      </c>
      <c r="W98" s="764" t="s">
        <v>245</v>
      </c>
      <c r="X98" s="313">
        <v>0</v>
      </c>
      <c r="Y98" s="313">
        <v>0</v>
      </c>
      <c r="Z98" s="313">
        <v>0</v>
      </c>
      <c r="AB98" s="313">
        <v>0</v>
      </c>
      <c r="AC98" s="313">
        <v>0</v>
      </c>
      <c r="AD98" s="313">
        <v>0</v>
      </c>
      <c r="AE98" s="313">
        <v>0</v>
      </c>
      <c r="AF98" s="313">
        <v>0</v>
      </c>
      <c r="AH98" s="313">
        <v>0</v>
      </c>
      <c r="AJ98" s="313">
        <v>0</v>
      </c>
      <c r="AL98" s="313">
        <v>0</v>
      </c>
    </row>
    <row r="99" spans="2:38" ht="14.25" customHeight="1" x14ac:dyDescent="0.3">
      <c r="B99" s="29" t="s">
        <v>768</v>
      </c>
      <c r="D99" s="302"/>
      <c r="E99" s="302"/>
      <c r="F99" s="302"/>
      <c r="G99" s="302"/>
      <c r="H99" s="305"/>
      <c r="J99" s="302"/>
      <c r="K99" s="302"/>
      <c r="L99" s="302"/>
      <c r="M99" s="302"/>
      <c r="N99" s="305"/>
      <c r="P99" s="302"/>
      <c r="Q99" s="302"/>
      <c r="R99" s="302"/>
      <c r="S99" s="302"/>
      <c r="T99" s="305"/>
      <c r="U99" s="202"/>
      <c r="V99" s="302"/>
      <c r="W99" s="302"/>
      <c r="X99" s="324"/>
      <c r="Y99" s="324"/>
      <c r="Z99" s="324">
        <v>5.2</v>
      </c>
      <c r="AB99" s="324"/>
      <c r="AC99" s="324"/>
      <c r="AD99" s="324"/>
      <c r="AE99" s="324"/>
      <c r="AF99" s="324">
        <v>5.0999999999999996</v>
      </c>
      <c r="AH99" s="324">
        <v>5</v>
      </c>
      <c r="AJ99" s="324">
        <v>5</v>
      </c>
      <c r="AL99" s="324">
        <v>5</v>
      </c>
    </row>
    <row r="100" spans="2:38" ht="14.25" customHeight="1" x14ac:dyDescent="0.3">
      <c r="B100" s="29" t="s">
        <v>769</v>
      </c>
      <c r="D100" s="43"/>
      <c r="E100" s="43"/>
      <c r="F100" s="43"/>
      <c r="G100" s="43"/>
      <c r="J100" s="43"/>
      <c r="K100" s="43"/>
      <c r="L100" s="43"/>
      <c r="M100" s="43"/>
      <c r="P100" s="43"/>
      <c r="Q100" s="43"/>
      <c r="R100" s="43"/>
      <c r="S100" s="43"/>
      <c r="U100" s="202"/>
      <c r="V100" s="43"/>
      <c r="W100" s="43"/>
      <c r="X100" s="766">
        <v>0</v>
      </c>
      <c r="Y100" s="766">
        <v>0</v>
      </c>
      <c r="Z100" s="768">
        <v>0</v>
      </c>
      <c r="AB100" s="766">
        <v>0</v>
      </c>
      <c r="AC100" s="766">
        <v>0</v>
      </c>
      <c r="AD100" s="766">
        <v>0</v>
      </c>
      <c r="AE100" s="766">
        <v>0</v>
      </c>
      <c r="AF100" s="768">
        <v>0</v>
      </c>
      <c r="AH100" s="766">
        <v>0</v>
      </c>
      <c r="AJ100" s="766">
        <v>0</v>
      </c>
      <c r="AL100" s="766">
        <v>0</v>
      </c>
    </row>
    <row r="101" spans="2:38" ht="14.25" customHeight="1" x14ac:dyDescent="0.3">
      <c r="B101" s="29" t="s">
        <v>770</v>
      </c>
      <c r="D101" s="43"/>
      <c r="E101" s="43"/>
      <c r="F101" s="43"/>
      <c r="G101" s="43"/>
      <c r="J101" s="43"/>
      <c r="K101" s="43"/>
      <c r="L101" s="43"/>
      <c r="M101" s="43"/>
      <c r="P101" s="43"/>
      <c r="Q101" s="43"/>
      <c r="R101" s="43"/>
      <c r="S101" s="43"/>
      <c r="U101" s="202"/>
      <c r="V101" s="43"/>
      <c r="W101" s="43"/>
      <c r="X101" s="766">
        <v>0</v>
      </c>
      <c r="Y101" s="766">
        <v>0</v>
      </c>
      <c r="Z101" s="767">
        <v>0</v>
      </c>
      <c r="AB101" s="766">
        <v>0</v>
      </c>
      <c r="AC101" s="766">
        <v>0</v>
      </c>
      <c r="AD101" s="766">
        <v>0</v>
      </c>
      <c r="AE101" s="766">
        <v>0</v>
      </c>
      <c r="AF101" s="768">
        <v>0</v>
      </c>
      <c r="AH101" s="766">
        <v>0</v>
      </c>
      <c r="AJ101" s="766">
        <v>0</v>
      </c>
      <c r="AL101" s="766">
        <v>0</v>
      </c>
    </row>
    <row r="102" spans="2:38" ht="14.25" customHeight="1" x14ac:dyDescent="0.3">
      <c r="D102" s="43"/>
      <c r="E102" s="43"/>
      <c r="F102" s="43"/>
      <c r="G102" s="43"/>
      <c r="J102" s="43"/>
      <c r="K102" s="43"/>
      <c r="L102" s="43"/>
      <c r="M102" s="43"/>
      <c r="P102" s="43"/>
      <c r="Q102" s="43"/>
      <c r="R102" s="43"/>
      <c r="S102" s="43"/>
      <c r="U102" s="202"/>
      <c r="V102" s="43"/>
      <c r="W102" s="43"/>
      <c r="X102" s="43"/>
      <c r="Y102" s="43"/>
      <c r="AB102" s="43"/>
      <c r="AC102" s="43"/>
      <c r="AD102" s="43"/>
      <c r="AE102" s="43"/>
    </row>
    <row r="103" spans="2:38" ht="14.25" customHeight="1" x14ac:dyDescent="0.3">
      <c r="B103" s="26" t="s">
        <v>771</v>
      </c>
      <c r="D103" s="47">
        <f>SUM(CF!P21:P24)</f>
        <v>34</v>
      </c>
      <c r="E103" s="47">
        <f>SUM(CF!Q21:Q24)</f>
        <v>-487</v>
      </c>
      <c r="F103" s="47">
        <f>SUM(CF!R21:R24)</f>
        <v>399</v>
      </c>
      <c r="G103" s="47">
        <f>SUM(CF!S21:S24)</f>
        <v>62</v>
      </c>
      <c r="H103" s="65">
        <f>SUM(CF!T21:T24)</f>
        <v>8</v>
      </c>
      <c r="J103" s="47">
        <f>SUM(CF!V21:V24)</f>
        <v>-297</v>
      </c>
      <c r="K103" s="47">
        <f>SUM(CF!W21:W24)</f>
        <v>-103</v>
      </c>
      <c r="L103" s="47">
        <f>SUM(CF!X21:X24)</f>
        <v>-10</v>
      </c>
      <c r="M103" s="47">
        <f>SUM(CF!Y21:Y24)</f>
        <v>107</v>
      </c>
      <c r="N103" s="65">
        <f>SUM(CF!Z21:Z24)</f>
        <v>-303</v>
      </c>
      <c r="P103" s="47">
        <f>SUM(CF!AB21:AB24)</f>
        <v>-56</v>
      </c>
      <c r="Q103" s="47">
        <f>SUM(CF!AC21:AC24)</f>
        <v>-390</v>
      </c>
      <c r="R103" s="47">
        <f>SUM(CF!AD21:AD24)</f>
        <v>328</v>
      </c>
      <c r="S103" s="47">
        <f>SUM(CF!AE21:AE24)</f>
        <v>304</v>
      </c>
      <c r="T103" s="65">
        <f>SUM(CF!AF21:AF24)</f>
        <v>186</v>
      </c>
      <c r="U103" s="202"/>
      <c r="V103" s="47">
        <f>SUM(CF!AH21:AH24)</f>
        <v>3</v>
      </c>
      <c r="W103" s="47">
        <f>SUM(CF!AI21:AI24)</f>
        <v>-19</v>
      </c>
      <c r="X103" s="43">
        <f>-((X70+X73+X76-X85-X88)-(W70+W73+W76-W85-W88))</f>
        <v>-495</v>
      </c>
      <c r="Y103" s="43">
        <f>-((Y70+Y73+Y76-Y85-Y88)-(X70+X73+X76-X85-X88))</f>
        <v>0</v>
      </c>
      <c r="Z103" s="309">
        <f>-((Z70+Z73+Z76-Z85-Z88)-(T70+T73+T76-T85-T88))</f>
        <v>-281.7581025819045</v>
      </c>
      <c r="AB103" s="43">
        <f>-((AB70+AB73+AB76-AB85-AB88)-(Y70+Y73+Y76-Y85-Y88))</f>
        <v>0</v>
      </c>
      <c r="AC103" s="43">
        <f>-((AC70+AC73+AC76-AC85-AC88)-(AB70+AB73+AB76-AB85-AB88))</f>
        <v>0</v>
      </c>
      <c r="AD103" s="43">
        <f>-((AD70+AD73+AD76-AD85-AD88)-(AC70+AC73+AC76-AC85-AC88))</f>
        <v>0</v>
      </c>
      <c r="AE103" s="43">
        <f>-((AE70+AE73+AE76-AE85-AE88)-(AD70+AD73+AD76-AD85-AD88))</f>
        <v>0</v>
      </c>
      <c r="AF103" s="309">
        <f>-((AF70+AF73+AF76-AF85-AF88)-(Z70+Z73+Z76-Z85-Z88))</f>
        <v>-88.787788394297195</v>
      </c>
      <c r="AH103" s="309">
        <f>-((AH70+AH73+AH76-AH85-AH88)-(AF70+AF73+AF76-AF85-AF88))</f>
        <v>-86.353515323833221</v>
      </c>
      <c r="AJ103" s="309">
        <f>-((AJ70+AJ73+AJ76-AJ85-AJ88)-(AH70+AH73+AH76-AH85-AH88))</f>
        <v>-203.85768705386772</v>
      </c>
      <c r="AL103" s="309">
        <f>-((AL70+AL73+AL76-AL85-AL88)-(AJ70+AJ73+AJ76-AJ85-AJ88))</f>
        <v>63.981190760676895</v>
      </c>
    </row>
    <row r="104" spans="2:38" ht="14.25" customHeight="1" x14ac:dyDescent="0.3">
      <c r="B104" s="29" t="s">
        <v>772</v>
      </c>
      <c r="D104" s="302">
        <f>D103/(D31-IS!M18)</f>
        <v>0.26771653543307089</v>
      </c>
      <c r="E104" s="302">
        <f>E103/(E31-D31)</f>
        <v>-1.1907090464547678</v>
      </c>
      <c r="F104" s="302">
        <f>F103/(F31-E31)</f>
        <v>1.3434343434343434</v>
      </c>
      <c r="G104" s="302">
        <f>G103/(G31-F31)</f>
        <v>-0.16062176165803108</v>
      </c>
      <c r="H104" s="305">
        <f>H103/IS!N18</f>
        <v>3.6690515501742798E-4</v>
      </c>
      <c r="J104" s="302">
        <f>J103/(J31-IS!S18)</f>
        <v>2.3951612903225805</v>
      </c>
      <c r="K104" s="302">
        <f>K103/(K31-J31)</f>
        <v>1.10752688172043</v>
      </c>
      <c r="L104" s="302">
        <f>L103/(L31-K31)</f>
        <v>0.45454545454545453</v>
      </c>
      <c r="M104" s="302">
        <f>M103/(M31-L31)</f>
        <v>0.49082568807339449</v>
      </c>
      <c r="N104" s="305">
        <f>N103/IS!T18</f>
        <v>-1.2180904522613065E-2</v>
      </c>
      <c r="P104" s="302">
        <f>P103/(P31-IS!Y18)</f>
        <v>0.4375</v>
      </c>
      <c r="Q104" s="302">
        <f>Q103/(Q31-P31)</f>
        <v>16.25</v>
      </c>
      <c r="R104" s="302">
        <f>R103/(R31-Q31)</f>
        <v>3.9047619047619047</v>
      </c>
      <c r="S104" s="302">
        <f>S103/(S31-R31)</f>
        <v>10.133333333333333</v>
      </c>
      <c r="T104" s="305">
        <f>T103/IS!Z18</f>
        <v>7.7117625108835356E-3</v>
      </c>
      <c r="U104" s="202"/>
      <c r="V104" s="302">
        <f>V103/(V31-IS!AE18)</f>
        <v>-3.1914893617021274E-2</v>
      </c>
      <c r="W104" s="302">
        <f>W103/(W31-V31)</f>
        <v>-0.14960629921259844</v>
      </c>
      <c r="X104" s="302">
        <f>X103/(X31-W31)</f>
        <v>8.0435489112772179E-2</v>
      </c>
      <c r="Y104" s="302" t="e">
        <f>Y103/(Y31-X31)</f>
        <v>#DIV/0!</v>
      </c>
      <c r="Z104" s="305">
        <f>Z103/(Z31-T31)</f>
        <v>-0.2289095316308272</v>
      </c>
      <c r="AB104" s="302" t="e">
        <f>AB103/(AB31-IS!AK18)</f>
        <v>#DIV/0!</v>
      </c>
      <c r="AC104" s="302" t="e">
        <f>AC103/(AC31-AB31)</f>
        <v>#DIV/0!</v>
      </c>
      <c r="AD104" s="302" t="e">
        <f>AD103/(AD31-AC31)</f>
        <v>#DIV/0!</v>
      </c>
      <c r="AE104" s="302" t="e">
        <f>AE103/(AE31-AD31)</f>
        <v>#DIV/0!</v>
      </c>
      <c r="AF104" s="305">
        <f>AF103/(AF31-Z31)</f>
        <v>-0.12540916882176634</v>
      </c>
      <c r="AH104" s="305">
        <f>AH103/(AH31-AF31)</f>
        <v>-0.13515605015507173</v>
      </c>
      <c r="AJ104" s="305">
        <f>AJ103/(AJ31-AH31)</f>
        <v>-0.24488949149726372</v>
      </c>
      <c r="AL104" s="305">
        <f>AL103/(AL31-AJ31)</f>
        <v>9.4936051473306748E-2</v>
      </c>
    </row>
    <row r="105" spans="2:38" ht="14.25" customHeight="1" x14ac:dyDescent="0.3">
      <c r="D105" s="43"/>
      <c r="E105" s="43"/>
      <c r="F105" s="43"/>
      <c r="G105" s="43"/>
      <c r="J105" s="43"/>
      <c r="K105" s="43"/>
      <c r="L105" s="43"/>
      <c r="M105" s="43"/>
      <c r="P105" s="43"/>
      <c r="Q105" s="43"/>
      <c r="R105" s="43"/>
      <c r="S105" s="43"/>
      <c r="U105" s="202"/>
      <c r="V105" s="43"/>
      <c r="W105" s="43"/>
      <c r="X105" s="43"/>
      <c r="Y105" s="43"/>
      <c r="AB105" s="43"/>
      <c r="AC105" s="43"/>
      <c r="AD105" s="43"/>
      <c r="AE105" s="43"/>
    </row>
    <row r="106" spans="2:38" ht="14.25" customHeight="1" x14ac:dyDescent="0.3">
      <c r="B106" s="26" t="s">
        <v>773</v>
      </c>
      <c r="D106" s="47">
        <f>CF!P28</f>
        <v>-848</v>
      </c>
      <c r="E106" s="47">
        <f>CF!Q28</f>
        <v>-797</v>
      </c>
      <c r="F106" s="47">
        <f>CF!R28</f>
        <v>-1045</v>
      </c>
      <c r="G106" s="47">
        <f>CF!S28</f>
        <v>-930</v>
      </c>
      <c r="H106" s="65">
        <f>CF!T28</f>
        <v>-3620</v>
      </c>
      <c r="J106" s="47">
        <f>CF!V28</f>
        <v>-772</v>
      </c>
      <c r="K106" s="47">
        <f>CF!W28</f>
        <v>-835</v>
      </c>
      <c r="L106" s="47">
        <f>CF!X28</f>
        <v>-1020</v>
      </c>
      <c r="M106" s="47">
        <f>CF!Y28</f>
        <v>-1024</v>
      </c>
      <c r="N106" s="65">
        <f>CF!Z28</f>
        <v>-3606</v>
      </c>
      <c r="P106" s="47">
        <f>CF!AB28</f>
        <v>-797</v>
      </c>
      <c r="Q106" s="47">
        <f>CF!AC28</f>
        <v>-902</v>
      </c>
      <c r="R106" s="47">
        <f>CF!AD28</f>
        <v>-831</v>
      </c>
      <c r="S106" s="47">
        <f>CF!AE28</f>
        <v>-922</v>
      </c>
      <c r="T106" s="65">
        <f>CF!AF28</f>
        <v>-3452</v>
      </c>
      <c r="U106" s="202"/>
      <c r="V106" s="47">
        <f>CF!AH28</f>
        <v>-906</v>
      </c>
      <c r="W106" s="47">
        <f>CF!AI28</f>
        <v>-936</v>
      </c>
      <c r="X106" s="43">
        <v>-800</v>
      </c>
      <c r="Y106" s="43">
        <v>-750</v>
      </c>
      <c r="Z106" s="54">
        <f>SUM(V106:Y106)</f>
        <v>-3392</v>
      </c>
      <c r="AA106" s="68"/>
      <c r="AB106" s="43">
        <f>-AB$31*(AB107+Sensitivity!$U$38)</f>
        <v>0</v>
      </c>
      <c r="AC106" s="43">
        <f>-AC$31*(AC107+Sensitivity!$U$38)</f>
        <v>0</v>
      </c>
      <c r="AD106" s="43">
        <f>-AD$31*(AD107+Sensitivity!$U$38)</f>
        <v>0</v>
      </c>
      <c r="AE106" s="43">
        <f>-AE$31*(AE107+Sensitivity!$U$38)</f>
        <v>0</v>
      </c>
      <c r="AF106" s="54">
        <v>-3700</v>
      </c>
      <c r="AG106" s="54"/>
      <c r="AH106" s="54">
        <f>-AH$31*(AH107+Sensitivity!$U$38)</f>
        <v>-3755.8882123580906</v>
      </c>
      <c r="AI106" s="54"/>
      <c r="AJ106" s="54">
        <f>-AJ$31*(AJ107+Sensitivity!$U$38)</f>
        <v>-3319.2264740700471</v>
      </c>
      <c r="AK106" s="54"/>
      <c r="AL106" s="54">
        <f>-AL$31*(AL107+Sensitivity!$U$38)</f>
        <v>-2833.4160493280174</v>
      </c>
    </row>
    <row r="107" spans="2:38" ht="14.25" customHeight="1" x14ac:dyDescent="0.3">
      <c r="B107" s="29" t="s">
        <v>707</v>
      </c>
      <c r="D107" s="302">
        <f>-D106/D31</f>
        <v>0.14470989761092151</v>
      </c>
      <c r="E107" s="302">
        <f>-E106/E31</f>
        <v>0.12713351411708407</v>
      </c>
      <c r="F107" s="302">
        <f>-F106/F31</f>
        <v>0.15915321352421566</v>
      </c>
      <c r="G107" s="302">
        <f>-G106/G31</f>
        <v>0.15048543689320387</v>
      </c>
      <c r="H107" s="305">
        <f>-H106/H31</f>
        <v>0.14552763819095477</v>
      </c>
      <c r="J107" s="302">
        <f>-J106/J31</f>
        <v>0.12747688243064728</v>
      </c>
      <c r="K107" s="302">
        <f>-K106/K31</f>
        <v>0.14003018614791213</v>
      </c>
      <c r="L107" s="302">
        <f>-L106/L31</f>
        <v>0.17168826796835548</v>
      </c>
      <c r="M107" s="302">
        <f>-M106/M31</f>
        <v>0.16626075661633383</v>
      </c>
      <c r="N107" s="305">
        <f>-N106/N31</f>
        <v>0.14950868609809695</v>
      </c>
      <c r="P107" s="302">
        <f>-P106/P31</f>
        <v>0.1321505554634389</v>
      </c>
      <c r="Q107" s="302">
        <f>-Q106/Q31</f>
        <v>0.15015814882636924</v>
      </c>
      <c r="R107" s="302">
        <f>-R106/R31</f>
        <v>0.13643079954030538</v>
      </c>
      <c r="S107" s="302">
        <f>-S106/S31</f>
        <v>0.15062898219245222</v>
      </c>
      <c r="T107" s="305">
        <f>-T106/T31</f>
        <v>0.14235051546391753</v>
      </c>
      <c r="U107" s="202"/>
      <c r="V107" s="302">
        <f>-V106/V31</f>
        <v>0.15032354405176704</v>
      </c>
      <c r="W107" s="302">
        <f>-W106/W31</f>
        <v>0.15209619759506013</v>
      </c>
      <c r="X107" s="313"/>
      <c r="Y107" s="313"/>
      <c r="Z107" s="313">
        <f>-Z106/Z$31</f>
        <v>0.13311946836069549</v>
      </c>
      <c r="AB107" s="313"/>
      <c r="AC107" s="313"/>
      <c r="AD107" s="313"/>
      <c r="AE107" s="313"/>
      <c r="AF107" s="313">
        <v>0.14000000000000001</v>
      </c>
      <c r="AH107" s="313">
        <v>0.14000000000000001</v>
      </c>
      <c r="AJ107" s="313">
        <v>0.12</v>
      </c>
      <c r="AL107" s="313">
        <v>0.1</v>
      </c>
    </row>
    <row r="108" spans="2:38" ht="14.25" customHeight="1" x14ac:dyDescent="0.3">
      <c r="D108" s="43"/>
      <c r="E108" s="43"/>
      <c r="F108" s="43"/>
      <c r="G108" s="43"/>
      <c r="J108" s="43"/>
      <c r="K108" s="43"/>
      <c r="L108" s="43"/>
      <c r="M108" s="43"/>
      <c r="P108" s="43"/>
      <c r="Q108" s="43"/>
      <c r="R108" s="43"/>
      <c r="S108" s="43"/>
      <c r="U108" s="202"/>
      <c r="V108" s="43"/>
      <c r="W108" s="43"/>
      <c r="X108" s="43"/>
      <c r="Y108" s="43"/>
      <c r="AB108" s="43"/>
      <c r="AC108" s="43"/>
      <c r="AD108" s="43"/>
      <c r="AE108" s="43"/>
    </row>
    <row r="109" spans="2:38" ht="14.25" customHeight="1" x14ac:dyDescent="0.3">
      <c r="B109" s="26" t="s">
        <v>774</v>
      </c>
      <c r="D109" s="47">
        <f>CF!P29</f>
        <v>32</v>
      </c>
      <c r="E109" s="47">
        <f>CF!Q29</f>
        <v>88</v>
      </c>
      <c r="F109" s="47">
        <f>CF!R29</f>
        <v>52</v>
      </c>
      <c r="G109" s="47">
        <f>CF!S29</f>
        <v>22</v>
      </c>
      <c r="H109" s="65">
        <f>CF!T29</f>
        <v>194</v>
      </c>
      <c r="J109" s="47">
        <f>CF!V29</f>
        <v>12</v>
      </c>
      <c r="K109" s="47">
        <f>CF!W29</f>
        <v>33</v>
      </c>
      <c r="L109" s="47">
        <f>CF!X29</f>
        <v>0</v>
      </c>
      <c r="M109" s="47">
        <f>CF!Y29</f>
        <v>0</v>
      </c>
      <c r="N109" s="65">
        <f>CF!Z29</f>
        <v>0</v>
      </c>
      <c r="P109" s="47">
        <f>CF!AB29</f>
        <v>0</v>
      </c>
      <c r="Q109" s="47">
        <f>CF!AC29</f>
        <v>0</v>
      </c>
      <c r="R109" s="47">
        <f>CF!AD29</f>
        <v>0</v>
      </c>
      <c r="S109" s="47">
        <f>CF!AE29</f>
        <v>0</v>
      </c>
      <c r="T109" s="65">
        <f>CF!AF29</f>
        <v>0</v>
      </c>
      <c r="U109" s="202"/>
      <c r="V109" s="47">
        <f>CF!AH29</f>
        <v>0</v>
      </c>
      <c r="W109" s="47">
        <f>CF!AI29</f>
        <v>0</v>
      </c>
      <c r="X109" s="43">
        <f>X110*X$106</f>
        <v>0</v>
      </c>
      <c r="Y109" s="43">
        <f t="shared" ref="Y109" si="70">Y110*Y$106</f>
        <v>0</v>
      </c>
      <c r="Z109" s="54">
        <f>SUM(V109:Y109)</f>
        <v>0</v>
      </c>
      <c r="AB109" s="43">
        <f t="shared" ref="AB109:AE109" si="71">AB110*AB$106</f>
        <v>0</v>
      </c>
      <c r="AC109" s="43">
        <f t="shared" si="71"/>
        <v>0</v>
      </c>
      <c r="AD109" s="43">
        <f t="shared" si="71"/>
        <v>0</v>
      </c>
      <c r="AE109" s="43">
        <f t="shared" si="71"/>
        <v>0</v>
      </c>
      <c r="AF109" s="54">
        <f>SUM(AB109:AE109)</f>
        <v>0</v>
      </c>
      <c r="AH109" s="54">
        <f t="shared" ref="AH109" si="72">AH110*AH$106</f>
        <v>0</v>
      </c>
      <c r="AJ109" s="54">
        <f t="shared" ref="AJ109" si="73">AJ110*AJ$106</f>
        <v>0</v>
      </c>
      <c r="AL109" s="54">
        <f t="shared" ref="AL109" si="74">AL110*AL$106</f>
        <v>0</v>
      </c>
    </row>
    <row r="110" spans="2:38" ht="14.25" customHeight="1" x14ac:dyDescent="0.3">
      <c r="B110" s="29" t="s">
        <v>775</v>
      </c>
      <c r="D110" s="302">
        <f>-D109/D106</f>
        <v>3.7735849056603772E-2</v>
      </c>
      <c r="E110" s="302">
        <f t="shared" ref="E110:H110" si="75">-E109/E106</f>
        <v>0.11041405269761606</v>
      </c>
      <c r="F110" s="302">
        <f t="shared" si="75"/>
        <v>4.9760765550239235E-2</v>
      </c>
      <c r="G110" s="302">
        <f t="shared" si="75"/>
        <v>2.3655913978494623E-2</v>
      </c>
      <c r="H110" s="305">
        <f t="shared" si="75"/>
        <v>5.3591160220994478E-2</v>
      </c>
      <c r="J110" s="302">
        <f>-J109/J106</f>
        <v>1.5544041450777202E-2</v>
      </c>
      <c r="K110" s="302">
        <f t="shared" ref="K110" si="76">-K109/K106</f>
        <v>3.9520958083832339E-2</v>
      </c>
      <c r="L110" s="302">
        <f t="shared" ref="L110" si="77">-L109/L106</f>
        <v>0</v>
      </c>
      <c r="M110" s="302">
        <f t="shared" ref="M110" si="78">-M109/M106</f>
        <v>0</v>
      </c>
      <c r="N110" s="305">
        <f t="shared" ref="N110" si="79">-N109/N106</f>
        <v>0</v>
      </c>
      <c r="P110" s="302">
        <f>-P109/P106</f>
        <v>0</v>
      </c>
      <c r="Q110" s="302">
        <f t="shared" ref="Q110" si="80">-Q109/Q106</f>
        <v>0</v>
      </c>
      <c r="R110" s="302">
        <f t="shared" ref="R110" si="81">-R109/R106</f>
        <v>0</v>
      </c>
      <c r="S110" s="302">
        <f t="shared" ref="S110" si="82">-S109/S106</f>
        <v>0</v>
      </c>
      <c r="T110" s="305">
        <f t="shared" ref="T110" si="83">-T109/T106</f>
        <v>0</v>
      </c>
      <c r="U110" s="202"/>
      <c r="V110" s="302">
        <f>-V109/V106</f>
        <v>0</v>
      </c>
      <c r="W110" s="302">
        <f t="shared" ref="W110" si="84">-W109/W106</f>
        <v>0</v>
      </c>
      <c r="X110" s="313">
        <v>0</v>
      </c>
      <c r="Y110" s="313">
        <v>0</v>
      </c>
      <c r="Z110" s="313">
        <v>0</v>
      </c>
      <c r="AB110" s="313">
        <v>0</v>
      </c>
      <c r="AC110" s="313">
        <v>0</v>
      </c>
      <c r="AD110" s="313">
        <v>0</v>
      </c>
      <c r="AE110" s="313">
        <v>0</v>
      </c>
      <c r="AF110" s="313">
        <v>0</v>
      </c>
      <c r="AH110" s="313">
        <v>0</v>
      </c>
      <c r="AJ110" s="313">
        <v>0</v>
      </c>
      <c r="AL110" s="313">
        <v>0</v>
      </c>
    </row>
    <row r="111" spans="2:38" ht="14.25" customHeight="1" x14ac:dyDescent="0.3">
      <c r="B111" s="29"/>
      <c r="D111" s="302"/>
      <c r="E111" s="302"/>
      <c r="F111" s="302"/>
      <c r="G111" s="302"/>
      <c r="H111" s="305"/>
      <c r="J111" s="302"/>
      <c r="K111" s="302"/>
      <c r="L111" s="302"/>
      <c r="M111" s="302"/>
      <c r="N111" s="305"/>
      <c r="P111" s="302"/>
      <c r="Q111" s="302"/>
      <c r="R111" s="302"/>
      <c r="S111" s="302"/>
      <c r="T111" s="305"/>
      <c r="U111" s="202"/>
      <c r="V111" s="302"/>
      <c r="W111" s="302"/>
      <c r="X111" s="302"/>
      <c r="Y111" s="302"/>
      <c r="Z111" s="303"/>
      <c r="AA111" s="303"/>
      <c r="AB111" s="302"/>
      <c r="AC111" s="302"/>
      <c r="AD111" s="302"/>
      <c r="AE111" s="302"/>
      <c r="AF111" s="303"/>
      <c r="AH111" s="602"/>
      <c r="AJ111" s="602"/>
      <c r="AL111" s="602"/>
    </row>
    <row r="112" spans="2:38" ht="14.25" customHeight="1" x14ac:dyDescent="0.3">
      <c r="B112" s="26" t="s">
        <v>776</v>
      </c>
      <c r="D112" s="47">
        <f>CF!P39</f>
        <v>-743</v>
      </c>
      <c r="E112" s="47">
        <f>CF!Q39</f>
        <v>-813</v>
      </c>
      <c r="F112" s="47">
        <f>CF!R39</f>
        <v>-806</v>
      </c>
      <c r="G112" s="47">
        <f>CF!S39</f>
        <v>-797</v>
      </c>
      <c r="H112" s="65">
        <f>CF!T39</f>
        <v>-3159</v>
      </c>
      <c r="J112" s="47">
        <f>CF!V39</f>
        <v>-795</v>
      </c>
      <c r="K112" s="47">
        <f>CF!W39</f>
        <v>-793</v>
      </c>
      <c r="L112" s="47">
        <f>CF!X39</f>
        <v>-792</v>
      </c>
      <c r="M112" s="47">
        <f>CF!Y39</f>
        <v>-793</v>
      </c>
      <c r="N112" s="65">
        <f>CF!Z39</f>
        <v>-3173</v>
      </c>
      <c r="P112" s="47">
        <f>CF!AB39</f>
        <v>-795</v>
      </c>
      <c r="Q112" s="47">
        <f>CF!AC39</f>
        <v>-793</v>
      </c>
      <c r="R112" s="47">
        <f>CF!AD39</f>
        <v>-815</v>
      </c>
      <c r="S112" s="47">
        <f>CF!AE39</f>
        <v>-810</v>
      </c>
      <c r="T112" s="65">
        <f>CF!AF39</f>
        <v>-3213</v>
      </c>
      <c r="U112" s="202"/>
      <c r="V112" s="47">
        <f>CF!AH39</f>
        <v>-804</v>
      </c>
      <c r="W112" s="47">
        <f>CF!AI39</f>
        <v>-795</v>
      </c>
      <c r="X112" s="43">
        <f>-X113*X126</f>
        <v>0</v>
      </c>
      <c r="Y112" s="43">
        <f>-Y113*Y126</f>
        <v>0</v>
      </c>
      <c r="Z112" s="54">
        <f>-Z113*Z126</f>
        <v>-3612.6070392446718</v>
      </c>
      <c r="AB112" s="43">
        <f>-AB113*AB126</f>
        <v>0</v>
      </c>
      <c r="AC112" s="43">
        <f>-AC113*AC126</f>
        <v>0</v>
      </c>
      <c r="AD112" s="43">
        <f>-AD113*AD126</f>
        <v>0</v>
      </c>
      <c r="AE112" s="43">
        <f>-AE113*AE126</f>
        <v>0</v>
      </c>
      <c r="AF112" s="54">
        <f>-AF113*AF126</f>
        <v>-3706.6121165993109</v>
      </c>
      <c r="AH112" s="54">
        <f>-AH113*AH126</f>
        <v>-3934.4028730750492</v>
      </c>
      <c r="AJ112" s="54">
        <f>-AJ113*AJ126</f>
        <v>-4058.3356694018557</v>
      </c>
      <c r="AL112" s="54">
        <f>-AL113*AL126</f>
        <v>-4183.846425716164</v>
      </c>
    </row>
    <row r="113" spans="1:45" ht="14.25" customHeight="1" x14ac:dyDescent="0.3">
      <c r="B113" s="29" t="s">
        <v>777</v>
      </c>
      <c r="D113" s="302">
        <f>-D112/D126</f>
        <v>0.40596901285581921</v>
      </c>
      <c r="E113" s="302">
        <f>-E112/E126</f>
        <v>0.41603296717355104</v>
      </c>
      <c r="F113" s="302">
        <f>-F112/F126</f>
        <v>0.37857571942555107</v>
      </c>
      <c r="G113" s="302">
        <f>-G112/G126</f>
        <v>0.44209318593047842</v>
      </c>
      <c r="H113" s="305">
        <f>-H112/H126</f>
        <v>0.40926907116551098</v>
      </c>
      <c r="J113" s="302">
        <f>-J112/J126</f>
        <v>0.45541316103358459</v>
      </c>
      <c r="K113" s="302">
        <f>-K112/K126</f>
        <v>0.44900516934850482</v>
      </c>
      <c r="L113" s="302">
        <f>-L112/L126</f>
        <v>0.46403980692965729</v>
      </c>
      <c r="M113" s="302">
        <f>-M112/M126</f>
        <v>0.43555167484666901</v>
      </c>
      <c r="N113" s="305">
        <f>-N112/N126</f>
        <v>0.45091438237784681</v>
      </c>
      <c r="P113" s="302">
        <f>-P112/P126</f>
        <v>0.43707668071436717</v>
      </c>
      <c r="Q113" s="302">
        <f>-Q112/Q126</f>
        <v>0.43133891213389125</v>
      </c>
      <c r="R113" s="302">
        <f>-R112/R126</f>
        <v>0.44190609382492935</v>
      </c>
      <c r="S113" s="302">
        <f>-S112/S126</f>
        <v>0.41528191411649679</v>
      </c>
      <c r="T113" s="305">
        <f>-T112/T126</f>
        <v>0.43115466352067794</v>
      </c>
      <c r="U113" s="202"/>
      <c r="V113" s="302">
        <f>-V112/V126</f>
        <v>0.44357947586224067</v>
      </c>
      <c r="W113" s="302">
        <f>-W112/W126</f>
        <v>0.38819375540965612</v>
      </c>
      <c r="X113" s="313"/>
      <c r="Y113" s="313"/>
      <c r="Z113" s="313">
        <v>0.43</v>
      </c>
      <c r="AB113" s="313"/>
      <c r="AC113" s="313"/>
      <c r="AD113" s="313"/>
      <c r="AE113" s="313"/>
      <c r="AF113" s="313">
        <v>0.43</v>
      </c>
      <c r="AH113" s="313">
        <v>0.43</v>
      </c>
      <c r="AJ113" s="313">
        <v>0.42</v>
      </c>
      <c r="AL113" s="313">
        <v>0.41</v>
      </c>
      <c r="AQ113"/>
    </row>
    <row r="114" spans="1:45" ht="14.25" customHeight="1" x14ac:dyDescent="0.3">
      <c r="B114" s="29"/>
      <c r="D114" s="302"/>
      <c r="E114" s="302"/>
      <c r="F114" s="302"/>
      <c r="G114" s="302"/>
      <c r="H114" s="305"/>
      <c r="J114" s="302"/>
      <c r="K114" s="302"/>
      <c r="L114" s="302"/>
      <c r="M114" s="302"/>
      <c r="N114" s="305"/>
      <c r="P114" s="302"/>
      <c r="Q114" s="302"/>
      <c r="R114" s="302"/>
      <c r="S114" s="302"/>
      <c r="T114" s="305"/>
      <c r="U114" s="202"/>
      <c r="V114" s="302"/>
      <c r="W114" s="302"/>
      <c r="X114" s="302"/>
      <c r="Y114" s="302"/>
      <c r="Z114" s="303"/>
      <c r="AA114" s="303"/>
      <c r="AB114" s="302"/>
      <c r="AC114" s="302"/>
      <c r="AD114" s="302"/>
      <c r="AE114" s="302"/>
      <c r="AF114" s="303"/>
      <c r="AH114" s="602"/>
      <c r="AJ114" s="602"/>
      <c r="AL114" s="602"/>
    </row>
    <row r="115" spans="1:45" ht="14.25" customHeight="1" x14ac:dyDescent="0.3">
      <c r="B115" s="26" t="s">
        <v>778</v>
      </c>
      <c r="D115" s="47">
        <f>CF!P40</f>
        <v>-2743</v>
      </c>
      <c r="E115" s="47">
        <f>CF!Q40</f>
        <v>-730</v>
      </c>
      <c r="F115" s="47">
        <f>CF!R40</f>
        <v>-2024</v>
      </c>
      <c r="G115" s="47">
        <f>CF!S40</f>
        <v>-785</v>
      </c>
      <c r="H115" s="65">
        <f>CF!T40</f>
        <v>-6282</v>
      </c>
      <c r="J115" s="47">
        <f>CF!V40</f>
        <v>-575</v>
      </c>
      <c r="K115" s="47">
        <f>CF!W40</f>
        <v>-130</v>
      </c>
      <c r="L115" s="47">
        <f>CF!X40</f>
        <v>0</v>
      </c>
      <c r="M115" s="47">
        <f>CF!Y40</f>
        <v>0</v>
      </c>
      <c r="N115" s="65">
        <f>CF!Z40</f>
        <v>-705</v>
      </c>
      <c r="P115" s="47">
        <f>CF!AB40</f>
        <v>0</v>
      </c>
      <c r="Q115" s="47">
        <f>CF!AC40</f>
        <v>-100</v>
      </c>
      <c r="R115" s="47">
        <f>CF!AD40</f>
        <v>-731</v>
      </c>
      <c r="S115" s="47">
        <f>CF!AE40</f>
        <v>-674</v>
      </c>
      <c r="T115" s="65">
        <f>CF!AF40</f>
        <v>-1505</v>
      </c>
      <c r="U115" s="202"/>
      <c r="V115" s="47">
        <f>CF!AH40</f>
        <v>-1420</v>
      </c>
      <c r="W115" s="47">
        <f>CF!AI40</f>
        <v>-1259</v>
      </c>
      <c r="X115" s="605"/>
      <c r="Y115" s="605"/>
      <c r="Z115" s="605">
        <f>SUM(V115:W115)-1800</f>
        <v>-4479</v>
      </c>
      <c r="AB115" s="605"/>
      <c r="AC115" s="605"/>
      <c r="AD115" s="605"/>
      <c r="AE115" s="605"/>
      <c r="AF115" s="605">
        <v>-4200</v>
      </c>
      <c r="AH115" s="605">
        <v>-4250</v>
      </c>
      <c r="AJ115" s="605">
        <v>0</v>
      </c>
      <c r="AL115" s="605">
        <v>0</v>
      </c>
    </row>
    <row r="116" spans="1:45" ht="14.25" customHeight="1" x14ac:dyDescent="0.3">
      <c r="U116" s="202"/>
      <c r="AS116" s="309"/>
    </row>
    <row r="117" spans="1:45" s="38" customFormat="1" ht="15" customHeight="1" x14ac:dyDescent="0.3">
      <c r="A117" s="28" t="s">
        <v>39</v>
      </c>
      <c r="B117" s="158" t="s">
        <v>779</v>
      </c>
      <c r="C117" s="16"/>
      <c r="D117" s="159"/>
      <c r="E117" s="159"/>
      <c r="F117" s="159"/>
      <c r="G117" s="159"/>
      <c r="H117" s="159"/>
      <c r="I117" s="16"/>
      <c r="J117" s="159"/>
      <c r="K117" s="159"/>
      <c r="L117" s="159"/>
      <c r="M117" s="159"/>
      <c r="N117" s="159"/>
      <c r="O117" s="16"/>
      <c r="P117" s="159"/>
      <c r="Q117" s="159"/>
      <c r="R117" s="159"/>
      <c r="S117" s="159"/>
      <c r="T117" s="159"/>
      <c r="U117" s="16"/>
      <c r="V117" s="159"/>
      <c r="W117" s="159"/>
      <c r="X117" s="159"/>
      <c r="Y117" s="159"/>
      <c r="Z117" s="159"/>
      <c r="AA117" s="16"/>
      <c r="AB117" s="159"/>
      <c r="AC117" s="159"/>
      <c r="AD117" s="159"/>
      <c r="AE117" s="159"/>
      <c r="AF117" s="159"/>
      <c r="AG117" s="16"/>
      <c r="AH117" s="159"/>
      <c r="AI117" s="16"/>
      <c r="AJ117" s="160"/>
      <c r="AK117" s="16"/>
      <c r="AL117" s="160"/>
    </row>
    <row r="118" spans="1:45" s="38" customFormat="1" ht="15" customHeight="1" x14ac:dyDescent="0.3">
      <c r="B118" s="161"/>
      <c r="C118" s="16"/>
      <c r="D118" s="1244">
        <f>D$8</f>
        <v>2022</v>
      </c>
      <c r="E118" s="1244">
        <f>F118</f>
        <v>0</v>
      </c>
      <c r="F118" s="1244">
        <f>F$8</f>
        <v>0</v>
      </c>
      <c r="G118" s="1244">
        <f>F118</f>
        <v>0</v>
      </c>
      <c r="H118" s="1244">
        <f>F118</f>
        <v>0</v>
      </c>
      <c r="I118" s="166"/>
      <c r="J118" s="1244">
        <f>J$8</f>
        <v>2023</v>
      </c>
      <c r="K118" s="1244">
        <f>L118</f>
        <v>0</v>
      </c>
      <c r="L118" s="1244">
        <f>L$8</f>
        <v>0</v>
      </c>
      <c r="M118" s="1244">
        <f>L118</f>
        <v>0</v>
      </c>
      <c r="N118" s="1244">
        <f>L118</f>
        <v>0</v>
      </c>
      <c r="O118" s="166"/>
      <c r="P118" s="1244">
        <f>P$8</f>
        <v>2024</v>
      </c>
      <c r="Q118" s="1244">
        <f>R118</f>
        <v>0</v>
      </c>
      <c r="R118" s="1244">
        <f>R$8</f>
        <v>0</v>
      </c>
      <c r="S118" s="1244">
        <f>R118</f>
        <v>0</v>
      </c>
      <c r="T118" s="1244">
        <f>R118</f>
        <v>0</v>
      </c>
      <c r="U118" s="166"/>
      <c r="V118" s="1243">
        <f>V$8</f>
        <v>2025</v>
      </c>
      <c r="W118" s="1243">
        <f>X118</f>
        <v>0</v>
      </c>
      <c r="X118" s="1243">
        <f>X$8</f>
        <v>0</v>
      </c>
      <c r="Y118" s="1243">
        <f>X118</f>
        <v>0</v>
      </c>
      <c r="Z118" s="1243">
        <f>X118</f>
        <v>0</v>
      </c>
      <c r="AA118" s="166"/>
      <c r="AB118" s="1243">
        <f>AB$8</f>
        <v>2026</v>
      </c>
      <c r="AC118" s="1243">
        <f>AD118</f>
        <v>0</v>
      </c>
      <c r="AD118" s="1243">
        <f>AD$8</f>
        <v>0</v>
      </c>
      <c r="AE118" s="1243">
        <f>AD118</f>
        <v>0</v>
      </c>
      <c r="AF118" s="1243">
        <f>AD118</f>
        <v>0</v>
      </c>
      <c r="AG118" s="168"/>
      <c r="AH118" s="163">
        <f>AH$8</f>
        <v>2027</v>
      </c>
      <c r="AI118" s="164"/>
      <c r="AJ118" s="163">
        <f>AJ$8</f>
        <v>2028</v>
      </c>
      <c r="AK118" s="164"/>
      <c r="AL118" s="163">
        <f>AL$8</f>
        <v>2029</v>
      </c>
    </row>
    <row r="119" spans="1:45" s="38" customFormat="1" ht="14.25" customHeight="1" x14ac:dyDescent="0.3">
      <c r="B119" s="161"/>
      <c r="C119" s="16"/>
      <c r="D119" s="165" t="s">
        <v>217</v>
      </c>
      <c r="E119" s="165" t="s">
        <v>218</v>
      </c>
      <c r="F119" s="165" t="s">
        <v>219</v>
      </c>
      <c r="G119" s="165" t="s">
        <v>220</v>
      </c>
      <c r="H119" s="165" t="s">
        <v>221</v>
      </c>
      <c r="I119" s="162"/>
      <c r="J119" s="165" t="s">
        <v>217</v>
      </c>
      <c r="K119" s="165" t="s">
        <v>218</v>
      </c>
      <c r="L119" s="165" t="s">
        <v>219</v>
      </c>
      <c r="M119" s="165" t="s">
        <v>220</v>
      </c>
      <c r="N119" s="165" t="s">
        <v>221</v>
      </c>
      <c r="O119" s="162"/>
      <c r="P119" s="165" t="s">
        <v>217</v>
      </c>
      <c r="Q119" s="165" t="s">
        <v>218</v>
      </c>
      <c r="R119" s="165" t="s">
        <v>219</v>
      </c>
      <c r="S119" s="165" t="s">
        <v>220</v>
      </c>
      <c r="T119" s="165" t="s">
        <v>221</v>
      </c>
      <c r="U119" s="162"/>
      <c r="V119" s="165" t="s">
        <v>217</v>
      </c>
      <c r="W119" s="165" t="s">
        <v>218</v>
      </c>
      <c r="X119" s="165" t="s">
        <v>219</v>
      </c>
      <c r="Y119" s="165" t="s">
        <v>220</v>
      </c>
      <c r="Z119" s="165" t="s">
        <v>221</v>
      </c>
      <c r="AA119" s="162"/>
      <c r="AB119" s="165" t="s">
        <v>217</v>
      </c>
      <c r="AC119" s="165" t="s">
        <v>218</v>
      </c>
      <c r="AD119" s="165" t="s">
        <v>219</v>
      </c>
      <c r="AE119" s="165" t="s">
        <v>220</v>
      </c>
      <c r="AF119" s="165" t="s">
        <v>221</v>
      </c>
      <c r="AG119" s="162"/>
      <c r="AH119" s="165" t="s">
        <v>221</v>
      </c>
      <c r="AI119" s="162"/>
      <c r="AJ119" s="165" t="s">
        <v>221</v>
      </c>
      <c r="AK119" s="162"/>
      <c r="AL119" s="165" t="s">
        <v>221</v>
      </c>
    </row>
    <row r="120" spans="1:45" s="38" customFormat="1" ht="4" customHeight="1" x14ac:dyDescent="0.3">
      <c r="B120" s="173"/>
      <c r="C120" s="33"/>
      <c r="D120" s="174"/>
      <c r="E120" s="174"/>
      <c r="F120" s="174"/>
      <c r="G120" s="174"/>
      <c r="H120" s="174"/>
      <c r="I120" s="175"/>
      <c r="J120" s="174"/>
      <c r="K120" s="174"/>
      <c r="L120" s="174"/>
      <c r="M120" s="174"/>
      <c r="N120" s="174"/>
      <c r="O120" s="175"/>
      <c r="P120" s="174"/>
      <c r="Q120" s="174"/>
      <c r="R120" s="174"/>
      <c r="S120" s="174"/>
      <c r="T120" s="174"/>
      <c r="U120" s="175"/>
      <c r="V120" s="174"/>
      <c r="W120" s="174"/>
      <c r="X120" s="174"/>
      <c r="Y120" s="174"/>
      <c r="Z120" s="176"/>
      <c r="AA120" s="177"/>
      <c r="AB120" s="176"/>
      <c r="AC120" s="176"/>
      <c r="AD120" s="176"/>
      <c r="AE120" s="176"/>
      <c r="AF120" s="176"/>
      <c r="AG120" s="177"/>
      <c r="AH120" s="176"/>
      <c r="AI120" s="177"/>
      <c r="AJ120" s="176"/>
      <c r="AK120" s="177"/>
      <c r="AL120" s="176"/>
    </row>
    <row r="121" spans="1:45" ht="4" customHeight="1" x14ac:dyDescent="0.3">
      <c r="U121" s="202"/>
    </row>
    <row r="122" spans="1:45" ht="14.25" customHeight="1" x14ac:dyDescent="0.3">
      <c r="B122" s="26" t="s">
        <v>721</v>
      </c>
      <c r="D122" s="297">
        <f>D61</f>
        <v>2377</v>
      </c>
      <c r="E122" s="297">
        <f>E61</f>
        <v>2495</v>
      </c>
      <c r="F122" s="297">
        <f>F61</f>
        <v>2747</v>
      </c>
      <c r="G122" s="297">
        <f>G61</f>
        <v>2390</v>
      </c>
      <c r="H122" s="308">
        <f>H61</f>
        <v>10009</v>
      </c>
      <c r="J122" s="297">
        <f>J61</f>
        <v>2294</v>
      </c>
      <c r="K122" s="297">
        <f>K61</f>
        <v>2204</v>
      </c>
      <c r="L122" s="297">
        <f>L61</f>
        <v>2177</v>
      </c>
      <c r="M122" s="297">
        <f>M61</f>
        <v>2407</v>
      </c>
      <c r="N122" s="308">
        <f>N61</f>
        <v>9082</v>
      </c>
      <c r="P122" s="297">
        <f>P61</f>
        <v>2372</v>
      </c>
      <c r="Q122" s="297">
        <f>Q61</f>
        <v>2400</v>
      </c>
      <c r="R122" s="297">
        <f>R61</f>
        <v>2416</v>
      </c>
      <c r="S122" s="297">
        <f>S61</f>
        <v>2525</v>
      </c>
      <c r="T122" s="308">
        <f>T61</f>
        <v>9713</v>
      </c>
      <c r="U122" s="202"/>
      <c r="V122" s="297">
        <f>V61</f>
        <v>2371</v>
      </c>
      <c r="W122" s="297">
        <f>W61</f>
        <v>2525</v>
      </c>
      <c r="X122" s="297">
        <f>X61</f>
        <v>0</v>
      </c>
      <c r="Y122" s="297">
        <f>Y61</f>
        <v>0</v>
      </c>
      <c r="Z122" s="308">
        <f>Z61</f>
        <v>10910.924310615137</v>
      </c>
      <c r="AB122" s="297">
        <f>AB61</f>
        <v>0</v>
      </c>
      <c r="AC122" s="297">
        <f>AC61</f>
        <v>0</v>
      </c>
      <c r="AD122" s="297">
        <f>AD61</f>
        <v>0</v>
      </c>
      <c r="AE122" s="297">
        <f>AE61</f>
        <v>0</v>
      </c>
      <c r="AF122" s="308">
        <f>AF61</f>
        <v>11194.841789789523</v>
      </c>
      <c r="AH122" s="308">
        <f>AH61</f>
        <v>11882.823536922528</v>
      </c>
      <c r="AJ122" s="308">
        <f>AJ61</f>
        <v>12548.966200995226</v>
      </c>
      <c r="AL122" s="308">
        <f>AL61</f>
        <v>13252.601918644803</v>
      </c>
    </row>
    <row r="123" spans="1:45" ht="14.25" customHeight="1" x14ac:dyDescent="0.3">
      <c r="B123" s="26"/>
      <c r="D123" s="43"/>
      <c r="E123" s="43"/>
      <c r="F123" s="43"/>
      <c r="G123" s="43"/>
      <c r="H123" s="309"/>
      <c r="J123" s="43"/>
      <c r="K123" s="43"/>
      <c r="L123" s="43"/>
      <c r="M123" s="43"/>
      <c r="N123" s="309"/>
      <c r="P123" s="43"/>
      <c r="Q123" s="43"/>
      <c r="R123" s="43"/>
      <c r="S123" s="43"/>
      <c r="T123" s="309"/>
      <c r="U123" s="202"/>
      <c r="V123" s="43"/>
      <c r="W123" s="43"/>
      <c r="X123" s="43"/>
      <c r="Y123" s="43"/>
      <c r="AB123" s="43"/>
      <c r="AC123" s="43"/>
      <c r="AD123" s="43"/>
      <c r="AE123" s="43"/>
      <c r="AS123" s="309"/>
    </row>
    <row r="124" spans="1:45" ht="14.25" customHeight="1" x14ac:dyDescent="0.3">
      <c r="B124" s="26" t="s">
        <v>691</v>
      </c>
      <c r="D124" s="306">
        <f>IS!P45/IS!P42</f>
        <v>0.2300425129900803</v>
      </c>
      <c r="E124" s="306">
        <f>IS!Q45/IS!Q42</f>
        <v>0.21676470588235294</v>
      </c>
      <c r="F124" s="306">
        <f>IS!R45/IS!R42</f>
        <v>0.22496087636932707</v>
      </c>
      <c r="G124" s="306">
        <f>IS!S45/IS!S42</f>
        <v>0.24569567240577012</v>
      </c>
      <c r="H124" s="307">
        <f>IS!T45/IS!T42</f>
        <v>0.22883020515058927</v>
      </c>
      <c r="J124" s="306">
        <f>IS!V45/IS!V42</f>
        <v>0.23902894491129786</v>
      </c>
      <c r="K124" s="306">
        <f>IS!W45/IS!W42</f>
        <v>0.19867211440245147</v>
      </c>
      <c r="L124" s="306">
        <f>IS!X45/IS!X42</f>
        <v>0.21600820933812212</v>
      </c>
      <c r="M124" s="306">
        <f>IS!Y45/IS!Y42</f>
        <v>0.24358974358974358</v>
      </c>
      <c r="N124" s="307">
        <f>IS!Z45/IS!Z42</f>
        <v>0.22519130329163123</v>
      </c>
      <c r="P124" s="306">
        <f>IS!AB45/IS!AB42</f>
        <v>0.23317757009345794</v>
      </c>
      <c r="Q124" s="306">
        <f>IS!AC45/IS!AC42</f>
        <v>0.23397435897435898</v>
      </c>
      <c r="R124" s="306">
        <f>IS!AD45/IS!AD42</f>
        <v>0.23663773412517131</v>
      </c>
      <c r="S124" s="306">
        <f>IS!AE45/IS!AE42</f>
        <v>0.22753178430512933</v>
      </c>
      <c r="T124" s="307">
        <f>IS!AF45/IS!AF42</f>
        <v>0.23277234478053219</v>
      </c>
      <c r="U124" s="202"/>
      <c r="V124" s="306">
        <f>IS!AH45/IS!AH42</f>
        <v>0.23554301833568406</v>
      </c>
      <c r="W124" s="306">
        <f>IS!AI45/IS!AI42</f>
        <v>0.18893212278426286</v>
      </c>
      <c r="X124" s="313"/>
      <c r="Y124" s="313"/>
      <c r="Z124" s="313">
        <v>0.23</v>
      </c>
      <c r="AB124" s="313"/>
      <c r="AC124" s="313"/>
      <c r="AD124" s="313"/>
      <c r="AE124" s="313"/>
      <c r="AF124" s="313">
        <v>0.23</v>
      </c>
      <c r="AH124" s="313">
        <v>0.23</v>
      </c>
      <c r="AJ124" s="313">
        <v>0.23</v>
      </c>
      <c r="AL124" s="313">
        <v>0.23</v>
      </c>
    </row>
    <row r="125" spans="1:45" ht="14.25" customHeight="1" x14ac:dyDescent="0.3">
      <c r="B125" s="26"/>
      <c r="D125" s="43"/>
      <c r="E125" s="43"/>
      <c r="F125" s="43"/>
      <c r="G125" s="43"/>
      <c r="H125" s="309"/>
      <c r="J125" s="43"/>
      <c r="K125" s="43"/>
      <c r="L125" s="43"/>
      <c r="M125" s="43"/>
      <c r="N125" s="309"/>
      <c r="P125" s="43"/>
      <c r="Q125" s="43"/>
      <c r="R125" s="43"/>
      <c r="S125" s="43"/>
      <c r="T125" s="309"/>
      <c r="U125" s="202"/>
      <c r="V125" s="43"/>
      <c r="W125" s="43"/>
      <c r="X125" s="43"/>
      <c r="Y125" s="43"/>
      <c r="AB125" s="43"/>
      <c r="AC125" s="43"/>
      <c r="AD125" s="43"/>
      <c r="AE125" s="43"/>
    </row>
    <row r="126" spans="1:45" ht="14.25" customHeight="1" x14ac:dyDescent="0.3">
      <c r="B126" s="26" t="s">
        <v>780</v>
      </c>
      <c r="D126" s="43">
        <f>D122*(1-D124)</f>
        <v>1830.1889466225791</v>
      </c>
      <c r="E126" s="43">
        <f t="shared" ref="E126:H126" si="85">E122*(1-E124)</f>
        <v>1954.1720588235294</v>
      </c>
      <c r="F126" s="43">
        <f t="shared" si="85"/>
        <v>2129.0324726134586</v>
      </c>
      <c r="G126" s="43">
        <f t="shared" si="85"/>
        <v>1802.7873429502092</v>
      </c>
      <c r="H126" s="310">
        <f t="shared" si="85"/>
        <v>7718.6384766477522</v>
      </c>
      <c r="J126" s="43">
        <f>J122*(1-J124)</f>
        <v>1745.6676003734826</v>
      </c>
      <c r="K126" s="43">
        <f t="shared" ref="K126:N126" si="86">K122*(1-K124)</f>
        <v>1766.1266598569969</v>
      </c>
      <c r="L126" s="43">
        <f t="shared" si="86"/>
        <v>1706.7501282709081</v>
      </c>
      <c r="M126" s="43">
        <f t="shared" si="86"/>
        <v>1820.6794871794871</v>
      </c>
      <c r="N126" s="310">
        <f t="shared" si="86"/>
        <v>7036.8125835054043</v>
      </c>
      <c r="P126" s="43">
        <f>P122*(1-P124)</f>
        <v>1818.9028037383177</v>
      </c>
      <c r="Q126" s="43">
        <f t="shared" ref="Q126:T126" si="87">Q122*(1-Q124)</f>
        <v>1838.4615384615383</v>
      </c>
      <c r="R126" s="43">
        <f t="shared" si="87"/>
        <v>1844.2832343535861</v>
      </c>
      <c r="S126" s="43">
        <f t="shared" si="87"/>
        <v>1950.4822446295484</v>
      </c>
      <c r="T126" s="310">
        <f t="shared" si="87"/>
        <v>7452.0822151466909</v>
      </c>
      <c r="U126" s="202"/>
      <c r="V126" s="43">
        <f>V122*(1-V124)</f>
        <v>1812.5275035260931</v>
      </c>
      <c r="W126" s="43">
        <f t="shared" ref="W126" si="88">W122*(1-W124)</f>
        <v>2047.9463899697362</v>
      </c>
      <c r="X126" s="43">
        <f>X122*(1-X124)</f>
        <v>0</v>
      </c>
      <c r="Y126" s="43">
        <f>Y122*(1-Y124)</f>
        <v>0</v>
      </c>
      <c r="Z126" s="310">
        <f>Z122*(1-Z124)</f>
        <v>8401.411719173655</v>
      </c>
      <c r="AB126" s="43">
        <f t="shared" ref="AB126:AE126" si="89">AB122*(1-AB124)</f>
        <v>0</v>
      </c>
      <c r="AC126" s="43">
        <f t="shared" si="89"/>
        <v>0</v>
      </c>
      <c r="AD126" s="43">
        <f t="shared" si="89"/>
        <v>0</v>
      </c>
      <c r="AE126" s="43">
        <f t="shared" si="89"/>
        <v>0</v>
      </c>
      <c r="AF126" s="310">
        <f>AF122*(1-AF124)</f>
        <v>8620.0281781379326</v>
      </c>
      <c r="AH126" s="310">
        <f>AH122*(1-AH124)</f>
        <v>9149.7741234303467</v>
      </c>
      <c r="AJ126" s="310">
        <f>AJ122*(1-AJ124)</f>
        <v>9662.7039747663239</v>
      </c>
      <c r="AL126" s="310">
        <f>AL122*(1-AL124)</f>
        <v>10204.503477356498</v>
      </c>
    </row>
    <row r="127" spans="1:45" ht="14.25" customHeight="1" x14ac:dyDescent="0.3">
      <c r="D127" s="43"/>
      <c r="E127" s="43"/>
      <c r="F127" s="43"/>
      <c r="G127" s="43"/>
      <c r="H127" s="309"/>
      <c r="J127" s="43"/>
      <c r="K127" s="43"/>
      <c r="L127" s="43"/>
      <c r="M127" s="43"/>
      <c r="N127" s="309"/>
      <c r="P127" s="43"/>
      <c r="Q127" s="43"/>
      <c r="R127" s="43"/>
      <c r="S127" s="43"/>
      <c r="T127" s="309"/>
      <c r="U127" s="202"/>
      <c r="V127" s="43"/>
      <c r="W127" s="43"/>
      <c r="X127" s="43"/>
      <c r="Y127" s="43"/>
      <c r="AB127" s="43"/>
      <c r="AC127" s="43"/>
      <c r="AD127" s="43"/>
      <c r="AE127" s="43"/>
    </row>
    <row r="128" spans="1:45" ht="14.25" customHeight="1" x14ac:dyDescent="0.3">
      <c r="B128" s="26" t="s">
        <v>714</v>
      </c>
      <c r="D128" s="297">
        <f>D94</f>
        <v>555</v>
      </c>
      <c r="E128" s="297">
        <f>E94</f>
        <v>559</v>
      </c>
      <c r="F128" s="297">
        <f>F94</f>
        <v>563</v>
      </c>
      <c r="G128" s="297">
        <f>G94</f>
        <v>569</v>
      </c>
      <c r="H128" s="308">
        <f>H94</f>
        <v>2246</v>
      </c>
      <c r="J128" s="297">
        <f>J94</f>
        <v>572</v>
      </c>
      <c r="K128" s="297">
        <f>K94</f>
        <v>577</v>
      </c>
      <c r="L128" s="297">
        <f>L94</f>
        <v>580</v>
      </c>
      <c r="M128" s="297">
        <f>M94</f>
        <v>589</v>
      </c>
      <c r="N128" s="308">
        <f>N94</f>
        <v>2318</v>
      </c>
      <c r="P128" s="297">
        <f>P94</f>
        <v>594</v>
      </c>
      <c r="Q128" s="297">
        <f>Q94</f>
        <v>596</v>
      </c>
      <c r="R128" s="297">
        <f>R94</f>
        <v>602</v>
      </c>
      <c r="S128" s="297">
        <f>S94</f>
        <v>606</v>
      </c>
      <c r="T128" s="308">
        <f>T94</f>
        <v>2398</v>
      </c>
      <c r="U128" s="202"/>
      <c r="V128" s="297">
        <f>V94</f>
        <v>610</v>
      </c>
      <c r="W128" s="297">
        <f>W94</f>
        <v>613</v>
      </c>
      <c r="X128" s="297">
        <f>X94</f>
        <v>0</v>
      </c>
      <c r="Y128" s="297">
        <f>Y94</f>
        <v>0</v>
      </c>
      <c r="Z128" s="308">
        <f>Z94</f>
        <v>2385.6</v>
      </c>
      <c r="AB128" s="297">
        <f>AB94</f>
        <v>0</v>
      </c>
      <c r="AC128" s="297">
        <f>AC94</f>
        <v>0</v>
      </c>
      <c r="AD128" s="297">
        <f>AD94</f>
        <v>0</v>
      </c>
      <c r="AE128" s="297">
        <f>AE94</f>
        <v>0</v>
      </c>
      <c r="AF128" s="308">
        <f>AF94</f>
        <v>2425.8560000000002</v>
      </c>
      <c r="AH128" s="308">
        <f>AH94</f>
        <v>2476.8217600000003</v>
      </c>
      <c r="AJ128" s="308">
        <f>AJ94</f>
        <v>2527.9844180943237</v>
      </c>
      <c r="AL128" s="308">
        <f>AL94</f>
        <v>2559.6341003333523</v>
      </c>
    </row>
    <row r="129" spans="1:40" ht="14.25" customHeight="1" x14ac:dyDescent="0.3">
      <c r="D129" s="43"/>
      <c r="E129" s="43"/>
      <c r="F129" s="43"/>
      <c r="G129" s="43"/>
      <c r="H129" s="309"/>
      <c r="J129" s="43"/>
      <c r="K129" s="43"/>
      <c r="L129" s="43"/>
      <c r="M129" s="43"/>
      <c r="N129" s="309"/>
      <c r="P129" s="43"/>
      <c r="Q129" s="43"/>
      <c r="R129" s="43"/>
      <c r="S129" s="43"/>
      <c r="T129" s="309"/>
      <c r="U129" s="202"/>
      <c r="V129" s="43"/>
      <c r="W129" s="43"/>
      <c r="X129" s="43"/>
      <c r="Y129" s="43"/>
      <c r="AB129" s="43"/>
      <c r="AC129" s="43"/>
      <c r="AD129" s="43"/>
      <c r="AE129" s="43"/>
    </row>
    <row r="130" spans="1:40" ht="14.25" customHeight="1" x14ac:dyDescent="0.3">
      <c r="B130" s="26" t="s">
        <v>781</v>
      </c>
      <c r="D130" s="297">
        <f>D97</f>
        <v>0</v>
      </c>
      <c r="E130" s="297">
        <f>E97</f>
        <v>0</v>
      </c>
      <c r="F130" s="297">
        <f>F97</f>
        <v>0</v>
      </c>
      <c r="G130" s="297">
        <f>G97</f>
        <v>0</v>
      </c>
      <c r="H130" s="308">
        <f>H97</f>
        <v>0</v>
      </c>
      <c r="J130" s="297">
        <f>J97</f>
        <v>0</v>
      </c>
      <c r="K130" s="297">
        <f>K97</f>
        <v>0</v>
      </c>
      <c r="L130" s="297">
        <f>L97</f>
        <v>0</v>
      </c>
      <c r="M130" s="297">
        <f>M97</f>
        <v>0</v>
      </c>
      <c r="N130" s="308">
        <f>N97</f>
        <v>0</v>
      </c>
      <c r="P130" s="297">
        <f>P97</f>
        <v>0</v>
      </c>
      <c r="Q130" s="297">
        <f>Q97</f>
        <v>0</v>
      </c>
      <c r="R130" s="297">
        <f>R97</f>
        <v>0</v>
      </c>
      <c r="S130" s="297">
        <f>S97</f>
        <v>0</v>
      </c>
      <c r="T130" s="308">
        <f>T97</f>
        <v>0</v>
      </c>
      <c r="U130" s="202"/>
      <c r="V130" s="297">
        <f>V97</f>
        <v>0</v>
      </c>
      <c r="W130" s="297">
        <f>W97</f>
        <v>0</v>
      </c>
      <c r="X130" s="297">
        <f>X97</f>
        <v>0</v>
      </c>
      <c r="Y130" s="297">
        <f>Y97</f>
        <v>0</v>
      </c>
      <c r="Z130" s="308">
        <f>Z97</f>
        <v>0</v>
      </c>
      <c r="AB130" s="297">
        <f>AB97</f>
        <v>0</v>
      </c>
      <c r="AC130" s="297">
        <f>AC97</f>
        <v>0</v>
      </c>
      <c r="AD130" s="297">
        <f>AD97</f>
        <v>0</v>
      </c>
      <c r="AE130" s="297">
        <f>AE97</f>
        <v>0</v>
      </c>
      <c r="AF130" s="308">
        <f>AF97</f>
        <v>0</v>
      </c>
      <c r="AH130" s="308">
        <f>AH97</f>
        <v>0</v>
      </c>
      <c r="AJ130" s="308">
        <f>AJ97</f>
        <v>0</v>
      </c>
      <c r="AL130" s="308">
        <f>AL97</f>
        <v>0</v>
      </c>
    </row>
    <row r="131" spans="1:40" ht="14.25" customHeight="1" x14ac:dyDescent="0.3">
      <c r="D131" s="43"/>
      <c r="E131" s="43"/>
      <c r="F131" s="43"/>
      <c r="G131" s="43"/>
      <c r="H131" s="309"/>
      <c r="J131" s="43"/>
      <c r="K131" s="43"/>
      <c r="L131" s="43"/>
      <c r="M131" s="43"/>
      <c r="N131" s="309"/>
      <c r="P131" s="43"/>
      <c r="Q131" s="43"/>
      <c r="R131" s="43"/>
      <c r="S131" s="43"/>
      <c r="T131" s="309"/>
      <c r="U131" s="202"/>
      <c r="V131" s="43"/>
      <c r="W131" s="43"/>
      <c r="X131" s="43"/>
      <c r="Y131" s="43"/>
      <c r="AB131" s="43"/>
      <c r="AC131" s="43"/>
      <c r="AD131" s="43"/>
      <c r="AE131" s="43"/>
    </row>
    <row r="132" spans="1:40" ht="14.25" customHeight="1" x14ac:dyDescent="0.3">
      <c r="B132" s="26" t="s">
        <v>771</v>
      </c>
      <c r="D132" s="297">
        <f>D103</f>
        <v>34</v>
      </c>
      <c r="E132" s="297">
        <f>E103</f>
        <v>-487</v>
      </c>
      <c r="F132" s="297">
        <f>F103</f>
        <v>399</v>
      </c>
      <c r="G132" s="297">
        <f>G103</f>
        <v>62</v>
      </c>
      <c r="H132" s="308">
        <f>H103</f>
        <v>8</v>
      </c>
      <c r="J132" s="297">
        <f>J103</f>
        <v>-297</v>
      </c>
      <c r="K132" s="297">
        <f>K103</f>
        <v>-103</v>
      </c>
      <c r="L132" s="297">
        <f>L103</f>
        <v>-10</v>
      </c>
      <c r="M132" s="297">
        <f>M103</f>
        <v>107</v>
      </c>
      <c r="N132" s="308">
        <f>N103</f>
        <v>-303</v>
      </c>
      <c r="P132" s="297">
        <f>P103</f>
        <v>-56</v>
      </c>
      <c r="Q132" s="297">
        <f>Q103</f>
        <v>-390</v>
      </c>
      <c r="R132" s="297">
        <f>R103</f>
        <v>328</v>
      </c>
      <c r="S132" s="297">
        <f>S103</f>
        <v>304</v>
      </c>
      <c r="T132" s="308">
        <f>T103</f>
        <v>186</v>
      </c>
      <c r="U132" s="202"/>
      <c r="V132" s="297">
        <f>V103</f>
        <v>3</v>
      </c>
      <c r="W132" s="297">
        <f>W103</f>
        <v>-19</v>
      </c>
      <c r="X132" s="297">
        <f>X103</f>
        <v>-495</v>
      </c>
      <c r="Y132" s="297">
        <f>Y103</f>
        <v>0</v>
      </c>
      <c r="Z132" s="308">
        <f>Z103</f>
        <v>-281.7581025819045</v>
      </c>
      <c r="AB132" s="297">
        <f>AB103</f>
        <v>0</v>
      </c>
      <c r="AC132" s="297">
        <f>AC103</f>
        <v>0</v>
      </c>
      <c r="AD132" s="297">
        <f>AD103</f>
        <v>0</v>
      </c>
      <c r="AE132" s="297">
        <f>AE103</f>
        <v>0</v>
      </c>
      <c r="AF132" s="308">
        <f>AF103</f>
        <v>-88.787788394297195</v>
      </c>
      <c r="AH132" s="308">
        <f>AH103</f>
        <v>-86.353515323833221</v>
      </c>
      <c r="AJ132" s="308">
        <f>AJ103</f>
        <v>-203.85768705386772</v>
      </c>
      <c r="AL132" s="308">
        <f>AL103</f>
        <v>63.981190760676895</v>
      </c>
    </row>
    <row r="133" spans="1:40" ht="14.25" customHeight="1" x14ac:dyDescent="0.3">
      <c r="D133" s="43"/>
      <c r="E133" s="43"/>
      <c r="F133" s="43"/>
      <c r="G133" s="43"/>
      <c r="H133" s="309"/>
      <c r="J133" s="43"/>
      <c r="K133" s="43"/>
      <c r="L133" s="43"/>
      <c r="M133" s="43"/>
      <c r="N133" s="309"/>
      <c r="P133" s="43"/>
      <c r="Q133" s="43"/>
      <c r="R133" s="43"/>
      <c r="S133" s="43"/>
      <c r="T133" s="309"/>
      <c r="U133" s="202"/>
      <c r="V133" s="43"/>
      <c r="W133" s="43"/>
      <c r="X133" s="43"/>
      <c r="Y133" s="43"/>
      <c r="AB133" s="43"/>
      <c r="AC133" s="43"/>
      <c r="AD133" s="43"/>
      <c r="AE133" s="43"/>
    </row>
    <row r="134" spans="1:40" ht="14.25" customHeight="1" x14ac:dyDescent="0.3">
      <c r="B134" s="26" t="s">
        <v>782</v>
      </c>
      <c r="D134" s="43">
        <f>D106+D109</f>
        <v>-816</v>
      </c>
      <c r="E134" s="43">
        <f>E106+E109</f>
        <v>-709</v>
      </c>
      <c r="F134" s="43">
        <f>F106+F109</f>
        <v>-993</v>
      </c>
      <c r="G134" s="43">
        <f>G106+G109</f>
        <v>-908</v>
      </c>
      <c r="H134" s="63">
        <f>H106+H109</f>
        <v>-3426</v>
      </c>
      <c r="J134" s="43">
        <f>J106+J109</f>
        <v>-760</v>
      </c>
      <c r="K134" s="43">
        <f>K106+K109</f>
        <v>-802</v>
      </c>
      <c r="L134" s="43">
        <f>L106+L109</f>
        <v>-1020</v>
      </c>
      <c r="M134" s="43">
        <f>M106+M109</f>
        <v>-1024</v>
      </c>
      <c r="N134" s="63">
        <f>N106+N109</f>
        <v>-3606</v>
      </c>
      <c r="P134" s="43">
        <f>P106+P109</f>
        <v>-797</v>
      </c>
      <c r="Q134" s="43">
        <f>Q106+Q109</f>
        <v>-902</v>
      </c>
      <c r="R134" s="43">
        <f>R106+R109</f>
        <v>-831</v>
      </c>
      <c r="S134" s="43">
        <f>S106+S109</f>
        <v>-922</v>
      </c>
      <c r="T134" s="63">
        <f>T106+T109</f>
        <v>-3452</v>
      </c>
      <c r="U134" s="202"/>
      <c r="V134" s="43">
        <f>V106+V109</f>
        <v>-906</v>
      </c>
      <c r="W134" s="43">
        <f>W106+W109</f>
        <v>-936</v>
      </c>
      <c r="X134" s="43">
        <f>X106+X109</f>
        <v>-800</v>
      </c>
      <c r="Y134" s="43">
        <f>Y106+Y109</f>
        <v>-750</v>
      </c>
      <c r="Z134" s="63">
        <f>Z106+Z109</f>
        <v>-3392</v>
      </c>
      <c r="AB134" s="43">
        <f>AB106+AB109</f>
        <v>0</v>
      </c>
      <c r="AC134" s="43">
        <f>AC106+AC109</f>
        <v>0</v>
      </c>
      <c r="AD134" s="43">
        <f>AD106+AD109</f>
        <v>0</v>
      </c>
      <c r="AE134" s="43">
        <f>AE106+AE109</f>
        <v>0</v>
      </c>
      <c r="AF134" s="63">
        <f>AF106+AF109</f>
        <v>-3700</v>
      </c>
      <c r="AH134" s="63">
        <f>AH106+AH109</f>
        <v>-3755.8882123580906</v>
      </c>
      <c r="AJ134" s="63">
        <f>AJ106+AJ109</f>
        <v>-3319.2264740700471</v>
      </c>
      <c r="AL134" s="63">
        <f>AL106+AL109</f>
        <v>-2833.4160493280174</v>
      </c>
    </row>
    <row r="135" spans="1:40" ht="14.25" customHeight="1" x14ac:dyDescent="0.3">
      <c r="D135" s="311"/>
      <c r="E135" s="311"/>
      <c r="F135" s="311"/>
      <c r="G135" s="311"/>
      <c r="H135" s="309"/>
      <c r="J135" s="311"/>
      <c r="K135" s="311"/>
      <c r="L135" s="311"/>
      <c r="M135" s="311"/>
      <c r="N135" s="309"/>
      <c r="P135" s="311"/>
      <c r="Q135" s="311"/>
      <c r="R135" s="311"/>
      <c r="S135" s="311"/>
      <c r="T135" s="309"/>
      <c r="U135" s="331"/>
      <c r="V135" s="311"/>
      <c r="W135" s="311"/>
      <c r="X135" s="287"/>
      <c r="Y135" s="287"/>
      <c r="AB135" s="287"/>
      <c r="AC135" s="287"/>
      <c r="AD135" s="287"/>
      <c r="AE135" s="287"/>
    </row>
    <row r="136" spans="1:40" ht="14.25" customHeight="1" x14ac:dyDescent="0.3">
      <c r="B136" s="289" t="s">
        <v>783</v>
      </c>
      <c r="C136" s="290"/>
      <c r="D136" s="312">
        <f>D126+D94+D97+D103+D134</f>
        <v>1603.1889466225794</v>
      </c>
      <c r="E136" s="312">
        <f>E126+E94+E97+E103+E134</f>
        <v>1317.1720588235294</v>
      </c>
      <c r="F136" s="312">
        <f>F126+F94+F97+F103+F134</f>
        <v>2098.0324726134586</v>
      </c>
      <c r="G136" s="312">
        <f>G126+G94+G97+G103+G134</f>
        <v>1525.7873429502092</v>
      </c>
      <c r="H136" s="312">
        <f>H126+H94+H97+H103+H134</f>
        <v>6546.6384766477531</v>
      </c>
      <c r="I136" s="290"/>
      <c r="J136" s="312">
        <f>J126+J94+J97+J103+J134</f>
        <v>1260.6676003734829</v>
      </c>
      <c r="K136" s="312">
        <f>K126+K94+K97+K103+K134</f>
        <v>1438.1266598569969</v>
      </c>
      <c r="L136" s="312">
        <f>L126+L94+L97+L103+L134</f>
        <v>1256.7501282709081</v>
      </c>
      <c r="M136" s="312">
        <f>M126+M94+M97+M103+M134</f>
        <v>1492.6794871794873</v>
      </c>
      <c r="N136" s="312">
        <f>N126+N94+N97+N103+N134</f>
        <v>5445.8125835054052</v>
      </c>
      <c r="O136" s="290"/>
      <c r="P136" s="312">
        <f>P126+P94+P97+P103+P134</f>
        <v>1559.9028037383177</v>
      </c>
      <c r="Q136" s="312">
        <f>Q126+Q94+Q97+Q103+Q134</f>
        <v>1142.4615384615381</v>
      </c>
      <c r="R136" s="312">
        <f>R126+R94+R97+R103+R134</f>
        <v>1943.2832343535861</v>
      </c>
      <c r="S136" s="312">
        <f>S126+S94+S97+S103+S134</f>
        <v>1938.4822446295484</v>
      </c>
      <c r="T136" s="312">
        <f>T126+T94+T97+T103+T134</f>
        <v>6584.0822151466909</v>
      </c>
      <c r="U136" s="290"/>
      <c r="V136" s="312">
        <f>V126+V94+V97+V103+V134</f>
        <v>1519.5275035260929</v>
      </c>
      <c r="W136" s="312">
        <f>W126+W94+W97+W103+W134</f>
        <v>1705.9463899697362</v>
      </c>
      <c r="X136" s="312">
        <f t="shared" ref="X136:AH136" si="90">X126+X128+X130+X132+X134</f>
        <v>-1295</v>
      </c>
      <c r="Y136" s="312">
        <f t="shared" si="90"/>
        <v>-750</v>
      </c>
      <c r="Z136" s="312">
        <f t="shared" si="90"/>
        <v>7113.2536165917518</v>
      </c>
      <c r="AA136" s="312"/>
      <c r="AB136" s="312">
        <f t="shared" si="90"/>
        <v>0</v>
      </c>
      <c r="AC136" s="312">
        <f t="shared" si="90"/>
        <v>0</v>
      </c>
      <c r="AD136" s="312">
        <f t="shared" si="90"/>
        <v>0</v>
      </c>
      <c r="AE136" s="312">
        <f t="shared" si="90"/>
        <v>0</v>
      </c>
      <c r="AF136" s="312">
        <f t="shared" si="90"/>
        <v>7257.0963897436359</v>
      </c>
      <c r="AG136" s="312"/>
      <c r="AH136" s="312">
        <f t="shared" si="90"/>
        <v>7784.3541557484232</v>
      </c>
      <c r="AI136" s="312"/>
      <c r="AJ136" s="312">
        <f t="shared" ref="AJ136" si="91">AJ126+AJ128+AJ130+AJ132+AJ134</f>
        <v>8667.6042317367337</v>
      </c>
      <c r="AK136" s="312"/>
      <c r="AL136" s="312">
        <f>AL126+AL128+AL130+AL132+AL134</f>
        <v>9994.7027191225097</v>
      </c>
      <c r="AN136" s="1179">
        <f>+(AL136/Z136)^0.2-1</f>
        <v>7.0385747100987217E-2</v>
      </c>
    </row>
    <row r="138" spans="1:40" s="38" customFormat="1" ht="15" customHeight="1" x14ac:dyDescent="0.3">
      <c r="A138" s="28" t="s">
        <v>39</v>
      </c>
      <c r="B138" s="158" t="s">
        <v>784</v>
      </c>
      <c r="C138" s="16"/>
      <c r="D138" s="159"/>
      <c r="E138" s="159"/>
      <c r="F138" s="159"/>
      <c r="G138" s="159"/>
      <c r="H138" s="159"/>
      <c r="I138" s="16"/>
      <c r="J138" s="159"/>
      <c r="K138" s="159"/>
      <c r="L138" s="159"/>
      <c r="M138" s="159"/>
      <c r="N138" s="159"/>
      <c r="O138" s="16"/>
      <c r="P138" s="159"/>
      <c r="Q138" s="159"/>
      <c r="R138" s="159"/>
      <c r="S138" s="159"/>
      <c r="T138" s="159"/>
      <c r="U138" s="16"/>
      <c r="V138" s="159"/>
      <c r="W138" s="159"/>
      <c r="X138" s="159"/>
      <c r="Y138" s="159"/>
      <c r="Z138" s="159"/>
      <c r="AA138" s="16"/>
      <c r="AB138" s="159"/>
      <c r="AC138" s="159"/>
      <c r="AD138" s="159"/>
      <c r="AE138" s="159"/>
      <c r="AF138" s="159"/>
      <c r="AG138" s="16"/>
      <c r="AH138" s="159"/>
      <c r="AI138" s="16"/>
      <c r="AJ138" s="160"/>
      <c r="AK138" s="16"/>
      <c r="AL138" s="160"/>
    </row>
    <row r="139" spans="1:40" s="38" customFormat="1" ht="15" customHeight="1" x14ac:dyDescent="0.3">
      <c r="B139" s="161"/>
      <c r="C139" s="16"/>
      <c r="D139" s="162"/>
      <c r="E139" s="162"/>
      <c r="F139" s="162"/>
      <c r="G139" s="162"/>
      <c r="H139" s="162"/>
      <c r="I139" s="166"/>
      <c r="J139" s="162"/>
      <c r="K139" s="162"/>
      <c r="L139" s="162"/>
      <c r="M139" s="162"/>
      <c r="N139" s="162"/>
      <c r="O139" s="166"/>
      <c r="P139" s="162"/>
      <c r="Q139" s="162"/>
      <c r="R139" s="162"/>
      <c r="S139" s="162"/>
      <c r="T139" s="162"/>
      <c r="U139" s="166"/>
      <c r="V139" s="1243">
        <f>V$8</f>
        <v>2025</v>
      </c>
      <c r="W139" s="1243">
        <f>X139</f>
        <v>0</v>
      </c>
      <c r="X139" s="1243">
        <f>X$8</f>
        <v>0</v>
      </c>
      <c r="Y139" s="1243">
        <f>X139</f>
        <v>0</v>
      </c>
      <c r="Z139" s="1243">
        <f>X139</f>
        <v>0</v>
      </c>
      <c r="AA139" s="166"/>
      <c r="AB139" s="1243">
        <f>AB$8</f>
        <v>2026</v>
      </c>
      <c r="AC139" s="1243">
        <f>AD139</f>
        <v>0</v>
      </c>
      <c r="AD139" s="1243">
        <f>AD$8</f>
        <v>0</v>
      </c>
      <c r="AE139" s="1243">
        <f>AD139</f>
        <v>0</v>
      </c>
      <c r="AF139" s="1243">
        <f>AD139</f>
        <v>0</v>
      </c>
      <c r="AG139" s="168"/>
      <c r="AH139" s="163">
        <f>AH$8</f>
        <v>2027</v>
      </c>
      <c r="AI139" s="164"/>
      <c r="AJ139" s="163">
        <f>AJ$8</f>
        <v>2028</v>
      </c>
      <c r="AK139" s="164"/>
      <c r="AL139" s="163">
        <f>AL$8</f>
        <v>2029</v>
      </c>
    </row>
    <row r="140" spans="1:40" s="38" customFormat="1" ht="14.25" customHeight="1" x14ac:dyDescent="0.3">
      <c r="B140" s="161"/>
      <c r="C140" s="16"/>
      <c r="D140" s="165"/>
      <c r="E140" s="165"/>
      <c r="F140" s="165"/>
      <c r="G140" s="165"/>
      <c r="H140" s="165"/>
      <c r="I140" s="162"/>
      <c r="J140" s="165"/>
      <c r="K140" s="165"/>
      <c r="L140" s="165"/>
      <c r="M140" s="165"/>
      <c r="N140" s="165"/>
      <c r="O140" s="162"/>
      <c r="P140" s="165"/>
      <c r="Q140" s="165"/>
      <c r="R140" s="165"/>
      <c r="S140" s="165"/>
      <c r="T140" s="165"/>
      <c r="U140" s="162"/>
      <c r="V140" s="165" t="s">
        <v>217</v>
      </c>
      <c r="W140" s="165" t="s">
        <v>218</v>
      </c>
      <c r="X140" s="165" t="s">
        <v>219</v>
      </c>
      <c r="Y140" s="165" t="s">
        <v>220</v>
      </c>
      <c r="Z140" s="165" t="s">
        <v>221</v>
      </c>
      <c r="AA140" s="162"/>
      <c r="AB140" s="165" t="s">
        <v>217</v>
      </c>
      <c r="AC140" s="165" t="s">
        <v>218</v>
      </c>
      <c r="AD140" s="165" t="s">
        <v>219</v>
      </c>
      <c r="AE140" s="165" t="s">
        <v>220</v>
      </c>
      <c r="AF140" s="165" t="s">
        <v>221</v>
      </c>
      <c r="AG140" s="162"/>
      <c r="AH140" s="165" t="s">
        <v>221</v>
      </c>
      <c r="AI140" s="162"/>
      <c r="AJ140" s="165" t="s">
        <v>221</v>
      </c>
      <c r="AK140" s="162"/>
      <c r="AL140" s="165" t="s">
        <v>221</v>
      </c>
    </row>
    <row r="141" spans="1:40" s="38" customFormat="1" ht="4" customHeight="1" x14ac:dyDescent="0.3">
      <c r="A141" s="40"/>
      <c r="B141" s="173"/>
      <c r="C141" s="33"/>
      <c r="D141" s="174"/>
      <c r="E141" s="174"/>
      <c r="F141" s="174"/>
      <c r="G141" s="174"/>
      <c r="H141" s="174"/>
      <c r="I141" s="175"/>
      <c r="J141" s="174"/>
      <c r="K141" s="174"/>
      <c r="L141" s="174"/>
      <c r="M141" s="174"/>
      <c r="N141" s="174"/>
      <c r="O141" s="175"/>
      <c r="P141" s="174"/>
      <c r="Q141" s="174"/>
      <c r="R141" s="174"/>
      <c r="S141" s="174"/>
      <c r="T141" s="174"/>
      <c r="U141" s="175"/>
      <c r="V141" s="174"/>
      <c r="W141" s="174"/>
      <c r="X141" s="174"/>
      <c r="Y141" s="174"/>
      <c r="Z141" s="176"/>
      <c r="AA141" s="177"/>
      <c r="AB141" s="176"/>
      <c r="AC141" s="176"/>
      <c r="AD141" s="176"/>
      <c r="AE141" s="176"/>
      <c r="AF141" s="176"/>
      <c r="AG141" s="177"/>
      <c r="AH141" s="176"/>
      <c r="AI141" s="177"/>
      <c r="AJ141" s="176"/>
      <c r="AK141" s="177"/>
      <c r="AL141" s="176"/>
    </row>
    <row r="142" spans="1:40" ht="4" customHeight="1" x14ac:dyDescent="0.3"/>
    <row r="143" spans="1:40" ht="14.25" customHeight="1" x14ac:dyDescent="0.3">
      <c r="B143" s="158" t="s">
        <v>785</v>
      </c>
      <c r="C143" s="183"/>
      <c r="D143" s="283"/>
      <c r="E143" s="283"/>
      <c r="F143" s="283"/>
      <c r="G143" s="283"/>
      <c r="H143" s="283"/>
      <c r="I143" s="183"/>
      <c r="J143" s="283"/>
      <c r="K143" s="283"/>
      <c r="L143" s="283"/>
      <c r="M143" s="283"/>
      <c r="N143" s="283"/>
      <c r="O143" s="183"/>
      <c r="P143" s="283"/>
      <c r="Q143" s="283"/>
      <c r="R143" s="283"/>
      <c r="S143" s="283"/>
      <c r="T143" s="283"/>
      <c r="U143" s="183"/>
      <c r="V143" s="283"/>
      <c r="W143" s="283"/>
      <c r="X143" s="283"/>
      <c r="Y143" s="283"/>
      <c r="Z143" s="283"/>
      <c r="AA143" s="183"/>
      <c r="AB143" s="283"/>
      <c r="AC143" s="283"/>
      <c r="AD143" s="283"/>
      <c r="AE143" s="283"/>
      <c r="AF143" s="283"/>
      <c r="AG143" s="183"/>
      <c r="AH143" s="283"/>
      <c r="AI143" s="183"/>
      <c r="AJ143" s="284"/>
      <c r="AK143" s="283"/>
      <c r="AL143" s="283"/>
    </row>
    <row r="144" spans="1:40" ht="4" customHeight="1" x14ac:dyDescent="0.3">
      <c r="B144" s="285"/>
      <c r="C144" s="34"/>
      <c r="D144" s="285"/>
      <c r="E144" s="285"/>
      <c r="F144" s="285"/>
      <c r="G144" s="285"/>
      <c r="H144" s="285"/>
      <c r="I144" s="34"/>
      <c r="J144" s="285"/>
      <c r="K144" s="285"/>
      <c r="L144" s="285"/>
      <c r="M144" s="285"/>
      <c r="N144" s="285"/>
      <c r="O144" s="34"/>
      <c r="P144" s="285"/>
      <c r="Q144" s="285"/>
      <c r="R144" s="285"/>
      <c r="S144" s="285"/>
      <c r="T144" s="285"/>
      <c r="U144" s="34"/>
      <c r="V144" s="285"/>
      <c r="W144" s="285"/>
      <c r="X144" s="285"/>
      <c r="Y144" s="285"/>
      <c r="Z144" s="285"/>
      <c r="AA144" s="34"/>
      <c r="AB144" s="285"/>
      <c r="AC144" s="285"/>
      <c r="AD144" s="285"/>
      <c r="AE144" s="285"/>
      <c r="AF144" s="285"/>
      <c r="AG144" s="34"/>
      <c r="AH144" s="285"/>
      <c r="AI144" s="34"/>
      <c r="AJ144" s="286"/>
      <c r="AK144" s="285"/>
      <c r="AL144" s="285"/>
    </row>
    <row r="146" spans="2:38" ht="14.25" customHeight="1" x14ac:dyDescent="0.3">
      <c r="B146" s="94" t="s">
        <v>786</v>
      </c>
      <c r="V146" s="294"/>
      <c r="W146" s="294"/>
      <c r="X146" s="294"/>
      <c r="Y146" s="294"/>
      <c r="Z146" s="294">
        <f ca="1">YEARFRAC(TODAY(),"2025-12-31")</f>
        <v>0.19444444444444445</v>
      </c>
      <c r="AB146" s="294"/>
      <c r="AC146" s="294"/>
      <c r="AD146" s="294"/>
      <c r="AE146" s="294"/>
      <c r="AF146" s="294">
        <f ca="1">Z146+1</f>
        <v>1.1944444444444444</v>
      </c>
      <c r="AH146" s="294">
        <f ca="1">AF146+1</f>
        <v>2.1944444444444446</v>
      </c>
      <c r="AJ146" s="294">
        <f ca="1">AH146+1</f>
        <v>3.1944444444444446</v>
      </c>
      <c r="AL146" s="294">
        <f ca="1">AJ146+1</f>
        <v>4.1944444444444446</v>
      </c>
    </row>
    <row r="147" spans="2:38" ht="14.25" customHeight="1" x14ac:dyDescent="0.3">
      <c r="B147" s="94" t="s">
        <v>787</v>
      </c>
      <c r="X147" s="294"/>
      <c r="Y147" s="294"/>
      <c r="Z147" s="294">
        <f ca="1">W146+(Z146-W146)/2</f>
        <v>9.7222222222222224E-2</v>
      </c>
      <c r="AB147" s="294"/>
      <c r="AC147" s="294"/>
      <c r="AD147" s="294"/>
      <c r="AE147" s="294"/>
      <c r="AF147" s="294">
        <f ca="1">+Z147+1</f>
        <v>1.0972222222222223</v>
      </c>
      <c r="AH147" s="294">
        <f ca="1">+AF147+1</f>
        <v>2.0972222222222223</v>
      </c>
      <c r="AJ147" s="294">
        <f ca="1">+AH147+1</f>
        <v>3.0972222222222223</v>
      </c>
      <c r="AL147" s="294">
        <f ca="1">+AJ147+1</f>
        <v>4.0972222222222223</v>
      </c>
    </row>
    <row r="149" spans="2:38" ht="14.25" customHeight="1" x14ac:dyDescent="0.3">
      <c r="B149" s="94" t="s">
        <v>788</v>
      </c>
      <c r="V149" s="292"/>
      <c r="W149" s="292"/>
      <c r="X149" s="293"/>
      <c r="Y149" s="293"/>
      <c r="Z149" s="293">
        <f ca="1">+WACC!D39</f>
        <v>7.0340087440881577E-2</v>
      </c>
      <c r="AB149" s="291"/>
      <c r="AC149" s="291"/>
      <c r="AD149" s="291"/>
      <c r="AE149" s="291"/>
      <c r="AF149" s="291">
        <f ca="1">WACC!E39</f>
        <v>6.6665684957240956E-2</v>
      </c>
      <c r="AH149" s="291">
        <f ca="1">WACC!F39</f>
        <v>6.5713330286671132E-2</v>
      </c>
      <c r="AJ149" s="291">
        <f ca="1">WACC!G39</f>
        <v>6.4290453738417644E-2</v>
      </c>
      <c r="AL149" s="291">
        <f ca="1">WACC!H39</f>
        <v>6.5794776506265348E-2</v>
      </c>
    </row>
    <row r="150" spans="2:38" ht="14.25" customHeight="1" x14ac:dyDescent="0.3">
      <c r="B150" s="94" t="s">
        <v>789</v>
      </c>
      <c r="V150" s="292"/>
      <c r="W150" s="292"/>
      <c r="X150" s="295"/>
      <c r="Y150" s="295"/>
      <c r="Z150" s="295">
        <f ca="1">+(1+Z149)^Z147</f>
        <v>1.0066307066754718</v>
      </c>
      <c r="AB150" s="295"/>
      <c r="AC150" s="295"/>
      <c r="AD150" s="295"/>
      <c r="AE150" s="295"/>
      <c r="AF150" s="295">
        <f ca="1">1.01*(1+AF149)^AF147</f>
        <v>1.0841133029835912</v>
      </c>
      <c r="AH150" s="295">
        <f ca="1">AF150*(1+AH149)^AH147</f>
        <v>1.2389184792075354</v>
      </c>
      <c r="AI150" s="295"/>
      <c r="AJ150" s="295">
        <f ca="1">AH150*(1+AJ149)^AJ147</f>
        <v>1.5026370070017023</v>
      </c>
      <c r="AK150" s="295"/>
      <c r="AL150" s="295">
        <f ca="1">AJ150*(1+AL149)^AL147</f>
        <v>1.9509175600709969</v>
      </c>
    </row>
    <row r="151" spans="2:38" s="102" customFormat="1" ht="14.25" customHeight="1" x14ac:dyDescent="0.3">
      <c r="C151" s="31"/>
      <c r="I151" s="31"/>
      <c r="O151" s="31"/>
      <c r="U151" s="31"/>
      <c r="AA151" s="31"/>
      <c r="AG151" s="31"/>
      <c r="AI151" s="31"/>
    </row>
    <row r="152" spans="2:38" ht="14.25" customHeight="1" x14ac:dyDescent="0.3">
      <c r="B152" s="296" t="s">
        <v>790</v>
      </c>
      <c r="C152" s="290"/>
      <c r="D152" s="288"/>
      <c r="E152" s="288"/>
      <c r="F152" s="288"/>
      <c r="G152" s="288"/>
      <c r="H152" s="288"/>
      <c r="I152" s="290"/>
      <c r="J152" s="288"/>
      <c r="K152" s="288"/>
      <c r="L152" s="288"/>
      <c r="M152" s="288"/>
      <c r="N152" s="288"/>
      <c r="O152" s="290"/>
      <c r="P152" s="288"/>
      <c r="Q152" s="288"/>
      <c r="R152" s="288"/>
      <c r="S152" s="288"/>
      <c r="T152" s="288"/>
      <c r="U152" s="290"/>
      <c r="V152" s="288"/>
      <c r="W152" s="288"/>
      <c r="X152" s="312"/>
      <c r="Y152" s="312"/>
      <c r="Z152" s="312">
        <f ca="1">Z136/Z150</f>
        <v>7066.3984015391225</v>
      </c>
      <c r="AA152" s="312"/>
      <c r="AB152" s="312"/>
      <c r="AC152" s="312"/>
      <c r="AD152" s="312"/>
      <c r="AE152" s="312"/>
      <c r="AF152" s="312">
        <f ca="1">AF136/AF150</f>
        <v>6694.0386855980469</v>
      </c>
      <c r="AG152" s="312"/>
      <c r="AH152" s="312">
        <f ca="1">AH136/AH150</f>
        <v>6283.1851218553338</v>
      </c>
      <c r="AI152" s="312"/>
      <c r="AJ152" s="312">
        <f ca="1">AJ136/AJ150</f>
        <v>5768.2621893039232</v>
      </c>
      <c r="AK152" s="312"/>
      <c r="AL152" s="312">
        <f ca="1">AL136/AL150</f>
        <v>5123.0779422369787</v>
      </c>
    </row>
    <row r="154" spans="2:38" ht="14.25" customHeight="1" x14ac:dyDescent="0.3">
      <c r="B154" s="158" t="s">
        <v>791</v>
      </c>
      <c r="C154" s="183"/>
      <c r="D154" s="283"/>
      <c r="E154" s="283"/>
      <c r="F154" s="283"/>
      <c r="G154" s="283"/>
      <c r="H154" s="283"/>
      <c r="I154" s="183"/>
      <c r="J154" s="283"/>
      <c r="K154" s="283"/>
      <c r="L154" s="283"/>
      <c r="M154" s="283"/>
      <c r="N154" s="283"/>
      <c r="O154" s="183"/>
      <c r="P154" s="283"/>
      <c r="Q154" s="283"/>
      <c r="R154" s="283"/>
      <c r="S154" s="283"/>
      <c r="T154" s="283"/>
      <c r="U154" s="183"/>
      <c r="V154" s="283"/>
      <c r="W154" s="283"/>
      <c r="X154" s="283"/>
      <c r="Y154" s="283"/>
      <c r="Z154" s="283"/>
      <c r="AA154" s="183"/>
      <c r="AB154" s="283"/>
      <c r="AC154" s="283"/>
      <c r="AD154" s="283"/>
      <c r="AE154" s="283"/>
      <c r="AF154" s="283"/>
      <c r="AG154" s="183"/>
      <c r="AH154" s="283"/>
      <c r="AI154" s="183"/>
      <c r="AJ154" s="284"/>
      <c r="AK154" s="283"/>
      <c r="AL154" s="283"/>
    </row>
    <row r="155" spans="2:38" ht="4" customHeight="1" x14ac:dyDescent="0.3">
      <c r="B155" s="285"/>
      <c r="C155" s="34"/>
      <c r="D155" s="285"/>
      <c r="E155" s="285"/>
      <c r="F155" s="285"/>
      <c r="G155" s="285"/>
      <c r="H155" s="285"/>
      <c r="I155" s="34"/>
      <c r="J155" s="285"/>
      <c r="K155" s="285"/>
      <c r="L155" s="285"/>
      <c r="M155" s="285"/>
      <c r="N155" s="285"/>
      <c r="O155" s="34"/>
      <c r="P155" s="285"/>
      <c r="Q155" s="285"/>
      <c r="R155" s="285"/>
      <c r="S155" s="285"/>
      <c r="T155" s="285"/>
      <c r="U155" s="34"/>
      <c r="V155" s="285"/>
      <c r="W155" s="285"/>
      <c r="X155" s="285"/>
      <c r="Y155" s="285"/>
      <c r="Z155" s="285"/>
      <c r="AA155" s="34"/>
      <c r="AB155" s="285"/>
      <c r="AC155" s="285"/>
      <c r="AD155" s="285"/>
      <c r="AE155" s="285"/>
      <c r="AF155" s="285"/>
      <c r="AG155" s="34"/>
      <c r="AH155" s="285"/>
      <c r="AI155" s="34"/>
      <c r="AJ155" s="286"/>
      <c r="AK155" s="285"/>
      <c r="AL155" s="285"/>
    </row>
    <row r="156" spans="2:38" ht="14.25" customHeight="1" x14ac:dyDescent="0.3">
      <c r="B156" s="292"/>
      <c r="C156" s="23"/>
      <c r="D156" s="292"/>
      <c r="E156" s="292"/>
      <c r="F156" s="292"/>
      <c r="G156" s="292"/>
      <c r="H156" s="292"/>
      <c r="I156" s="23"/>
      <c r="J156" s="292"/>
      <c r="K156" s="292"/>
      <c r="L156" s="292"/>
      <c r="M156" s="292"/>
      <c r="N156" s="292"/>
      <c r="O156" s="23"/>
      <c r="P156" s="292"/>
      <c r="Q156" s="292"/>
      <c r="R156" s="292"/>
      <c r="S156" s="292"/>
      <c r="T156" s="292"/>
    </row>
    <row r="157" spans="2:38" s="333" customFormat="1" ht="14.25" customHeight="1" x14ac:dyDescent="0.3">
      <c r="B157" s="336"/>
      <c r="C157" s="337"/>
      <c r="D157" s="336"/>
      <c r="E157" s="336"/>
      <c r="F157" s="336"/>
      <c r="G157" s="336"/>
      <c r="H157" s="338"/>
      <c r="I157" s="337"/>
      <c r="J157" s="336"/>
      <c r="K157" s="336"/>
      <c r="L157" s="336"/>
      <c r="M157" s="336"/>
      <c r="N157" s="336"/>
      <c r="O157" s="337"/>
      <c r="P157" s="336"/>
      <c r="Q157" s="595" t="s">
        <v>792</v>
      </c>
      <c r="R157" s="596" t="s">
        <v>793</v>
      </c>
      <c r="S157" s="336"/>
      <c r="T157" s="336"/>
      <c r="U157" s="334"/>
      <c r="V157" s="335" t="s">
        <v>794</v>
      </c>
      <c r="W157" s="335"/>
      <c r="X157" s="335"/>
      <c r="Y157" s="335"/>
      <c r="Z157" s="335"/>
      <c r="AB157" s="335" t="s">
        <v>795</v>
      </c>
      <c r="AC157" s="335"/>
      <c r="AD157" s="335"/>
      <c r="AE157" s="335"/>
      <c r="AF157" s="335"/>
      <c r="AG157" s="334"/>
      <c r="AH157" s="335" t="s">
        <v>793</v>
      </c>
      <c r="AI157" s="335"/>
      <c r="AJ157" s="335"/>
      <c r="AK157" s="335"/>
      <c r="AL157" s="335"/>
    </row>
    <row r="158" spans="2:38" ht="4" customHeight="1" x14ac:dyDescent="0.3">
      <c r="B158" s="292"/>
      <c r="C158" s="23"/>
      <c r="D158" s="292"/>
      <c r="E158" s="292"/>
      <c r="F158" s="292"/>
      <c r="G158" s="292"/>
      <c r="H158" s="292"/>
      <c r="I158" s="23"/>
      <c r="J158" s="292"/>
      <c r="K158" s="292"/>
      <c r="L158" s="292"/>
      <c r="M158" s="292"/>
      <c r="N158" s="292"/>
      <c r="O158" s="23"/>
      <c r="P158" s="292"/>
      <c r="Q158" s="292"/>
      <c r="R158" s="292"/>
      <c r="S158" s="292"/>
      <c r="T158" s="292"/>
      <c r="V158" s="285"/>
      <c r="W158" s="285"/>
      <c r="X158" s="285"/>
      <c r="Y158" s="285"/>
      <c r="Z158" s="285"/>
      <c r="AA158" s="94"/>
      <c r="AB158" s="285"/>
      <c r="AC158" s="285"/>
      <c r="AD158" s="285"/>
      <c r="AE158" s="285"/>
      <c r="AF158" s="285"/>
      <c r="AH158" s="285"/>
      <c r="AI158" s="285"/>
      <c r="AJ158" s="285"/>
      <c r="AK158" s="285"/>
      <c r="AL158" s="285"/>
    </row>
    <row r="159" spans="2:38" ht="14.25" customHeight="1" x14ac:dyDescent="0.3">
      <c r="B159" s="292"/>
      <c r="C159" s="23"/>
      <c r="D159" s="292"/>
      <c r="E159" s="292"/>
      <c r="F159" s="292"/>
      <c r="G159" s="292"/>
      <c r="H159" s="292"/>
      <c r="I159" s="23"/>
      <c r="M159" s="292"/>
      <c r="N159" s="292"/>
      <c r="O159" s="23"/>
      <c r="P159" s="292"/>
      <c r="Q159" s="292"/>
      <c r="R159" s="292"/>
      <c r="S159" s="292"/>
      <c r="T159" s="292"/>
      <c r="V159" s="94" t="s">
        <v>796</v>
      </c>
      <c r="Z159" s="350">
        <f ca="1">Inputs!M14</f>
        <v>13.124971834594065</v>
      </c>
      <c r="AB159" s="94" t="s">
        <v>797</v>
      </c>
      <c r="AF159" s="350">
        <f ca="1">Inputs!M13</f>
        <v>6.6009574249497804</v>
      </c>
      <c r="AH159" s="94" t="s">
        <v>798</v>
      </c>
      <c r="AL159" s="323">
        <f>AL136/AJ136-1</f>
        <v>0.15311018499512929</v>
      </c>
    </row>
    <row r="160" spans="2:38" ht="14.25" customHeight="1" x14ac:dyDescent="0.3">
      <c r="B160" s="292"/>
      <c r="C160" s="23"/>
      <c r="D160" s="292"/>
      <c r="E160" s="292"/>
      <c r="F160" s="292"/>
      <c r="G160" s="292"/>
      <c r="H160" s="292"/>
      <c r="I160" s="23"/>
      <c r="M160" s="292"/>
      <c r="N160" s="292"/>
      <c r="O160" s="23"/>
      <c r="P160" s="292"/>
      <c r="Q160" s="292"/>
      <c r="R160" s="292"/>
      <c r="S160" s="292"/>
      <c r="T160" s="292"/>
      <c r="V160" s="94" t="s">
        <v>799</v>
      </c>
      <c r="Z160" s="739">
        <v>13.5</v>
      </c>
      <c r="AB160" s="94" t="s">
        <v>800</v>
      </c>
      <c r="AF160" s="339">
        <v>7</v>
      </c>
      <c r="AH160" s="94" t="s">
        <v>801</v>
      </c>
      <c r="AL160" s="313">
        <v>0.02</v>
      </c>
    </row>
    <row r="161" spans="2:38" ht="14.25" customHeight="1" x14ac:dyDescent="0.3">
      <c r="B161" s="292"/>
      <c r="C161" s="23"/>
      <c r="D161" s="292"/>
      <c r="E161" s="292"/>
      <c r="F161" s="292"/>
      <c r="G161" s="292"/>
      <c r="H161" s="292"/>
      <c r="I161" s="23"/>
      <c r="M161" s="292"/>
      <c r="N161" s="292"/>
      <c r="O161" s="23"/>
      <c r="P161" s="292"/>
      <c r="Q161" s="292"/>
      <c r="R161" s="292" t="str">
        <f>R157</f>
        <v>Gordon's Growth Model</v>
      </c>
      <c r="S161" s="292"/>
      <c r="T161" s="292"/>
      <c r="V161" s="94" t="s">
        <v>791</v>
      </c>
      <c r="Z161" s="309">
        <f>(Z160+Sensitivity!U43)*(AL122+AL128)</f>
        <v>213465.18625620511</v>
      </c>
      <c r="AB161" s="94" t="s">
        <v>791</v>
      </c>
      <c r="AF161" s="309">
        <f>(AF160+Sensitivity!U44)*(AL31)</f>
        <v>198339.12345296121</v>
      </c>
      <c r="AH161" s="94" t="s">
        <v>791</v>
      </c>
      <c r="AL161" s="309">
        <f ca="1">AL136*(1+AL160+Sensitivity!U42)/(AL149-AL160-Sensitivity!U42)</f>
        <v>222614.83844364216</v>
      </c>
    </row>
    <row r="162" spans="2:38" ht="14.25" customHeight="1" x14ac:dyDescent="0.3">
      <c r="B162" s="292"/>
      <c r="C162" s="23"/>
      <c r="D162" s="292"/>
      <c r="E162" s="292"/>
      <c r="F162" s="292"/>
      <c r="G162" s="292"/>
      <c r="H162" s="292"/>
      <c r="I162" s="23"/>
      <c r="M162" s="292"/>
      <c r="N162" s="292"/>
      <c r="O162" s="23"/>
      <c r="P162" s="292"/>
      <c r="Q162" s="292"/>
      <c r="R162" s="597">
        <f ca="1">IF($R$161="Revenue Exit",$AF$171,IF($R$161="EBITDA Exit",$Z$171,$AL$171))</f>
        <v>-0.12623855875035239</v>
      </c>
      <c r="S162" s="292"/>
      <c r="T162" s="292"/>
      <c r="V162" s="340" t="s">
        <v>802</v>
      </c>
      <c r="W162" s="340"/>
      <c r="X162" s="340"/>
      <c r="Y162" s="340"/>
      <c r="Z162" s="341">
        <f ca="1">Z161/AL150</f>
        <v>109417.84041783743</v>
      </c>
      <c r="AB162" s="340" t="s">
        <v>802</v>
      </c>
      <c r="AC162" s="340"/>
      <c r="AD162" s="340"/>
      <c r="AE162" s="340"/>
      <c r="AF162" s="341">
        <f ca="1">AF161/AL150</f>
        <v>101664.53340331989</v>
      </c>
      <c r="AH162" s="340" t="s">
        <v>802</v>
      </c>
      <c r="AI162" s="348"/>
      <c r="AJ162" s="349"/>
      <c r="AK162" s="340"/>
      <c r="AL162" s="341">
        <f ca="1">AL161/AL150</f>
        <v>114107.76293158224</v>
      </c>
    </row>
    <row r="163" spans="2:38" ht="14.25" customHeight="1" x14ac:dyDescent="0.3">
      <c r="B163" s="292"/>
      <c r="C163" s="23"/>
      <c r="D163" s="292"/>
      <c r="E163" s="292"/>
      <c r="F163" s="292"/>
      <c r="G163" s="292"/>
      <c r="H163" s="292"/>
      <c r="I163" s="23"/>
      <c r="M163" s="292"/>
      <c r="N163" s="292"/>
      <c r="O163" s="23"/>
      <c r="P163" s="292"/>
      <c r="Q163" s="292"/>
      <c r="R163" s="597">
        <f ca="1">1-R162</f>
        <v>1.1262385587503525</v>
      </c>
      <c r="S163" s="292"/>
      <c r="T163" s="292"/>
      <c r="V163" s="102" t="s">
        <v>803</v>
      </c>
      <c r="W163" s="102"/>
      <c r="X163" s="102"/>
      <c r="Y163" s="102"/>
      <c r="Z163" s="317">
        <f ca="1">Z162+SUM(V152:AL152)</f>
        <v>140352.80275837085</v>
      </c>
      <c r="AB163" s="102" t="s">
        <v>803</v>
      </c>
      <c r="AC163" s="102"/>
      <c r="AD163" s="102"/>
      <c r="AE163" s="102"/>
      <c r="AF163" s="317">
        <f ca="1">AF162+SUM(V152:AL152)</f>
        <v>132599.4957438533</v>
      </c>
      <c r="AH163" s="102" t="s">
        <v>803</v>
      </c>
      <c r="AI163" s="102"/>
      <c r="AK163" s="102"/>
      <c r="AL163" s="317">
        <f ca="1">AL162+SUM(V152:AL152)</f>
        <v>145042.72527211564</v>
      </c>
    </row>
    <row r="164" spans="2:38" ht="14.25" customHeight="1" x14ac:dyDescent="0.3">
      <c r="B164" s="292"/>
      <c r="C164" s="23"/>
      <c r="D164" s="292"/>
      <c r="E164" s="292"/>
      <c r="F164" s="292"/>
      <c r="G164" s="292"/>
      <c r="H164" s="292"/>
      <c r="I164" s="23"/>
      <c r="M164" s="292"/>
      <c r="N164" s="292"/>
      <c r="O164" s="23"/>
      <c r="P164" s="292"/>
      <c r="Q164" s="292"/>
      <c r="R164" s="94" t="str">
        <f ca="1">IF(R162&gt;0,"Upside","Downside")</f>
        <v>Downside</v>
      </c>
      <c r="S164" s="292"/>
      <c r="T164" s="292"/>
      <c r="V164" s="94" t="s">
        <v>804</v>
      </c>
      <c r="Z164" s="65">
        <f>BS!AI45+BS!AI44+BS!AI39+BS!AI38-BS!AI15</f>
        <v>32896</v>
      </c>
      <c r="AB164" s="94" t="s">
        <v>804</v>
      </c>
      <c r="AF164" s="65">
        <f>BS!AI45+BS!AI44+BS!AI39+BS!AI38-BS!AI15</f>
        <v>32896</v>
      </c>
      <c r="AH164" s="94" t="s">
        <v>804</v>
      </c>
      <c r="AI164" s="94"/>
      <c r="AJ164" s="94"/>
      <c r="AL164" s="65">
        <f>BS!AI45+BS!AI44+BS!AI39+BS!AI38-BS!AI15</f>
        <v>32896</v>
      </c>
    </row>
    <row r="165" spans="2:38" ht="14.25" customHeight="1" x14ac:dyDescent="0.3">
      <c r="B165" s="292"/>
      <c r="C165" s="23"/>
      <c r="D165" s="292"/>
      <c r="E165" s="292"/>
      <c r="F165" s="292"/>
      <c r="G165" s="292"/>
      <c r="H165" s="292"/>
      <c r="I165" s="23"/>
      <c r="M165" s="292"/>
      <c r="N165" s="292"/>
      <c r="O165" s="23"/>
      <c r="P165" s="292"/>
      <c r="Q165" s="292"/>
      <c r="R165" s="292"/>
      <c r="S165" s="292"/>
      <c r="T165" s="292"/>
      <c r="V165" s="94" t="s">
        <v>805</v>
      </c>
      <c r="Z165" s="65">
        <f ca="1">Inputs!U63</f>
        <v>0</v>
      </c>
      <c r="AB165" s="94" t="s">
        <v>805</v>
      </c>
      <c r="AF165" s="65">
        <f ca="1">Inputs!U63</f>
        <v>0</v>
      </c>
      <c r="AH165" s="94" t="s">
        <v>805</v>
      </c>
      <c r="AI165" s="94"/>
      <c r="AJ165" s="94"/>
      <c r="AL165" s="65">
        <f ca="1">Inputs!U63</f>
        <v>0</v>
      </c>
    </row>
    <row r="166" spans="2:38" ht="14.25" customHeight="1" x14ac:dyDescent="0.3">
      <c r="V166" s="340" t="s">
        <v>806</v>
      </c>
      <c r="W166" s="340"/>
      <c r="X166" s="340"/>
      <c r="Y166" s="340"/>
      <c r="Z166" s="72">
        <f>BS!AI53</f>
        <v>0</v>
      </c>
      <c r="AB166" s="340" t="s">
        <v>806</v>
      </c>
      <c r="AC166" s="340"/>
      <c r="AD166" s="340"/>
      <c r="AE166" s="340"/>
      <c r="AF166" s="72">
        <f>BS!AI53</f>
        <v>0</v>
      </c>
      <c r="AH166" s="340" t="s">
        <v>806</v>
      </c>
      <c r="AI166" s="340"/>
      <c r="AJ166" s="340"/>
      <c r="AK166" s="340"/>
      <c r="AL166" s="72">
        <f>BS!AI53</f>
        <v>0</v>
      </c>
    </row>
    <row r="167" spans="2:38" ht="14.25" customHeight="1" x14ac:dyDescent="0.3">
      <c r="V167" s="102" t="s">
        <v>807</v>
      </c>
      <c r="W167" s="102"/>
      <c r="X167" s="102"/>
      <c r="Y167" s="102"/>
      <c r="Z167" s="317">
        <f ca="1">Z163-Z164-Z165-Z166</f>
        <v>107456.80275837085</v>
      </c>
      <c r="AB167" s="102" t="s">
        <v>807</v>
      </c>
      <c r="AC167" s="102"/>
      <c r="AD167" s="102"/>
      <c r="AE167" s="102"/>
      <c r="AF167" s="317">
        <f ca="1">AF163-AF164-AF165-AF166</f>
        <v>99703.495743853302</v>
      </c>
      <c r="AH167" s="102" t="s">
        <v>807</v>
      </c>
      <c r="AI167" s="102"/>
      <c r="AK167" s="102"/>
      <c r="AL167" s="317">
        <f ca="1">AL163-AL164-AL165-AL166</f>
        <v>112146.72527211564</v>
      </c>
    </row>
    <row r="168" spans="2:38" ht="14.25" customHeight="1" x14ac:dyDescent="0.3">
      <c r="V168" s="340" t="s">
        <v>808</v>
      </c>
      <c r="W168" s="340"/>
      <c r="X168" s="340"/>
      <c r="Y168" s="340"/>
      <c r="Z168" s="342">
        <f>AL64</f>
        <v>594.1</v>
      </c>
      <c r="AB168" s="340" t="s">
        <v>808</v>
      </c>
      <c r="AC168" s="340"/>
      <c r="AD168" s="340"/>
      <c r="AE168" s="340"/>
      <c r="AF168" s="342">
        <f>AL64</f>
        <v>594.1</v>
      </c>
      <c r="AH168" s="340" t="s">
        <v>808</v>
      </c>
      <c r="AI168" s="340"/>
      <c r="AJ168" s="340"/>
      <c r="AK168" s="340"/>
      <c r="AL168" s="342">
        <f>AL64</f>
        <v>594.1</v>
      </c>
    </row>
    <row r="169" spans="2:38" ht="14.25" customHeight="1" x14ac:dyDescent="0.3">
      <c r="V169" s="102" t="s">
        <v>809</v>
      </c>
      <c r="W169" s="102"/>
      <c r="X169" s="102"/>
      <c r="Y169" s="102"/>
      <c r="Z169" s="316">
        <f ca="1">Z167/Z168</f>
        <v>180.87325830394016</v>
      </c>
      <c r="AB169" s="102" t="s">
        <v>809</v>
      </c>
      <c r="AC169" s="102"/>
      <c r="AD169" s="102"/>
      <c r="AE169" s="102"/>
      <c r="AF169" s="316">
        <f ca="1">AF167/AF168</f>
        <v>167.8227499475733</v>
      </c>
      <c r="AH169" s="102" t="s">
        <v>809</v>
      </c>
      <c r="AI169" s="102"/>
      <c r="AK169" s="102"/>
      <c r="AL169" s="316">
        <f ca="1">AL167/AL168</f>
        <v>188.76742176757386</v>
      </c>
    </row>
    <row r="170" spans="2:38" ht="14.25" customHeight="1" x14ac:dyDescent="0.3">
      <c r="V170" s="94" t="s">
        <v>810</v>
      </c>
      <c r="Z170" s="347">
        <f>'Stock Data'!AN4</f>
        <v>216.04</v>
      </c>
      <c r="AB170" s="94" t="s">
        <v>810</v>
      </c>
      <c r="AF170" s="347">
        <f>'Stock Data'!AN4</f>
        <v>216.04</v>
      </c>
      <c r="AH170" s="94" t="s">
        <v>810</v>
      </c>
      <c r="AI170" s="94"/>
      <c r="AJ170" s="94"/>
      <c r="AL170" s="347">
        <f>'Stock Data'!AN4</f>
        <v>216.04</v>
      </c>
    </row>
    <row r="171" spans="2:38" ht="14.25" customHeight="1" x14ac:dyDescent="0.3">
      <c r="V171" s="94" t="s">
        <v>811</v>
      </c>
      <c r="Z171" s="323">
        <f ca="1">Z169/Z170-1</f>
        <v>-0.16277884510303564</v>
      </c>
      <c r="AB171" s="94" t="s">
        <v>811</v>
      </c>
      <c r="AF171" s="323">
        <f ca="1">AF169/AF170-1</f>
        <v>-0.22318667863556141</v>
      </c>
      <c r="AH171" s="94" t="s">
        <v>811</v>
      </c>
      <c r="AI171" s="94"/>
      <c r="AJ171" s="94"/>
      <c r="AL171" s="323">
        <f ca="1">AL169/AL170-1</f>
        <v>-0.12623855875035239</v>
      </c>
    </row>
    <row r="176" spans="2:38" ht="14.25" customHeight="1" x14ac:dyDescent="0.3">
      <c r="AB176" s="314"/>
    </row>
    <row r="177" spans="28:32" ht="14.25" customHeight="1" x14ac:dyDescent="0.3">
      <c r="AB177" s="585"/>
      <c r="AC177" s="314"/>
    </row>
    <row r="178" spans="28:32" ht="14.25" customHeight="1" x14ac:dyDescent="0.3">
      <c r="AB178" s="585"/>
      <c r="AC178" s="314"/>
    </row>
    <row r="181" spans="28:32" ht="14.25" customHeight="1" x14ac:dyDescent="0.3">
      <c r="AF181" s="314"/>
    </row>
    <row r="182" spans="28:32" ht="14.25" customHeight="1" x14ac:dyDescent="0.3">
      <c r="AE182" s="585"/>
      <c r="AF182" s="314"/>
    </row>
    <row r="183" spans="28:32" ht="14.25" customHeight="1" x14ac:dyDescent="0.3">
      <c r="AE183" s="585"/>
      <c r="AF183" s="323"/>
    </row>
  </sheetData>
  <mergeCells count="17">
    <mergeCell ref="D8:H8"/>
    <mergeCell ref="J8:N8"/>
    <mergeCell ref="P8:T8"/>
    <mergeCell ref="V8:Z8"/>
    <mergeCell ref="AB8:AF8"/>
    <mergeCell ref="V139:Z139"/>
    <mergeCell ref="AB139:AF139"/>
    <mergeCell ref="D24:H24"/>
    <mergeCell ref="J24:N24"/>
    <mergeCell ref="P24:T24"/>
    <mergeCell ref="V24:Z24"/>
    <mergeCell ref="AB24:AF24"/>
    <mergeCell ref="D118:H118"/>
    <mergeCell ref="J118:N118"/>
    <mergeCell ref="P118:T118"/>
    <mergeCell ref="V118:Z118"/>
    <mergeCell ref="AB118:AF118"/>
  </mergeCells>
  <dataValidations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6DB3-91BF-46DD-A444-6BA3D6A56E1A}">
  <sheetPr>
    <tabColor rgb="FF801414"/>
  </sheetPr>
  <dimension ref="A3:ET82"/>
  <sheetViews>
    <sheetView topLeftCell="AO1" zoomScale="66" zoomScaleNormal="115" workbookViewId="0">
      <selection activeCell="AO27" sqref="AO27"/>
    </sheetView>
  </sheetViews>
  <sheetFormatPr defaultColWidth="8.58203125" defaultRowHeight="14" x14ac:dyDescent="0.3"/>
  <cols>
    <col min="1" max="2" width="8.58203125" style="1100"/>
    <col min="3" max="3" width="28.33203125" style="1100" bestFit="1" customWidth="1"/>
    <col min="4" max="4" width="2.08203125" style="1100" customWidth="1"/>
    <col min="5" max="8" width="8.58203125" style="1100" hidden="1" customWidth="1"/>
    <col min="9" max="9" width="10.08203125" style="1100" bestFit="1" customWidth="1"/>
    <col min="10" max="10" width="8.58203125" style="1100"/>
    <col min="11" max="14" width="0" style="1100" hidden="1" customWidth="1"/>
    <col min="15" max="15" width="11.58203125" style="1100" bestFit="1" customWidth="1"/>
    <col min="16" max="16" width="8.58203125" style="1100"/>
    <col min="17" max="20" width="0" style="1100" hidden="1" customWidth="1"/>
    <col min="21" max="21" width="11.58203125" style="1100" bestFit="1" customWidth="1"/>
    <col min="22" max="22" width="8.58203125" style="1100"/>
    <col min="23" max="26" width="0" style="1100" hidden="1" customWidth="1"/>
    <col min="27" max="27" width="11.08203125" style="1100" bestFit="1" customWidth="1"/>
    <col min="28" max="28" width="1.33203125" style="1100" customWidth="1"/>
    <col min="29" max="29" width="9" style="1100" hidden="1" customWidth="1"/>
    <col min="30" max="31" width="0" style="1100" hidden="1" customWidth="1"/>
    <col min="32" max="32" width="0.58203125" style="1100" hidden="1" customWidth="1"/>
    <col min="33" max="33" width="9.33203125" style="1100" bestFit="1" customWidth="1"/>
    <col min="34" max="34" width="2.83203125" style="1100" customWidth="1"/>
    <col min="35" max="35" width="8.58203125" style="1100" bestFit="1" customWidth="1"/>
    <col min="36" max="36" width="3.5" style="1100" customWidth="1"/>
    <col min="37" max="37" width="8.58203125" style="1100" customWidth="1"/>
    <col min="38" max="38" width="3" style="1100" customWidth="1"/>
    <col min="39" max="39" width="8.58203125" style="1100" customWidth="1"/>
    <col min="40" max="40" width="8.58203125" style="1100"/>
    <col min="41" max="41" width="33.33203125" style="1100" bestFit="1" customWidth="1"/>
    <col min="42" max="42" width="2.58203125" style="1100" customWidth="1"/>
    <col min="43" max="46" width="0" style="1100" hidden="1" customWidth="1"/>
    <col min="47" max="47" width="8.58203125" style="1100"/>
    <col min="48" max="48" width="4.58203125" style="1100" customWidth="1"/>
    <col min="49" max="52" width="0" style="1100" hidden="1" customWidth="1"/>
    <col min="53" max="53" width="9.83203125" style="1100" bestFit="1" customWidth="1"/>
    <col min="54" max="54" width="3.58203125" style="1100" customWidth="1"/>
    <col min="55" max="58" width="0" style="1100" hidden="1" customWidth="1"/>
    <col min="59" max="59" width="8.58203125" style="1100"/>
    <col min="60" max="60" width="6" style="1100" customWidth="1"/>
    <col min="61" max="64" width="0" style="1100" hidden="1" customWidth="1"/>
    <col min="65" max="65" width="8.58203125" style="1100"/>
    <col min="66" max="66" width="4.33203125" style="1100" customWidth="1"/>
    <col min="67" max="70" width="0" style="1100" hidden="1" customWidth="1"/>
    <col min="71" max="71" width="8.58203125" style="1100"/>
    <col min="72" max="72" width="4.33203125" style="1100" customWidth="1"/>
    <col min="73" max="73" width="8.58203125" style="1100"/>
    <col min="74" max="74" width="4.33203125" style="1100" customWidth="1"/>
    <col min="75" max="75" width="8.58203125" style="1100"/>
    <col min="76" max="76" width="4.33203125" style="1100" customWidth="1"/>
    <col min="77" max="16384" width="8.58203125" style="1100"/>
  </cols>
  <sheetData>
    <row r="3" spans="1:150" ht="15" x14ac:dyDescent="0.3">
      <c r="C3" s="158" t="s">
        <v>701</v>
      </c>
      <c r="D3" s="16"/>
      <c r="E3" s="159"/>
      <c r="F3" s="159"/>
      <c r="G3" s="159"/>
      <c r="H3" s="159"/>
      <c r="I3" s="159"/>
      <c r="J3" s="16"/>
      <c r="K3" s="159"/>
      <c r="L3" s="159"/>
      <c r="M3" s="159"/>
      <c r="N3" s="159"/>
      <c r="O3" s="159"/>
      <c r="P3" s="16"/>
      <c r="Q3" s="159"/>
      <c r="R3" s="159"/>
      <c r="S3" s="159"/>
      <c r="T3" s="159"/>
      <c r="U3" s="159"/>
      <c r="V3" s="16"/>
      <c r="W3" s="159"/>
      <c r="X3" s="159"/>
      <c r="Y3" s="159"/>
      <c r="Z3" s="159"/>
      <c r="AA3" s="159"/>
      <c r="AB3" s="16"/>
      <c r="AC3" s="159"/>
      <c r="AD3" s="159"/>
      <c r="AE3" s="159"/>
      <c r="AF3" s="159"/>
      <c r="AG3" s="159"/>
      <c r="AH3" s="16"/>
      <c r="AI3" s="159"/>
      <c r="AJ3" s="16"/>
      <c r="AK3" s="160"/>
      <c r="AL3" s="16"/>
      <c r="AM3" s="160"/>
      <c r="AO3" s="158" t="s">
        <v>812</v>
      </c>
      <c r="AP3" s="16"/>
      <c r="AQ3" s="159"/>
      <c r="AR3" s="159"/>
      <c r="AS3" s="159"/>
      <c r="AT3" s="159"/>
      <c r="AU3" s="159"/>
      <c r="AV3" s="16"/>
      <c r="AW3" s="159"/>
      <c r="AX3" s="159"/>
      <c r="AY3" s="159"/>
      <c r="AZ3" s="159"/>
      <c r="BA3" s="159"/>
      <c r="BB3" s="16"/>
      <c r="BC3" s="159"/>
      <c r="BD3" s="159"/>
      <c r="BE3" s="159"/>
      <c r="BF3" s="159"/>
      <c r="BG3" s="159"/>
      <c r="BH3" s="16"/>
      <c r="BI3" s="159"/>
      <c r="BJ3" s="159"/>
      <c r="BK3" s="159"/>
      <c r="BL3" s="159"/>
      <c r="BM3" s="159"/>
      <c r="BN3" s="16"/>
      <c r="BO3" s="159"/>
      <c r="BP3" s="159"/>
      <c r="BQ3" s="159"/>
      <c r="BR3" s="159"/>
      <c r="BS3" s="159"/>
      <c r="BT3" s="16"/>
      <c r="BU3" s="159"/>
      <c r="BV3" s="16"/>
      <c r="BW3" s="160"/>
      <c r="BX3" s="16"/>
      <c r="BY3" s="160"/>
    </row>
    <row r="4" spans="1:150" ht="15" x14ac:dyDescent="0.3">
      <c r="C4" s="161"/>
      <c r="D4" s="16"/>
      <c r="E4" s="1244">
        <v>2022</v>
      </c>
      <c r="F4" s="1244"/>
      <c r="G4" s="1244"/>
      <c r="H4" s="1244"/>
      <c r="I4" s="1244"/>
      <c r="J4" s="166"/>
      <c r="K4" s="1244">
        <f>E4+1</f>
        <v>2023</v>
      </c>
      <c r="L4" s="1244"/>
      <c r="M4" s="1244"/>
      <c r="N4" s="1244"/>
      <c r="O4" s="1244"/>
      <c r="P4" s="166"/>
      <c r="Q4" s="1244">
        <f>K4+1</f>
        <v>2024</v>
      </c>
      <c r="R4" s="1244"/>
      <c r="S4" s="1244"/>
      <c r="T4" s="1244"/>
      <c r="U4" s="1244"/>
      <c r="V4" s="166"/>
      <c r="W4" s="1243">
        <f>Q4+1</f>
        <v>2025</v>
      </c>
      <c r="X4" s="1243"/>
      <c r="Y4" s="1243"/>
      <c r="Z4" s="1243"/>
      <c r="AA4" s="1243"/>
      <c r="AB4" s="166"/>
      <c r="AC4" s="1243">
        <f>W4+1</f>
        <v>2026</v>
      </c>
      <c r="AD4" s="1243"/>
      <c r="AE4" s="1243"/>
      <c r="AF4" s="1243"/>
      <c r="AG4" s="1243"/>
      <c r="AH4" s="168"/>
      <c r="AI4" s="163">
        <f>AC4+1</f>
        <v>2027</v>
      </c>
      <c r="AJ4" s="164"/>
      <c r="AK4" s="163">
        <f>+AI4+1</f>
        <v>2028</v>
      </c>
      <c r="AL4" s="164"/>
      <c r="AM4" s="163">
        <f>+AK4+1</f>
        <v>2029</v>
      </c>
      <c r="AO4" s="161"/>
      <c r="AP4" s="16"/>
      <c r="AQ4" s="1244">
        <v>2022</v>
      </c>
      <c r="AR4" s="1244"/>
      <c r="AS4" s="1244"/>
      <c r="AT4" s="1244"/>
      <c r="AU4" s="1244"/>
      <c r="AV4" s="166"/>
      <c r="AW4" s="1244">
        <f>AQ4+1</f>
        <v>2023</v>
      </c>
      <c r="AX4" s="1244"/>
      <c r="AY4" s="1244"/>
      <c r="AZ4" s="1244"/>
      <c r="BA4" s="1244"/>
      <c r="BB4" s="166"/>
      <c r="BC4" s="1244">
        <f>AW4+1</f>
        <v>2024</v>
      </c>
      <c r="BD4" s="1244"/>
      <c r="BE4" s="1244"/>
      <c r="BF4" s="1244"/>
      <c r="BG4" s="1244"/>
      <c r="BH4" s="166"/>
      <c r="BI4" s="1243">
        <f>BC4+1</f>
        <v>2025</v>
      </c>
      <c r="BJ4" s="1243"/>
      <c r="BK4" s="1243"/>
      <c r="BL4" s="1243"/>
      <c r="BM4" s="1243"/>
      <c r="BN4" s="166"/>
      <c r="BO4" s="1243">
        <f>BI4+1</f>
        <v>2026</v>
      </c>
      <c r="BP4" s="1243"/>
      <c r="BQ4" s="1243"/>
      <c r="BR4" s="1243"/>
      <c r="BS4" s="1243"/>
      <c r="BT4" s="168"/>
      <c r="BU4" s="163">
        <f>BO4+1</f>
        <v>2027</v>
      </c>
      <c r="BV4" s="164"/>
      <c r="BW4" s="163">
        <f>+BU4+1</f>
        <v>2028</v>
      </c>
      <c r="BX4" s="164"/>
      <c r="BY4" s="163">
        <f>+BW4+1</f>
        <v>2029</v>
      </c>
    </row>
    <row r="5" spans="1:150" ht="15" x14ac:dyDescent="0.3">
      <c r="C5" s="161"/>
      <c r="D5" s="16"/>
      <c r="E5" s="165" t="s">
        <v>217</v>
      </c>
      <c r="F5" s="165" t="s">
        <v>218</v>
      </c>
      <c r="G5" s="165" t="s">
        <v>219</v>
      </c>
      <c r="H5" s="165" t="s">
        <v>220</v>
      </c>
      <c r="I5" s="165" t="s">
        <v>221</v>
      </c>
      <c r="J5" s="162"/>
      <c r="K5" s="165" t="s">
        <v>217</v>
      </c>
      <c r="L5" s="165" t="s">
        <v>218</v>
      </c>
      <c r="M5" s="165" t="s">
        <v>219</v>
      </c>
      <c r="N5" s="165" t="s">
        <v>220</v>
      </c>
      <c r="O5" s="165" t="s">
        <v>221</v>
      </c>
      <c r="P5" s="162"/>
      <c r="Q5" s="165" t="s">
        <v>217</v>
      </c>
      <c r="R5" s="165" t="s">
        <v>218</v>
      </c>
      <c r="S5" s="165" t="s">
        <v>219</v>
      </c>
      <c r="T5" s="165" t="s">
        <v>220</v>
      </c>
      <c r="U5" s="165" t="s">
        <v>221</v>
      </c>
      <c r="V5" s="162"/>
      <c r="W5" s="165" t="s">
        <v>217</v>
      </c>
      <c r="X5" s="165" t="s">
        <v>218</v>
      </c>
      <c r="Y5" s="165" t="s">
        <v>219</v>
      </c>
      <c r="Z5" s="165" t="s">
        <v>220</v>
      </c>
      <c r="AA5" s="165" t="s">
        <v>221</v>
      </c>
      <c r="AB5" s="162"/>
      <c r="AC5" s="165" t="s">
        <v>217</v>
      </c>
      <c r="AD5" s="165" t="s">
        <v>218</v>
      </c>
      <c r="AE5" s="165" t="s">
        <v>219</v>
      </c>
      <c r="AF5" s="165" t="s">
        <v>220</v>
      </c>
      <c r="AG5" s="165" t="s">
        <v>221</v>
      </c>
      <c r="AH5" s="162"/>
      <c r="AI5" s="165" t="s">
        <v>221</v>
      </c>
      <c r="AJ5" s="162"/>
      <c r="AK5" s="165" t="s">
        <v>221</v>
      </c>
      <c r="AL5" s="162"/>
      <c r="AM5" s="165" t="s">
        <v>221</v>
      </c>
      <c r="AO5" s="161"/>
      <c r="AP5" s="16"/>
      <c r="AQ5" s="165" t="s">
        <v>217</v>
      </c>
      <c r="AR5" s="165" t="s">
        <v>218</v>
      </c>
      <c r="AS5" s="165" t="s">
        <v>219</v>
      </c>
      <c r="AT5" s="165" t="s">
        <v>220</v>
      </c>
      <c r="AU5" s="165" t="s">
        <v>221</v>
      </c>
      <c r="AV5" s="162"/>
      <c r="AW5" s="165" t="s">
        <v>217</v>
      </c>
      <c r="AX5" s="165" t="s">
        <v>218</v>
      </c>
      <c r="AY5" s="165" t="s">
        <v>219</v>
      </c>
      <c r="AZ5" s="165" t="s">
        <v>220</v>
      </c>
      <c r="BA5" s="165" t="s">
        <v>221</v>
      </c>
      <c r="BB5" s="162"/>
      <c r="BC5" s="165" t="s">
        <v>217</v>
      </c>
      <c r="BD5" s="165" t="s">
        <v>218</v>
      </c>
      <c r="BE5" s="165" t="s">
        <v>219</v>
      </c>
      <c r="BF5" s="165" t="s">
        <v>220</v>
      </c>
      <c r="BG5" s="165" t="s">
        <v>221</v>
      </c>
      <c r="BH5" s="162"/>
      <c r="BI5" s="165" t="s">
        <v>217</v>
      </c>
      <c r="BJ5" s="165" t="s">
        <v>218</v>
      </c>
      <c r="BK5" s="165" t="s">
        <v>219</v>
      </c>
      <c r="BL5" s="165" t="s">
        <v>220</v>
      </c>
      <c r="BM5" s="165" t="s">
        <v>221</v>
      </c>
      <c r="BN5" s="162"/>
      <c r="BO5" s="165" t="s">
        <v>217</v>
      </c>
      <c r="BP5" s="165" t="s">
        <v>218</v>
      </c>
      <c r="BQ5" s="165" t="s">
        <v>219</v>
      </c>
      <c r="BR5" s="165" t="s">
        <v>220</v>
      </c>
      <c r="BS5" s="165" t="s">
        <v>221</v>
      </c>
      <c r="BT5" s="162"/>
      <c r="BU5" s="165" t="s">
        <v>221</v>
      </c>
      <c r="BV5" s="162"/>
      <c r="BW5" s="165" t="s">
        <v>221</v>
      </c>
      <c r="BX5" s="162"/>
      <c r="BY5" s="165" t="s">
        <v>221</v>
      </c>
    </row>
    <row r="6" spans="1:150" ht="15" x14ac:dyDescent="0.3">
      <c r="C6" s="1105" t="s">
        <v>813</v>
      </c>
      <c r="D6" s="1102"/>
      <c r="E6" s="1103"/>
      <c r="F6" s="1103"/>
      <c r="G6" s="1103"/>
      <c r="H6" s="1103"/>
      <c r="I6" s="1103"/>
      <c r="J6" s="1104"/>
      <c r="K6" s="1103"/>
      <c r="L6" s="1103"/>
      <c r="M6" s="1103"/>
      <c r="N6" s="1103"/>
      <c r="O6" s="1103"/>
      <c r="P6" s="1104"/>
      <c r="Q6" s="1103"/>
      <c r="R6" s="1103"/>
      <c r="S6" s="1103"/>
      <c r="T6" s="1103"/>
      <c r="U6" s="1103"/>
      <c r="V6" s="1104"/>
      <c r="W6" s="1103"/>
      <c r="X6" s="1103"/>
      <c r="Y6" s="1103"/>
      <c r="Z6" s="1103"/>
      <c r="AA6" s="1103"/>
      <c r="AB6" s="1104"/>
      <c r="AC6" s="1103"/>
      <c r="AD6" s="1103"/>
      <c r="AE6" s="1103"/>
      <c r="AF6" s="1103"/>
      <c r="AG6" s="1103"/>
      <c r="AH6" s="1104"/>
      <c r="AI6" s="1103"/>
      <c r="AJ6" s="1104"/>
      <c r="AK6" s="1103"/>
      <c r="AL6" s="1104"/>
      <c r="AM6" s="1103"/>
    </row>
    <row r="7" spans="1:150" x14ac:dyDescent="0.3">
      <c r="C7" s="1122" t="s">
        <v>814</v>
      </c>
      <c r="D7" s="468"/>
      <c r="E7" s="468"/>
      <c r="F7" s="468"/>
      <c r="G7" s="468"/>
      <c r="H7" s="468"/>
      <c r="I7" s="1164">
        <v>798</v>
      </c>
      <c r="J7" s="1164"/>
      <c r="K7" s="1164"/>
      <c r="L7" s="1164"/>
      <c r="M7" s="1164"/>
      <c r="N7" s="1164"/>
      <c r="O7" s="1164">
        <v>798</v>
      </c>
      <c r="P7" s="1164"/>
      <c r="Q7" s="1164"/>
      <c r="R7" s="1164"/>
      <c r="S7" s="1164"/>
      <c r="T7" s="1164"/>
      <c r="U7" s="1164">
        <v>850</v>
      </c>
      <c r="V7" s="468"/>
      <c r="W7" s="468"/>
      <c r="X7" s="468"/>
      <c r="Y7" s="468"/>
      <c r="Z7" s="468"/>
      <c r="AA7" s="1114">
        <f>U7*(1+AA8)</f>
        <v>918.00000000000011</v>
      </c>
      <c r="AB7" s="1114"/>
      <c r="AC7" s="1114"/>
      <c r="AD7" s="1114"/>
      <c r="AE7" s="1114"/>
      <c r="AF7" s="1114"/>
      <c r="AG7" s="1114">
        <f>AA7*(1+AG8)</f>
        <v>963.9000000000002</v>
      </c>
      <c r="AH7" s="1114"/>
      <c r="AI7" s="1114">
        <f>AG7*(1+AI8)</f>
        <v>1012.0950000000003</v>
      </c>
      <c r="AJ7" s="1114"/>
      <c r="AK7" s="1114">
        <f>AI7*(1+AK8)</f>
        <v>1052.5788000000002</v>
      </c>
      <c r="AL7" s="1114"/>
      <c r="AM7" s="1114">
        <f>AK7*(1+AM8)</f>
        <v>1094.6819520000004</v>
      </c>
      <c r="AO7" s="1120" t="s">
        <v>815</v>
      </c>
      <c r="AP7" s="1120"/>
      <c r="AQ7" s="1120"/>
      <c r="AR7" s="1120"/>
      <c r="AS7" s="1120"/>
      <c r="AT7" s="1120"/>
      <c r="AU7" s="1156">
        <f>IS!T18</f>
        <v>24875</v>
      </c>
      <c r="AV7" s="1121"/>
      <c r="AW7" s="1121"/>
      <c r="AX7" s="1121"/>
      <c r="AY7" s="1121"/>
      <c r="AZ7" s="1121"/>
      <c r="BA7" s="1156">
        <f>IS!Z18</f>
        <v>24119</v>
      </c>
      <c r="BB7" s="1121"/>
      <c r="BC7" s="1121"/>
      <c r="BD7" s="1121"/>
      <c r="BE7" s="1121"/>
      <c r="BF7" s="1121"/>
      <c r="BG7" s="1156">
        <f>IS!AF18</f>
        <v>24250</v>
      </c>
      <c r="BH7" s="1157"/>
      <c r="BI7" s="1120"/>
      <c r="BJ7" s="1120"/>
      <c r="BK7" s="1120"/>
      <c r="BL7" s="1120"/>
      <c r="BM7" s="1158">
        <f>AA79</f>
        <v>25480.87099333333</v>
      </c>
      <c r="BN7" s="1120"/>
      <c r="BO7" s="1120"/>
      <c r="BP7" s="1120"/>
      <c r="BQ7" s="1120"/>
      <c r="BR7" s="1120"/>
      <c r="BS7" s="1158">
        <f>AG79</f>
        <v>26188.855817955562</v>
      </c>
      <c r="BT7" s="1120"/>
      <c r="BU7" s="1158">
        <f>AI79</f>
        <v>26827.77294541493</v>
      </c>
      <c r="BV7" s="1120"/>
      <c r="BW7" s="1158">
        <f>AK79</f>
        <v>27660.220617250394</v>
      </c>
      <c r="BX7" s="1120"/>
      <c r="BY7" s="1158">
        <f>AM79</f>
        <v>28334.160493280171</v>
      </c>
    </row>
    <row r="8" spans="1:150" x14ac:dyDescent="0.3">
      <c r="C8" s="1123" t="s">
        <v>816</v>
      </c>
      <c r="D8" s="468"/>
      <c r="E8" s="468"/>
      <c r="F8" s="468"/>
      <c r="G8" s="468"/>
      <c r="H8" s="468"/>
      <c r="I8" s="468"/>
      <c r="J8" s="468"/>
      <c r="K8" s="468"/>
      <c r="L8" s="468"/>
      <c r="M8" s="468"/>
      <c r="N8" s="468"/>
      <c r="O8" s="1124">
        <f>O7/I7-1</f>
        <v>0</v>
      </c>
      <c r="P8" s="1124"/>
      <c r="Q8" s="1124"/>
      <c r="R8" s="1124"/>
      <c r="S8" s="1124"/>
      <c r="T8" s="1124"/>
      <c r="U8" s="1124">
        <f>U7/O7-1</f>
        <v>6.5162907268170533E-2</v>
      </c>
      <c r="V8" s="1124"/>
      <c r="W8" s="1124"/>
      <c r="X8" s="1124"/>
      <c r="Y8" s="1124"/>
      <c r="Z8" s="1124"/>
      <c r="AA8" s="1163">
        <v>0.08</v>
      </c>
      <c r="AB8" s="1124"/>
      <c r="AC8" s="1124"/>
      <c r="AD8" s="1124"/>
      <c r="AE8" s="1124"/>
      <c r="AF8" s="1124"/>
      <c r="AG8" s="1163">
        <v>0.05</v>
      </c>
      <c r="AH8" s="1124"/>
      <c r="AI8" s="1163">
        <v>0.05</v>
      </c>
      <c r="AJ8" s="1124"/>
      <c r="AK8" s="1163">
        <v>0.04</v>
      </c>
      <c r="AL8" s="1124"/>
      <c r="AM8" s="1163">
        <v>0.04</v>
      </c>
      <c r="AN8" s="1107"/>
      <c r="AO8" s="468"/>
      <c r="AP8" s="468"/>
      <c r="AQ8" s="468"/>
      <c r="AR8" s="468"/>
      <c r="AS8" s="468"/>
      <c r="AT8" s="468"/>
      <c r="AU8" s="1111"/>
      <c r="AV8" s="1111"/>
      <c r="AW8" s="1111"/>
      <c r="AX8" s="1111"/>
      <c r="AY8" s="1111"/>
      <c r="AZ8" s="1111"/>
      <c r="BA8" s="1111"/>
      <c r="BB8" s="1111"/>
      <c r="BC8" s="1111"/>
      <c r="BD8" s="1111"/>
      <c r="BE8" s="1111"/>
      <c r="BF8" s="1111"/>
      <c r="BG8" s="1111"/>
      <c r="BH8" s="1112"/>
      <c r="BI8" s="468"/>
      <c r="BJ8" s="468"/>
      <c r="BK8" s="468"/>
      <c r="BL8" s="468"/>
      <c r="BM8" s="468"/>
      <c r="BN8" s="468"/>
      <c r="BO8" s="468"/>
      <c r="BP8" s="468"/>
      <c r="BQ8" s="468"/>
      <c r="BR8" s="468"/>
      <c r="BS8" s="468"/>
      <c r="BT8" s="468"/>
      <c r="BU8" s="468"/>
      <c r="BV8" s="468"/>
      <c r="BW8" s="468"/>
      <c r="BX8" s="468"/>
      <c r="BY8" s="468"/>
    </row>
    <row r="9" spans="1:150" x14ac:dyDescent="0.3">
      <c r="C9" s="1122" t="s">
        <v>817</v>
      </c>
      <c r="D9" s="468"/>
      <c r="E9" s="468"/>
      <c r="F9" s="468"/>
      <c r="G9" s="468"/>
      <c r="H9" s="468"/>
      <c r="I9" s="1164">
        <v>190</v>
      </c>
      <c r="J9" s="1164"/>
      <c r="K9" s="1164"/>
      <c r="L9" s="1164"/>
      <c r="M9" s="1164"/>
      <c r="N9" s="1164"/>
      <c r="O9" s="1164">
        <v>191</v>
      </c>
      <c r="P9" s="1164"/>
      <c r="Q9" s="1164"/>
      <c r="R9" s="1164"/>
      <c r="S9" s="1164"/>
      <c r="T9" s="1164"/>
      <c r="U9" s="1164">
        <v>213</v>
      </c>
      <c r="V9" s="468"/>
      <c r="W9" s="468"/>
      <c r="X9" s="468"/>
      <c r="Y9" s="468"/>
      <c r="Z9" s="468"/>
      <c r="AA9" s="1114">
        <f>U9*(1+AA10)</f>
        <v>234.3</v>
      </c>
      <c r="AB9" s="1114"/>
      <c r="AC9" s="1114"/>
      <c r="AD9" s="1114"/>
      <c r="AE9" s="1114"/>
      <c r="AF9" s="1114"/>
      <c r="AG9" s="1114">
        <f>AA9*(1+AG10)</f>
        <v>253.04400000000004</v>
      </c>
      <c r="AH9" s="1114"/>
      <c r="AI9" s="1114">
        <f>AG9*(1+AI10)</f>
        <v>263.16576000000003</v>
      </c>
      <c r="AJ9" s="1114"/>
      <c r="AK9" s="1114">
        <f>AI9*(1+AK10)</f>
        <v>273.69239040000002</v>
      </c>
      <c r="AL9" s="1114"/>
      <c r="AM9" s="1114">
        <f>AK9*(1+AM10)</f>
        <v>281.90316211200002</v>
      </c>
      <c r="AO9" s="468" t="s">
        <v>818</v>
      </c>
      <c r="AP9" s="468"/>
      <c r="AQ9" s="468"/>
      <c r="AR9" s="468"/>
      <c r="AS9" s="468"/>
      <c r="AT9" s="468"/>
      <c r="AU9" s="1111"/>
      <c r="AV9" s="1111"/>
      <c r="AW9" s="1111"/>
      <c r="AX9" s="1111"/>
      <c r="AY9" s="1111"/>
      <c r="AZ9" s="1111"/>
      <c r="BA9" s="1111"/>
      <c r="BB9" s="1111"/>
      <c r="BC9" s="1111"/>
      <c r="BD9" s="1111"/>
      <c r="BE9" s="1111"/>
      <c r="BF9" s="1111"/>
      <c r="BG9" s="1111"/>
      <c r="BH9" s="1112"/>
      <c r="BI9" s="468"/>
      <c r="BJ9" s="468"/>
      <c r="BK9" s="468"/>
      <c r="BL9" s="468"/>
      <c r="BM9" s="468"/>
      <c r="BN9" s="468"/>
      <c r="BO9" s="468"/>
      <c r="BP9" s="468"/>
      <c r="BQ9" s="468"/>
      <c r="BR9" s="468"/>
      <c r="BS9" s="468"/>
      <c r="BT9" s="468"/>
      <c r="BU9" s="468"/>
      <c r="BV9" s="468"/>
      <c r="BW9" s="468"/>
      <c r="BX9" s="468"/>
      <c r="BY9" s="468"/>
    </row>
    <row r="10" spans="1:150" x14ac:dyDescent="0.3">
      <c r="C10" s="1123" t="s">
        <v>816</v>
      </c>
      <c r="D10" s="468"/>
      <c r="E10" s="468"/>
      <c r="F10" s="468"/>
      <c r="G10" s="468"/>
      <c r="H10" s="468"/>
      <c r="I10" s="468"/>
      <c r="J10" s="468"/>
      <c r="K10" s="468"/>
      <c r="L10" s="468"/>
      <c r="M10" s="468"/>
      <c r="N10" s="468"/>
      <c r="O10" s="1124">
        <f>O9/I9-1</f>
        <v>5.2631578947368585E-3</v>
      </c>
      <c r="P10" s="1124"/>
      <c r="Q10" s="1124"/>
      <c r="R10" s="1124"/>
      <c r="S10" s="1124"/>
      <c r="T10" s="1124"/>
      <c r="U10" s="1124">
        <f>U9/O9-1</f>
        <v>0.11518324607329844</v>
      </c>
      <c r="V10" s="1124"/>
      <c r="W10" s="1124"/>
      <c r="X10" s="1124"/>
      <c r="Y10" s="1124"/>
      <c r="Z10" s="1124"/>
      <c r="AA10" s="1163">
        <v>0.1</v>
      </c>
      <c r="AB10" s="1124"/>
      <c r="AC10" s="1124"/>
      <c r="AD10" s="1124"/>
      <c r="AE10" s="1124"/>
      <c r="AF10" s="1124"/>
      <c r="AG10" s="1163">
        <v>0.08</v>
      </c>
      <c r="AH10" s="1124"/>
      <c r="AI10" s="1163">
        <v>0.04</v>
      </c>
      <c r="AJ10" s="1124"/>
      <c r="AK10" s="1163">
        <v>0.04</v>
      </c>
      <c r="AL10" s="1124"/>
      <c r="AM10" s="1163">
        <v>0.03</v>
      </c>
      <c r="AN10" s="1107"/>
      <c r="AO10" s="1168" t="s">
        <v>819</v>
      </c>
      <c r="AP10" s="1169"/>
      <c r="AQ10" s="1169"/>
      <c r="AR10" s="1169"/>
      <c r="AS10" s="1169"/>
      <c r="AT10" s="1169"/>
      <c r="AU10" s="1170">
        <v>4645</v>
      </c>
      <c r="AV10" s="1170"/>
      <c r="AW10" s="1170"/>
      <c r="AX10" s="1170"/>
      <c r="AY10" s="1170"/>
      <c r="AZ10" s="1170"/>
      <c r="BA10" s="1170">
        <v>4818</v>
      </c>
      <c r="BB10" s="1170"/>
      <c r="BC10" s="1170"/>
      <c r="BD10" s="1170"/>
      <c r="BE10" s="1170"/>
      <c r="BF10" s="1170"/>
      <c r="BG10" s="1173">
        <v>4899</v>
      </c>
      <c r="BH10" s="1172"/>
      <c r="BI10" s="1169"/>
      <c r="BJ10" s="1169"/>
      <c r="BK10" s="1169"/>
      <c r="BL10" s="1169"/>
      <c r="BM10" s="1171">
        <f>BM12/BM13</f>
        <v>4608.4742794977601</v>
      </c>
      <c r="BN10" s="1169"/>
      <c r="BO10" s="1169"/>
      <c r="BP10" s="1169"/>
      <c r="BQ10" s="1169"/>
      <c r="BR10" s="1169"/>
      <c r="BS10" s="1171">
        <f>BS12/BS13</f>
        <v>4615.3299186026679</v>
      </c>
      <c r="BT10" s="1169"/>
      <c r="BU10" s="1171">
        <f>BU12/BU13</f>
        <v>4593.75</v>
      </c>
      <c r="BV10" s="1169"/>
      <c r="BW10" s="1171">
        <f>BW12/BW13</f>
        <v>4593.75</v>
      </c>
      <c r="BX10" s="1169"/>
      <c r="BY10" s="1171">
        <f>BY12/BY13</f>
        <v>4531.25</v>
      </c>
    </row>
    <row r="11" spans="1:150" x14ac:dyDescent="0.3">
      <c r="C11" s="1122" t="s">
        <v>820</v>
      </c>
      <c r="D11" s="468"/>
      <c r="E11" s="468"/>
      <c r="F11" s="468"/>
      <c r="G11" s="468"/>
      <c r="H11" s="468"/>
      <c r="I11" s="1164">
        <v>187</v>
      </c>
      <c r="J11" s="1164"/>
      <c r="K11" s="1164"/>
      <c r="L11" s="1164"/>
      <c r="M11" s="1164"/>
      <c r="N11" s="1164"/>
      <c r="O11" s="1164">
        <v>175</v>
      </c>
      <c r="P11" s="1164"/>
      <c r="Q11" s="1164"/>
      <c r="R11" s="1164"/>
      <c r="S11" s="1164"/>
      <c r="T11" s="1164"/>
      <c r="U11" s="1164">
        <v>177</v>
      </c>
      <c r="V11" s="468"/>
      <c r="W11" s="468"/>
      <c r="X11" s="468"/>
      <c r="Y11" s="468"/>
      <c r="Z11" s="468"/>
      <c r="AA11" s="1114">
        <f>U11*(1+AA12)</f>
        <v>182.31</v>
      </c>
      <c r="AB11" s="1114"/>
      <c r="AC11" s="1114"/>
      <c r="AD11" s="1114"/>
      <c r="AE11" s="1114"/>
      <c r="AF11" s="1114"/>
      <c r="AG11" s="1114">
        <f>AA11*(1+AG12)</f>
        <v>187.77930000000001</v>
      </c>
      <c r="AH11" s="1114"/>
      <c r="AI11" s="1114">
        <f>AG11*(1+AI12)</f>
        <v>193.41267900000003</v>
      </c>
      <c r="AJ11" s="1114"/>
      <c r="AK11" s="1114">
        <f>AI11*(1+AK12)</f>
        <v>197.28093258000004</v>
      </c>
      <c r="AL11" s="1114"/>
      <c r="AM11" s="1114">
        <f>AK11*(1+AM12)</f>
        <v>201.22655123160004</v>
      </c>
      <c r="AO11" s="1115" t="s">
        <v>821</v>
      </c>
      <c r="AP11" s="468"/>
      <c r="AQ11" s="468"/>
      <c r="AR11" s="468"/>
      <c r="AS11" s="468"/>
      <c r="AT11" s="468"/>
      <c r="AU11" s="1118"/>
      <c r="AV11" s="1118"/>
      <c r="AW11" s="1118"/>
      <c r="AX11" s="1118"/>
      <c r="AY11" s="1118"/>
      <c r="AZ11" s="1118"/>
      <c r="BA11" s="1116">
        <f>BA10/AU10-1</f>
        <v>3.7244348762109691E-2</v>
      </c>
      <c r="BB11" s="1136"/>
      <c r="BC11" s="1136"/>
      <c r="BD11" s="1136"/>
      <c r="BE11" s="1136"/>
      <c r="BF11" s="1136"/>
      <c r="BG11" s="1116">
        <f>BG10/BA10-1</f>
        <v>1.6811955168119619E-2</v>
      </c>
      <c r="BH11" s="1137"/>
      <c r="BI11" s="1138"/>
      <c r="BJ11" s="1138"/>
      <c r="BK11" s="1138"/>
      <c r="BL11" s="1138"/>
      <c r="BM11" s="1133">
        <f>BM10/BG10-1</f>
        <v>-5.9303066034341656E-2</v>
      </c>
      <c r="BN11" s="1138"/>
      <c r="BO11" s="1138"/>
      <c r="BP11" s="1138"/>
      <c r="BQ11" s="1138"/>
      <c r="BR11" s="1138"/>
      <c r="BS11" s="1133">
        <f>BS10/BM10-1</f>
        <v>1.4876157897651954E-3</v>
      </c>
      <c r="BT11" s="1138"/>
      <c r="BU11" s="1133">
        <f>BU10/BS10-1</f>
        <v>-4.6757044422084393E-3</v>
      </c>
      <c r="BV11" s="1138"/>
      <c r="BW11" s="1133">
        <f>BW10/BU10-1</f>
        <v>0</v>
      </c>
      <c r="BX11" s="1138"/>
      <c r="BY11" s="1133">
        <f>BY10/BW10-1</f>
        <v>-1.3605442176870763E-2</v>
      </c>
    </row>
    <row r="12" spans="1:150" x14ac:dyDescent="0.3">
      <c r="C12" s="1123" t="s">
        <v>816</v>
      </c>
      <c r="D12" s="468"/>
      <c r="E12" s="468"/>
      <c r="F12" s="468"/>
      <c r="G12" s="468"/>
      <c r="H12" s="468"/>
      <c r="I12" s="468"/>
      <c r="J12" s="468"/>
      <c r="K12" s="468"/>
      <c r="L12" s="468"/>
      <c r="M12" s="468"/>
      <c r="N12" s="468"/>
      <c r="O12" s="1124">
        <f>O11/I11-1</f>
        <v>-6.4171122994652441E-2</v>
      </c>
      <c r="P12" s="1124"/>
      <c r="Q12" s="1124"/>
      <c r="R12" s="1124"/>
      <c r="S12" s="1124"/>
      <c r="T12" s="1124"/>
      <c r="U12" s="1124">
        <f>U11/O11-1</f>
        <v>1.1428571428571344E-2</v>
      </c>
      <c r="V12" s="1124"/>
      <c r="W12" s="1124"/>
      <c r="X12" s="1124"/>
      <c r="Y12" s="1124"/>
      <c r="Z12" s="1124"/>
      <c r="AA12" s="1163">
        <v>0.03</v>
      </c>
      <c r="AB12" s="1124"/>
      <c r="AC12" s="1124"/>
      <c r="AD12" s="1124"/>
      <c r="AE12" s="1124"/>
      <c r="AF12" s="1124"/>
      <c r="AG12" s="1163">
        <v>0.03</v>
      </c>
      <c r="AH12" s="1124"/>
      <c r="AI12" s="1163">
        <v>0.03</v>
      </c>
      <c r="AJ12" s="1124"/>
      <c r="AK12" s="1163">
        <v>0.02</v>
      </c>
      <c r="AL12" s="1124"/>
      <c r="AM12" s="1163">
        <v>0.02</v>
      </c>
      <c r="AN12" s="1107"/>
      <c r="AO12" s="1115" t="s">
        <v>822</v>
      </c>
      <c r="AP12" s="468"/>
      <c r="AQ12" s="468"/>
      <c r="AR12" s="468"/>
      <c r="AS12" s="468"/>
      <c r="AT12" s="468"/>
      <c r="AU12" s="1142">
        <v>30717</v>
      </c>
      <c r="AV12" s="1142"/>
      <c r="AW12" s="1142"/>
      <c r="AX12" s="1142"/>
      <c r="AY12" s="1142"/>
      <c r="AZ12" s="1142"/>
      <c r="BA12" s="1143">
        <v>31490</v>
      </c>
      <c r="BB12" s="1142"/>
      <c r="BC12" s="1142"/>
      <c r="BD12" s="1142"/>
      <c r="BE12" s="1142"/>
      <c r="BF12" s="1142"/>
      <c r="BG12" s="1143">
        <v>30336</v>
      </c>
      <c r="BH12" s="1144"/>
      <c r="BI12" s="1145"/>
      <c r="BJ12" s="1145"/>
      <c r="BK12" s="1145"/>
      <c r="BL12" s="1145"/>
      <c r="BM12" s="1150">
        <v>29711</v>
      </c>
      <c r="BN12" s="1145"/>
      <c r="BO12" s="1145"/>
      <c r="BP12" s="1145"/>
      <c r="BQ12" s="1145"/>
      <c r="BR12" s="1145"/>
      <c r="BS12" s="1150">
        <v>29500</v>
      </c>
      <c r="BT12" s="1145"/>
      <c r="BU12" s="1150">
        <v>29400</v>
      </c>
      <c r="BV12" s="1145"/>
      <c r="BW12" s="1150">
        <v>29400</v>
      </c>
      <c r="BX12" s="1145"/>
      <c r="BY12" s="1150">
        <v>29000</v>
      </c>
      <c r="BZ12" s="1106"/>
    </row>
    <row r="13" spans="1:150" x14ac:dyDescent="0.3">
      <c r="C13" s="1122" t="s">
        <v>823</v>
      </c>
      <c r="D13" s="468"/>
      <c r="E13" s="468"/>
      <c r="F13" s="468"/>
      <c r="G13" s="468"/>
      <c r="H13" s="468"/>
      <c r="I13" s="1164">
        <v>885</v>
      </c>
      <c r="J13" s="1164"/>
      <c r="K13" s="1164"/>
      <c r="L13" s="1164"/>
      <c r="M13" s="1164"/>
      <c r="N13" s="1164"/>
      <c r="O13" s="1164">
        <v>867</v>
      </c>
      <c r="P13" s="1164"/>
      <c r="Q13" s="1164"/>
      <c r="R13" s="1164"/>
      <c r="S13" s="1164"/>
      <c r="T13" s="1164"/>
      <c r="U13" s="1164">
        <v>702</v>
      </c>
      <c r="V13" s="468"/>
      <c r="W13" s="468"/>
      <c r="X13" s="468"/>
      <c r="Y13" s="468"/>
      <c r="Z13" s="468"/>
      <c r="AA13" s="1114">
        <f>U13*(1+AA14)</f>
        <v>631.80000000000007</v>
      </c>
      <c r="AB13" s="1114"/>
      <c r="AC13" s="1114"/>
      <c r="AD13" s="1114"/>
      <c r="AE13" s="1114"/>
      <c r="AF13" s="1114"/>
      <c r="AG13" s="1114">
        <f>AA13*(1+AG14)</f>
        <v>581.25600000000009</v>
      </c>
      <c r="AH13" s="1114"/>
      <c r="AI13" s="1114">
        <f>AG13*(1+AI14)</f>
        <v>552.19320000000005</v>
      </c>
      <c r="AJ13" s="1114"/>
      <c r="AK13" s="1114">
        <f>AI13*(1+AK14)</f>
        <v>552.19320000000005</v>
      </c>
      <c r="AL13" s="1114"/>
      <c r="AM13" s="1114">
        <f>AK13*(1+AM14)</f>
        <v>563.23706400000003</v>
      </c>
      <c r="AO13" s="1115" t="s">
        <v>824</v>
      </c>
      <c r="AP13" s="468"/>
      <c r="AQ13" s="468"/>
      <c r="AR13" s="468"/>
      <c r="AS13" s="468"/>
      <c r="AT13" s="468"/>
      <c r="AU13" s="1139">
        <f>AU12/AU10</f>
        <v>6.6129171151776101</v>
      </c>
      <c r="AV13" s="1139"/>
      <c r="AW13" s="1139"/>
      <c r="AX13" s="1139"/>
      <c r="AY13" s="1139"/>
      <c r="AZ13" s="1139"/>
      <c r="BA13" s="1139">
        <f>BA12/BA10</f>
        <v>6.5359070153590704</v>
      </c>
      <c r="BB13" s="1139"/>
      <c r="BC13" s="1139"/>
      <c r="BD13" s="1139"/>
      <c r="BE13" s="1139"/>
      <c r="BF13" s="1139"/>
      <c r="BG13" s="1139">
        <f>BG12/BG10</f>
        <v>6.1922841396203303</v>
      </c>
      <c r="BH13" s="1140"/>
      <c r="BI13" s="1141"/>
      <c r="BJ13" s="1141"/>
      <c r="BK13" s="1141"/>
      <c r="BL13" s="1141"/>
      <c r="BM13" s="1149">
        <f>AVERAGE(AU13:BG13)</f>
        <v>6.4470360900523369</v>
      </c>
      <c r="BN13" s="1141"/>
      <c r="BO13" s="1141"/>
      <c r="BP13" s="1141"/>
      <c r="BQ13" s="1141"/>
      <c r="BR13" s="1141"/>
      <c r="BS13" s="1149">
        <f>AVERAGE(BA13:BM13)</f>
        <v>6.3917424150105795</v>
      </c>
      <c r="BT13" s="1141"/>
      <c r="BU13" s="1149">
        <v>6.4</v>
      </c>
      <c r="BV13" s="1141"/>
      <c r="BW13" s="1149">
        <v>6.4</v>
      </c>
      <c r="BX13" s="1141"/>
      <c r="BY13" s="1149">
        <v>6.4</v>
      </c>
    </row>
    <row r="14" spans="1:150" x14ac:dyDescent="0.3">
      <c r="C14" s="1123" t="s">
        <v>816</v>
      </c>
      <c r="D14" s="468"/>
      <c r="E14" s="468"/>
      <c r="F14" s="468"/>
      <c r="G14" s="468"/>
      <c r="H14" s="468"/>
      <c r="I14" s="468"/>
      <c r="J14" s="468"/>
      <c r="K14" s="468"/>
      <c r="L14" s="468"/>
      <c r="M14" s="468"/>
      <c r="N14" s="468"/>
      <c r="O14" s="1124">
        <f>O13/I13-1</f>
        <v>-2.033898305084747E-2</v>
      </c>
      <c r="P14" s="1124"/>
      <c r="Q14" s="1124"/>
      <c r="R14" s="1124"/>
      <c r="S14" s="1124"/>
      <c r="T14" s="1124"/>
      <c r="U14" s="1124">
        <f>U13/O13-1</f>
        <v>-0.19031141868512114</v>
      </c>
      <c r="V14" s="1124"/>
      <c r="W14" s="1124"/>
      <c r="X14" s="1124"/>
      <c r="Y14" s="1124"/>
      <c r="Z14" s="1124"/>
      <c r="AA14" s="1163">
        <v>-0.1</v>
      </c>
      <c r="AB14" s="1124"/>
      <c r="AC14" s="1124"/>
      <c r="AD14" s="1124"/>
      <c r="AE14" s="1124"/>
      <c r="AF14" s="1124"/>
      <c r="AG14" s="1163">
        <v>-0.08</v>
      </c>
      <c r="AH14" s="1124"/>
      <c r="AI14" s="1163">
        <v>-0.05</v>
      </c>
      <c r="AJ14" s="1124"/>
      <c r="AK14" s="1163">
        <v>0</v>
      </c>
      <c r="AL14" s="1124"/>
      <c r="AM14" s="1163">
        <v>0.02</v>
      </c>
      <c r="AN14" s="1107"/>
      <c r="AO14" s="1168" t="s">
        <v>825</v>
      </c>
      <c r="AP14" s="1169"/>
      <c r="AQ14" s="468"/>
      <c r="AR14" s="468"/>
      <c r="AS14" s="468"/>
      <c r="AT14" s="468"/>
      <c r="AU14" s="1170">
        <v>2442</v>
      </c>
      <c r="AV14" s="1170"/>
      <c r="AW14" s="1170"/>
      <c r="AX14" s="1170"/>
      <c r="AY14" s="1170"/>
      <c r="AZ14" s="1170"/>
      <c r="BA14" s="1170">
        <v>2616</v>
      </c>
      <c r="BB14" s="1170"/>
      <c r="BC14" s="1170"/>
      <c r="BD14" s="1170"/>
      <c r="BE14" s="1170"/>
      <c r="BF14" s="1170"/>
      <c r="BG14" s="1170">
        <v>2520</v>
      </c>
      <c r="BH14" s="1172"/>
      <c r="BI14" s="1169"/>
      <c r="BJ14" s="1169"/>
      <c r="BK14" s="1169"/>
      <c r="BL14" s="1169"/>
      <c r="BM14" s="1171">
        <f>BM7*BM15</f>
        <v>2637.699825470459</v>
      </c>
      <c r="BN14" s="1171"/>
      <c r="BO14" s="1171"/>
      <c r="BP14" s="1171"/>
      <c r="BQ14" s="1171"/>
      <c r="BR14" s="1171"/>
      <c r="BS14" s="1171">
        <f>BS7*BS15</f>
        <v>2757.6568085110721</v>
      </c>
      <c r="BT14" s="1171"/>
      <c r="BU14" s="1171">
        <f>BU7*BU15</f>
        <v>2816.9161592685678</v>
      </c>
      <c r="BV14" s="1171"/>
      <c r="BW14" s="1171">
        <f>BW7*BW15</f>
        <v>2904.3231648112915</v>
      </c>
      <c r="BX14" s="1171"/>
      <c r="BY14" s="1171">
        <f>BY7*BY15</f>
        <v>2975.0868517944177</v>
      </c>
    </row>
    <row r="15" spans="1:150" s="1109" customFormat="1" x14ac:dyDescent="0.3">
      <c r="A15" s="1101"/>
      <c r="B15" s="1101"/>
      <c r="C15" s="1125" t="s">
        <v>826</v>
      </c>
      <c r="D15" s="1126"/>
      <c r="E15" s="1126"/>
      <c r="F15" s="1126"/>
      <c r="G15" s="1126"/>
      <c r="H15" s="1126"/>
      <c r="I15" s="1126">
        <f>SUM(I7:I13)</f>
        <v>2060</v>
      </c>
      <c r="J15" s="1126"/>
      <c r="K15" s="1126"/>
      <c r="L15" s="1126"/>
      <c r="M15" s="1126"/>
      <c r="N15" s="1126"/>
      <c r="O15" s="1127">
        <f>SUM(O7:O13)</f>
        <v>2030.9410920349001</v>
      </c>
      <c r="P15" s="1127"/>
      <c r="Q15" s="1127"/>
      <c r="R15" s="1127"/>
      <c r="S15" s="1127"/>
      <c r="T15" s="1127"/>
      <c r="U15" s="1127">
        <f>SUM(U7:U13)</f>
        <v>1942.1917747247699</v>
      </c>
      <c r="V15" s="1127"/>
      <c r="W15" s="1127"/>
      <c r="X15" s="1127"/>
      <c r="Y15" s="1127"/>
      <c r="Z15" s="1127"/>
      <c r="AA15" s="1127">
        <f>SUM(AA7:AA13)</f>
        <v>1966.62</v>
      </c>
      <c r="AB15" s="1127"/>
      <c r="AC15" s="1127"/>
      <c r="AD15" s="1127"/>
      <c r="AE15" s="1127"/>
      <c r="AF15" s="1127"/>
      <c r="AG15" s="1127">
        <f>SUM(AG7:AG13)</f>
        <v>1986.1393</v>
      </c>
      <c r="AH15" s="1127"/>
      <c r="AI15" s="1127">
        <f>SUM(AI7:AI13)</f>
        <v>2020.9866390000002</v>
      </c>
      <c r="AJ15" s="1127"/>
      <c r="AK15" s="1127">
        <f>SUM(AK7:AK13)</f>
        <v>2075.8453229800002</v>
      </c>
      <c r="AL15" s="1127"/>
      <c r="AM15" s="1127">
        <f>SUM(AM7:AM13)</f>
        <v>2141.1387293436005</v>
      </c>
      <c r="AN15" s="1101"/>
      <c r="AO15" s="1115" t="s">
        <v>707</v>
      </c>
      <c r="AP15" s="468"/>
      <c r="AQ15" s="468"/>
      <c r="AR15" s="468"/>
      <c r="AS15" s="468"/>
      <c r="AT15" s="468"/>
      <c r="AU15" s="1116">
        <f>AU14/AU7</f>
        <v>9.8170854271356786E-2</v>
      </c>
      <c r="AV15" s="1116"/>
      <c r="AW15" s="1116"/>
      <c r="AX15" s="1116"/>
      <c r="AY15" s="1116"/>
      <c r="AZ15" s="1116"/>
      <c r="BA15" s="1116">
        <f>BA14/BA7</f>
        <v>0.1084622082175878</v>
      </c>
      <c r="BB15" s="1116"/>
      <c r="BC15" s="1116"/>
      <c r="BD15" s="1116"/>
      <c r="BE15" s="1116"/>
      <c r="BF15" s="1116"/>
      <c r="BG15" s="1116">
        <f>BG14/BG7</f>
        <v>0.10391752577319588</v>
      </c>
      <c r="BH15" s="1117"/>
      <c r="BI15" s="1117"/>
      <c r="BJ15" s="1117"/>
      <c r="BK15" s="1117"/>
      <c r="BL15" s="1117"/>
      <c r="BM15" s="1167">
        <f>AVERAGE(BG15,BA15,AU15)</f>
        <v>0.10351686275404683</v>
      </c>
      <c r="BN15" s="1117"/>
      <c r="BO15" s="1117"/>
      <c r="BP15" s="1117"/>
      <c r="BQ15" s="1117"/>
      <c r="BR15" s="1117"/>
      <c r="BS15" s="1167">
        <f>AVERAGE(BM15,BG15,BA15)</f>
        <v>0.10529886558161017</v>
      </c>
      <c r="BT15" s="1117"/>
      <c r="BU15" s="1167">
        <v>0.105</v>
      </c>
      <c r="BV15" s="1117"/>
      <c r="BW15" s="1167">
        <v>0.105</v>
      </c>
      <c r="BX15" s="1117"/>
      <c r="BY15" s="1167">
        <v>0.105</v>
      </c>
      <c r="BZ15" s="1101"/>
      <c r="CA15" s="1101"/>
      <c r="CB15" s="1101"/>
      <c r="CC15" s="1101"/>
      <c r="CD15" s="1101"/>
      <c r="CE15" s="1101"/>
      <c r="CF15" s="1101"/>
      <c r="CG15" s="1101"/>
      <c r="CH15" s="1101"/>
      <c r="CI15" s="1101"/>
      <c r="CJ15" s="1101"/>
      <c r="CK15" s="1101"/>
      <c r="CL15" s="1101"/>
      <c r="CM15" s="1101"/>
      <c r="CN15" s="1101"/>
      <c r="CO15" s="1101"/>
      <c r="CP15" s="1101"/>
      <c r="CQ15" s="1101"/>
      <c r="CR15" s="1101"/>
      <c r="CS15" s="1101"/>
      <c r="CT15" s="1101"/>
      <c r="CU15" s="1101"/>
      <c r="CV15" s="1101"/>
      <c r="CW15" s="1101"/>
      <c r="CX15" s="1101"/>
      <c r="CY15" s="1101"/>
      <c r="CZ15" s="1101"/>
      <c r="DA15" s="1101"/>
      <c r="DB15" s="1101"/>
      <c r="DC15" s="1101"/>
      <c r="DD15" s="1101"/>
      <c r="DE15" s="1101"/>
      <c r="DF15" s="1101"/>
      <c r="DG15" s="1101"/>
      <c r="DH15" s="1101"/>
      <c r="DI15" s="1101"/>
      <c r="DJ15" s="1101"/>
      <c r="DK15" s="1101"/>
      <c r="DL15" s="1101"/>
      <c r="DM15" s="1101"/>
      <c r="DN15" s="1101"/>
      <c r="DO15" s="1101"/>
      <c r="DP15" s="1101"/>
      <c r="DQ15" s="1101"/>
      <c r="DR15" s="1101"/>
      <c r="DS15" s="1101"/>
      <c r="DT15" s="1101"/>
      <c r="DU15" s="1101"/>
      <c r="DV15" s="1101"/>
      <c r="DW15" s="1101"/>
      <c r="DX15" s="1101"/>
      <c r="DY15" s="1101"/>
      <c r="DZ15" s="1101"/>
      <c r="EA15" s="1101"/>
      <c r="EB15" s="1101"/>
      <c r="EC15" s="1101"/>
      <c r="ED15" s="1101"/>
      <c r="EE15" s="1101"/>
      <c r="EF15" s="1101"/>
      <c r="EG15" s="1101"/>
      <c r="EH15" s="1101"/>
      <c r="EI15" s="1101"/>
      <c r="EJ15" s="1101"/>
      <c r="EK15" s="1101"/>
      <c r="EL15" s="1101"/>
      <c r="EM15" s="1101"/>
      <c r="EN15" s="1101"/>
      <c r="EO15" s="1101"/>
      <c r="EP15" s="1101"/>
      <c r="EQ15" s="1101"/>
      <c r="ER15" s="1101"/>
      <c r="ES15" s="1101"/>
      <c r="ET15" s="1101"/>
    </row>
    <row r="16" spans="1:150" s="1101" customFormat="1" x14ac:dyDescent="0.3">
      <c r="C16" s="1128"/>
      <c r="D16" s="1120"/>
      <c r="E16" s="1120"/>
      <c r="F16" s="1120"/>
      <c r="G16" s="1120"/>
      <c r="H16" s="1120"/>
      <c r="I16" s="1120"/>
      <c r="J16" s="1120"/>
      <c r="K16" s="1120"/>
      <c r="L16" s="1120"/>
      <c r="M16" s="1120"/>
      <c r="N16" s="1120"/>
      <c r="O16" s="1120"/>
      <c r="P16" s="1120"/>
      <c r="Q16" s="1120"/>
      <c r="R16" s="1120"/>
      <c r="S16" s="1120"/>
      <c r="T16" s="1120"/>
      <c r="U16" s="1120"/>
      <c r="V16" s="1120"/>
      <c r="W16" s="1120"/>
      <c r="X16" s="1120"/>
      <c r="Y16" s="1120"/>
      <c r="Z16" s="1120"/>
      <c r="AA16" s="1120"/>
      <c r="AB16" s="1120"/>
      <c r="AC16" s="1120"/>
      <c r="AD16" s="1120"/>
      <c r="AE16" s="1120"/>
      <c r="AF16" s="1120"/>
      <c r="AG16" s="1120"/>
      <c r="AH16" s="1120"/>
      <c r="AI16" s="1120"/>
      <c r="AJ16" s="1120"/>
      <c r="AK16" s="1120"/>
      <c r="AL16" s="1120"/>
      <c r="AM16" s="1120"/>
      <c r="AO16" s="1168" t="s">
        <v>827</v>
      </c>
      <c r="AP16" s="1169"/>
      <c r="AQ16" s="1169"/>
      <c r="AR16" s="1169"/>
      <c r="AS16" s="1169"/>
      <c r="AT16" s="1169"/>
      <c r="AU16" s="1170">
        <v>3439</v>
      </c>
      <c r="AV16" s="1170"/>
      <c r="AW16" s="1170"/>
      <c r="AX16" s="1170"/>
      <c r="AY16" s="1170"/>
      <c r="AZ16" s="1170"/>
      <c r="BA16" s="1170">
        <v>2891</v>
      </c>
      <c r="BB16" s="1170"/>
      <c r="BC16" s="1170"/>
      <c r="BD16" s="1170"/>
      <c r="BE16" s="1170"/>
      <c r="BF16" s="1170"/>
      <c r="BG16" s="1170">
        <v>2474</v>
      </c>
      <c r="BH16" s="1169"/>
      <c r="BI16" s="1169"/>
      <c r="BJ16" s="1169"/>
      <c r="BK16" s="1169"/>
      <c r="BL16" s="1169"/>
      <c r="BM16" s="1171">
        <f>BM18/BM17</f>
        <v>2573.7235772357726</v>
      </c>
      <c r="BN16" s="1169"/>
      <c r="BO16" s="1169"/>
      <c r="BP16" s="1169"/>
      <c r="BQ16" s="1169"/>
      <c r="BR16" s="1169"/>
      <c r="BS16" s="1171">
        <f>BS18/BS17</f>
        <v>2736.7489361702128</v>
      </c>
      <c r="BT16" s="1169"/>
      <c r="BU16" s="1171">
        <f>BU18/BU17</f>
        <v>2578.8521739130438</v>
      </c>
      <c r="BV16" s="1169"/>
      <c r="BW16" s="1171">
        <f>BW18/BW17</f>
        <v>2535.3739130434788</v>
      </c>
      <c r="BX16" s="1169"/>
      <c r="BY16" s="1171">
        <f>BY18/BY17</f>
        <v>2419.4318840579713</v>
      </c>
    </row>
    <row r="17" spans="1:150" x14ac:dyDescent="0.3">
      <c r="C17" s="1122" t="s">
        <v>828</v>
      </c>
      <c r="D17" s="468"/>
      <c r="E17" s="468"/>
      <c r="F17" s="468"/>
      <c r="G17" s="468"/>
      <c r="H17" s="468"/>
      <c r="I17" s="1164">
        <v>637</v>
      </c>
      <c r="J17" s="1164"/>
      <c r="K17" s="1164"/>
      <c r="L17" s="1164"/>
      <c r="M17" s="1164"/>
      <c r="N17" s="1164"/>
      <c r="O17" s="1164">
        <v>645</v>
      </c>
      <c r="P17" s="1164"/>
      <c r="Q17" s="1164"/>
      <c r="R17" s="1164"/>
      <c r="S17" s="1164"/>
      <c r="T17" s="1164"/>
      <c r="U17" s="1164">
        <v>672</v>
      </c>
      <c r="V17" s="468"/>
      <c r="W17" s="468"/>
      <c r="X17" s="468"/>
      <c r="Y17" s="468"/>
      <c r="Z17" s="468"/>
      <c r="AA17" s="1114">
        <f>U17*(1+AA18)</f>
        <v>702.24</v>
      </c>
      <c r="AB17" s="1114"/>
      <c r="AC17" s="1114"/>
      <c r="AD17" s="1114"/>
      <c r="AE17" s="1114"/>
      <c r="AF17" s="1114"/>
      <c r="AG17" s="1114">
        <f>AA17*(1+AG18)</f>
        <v>730.32960000000003</v>
      </c>
      <c r="AH17" s="1114"/>
      <c r="AI17" s="1114">
        <f>AG17*(1+AI18)</f>
        <v>759.5427840000001</v>
      </c>
      <c r="AJ17" s="1114"/>
      <c r="AK17" s="1114">
        <f>AI17*(1+AK18)</f>
        <v>789.92449536000015</v>
      </c>
      <c r="AL17" s="1114"/>
      <c r="AM17" s="1114">
        <f>AK17*(1+AM18)</f>
        <v>813.62223022080013</v>
      </c>
      <c r="AO17" s="1115" t="s">
        <v>829</v>
      </c>
      <c r="AP17" s="468"/>
      <c r="AQ17" s="468"/>
      <c r="AR17" s="468"/>
      <c r="AS17" s="468"/>
      <c r="AT17" s="468"/>
      <c r="AU17" s="1136">
        <v>3.65</v>
      </c>
      <c r="AV17" s="1136"/>
      <c r="AW17" s="1136"/>
      <c r="AX17" s="1136"/>
      <c r="AY17" s="1136"/>
      <c r="AZ17" s="1136"/>
      <c r="BA17" s="1136">
        <v>3.09</v>
      </c>
      <c r="BB17" s="1136"/>
      <c r="BC17" s="1136"/>
      <c r="BD17" s="1136"/>
      <c r="BE17" s="1136"/>
      <c r="BF17" s="1136"/>
      <c r="BG17" s="1136">
        <v>2.64</v>
      </c>
      <c r="BH17" s="468"/>
      <c r="BI17" s="468"/>
      <c r="BJ17" s="468"/>
      <c r="BK17" s="468"/>
      <c r="BL17" s="468"/>
      <c r="BM17" s="1138">
        <v>2.46</v>
      </c>
      <c r="BN17" s="1138"/>
      <c r="BO17" s="1138"/>
      <c r="BP17" s="1138"/>
      <c r="BQ17" s="1138"/>
      <c r="BR17" s="1138"/>
      <c r="BS17" s="1141">
        <v>2.35</v>
      </c>
      <c r="BT17" s="1138"/>
      <c r="BU17" s="1141">
        <v>2.2999999999999998</v>
      </c>
      <c r="BV17" s="1141"/>
      <c r="BW17" s="1141">
        <v>2.2999999999999998</v>
      </c>
      <c r="BX17" s="1141"/>
      <c r="BY17" s="1141">
        <v>2.2999999999999998</v>
      </c>
    </row>
    <row r="18" spans="1:150" x14ac:dyDescent="0.3">
      <c r="C18" s="1123" t="s">
        <v>816</v>
      </c>
      <c r="D18" s="468"/>
      <c r="E18" s="468"/>
      <c r="F18" s="468"/>
      <c r="G18" s="468"/>
      <c r="H18" s="468"/>
      <c r="I18" s="468"/>
      <c r="J18" s="468"/>
      <c r="K18" s="468"/>
      <c r="L18" s="468"/>
      <c r="M18" s="468"/>
      <c r="N18" s="468"/>
      <c r="O18" s="1124">
        <f>O17/I17-1</f>
        <v>1.2558869701726927E-2</v>
      </c>
      <c r="P18" s="1124"/>
      <c r="Q18" s="1124"/>
      <c r="R18" s="1124"/>
      <c r="S18" s="1124"/>
      <c r="T18" s="1124"/>
      <c r="U18" s="1124">
        <f>U17/O17-1</f>
        <v>4.1860465116279055E-2</v>
      </c>
      <c r="V18" s="1124"/>
      <c r="W18" s="1124"/>
      <c r="X18" s="1124"/>
      <c r="Y18" s="1124"/>
      <c r="Z18" s="1124"/>
      <c r="AA18" s="1163">
        <v>4.4999999999999998E-2</v>
      </c>
      <c r="AB18" s="1124"/>
      <c r="AC18" s="1124"/>
      <c r="AD18" s="1124"/>
      <c r="AE18" s="1124"/>
      <c r="AF18" s="1124"/>
      <c r="AG18" s="1163">
        <v>0.04</v>
      </c>
      <c r="AH18" s="1124"/>
      <c r="AI18" s="1163">
        <v>0.04</v>
      </c>
      <c r="AJ18" s="1124"/>
      <c r="AK18" s="1163">
        <v>0.04</v>
      </c>
      <c r="AL18" s="1124"/>
      <c r="AM18" s="1163">
        <v>0.03</v>
      </c>
      <c r="AN18" s="1107"/>
      <c r="AO18" s="1115" t="s">
        <v>830</v>
      </c>
      <c r="AP18" s="1119"/>
      <c r="AQ18" s="1119"/>
      <c r="AR18" s="1119"/>
      <c r="AS18" s="1119"/>
      <c r="AT18" s="1119"/>
      <c r="AU18" s="1160">
        <f>AU17*AU16</f>
        <v>12552.35</v>
      </c>
      <c r="AV18" s="1159"/>
      <c r="AW18" s="1159"/>
      <c r="AX18" s="1159"/>
      <c r="AY18" s="1159"/>
      <c r="AZ18" s="1159"/>
      <c r="BA18" s="1160">
        <f>BA17*BA16</f>
        <v>8933.1899999999987</v>
      </c>
      <c r="BB18" s="1159"/>
      <c r="BC18" s="1159"/>
      <c r="BD18" s="1159"/>
      <c r="BE18" s="1159"/>
      <c r="BF18" s="1159"/>
      <c r="BG18" s="1160">
        <f>BG17*BG16</f>
        <v>6531.3600000000006</v>
      </c>
      <c r="BH18" s="1119"/>
      <c r="BI18" s="1119"/>
      <c r="BJ18" s="1119"/>
      <c r="BK18" s="1119"/>
      <c r="BL18" s="1119"/>
      <c r="BM18" s="1162">
        <f>BG18-200</f>
        <v>6331.3600000000006</v>
      </c>
      <c r="BN18" s="1161"/>
      <c r="BO18" s="1161"/>
      <c r="BP18" s="1161"/>
      <c r="BQ18" s="1161"/>
      <c r="BR18" s="1161"/>
      <c r="BS18" s="1162">
        <f>AVERAGE(BG18:BM18)</f>
        <v>6431.3600000000006</v>
      </c>
      <c r="BT18" s="1161"/>
      <c r="BU18" s="1162">
        <f>AVERAGE(BC18:BS18)-500</f>
        <v>5931.3600000000006</v>
      </c>
      <c r="BV18" s="1161"/>
      <c r="BW18" s="1162">
        <f>AVERAGE(BM18:BU18)-400</f>
        <v>5831.3600000000006</v>
      </c>
      <c r="BX18" s="1161"/>
      <c r="BY18" s="1162">
        <f>AVERAGE(BO18:BW18)-500</f>
        <v>5564.6933333333336</v>
      </c>
    </row>
    <row r="19" spans="1:150" x14ac:dyDescent="0.3">
      <c r="C19" s="1122" t="s">
        <v>831</v>
      </c>
      <c r="D19" s="468"/>
      <c r="E19" s="468"/>
      <c r="F19" s="468"/>
      <c r="G19" s="468"/>
      <c r="H19" s="468"/>
      <c r="I19" s="1164">
        <v>785</v>
      </c>
      <c r="J19" s="1164"/>
      <c r="K19" s="1164"/>
      <c r="L19" s="1164"/>
      <c r="M19" s="1164"/>
      <c r="N19" s="1164"/>
      <c r="O19" s="1164">
        <v>793</v>
      </c>
      <c r="P19" s="1164"/>
      <c r="Q19" s="1164"/>
      <c r="R19" s="1164"/>
      <c r="S19" s="1164"/>
      <c r="T19" s="1164"/>
      <c r="U19" s="1164">
        <v>719</v>
      </c>
      <c r="V19" s="468"/>
      <c r="W19" s="468"/>
      <c r="X19" s="468"/>
      <c r="Y19" s="468"/>
      <c r="Z19" s="468"/>
      <c r="AA19" s="1114">
        <f>U19*(1+AA20)</f>
        <v>690.24</v>
      </c>
      <c r="AB19" s="1114"/>
      <c r="AC19" s="1114"/>
      <c r="AD19" s="1114"/>
      <c r="AE19" s="1114"/>
      <c r="AF19" s="1114"/>
      <c r="AG19" s="1114">
        <f>AA19*(1+AG20)</f>
        <v>690.24</v>
      </c>
      <c r="AH19" s="1114"/>
      <c r="AI19" s="1114">
        <f>AG19*(1+AI20)</f>
        <v>697.14240000000007</v>
      </c>
      <c r="AJ19" s="1114"/>
      <c r="AK19" s="1114">
        <f>AI19*(1+AK20)</f>
        <v>711.08524800000009</v>
      </c>
      <c r="AL19" s="1114"/>
      <c r="AM19" s="1114">
        <f>AK19*(1+AM20)</f>
        <v>725.3069529600001</v>
      </c>
      <c r="AO19" s="1168" t="s">
        <v>832</v>
      </c>
      <c r="AP19" s="1169"/>
      <c r="AQ19" s="1169"/>
      <c r="AR19" s="1169"/>
      <c r="AS19" s="1169"/>
      <c r="AT19" s="1169"/>
      <c r="AU19" s="1170">
        <v>898</v>
      </c>
      <c r="AV19" s="1170"/>
      <c r="AW19" s="1170"/>
      <c r="AX19" s="1170"/>
      <c r="AY19" s="1170"/>
      <c r="AZ19" s="1170"/>
      <c r="BA19" s="1170">
        <v>947</v>
      </c>
      <c r="BB19" s="1170"/>
      <c r="BC19" s="1170"/>
      <c r="BD19" s="1170"/>
      <c r="BE19" s="1170"/>
      <c r="BF19" s="1170"/>
      <c r="BG19" s="1170">
        <v>920</v>
      </c>
      <c r="BH19" s="1169"/>
      <c r="BI19" s="1169"/>
      <c r="BJ19" s="1169"/>
      <c r="BK19" s="1169"/>
      <c r="BL19" s="1169"/>
      <c r="BM19" s="1171">
        <f>(BM20)*BM21</f>
        <v>950.65559442512961</v>
      </c>
      <c r="BN19" s="1169"/>
      <c r="BO19" s="1169"/>
      <c r="BP19" s="1169"/>
      <c r="BQ19" s="1169"/>
      <c r="BR19" s="1169"/>
      <c r="BS19" s="1171">
        <f>(BS20)*BS21</f>
        <v>972.99824462334686</v>
      </c>
      <c r="BT19" s="1169"/>
      <c r="BU19" s="1171">
        <f>(BU20)*BU21</f>
        <v>986.22845330635562</v>
      </c>
      <c r="BV19" s="1169"/>
      <c r="BW19" s="1171">
        <f>(BW20)*BW21</f>
        <v>1002.3957674868816</v>
      </c>
      <c r="BX19" s="1169"/>
      <c r="BY19" s="1171">
        <f>(BY20)*BY21</f>
        <v>1006.6844721396415</v>
      </c>
    </row>
    <row r="20" spans="1:150" x14ac:dyDescent="0.3">
      <c r="C20" s="1123" t="s">
        <v>816</v>
      </c>
      <c r="D20" s="468"/>
      <c r="E20" s="468"/>
      <c r="F20" s="468"/>
      <c r="G20" s="468"/>
      <c r="H20" s="468"/>
      <c r="I20" s="468"/>
      <c r="J20" s="468"/>
      <c r="K20" s="468"/>
      <c r="L20" s="468"/>
      <c r="M20" s="468"/>
      <c r="N20" s="468"/>
      <c r="O20" s="1124">
        <f>O19/I19-1</f>
        <v>1.0191082802547768E-2</v>
      </c>
      <c r="P20" s="1124"/>
      <c r="Q20" s="1124"/>
      <c r="R20" s="1124"/>
      <c r="S20" s="1124"/>
      <c r="T20" s="1124"/>
      <c r="U20" s="1124">
        <f>U19/O19-1</f>
        <v>-9.331651954602771E-2</v>
      </c>
      <c r="V20" s="1124"/>
      <c r="W20" s="1124"/>
      <c r="X20" s="1124"/>
      <c r="Y20" s="1124"/>
      <c r="Z20" s="1124"/>
      <c r="AA20" s="1163">
        <v>-0.04</v>
      </c>
      <c r="AB20" s="1124"/>
      <c r="AC20" s="1124"/>
      <c r="AD20" s="1124"/>
      <c r="AE20" s="1124"/>
      <c r="AF20" s="1124"/>
      <c r="AG20" s="1163">
        <v>0</v>
      </c>
      <c r="AH20" s="1124"/>
      <c r="AI20" s="1163">
        <v>0.01</v>
      </c>
      <c r="AJ20" s="1124"/>
      <c r="AK20" s="1163">
        <v>0.02</v>
      </c>
      <c r="AL20" s="1124"/>
      <c r="AM20" s="1163">
        <v>0.02</v>
      </c>
      <c r="AN20" s="1107"/>
      <c r="AO20" s="1115" t="s">
        <v>833</v>
      </c>
      <c r="AP20" s="468"/>
      <c r="AQ20" s="468"/>
      <c r="AR20" s="468"/>
      <c r="AS20" s="468"/>
      <c r="AT20" s="468"/>
      <c r="AU20" s="1151">
        <f>AU19/AU21</f>
        <v>1.5560561427828799E-2</v>
      </c>
      <c r="AV20" s="1111"/>
      <c r="AW20" s="1111"/>
      <c r="AX20" s="1111"/>
      <c r="AY20" s="1111"/>
      <c r="AZ20" s="1111"/>
      <c r="BA20" s="1151">
        <f>BA19/BA21</f>
        <v>1.6039701224572756E-2</v>
      </c>
      <c r="BB20" s="1111"/>
      <c r="BC20" s="1111"/>
      <c r="BD20" s="1111"/>
      <c r="BE20" s="1111"/>
      <c r="BF20" s="1111"/>
      <c r="BG20" s="1151">
        <f>BG19/BG21</f>
        <v>1.5425888665325285E-2</v>
      </c>
      <c r="BH20" s="468"/>
      <c r="BI20" s="468"/>
      <c r="BJ20" s="468"/>
      <c r="BK20" s="468"/>
      <c r="BL20" s="468"/>
      <c r="BM20" s="1167">
        <f>AVERAGE(AU20:BG20)</f>
        <v>1.5675383772575612E-2</v>
      </c>
      <c r="BN20" s="1138"/>
      <c r="BO20" s="1138"/>
      <c r="BP20" s="1138"/>
      <c r="BQ20" s="1138"/>
      <c r="BR20" s="1138"/>
      <c r="BS20" s="1167">
        <f>AVERAGE(BA20:BM20)</f>
        <v>1.5713657887491215E-2</v>
      </c>
      <c r="BT20" s="1138"/>
      <c r="BU20" s="1167">
        <f>AVERAGE(BG20:BS20)</f>
        <v>1.5604976775130702E-2</v>
      </c>
      <c r="BV20" s="1138"/>
      <c r="BW20" s="1167">
        <f>AVERAGE(BI20:BU20)</f>
        <v>1.5664672811732509E-2</v>
      </c>
      <c r="BX20" s="1138"/>
      <c r="BY20" s="1167">
        <f>AVERAGE(BK20:BW20)</f>
        <v>1.5664672811732509E-2</v>
      </c>
    </row>
    <row r="21" spans="1:150" x14ac:dyDescent="0.3">
      <c r="C21" s="1122" t="s">
        <v>834</v>
      </c>
      <c r="D21" s="468"/>
      <c r="E21" s="468"/>
      <c r="F21" s="468"/>
      <c r="G21" s="468"/>
      <c r="H21" s="468"/>
      <c r="I21" s="1164">
        <v>241</v>
      </c>
      <c r="J21" s="1164"/>
      <c r="K21" s="1164"/>
      <c r="L21" s="1164"/>
      <c r="M21" s="1164"/>
      <c r="N21" s="1164"/>
      <c r="O21" s="1164">
        <v>213</v>
      </c>
      <c r="P21" s="1164"/>
      <c r="Q21" s="1164"/>
      <c r="R21" s="1164"/>
      <c r="S21" s="1164"/>
      <c r="T21" s="1164"/>
      <c r="U21" s="1164">
        <v>213</v>
      </c>
      <c r="V21" s="468"/>
      <c r="W21" s="468"/>
      <c r="X21" s="468"/>
      <c r="Y21" s="468"/>
      <c r="Z21" s="468"/>
      <c r="AA21" s="1114">
        <f>U21*(1+AA22)</f>
        <v>215.13</v>
      </c>
      <c r="AB21" s="1114"/>
      <c r="AC21" s="1114"/>
      <c r="AD21" s="1114"/>
      <c r="AE21" s="1114"/>
      <c r="AF21" s="1114"/>
      <c r="AG21" s="1114">
        <f>AA21*(1+AG22)</f>
        <v>217.28129999999999</v>
      </c>
      <c r="AH21" s="1114"/>
      <c r="AI21" s="1114">
        <f>AG21*(1+AI22)</f>
        <v>219.45411299999998</v>
      </c>
      <c r="AJ21" s="1114"/>
      <c r="AK21" s="1114">
        <f>AI21*(1+AK22)</f>
        <v>223.84319525999999</v>
      </c>
      <c r="AL21" s="1114"/>
      <c r="AM21" s="1114">
        <f>AK21*(1+AM22)</f>
        <v>228.32005916519998</v>
      </c>
      <c r="AO21" s="1115" t="s">
        <v>835</v>
      </c>
      <c r="AP21" s="468"/>
      <c r="AQ21" s="468"/>
      <c r="AR21" s="468"/>
      <c r="AS21" s="468"/>
      <c r="AT21" s="468"/>
      <c r="AU21" s="1153">
        <f>FCFF!H79</f>
        <v>57710</v>
      </c>
      <c r="AV21" s="1154"/>
      <c r="AW21" s="1154"/>
      <c r="AX21" s="1154"/>
      <c r="AY21" s="1154"/>
      <c r="AZ21" s="1154"/>
      <c r="BA21" s="1153">
        <f>FCFF!N79</f>
        <v>59041</v>
      </c>
      <c r="BB21" s="1154"/>
      <c r="BC21" s="1154"/>
      <c r="BD21" s="1154"/>
      <c r="BE21" s="1154"/>
      <c r="BF21" s="1154"/>
      <c r="BG21" s="1153">
        <f>FCFF!T79</f>
        <v>59640</v>
      </c>
      <c r="BH21" s="468"/>
      <c r="BI21" s="468"/>
      <c r="BJ21" s="468"/>
      <c r="BK21" s="468"/>
      <c r="BL21" s="468"/>
      <c r="BM21" s="1155">
        <f>FCFF!Z79</f>
        <v>60646.400000000001</v>
      </c>
      <c r="BN21" s="1138"/>
      <c r="BO21" s="1138"/>
      <c r="BP21" s="1138"/>
      <c r="BQ21" s="1138"/>
      <c r="BR21" s="1138"/>
      <c r="BS21" s="1155">
        <f>FCFF!AF79</f>
        <v>61920.544000000002</v>
      </c>
      <c r="BT21" s="1138"/>
      <c r="BU21" s="1155">
        <f>FCFF!AH79</f>
        <v>63199.610452358094</v>
      </c>
      <c r="BV21" s="1138"/>
      <c r="BW21" s="1155">
        <f>FCFF!AJ79</f>
        <v>63990.85250833381</v>
      </c>
      <c r="BX21" s="1138"/>
      <c r="BY21" s="1155">
        <f>FCFF!AL79</f>
        <v>64264.634457328473</v>
      </c>
    </row>
    <row r="22" spans="1:150" x14ac:dyDescent="0.3">
      <c r="C22" s="1123" t="s">
        <v>816</v>
      </c>
      <c r="D22" s="468"/>
      <c r="E22" s="468"/>
      <c r="F22" s="468"/>
      <c r="G22" s="468"/>
      <c r="H22" s="468"/>
      <c r="I22" s="468"/>
      <c r="J22" s="468"/>
      <c r="K22" s="468"/>
      <c r="L22" s="468"/>
      <c r="M22" s="468"/>
      <c r="N22" s="468"/>
      <c r="O22" s="1124">
        <f>O21/I21-1</f>
        <v>-0.11618257261410792</v>
      </c>
      <c r="P22" s="1124"/>
      <c r="Q22" s="1124"/>
      <c r="R22" s="1124"/>
      <c r="S22" s="1124"/>
      <c r="T22" s="1124"/>
      <c r="U22" s="1124">
        <f>U21/O21-1</f>
        <v>0</v>
      </c>
      <c r="V22" s="1124"/>
      <c r="W22" s="1124"/>
      <c r="X22" s="1124"/>
      <c r="Y22" s="1124"/>
      <c r="Z22" s="1124"/>
      <c r="AA22" s="1163">
        <v>0.01</v>
      </c>
      <c r="AB22" s="1124"/>
      <c r="AC22" s="1124"/>
      <c r="AD22" s="1124"/>
      <c r="AE22" s="1124"/>
      <c r="AF22" s="1124"/>
      <c r="AG22" s="1163">
        <v>0.01</v>
      </c>
      <c r="AH22" s="1124"/>
      <c r="AI22" s="1163">
        <v>0.01</v>
      </c>
      <c r="AJ22" s="1124"/>
      <c r="AK22" s="1163">
        <v>0.02</v>
      </c>
      <c r="AL22" s="1124"/>
      <c r="AM22" s="1163">
        <v>0.02</v>
      </c>
      <c r="AN22" s="1107"/>
      <c r="AO22" s="1168" t="s">
        <v>87</v>
      </c>
      <c r="AP22" s="1169"/>
      <c r="AQ22" s="1169"/>
      <c r="AR22" s="1169"/>
      <c r="AS22" s="1169"/>
      <c r="AT22" s="1169"/>
      <c r="AU22" s="1170">
        <v>1288</v>
      </c>
      <c r="AV22" s="1170"/>
      <c r="AW22" s="1170"/>
      <c r="AX22" s="1170"/>
      <c r="AY22" s="1170"/>
      <c r="AZ22" s="1170"/>
      <c r="BA22" s="1170">
        <v>1447</v>
      </c>
      <c r="BB22" s="1170"/>
      <c r="BC22" s="1170"/>
      <c r="BD22" s="1170"/>
      <c r="BE22" s="1170"/>
      <c r="BF22" s="1170"/>
      <c r="BG22" s="1170">
        <v>1326</v>
      </c>
      <c r="BH22" s="1174"/>
      <c r="BI22" s="1174"/>
      <c r="BJ22" s="1174"/>
      <c r="BK22" s="1174"/>
      <c r="BL22" s="1174"/>
      <c r="BM22" s="1171">
        <f>BM23*BM7</f>
        <v>1413.793406089075</v>
      </c>
      <c r="BN22" s="1174"/>
      <c r="BO22" s="1174"/>
      <c r="BP22" s="1174"/>
      <c r="BQ22" s="1174"/>
      <c r="BR22" s="1174"/>
      <c r="BS22" s="1171">
        <f>BS23*BS7</f>
        <v>1485.424120258737</v>
      </c>
      <c r="BT22" s="1174"/>
      <c r="BU22" s="1171">
        <f>BU23*BU7</f>
        <v>1492.3808620044367</v>
      </c>
      <c r="BV22" s="1174"/>
      <c r="BW22" s="1171">
        <f>BW23*BW7</f>
        <v>1547.4271528191889</v>
      </c>
      <c r="BX22" s="1174"/>
      <c r="BY22" s="1171">
        <f>BY23*BY7</f>
        <v>1589.4712663099863</v>
      </c>
    </row>
    <row r="23" spans="1:150" x14ac:dyDescent="0.3">
      <c r="C23" s="1122" t="s">
        <v>836</v>
      </c>
      <c r="D23" s="468"/>
      <c r="E23" s="468"/>
      <c r="F23" s="468"/>
      <c r="G23" s="468"/>
      <c r="H23" s="468"/>
      <c r="I23" s="1164">
        <v>552</v>
      </c>
      <c r="J23" s="1164"/>
      <c r="K23" s="1164"/>
      <c r="L23" s="1164"/>
      <c r="M23" s="1164"/>
      <c r="N23" s="1164"/>
      <c r="O23" s="1164">
        <v>582</v>
      </c>
      <c r="P23" s="1164"/>
      <c r="Q23" s="1164"/>
      <c r="R23" s="1164"/>
      <c r="S23" s="1164"/>
      <c r="T23" s="1164"/>
      <c r="U23" s="1164">
        <v>607</v>
      </c>
      <c r="V23" s="468"/>
      <c r="W23" s="468"/>
      <c r="X23" s="468"/>
      <c r="Y23" s="468"/>
      <c r="Z23" s="468"/>
      <c r="AA23" s="1114">
        <f>U23*(1+AA24)</f>
        <v>631.28</v>
      </c>
      <c r="AB23" s="1114"/>
      <c r="AC23" s="1114"/>
      <c r="AD23" s="1114"/>
      <c r="AE23" s="1114"/>
      <c r="AF23" s="1114"/>
      <c r="AG23" s="1114">
        <f>AA23*(1+AG24)</f>
        <v>656.53120000000001</v>
      </c>
      <c r="AH23" s="1114"/>
      <c r="AI23" s="1114">
        <f>AG23*(1+AI24)</f>
        <v>682.79244800000004</v>
      </c>
      <c r="AJ23" s="1114"/>
      <c r="AK23" s="1114">
        <f>AI23*(1+AK24)</f>
        <v>710.10414592000006</v>
      </c>
      <c r="AL23" s="1114"/>
      <c r="AM23" s="1114">
        <f>AK23*(1+AM24)</f>
        <v>731.40727029760012</v>
      </c>
      <c r="AO23" s="1115" t="s">
        <v>707</v>
      </c>
      <c r="AP23" s="1120"/>
      <c r="AQ23" s="1120"/>
      <c r="AR23" s="1120"/>
      <c r="AS23" s="1120"/>
      <c r="AT23" s="1120"/>
      <c r="AU23" s="1152">
        <f>AU22/AU7</f>
        <v>5.1778894472361808E-2</v>
      </c>
      <c r="AV23" s="1121"/>
      <c r="AW23" s="1121"/>
      <c r="AX23" s="1121"/>
      <c r="AY23" s="1121"/>
      <c r="AZ23" s="1121"/>
      <c r="BA23" s="1152">
        <f>BA22/BA7</f>
        <v>5.9994195447572451E-2</v>
      </c>
      <c r="BB23" s="1121"/>
      <c r="BC23" s="1121"/>
      <c r="BD23" s="1121"/>
      <c r="BE23" s="1121"/>
      <c r="BF23" s="1121"/>
      <c r="BG23" s="1152">
        <f>BG22/BG7</f>
        <v>5.4680412371134024E-2</v>
      </c>
      <c r="BH23" s="468"/>
      <c r="BI23" s="468"/>
      <c r="BJ23" s="468"/>
      <c r="BK23" s="468"/>
      <c r="BL23" s="468"/>
      <c r="BM23" s="1167">
        <f>AVERAGE(AU23:BG23)</f>
        <v>5.548450076368943E-2</v>
      </c>
      <c r="BN23" s="468"/>
      <c r="BO23" s="468"/>
      <c r="BP23" s="468"/>
      <c r="BQ23" s="468"/>
      <c r="BR23" s="468"/>
      <c r="BS23" s="1167">
        <f>AVERAGE(BA23:BM23)</f>
        <v>5.6719702860798638E-2</v>
      </c>
      <c r="BT23" s="468"/>
      <c r="BU23" s="1167">
        <f>AVERAGE(BC23:BS23)</f>
        <v>5.5628205331874035E-2</v>
      </c>
      <c r="BV23" s="468"/>
      <c r="BW23" s="1167">
        <f>AVERAGE(BM23,BS23,BU23)</f>
        <v>5.594413631878737E-2</v>
      </c>
      <c r="BX23" s="1146"/>
      <c r="BY23" s="1167">
        <f>AVERAGE(BS23:BW23)</f>
        <v>5.6097348170486679E-2</v>
      </c>
    </row>
    <row r="24" spans="1:150" x14ac:dyDescent="0.3">
      <c r="C24" s="1123" t="s">
        <v>816</v>
      </c>
      <c r="D24" s="468"/>
      <c r="E24" s="468"/>
      <c r="F24" s="468"/>
      <c r="G24" s="468"/>
      <c r="H24" s="468"/>
      <c r="I24" s="468"/>
      <c r="J24" s="468"/>
      <c r="K24" s="468"/>
      <c r="L24" s="468"/>
      <c r="M24" s="468"/>
      <c r="N24" s="468"/>
      <c r="O24" s="1124">
        <f>O23/I23-1</f>
        <v>5.4347826086956541E-2</v>
      </c>
      <c r="P24" s="1124"/>
      <c r="Q24" s="1124"/>
      <c r="R24" s="1124"/>
      <c r="S24" s="1124"/>
      <c r="T24" s="1124"/>
      <c r="U24" s="1124">
        <f>U23/O23-1</f>
        <v>4.2955326460481169E-2</v>
      </c>
      <c r="V24" s="1124"/>
      <c r="W24" s="1124"/>
      <c r="X24" s="1124"/>
      <c r="Y24" s="1124"/>
      <c r="Z24" s="1124"/>
      <c r="AA24" s="1163">
        <v>0.04</v>
      </c>
      <c r="AB24" s="1124"/>
      <c r="AC24" s="1124"/>
      <c r="AD24" s="1124"/>
      <c r="AE24" s="1124"/>
      <c r="AF24" s="1124"/>
      <c r="AG24" s="1163">
        <v>0.04</v>
      </c>
      <c r="AH24" s="1124"/>
      <c r="AI24" s="1163">
        <v>0.04</v>
      </c>
      <c r="AJ24" s="1124"/>
      <c r="AK24" s="1163">
        <v>0.04</v>
      </c>
      <c r="AL24" s="1124"/>
      <c r="AM24" s="1163">
        <v>0.03</v>
      </c>
      <c r="AN24" s="1107"/>
      <c r="AO24" s="1120" t="s">
        <v>837</v>
      </c>
      <c r="AP24" s="1120"/>
      <c r="AQ24" s="1120"/>
      <c r="AR24" s="1120"/>
      <c r="AS24" s="1120"/>
      <c r="AT24" s="1120"/>
      <c r="AU24" s="1121">
        <f>+AU22+AU19+AU16+AU14+AU10</f>
        <v>12712</v>
      </c>
      <c r="AV24" s="1121"/>
      <c r="AW24" s="1121"/>
      <c r="AX24" s="1121"/>
      <c r="AY24" s="1121"/>
      <c r="AZ24" s="1121"/>
      <c r="BA24" s="1121">
        <f>+BA22+BA19+BA16+BA14+BA10</f>
        <v>12719</v>
      </c>
      <c r="BB24" s="1121"/>
      <c r="BC24" s="1121"/>
      <c r="BD24" s="1121"/>
      <c r="BE24" s="1121"/>
      <c r="BF24" s="1121"/>
      <c r="BG24" s="1121">
        <f>+BG22+BG19+BG16+BG14+BG10</f>
        <v>12139</v>
      </c>
      <c r="BH24" s="1120"/>
      <c r="BI24" s="1120"/>
      <c r="BJ24" s="1120"/>
      <c r="BK24" s="1120"/>
      <c r="BL24" s="1120"/>
      <c r="BM24" s="1165">
        <f>+BM22+BM19+BM16+BM14+BM10</f>
        <v>12184.346682718198</v>
      </c>
      <c r="BN24" s="1165"/>
      <c r="BO24" s="1165"/>
      <c r="BP24" s="1165"/>
      <c r="BQ24" s="1165"/>
      <c r="BR24" s="1165"/>
      <c r="BS24" s="1165">
        <f>+BS22+BS19+BS16+BS14+BS10</f>
        <v>12568.158028166035</v>
      </c>
      <c r="BT24" s="1165"/>
      <c r="BU24" s="1165">
        <f>+BU22+BU19+BU16+BU14+BU10</f>
        <v>12468.127648492404</v>
      </c>
      <c r="BV24" s="1165"/>
      <c r="BW24" s="1165">
        <f>+BW22+BW19+BW16+BW14+BW10</f>
        <v>12583.269998160842</v>
      </c>
      <c r="BX24" s="1165"/>
      <c r="BY24" s="1165">
        <f>+BY22+BY19+BY16+BY14+BY10</f>
        <v>12521.924474302017</v>
      </c>
      <c r="BZ24" s="1166"/>
    </row>
    <row r="25" spans="1:150" s="1109" customFormat="1" x14ac:dyDescent="0.3">
      <c r="A25" s="1101"/>
      <c r="B25" s="1101"/>
      <c r="C25" s="1126" t="s">
        <v>65</v>
      </c>
      <c r="D25" s="1126"/>
      <c r="E25" s="1126"/>
      <c r="F25" s="1126"/>
      <c r="G25" s="1126"/>
      <c r="H25" s="1126"/>
      <c r="I25" s="1126">
        <f>SUM(I17:I23)</f>
        <v>2215</v>
      </c>
      <c r="J25" s="1126"/>
      <c r="K25" s="1126"/>
      <c r="L25" s="1126"/>
      <c r="M25" s="1126"/>
      <c r="N25" s="1126"/>
      <c r="O25" s="1127">
        <f>SUM(O17:O23)</f>
        <v>2232.90656737989</v>
      </c>
      <c r="P25" s="1127"/>
      <c r="Q25" s="1127"/>
      <c r="R25" s="1127"/>
      <c r="S25" s="1127"/>
      <c r="T25" s="1127"/>
      <c r="U25" s="1127">
        <f>SUM(U17:U23)</f>
        <v>2210.9485439455702</v>
      </c>
      <c r="V25" s="1127"/>
      <c r="W25" s="1127"/>
      <c r="X25" s="1127"/>
      <c r="Y25" s="1127"/>
      <c r="Z25" s="1127"/>
      <c r="AA25" s="1127">
        <f>SUM(AA17:AA23)</f>
        <v>2238.9050000000002</v>
      </c>
      <c r="AB25" s="1127"/>
      <c r="AC25" s="1127"/>
      <c r="AD25" s="1127"/>
      <c r="AE25" s="1127"/>
      <c r="AF25" s="1127"/>
      <c r="AG25" s="1127">
        <f>SUM(AG17:AG23)</f>
        <v>2294.4321</v>
      </c>
      <c r="AH25" s="1127"/>
      <c r="AI25" s="1127">
        <f>SUM(AI17:AI23)</f>
        <v>2358.9917450000003</v>
      </c>
      <c r="AJ25" s="1127"/>
      <c r="AK25" s="1127">
        <f>SUM(AK17:AK23)</f>
        <v>2435.0370845400003</v>
      </c>
      <c r="AL25" s="1127"/>
      <c r="AM25" s="1127">
        <f>SUM(AM17:AM23)</f>
        <v>2498.7265126436005</v>
      </c>
      <c r="AN25" s="1101"/>
      <c r="AO25" s="1115"/>
      <c r="AP25" s="468"/>
      <c r="AQ25" s="468"/>
      <c r="AR25" s="468"/>
      <c r="AS25" s="468"/>
      <c r="AT25" s="468"/>
      <c r="AU25" s="468"/>
      <c r="AV25" s="468"/>
      <c r="AW25" s="468"/>
      <c r="AX25" s="468"/>
      <c r="AY25" s="468"/>
      <c r="AZ25" s="468"/>
      <c r="BA25" s="468"/>
      <c r="BB25" s="468"/>
      <c r="BC25" s="468"/>
      <c r="BD25" s="468"/>
      <c r="BE25" s="468"/>
      <c r="BF25" s="468"/>
      <c r="BG25" s="468"/>
      <c r="BH25" s="468"/>
      <c r="BI25" s="468"/>
      <c r="BJ25" s="468"/>
      <c r="BK25" s="468"/>
      <c r="BL25" s="468"/>
      <c r="BM25" s="1165"/>
      <c r="BN25" s="1165"/>
      <c r="BO25" s="1165"/>
      <c r="BP25" s="1165"/>
      <c r="BQ25" s="1165"/>
      <c r="BR25" s="1165"/>
      <c r="BS25" s="1165"/>
      <c r="BT25" s="1165"/>
      <c r="BU25" s="1165"/>
      <c r="BV25" s="1165"/>
      <c r="BW25" s="1165"/>
      <c r="BX25" s="1165"/>
      <c r="BY25" s="1165"/>
      <c r="BZ25" s="1166"/>
      <c r="CA25" s="1101"/>
      <c r="CB25" s="1101"/>
      <c r="CC25" s="1101"/>
      <c r="CD25" s="1101"/>
      <c r="CE25" s="1101"/>
      <c r="CF25" s="1101"/>
      <c r="CG25" s="1101"/>
      <c r="CH25" s="1101"/>
      <c r="CI25" s="1101"/>
      <c r="CJ25" s="1101"/>
      <c r="CK25" s="1101"/>
      <c r="CL25" s="1101"/>
      <c r="CM25" s="1101"/>
      <c r="CN25" s="1101"/>
      <c r="CO25" s="1101"/>
      <c r="CP25" s="1101"/>
      <c r="CQ25" s="1101"/>
      <c r="CR25" s="1101"/>
      <c r="CS25" s="1101"/>
      <c r="CT25" s="1101"/>
      <c r="CU25" s="1101"/>
      <c r="CV25" s="1101"/>
      <c r="CW25" s="1101"/>
      <c r="CX25" s="1101"/>
      <c r="CY25" s="1101"/>
      <c r="CZ25" s="1101"/>
      <c r="DA25" s="1101"/>
      <c r="DB25" s="1101"/>
      <c r="DC25" s="1101"/>
      <c r="DD25" s="1101"/>
      <c r="DE25" s="1101"/>
      <c r="DF25" s="1101"/>
      <c r="DG25" s="1101"/>
      <c r="DH25" s="1101"/>
      <c r="DI25" s="1101"/>
      <c r="DJ25" s="1101"/>
      <c r="DK25" s="1101"/>
      <c r="DL25" s="1101"/>
      <c r="DM25" s="1101"/>
      <c r="DN25" s="1101"/>
      <c r="DO25" s="1101"/>
      <c r="DP25" s="1101"/>
      <c r="DQ25" s="1101"/>
      <c r="DR25" s="1101"/>
      <c r="DS25" s="1101"/>
      <c r="DT25" s="1101"/>
      <c r="DU25" s="1101"/>
      <c r="DV25" s="1101"/>
      <c r="DW25" s="1101"/>
      <c r="DX25" s="1101"/>
      <c r="DY25" s="1101"/>
      <c r="DZ25" s="1101"/>
      <c r="EA25" s="1101"/>
      <c r="EB25" s="1101"/>
      <c r="EC25" s="1101"/>
      <c r="ED25" s="1101"/>
      <c r="EE25" s="1101"/>
      <c r="EF25" s="1101"/>
      <c r="EG25" s="1101"/>
      <c r="EH25" s="1101"/>
      <c r="EI25" s="1101"/>
      <c r="EJ25" s="1101"/>
      <c r="EK25" s="1101"/>
      <c r="EL25" s="1101"/>
      <c r="EM25" s="1101"/>
      <c r="EN25" s="1101"/>
      <c r="EO25" s="1101"/>
      <c r="EP25" s="1101"/>
      <c r="EQ25" s="1101"/>
      <c r="ER25" s="1101"/>
      <c r="ES25" s="1101"/>
      <c r="ET25" s="1101"/>
    </row>
    <row r="26" spans="1:150" s="1101" customFormat="1" x14ac:dyDescent="0.3">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Y26" s="1120"/>
      <c r="Z26" s="1120"/>
      <c r="AA26" s="1120"/>
      <c r="AB26" s="1120"/>
      <c r="AC26" s="1120"/>
      <c r="AD26" s="1120"/>
      <c r="AE26" s="1120"/>
      <c r="AF26" s="1120"/>
      <c r="AG26" s="1120"/>
      <c r="AH26" s="1120"/>
      <c r="AI26" s="1120"/>
      <c r="AJ26" s="1120"/>
      <c r="AK26" s="1120"/>
      <c r="AL26" s="1120"/>
      <c r="AM26" s="1120"/>
      <c r="AO26" s="1100"/>
      <c r="AP26" s="1100"/>
      <c r="AQ26" s="1100"/>
      <c r="AR26" s="1100"/>
      <c r="AS26" s="1100"/>
      <c r="AT26" s="1100"/>
      <c r="AU26" s="1100"/>
      <c r="AV26" s="1100"/>
      <c r="AW26" s="1100"/>
      <c r="AX26" s="1100"/>
      <c r="AY26" s="1100"/>
      <c r="AZ26" s="1100"/>
      <c r="BA26" s="1100"/>
      <c r="BB26" s="1100"/>
      <c r="BC26" s="1100"/>
      <c r="BD26" s="1100"/>
      <c r="BE26" s="1100"/>
      <c r="BF26" s="1100"/>
      <c r="BG26" s="1100"/>
      <c r="BH26" s="1100"/>
      <c r="BI26" s="1100"/>
      <c r="BJ26" s="1100"/>
      <c r="BK26" s="1100"/>
      <c r="BL26" s="1100"/>
      <c r="BM26" s="1166"/>
      <c r="BN26" s="1166"/>
      <c r="BO26" s="1166"/>
      <c r="BP26" s="1166"/>
      <c r="BQ26" s="1166"/>
      <c r="BR26" s="1166"/>
      <c r="BS26" s="1166"/>
      <c r="BT26" s="1166"/>
      <c r="BU26" s="1166"/>
      <c r="BV26" s="1166"/>
      <c r="BW26" s="1166"/>
      <c r="BX26" s="1166"/>
      <c r="BY26" s="1166"/>
      <c r="BZ26" s="1166"/>
    </row>
    <row r="27" spans="1:150" x14ac:dyDescent="0.3">
      <c r="C27" s="1122" t="s">
        <v>838</v>
      </c>
      <c r="D27" s="1122"/>
      <c r="E27" s="468"/>
      <c r="F27" s="468"/>
      <c r="G27" s="468"/>
      <c r="H27" s="468"/>
      <c r="I27" s="1164">
        <v>778</v>
      </c>
      <c r="J27" s="1164"/>
      <c r="K27" s="1164"/>
      <c r="L27" s="1164"/>
      <c r="M27" s="1164"/>
      <c r="N27" s="1164"/>
      <c r="O27" s="1164">
        <v>820</v>
      </c>
      <c r="P27" s="1164"/>
      <c r="Q27" s="1164"/>
      <c r="R27" s="1164"/>
      <c r="S27" s="1164"/>
      <c r="T27" s="1164"/>
      <c r="U27" s="1164">
        <v>824</v>
      </c>
      <c r="V27" s="468"/>
      <c r="W27" s="468"/>
      <c r="X27" s="468"/>
      <c r="Y27" s="468"/>
      <c r="Z27" s="468"/>
      <c r="AA27" s="1114">
        <f>U27*(1+AA28)</f>
        <v>824</v>
      </c>
      <c r="AB27" s="1114"/>
      <c r="AC27" s="1114"/>
      <c r="AD27" s="1114"/>
      <c r="AE27" s="1114"/>
      <c r="AF27" s="1114"/>
      <c r="AG27" s="1114">
        <f>AA27*(1+AG28)</f>
        <v>832.24</v>
      </c>
      <c r="AH27" s="1114"/>
      <c r="AI27" s="1114">
        <f>AG27*(1+AI28)</f>
        <v>840.56240000000003</v>
      </c>
      <c r="AJ27" s="1114"/>
      <c r="AK27" s="1114">
        <f>AI27*(1+AK28)</f>
        <v>857.373648</v>
      </c>
      <c r="AL27" s="1114"/>
      <c r="AM27" s="1114">
        <f>AK27*(1+AM28)</f>
        <v>874.52112095999996</v>
      </c>
    </row>
    <row r="28" spans="1:150" x14ac:dyDescent="0.3">
      <c r="C28" s="1123" t="s">
        <v>816</v>
      </c>
      <c r="D28" s="1122"/>
      <c r="E28" s="468"/>
      <c r="F28" s="468"/>
      <c r="G28" s="468"/>
      <c r="H28" s="468"/>
      <c r="I28" s="468"/>
      <c r="J28" s="468"/>
      <c r="K28" s="468"/>
      <c r="L28" s="468"/>
      <c r="M28" s="468"/>
      <c r="N28" s="468"/>
      <c r="O28" s="1124">
        <f>O27/I27-1</f>
        <v>5.3984575835475557E-2</v>
      </c>
      <c r="P28" s="1124"/>
      <c r="Q28" s="1124"/>
      <c r="R28" s="1124"/>
      <c r="S28" s="1124"/>
      <c r="T28" s="1124"/>
      <c r="U28" s="1124">
        <f>U27/O27-1</f>
        <v>4.8780487804878092E-3</v>
      </c>
      <c r="V28" s="1124"/>
      <c r="W28" s="1124"/>
      <c r="X28" s="1124"/>
      <c r="Y28" s="1124"/>
      <c r="Z28" s="1124"/>
      <c r="AA28" s="1163">
        <v>0</v>
      </c>
      <c r="AB28" s="1124"/>
      <c r="AC28" s="1124"/>
      <c r="AD28" s="1124"/>
      <c r="AE28" s="1124"/>
      <c r="AF28" s="1124"/>
      <c r="AG28" s="1163">
        <v>0.01</v>
      </c>
      <c r="AH28" s="1124"/>
      <c r="AI28" s="1163">
        <v>0.01</v>
      </c>
      <c r="AJ28" s="1124"/>
      <c r="AK28" s="1163">
        <v>0.02</v>
      </c>
      <c r="AL28" s="1124"/>
      <c r="AM28" s="1163">
        <v>0.02</v>
      </c>
      <c r="AN28" s="1107"/>
    </row>
    <row r="29" spans="1:150" x14ac:dyDescent="0.3">
      <c r="C29" s="1122" t="s">
        <v>839</v>
      </c>
      <c r="D29" s="1122"/>
      <c r="E29" s="468"/>
      <c r="F29" s="468"/>
      <c r="G29" s="468"/>
      <c r="H29" s="468"/>
      <c r="I29" s="1164">
        <v>3116</v>
      </c>
      <c r="J29" s="1164"/>
      <c r="K29" s="1164"/>
      <c r="L29" s="1164"/>
      <c r="M29" s="1164"/>
      <c r="N29" s="1164"/>
      <c r="O29" s="1164">
        <v>3028</v>
      </c>
      <c r="P29" s="1164"/>
      <c r="Q29" s="1164"/>
      <c r="R29" s="1164"/>
      <c r="S29" s="1164"/>
      <c r="T29" s="1164"/>
      <c r="U29" s="1164">
        <v>3357</v>
      </c>
      <c r="V29" s="468"/>
      <c r="W29" s="468"/>
      <c r="X29" s="468"/>
      <c r="Y29" s="468"/>
      <c r="Z29" s="468"/>
      <c r="AA29" s="1114">
        <f>U29*(1+AA30)</f>
        <v>3692.7000000000003</v>
      </c>
      <c r="AB29" s="1114"/>
      <c r="AC29" s="1114"/>
      <c r="AD29" s="1114"/>
      <c r="AE29" s="1114"/>
      <c r="AF29" s="1114"/>
      <c r="AG29" s="1114">
        <f>AA29*(1+AG30)</f>
        <v>3877.3350000000005</v>
      </c>
      <c r="AH29" s="1114"/>
      <c r="AI29" s="1114">
        <f>AG29*(1+AI30)</f>
        <v>4032.4284000000007</v>
      </c>
      <c r="AJ29" s="1114"/>
      <c r="AK29" s="1114">
        <f>AI29*(1+AK30)</f>
        <v>4153.4012520000006</v>
      </c>
      <c r="AL29" s="1114"/>
      <c r="AM29" s="1114">
        <f>AK29*(1+AM30)</f>
        <v>4236.4692770400006</v>
      </c>
    </row>
    <row r="30" spans="1:150" x14ac:dyDescent="0.3">
      <c r="C30" s="1123" t="s">
        <v>816</v>
      </c>
      <c r="D30" s="1122"/>
      <c r="E30" s="468"/>
      <c r="F30" s="468"/>
      <c r="G30" s="468"/>
      <c r="H30" s="468"/>
      <c r="I30" s="468"/>
      <c r="J30" s="468"/>
      <c r="K30" s="468"/>
      <c r="L30" s="468"/>
      <c r="M30" s="468"/>
      <c r="N30" s="468"/>
      <c r="O30" s="1124">
        <f>O29/I29-1</f>
        <v>-2.8241335044929428E-2</v>
      </c>
      <c r="P30" s="1124"/>
      <c r="Q30" s="1124"/>
      <c r="R30" s="1124"/>
      <c r="S30" s="1124"/>
      <c r="T30" s="1124"/>
      <c r="U30" s="1124">
        <f>U29/O29-1</f>
        <v>0.10865257595772793</v>
      </c>
      <c r="V30" s="1124"/>
      <c r="W30" s="1124"/>
      <c r="X30" s="1124"/>
      <c r="Y30" s="1124"/>
      <c r="Z30" s="1124"/>
      <c r="AA30" s="1163">
        <v>0.1</v>
      </c>
      <c r="AB30" s="1124"/>
      <c r="AC30" s="1124"/>
      <c r="AD30" s="1124"/>
      <c r="AE30" s="1124"/>
      <c r="AF30" s="1124"/>
      <c r="AG30" s="1163">
        <v>0.05</v>
      </c>
      <c r="AH30" s="1124"/>
      <c r="AI30" s="1163">
        <v>0.04</v>
      </c>
      <c r="AJ30" s="1124"/>
      <c r="AK30" s="1163">
        <v>0.03</v>
      </c>
      <c r="AL30" s="1124"/>
      <c r="AM30" s="1163">
        <v>0.02</v>
      </c>
      <c r="AN30" s="1107"/>
    </row>
    <row r="31" spans="1:150" s="1109" customFormat="1" x14ac:dyDescent="0.3">
      <c r="A31" s="1101"/>
      <c r="B31" s="1101"/>
      <c r="C31" s="1126" t="s">
        <v>227</v>
      </c>
      <c r="D31" s="1126"/>
      <c r="E31" s="1126"/>
      <c r="F31" s="1126"/>
      <c r="G31" s="1126"/>
      <c r="H31" s="1126"/>
      <c r="I31" s="1126">
        <f>SUM(I27:I29)</f>
        <v>3894</v>
      </c>
      <c r="J31" s="1126"/>
      <c r="K31" s="1126"/>
      <c r="L31" s="1126"/>
      <c r="M31" s="1126"/>
      <c r="N31" s="1126"/>
      <c r="O31" s="1127">
        <f>SUM(O27:O29)</f>
        <v>3848.0539845758353</v>
      </c>
      <c r="P31" s="1127"/>
      <c r="Q31" s="1127"/>
      <c r="R31" s="1127"/>
      <c r="S31" s="1127"/>
      <c r="T31" s="1127"/>
      <c r="U31" s="1127">
        <f>SUM(U27:U29)</f>
        <v>4181.0048780487805</v>
      </c>
      <c r="V31" s="1126"/>
      <c r="W31" s="1126"/>
      <c r="X31" s="1126"/>
      <c r="Y31" s="1126"/>
      <c r="Z31" s="1126"/>
      <c r="AA31" s="1127">
        <f>SUM(AA27:AA29)</f>
        <v>4516.7000000000007</v>
      </c>
      <c r="AB31" s="1127"/>
      <c r="AC31" s="1127"/>
      <c r="AD31" s="1127"/>
      <c r="AE31" s="1127"/>
      <c r="AF31" s="1127"/>
      <c r="AG31" s="1127">
        <f>SUM(AG27:AG29)</f>
        <v>4709.5850000000009</v>
      </c>
      <c r="AH31" s="1127"/>
      <c r="AI31" s="1127">
        <f>SUM(AI27:AI29)</f>
        <v>4873.0008000000007</v>
      </c>
      <c r="AJ31" s="1127"/>
      <c r="AK31" s="1127">
        <f>SUM(AK27:AK29)</f>
        <v>5010.7949000000008</v>
      </c>
      <c r="AL31" s="1127"/>
      <c r="AM31" s="1127">
        <f>SUM(AM27:AM29)</f>
        <v>5111.0103980000004</v>
      </c>
      <c r="AN31" s="1101"/>
      <c r="AO31" s="1100"/>
      <c r="AP31" s="1100"/>
      <c r="AQ31" s="1100"/>
      <c r="AR31" s="1100"/>
      <c r="AS31" s="1100"/>
      <c r="AT31" s="1100"/>
      <c r="AU31" s="1100"/>
      <c r="AV31" s="1100"/>
      <c r="AW31" s="1100"/>
      <c r="AX31" s="1100"/>
      <c r="AY31" s="1100"/>
      <c r="AZ31" s="1100"/>
      <c r="BA31" s="1100"/>
      <c r="BB31" s="1100"/>
      <c r="BC31" s="1100"/>
      <c r="BD31" s="1100"/>
      <c r="BE31" s="1100"/>
      <c r="BF31" s="1100"/>
      <c r="BG31" s="1100"/>
      <c r="BH31" s="1101"/>
      <c r="BI31" s="1101"/>
      <c r="BJ31" s="1101"/>
      <c r="BK31" s="1101"/>
      <c r="BL31" s="1101"/>
      <c r="BM31" s="1101"/>
      <c r="BN31" s="1101"/>
      <c r="BO31" s="1101"/>
      <c r="BP31" s="1101"/>
      <c r="BQ31" s="1101"/>
      <c r="BR31" s="1101"/>
      <c r="BS31" s="1101"/>
      <c r="BT31" s="1101"/>
      <c r="BU31" s="1101"/>
      <c r="BV31" s="1101"/>
      <c r="BW31" s="1101"/>
      <c r="BX31" s="1101"/>
      <c r="BY31" s="1101"/>
      <c r="BZ31" s="1101"/>
      <c r="CA31" s="1101"/>
      <c r="CB31" s="1101"/>
      <c r="CC31" s="1101"/>
      <c r="CD31" s="1101"/>
      <c r="CE31" s="1101"/>
      <c r="CF31" s="1101"/>
      <c r="CG31" s="1101"/>
      <c r="CH31" s="1101"/>
      <c r="CI31" s="1101"/>
      <c r="CJ31" s="1101"/>
      <c r="CK31" s="1101"/>
      <c r="CL31" s="1101"/>
      <c r="CM31" s="1101"/>
      <c r="CN31" s="1101"/>
      <c r="CO31" s="1101"/>
      <c r="CP31" s="1101"/>
      <c r="CQ31" s="1101"/>
      <c r="CR31" s="1101"/>
      <c r="CS31" s="1101"/>
      <c r="CT31" s="1101"/>
      <c r="CU31" s="1101"/>
      <c r="CV31" s="1101"/>
      <c r="CW31" s="1101"/>
      <c r="CX31" s="1101"/>
      <c r="CY31" s="1101"/>
      <c r="CZ31" s="1101"/>
      <c r="DA31" s="1101"/>
      <c r="DB31" s="1101"/>
      <c r="DC31" s="1101"/>
      <c r="DD31" s="1101"/>
      <c r="DE31" s="1101"/>
      <c r="DF31" s="1101"/>
      <c r="DG31" s="1101"/>
      <c r="DH31" s="1101"/>
      <c r="DI31" s="1101"/>
      <c r="DJ31" s="1101"/>
      <c r="DK31" s="1101"/>
      <c r="DL31" s="1101"/>
      <c r="DM31" s="1101"/>
      <c r="DN31" s="1101"/>
      <c r="DO31" s="1101"/>
      <c r="DP31" s="1101"/>
      <c r="DQ31" s="1101"/>
      <c r="DR31" s="1101"/>
      <c r="DS31" s="1101"/>
      <c r="DT31" s="1101"/>
      <c r="DU31" s="1101"/>
      <c r="DV31" s="1101"/>
      <c r="DW31" s="1101"/>
      <c r="DX31" s="1101"/>
      <c r="DY31" s="1101"/>
      <c r="DZ31" s="1101"/>
      <c r="EA31" s="1101"/>
      <c r="EB31" s="1101"/>
      <c r="EC31" s="1101"/>
      <c r="ED31" s="1101"/>
      <c r="EE31" s="1101"/>
      <c r="EF31" s="1101"/>
      <c r="EG31" s="1101"/>
      <c r="EH31" s="1101"/>
      <c r="EI31" s="1101"/>
      <c r="EJ31" s="1101"/>
      <c r="EK31" s="1101"/>
      <c r="EL31" s="1101"/>
      <c r="EM31" s="1101"/>
      <c r="EN31" s="1101"/>
      <c r="EO31" s="1101"/>
      <c r="EP31" s="1101"/>
      <c r="EQ31" s="1101"/>
      <c r="ER31" s="1101"/>
      <c r="ES31" s="1101"/>
      <c r="ET31" s="1101"/>
    </row>
    <row r="32" spans="1:150" s="1109" customFormat="1" x14ac:dyDescent="0.3">
      <c r="A32" s="1101"/>
      <c r="B32" s="1101"/>
      <c r="C32" s="1126" t="s">
        <v>693</v>
      </c>
      <c r="D32" s="1126"/>
      <c r="E32" s="1126"/>
      <c r="F32" s="1126"/>
      <c r="G32" s="1126"/>
      <c r="H32" s="1126"/>
      <c r="I32" s="1126">
        <f>I31+I25+I15</f>
        <v>8169</v>
      </c>
      <c r="J32" s="1126"/>
      <c r="K32" s="1126"/>
      <c r="L32" s="1126"/>
      <c r="M32" s="1126"/>
      <c r="N32" s="1126"/>
      <c r="O32" s="1127">
        <f>O31+O25+O15</f>
        <v>8111.9016439906254</v>
      </c>
      <c r="P32" s="1127"/>
      <c r="Q32" s="1127"/>
      <c r="R32" s="1127"/>
      <c r="S32" s="1127"/>
      <c r="T32" s="1127"/>
      <c r="U32" s="1127">
        <f>U31+U25+U15</f>
        <v>8334.1451967191206</v>
      </c>
      <c r="V32" s="1126"/>
      <c r="W32" s="1126"/>
      <c r="X32" s="1126"/>
      <c r="Y32" s="1126"/>
      <c r="Z32" s="1126"/>
      <c r="AA32" s="1127">
        <f>AA31+AA25+AA15</f>
        <v>8722.2250000000022</v>
      </c>
      <c r="AB32" s="1127"/>
      <c r="AC32" s="1127"/>
      <c r="AD32" s="1127"/>
      <c r="AE32" s="1127"/>
      <c r="AF32" s="1127"/>
      <c r="AG32" s="1127">
        <f>AG31+AG25+AG15</f>
        <v>8990.1564000000017</v>
      </c>
      <c r="AH32" s="1127"/>
      <c r="AI32" s="1127">
        <f>AI31+AI25+AI15</f>
        <v>9252.9791840000016</v>
      </c>
      <c r="AJ32" s="1127"/>
      <c r="AK32" s="1127">
        <f>AK31+AK25+AK15</f>
        <v>9521.6773075200017</v>
      </c>
      <c r="AL32" s="1127"/>
      <c r="AM32" s="1127">
        <f>AM31+AM25+AM15</f>
        <v>9750.8756399872018</v>
      </c>
      <c r="AN32" s="1101"/>
      <c r="AO32" s="1101"/>
      <c r="AP32" s="1101"/>
      <c r="AQ32" s="1101"/>
      <c r="AR32" s="1101"/>
      <c r="AS32" s="1101"/>
      <c r="AT32" s="1101"/>
      <c r="AU32" s="1101"/>
      <c r="AV32" s="1101"/>
      <c r="AW32" s="1101"/>
      <c r="AX32" s="1101"/>
      <c r="AY32" s="1101"/>
      <c r="AZ32" s="1101"/>
      <c r="BA32" s="1101"/>
      <c r="BB32" s="1101"/>
      <c r="BC32" s="1101"/>
      <c r="BD32" s="1101"/>
      <c r="BE32" s="1101"/>
      <c r="BF32" s="1101"/>
      <c r="BG32" s="1101"/>
      <c r="BH32" s="1101"/>
      <c r="BI32" s="1101"/>
      <c r="BJ32" s="1101"/>
      <c r="BK32" s="1101"/>
      <c r="BL32" s="1101"/>
      <c r="BM32" s="1101"/>
      <c r="BN32" s="1101"/>
      <c r="BO32" s="1101"/>
      <c r="BP32" s="1101"/>
      <c r="BQ32" s="1101"/>
      <c r="BR32" s="1101"/>
      <c r="BS32" s="1101"/>
      <c r="BT32" s="1101"/>
      <c r="BU32" s="1101"/>
      <c r="BV32" s="1101"/>
      <c r="BW32" s="1101"/>
      <c r="BX32" s="1101"/>
      <c r="BY32" s="1101"/>
      <c r="BZ32" s="1101"/>
      <c r="CA32" s="1101"/>
      <c r="CB32" s="1101"/>
      <c r="CC32" s="1101"/>
      <c r="CD32" s="1101"/>
      <c r="CE32" s="1101"/>
      <c r="CF32" s="1101"/>
      <c r="CG32" s="1101"/>
      <c r="CH32" s="1101"/>
      <c r="CI32" s="1101"/>
      <c r="CJ32" s="1101"/>
      <c r="CK32" s="1101"/>
      <c r="CL32" s="1101"/>
      <c r="CM32" s="1101"/>
      <c r="CN32" s="1101"/>
      <c r="CO32" s="1101"/>
      <c r="CP32" s="1101"/>
      <c r="CQ32" s="1101"/>
      <c r="CR32" s="1101"/>
      <c r="CS32" s="1101"/>
      <c r="CT32" s="1101"/>
      <c r="CU32" s="1101"/>
      <c r="CV32" s="1101"/>
      <c r="CW32" s="1101"/>
      <c r="CX32" s="1101"/>
      <c r="CY32" s="1101"/>
      <c r="CZ32" s="1101"/>
      <c r="DA32" s="1101"/>
      <c r="DB32" s="1101"/>
      <c r="DC32" s="1101"/>
      <c r="DD32" s="1101"/>
      <c r="DE32" s="1101"/>
      <c r="DF32" s="1101"/>
      <c r="DG32" s="1101"/>
      <c r="DH32" s="1101"/>
      <c r="DI32" s="1101"/>
      <c r="DJ32" s="1101"/>
      <c r="DK32" s="1101"/>
      <c r="DL32" s="1101"/>
      <c r="DM32" s="1101"/>
      <c r="DN32" s="1101"/>
      <c r="DO32" s="1101"/>
      <c r="DP32" s="1101"/>
      <c r="DQ32" s="1101"/>
      <c r="DR32" s="1101"/>
      <c r="DS32" s="1101"/>
      <c r="DT32" s="1101"/>
      <c r="DU32" s="1101"/>
      <c r="DV32" s="1101"/>
      <c r="DW32" s="1101"/>
      <c r="DX32" s="1101"/>
      <c r="DY32" s="1101"/>
      <c r="DZ32" s="1101"/>
      <c r="EA32" s="1101"/>
      <c r="EB32" s="1101"/>
      <c r="EC32" s="1101"/>
      <c r="ED32" s="1101"/>
      <c r="EE32" s="1101"/>
      <c r="EF32" s="1101"/>
      <c r="EG32" s="1101"/>
      <c r="EH32" s="1101"/>
      <c r="EI32" s="1101"/>
      <c r="EJ32" s="1101"/>
      <c r="EK32" s="1101"/>
      <c r="EL32" s="1101"/>
      <c r="EM32" s="1101"/>
      <c r="EN32" s="1101"/>
      <c r="EO32" s="1101"/>
      <c r="EP32" s="1101"/>
      <c r="EQ32" s="1101"/>
      <c r="ER32" s="1101"/>
      <c r="ES32" s="1101"/>
      <c r="ET32" s="1101"/>
    </row>
    <row r="33" spans="1:150" x14ac:dyDescent="0.3">
      <c r="C33" s="468"/>
      <c r="D33" s="468"/>
      <c r="E33" s="468"/>
      <c r="F33" s="468"/>
      <c r="G33" s="468"/>
      <c r="H33" s="468"/>
      <c r="I33" s="468"/>
      <c r="J33" s="468"/>
      <c r="K33" s="468"/>
      <c r="L33" s="468"/>
      <c r="M33" s="468"/>
      <c r="N33" s="468"/>
      <c r="O33" s="468"/>
      <c r="P33" s="468"/>
      <c r="Q33" s="468"/>
      <c r="R33" s="468"/>
      <c r="S33" s="468"/>
      <c r="T33" s="468"/>
      <c r="U33" s="468"/>
      <c r="V33" s="468"/>
      <c r="W33" s="468"/>
      <c r="X33" s="468"/>
      <c r="Y33" s="468"/>
      <c r="Z33" s="468"/>
      <c r="AA33" s="468"/>
      <c r="AB33" s="468"/>
      <c r="AC33" s="468"/>
      <c r="AD33" s="468"/>
      <c r="AE33" s="468"/>
      <c r="AF33" s="468"/>
      <c r="AG33" s="468"/>
      <c r="AH33" s="468"/>
      <c r="AI33" s="468"/>
      <c r="AJ33" s="468"/>
      <c r="AK33" s="468"/>
      <c r="AL33" s="468"/>
      <c r="AM33" s="468"/>
      <c r="AO33" s="1101"/>
      <c r="AP33" s="1101"/>
      <c r="AQ33" s="1101"/>
      <c r="AR33" s="1101"/>
      <c r="AS33" s="1101"/>
      <c r="AT33" s="1101"/>
      <c r="AU33" s="1101"/>
      <c r="AV33" s="1101"/>
      <c r="AW33" s="1101"/>
      <c r="AX33" s="1101"/>
      <c r="AY33" s="1101"/>
      <c r="AZ33" s="1101"/>
      <c r="BA33" s="1101"/>
      <c r="BB33" s="1101"/>
      <c r="BC33" s="1101"/>
      <c r="BD33" s="1101"/>
      <c r="BE33" s="1101"/>
      <c r="BF33" s="1101"/>
      <c r="BG33" s="1101"/>
    </row>
    <row r="34" spans="1:150" x14ac:dyDescent="0.3">
      <c r="C34" s="1120" t="s">
        <v>840</v>
      </c>
      <c r="D34" s="468"/>
      <c r="E34" s="468"/>
      <c r="F34" s="468"/>
      <c r="G34" s="468"/>
      <c r="H34" s="468"/>
      <c r="I34" s="468"/>
      <c r="J34" s="468"/>
      <c r="K34" s="468"/>
      <c r="L34" s="468"/>
      <c r="M34" s="468"/>
      <c r="N34" s="468"/>
      <c r="O34" s="468"/>
      <c r="P34" s="468"/>
      <c r="Q34" s="468"/>
      <c r="R34" s="468"/>
      <c r="S34" s="468"/>
      <c r="T34" s="468"/>
      <c r="U34" s="468"/>
      <c r="V34" s="468"/>
      <c r="W34" s="468"/>
      <c r="X34" s="468"/>
      <c r="Y34" s="468"/>
      <c r="Z34" s="468"/>
      <c r="AA34" s="468"/>
      <c r="AB34" s="468"/>
      <c r="AC34" s="468"/>
      <c r="AD34" s="468"/>
      <c r="AE34" s="468"/>
      <c r="AF34" s="468"/>
      <c r="AG34" s="468"/>
      <c r="AH34" s="468"/>
      <c r="AI34" s="468"/>
      <c r="AJ34" s="468"/>
      <c r="AK34" s="468"/>
      <c r="AL34" s="468"/>
      <c r="AM34" s="468"/>
    </row>
    <row r="35" spans="1:150" x14ac:dyDescent="0.3">
      <c r="C35" s="1122" t="s">
        <v>814</v>
      </c>
      <c r="D35" s="468"/>
      <c r="E35" s="468"/>
      <c r="F35" s="468"/>
      <c r="G35" s="468"/>
      <c r="H35" s="468"/>
      <c r="I35" s="1164">
        <v>4.5090000000000003</v>
      </c>
      <c r="J35" s="1164"/>
      <c r="K35" s="1164"/>
      <c r="L35" s="1164"/>
      <c r="M35" s="1164"/>
      <c r="N35" s="1164"/>
      <c r="O35" s="1164">
        <v>4.5670000000000002</v>
      </c>
      <c r="P35" s="1164"/>
      <c r="Q35" s="1164"/>
      <c r="R35" s="1164"/>
      <c r="S35" s="1164"/>
      <c r="T35" s="1164"/>
      <c r="U35" s="1164">
        <v>4.5049999999999999</v>
      </c>
      <c r="V35" s="468"/>
      <c r="W35" s="468"/>
      <c r="X35" s="468"/>
      <c r="Y35" s="468"/>
      <c r="Z35" s="468"/>
      <c r="AA35" s="1147">
        <v>4.5</v>
      </c>
      <c r="AB35" s="1129"/>
      <c r="AC35" s="1129"/>
      <c r="AD35" s="1129"/>
      <c r="AE35" s="1129"/>
      <c r="AF35" s="1129"/>
      <c r="AG35" s="1148">
        <f>AVERAGE(O35:AA35)</f>
        <v>4.524</v>
      </c>
      <c r="AH35" s="1129"/>
      <c r="AI35" s="1148">
        <f>AVERAGE(U35:AG35)</f>
        <v>4.5096666666666669</v>
      </c>
      <c r="AJ35" s="1129"/>
      <c r="AK35" s="1148">
        <f>AVERAGE(AA35:AI35)</f>
        <v>4.5112222222222229</v>
      </c>
      <c r="AL35" s="1129"/>
      <c r="AM35" s="1148">
        <f t="shared" ref="AM35:AM38" si="0">AVERAGE(AC35:AK35)</f>
        <v>4.5149629629629633</v>
      </c>
    </row>
    <row r="36" spans="1:150" x14ac:dyDescent="0.3">
      <c r="C36" s="1122" t="s">
        <v>817</v>
      </c>
      <c r="D36" s="468"/>
      <c r="E36" s="468"/>
      <c r="F36" s="468"/>
      <c r="G36" s="468"/>
      <c r="H36" s="468"/>
      <c r="I36" s="1164">
        <v>3.7490000000000001</v>
      </c>
      <c r="J36" s="1164"/>
      <c r="K36" s="1164"/>
      <c r="L36" s="1164"/>
      <c r="M36" s="1164"/>
      <c r="N36" s="1164"/>
      <c r="O36" s="1164">
        <v>3.9620000000000002</v>
      </c>
      <c r="P36" s="1164"/>
      <c r="Q36" s="1164"/>
      <c r="R36" s="1164"/>
      <c r="S36" s="1164"/>
      <c r="T36" s="1164"/>
      <c r="U36" s="1164">
        <v>3.8090000000000002</v>
      </c>
      <c r="V36" s="468"/>
      <c r="W36" s="468"/>
      <c r="X36" s="468"/>
      <c r="Y36" s="468"/>
      <c r="Z36" s="468"/>
      <c r="AA36" s="1148">
        <v>3.7</v>
      </c>
      <c r="AB36" s="1129"/>
      <c r="AC36" s="1129"/>
      <c r="AD36" s="1129"/>
      <c r="AE36" s="1129"/>
      <c r="AF36" s="1129"/>
      <c r="AG36" s="1148">
        <f t="shared" ref="AG36:AG38" si="1">AVERAGE(O36:AA36)</f>
        <v>3.8236666666666665</v>
      </c>
      <c r="AH36" s="1129"/>
      <c r="AI36" s="1148">
        <f t="shared" ref="AI36:AI38" si="2">AVERAGE(U36:AG36)</f>
        <v>3.7775555555555553</v>
      </c>
      <c r="AJ36" s="1129"/>
      <c r="AK36" s="1148">
        <f t="shared" ref="AK36:AK38" si="3">AVERAGE(AA36:AI36)</f>
        <v>3.767074074074074</v>
      </c>
      <c r="AL36" s="1129"/>
      <c r="AM36" s="1148">
        <f t="shared" si="0"/>
        <v>3.7894320987654324</v>
      </c>
    </row>
    <row r="37" spans="1:150" x14ac:dyDescent="0.3">
      <c r="C37" s="1122" t="s">
        <v>820</v>
      </c>
      <c r="D37" s="468"/>
      <c r="E37" s="468"/>
      <c r="F37" s="468"/>
      <c r="G37" s="468"/>
      <c r="H37" s="468"/>
      <c r="I37" s="1164">
        <v>5.8440000000000003</v>
      </c>
      <c r="J37" s="1164"/>
      <c r="K37" s="1164"/>
      <c r="L37" s="1164"/>
      <c r="M37" s="1164"/>
      <c r="N37" s="1164"/>
      <c r="O37" s="1164">
        <v>5.9290000000000003</v>
      </c>
      <c r="P37" s="1164"/>
      <c r="Q37" s="1164"/>
      <c r="R37" s="1164"/>
      <c r="S37" s="1164"/>
      <c r="T37" s="1164"/>
      <c r="U37" s="1164">
        <v>6.1040000000000001</v>
      </c>
      <c r="V37" s="468"/>
      <c r="W37" s="468"/>
      <c r="X37" s="468"/>
      <c r="Y37" s="468"/>
      <c r="Z37" s="468"/>
      <c r="AA37" s="1147">
        <f>AVERAGE(I37:U37)</f>
        <v>5.9589999999999996</v>
      </c>
      <c r="AB37" s="1129"/>
      <c r="AC37" s="1129"/>
      <c r="AD37" s="1129"/>
      <c r="AE37" s="1129"/>
      <c r="AF37" s="1129"/>
      <c r="AG37" s="1148">
        <f t="shared" si="1"/>
        <v>5.9973333333333336</v>
      </c>
      <c r="AH37" s="1129"/>
      <c r="AI37" s="1148">
        <f t="shared" si="2"/>
        <v>6.0201111111111105</v>
      </c>
      <c r="AJ37" s="1129"/>
      <c r="AK37" s="1148">
        <f t="shared" si="3"/>
        <v>5.9921481481481473</v>
      </c>
      <c r="AL37" s="1129"/>
      <c r="AM37" s="1148">
        <f t="shared" si="0"/>
        <v>6.0031975308641963</v>
      </c>
      <c r="BH37" s="1101"/>
      <c r="BI37" s="1101"/>
      <c r="BJ37" s="1101"/>
      <c r="BK37" s="1101"/>
      <c r="BL37" s="1101"/>
      <c r="BM37" s="1101"/>
      <c r="BN37" s="1101"/>
      <c r="BO37" s="1101"/>
      <c r="BP37" s="1101"/>
      <c r="BQ37" s="1101"/>
      <c r="BR37" s="1101"/>
      <c r="BS37" s="1101"/>
      <c r="BT37" s="1101"/>
      <c r="BU37" s="1101"/>
      <c r="BV37" s="1101"/>
      <c r="BW37" s="1101"/>
      <c r="BX37" s="1101"/>
      <c r="BY37" s="1101"/>
    </row>
    <row r="38" spans="1:150" x14ac:dyDescent="0.3">
      <c r="C38" s="1122" t="s">
        <v>823</v>
      </c>
      <c r="D38" s="468"/>
      <c r="E38" s="468"/>
      <c r="F38" s="468"/>
      <c r="G38" s="468"/>
      <c r="H38" s="468"/>
      <c r="I38" s="1164">
        <v>2.41</v>
      </c>
      <c r="J38" s="1164"/>
      <c r="K38" s="1164"/>
      <c r="L38" s="1164"/>
      <c r="M38" s="1164"/>
      <c r="N38" s="1164"/>
      <c r="O38" s="1164">
        <v>2.2109999999999999</v>
      </c>
      <c r="P38" s="1164"/>
      <c r="Q38" s="1164"/>
      <c r="R38" s="1164"/>
      <c r="S38" s="1164"/>
      <c r="T38" s="1164"/>
      <c r="U38" s="1164">
        <v>2.113</v>
      </c>
      <c r="V38" s="468"/>
      <c r="W38" s="468"/>
      <c r="X38" s="468"/>
      <c r="Y38" s="468"/>
      <c r="Z38" s="468"/>
      <c r="AA38" s="1148">
        <f>AVERAGE(U38,O38,I38)</f>
        <v>2.2446666666666668</v>
      </c>
      <c r="AB38" s="1129"/>
      <c r="AC38" s="1129"/>
      <c r="AD38" s="1129"/>
      <c r="AE38" s="1129"/>
      <c r="AF38" s="1129"/>
      <c r="AG38" s="1148">
        <f t="shared" si="1"/>
        <v>2.1895555555555557</v>
      </c>
      <c r="AH38" s="1129"/>
      <c r="AI38" s="1148">
        <f t="shared" si="2"/>
        <v>2.1824074074074074</v>
      </c>
      <c r="AJ38" s="1129"/>
      <c r="AK38" s="1148">
        <f t="shared" si="3"/>
        <v>2.2055432098765433</v>
      </c>
      <c r="AL38" s="1129"/>
      <c r="AM38" s="1148">
        <f t="shared" si="0"/>
        <v>2.1925020576131686</v>
      </c>
      <c r="AO38" s="1101"/>
      <c r="AP38" s="1101"/>
      <c r="AQ38" s="1101"/>
      <c r="AR38" s="1101"/>
      <c r="AS38" s="1101"/>
      <c r="AT38" s="1101"/>
      <c r="AU38" s="1101"/>
      <c r="AV38" s="1101"/>
      <c r="AW38" s="1101"/>
      <c r="AX38" s="1101"/>
      <c r="AY38" s="1101"/>
      <c r="AZ38" s="1101"/>
      <c r="BA38" s="1101"/>
      <c r="BB38" s="1101"/>
      <c r="BC38" s="1101"/>
      <c r="BD38" s="1101"/>
      <c r="BE38" s="1101"/>
      <c r="BF38" s="1101"/>
      <c r="BG38" s="1101"/>
      <c r="BH38" s="1101"/>
      <c r="BI38" s="1101"/>
      <c r="BJ38" s="1101"/>
      <c r="BK38" s="1101"/>
      <c r="BL38" s="1101"/>
      <c r="BM38" s="1101"/>
      <c r="BN38" s="1101"/>
      <c r="BO38" s="1101"/>
      <c r="BP38" s="1101"/>
      <c r="BQ38" s="1101"/>
      <c r="BR38" s="1101"/>
      <c r="BS38" s="1101"/>
      <c r="BT38" s="1101"/>
      <c r="BU38" s="1101"/>
      <c r="BV38" s="1101"/>
      <c r="BW38" s="1101"/>
      <c r="BX38" s="1101"/>
      <c r="BY38" s="1101"/>
    </row>
    <row r="39" spans="1:150" s="1109" customFormat="1" x14ac:dyDescent="0.3">
      <c r="A39" s="1101"/>
      <c r="B39" s="1101"/>
      <c r="C39" s="1125" t="s">
        <v>826</v>
      </c>
      <c r="D39" s="1126"/>
      <c r="E39" s="1126"/>
      <c r="F39" s="1126"/>
      <c r="G39" s="1126"/>
      <c r="H39" s="1126"/>
      <c r="I39" s="1130">
        <f>I60/I15</f>
        <v>3.6587378640776698</v>
      </c>
      <c r="J39" s="1130"/>
      <c r="K39" s="1130"/>
      <c r="L39" s="1130"/>
      <c r="M39" s="1130"/>
      <c r="N39" s="1130"/>
      <c r="O39" s="1130">
        <f>O60/O15</f>
        <v>3.6229509702950846</v>
      </c>
      <c r="P39" s="1130"/>
      <c r="Q39" s="1130"/>
      <c r="R39" s="1130"/>
      <c r="S39" s="1130"/>
      <c r="T39" s="1130"/>
      <c r="U39" s="1130">
        <f>U60/U15</f>
        <v>3.7107561126507767</v>
      </c>
      <c r="V39" s="1126"/>
      <c r="W39" s="1126"/>
      <c r="X39" s="1126"/>
      <c r="Y39" s="1126"/>
      <c r="Z39" s="1126"/>
      <c r="AA39" s="1131">
        <f>AVERAGE(U39,O39,I39)</f>
        <v>3.66414831567451</v>
      </c>
      <c r="AB39" s="1131"/>
      <c r="AC39" s="1131"/>
      <c r="AD39" s="1131"/>
      <c r="AE39" s="1131"/>
      <c r="AF39" s="1131"/>
      <c r="AG39" s="1131">
        <f t="shared" ref="AG39" si="4">AVERAGE(O39:AA39)</f>
        <v>3.6659517995401241</v>
      </c>
      <c r="AH39" s="1131"/>
      <c r="AI39" s="1131">
        <f t="shared" ref="AI39" si="5">AVERAGE(U39:AG39)</f>
        <v>3.6802854092884707</v>
      </c>
      <c r="AJ39" s="1131"/>
      <c r="AK39" s="1131">
        <f t="shared" ref="AK39" si="6">AVERAGE(AA39:AI39)</f>
        <v>3.6701285081677018</v>
      </c>
      <c r="AL39" s="1131"/>
      <c r="AM39" s="1131">
        <f t="shared" ref="AM39" si="7">AVERAGE(AC39:AK39)</f>
        <v>3.6721219056654326</v>
      </c>
      <c r="AN39" s="1101"/>
      <c r="AO39" s="1101"/>
      <c r="AP39" s="1101"/>
      <c r="AQ39" s="1101"/>
      <c r="AR39" s="1101"/>
      <c r="AS39" s="1101"/>
      <c r="AT39" s="1101"/>
      <c r="AU39" s="1101"/>
      <c r="AV39" s="1101"/>
      <c r="AW39" s="1101"/>
      <c r="AX39" s="1101"/>
      <c r="AY39" s="1101"/>
      <c r="AZ39" s="1101"/>
      <c r="BA39" s="1101"/>
      <c r="BB39" s="1101"/>
      <c r="BC39" s="1101"/>
      <c r="BD39" s="1101"/>
      <c r="BE39" s="1101"/>
      <c r="BF39" s="1101"/>
      <c r="BG39" s="1101"/>
      <c r="BH39" s="1100"/>
      <c r="BI39" s="1100"/>
      <c r="BJ39" s="1100"/>
      <c r="BK39" s="1100"/>
      <c r="BL39" s="1100"/>
      <c r="BM39" s="1100"/>
      <c r="BN39" s="1100"/>
      <c r="BO39" s="1100"/>
      <c r="BP39" s="1100"/>
      <c r="BQ39" s="1100"/>
      <c r="BR39" s="1100"/>
      <c r="BS39" s="1100"/>
      <c r="BT39" s="1100"/>
      <c r="BU39" s="1100"/>
      <c r="BV39" s="1100"/>
      <c r="BW39" s="1100"/>
      <c r="BX39" s="1100"/>
      <c r="BY39" s="1100"/>
      <c r="BZ39" s="1101"/>
      <c r="CA39" s="1101"/>
      <c r="CB39" s="1101"/>
      <c r="CC39" s="1101"/>
      <c r="CD39" s="1101"/>
      <c r="CE39" s="1101"/>
      <c r="CF39" s="1101"/>
      <c r="CG39" s="1101"/>
      <c r="CH39" s="1101"/>
      <c r="CI39" s="1101"/>
      <c r="CJ39" s="1101"/>
      <c r="CK39" s="1101"/>
      <c r="CL39" s="1101"/>
      <c r="CM39" s="1101"/>
      <c r="CN39" s="1101"/>
      <c r="CO39" s="1101"/>
      <c r="CP39" s="1101"/>
      <c r="CQ39" s="1101"/>
      <c r="CR39" s="1101"/>
      <c r="CS39" s="1101"/>
      <c r="CT39" s="1101"/>
      <c r="CU39" s="1101"/>
      <c r="CV39" s="1101"/>
      <c r="CW39" s="1101"/>
      <c r="CX39" s="1101"/>
      <c r="CY39" s="1101"/>
      <c r="CZ39" s="1101"/>
      <c r="DA39" s="1101"/>
      <c r="DB39" s="1101"/>
      <c r="DC39" s="1101"/>
      <c r="DD39" s="1101"/>
      <c r="DE39" s="1101"/>
      <c r="DF39" s="1101"/>
      <c r="DG39" s="1101"/>
      <c r="DH39" s="1101"/>
      <c r="DI39" s="1101"/>
      <c r="DJ39" s="1101"/>
      <c r="DK39" s="1101"/>
      <c r="DL39" s="1101"/>
      <c r="DM39" s="1101"/>
      <c r="DN39" s="1101"/>
      <c r="DO39" s="1101"/>
      <c r="DP39" s="1101"/>
      <c r="DQ39" s="1101"/>
      <c r="DR39" s="1101"/>
      <c r="DS39" s="1101"/>
      <c r="DT39" s="1101"/>
      <c r="DU39" s="1101"/>
      <c r="DV39" s="1101"/>
      <c r="DW39" s="1101"/>
      <c r="DX39" s="1101"/>
      <c r="DY39" s="1101"/>
      <c r="DZ39" s="1101"/>
      <c r="EA39" s="1101"/>
      <c r="EB39" s="1101"/>
      <c r="EC39" s="1101"/>
      <c r="ED39" s="1101"/>
      <c r="EE39" s="1101"/>
      <c r="EF39" s="1101"/>
      <c r="EG39" s="1101"/>
      <c r="EH39" s="1101"/>
      <c r="EI39" s="1101"/>
      <c r="EJ39" s="1101"/>
      <c r="EK39" s="1101"/>
      <c r="EL39" s="1101"/>
      <c r="EM39" s="1101"/>
      <c r="EN39" s="1101"/>
      <c r="EO39" s="1101"/>
      <c r="EP39" s="1101"/>
      <c r="EQ39" s="1101"/>
      <c r="ER39" s="1101"/>
      <c r="ES39" s="1101"/>
      <c r="ET39" s="1101"/>
    </row>
    <row r="40" spans="1:150" s="1101" customFormat="1" x14ac:dyDescent="0.3">
      <c r="C40" s="1128"/>
      <c r="D40" s="1120"/>
      <c r="E40" s="1120"/>
      <c r="F40" s="1120"/>
      <c r="G40" s="1120"/>
      <c r="H40" s="1120"/>
      <c r="I40" s="1132"/>
      <c r="J40" s="1132"/>
      <c r="K40" s="1132"/>
      <c r="L40" s="1132"/>
      <c r="M40" s="1132"/>
      <c r="N40" s="1132"/>
      <c r="O40" s="1133">
        <f>O39/I39-1</f>
        <v>-9.7812128422615219E-3</v>
      </c>
      <c r="P40" s="1133"/>
      <c r="Q40" s="1133"/>
      <c r="R40" s="1133"/>
      <c r="S40" s="1133"/>
      <c r="T40" s="1133"/>
      <c r="U40" s="1133">
        <f>U39/O39-1</f>
        <v>2.4235807515921248E-2</v>
      </c>
      <c r="V40" s="1120"/>
      <c r="W40" s="1120"/>
      <c r="X40" s="1120"/>
      <c r="Y40" s="1120"/>
      <c r="Z40" s="1120"/>
      <c r="AA40" s="1132"/>
      <c r="AB40" s="1120"/>
      <c r="AC40" s="1120"/>
      <c r="AD40" s="1120"/>
      <c r="AE40" s="1120"/>
      <c r="AF40" s="1120"/>
      <c r="AG40" s="1132"/>
      <c r="AH40" s="1120"/>
      <c r="AI40" s="1132"/>
      <c r="AJ40" s="1120"/>
      <c r="AK40" s="1132"/>
      <c r="AL40" s="1120"/>
      <c r="AM40" s="1132"/>
      <c r="AO40" s="1100"/>
      <c r="AP40" s="1100"/>
      <c r="AQ40" s="1100"/>
      <c r="AR40" s="1100"/>
      <c r="AS40" s="1100"/>
      <c r="AT40" s="1100"/>
      <c r="AU40" s="1100"/>
      <c r="AV40" s="1100"/>
      <c r="AW40" s="1100"/>
      <c r="AX40" s="1100"/>
      <c r="AY40" s="1100"/>
      <c r="AZ40" s="1100"/>
      <c r="BA40" s="1100"/>
      <c r="BB40" s="1100"/>
      <c r="BC40" s="1100"/>
      <c r="BD40" s="1100"/>
      <c r="BE40" s="1100"/>
      <c r="BF40" s="1100"/>
      <c r="BG40" s="1100"/>
      <c r="BH40" s="1100"/>
      <c r="BI40" s="1100"/>
      <c r="BJ40" s="1100"/>
      <c r="BK40" s="1100"/>
      <c r="BL40" s="1100"/>
      <c r="BM40" s="1100"/>
      <c r="BN40" s="1100"/>
      <c r="BO40" s="1100"/>
      <c r="BP40" s="1100"/>
      <c r="BQ40" s="1100"/>
      <c r="BR40" s="1100"/>
      <c r="BS40" s="1100"/>
      <c r="BT40" s="1100"/>
      <c r="BU40" s="1100"/>
      <c r="BV40" s="1100"/>
      <c r="BW40" s="1100"/>
      <c r="BX40" s="1100"/>
      <c r="BY40" s="1100"/>
    </row>
    <row r="41" spans="1:150" x14ac:dyDescent="0.3">
      <c r="C41" s="1122" t="s">
        <v>828</v>
      </c>
      <c r="D41" s="468"/>
      <c r="E41" s="468"/>
      <c r="F41" s="468"/>
      <c r="G41" s="468"/>
      <c r="H41" s="468"/>
      <c r="I41" s="1164">
        <v>3.3879999999999999</v>
      </c>
      <c r="J41" s="1164"/>
      <c r="K41" s="1164"/>
      <c r="L41" s="1164"/>
      <c r="M41" s="1164"/>
      <c r="N41" s="1164"/>
      <c r="O41" s="1164">
        <v>3.3740000000000001</v>
      </c>
      <c r="P41" s="1164"/>
      <c r="Q41" s="1164"/>
      <c r="R41" s="1164"/>
      <c r="S41" s="1164"/>
      <c r="T41" s="1164"/>
      <c r="U41" s="1164">
        <v>3.4929999999999999</v>
      </c>
      <c r="V41" s="468"/>
      <c r="W41" s="468"/>
      <c r="X41" s="468"/>
      <c r="Y41" s="468"/>
      <c r="Z41" s="468"/>
      <c r="AA41" s="1148">
        <f>AVERAGE(I41:U41)</f>
        <v>3.4183333333333334</v>
      </c>
      <c r="AB41" s="1129"/>
      <c r="AC41" s="1129"/>
      <c r="AD41" s="1129"/>
      <c r="AE41" s="1129"/>
      <c r="AF41" s="1129"/>
      <c r="AG41" s="1148">
        <f>AVERAGE(O41:AA41)</f>
        <v>3.4284444444444446</v>
      </c>
      <c r="AH41" s="1129"/>
      <c r="AI41" s="1148">
        <f>AVERAGE(U41:AG41)</f>
        <v>3.4465925925925927</v>
      </c>
      <c r="AJ41" s="1129"/>
      <c r="AK41" s="1148">
        <f>AVERAGE(AA41:AI41)</f>
        <v>3.4311234567901234</v>
      </c>
      <c r="AL41" s="1129"/>
      <c r="AM41" s="1148">
        <f t="shared" ref="AM41:AM44" si="8">AVERAGE(AC41:AK41)</f>
        <v>3.4353868312757201</v>
      </c>
    </row>
    <row r="42" spans="1:150" x14ac:dyDescent="0.3">
      <c r="C42" s="1122" t="s">
        <v>831</v>
      </c>
      <c r="D42" s="468"/>
      <c r="E42" s="468"/>
      <c r="F42" s="468"/>
      <c r="G42" s="468"/>
      <c r="H42" s="468"/>
      <c r="I42" s="1164">
        <v>2.7970000000000002</v>
      </c>
      <c r="J42" s="1164"/>
      <c r="K42" s="1164"/>
      <c r="L42" s="1164"/>
      <c r="M42" s="1164"/>
      <c r="N42" s="1164"/>
      <c r="O42" s="1164">
        <v>2.7650000000000001</v>
      </c>
      <c r="P42" s="1164"/>
      <c r="Q42" s="1164"/>
      <c r="R42" s="1164"/>
      <c r="S42" s="1164"/>
      <c r="T42" s="1164"/>
      <c r="U42" s="1164">
        <v>2.8929999999999998</v>
      </c>
      <c r="V42" s="468"/>
      <c r="W42" s="468"/>
      <c r="X42" s="468"/>
      <c r="Y42" s="468"/>
      <c r="Z42" s="468"/>
      <c r="AA42" s="1148">
        <f>AVERAGE(I42:U42)</f>
        <v>2.8183333333333334</v>
      </c>
      <c r="AB42" s="1129"/>
      <c r="AC42" s="1129"/>
      <c r="AD42" s="1129"/>
      <c r="AE42" s="1129"/>
      <c r="AF42" s="1129"/>
      <c r="AG42" s="1148">
        <f>AVERAGE(O42:AA42)</f>
        <v>2.8254444444444444</v>
      </c>
      <c r="AH42" s="1129"/>
      <c r="AI42" s="1148">
        <f>AVERAGE(U42:AG42)</f>
        <v>2.8455925925925922</v>
      </c>
      <c r="AJ42" s="1129"/>
      <c r="AK42" s="1148">
        <f>AVERAGE(AA42:AI42)</f>
        <v>2.8297901234567902</v>
      </c>
      <c r="AL42" s="1129"/>
      <c r="AM42" s="1148">
        <f t="shared" si="8"/>
        <v>2.8336090534979426</v>
      </c>
    </row>
    <row r="43" spans="1:150" x14ac:dyDescent="0.3">
      <c r="C43" s="1122" t="s">
        <v>834</v>
      </c>
      <c r="D43" s="468"/>
      <c r="E43" s="468"/>
      <c r="F43" s="468"/>
      <c r="G43" s="468"/>
      <c r="H43" s="468"/>
      <c r="I43" s="1164">
        <v>6.0919999999999996</v>
      </c>
      <c r="J43" s="1164"/>
      <c r="K43" s="1164"/>
      <c r="L43" s="1164"/>
      <c r="M43" s="1164"/>
      <c r="N43" s="1164"/>
      <c r="O43" s="1164">
        <v>6.31</v>
      </c>
      <c r="P43" s="1164"/>
      <c r="Q43" s="1164"/>
      <c r="R43" s="1164"/>
      <c r="S43" s="1164"/>
      <c r="T43" s="1164"/>
      <c r="U43" s="1164">
        <v>6.2290000000000001</v>
      </c>
      <c r="V43" s="468"/>
      <c r="W43" s="468"/>
      <c r="X43" s="468"/>
      <c r="Y43" s="468"/>
      <c r="Z43" s="468"/>
      <c r="AA43" s="1148">
        <f t="shared" ref="AA43:AA44" si="9">AVERAGE(I43:U43)</f>
        <v>6.2103333333333337</v>
      </c>
      <c r="AB43" s="1129"/>
      <c r="AC43" s="1129"/>
      <c r="AD43" s="1129"/>
      <c r="AE43" s="1129"/>
      <c r="AF43" s="1129"/>
      <c r="AG43" s="1148">
        <f t="shared" ref="AG43:AG44" si="10">AVERAGE(O43:AA43)</f>
        <v>6.2497777777777772</v>
      </c>
      <c r="AH43" s="1129"/>
      <c r="AI43" s="1148">
        <f t="shared" ref="AI43:AI44" si="11">AVERAGE(U43:AG43)</f>
        <v>6.2297037037037031</v>
      </c>
      <c r="AJ43" s="1129"/>
      <c r="AK43" s="1148">
        <f t="shared" ref="AK43:AK44" si="12">AVERAGE(AA43:AI43)</f>
        <v>6.2299382716049374</v>
      </c>
      <c r="AL43" s="1129"/>
      <c r="AM43" s="1148">
        <f t="shared" si="8"/>
        <v>6.2364732510288059</v>
      </c>
    </row>
    <row r="44" spans="1:150" x14ac:dyDescent="0.3">
      <c r="C44" s="1122" t="s">
        <v>836</v>
      </c>
      <c r="D44" s="468"/>
      <c r="E44" s="468"/>
      <c r="F44" s="468"/>
      <c r="G44" s="468"/>
      <c r="H44" s="468"/>
      <c r="I44" s="1164">
        <v>4.32</v>
      </c>
      <c r="J44" s="1164"/>
      <c r="K44" s="1164"/>
      <c r="L44" s="1164"/>
      <c r="M44" s="1164"/>
      <c r="N44" s="1164"/>
      <c r="O44" s="1164">
        <v>4.335</v>
      </c>
      <c r="P44" s="1164"/>
      <c r="Q44" s="1164"/>
      <c r="R44" s="1164"/>
      <c r="S44" s="1164"/>
      <c r="T44" s="1164"/>
      <c r="U44" s="1164">
        <v>4.4260000000000002</v>
      </c>
      <c r="V44" s="468"/>
      <c r="W44" s="468"/>
      <c r="X44" s="468"/>
      <c r="Y44" s="468"/>
      <c r="Z44" s="468"/>
      <c r="AA44" s="1148">
        <f t="shared" si="9"/>
        <v>4.3603333333333341</v>
      </c>
      <c r="AB44" s="1129"/>
      <c r="AC44" s="1129"/>
      <c r="AD44" s="1129"/>
      <c r="AE44" s="1129"/>
      <c r="AF44" s="1129"/>
      <c r="AG44" s="1148">
        <f t="shared" si="10"/>
        <v>4.3737777777777778</v>
      </c>
      <c r="AH44" s="1129"/>
      <c r="AI44" s="1148">
        <f t="shared" si="11"/>
        <v>4.3867037037037049</v>
      </c>
      <c r="AJ44" s="1129"/>
      <c r="AK44" s="1148">
        <f t="shared" si="12"/>
        <v>4.3736049382716056</v>
      </c>
      <c r="AL44" s="1129"/>
      <c r="AM44" s="1148">
        <f t="shared" si="8"/>
        <v>4.3780288065843633</v>
      </c>
    </row>
    <row r="45" spans="1:150" s="1109" customFormat="1" x14ac:dyDescent="0.3">
      <c r="A45" s="1101"/>
      <c r="B45" s="1101"/>
      <c r="C45" s="1126" t="s">
        <v>65</v>
      </c>
      <c r="D45" s="1126"/>
      <c r="E45" s="1126"/>
      <c r="F45" s="1126"/>
      <c r="G45" s="1126"/>
      <c r="H45" s="1126"/>
      <c r="I45" s="1130">
        <f>I69/I25</f>
        <v>3.7042889390519189</v>
      </c>
      <c r="J45" s="1126"/>
      <c r="K45" s="1126"/>
      <c r="L45" s="1126"/>
      <c r="M45" s="1126"/>
      <c r="N45" s="1126"/>
      <c r="O45" s="1130">
        <f>O69/O25</f>
        <v>3.6893617137176205</v>
      </c>
      <c r="P45" s="1126"/>
      <c r="Q45" s="1126"/>
      <c r="R45" s="1126"/>
      <c r="S45" s="1126"/>
      <c r="T45" s="1126"/>
      <c r="U45" s="1130">
        <f>U69/U25</f>
        <v>3.8173660907269755</v>
      </c>
      <c r="V45" s="1126"/>
      <c r="W45" s="1126"/>
      <c r="X45" s="1126"/>
      <c r="Y45" s="1126"/>
      <c r="Z45" s="1126"/>
      <c r="AA45" s="1130">
        <f>AA69/AA25</f>
        <v>3.7672152398903327</v>
      </c>
      <c r="AB45" s="1126"/>
      <c r="AC45" s="1126"/>
      <c r="AD45" s="1126"/>
      <c r="AE45" s="1126"/>
      <c r="AF45" s="1126"/>
      <c r="AG45" s="1130">
        <f>AG69/AG25</f>
        <v>3.7846448566994471</v>
      </c>
      <c r="AH45" s="1126"/>
      <c r="AI45" s="1130">
        <f>AI69/AI25</f>
        <v>3.7999115777174572</v>
      </c>
      <c r="AJ45" s="1126"/>
      <c r="AK45" s="1130">
        <f>AK69/AK25</f>
        <v>3.7875377026805124</v>
      </c>
      <c r="AL45" s="1126"/>
      <c r="AM45" s="1130">
        <f>AM69/AM25</f>
        <v>3.7924828652598661</v>
      </c>
      <c r="AN45" s="1101"/>
      <c r="AO45" s="1100"/>
      <c r="AP45" s="1100"/>
      <c r="AQ45" s="1100"/>
      <c r="AR45" s="1100"/>
      <c r="AS45" s="1100"/>
      <c r="AT45" s="1100"/>
      <c r="AU45" s="1100"/>
      <c r="AV45" s="1100"/>
      <c r="AW45" s="1100"/>
      <c r="AX45" s="1100"/>
      <c r="AY45" s="1100"/>
      <c r="AZ45" s="1100"/>
      <c r="BA45" s="1100"/>
      <c r="BB45" s="1100"/>
      <c r="BC45" s="1100"/>
      <c r="BD45" s="1100"/>
      <c r="BE45" s="1100"/>
      <c r="BF45" s="1100"/>
      <c r="BG45" s="1100"/>
      <c r="BH45" s="1101"/>
      <c r="BI45" s="1101"/>
      <c r="BJ45" s="1101"/>
      <c r="BK45" s="1101"/>
      <c r="BL45" s="1101"/>
      <c r="BM45" s="1101"/>
      <c r="BN45" s="1101"/>
      <c r="BO45" s="1101"/>
      <c r="BP45" s="1101"/>
      <c r="BQ45" s="1101"/>
      <c r="BR45" s="1101"/>
      <c r="BS45" s="1101"/>
      <c r="BT45" s="1101"/>
      <c r="BU45" s="1101"/>
      <c r="BV45" s="1101"/>
      <c r="BW45" s="1101"/>
      <c r="BX45" s="1101"/>
      <c r="BY45" s="1101"/>
      <c r="BZ45" s="1101"/>
      <c r="CA45" s="1101"/>
      <c r="CB45" s="1101"/>
      <c r="CC45" s="1101"/>
      <c r="CD45" s="1101"/>
      <c r="CE45" s="1101"/>
      <c r="CF45" s="1101"/>
      <c r="CG45" s="1101"/>
      <c r="CH45" s="1101"/>
      <c r="CI45" s="1101"/>
      <c r="CJ45" s="1101"/>
      <c r="CK45" s="1101"/>
      <c r="CL45" s="1101"/>
      <c r="CM45" s="1101"/>
      <c r="CN45" s="1101"/>
      <c r="CO45" s="1101"/>
      <c r="CP45" s="1101"/>
      <c r="CQ45" s="1101"/>
      <c r="CR45" s="1101"/>
      <c r="CS45" s="1101"/>
      <c r="CT45" s="1101"/>
      <c r="CU45" s="1101"/>
      <c r="CV45" s="1101"/>
      <c r="CW45" s="1101"/>
      <c r="CX45" s="1101"/>
      <c r="CY45" s="1101"/>
      <c r="CZ45" s="1101"/>
      <c r="DA45" s="1101"/>
      <c r="DB45" s="1101"/>
      <c r="DC45" s="1101"/>
      <c r="DD45" s="1101"/>
      <c r="DE45" s="1101"/>
      <c r="DF45" s="1101"/>
      <c r="DG45" s="1101"/>
      <c r="DH45" s="1101"/>
      <c r="DI45" s="1101"/>
      <c r="DJ45" s="1101"/>
      <c r="DK45" s="1101"/>
      <c r="DL45" s="1101"/>
      <c r="DM45" s="1101"/>
      <c r="DN45" s="1101"/>
      <c r="DO45" s="1101"/>
      <c r="DP45" s="1101"/>
      <c r="DQ45" s="1101"/>
      <c r="DR45" s="1101"/>
      <c r="DS45" s="1101"/>
      <c r="DT45" s="1101"/>
      <c r="DU45" s="1101"/>
      <c r="DV45" s="1101"/>
      <c r="DW45" s="1101"/>
      <c r="DX45" s="1101"/>
      <c r="DY45" s="1101"/>
      <c r="DZ45" s="1101"/>
      <c r="EA45" s="1101"/>
      <c r="EB45" s="1101"/>
      <c r="EC45" s="1101"/>
      <c r="ED45" s="1101"/>
      <c r="EE45" s="1101"/>
      <c r="EF45" s="1101"/>
      <c r="EG45" s="1101"/>
      <c r="EH45" s="1101"/>
      <c r="EI45" s="1101"/>
      <c r="EJ45" s="1101"/>
      <c r="EK45" s="1101"/>
      <c r="EL45" s="1101"/>
      <c r="EM45" s="1101"/>
      <c r="EN45" s="1101"/>
      <c r="EO45" s="1101"/>
      <c r="EP45" s="1101"/>
      <c r="EQ45" s="1101"/>
      <c r="ER45" s="1101"/>
      <c r="ES45" s="1101"/>
      <c r="ET45" s="1101"/>
    </row>
    <row r="46" spans="1:150" x14ac:dyDescent="0.3">
      <c r="C46" s="1122" t="s">
        <v>838</v>
      </c>
      <c r="D46" s="468"/>
      <c r="E46" s="468"/>
      <c r="F46" s="468"/>
      <c r="G46" s="468"/>
      <c r="H46" s="468"/>
      <c r="I46" s="1164">
        <v>2.9020000000000001</v>
      </c>
      <c r="J46" s="1164"/>
      <c r="K46" s="1164"/>
      <c r="L46" s="1164"/>
      <c r="M46" s="1164"/>
      <c r="N46" s="1164"/>
      <c r="O46" s="1164">
        <v>2.9550000000000001</v>
      </c>
      <c r="P46" s="1164"/>
      <c r="Q46" s="1164"/>
      <c r="R46" s="1164"/>
      <c r="S46" s="1164"/>
      <c r="T46" s="1164"/>
      <c r="U46" s="1164">
        <v>2.976</v>
      </c>
      <c r="V46" s="468"/>
      <c r="W46" s="468"/>
      <c r="X46" s="468"/>
      <c r="Y46" s="468"/>
      <c r="Z46" s="468"/>
      <c r="AA46" s="1148">
        <f>AVERAGE(I46:U46)</f>
        <v>2.9443333333333332</v>
      </c>
      <c r="AB46" s="1129"/>
      <c r="AC46" s="1129"/>
      <c r="AD46" s="1129"/>
      <c r="AE46" s="1129"/>
      <c r="AF46" s="1129"/>
      <c r="AG46" s="1148">
        <f>AVERAGE(O46:AA46)</f>
        <v>2.9584444444444444</v>
      </c>
      <c r="AH46" s="1129"/>
      <c r="AI46" s="1148">
        <f>AVERAGE(U46:AG46)</f>
        <v>2.9595925925925926</v>
      </c>
      <c r="AJ46" s="1129"/>
      <c r="AK46" s="1148">
        <f t="shared" ref="AK46:AM46" si="13">AVERAGE(AA46:AI46)</f>
        <v>2.9541234567901236</v>
      </c>
      <c r="AL46" s="1129"/>
      <c r="AM46" s="1148">
        <f t="shared" si="13"/>
        <v>2.9573868312757199</v>
      </c>
      <c r="AO46" s="1101"/>
      <c r="AP46" s="1101"/>
      <c r="AQ46" s="1101"/>
      <c r="AR46" s="1101"/>
      <c r="AS46" s="1101"/>
      <c r="AT46" s="1101"/>
      <c r="AU46" s="1101"/>
      <c r="AV46" s="1101"/>
      <c r="AW46" s="1101"/>
      <c r="AX46" s="1101"/>
      <c r="AY46" s="1101"/>
      <c r="AZ46" s="1101"/>
      <c r="BA46" s="1101"/>
      <c r="BB46" s="1101"/>
      <c r="BC46" s="1101"/>
      <c r="BD46" s="1101"/>
      <c r="BE46" s="1101"/>
      <c r="BF46" s="1101"/>
      <c r="BG46" s="1101"/>
      <c r="BH46" s="1101"/>
      <c r="BI46" s="1101"/>
      <c r="BJ46" s="1101"/>
      <c r="BK46" s="1101"/>
      <c r="BL46" s="1101"/>
      <c r="BM46" s="1101"/>
      <c r="BN46" s="1101"/>
      <c r="BO46" s="1101"/>
      <c r="BP46" s="1101"/>
      <c r="BQ46" s="1101"/>
      <c r="BR46" s="1101"/>
      <c r="BS46" s="1101"/>
      <c r="BT46" s="1101"/>
      <c r="BU46" s="1101"/>
      <c r="BV46" s="1101"/>
      <c r="BW46" s="1101"/>
      <c r="BX46" s="1101"/>
      <c r="BY46" s="1101"/>
    </row>
    <row r="47" spans="1:150" x14ac:dyDescent="0.3">
      <c r="C47" s="1122" t="s">
        <v>839</v>
      </c>
      <c r="D47" s="468"/>
      <c r="E47" s="468"/>
      <c r="F47" s="468"/>
      <c r="G47" s="468"/>
      <c r="H47" s="468"/>
      <c r="I47" s="1164">
        <v>1.6559999999999999</v>
      </c>
      <c r="J47" s="1164"/>
      <c r="K47" s="1164"/>
      <c r="L47" s="1164"/>
      <c r="M47" s="1164"/>
      <c r="N47" s="1164"/>
      <c r="O47" s="1164">
        <v>1.504</v>
      </c>
      <c r="P47" s="1164"/>
      <c r="Q47" s="1164"/>
      <c r="R47" s="1164"/>
      <c r="S47" s="1164"/>
      <c r="T47" s="1164"/>
      <c r="U47" s="1164">
        <v>1.4039999999999999</v>
      </c>
      <c r="V47" s="468"/>
      <c r="W47" s="468"/>
      <c r="X47" s="468"/>
      <c r="Y47" s="468"/>
      <c r="Z47" s="468"/>
      <c r="AA47" s="1148">
        <f>AVERAGE(I47:U47)</f>
        <v>1.5213333333333334</v>
      </c>
      <c r="AB47" s="1129"/>
      <c r="AC47" s="1129"/>
      <c r="AD47" s="1129"/>
      <c r="AE47" s="1129"/>
      <c r="AF47" s="1129"/>
      <c r="AG47" s="1148">
        <v>1.5</v>
      </c>
      <c r="AH47" s="1129"/>
      <c r="AI47" s="1148">
        <f>AVERAGE(U47:AG47)</f>
        <v>1.4751111111111113</v>
      </c>
      <c r="AJ47" s="1129"/>
      <c r="AK47" s="1148">
        <f>AVERAGE(AA47:AI47)</f>
        <v>1.498814814814815</v>
      </c>
      <c r="AL47" s="1129"/>
      <c r="AM47" s="1148">
        <f>AVERAGE(AC47:AK47)</f>
        <v>1.4913086419753088</v>
      </c>
      <c r="AO47" s="1101"/>
      <c r="AP47" s="1101"/>
      <c r="AQ47" s="1101"/>
      <c r="AR47" s="1101"/>
      <c r="AS47" s="1101"/>
      <c r="AT47" s="1101"/>
      <c r="AU47" s="1101"/>
      <c r="AV47" s="1101"/>
      <c r="AW47" s="1101"/>
      <c r="AX47" s="1101"/>
      <c r="AY47" s="1101"/>
      <c r="AZ47" s="1101"/>
      <c r="BA47" s="1101"/>
      <c r="BB47" s="1101"/>
      <c r="BC47" s="1101"/>
      <c r="BD47" s="1101"/>
      <c r="BE47" s="1101"/>
      <c r="BF47" s="1101"/>
      <c r="BG47" s="1101"/>
    </row>
    <row r="48" spans="1:150" s="1109" customFormat="1" x14ac:dyDescent="0.3">
      <c r="A48" s="1101"/>
      <c r="B48" s="1101"/>
      <c r="C48" s="1126" t="s">
        <v>227</v>
      </c>
      <c r="D48" s="1126"/>
      <c r="E48" s="1126"/>
      <c r="F48" s="1126"/>
      <c r="G48" s="1126"/>
      <c r="H48" s="1126"/>
      <c r="I48" s="1130">
        <f>I74/I31</f>
        <v>1.9047252182845402</v>
      </c>
      <c r="J48" s="1126"/>
      <c r="K48" s="1126"/>
      <c r="L48" s="1126"/>
      <c r="M48" s="1126"/>
      <c r="N48" s="1126"/>
      <c r="O48" s="1130">
        <f>O74/O31</f>
        <v>1.8126045081378563</v>
      </c>
      <c r="P48" s="1126"/>
      <c r="Q48" s="1126"/>
      <c r="R48" s="1126"/>
      <c r="S48" s="1126"/>
      <c r="T48" s="1126"/>
      <c r="U48" s="1130">
        <f>U74/U31</f>
        <v>1.7134636789381943</v>
      </c>
      <c r="V48" s="1126"/>
      <c r="W48" s="1126"/>
      <c r="X48" s="1126"/>
      <c r="Y48" s="1126"/>
      <c r="Z48" s="1126"/>
      <c r="AA48" s="1130">
        <f>AA74/AA31</f>
        <v>1.7809370262950086</v>
      </c>
      <c r="AB48" s="1126"/>
      <c r="AC48" s="1126"/>
      <c r="AD48" s="1126"/>
      <c r="AE48" s="1126"/>
      <c r="AF48" s="1126"/>
      <c r="AG48" s="1130">
        <f>AG74/AG31</f>
        <v>1.7577213925312831</v>
      </c>
      <c r="AH48" s="1126"/>
      <c r="AI48" s="1130">
        <f>AI74/AI31</f>
        <v>1.7311719280349496</v>
      </c>
      <c r="AJ48" s="1126"/>
      <c r="AK48" s="1130">
        <f>AK74/AK31</f>
        <v>1.7478198784704837</v>
      </c>
      <c r="AL48" s="1126"/>
      <c r="AM48" s="1130">
        <f>AM74/AM31</f>
        <v>1.7421565987415204</v>
      </c>
      <c r="AN48" s="1101"/>
      <c r="AO48" s="1100"/>
      <c r="AP48" s="1100"/>
      <c r="AQ48" s="1100"/>
      <c r="AR48" s="1100"/>
      <c r="AS48" s="1100"/>
      <c r="AT48" s="1100"/>
      <c r="AU48" s="1100"/>
      <c r="AV48" s="1100"/>
      <c r="AW48" s="1100"/>
      <c r="AX48" s="1100"/>
      <c r="AY48" s="1100"/>
      <c r="AZ48" s="1100"/>
      <c r="BA48" s="1100"/>
      <c r="BB48" s="1100"/>
      <c r="BC48" s="1100"/>
      <c r="BD48" s="1100"/>
      <c r="BE48" s="1100"/>
      <c r="BF48" s="1100"/>
      <c r="BG48" s="1100"/>
      <c r="BH48" s="1100"/>
      <c r="BI48" s="1100"/>
      <c r="BJ48" s="1100"/>
      <c r="BK48" s="1100"/>
      <c r="BL48" s="1100"/>
      <c r="BM48" s="1100"/>
      <c r="BN48" s="1100"/>
      <c r="BO48" s="1100"/>
      <c r="BP48" s="1100"/>
      <c r="BQ48" s="1100"/>
      <c r="BR48" s="1100"/>
      <c r="BS48" s="1100"/>
      <c r="BT48" s="1100"/>
      <c r="BU48" s="1100"/>
      <c r="BV48" s="1100"/>
      <c r="BW48" s="1100"/>
      <c r="BX48" s="1100"/>
      <c r="BY48" s="1100"/>
      <c r="BZ48" s="1101"/>
      <c r="CA48" s="1101"/>
      <c r="CB48" s="1101"/>
      <c r="CC48" s="1101"/>
      <c r="CD48" s="1101"/>
      <c r="CE48" s="1101"/>
      <c r="CF48" s="1101"/>
      <c r="CG48" s="1101"/>
      <c r="CH48" s="1101"/>
      <c r="CI48" s="1101"/>
      <c r="CJ48" s="1101"/>
      <c r="CK48" s="1101"/>
      <c r="CL48" s="1101"/>
      <c r="CM48" s="1101"/>
      <c r="CN48" s="1101"/>
      <c r="CO48" s="1101"/>
      <c r="CP48" s="1101"/>
      <c r="CQ48" s="1101"/>
      <c r="CR48" s="1101"/>
      <c r="CS48" s="1101"/>
      <c r="CT48" s="1101"/>
      <c r="CU48" s="1101"/>
      <c r="CV48" s="1101"/>
      <c r="CW48" s="1101"/>
      <c r="CX48" s="1101"/>
      <c r="CY48" s="1101"/>
      <c r="CZ48" s="1101"/>
      <c r="DA48" s="1101"/>
      <c r="DB48" s="1101"/>
      <c r="DC48" s="1101"/>
      <c r="DD48" s="1101"/>
      <c r="DE48" s="1101"/>
      <c r="DF48" s="1101"/>
      <c r="DG48" s="1101"/>
      <c r="DH48" s="1101"/>
      <c r="DI48" s="1101"/>
      <c r="DJ48" s="1101"/>
      <c r="DK48" s="1101"/>
      <c r="DL48" s="1101"/>
      <c r="DM48" s="1101"/>
      <c r="DN48" s="1101"/>
      <c r="DO48" s="1101"/>
      <c r="DP48" s="1101"/>
      <c r="DQ48" s="1101"/>
      <c r="DR48" s="1101"/>
      <c r="DS48" s="1101"/>
      <c r="DT48" s="1101"/>
      <c r="DU48" s="1101"/>
      <c r="DV48" s="1101"/>
      <c r="DW48" s="1101"/>
      <c r="DX48" s="1101"/>
      <c r="DY48" s="1101"/>
      <c r="DZ48" s="1101"/>
      <c r="EA48" s="1101"/>
      <c r="EB48" s="1101"/>
      <c r="EC48" s="1101"/>
      <c r="ED48" s="1101"/>
      <c r="EE48" s="1101"/>
      <c r="EF48" s="1101"/>
      <c r="EG48" s="1101"/>
      <c r="EH48" s="1101"/>
      <c r="EI48" s="1101"/>
      <c r="EJ48" s="1101"/>
      <c r="EK48" s="1101"/>
      <c r="EL48" s="1101"/>
      <c r="EM48" s="1101"/>
      <c r="EN48" s="1101"/>
      <c r="EO48" s="1101"/>
      <c r="EP48" s="1101"/>
      <c r="EQ48" s="1101"/>
      <c r="ER48" s="1101"/>
      <c r="ES48" s="1101"/>
      <c r="ET48" s="1101"/>
    </row>
    <row r="49" spans="1:150" s="1109" customFormat="1" x14ac:dyDescent="0.3">
      <c r="A49" s="1101"/>
      <c r="B49" s="1101"/>
      <c r="C49" s="1126" t="s">
        <v>693</v>
      </c>
      <c r="D49" s="1126"/>
      <c r="E49" s="1126"/>
      <c r="F49" s="1126"/>
      <c r="G49" s="1126"/>
      <c r="H49" s="1126"/>
      <c r="I49" s="1130">
        <f>I75/I32</f>
        <v>2.8349859223895213</v>
      </c>
      <c r="J49" s="1130"/>
      <c r="K49" s="1130"/>
      <c r="L49" s="1130"/>
      <c r="M49" s="1130"/>
      <c r="N49" s="1130"/>
      <c r="O49" s="1130">
        <f>O75/O32</f>
        <v>2.7824548411186436</v>
      </c>
      <c r="P49" s="1130"/>
      <c r="Q49" s="1130"/>
      <c r="R49" s="1130"/>
      <c r="S49" s="1130"/>
      <c r="T49" s="1130"/>
      <c r="U49" s="1130">
        <f>U75/U32</f>
        <v>2.7370533463923743</v>
      </c>
      <c r="V49" s="1130"/>
      <c r="W49" s="1130"/>
      <c r="X49" s="1130"/>
      <c r="Y49" s="1130"/>
      <c r="Z49" s="1130"/>
      <c r="AA49" s="1130">
        <f>AA75/AA32</f>
        <v>2.7493983465610352</v>
      </c>
      <c r="AB49" s="1130"/>
      <c r="AC49" s="1130"/>
      <c r="AD49" s="1130"/>
      <c r="AE49" s="1130"/>
      <c r="AF49" s="1130"/>
      <c r="AG49" s="1130">
        <f>AG75/AG32</f>
        <v>2.7462098232190439</v>
      </c>
      <c r="AH49" s="1130"/>
      <c r="AI49" s="1130">
        <f>AI75/AI32</f>
        <v>2.7372560168741136</v>
      </c>
      <c r="AJ49" s="1130"/>
      <c r="AK49" s="1130">
        <f>AK75/AK32</f>
        <v>2.7474382687375525</v>
      </c>
      <c r="AL49" s="1130"/>
      <c r="AM49" s="1130">
        <f>AM75/AM32</f>
        <v>2.7519744363507637</v>
      </c>
      <c r="AN49" s="1101"/>
      <c r="AO49" s="1100"/>
      <c r="AP49" s="1100"/>
      <c r="AQ49" s="1100"/>
      <c r="AR49" s="1100"/>
      <c r="AS49" s="1100"/>
      <c r="AT49" s="1100"/>
      <c r="AU49" s="1100"/>
      <c r="AV49" s="1100"/>
      <c r="AW49" s="1100"/>
      <c r="AX49" s="1100"/>
      <c r="AY49" s="1100"/>
      <c r="AZ49" s="1100"/>
      <c r="BA49" s="1100"/>
      <c r="BB49" s="1100"/>
      <c r="BC49" s="1100"/>
      <c r="BD49" s="1100"/>
      <c r="BE49" s="1100"/>
      <c r="BF49" s="1100"/>
      <c r="BG49" s="1100"/>
      <c r="BH49" s="1100"/>
      <c r="BI49" s="1100"/>
      <c r="BJ49" s="1100"/>
      <c r="BK49" s="1100"/>
      <c r="BL49" s="1100"/>
      <c r="BM49" s="1100"/>
      <c r="BN49" s="1100"/>
      <c r="BO49" s="1100"/>
      <c r="BP49" s="1100"/>
      <c r="BQ49" s="1100"/>
      <c r="BR49" s="1100"/>
      <c r="BS49" s="1100"/>
      <c r="BT49" s="1100"/>
      <c r="BU49" s="1100"/>
      <c r="BV49" s="1100"/>
      <c r="BW49" s="1100"/>
      <c r="BX49" s="1100"/>
      <c r="BY49" s="1100"/>
      <c r="BZ49" s="1101"/>
      <c r="CA49" s="1101"/>
      <c r="CB49" s="1101"/>
      <c r="CC49" s="1101"/>
      <c r="CD49" s="1101"/>
      <c r="CE49" s="1101"/>
      <c r="CF49" s="1101"/>
      <c r="CG49" s="1101"/>
      <c r="CH49" s="1101"/>
      <c r="CI49" s="1101"/>
      <c r="CJ49" s="1101"/>
      <c r="CK49" s="1101"/>
      <c r="CL49" s="1101"/>
      <c r="CM49" s="1101"/>
      <c r="CN49" s="1101"/>
      <c r="CO49" s="1101"/>
      <c r="CP49" s="1101"/>
      <c r="CQ49" s="1101"/>
      <c r="CR49" s="1101"/>
      <c r="CS49" s="1101"/>
      <c r="CT49" s="1101"/>
      <c r="CU49" s="1101"/>
      <c r="CV49" s="1101"/>
      <c r="CW49" s="1101"/>
      <c r="CX49" s="1101"/>
      <c r="CY49" s="1101"/>
      <c r="CZ49" s="1101"/>
      <c r="DA49" s="1101"/>
      <c r="DB49" s="1101"/>
      <c r="DC49" s="1101"/>
      <c r="DD49" s="1101"/>
      <c r="DE49" s="1101"/>
      <c r="DF49" s="1101"/>
      <c r="DG49" s="1101"/>
      <c r="DH49" s="1101"/>
      <c r="DI49" s="1101"/>
      <c r="DJ49" s="1101"/>
      <c r="DK49" s="1101"/>
      <c r="DL49" s="1101"/>
      <c r="DM49" s="1101"/>
      <c r="DN49" s="1101"/>
      <c r="DO49" s="1101"/>
      <c r="DP49" s="1101"/>
      <c r="DQ49" s="1101"/>
      <c r="DR49" s="1101"/>
      <c r="DS49" s="1101"/>
      <c r="DT49" s="1101"/>
      <c r="DU49" s="1101"/>
      <c r="DV49" s="1101"/>
      <c r="DW49" s="1101"/>
      <c r="DX49" s="1101"/>
      <c r="DY49" s="1101"/>
      <c r="DZ49" s="1101"/>
      <c r="EA49" s="1101"/>
      <c r="EB49" s="1101"/>
      <c r="EC49" s="1101"/>
      <c r="ED49" s="1101"/>
      <c r="EE49" s="1101"/>
      <c r="EF49" s="1101"/>
      <c r="EG49" s="1101"/>
      <c r="EH49" s="1101"/>
      <c r="EI49" s="1101"/>
      <c r="EJ49" s="1101"/>
      <c r="EK49" s="1101"/>
      <c r="EL49" s="1101"/>
      <c r="EM49" s="1101"/>
      <c r="EN49" s="1101"/>
      <c r="EO49" s="1101"/>
      <c r="EP49" s="1101"/>
      <c r="EQ49" s="1101"/>
      <c r="ER49" s="1101"/>
      <c r="ES49" s="1101"/>
      <c r="ET49" s="1101"/>
    </row>
    <row r="50" spans="1:150" x14ac:dyDescent="0.3">
      <c r="C50" s="468"/>
      <c r="D50" s="468"/>
      <c r="E50" s="468"/>
      <c r="F50" s="468"/>
      <c r="G50" s="468"/>
      <c r="H50" s="468"/>
      <c r="I50" s="468"/>
      <c r="J50" s="468"/>
      <c r="K50" s="468"/>
      <c r="L50" s="468"/>
      <c r="M50" s="468"/>
      <c r="N50" s="468"/>
      <c r="O50" s="468"/>
      <c r="P50" s="468"/>
      <c r="Q50" s="468"/>
      <c r="R50" s="468"/>
      <c r="S50" s="468"/>
      <c r="T50" s="468"/>
      <c r="U50" s="468"/>
      <c r="V50" s="468"/>
      <c r="W50" s="468"/>
      <c r="X50" s="468"/>
      <c r="Y50" s="468"/>
      <c r="Z50" s="468"/>
      <c r="AA50" s="468"/>
      <c r="AB50" s="468"/>
      <c r="AC50" s="468"/>
      <c r="AD50" s="468"/>
      <c r="AE50" s="468"/>
      <c r="AF50" s="468"/>
      <c r="AG50" s="468"/>
      <c r="AH50" s="468"/>
      <c r="AI50" s="468"/>
      <c r="AJ50" s="468"/>
      <c r="AK50" s="468"/>
      <c r="AL50" s="468"/>
      <c r="AM50" s="468"/>
    </row>
    <row r="51" spans="1:150" x14ac:dyDescent="0.3">
      <c r="C51" s="1120" t="s">
        <v>841</v>
      </c>
      <c r="D51" s="468"/>
      <c r="E51" s="468"/>
      <c r="F51" s="468"/>
      <c r="G51" s="468"/>
      <c r="H51" s="468"/>
      <c r="I51" s="468"/>
      <c r="J51" s="468"/>
      <c r="K51" s="468"/>
      <c r="L51" s="468"/>
      <c r="M51" s="468"/>
      <c r="N51" s="468"/>
      <c r="O51" s="468"/>
      <c r="P51" s="468"/>
      <c r="Q51" s="468"/>
      <c r="R51" s="468"/>
      <c r="S51" s="468"/>
      <c r="T51" s="468"/>
      <c r="U51" s="468"/>
      <c r="V51" s="468"/>
      <c r="W51" s="468"/>
      <c r="X51" s="468"/>
      <c r="Y51" s="468"/>
      <c r="Z51" s="468"/>
      <c r="AA51" s="468"/>
      <c r="AB51" s="468"/>
      <c r="AC51" s="468"/>
      <c r="AD51" s="468"/>
      <c r="AE51" s="468"/>
      <c r="AF51" s="468"/>
      <c r="AG51" s="468"/>
      <c r="AH51" s="468"/>
      <c r="AI51" s="468"/>
      <c r="AJ51" s="468"/>
      <c r="AK51" s="468"/>
      <c r="AL51" s="468"/>
      <c r="AM51" s="468"/>
      <c r="BH51" s="1101"/>
      <c r="BI51" s="1101"/>
      <c r="BJ51" s="1101"/>
      <c r="BK51" s="1101"/>
      <c r="BL51" s="1101"/>
      <c r="BM51" s="1101"/>
      <c r="BN51" s="1101"/>
      <c r="BO51" s="1101"/>
      <c r="BP51" s="1101"/>
      <c r="BQ51" s="1101"/>
      <c r="BR51" s="1101"/>
      <c r="BS51" s="1101"/>
      <c r="BT51" s="1101"/>
      <c r="BU51" s="1101"/>
      <c r="BV51" s="1101"/>
      <c r="BW51" s="1101"/>
      <c r="BX51" s="1101"/>
      <c r="BY51" s="1101"/>
    </row>
    <row r="52" spans="1:150" x14ac:dyDescent="0.3">
      <c r="C52" s="1122" t="s">
        <v>814</v>
      </c>
      <c r="D52" s="468"/>
      <c r="E52" s="468"/>
      <c r="F52" s="468"/>
      <c r="G52" s="468"/>
      <c r="H52" s="468"/>
      <c r="I52" s="1164">
        <v>3598</v>
      </c>
      <c r="J52" s="1164"/>
      <c r="K52" s="1164"/>
      <c r="L52" s="1164"/>
      <c r="M52" s="1164"/>
      <c r="N52" s="1164"/>
      <c r="O52" s="1164">
        <v>3644</v>
      </c>
      <c r="P52" s="1164"/>
      <c r="Q52" s="1164"/>
      <c r="R52" s="1164"/>
      <c r="S52" s="1164"/>
      <c r="T52" s="1164"/>
      <c r="U52" s="1164">
        <v>3828</v>
      </c>
      <c r="V52" s="468"/>
      <c r="W52" s="468"/>
      <c r="X52" s="468"/>
      <c r="Y52" s="468"/>
      <c r="Z52" s="468"/>
      <c r="AA52" s="1114">
        <f>AA35*AA7</f>
        <v>4131.0000000000009</v>
      </c>
      <c r="AB52" s="1114"/>
      <c r="AC52" s="1114"/>
      <c r="AD52" s="1114"/>
      <c r="AE52" s="1114"/>
      <c r="AF52" s="1114"/>
      <c r="AG52" s="1114">
        <f>AG35*AG7</f>
        <v>4360.6836000000012</v>
      </c>
      <c r="AH52" s="1114"/>
      <c r="AI52" s="1114">
        <f>AI35*AI7</f>
        <v>4564.2110850000017</v>
      </c>
      <c r="AJ52" s="1114"/>
      <c r="AK52" s="1114">
        <f>AK35*AK7</f>
        <v>4748.4168732000016</v>
      </c>
      <c r="AL52" s="1114"/>
      <c r="AM52" s="1114">
        <f>AM35*AM7</f>
        <v>4942.4484695040019</v>
      </c>
      <c r="AO52" s="1101"/>
      <c r="AP52" s="1101"/>
      <c r="AQ52" s="1101"/>
      <c r="AR52" s="1101"/>
      <c r="AS52" s="1101"/>
      <c r="AT52" s="1101"/>
      <c r="AU52" s="1101"/>
      <c r="AV52" s="1101"/>
      <c r="AW52" s="1101"/>
      <c r="AX52" s="1101"/>
      <c r="AY52" s="1101"/>
      <c r="AZ52" s="1101"/>
      <c r="BA52" s="1101"/>
      <c r="BB52" s="1101"/>
      <c r="BC52" s="1101"/>
      <c r="BD52" s="1101"/>
      <c r="BE52" s="1101"/>
      <c r="BF52" s="1101"/>
      <c r="BG52" s="1101"/>
    </row>
    <row r="53" spans="1:150" s="1107" customFormat="1" x14ac:dyDescent="0.3">
      <c r="C53" s="1123" t="s">
        <v>816</v>
      </c>
      <c r="D53" s="1124"/>
      <c r="E53" s="1124"/>
      <c r="F53" s="1124"/>
      <c r="G53" s="1124"/>
      <c r="H53" s="1124"/>
      <c r="I53" s="1124"/>
      <c r="J53" s="1124"/>
      <c r="K53" s="1124"/>
      <c r="L53" s="1124"/>
      <c r="M53" s="1124"/>
      <c r="N53" s="1124"/>
      <c r="O53" s="1124">
        <f>O52/I52-1</f>
        <v>1.2784880489160599E-2</v>
      </c>
      <c r="P53" s="1124"/>
      <c r="Q53" s="1124"/>
      <c r="R53" s="1124"/>
      <c r="S53" s="1124"/>
      <c r="T53" s="1124"/>
      <c r="U53" s="1124">
        <f>U52/O52-1</f>
        <v>5.0493962678375359E-2</v>
      </c>
      <c r="V53" s="1124"/>
      <c r="W53" s="1124"/>
      <c r="X53" s="1124"/>
      <c r="Y53" s="1124"/>
      <c r="Z53" s="1124"/>
      <c r="AA53" s="1124">
        <f>AA52/U52-1</f>
        <v>7.9153605015674255E-2</v>
      </c>
      <c r="AB53" s="1124"/>
      <c r="AC53" s="1124"/>
      <c r="AD53" s="1124"/>
      <c r="AE53" s="1124"/>
      <c r="AF53" s="1124"/>
      <c r="AG53" s="1124">
        <f>AG52/AA52-1</f>
        <v>5.5600000000000094E-2</v>
      </c>
      <c r="AH53" s="1124"/>
      <c r="AI53" s="1124">
        <f>AI52/AG52-1</f>
        <v>4.6673297966401517E-2</v>
      </c>
      <c r="AJ53" s="1124"/>
      <c r="AK53" s="1124">
        <f>AK52/AI52-1</f>
        <v>4.0358735555719782E-2</v>
      </c>
      <c r="AL53" s="1124"/>
      <c r="AM53" s="1124">
        <f>AM52/AK52-1</f>
        <v>4.0862376131950873E-2</v>
      </c>
      <c r="AO53" s="1100"/>
      <c r="AP53" s="1100"/>
      <c r="AQ53" s="1100"/>
      <c r="AR53" s="1100"/>
      <c r="AS53" s="1100"/>
      <c r="AT53" s="1100"/>
      <c r="AU53" s="1100"/>
      <c r="AV53" s="1100"/>
      <c r="AW53" s="1100"/>
      <c r="AX53" s="1100"/>
      <c r="AY53" s="1100"/>
      <c r="AZ53" s="1100"/>
      <c r="BA53" s="1100"/>
      <c r="BB53" s="1100"/>
      <c r="BC53" s="1100"/>
      <c r="BD53" s="1100"/>
      <c r="BE53" s="1100"/>
      <c r="BF53" s="1100"/>
      <c r="BG53" s="1100"/>
      <c r="BH53" s="1100"/>
      <c r="BI53" s="1100"/>
      <c r="BJ53" s="1100"/>
      <c r="BK53" s="1100"/>
      <c r="BL53" s="1100"/>
      <c r="BM53" s="1100"/>
      <c r="BN53" s="1100"/>
      <c r="BO53" s="1100"/>
      <c r="BP53" s="1100"/>
      <c r="BQ53" s="1100"/>
      <c r="BR53" s="1100"/>
      <c r="BS53" s="1100"/>
      <c r="BT53" s="1100"/>
      <c r="BU53" s="1100"/>
      <c r="BV53" s="1100"/>
      <c r="BW53" s="1100"/>
      <c r="BX53" s="1100"/>
      <c r="BY53" s="1100"/>
    </row>
    <row r="54" spans="1:150" x14ac:dyDescent="0.3">
      <c r="C54" s="1122" t="s">
        <v>817</v>
      </c>
      <c r="D54" s="468"/>
      <c r="E54" s="468"/>
      <c r="F54" s="468"/>
      <c r="G54" s="468"/>
      <c r="H54" s="468"/>
      <c r="I54" s="1164">
        <v>712</v>
      </c>
      <c r="J54" s="1164"/>
      <c r="K54" s="1164"/>
      <c r="L54" s="1164"/>
      <c r="M54" s="1164"/>
      <c r="N54" s="1164"/>
      <c r="O54" s="1164">
        <v>757</v>
      </c>
      <c r="P54" s="1164"/>
      <c r="Q54" s="1164"/>
      <c r="R54" s="1164"/>
      <c r="S54" s="1164"/>
      <c r="T54" s="1164"/>
      <c r="U54" s="1164">
        <v>811</v>
      </c>
      <c r="V54" s="468"/>
      <c r="W54" s="468"/>
      <c r="X54" s="468"/>
      <c r="Y54" s="468"/>
      <c r="Z54" s="468"/>
      <c r="AA54" s="1114">
        <f>AA36*AA9</f>
        <v>866.91000000000008</v>
      </c>
      <c r="AB54" s="1114"/>
      <c r="AC54" s="1114"/>
      <c r="AD54" s="1114"/>
      <c r="AE54" s="1114"/>
      <c r="AF54" s="1114"/>
      <c r="AG54" s="1114">
        <f t="shared" ref="AG54:AM54" si="14">AG36*AG9</f>
        <v>967.55590800000016</v>
      </c>
      <c r="AH54" s="1114"/>
      <c r="AI54" s="1114">
        <f t="shared" si="14"/>
        <v>994.12327872000003</v>
      </c>
      <c r="AJ54" s="1114"/>
      <c r="AK54" s="1114">
        <f t="shared" si="14"/>
        <v>1031.0195081472</v>
      </c>
      <c r="AL54" s="1114"/>
      <c r="AM54" s="1114">
        <f t="shared" si="14"/>
        <v>1068.2528912506882</v>
      </c>
      <c r="BH54" s="1101"/>
      <c r="BI54" s="1101"/>
      <c r="BJ54" s="1101"/>
      <c r="BK54" s="1101"/>
      <c r="BL54" s="1101"/>
      <c r="BM54" s="1101"/>
      <c r="BN54" s="1101"/>
      <c r="BO54" s="1101"/>
      <c r="BP54" s="1101"/>
      <c r="BQ54" s="1101"/>
      <c r="BR54" s="1101"/>
      <c r="BS54" s="1101"/>
      <c r="BT54" s="1101"/>
      <c r="BU54" s="1101"/>
      <c r="BV54" s="1101"/>
      <c r="BW54" s="1101"/>
      <c r="BX54" s="1101"/>
      <c r="BY54" s="1101"/>
    </row>
    <row r="55" spans="1:150" s="1107" customFormat="1" x14ac:dyDescent="0.3">
      <c r="C55" s="1123" t="s">
        <v>816</v>
      </c>
      <c r="D55" s="1124"/>
      <c r="E55" s="1124"/>
      <c r="F55" s="1124"/>
      <c r="G55" s="1124"/>
      <c r="H55" s="1124"/>
      <c r="I55" s="1124"/>
      <c r="J55" s="1124"/>
      <c r="K55" s="1124"/>
      <c r="L55" s="1124"/>
      <c r="M55" s="1124"/>
      <c r="N55" s="1124"/>
      <c r="O55" s="1124">
        <f>O54/I54-1</f>
        <v>6.3202247191011196E-2</v>
      </c>
      <c r="P55" s="1124"/>
      <c r="Q55" s="1124"/>
      <c r="R55" s="1124"/>
      <c r="S55" s="1124"/>
      <c r="T55" s="1124"/>
      <c r="U55" s="1124">
        <f>U54/O54-1</f>
        <v>7.133421400264206E-2</v>
      </c>
      <c r="V55" s="1124"/>
      <c r="W55" s="1124"/>
      <c r="X55" s="1124"/>
      <c r="Y55" s="1124"/>
      <c r="Z55" s="1124"/>
      <c r="AA55" s="1124">
        <f>AA54/U54-1</f>
        <v>6.8939580764488362E-2</v>
      </c>
      <c r="AB55" s="1124"/>
      <c r="AC55" s="1124"/>
      <c r="AD55" s="1124"/>
      <c r="AE55" s="1124"/>
      <c r="AF55" s="1124"/>
      <c r="AG55" s="1124">
        <f>AG54/AA54-1</f>
        <v>0.11609729729729734</v>
      </c>
      <c r="AH55" s="1124"/>
      <c r="AI55" s="1124">
        <f>AI54/AG54-1</f>
        <v>2.745822799523423E-2</v>
      </c>
      <c r="AJ55" s="1124"/>
      <c r="AK55" s="1124">
        <f>AK54/AI54-1</f>
        <v>3.7114340059219098E-2</v>
      </c>
      <c r="AL55" s="1124"/>
      <c r="AM55" s="1124">
        <f>AM54/AK54-1</f>
        <v>3.6113170322449761E-2</v>
      </c>
      <c r="AO55" s="1101"/>
      <c r="AP55" s="1101"/>
      <c r="AQ55" s="1101"/>
      <c r="AR55" s="1101"/>
      <c r="AS55" s="1101"/>
      <c r="AT55" s="1101"/>
      <c r="AU55" s="1101"/>
      <c r="AV55" s="1101"/>
      <c r="AW55" s="1101"/>
      <c r="AX55" s="1101"/>
      <c r="AY55" s="1101"/>
      <c r="AZ55" s="1101"/>
      <c r="BA55" s="1101"/>
      <c r="BB55" s="1101"/>
      <c r="BC55" s="1101"/>
      <c r="BD55" s="1101"/>
      <c r="BE55" s="1101"/>
      <c r="BF55" s="1101"/>
      <c r="BG55" s="1101"/>
      <c r="BH55" s="1101"/>
      <c r="BI55" s="1101"/>
      <c r="BJ55" s="1101"/>
      <c r="BK55" s="1101"/>
      <c r="BL55" s="1101"/>
      <c r="BM55" s="1101"/>
      <c r="BN55" s="1101"/>
      <c r="BO55" s="1101"/>
      <c r="BP55" s="1101"/>
      <c r="BQ55" s="1101"/>
      <c r="BR55" s="1101"/>
      <c r="BS55" s="1101"/>
      <c r="BT55" s="1101"/>
      <c r="BU55" s="1101"/>
      <c r="BV55" s="1101"/>
      <c r="BW55" s="1101"/>
      <c r="BX55" s="1101"/>
      <c r="BY55" s="1101"/>
    </row>
    <row r="56" spans="1:150" x14ac:dyDescent="0.3">
      <c r="C56" s="1122" t="s">
        <v>820</v>
      </c>
      <c r="D56" s="468"/>
      <c r="E56" s="468"/>
      <c r="F56" s="468"/>
      <c r="G56" s="468"/>
      <c r="H56" s="468"/>
      <c r="I56" s="1164">
        <v>1093</v>
      </c>
      <c r="J56" s="1164"/>
      <c r="K56" s="1164"/>
      <c r="L56" s="1164"/>
      <c r="M56" s="1164"/>
      <c r="N56" s="1164"/>
      <c r="O56" s="1164">
        <v>1041</v>
      </c>
      <c r="P56" s="1164"/>
      <c r="Q56" s="1164"/>
      <c r="R56" s="1164"/>
      <c r="S56" s="1164"/>
      <c r="T56" s="1164"/>
      <c r="U56" s="1164">
        <v>1085</v>
      </c>
      <c r="V56" s="468"/>
      <c r="W56" s="468"/>
      <c r="X56" s="468"/>
      <c r="Y56" s="468"/>
      <c r="Z56" s="468"/>
      <c r="AA56" s="1114">
        <f>AA37*AA11</f>
        <v>1086.3852899999999</v>
      </c>
      <c r="AB56" s="1114"/>
      <c r="AC56" s="1114"/>
      <c r="AD56" s="1114"/>
      <c r="AE56" s="1114"/>
      <c r="AF56" s="1114"/>
      <c r="AG56" s="1114">
        <f t="shared" ref="AG56:AM56" si="15">AG37*AG11</f>
        <v>1126.1750552000001</v>
      </c>
      <c r="AH56" s="1114"/>
      <c r="AI56" s="1114">
        <f t="shared" si="15"/>
        <v>1164.3658178776668</v>
      </c>
      <c r="AJ56" s="1114"/>
      <c r="AK56" s="1114">
        <f t="shared" si="15"/>
        <v>1182.1365748241867</v>
      </c>
      <c r="AL56" s="1114"/>
      <c r="AM56" s="1114">
        <f t="shared" si="15"/>
        <v>1208.002735497859</v>
      </c>
      <c r="AO56" s="1101"/>
      <c r="AP56" s="1101"/>
      <c r="AQ56" s="1101"/>
      <c r="AR56" s="1101"/>
      <c r="AS56" s="1101"/>
      <c r="AT56" s="1101"/>
      <c r="AU56" s="1101"/>
      <c r="AV56" s="1101"/>
      <c r="AW56" s="1101"/>
      <c r="AX56" s="1101"/>
      <c r="AY56" s="1101"/>
      <c r="AZ56" s="1101"/>
      <c r="BA56" s="1101"/>
      <c r="BB56" s="1101"/>
      <c r="BC56" s="1101"/>
      <c r="BD56" s="1101"/>
      <c r="BE56" s="1101"/>
      <c r="BF56" s="1101"/>
      <c r="BG56" s="1101"/>
    </row>
    <row r="57" spans="1:150" s="1107" customFormat="1" x14ac:dyDescent="0.3">
      <c r="C57" s="1123" t="s">
        <v>816</v>
      </c>
      <c r="D57" s="1124"/>
      <c r="E57" s="1124"/>
      <c r="F57" s="1124"/>
      <c r="G57" s="1124"/>
      <c r="H57" s="1124"/>
      <c r="I57" s="1124"/>
      <c r="J57" s="1124"/>
      <c r="K57" s="1124"/>
      <c r="L57" s="1124"/>
      <c r="M57" s="1124"/>
      <c r="N57" s="1124"/>
      <c r="O57" s="1124">
        <f>O56/I56-1</f>
        <v>-4.7575480329368758E-2</v>
      </c>
      <c r="P57" s="1124"/>
      <c r="Q57" s="1124"/>
      <c r="R57" s="1124"/>
      <c r="S57" s="1124"/>
      <c r="T57" s="1124"/>
      <c r="U57" s="1124">
        <f>U56/O56-1</f>
        <v>4.2267050912583981E-2</v>
      </c>
      <c r="V57" s="1124"/>
      <c r="W57" s="1124"/>
      <c r="X57" s="1124"/>
      <c r="Y57" s="1124"/>
      <c r="Z57" s="1124"/>
      <c r="AA57" s="1124">
        <f>AA56/U56-1</f>
        <v>1.2767649769584999E-3</v>
      </c>
      <c r="AB57" s="1124"/>
      <c r="AC57" s="1124"/>
      <c r="AD57" s="1124"/>
      <c r="AE57" s="1124"/>
      <c r="AF57" s="1124"/>
      <c r="AG57" s="1124">
        <f>AG56/AA56-1</f>
        <v>3.6625832074733022E-2</v>
      </c>
      <c r="AH57" s="1124"/>
      <c r="AI57" s="1124">
        <f>AI56/AG56-1</f>
        <v>3.3911923817993239E-2</v>
      </c>
      <c r="AJ57" s="1124"/>
      <c r="AK57" s="1124">
        <f>AK56/AI56-1</f>
        <v>1.5262176777837144E-2</v>
      </c>
      <c r="AL57" s="1124"/>
      <c r="AM57" s="1124">
        <f>AM56/AK56-1</f>
        <v>2.1880856429401296E-2</v>
      </c>
      <c r="AO57" s="1100"/>
      <c r="AP57" s="1100"/>
      <c r="AQ57" s="1100"/>
      <c r="AR57" s="1100"/>
      <c r="AS57" s="1100"/>
      <c r="AT57" s="1100"/>
      <c r="AU57" s="1100"/>
      <c r="AV57" s="1100"/>
      <c r="AW57" s="1100"/>
      <c r="AX57" s="1100"/>
      <c r="AY57" s="1100"/>
      <c r="AZ57" s="1100"/>
      <c r="BA57" s="1100"/>
      <c r="BB57" s="1100"/>
      <c r="BC57" s="1100"/>
      <c r="BD57" s="1100"/>
      <c r="BE57" s="1100"/>
      <c r="BF57" s="1100"/>
      <c r="BG57" s="1100"/>
      <c r="BH57" s="1100"/>
      <c r="BI57" s="1100"/>
      <c r="BJ57" s="1100"/>
      <c r="BK57" s="1100"/>
      <c r="BL57" s="1100"/>
      <c r="BM57" s="1100"/>
      <c r="BN57" s="1100"/>
      <c r="BO57" s="1100"/>
      <c r="BP57" s="1100"/>
      <c r="BQ57" s="1100"/>
      <c r="BR57" s="1100"/>
      <c r="BS57" s="1100"/>
      <c r="BT57" s="1100"/>
      <c r="BU57" s="1100"/>
      <c r="BV57" s="1100"/>
      <c r="BW57" s="1100"/>
      <c r="BX57" s="1100"/>
      <c r="BY57" s="1100"/>
    </row>
    <row r="58" spans="1:150" x14ac:dyDescent="0.3">
      <c r="C58" s="1122" t="s">
        <v>823</v>
      </c>
      <c r="D58" s="468"/>
      <c r="E58" s="468"/>
      <c r="F58" s="468"/>
      <c r="G58" s="468"/>
      <c r="H58" s="468"/>
      <c r="I58" s="1164">
        <v>2134</v>
      </c>
      <c r="J58" s="1164"/>
      <c r="K58" s="1164"/>
      <c r="L58" s="1164"/>
      <c r="M58" s="1164"/>
      <c r="N58" s="1164"/>
      <c r="O58" s="1164">
        <v>1916</v>
      </c>
      <c r="P58" s="1164"/>
      <c r="Q58" s="1164"/>
      <c r="R58" s="1164"/>
      <c r="S58" s="1164"/>
      <c r="T58" s="1164"/>
      <c r="U58" s="1164">
        <v>1483</v>
      </c>
      <c r="V58" s="468"/>
      <c r="W58" s="468"/>
      <c r="X58" s="468"/>
      <c r="Y58" s="468"/>
      <c r="Z58" s="468"/>
      <c r="AA58" s="1114">
        <f>AA38*AA13</f>
        <v>1418.1804000000002</v>
      </c>
      <c r="AB58" s="1114"/>
      <c r="AC58" s="1114"/>
      <c r="AD58" s="1114"/>
      <c r="AE58" s="1114"/>
      <c r="AF58" s="1114"/>
      <c r="AG58" s="1114">
        <f t="shared" ref="AG58:AM58" si="16">AG38*AG13</f>
        <v>1272.6923040000004</v>
      </c>
      <c r="AH58" s="1114"/>
      <c r="AI58" s="1114">
        <f t="shared" si="16"/>
        <v>1205.1105300000002</v>
      </c>
      <c r="AJ58" s="1114"/>
      <c r="AK58" s="1114">
        <f t="shared" si="16"/>
        <v>1217.8859628000002</v>
      </c>
      <c r="AL58" s="1114"/>
      <c r="AM58" s="1114">
        <f t="shared" si="16"/>
        <v>1234.898421744</v>
      </c>
    </row>
    <row r="59" spans="1:150" s="1107" customFormat="1" x14ac:dyDescent="0.3">
      <c r="C59" s="1123" t="s">
        <v>816</v>
      </c>
      <c r="D59" s="1124"/>
      <c r="E59" s="1124"/>
      <c r="F59" s="1124"/>
      <c r="G59" s="1124"/>
      <c r="H59" s="1124"/>
      <c r="I59" s="1124"/>
      <c r="J59" s="1124"/>
      <c r="K59" s="1124"/>
      <c r="L59" s="1124"/>
      <c r="M59" s="1124"/>
      <c r="N59" s="1124"/>
      <c r="O59" s="1124">
        <f>O58/I58-1</f>
        <v>-0.10215557638238049</v>
      </c>
      <c r="P59" s="1124"/>
      <c r="Q59" s="1124"/>
      <c r="R59" s="1124"/>
      <c r="S59" s="1124"/>
      <c r="T59" s="1124"/>
      <c r="U59" s="1124">
        <f>U58/O58-1</f>
        <v>-0.22599164926931103</v>
      </c>
      <c r="V59" s="1124"/>
      <c r="W59" s="1124"/>
      <c r="X59" s="1124"/>
      <c r="Y59" s="1124"/>
      <c r="Z59" s="1124"/>
      <c r="AA59" s="1124">
        <f>AA58/U58-1</f>
        <v>-4.3708428860417925E-2</v>
      </c>
      <c r="AB59" s="1124"/>
      <c r="AC59" s="1124"/>
      <c r="AD59" s="1124"/>
      <c r="AE59" s="1124"/>
      <c r="AF59" s="1124"/>
      <c r="AG59" s="1124">
        <f>AG58/AA58-1</f>
        <v>-0.10258786258786246</v>
      </c>
      <c r="AH59" s="1124"/>
      <c r="AI59" s="1124">
        <f>AI58/AG58-1</f>
        <v>-5.3101424270104003E-2</v>
      </c>
      <c r="AJ59" s="1124"/>
      <c r="AK59" s="1124">
        <f>AK58/AI58-1</f>
        <v>1.0601046528072589E-2</v>
      </c>
      <c r="AL59" s="1124"/>
      <c r="AM59" s="1124">
        <f>AM58/AK58-1</f>
        <v>1.396884393419473E-2</v>
      </c>
      <c r="AO59" s="1100"/>
      <c r="AP59" s="1100"/>
      <c r="AQ59" s="1100"/>
      <c r="AR59" s="1100"/>
      <c r="AS59" s="1100"/>
      <c r="AT59" s="1100"/>
      <c r="AU59" s="1100"/>
      <c r="AV59" s="1100"/>
      <c r="AW59" s="1100"/>
      <c r="AX59" s="1100"/>
      <c r="AY59" s="1100"/>
      <c r="AZ59" s="1100"/>
      <c r="BA59" s="1100"/>
      <c r="BB59" s="1100"/>
      <c r="BC59" s="1100"/>
      <c r="BD59" s="1100"/>
      <c r="BE59" s="1100"/>
      <c r="BF59" s="1100"/>
      <c r="BG59" s="1100"/>
    </row>
    <row r="60" spans="1:150" s="1109" customFormat="1" x14ac:dyDescent="0.3">
      <c r="A60" s="1101"/>
      <c r="B60" s="1101"/>
      <c r="C60" s="1125" t="s">
        <v>826</v>
      </c>
      <c r="D60" s="1126"/>
      <c r="E60" s="1126"/>
      <c r="F60" s="1126"/>
      <c r="G60" s="1126"/>
      <c r="H60" s="1126"/>
      <c r="I60" s="1134">
        <f>Segments!T21</f>
        <v>7537</v>
      </c>
      <c r="J60" s="1126"/>
      <c r="K60" s="1126"/>
      <c r="L60" s="1126"/>
      <c r="M60" s="1126"/>
      <c r="N60" s="1126"/>
      <c r="O60" s="1134">
        <f>Segments!Z21</f>
        <v>7358</v>
      </c>
      <c r="P60" s="1126"/>
      <c r="Q60" s="1126"/>
      <c r="R60" s="1126"/>
      <c r="S60" s="1126"/>
      <c r="T60" s="1126"/>
      <c r="U60" s="1134">
        <f>Segments!AF21</f>
        <v>7207</v>
      </c>
      <c r="V60" s="1126"/>
      <c r="W60" s="1126"/>
      <c r="X60" s="1126"/>
      <c r="Y60" s="1126"/>
      <c r="Z60" s="1126"/>
      <c r="AA60" s="1127">
        <f>+AA58+AA56+AA52+AA54</f>
        <v>7502.4756900000011</v>
      </c>
      <c r="AB60" s="1126"/>
      <c r="AC60" s="1126"/>
      <c r="AD60" s="1126"/>
      <c r="AE60" s="1126"/>
      <c r="AF60" s="1126"/>
      <c r="AG60" s="1127">
        <f>+AG58+AG56+AG52+AG54</f>
        <v>7727.1068672000019</v>
      </c>
      <c r="AH60" s="1127"/>
      <c r="AI60" s="1127">
        <f>+AI58+AI56+AI52+AI54</f>
        <v>7927.8107115976682</v>
      </c>
      <c r="AJ60" s="1127"/>
      <c r="AK60" s="1127">
        <f>+AK58+AK56+AK52+AK54</f>
        <v>8179.4589189713888</v>
      </c>
      <c r="AL60" s="1127"/>
      <c r="AM60" s="1127">
        <f>+AM58+AM56+AM52+AM54</f>
        <v>8453.6025179965491</v>
      </c>
      <c r="AN60" s="1101"/>
      <c r="AO60" s="1107"/>
      <c r="AP60" s="1107"/>
      <c r="AQ60" s="1107"/>
      <c r="AR60" s="1107"/>
      <c r="AS60" s="1107"/>
      <c r="AT60" s="1107"/>
      <c r="AU60" s="1107"/>
      <c r="AV60" s="1107"/>
      <c r="AW60" s="1107"/>
      <c r="AX60" s="1107"/>
      <c r="AY60" s="1107"/>
      <c r="AZ60" s="1107"/>
      <c r="BA60" s="1107"/>
      <c r="BB60" s="1107"/>
      <c r="BC60" s="1107"/>
      <c r="BD60" s="1107"/>
      <c r="BE60" s="1107"/>
      <c r="BF60" s="1107"/>
      <c r="BG60" s="1107"/>
      <c r="BH60" s="1100"/>
      <c r="BI60" s="1100"/>
      <c r="BJ60" s="1100"/>
      <c r="BK60" s="1100"/>
      <c r="BL60" s="1100"/>
      <c r="BM60" s="1100"/>
      <c r="BN60" s="1100"/>
      <c r="BO60" s="1100"/>
      <c r="BP60" s="1100"/>
      <c r="BQ60" s="1100"/>
      <c r="BR60" s="1100"/>
      <c r="BS60" s="1100"/>
      <c r="BT60" s="1100"/>
      <c r="BU60" s="1100"/>
      <c r="BV60" s="1100"/>
      <c r="BW60" s="1100"/>
      <c r="BX60" s="1100"/>
      <c r="BY60" s="1100"/>
      <c r="BZ60" s="1101"/>
      <c r="CA60" s="1101"/>
      <c r="CB60" s="1101"/>
      <c r="CC60" s="1101"/>
      <c r="CD60" s="1101"/>
      <c r="CE60" s="1101"/>
      <c r="CF60" s="1101"/>
      <c r="CG60" s="1101"/>
      <c r="CH60" s="1101"/>
      <c r="CI60" s="1101"/>
      <c r="CJ60" s="1101"/>
      <c r="CK60" s="1101"/>
      <c r="CL60" s="1101"/>
      <c r="CM60" s="1101"/>
      <c r="CN60" s="1101"/>
      <c r="CO60" s="1101"/>
      <c r="CP60" s="1101"/>
      <c r="CQ60" s="1101"/>
      <c r="CR60" s="1101"/>
      <c r="CS60" s="1101"/>
      <c r="CT60" s="1101"/>
      <c r="CU60" s="1101"/>
      <c r="CV60" s="1101"/>
      <c r="CW60" s="1101"/>
      <c r="CX60" s="1101"/>
      <c r="CY60" s="1101"/>
      <c r="CZ60" s="1101"/>
      <c r="DA60" s="1101"/>
      <c r="DB60" s="1101"/>
      <c r="DC60" s="1101"/>
      <c r="DD60" s="1101"/>
      <c r="DE60" s="1101"/>
      <c r="DF60" s="1101"/>
      <c r="DG60" s="1101"/>
      <c r="DH60" s="1101"/>
      <c r="DI60" s="1101"/>
      <c r="DJ60" s="1101"/>
      <c r="DK60" s="1101"/>
      <c r="DL60" s="1101"/>
      <c r="DM60" s="1101"/>
      <c r="DN60" s="1101"/>
      <c r="DO60" s="1101"/>
      <c r="DP60" s="1101"/>
      <c r="DQ60" s="1101"/>
      <c r="DR60" s="1101"/>
      <c r="DS60" s="1101"/>
      <c r="DT60" s="1101"/>
      <c r="DU60" s="1101"/>
      <c r="DV60" s="1101"/>
      <c r="DW60" s="1101"/>
      <c r="DX60" s="1101"/>
      <c r="DY60" s="1101"/>
      <c r="DZ60" s="1101"/>
      <c r="EA60" s="1101"/>
      <c r="EB60" s="1101"/>
      <c r="EC60" s="1101"/>
      <c r="ED60" s="1101"/>
      <c r="EE60" s="1101"/>
      <c r="EF60" s="1101"/>
      <c r="EG60" s="1101"/>
      <c r="EH60" s="1101"/>
      <c r="EI60" s="1101"/>
      <c r="EJ60" s="1101"/>
      <c r="EK60" s="1101"/>
      <c r="EL60" s="1101"/>
      <c r="EM60" s="1101"/>
      <c r="EN60" s="1101"/>
      <c r="EO60" s="1101"/>
      <c r="EP60" s="1101"/>
      <c r="EQ60" s="1101"/>
      <c r="ER60" s="1101"/>
      <c r="ES60" s="1101"/>
      <c r="ET60" s="1101"/>
    </row>
    <row r="61" spans="1:150" x14ac:dyDescent="0.3">
      <c r="C61" s="1122" t="s">
        <v>828</v>
      </c>
      <c r="D61" s="468"/>
      <c r="E61" s="468"/>
      <c r="F61" s="468"/>
      <c r="G61" s="468"/>
      <c r="H61" s="468"/>
      <c r="I61" s="1164">
        <v>2158</v>
      </c>
      <c r="J61" s="1164"/>
      <c r="K61" s="1164"/>
      <c r="L61" s="1164"/>
      <c r="M61" s="1164"/>
      <c r="N61" s="1164"/>
      <c r="O61" s="1164">
        <v>2176</v>
      </c>
      <c r="P61" s="1164"/>
      <c r="Q61" s="1164"/>
      <c r="R61" s="1164"/>
      <c r="S61" s="1164"/>
      <c r="T61" s="1164"/>
      <c r="U61" s="1164">
        <v>2345</v>
      </c>
      <c r="V61" s="468"/>
      <c r="W61" s="468"/>
      <c r="X61" s="468"/>
      <c r="Y61" s="468"/>
      <c r="Z61" s="468"/>
      <c r="AA61" s="1114">
        <f>AA41*AA17</f>
        <v>2400.4904000000001</v>
      </c>
      <c r="AB61" s="1114"/>
      <c r="AC61" s="1114"/>
      <c r="AD61" s="1114"/>
      <c r="AE61" s="1114"/>
      <c r="AF61" s="1114"/>
      <c r="AG61" s="1114">
        <f t="shared" ref="AG61:AM61" si="17">AG41*AG17</f>
        <v>2503.8944597333334</v>
      </c>
      <c r="AH61" s="1114"/>
      <c r="AI61" s="1114">
        <f t="shared" si="17"/>
        <v>2617.8345330915558</v>
      </c>
      <c r="AJ61" s="1114"/>
      <c r="AK61" s="1114">
        <f t="shared" si="17"/>
        <v>2710.3284651227978</v>
      </c>
      <c r="AL61" s="1114"/>
      <c r="AM61" s="1114">
        <f t="shared" si="17"/>
        <v>2795.1070953337189</v>
      </c>
      <c r="BH61" s="1107"/>
      <c r="BI61" s="1107"/>
      <c r="BJ61" s="1107"/>
      <c r="BK61" s="1107"/>
      <c r="BL61" s="1107"/>
      <c r="BM61" s="1107"/>
      <c r="BN61" s="1107"/>
      <c r="BO61" s="1107"/>
      <c r="BP61" s="1107"/>
      <c r="BQ61" s="1107"/>
      <c r="BR61" s="1107"/>
      <c r="BS61" s="1107"/>
      <c r="BT61" s="1107"/>
      <c r="BU61" s="1107"/>
      <c r="BV61" s="1107"/>
      <c r="BW61" s="1107"/>
      <c r="BX61" s="1107"/>
      <c r="BY61" s="1107"/>
    </row>
    <row r="62" spans="1:150" s="1107" customFormat="1" x14ac:dyDescent="0.3">
      <c r="C62" s="1123" t="s">
        <v>816</v>
      </c>
      <c r="D62" s="1124"/>
      <c r="E62" s="1124"/>
      <c r="F62" s="1124"/>
      <c r="G62" s="1124"/>
      <c r="H62" s="1124"/>
      <c r="I62" s="1124"/>
      <c r="J62" s="1124"/>
      <c r="K62" s="1124"/>
      <c r="L62" s="1124"/>
      <c r="M62" s="1124"/>
      <c r="N62" s="1124"/>
      <c r="O62" s="1124">
        <f>O61/I61-1</f>
        <v>8.3410565338275511E-3</v>
      </c>
      <c r="P62" s="1124"/>
      <c r="Q62" s="1124"/>
      <c r="R62" s="1124"/>
      <c r="S62" s="1124"/>
      <c r="T62" s="1124"/>
      <c r="U62" s="1124">
        <f>U61/O61-1</f>
        <v>7.7665441176470562E-2</v>
      </c>
      <c r="V62" s="1124"/>
      <c r="W62" s="1124"/>
      <c r="X62" s="1124"/>
      <c r="Y62" s="1124"/>
      <c r="Z62" s="1124"/>
      <c r="AA62" s="1124">
        <f>AA61/U61-1</f>
        <v>2.3663283582089578E-2</v>
      </c>
      <c r="AB62" s="1124"/>
      <c r="AC62" s="1124"/>
      <c r="AD62" s="1124"/>
      <c r="AE62" s="1124"/>
      <c r="AF62" s="1124"/>
      <c r="AG62" s="1124">
        <f>AG61/AA61-1</f>
        <v>4.3076222980659828E-2</v>
      </c>
      <c r="AH62" s="1124"/>
      <c r="AI62" s="1124">
        <f>AI61/AG61-1</f>
        <v>4.5505142165759294E-2</v>
      </c>
      <c r="AJ62" s="1124"/>
      <c r="AK62" s="1124">
        <f>AK61/AI61-1</f>
        <v>3.5332230078732429E-2</v>
      </c>
      <c r="AL62" s="1124"/>
      <c r="AM62" s="1124">
        <f>AM61/AK61-1</f>
        <v>3.1279836116498094E-2</v>
      </c>
      <c r="BH62" s="1100"/>
      <c r="BI62" s="1100"/>
      <c r="BJ62" s="1100"/>
      <c r="BK62" s="1100"/>
      <c r="BL62" s="1100"/>
      <c r="BM62" s="1100"/>
      <c r="BN62" s="1100"/>
      <c r="BO62" s="1100"/>
      <c r="BP62" s="1100"/>
      <c r="BQ62" s="1100"/>
      <c r="BR62" s="1100"/>
      <c r="BS62" s="1100"/>
      <c r="BT62" s="1100"/>
      <c r="BU62" s="1100"/>
      <c r="BV62" s="1100"/>
      <c r="BW62" s="1100"/>
      <c r="BX62" s="1100"/>
      <c r="BY62" s="1100"/>
    </row>
    <row r="63" spans="1:150" x14ac:dyDescent="0.3">
      <c r="C63" s="1122" t="s">
        <v>831</v>
      </c>
      <c r="D63" s="468"/>
      <c r="E63" s="468"/>
      <c r="F63" s="468"/>
      <c r="G63" s="468"/>
      <c r="H63" s="468"/>
      <c r="I63" s="1164">
        <v>2196</v>
      </c>
      <c r="J63" s="1164"/>
      <c r="K63" s="1164"/>
      <c r="L63" s="1164"/>
      <c r="M63" s="1164"/>
      <c r="N63" s="1164"/>
      <c r="O63" s="1164">
        <v>2194</v>
      </c>
      <c r="P63" s="1164"/>
      <c r="Q63" s="1164"/>
      <c r="R63" s="1164"/>
      <c r="S63" s="1164"/>
      <c r="T63" s="1164"/>
      <c r="U63" s="1164">
        <v>2081</v>
      </c>
      <c r="V63" s="468"/>
      <c r="W63" s="468"/>
      <c r="X63" s="468"/>
      <c r="Y63" s="468"/>
      <c r="Z63" s="468"/>
      <c r="AA63" s="1114">
        <f>AA42*AA19</f>
        <v>1945.3264000000001</v>
      </c>
      <c r="AB63" s="1114"/>
      <c r="AC63" s="1114"/>
      <c r="AD63" s="1114"/>
      <c r="AE63" s="1114"/>
      <c r="AF63" s="1114"/>
      <c r="AG63" s="1114">
        <f>AG42*AG19</f>
        <v>1950.2347733333334</v>
      </c>
      <c r="AH63" s="1114"/>
      <c r="AI63" s="1114">
        <f>AI42*AI19</f>
        <v>1983.7832494222221</v>
      </c>
      <c r="AJ63" s="1114"/>
      <c r="AK63" s="1114">
        <f>AK42*AK19</f>
        <v>2012.2220117262225</v>
      </c>
      <c r="AL63" s="1114"/>
      <c r="AM63" s="1114">
        <f>AM42*AM19</f>
        <v>2055.2363484724629</v>
      </c>
      <c r="BH63" s="1107"/>
      <c r="BI63" s="1107"/>
      <c r="BJ63" s="1107"/>
      <c r="BK63" s="1107"/>
      <c r="BL63" s="1107"/>
      <c r="BM63" s="1107"/>
      <c r="BN63" s="1107"/>
      <c r="BO63" s="1107"/>
      <c r="BP63" s="1107"/>
      <c r="BQ63" s="1107"/>
      <c r="BR63" s="1107"/>
      <c r="BS63" s="1107"/>
      <c r="BT63" s="1107"/>
      <c r="BU63" s="1107"/>
      <c r="BV63" s="1107"/>
      <c r="BW63" s="1107"/>
      <c r="BX63" s="1107"/>
      <c r="BY63" s="1107"/>
    </row>
    <row r="64" spans="1:150" s="1108" customFormat="1" x14ac:dyDescent="0.3">
      <c r="C64" s="1123" t="s">
        <v>816</v>
      </c>
      <c r="D64" s="1135"/>
      <c r="E64" s="1135"/>
      <c r="F64" s="1135"/>
      <c r="G64" s="1135"/>
      <c r="H64" s="1135"/>
      <c r="I64" s="1135"/>
      <c r="J64" s="1135"/>
      <c r="K64" s="1135"/>
      <c r="L64" s="1135"/>
      <c r="M64" s="1135"/>
      <c r="N64" s="1135"/>
      <c r="O64" s="1124">
        <f>O63/I63-1</f>
        <v>-9.1074681238612065E-4</v>
      </c>
      <c r="P64" s="1135"/>
      <c r="Q64" s="1135"/>
      <c r="R64" s="1135"/>
      <c r="S64" s="1135"/>
      <c r="T64" s="1135"/>
      <c r="U64" s="1124">
        <f>U63/O63-1</f>
        <v>-5.1504102096627147E-2</v>
      </c>
      <c r="V64" s="1135"/>
      <c r="W64" s="1135"/>
      <c r="X64" s="1135"/>
      <c r="Y64" s="1135"/>
      <c r="Z64" s="1135"/>
      <c r="AA64" s="1124">
        <f>AA63/U63-1</f>
        <v>-6.5196347909658781E-2</v>
      </c>
      <c r="AB64" s="1124"/>
      <c r="AC64" s="1124"/>
      <c r="AD64" s="1124"/>
      <c r="AE64" s="1124"/>
      <c r="AF64" s="1124"/>
      <c r="AG64" s="1124">
        <f>AG63/AA63-1</f>
        <v>2.5231618371770459E-3</v>
      </c>
      <c r="AH64" s="1124"/>
      <c r="AI64" s="1124">
        <f>AI63/AG63-1</f>
        <v>1.7202275617077545E-2</v>
      </c>
      <c r="AJ64" s="1124"/>
      <c r="AK64" s="1124">
        <f>AK63/AI63-1</f>
        <v>1.4335619736825178E-2</v>
      </c>
      <c r="AL64" s="1124"/>
      <c r="AM64" s="1124">
        <f>AM63/AK63-1</f>
        <v>2.1376536234855914E-2</v>
      </c>
      <c r="AO64" s="1107"/>
      <c r="AP64" s="1107"/>
      <c r="AQ64" s="1107"/>
      <c r="AR64" s="1107"/>
      <c r="AS64" s="1107"/>
      <c r="AT64" s="1107"/>
      <c r="AU64" s="1107"/>
      <c r="AV64" s="1107"/>
      <c r="AW64" s="1107"/>
      <c r="AX64" s="1107"/>
      <c r="AY64" s="1107"/>
      <c r="AZ64" s="1107"/>
      <c r="BA64" s="1107"/>
      <c r="BB64" s="1107"/>
      <c r="BC64" s="1107"/>
      <c r="BD64" s="1107"/>
      <c r="BE64" s="1107"/>
      <c r="BF64" s="1107"/>
      <c r="BG64" s="1107"/>
      <c r="BH64" s="1100"/>
      <c r="BI64" s="1100"/>
      <c r="BJ64" s="1100"/>
      <c r="BK64" s="1100"/>
      <c r="BL64" s="1100"/>
      <c r="BM64" s="1100"/>
      <c r="BN64" s="1100"/>
      <c r="BO64" s="1100"/>
      <c r="BP64" s="1100"/>
      <c r="BQ64" s="1100"/>
      <c r="BR64" s="1100"/>
      <c r="BS64" s="1100"/>
      <c r="BT64" s="1100"/>
      <c r="BU64" s="1100"/>
      <c r="BV64" s="1100"/>
      <c r="BW64" s="1100"/>
      <c r="BX64" s="1100"/>
      <c r="BY64" s="1100"/>
    </row>
    <row r="65" spans="1:150" x14ac:dyDescent="0.3">
      <c r="C65" s="1122" t="s">
        <v>834</v>
      </c>
      <c r="D65" s="468"/>
      <c r="E65" s="468"/>
      <c r="F65" s="468"/>
      <c r="G65" s="468"/>
      <c r="H65" s="468"/>
      <c r="I65" s="1164">
        <v>1465</v>
      </c>
      <c r="J65" s="1164"/>
      <c r="K65" s="1164"/>
      <c r="L65" s="1164"/>
      <c r="M65" s="1164"/>
      <c r="N65" s="1164"/>
      <c r="O65" s="1164">
        <v>1347</v>
      </c>
      <c r="P65" s="1164"/>
      <c r="Q65" s="1164"/>
      <c r="R65" s="1164"/>
      <c r="S65" s="1164"/>
      <c r="T65" s="1164"/>
      <c r="U65" s="1164">
        <v>1326</v>
      </c>
      <c r="V65" s="468"/>
      <c r="W65" s="468"/>
      <c r="X65" s="468"/>
      <c r="Y65" s="468"/>
      <c r="Z65" s="468"/>
      <c r="AA65" s="1114">
        <f>AA43*AA21</f>
        <v>1336.02901</v>
      </c>
      <c r="AB65" s="1114"/>
      <c r="AC65" s="1114"/>
      <c r="AD65" s="1114"/>
      <c r="AE65" s="1114"/>
      <c r="AF65" s="1114"/>
      <c r="AG65" s="1114">
        <f>AG43*AG21</f>
        <v>1357.9598402666666</v>
      </c>
      <c r="AH65" s="1114"/>
      <c r="AI65" s="1114">
        <f>AI43*AI21</f>
        <v>1367.1341005491108</v>
      </c>
      <c r="AJ65" s="1114"/>
      <c r="AK65" s="1114">
        <f>AK43*AK21</f>
        <v>1394.5292889886109</v>
      </c>
      <c r="AL65" s="1114"/>
      <c r="AM65" s="1114">
        <f>AM43*AM21</f>
        <v>1423.9119416570841</v>
      </c>
      <c r="BH65" s="1107"/>
      <c r="BI65" s="1107"/>
      <c r="BJ65" s="1107"/>
      <c r="BK65" s="1107"/>
      <c r="BL65" s="1107"/>
      <c r="BM65" s="1107"/>
      <c r="BN65" s="1107"/>
      <c r="BO65" s="1107"/>
      <c r="BP65" s="1107"/>
      <c r="BQ65" s="1107"/>
      <c r="BR65" s="1107"/>
      <c r="BS65" s="1107"/>
      <c r="BT65" s="1107"/>
      <c r="BU65" s="1107"/>
      <c r="BV65" s="1107"/>
      <c r="BW65" s="1107"/>
      <c r="BX65" s="1107"/>
      <c r="BY65" s="1107"/>
    </row>
    <row r="66" spans="1:150" s="1108" customFormat="1" x14ac:dyDescent="0.3">
      <c r="C66" s="1123" t="s">
        <v>816</v>
      </c>
      <c r="D66" s="1135"/>
      <c r="E66" s="1135"/>
      <c r="F66" s="1135"/>
      <c r="G66" s="1135"/>
      <c r="H66" s="1135"/>
      <c r="I66" s="1135"/>
      <c r="J66" s="1135"/>
      <c r="K66" s="1135"/>
      <c r="L66" s="1135"/>
      <c r="M66" s="1135"/>
      <c r="N66" s="1135"/>
      <c r="O66" s="1124">
        <f>O65/I65-1</f>
        <v>-8.0546075085324187E-2</v>
      </c>
      <c r="P66" s="1135"/>
      <c r="Q66" s="1135"/>
      <c r="R66" s="1135"/>
      <c r="S66" s="1135"/>
      <c r="T66" s="1135"/>
      <c r="U66" s="1124">
        <f>U65/O65-1</f>
        <v>-1.5590200445434244E-2</v>
      </c>
      <c r="V66" s="1135"/>
      <c r="W66" s="1135"/>
      <c r="X66" s="1135"/>
      <c r="Y66" s="1135"/>
      <c r="Z66" s="1135"/>
      <c r="AA66" s="1124">
        <f>AA65/U65-1</f>
        <v>7.5633559577676923E-3</v>
      </c>
      <c r="AB66" s="1124"/>
      <c r="AC66" s="1124"/>
      <c r="AD66" s="1124"/>
      <c r="AE66" s="1124"/>
      <c r="AF66" s="1124"/>
      <c r="AG66" s="1124">
        <f>AG65/AA65-1</f>
        <v>1.6414935680675535E-2</v>
      </c>
      <c r="AH66" s="1124"/>
      <c r="AI66" s="1124">
        <f>AI65/AG65-1</f>
        <v>6.7559142843596209E-3</v>
      </c>
      <c r="AJ66" s="1124"/>
      <c r="AK66" s="1124">
        <f>AK65/AI65-1</f>
        <v>2.003840620206665E-2</v>
      </c>
      <c r="AL66" s="1124"/>
      <c r="AM66" s="1124">
        <f>AM65/AK65-1</f>
        <v>2.1069943027000271E-2</v>
      </c>
      <c r="AO66" s="1107"/>
      <c r="AP66" s="1107"/>
      <c r="AQ66" s="1107"/>
      <c r="AR66" s="1107"/>
      <c r="AS66" s="1107"/>
      <c r="AT66" s="1107"/>
      <c r="AU66" s="1107"/>
      <c r="AV66" s="1107"/>
      <c r="AW66" s="1107"/>
      <c r="AX66" s="1107"/>
      <c r="AY66" s="1107"/>
      <c r="AZ66" s="1107"/>
      <c r="BA66" s="1107"/>
      <c r="BB66" s="1107"/>
      <c r="BC66" s="1107"/>
      <c r="BD66" s="1107"/>
      <c r="BE66" s="1107"/>
      <c r="BF66" s="1107"/>
      <c r="BG66" s="1107"/>
      <c r="BH66" s="1101"/>
      <c r="BI66" s="1101"/>
      <c r="BJ66" s="1101"/>
      <c r="BK66" s="1101"/>
      <c r="BL66" s="1101"/>
      <c r="BM66" s="1101"/>
      <c r="BN66" s="1101"/>
      <c r="BO66" s="1101"/>
      <c r="BP66" s="1101"/>
      <c r="BQ66" s="1101"/>
      <c r="BR66" s="1101"/>
      <c r="BS66" s="1101"/>
      <c r="BT66" s="1101"/>
      <c r="BU66" s="1101"/>
      <c r="BV66" s="1101"/>
      <c r="BW66" s="1101"/>
      <c r="BX66" s="1101"/>
      <c r="BY66" s="1101"/>
    </row>
    <row r="67" spans="1:150" x14ac:dyDescent="0.3">
      <c r="C67" s="1122" t="s">
        <v>836</v>
      </c>
      <c r="D67" s="468"/>
      <c r="E67" s="468"/>
      <c r="F67" s="468"/>
      <c r="G67" s="468"/>
      <c r="H67" s="468"/>
      <c r="I67" s="1164">
        <v>2386</v>
      </c>
      <c r="J67" s="1164"/>
      <c r="K67" s="1164"/>
      <c r="L67" s="1164"/>
      <c r="M67" s="1164"/>
      <c r="N67" s="1164"/>
      <c r="O67" s="1164">
        <v>2521</v>
      </c>
      <c r="P67" s="1164"/>
      <c r="Q67" s="1164"/>
      <c r="R67" s="1164"/>
      <c r="S67" s="1164"/>
      <c r="T67" s="1164"/>
      <c r="U67" s="1164">
        <v>2688</v>
      </c>
      <c r="V67" s="468"/>
      <c r="W67" s="468"/>
      <c r="X67" s="468"/>
      <c r="Y67" s="468"/>
      <c r="Z67" s="468"/>
      <c r="AA67" s="1114">
        <f>AA44*AA23</f>
        <v>2752.5912266666669</v>
      </c>
      <c r="AB67" s="1114"/>
      <c r="AC67" s="1114"/>
      <c r="AD67" s="1114"/>
      <c r="AE67" s="1114"/>
      <c r="AF67" s="1114"/>
      <c r="AG67" s="1114">
        <f>AG44*AG23</f>
        <v>2871.5215729777779</v>
      </c>
      <c r="AH67" s="1114"/>
      <c r="AI67" s="1114">
        <f>AI44*AI23</f>
        <v>2995.2081605025196</v>
      </c>
      <c r="AJ67" s="1114"/>
      <c r="AK67" s="1114">
        <f>AK44*AK23</f>
        <v>3105.7149992828531</v>
      </c>
      <c r="AL67" s="1114"/>
      <c r="AM67" s="1114">
        <f>AM44*AM23</f>
        <v>3202.1220987081292</v>
      </c>
      <c r="AO67" s="1101"/>
      <c r="AP67" s="1101"/>
      <c r="AQ67" s="1101"/>
      <c r="AR67" s="1101"/>
      <c r="AS67" s="1101"/>
      <c r="AT67" s="1101"/>
      <c r="AU67" s="1101"/>
      <c r="AV67" s="1101"/>
      <c r="AW67" s="1101"/>
      <c r="AX67" s="1101"/>
      <c r="AY67" s="1101"/>
      <c r="AZ67" s="1101"/>
      <c r="BA67" s="1101"/>
      <c r="BB67" s="1101"/>
      <c r="BC67" s="1101"/>
      <c r="BD67" s="1101"/>
      <c r="BE67" s="1101"/>
      <c r="BF67" s="1101"/>
      <c r="BG67" s="1101"/>
    </row>
    <row r="68" spans="1:150" s="1108" customFormat="1" x14ac:dyDescent="0.3">
      <c r="C68" s="1123" t="s">
        <v>816</v>
      </c>
      <c r="D68" s="1135"/>
      <c r="E68" s="1135"/>
      <c r="F68" s="1135"/>
      <c r="G68" s="1135"/>
      <c r="H68" s="1135"/>
      <c r="I68" s="1135"/>
      <c r="J68" s="1135"/>
      <c r="K68" s="1135"/>
      <c r="L68" s="1135"/>
      <c r="M68" s="1135"/>
      <c r="N68" s="1135"/>
      <c r="O68" s="1124">
        <f>O67/I67-1</f>
        <v>5.6580050293377981E-2</v>
      </c>
      <c r="P68" s="1135"/>
      <c r="Q68" s="1135"/>
      <c r="R68" s="1135"/>
      <c r="S68" s="1135"/>
      <c r="T68" s="1135"/>
      <c r="U68" s="1124">
        <f>U67/O67-1</f>
        <v>6.6243554145180461E-2</v>
      </c>
      <c r="V68" s="1135"/>
      <c r="W68" s="1135"/>
      <c r="X68" s="1135"/>
      <c r="Y68" s="1135"/>
      <c r="Z68" s="1135"/>
      <c r="AA68" s="1124">
        <f>AA67/U67-1</f>
        <v>2.4029474206349377E-2</v>
      </c>
      <c r="AB68" s="1124"/>
      <c r="AC68" s="1124"/>
      <c r="AD68" s="1124"/>
      <c r="AE68" s="1124"/>
      <c r="AF68" s="1124"/>
      <c r="AG68" s="1124">
        <f>AG67/AA67-1</f>
        <v>4.3206686542822892E-2</v>
      </c>
      <c r="AH68" s="1124"/>
      <c r="AI68" s="1124">
        <f>AI67/AG67-1</f>
        <v>4.3073535887274694E-2</v>
      </c>
      <c r="AJ68" s="1124"/>
      <c r="AK68" s="1124">
        <f>AK67/AI67-1</f>
        <v>3.689454383757873E-2</v>
      </c>
      <c r="AL68" s="1124"/>
      <c r="AM68" s="1124">
        <f>AM67/AK67-1</f>
        <v>3.1041837208996226E-2</v>
      </c>
      <c r="AO68" s="1100"/>
      <c r="AP68" s="1100"/>
      <c r="AQ68" s="1100"/>
      <c r="AR68" s="1100"/>
      <c r="AS68" s="1100"/>
      <c r="AT68" s="1100"/>
      <c r="AU68" s="1100"/>
      <c r="AV68" s="1100"/>
      <c r="AW68" s="1100"/>
      <c r="AX68" s="1100"/>
      <c r="AY68" s="1100"/>
      <c r="AZ68" s="1100"/>
      <c r="BA68" s="1100"/>
      <c r="BB68" s="1100"/>
      <c r="BC68" s="1100"/>
      <c r="BD68" s="1100"/>
      <c r="BE68" s="1100"/>
      <c r="BF68" s="1100"/>
      <c r="BG68" s="1100"/>
      <c r="BH68" s="1107"/>
      <c r="BI68" s="1107"/>
      <c r="BJ68" s="1107"/>
      <c r="BK68" s="1107"/>
      <c r="BL68" s="1107"/>
      <c r="BM68" s="1107"/>
      <c r="BN68" s="1107"/>
      <c r="BO68" s="1107"/>
      <c r="BP68" s="1107"/>
      <c r="BQ68" s="1107"/>
      <c r="BR68" s="1107"/>
      <c r="BS68" s="1107"/>
      <c r="BT68" s="1107"/>
      <c r="BU68" s="1107"/>
      <c r="BV68" s="1107"/>
      <c r="BW68" s="1107"/>
      <c r="BX68" s="1107"/>
      <c r="BY68" s="1107"/>
    </row>
    <row r="69" spans="1:150" s="1109" customFormat="1" x14ac:dyDescent="0.3">
      <c r="A69" s="1101"/>
      <c r="B69" s="1101"/>
      <c r="C69" s="1126" t="s">
        <v>65</v>
      </c>
      <c r="D69" s="1126"/>
      <c r="E69" s="1126"/>
      <c r="F69" s="1126"/>
      <c r="G69" s="1126"/>
      <c r="H69" s="1126"/>
      <c r="I69" s="1134">
        <f>Segments!T22</f>
        <v>8205</v>
      </c>
      <c r="J69" s="1126"/>
      <c r="K69" s="1126"/>
      <c r="L69" s="1126"/>
      <c r="M69" s="1126"/>
      <c r="N69" s="1126"/>
      <c r="O69" s="1134">
        <f>Segments!Z22</f>
        <v>8238</v>
      </c>
      <c r="P69" s="1126"/>
      <c r="Q69" s="1126"/>
      <c r="R69" s="1126"/>
      <c r="S69" s="1126"/>
      <c r="T69" s="1126"/>
      <c r="U69" s="1134">
        <f>Segments!AF22</f>
        <v>8440</v>
      </c>
      <c r="V69" s="1126"/>
      <c r="W69" s="1126"/>
      <c r="X69" s="1126"/>
      <c r="Y69" s="1126"/>
      <c r="Z69" s="1126"/>
      <c r="AA69" s="1127">
        <f>AA67+AA65+AA63+AA61</f>
        <v>8434.4370366666662</v>
      </c>
      <c r="AB69" s="1127"/>
      <c r="AC69" s="1127"/>
      <c r="AD69" s="1127"/>
      <c r="AE69" s="1127"/>
      <c r="AF69" s="1127"/>
      <c r="AG69" s="1127">
        <f>AG67+AG65+AG63+AG61</f>
        <v>8683.6106463111119</v>
      </c>
      <c r="AH69" s="1127"/>
      <c r="AI69" s="1127">
        <f>AI67+AI65+AI63+AI61</f>
        <v>8963.9600435654083</v>
      </c>
      <c r="AJ69" s="1127"/>
      <c r="AK69" s="1127">
        <f>AK67+AK65+AK63+AK61</f>
        <v>9222.794765120485</v>
      </c>
      <c r="AL69" s="1127"/>
      <c r="AM69" s="1127">
        <f>AM67+AM65+AM63+AM61</f>
        <v>9476.3774841713948</v>
      </c>
      <c r="AN69" s="1101"/>
      <c r="AO69" s="1107"/>
      <c r="AP69" s="1107"/>
      <c r="AQ69" s="1107"/>
      <c r="AR69" s="1107"/>
      <c r="AS69" s="1107"/>
      <c r="AT69" s="1107"/>
      <c r="AU69" s="1107"/>
      <c r="AV69" s="1107"/>
      <c r="AW69" s="1107"/>
      <c r="AX69" s="1107"/>
      <c r="AY69" s="1107"/>
      <c r="AZ69" s="1107"/>
      <c r="BA69" s="1107"/>
      <c r="BB69" s="1107"/>
      <c r="BC69" s="1107"/>
      <c r="BD69" s="1107"/>
      <c r="BE69" s="1107"/>
      <c r="BF69" s="1107"/>
      <c r="BG69" s="1107"/>
      <c r="BH69" s="1100"/>
      <c r="BI69" s="1100"/>
      <c r="BJ69" s="1100"/>
      <c r="BK69" s="1100"/>
      <c r="BL69" s="1100"/>
      <c r="BM69" s="1100"/>
      <c r="BN69" s="1100"/>
      <c r="BO69" s="1100"/>
      <c r="BP69" s="1100"/>
      <c r="BQ69" s="1100"/>
      <c r="BR69" s="1100"/>
      <c r="BS69" s="1100"/>
      <c r="BT69" s="1100"/>
      <c r="BU69" s="1100"/>
      <c r="BV69" s="1100"/>
      <c r="BW69" s="1100"/>
      <c r="BX69" s="1100"/>
      <c r="BY69" s="1100"/>
      <c r="BZ69" s="1101"/>
      <c r="CA69" s="1101"/>
      <c r="CB69" s="1101"/>
      <c r="CC69" s="1101"/>
      <c r="CD69" s="1101"/>
      <c r="CE69" s="1101"/>
      <c r="CF69" s="1101"/>
      <c r="CG69" s="1101"/>
      <c r="CH69" s="1101"/>
      <c r="CI69" s="1101"/>
      <c r="CJ69" s="1101"/>
      <c r="CK69" s="1101"/>
      <c r="CL69" s="1101"/>
      <c r="CM69" s="1101"/>
      <c r="CN69" s="1101"/>
      <c r="CO69" s="1101"/>
      <c r="CP69" s="1101"/>
      <c r="CQ69" s="1101"/>
      <c r="CR69" s="1101"/>
      <c r="CS69" s="1101"/>
      <c r="CT69" s="1101"/>
      <c r="CU69" s="1101"/>
      <c r="CV69" s="1101"/>
      <c r="CW69" s="1101"/>
      <c r="CX69" s="1101"/>
      <c r="CY69" s="1101"/>
      <c r="CZ69" s="1101"/>
      <c r="DA69" s="1101"/>
      <c r="DB69" s="1101"/>
      <c r="DC69" s="1101"/>
      <c r="DD69" s="1101"/>
      <c r="DE69" s="1101"/>
      <c r="DF69" s="1101"/>
      <c r="DG69" s="1101"/>
      <c r="DH69" s="1101"/>
      <c r="DI69" s="1101"/>
      <c r="DJ69" s="1101"/>
      <c r="DK69" s="1101"/>
      <c r="DL69" s="1101"/>
      <c r="DM69" s="1101"/>
      <c r="DN69" s="1101"/>
      <c r="DO69" s="1101"/>
      <c r="DP69" s="1101"/>
      <c r="DQ69" s="1101"/>
      <c r="DR69" s="1101"/>
      <c r="DS69" s="1101"/>
      <c r="DT69" s="1101"/>
      <c r="DU69" s="1101"/>
      <c r="DV69" s="1101"/>
      <c r="DW69" s="1101"/>
      <c r="DX69" s="1101"/>
      <c r="DY69" s="1101"/>
      <c r="DZ69" s="1101"/>
      <c r="EA69" s="1101"/>
      <c r="EB69" s="1101"/>
      <c r="EC69" s="1101"/>
      <c r="ED69" s="1101"/>
      <c r="EE69" s="1101"/>
      <c r="EF69" s="1101"/>
      <c r="EG69" s="1101"/>
      <c r="EH69" s="1101"/>
      <c r="EI69" s="1101"/>
      <c r="EJ69" s="1101"/>
      <c r="EK69" s="1101"/>
      <c r="EL69" s="1101"/>
      <c r="EM69" s="1101"/>
      <c r="EN69" s="1101"/>
      <c r="EO69" s="1101"/>
      <c r="EP69" s="1101"/>
      <c r="EQ69" s="1101"/>
      <c r="ER69" s="1101"/>
      <c r="ES69" s="1101"/>
      <c r="ET69" s="1101"/>
    </row>
    <row r="70" spans="1:150" x14ac:dyDescent="0.3">
      <c r="C70" s="1122" t="s">
        <v>838</v>
      </c>
      <c r="D70" s="468"/>
      <c r="E70" s="468"/>
      <c r="F70" s="468"/>
      <c r="G70" s="468"/>
      <c r="H70" s="468"/>
      <c r="I70" s="1164">
        <v>2257</v>
      </c>
      <c r="J70" s="1164"/>
      <c r="K70" s="1164"/>
      <c r="L70" s="1164"/>
      <c r="M70" s="1164"/>
      <c r="N70" s="1164"/>
      <c r="O70" s="1164">
        <v>2421</v>
      </c>
      <c r="P70" s="1164"/>
      <c r="Q70" s="1164"/>
      <c r="R70" s="1164"/>
      <c r="S70" s="1164"/>
      <c r="T70" s="1164"/>
      <c r="U70" s="1164">
        <v>2452</v>
      </c>
      <c r="V70" s="468"/>
      <c r="W70" s="468"/>
      <c r="X70" s="468"/>
      <c r="Y70" s="468"/>
      <c r="Z70" s="468"/>
      <c r="AA70" s="1114">
        <f>AA46*AA27</f>
        <v>2426.1306666666665</v>
      </c>
      <c r="AB70" s="1114"/>
      <c r="AC70" s="1114"/>
      <c r="AD70" s="1114"/>
      <c r="AE70" s="1114"/>
      <c r="AF70" s="1114"/>
      <c r="AG70" s="1114">
        <f>AG46*AG27</f>
        <v>2462.1358044444446</v>
      </c>
      <c r="AH70" s="1114"/>
      <c r="AI70" s="1114">
        <f>AI46*AI27</f>
        <v>2487.7222526518517</v>
      </c>
      <c r="AJ70" s="1114"/>
      <c r="AK70" s="1114">
        <f>AK46*AK27</f>
        <v>2532.7876047905188</v>
      </c>
      <c r="AL70" s="1114"/>
      <c r="AM70" s="1114">
        <f>AM46*AM27</f>
        <v>2586.2972467995846</v>
      </c>
      <c r="BH70" s="1108"/>
      <c r="BI70" s="1108"/>
      <c r="BJ70" s="1108"/>
      <c r="BK70" s="1108"/>
      <c r="BL70" s="1108"/>
      <c r="BM70" s="1108"/>
      <c r="BN70" s="1108"/>
      <c r="BO70" s="1108"/>
      <c r="BP70" s="1108"/>
      <c r="BQ70" s="1108"/>
      <c r="BR70" s="1108"/>
      <c r="BS70" s="1108"/>
      <c r="BT70" s="1108"/>
      <c r="BU70" s="1108"/>
      <c r="BV70" s="1108"/>
      <c r="BW70" s="1108"/>
      <c r="BX70" s="1108"/>
      <c r="BY70" s="1108"/>
    </row>
    <row r="71" spans="1:150" s="1108" customFormat="1" x14ac:dyDescent="0.3">
      <c r="C71" s="1123" t="s">
        <v>816</v>
      </c>
      <c r="D71" s="1135"/>
      <c r="E71" s="1135"/>
      <c r="F71" s="1135"/>
      <c r="G71" s="1135"/>
      <c r="H71" s="1135"/>
      <c r="I71" s="1135"/>
      <c r="J71" s="1135"/>
      <c r="K71" s="1135"/>
      <c r="L71" s="1135"/>
      <c r="M71" s="1135"/>
      <c r="N71" s="1135"/>
      <c r="O71" s="1124">
        <f>O70/I70-1</f>
        <v>7.2662826761187516E-2</v>
      </c>
      <c r="P71" s="1135"/>
      <c r="Q71" s="1135"/>
      <c r="R71" s="1135"/>
      <c r="S71" s="1135"/>
      <c r="T71" s="1135"/>
      <c r="U71" s="1124">
        <f>U70/O70-1</f>
        <v>1.2804626187525869E-2</v>
      </c>
      <c r="V71" s="1135"/>
      <c r="W71" s="1135"/>
      <c r="X71" s="1135"/>
      <c r="Y71" s="1135"/>
      <c r="Z71" s="1135"/>
      <c r="AA71" s="1124">
        <f>AA70/U70-1</f>
        <v>-1.055029907558469E-2</v>
      </c>
      <c r="AB71" s="1124"/>
      <c r="AC71" s="1124"/>
      <c r="AD71" s="1124"/>
      <c r="AE71" s="1124"/>
      <c r="AF71" s="1124"/>
      <c r="AG71" s="1124">
        <f>AG70/AA70-1</f>
        <v>1.4840560021132987E-2</v>
      </c>
      <c r="AH71" s="1124"/>
      <c r="AI71" s="1124">
        <f>AI70/AG70-1</f>
        <v>1.0391972758456491E-2</v>
      </c>
      <c r="AJ71" s="1124"/>
      <c r="AK71" s="1124">
        <f>AK70/AI70-1</f>
        <v>1.8115105932998921E-2</v>
      </c>
      <c r="AL71" s="1124"/>
      <c r="AM71" s="1124">
        <f>AM70/AK70-1</f>
        <v>2.1126778221694398E-2</v>
      </c>
      <c r="BH71" s="1100"/>
      <c r="BI71" s="1100"/>
      <c r="BJ71" s="1100"/>
      <c r="BK71" s="1100"/>
      <c r="BL71" s="1100"/>
      <c r="BM71" s="1100"/>
      <c r="BN71" s="1100"/>
      <c r="BO71" s="1100"/>
      <c r="BP71" s="1100"/>
      <c r="BQ71" s="1100"/>
      <c r="BR71" s="1100"/>
      <c r="BS71" s="1100"/>
      <c r="BT71" s="1100"/>
      <c r="BU71" s="1100"/>
      <c r="BV71" s="1100"/>
      <c r="BW71" s="1100"/>
      <c r="BX71" s="1100"/>
      <c r="BY71" s="1100"/>
    </row>
    <row r="72" spans="1:150" x14ac:dyDescent="0.3">
      <c r="C72" s="1122" t="s">
        <v>839</v>
      </c>
      <c r="D72" s="468"/>
      <c r="E72" s="468"/>
      <c r="F72" s="468"/>
      <c r="G72" s="468"/>
      <c r="H72" s="468"/>
      <c r="I72" s="1164">
        <v>5160</v>
      </c>
      <c r="J72" s="1164"/>
      <c r="K72" s="1164"/>
      <c r="L72" s="1164"/>
      <c r="M72" s="1164"/>
      <c r="N72" s="1164"/>
      <c r="O72" s="1164">
        <v>4554</v>
      </c>
      <c r="P72" s="1164"/>
      <c r="Q72" s="1164"/>
      <c r="R72" s="1164"/>
      <c r="S72" s="1164"/>
      <c r="T72" s="1164"/>
      <c r="U72" s="1164">
        <v>4712</v>
      </c>
      <c r="V72" s="468"/>
      <c r="W72" s="468"/>
      <c r="X72" s="468"/>
      <c r="Y72" s="468"/>
      <c r="Z72" s="468"/>
      <c r="AA72" s="1114">
        <f>AA47*AA29</f>
        <v>5617.8276000000005</v>
      </c>
      <c r="AB72" s="468"/>
      <c r="AC72" s="468"/>
      <c r="AD72" s="468"/>
      <c r="AE72" s="468"/>
      <c r="AF72" s="468"/>
      <c r="AG72" s="1114">
        <f>AG47*AG29</f>
        <v>5816.0025000000005</v>
      </c>
      <c r="AH72" s="468"/>
      <c r="AI72" s="1114">
        <f>AI47*AI29</f>
        <v>5948.2799376000012</v>
      </c>
      <c r="AJ72" s="468"/>
      <c r="AK72" s="1114">
        <f>AK47*AK29</f>
        <v>6225.1793283680017</v>
      </c>
      <c r="AL72" s="468"/>
      <c r="AM72" s="1114">
        <f>AM47*AM29</f>
        <v>6317.8832443126412</v>
      </c>
      <c r="BH72" s="1108"/>
      <c r="BI72" s="1108"/>
      <c r="BJ72" s="1108"/>
      <c r="BK72" s="1108"/>
      <c r="BL72" s="1108"/>
      <c r="BM72" s="1108"/>
      <c r="BN72" s="1108"/>
      <c r="BO72" s="1108"/>
      <c r="BP72" s="1108"/>
      <c r="BQ72" s="1108"/>
      <c r="BR72" s="1108"/>
      <c r="BS72" s="1108"/>
      <c r="BT72" s="1108"/>
      <c r="BU72" s="1108"/>
      <c r="BV72" s="1108"/>
      <c r="BW72" s="1108"/>
      <c r="BX72" s="1108"/>
      <c r="BY72" s="1108"/>
    </row>
    <row r="73" spans="1:150" s="1108" customFormat="1" x14ac:dyDescent="0.3">
      <c r="C73" s="1123" t="s">
        <v>816</v>
      </c>
      <c r="D73" s="1135"/>
      <c r="E73" s="1135"/>
      <c r="F73" s="1135"/>
      <c r="G73" s="1135"/>
      <c r="H73" s="1135"/>
      <c r="I73" s="1135"/>
      <c r="J73" s="1135"/>
      <c r="K73" s="1135"/>
      <c r="L73" s="1135"/>
      <c r="M73" s="1135"/>
      <c r="N73" s="1135"/>
      <c r="O73" s="1124">
        <f>O72/I72-1</f>
        <v>-0.11744186046511629</v>
      </c>
      <c r="P73" s="1135"/>
      <c r="Q73" s="1135"/>
      <c r="R73" s="1135"/>
      <c r="S73" s="1135"/>
      <c r="T73" s="1135"/>
      <c r="U73" s="1124">
        <f>U72/O72-1</f>
        <v>3.469477382520858E-2</v>
      </c>
      <c r="V73" s="1135"/>
      <c r="W73" s="1135"/>
      <c r="X73" s="1135"/>
      <c r="Y73" s="1135"/>
      <c r="Z73" s="1135"/>
      <c r="AA73" s="1124">
        <f>AA72/U72-1</f>
        <v>0.19223845500848902</v>
      </c>
      <c r="AB73" s="1124"/>
      <c r="AC73" s="1124"/>
      <c r="AD73" s="1124"/>
      <c r="AE73" s="1124"/>
      <c r="AF73" s="1124"/>
      <c r="AG73" s="1124">
        <f>AG72/AA72-1</f>
        <v>3.5276073619631809E-2</v>
      </c>
      <c r="AH73" s="1124"/>
      <c r="AI73" s="1124">
        <f>AI72/AG72-1</f>
        <v>2.274370370370371E-2</v>
      </c>
      <c r="AJ73" s="1124"/>
      <c r="AK73" s="1124">
        <f>AK72/AI72-1</f>
        <v>4.655117003113407E-2</v>
      </c>
      <c r="AL73" s="1124"/>
      <c r="AM73" s="1124">
        <f>AM72/AK72-1</f>
        <v>1.4891766333893441E-2</v>
      </c>
      <c r="BH73" s="1100"/>
      <c r="BI73" s="1100"/>
      <c r="BJ73" s="1100"/>
      <c r="BK73" s="1100"/>
      <c r="BL73" s="1100"/>
      <c r="BM73" s="1100"/>
      <c r="BN73" s="1100"/>
      <c r="BO73" s="1100"/>
      <c r="BP73" s="1100"/>
      <c r="BQ73" s="1100"/>
      <c r="BR73" s="1100"/>
      <c r="BS73" s="1100"/>
      <c r="BT73" s="1100"/>
      <c r="BU73" s="1100"/>
      <c r="BV73" s="1100"/>
      <c r="BW73" s="1100"/>
      <c r="BX73" s="1100"/>
      <c r="BY73" s="1100"/>
    </row>
    <row r="74" spans="1:150" s="1109" customFormat="1" x14ac:dyDescent="0.3">
      <c r="A74" s="1101"/>
      <c r="B74" s="1101"/>
      <c r="C74" s="1126" t="s">
        <v>227</v>
      </c>
      <c r="D74" s="1126"/>
      <c r="E74" s="1126"/>
      <c r="F74" s="1126"/>
      <c r="G74" s="1126"/>
      <c r="H74" s="1126"/>
      <c r="I74" s="1134">
        <f>Segments!T23</f>
        <v>7417</v>
      </c>
      <c r="J74" s="1126"/>
      <c r="K74" s="1126"/>
      <c r="L74" s="1126"/>
      <c r="M74" s="1126"/>
      <c r="N74" s="1126"/>
      <c r="O74" s="1134">
        <f>Segments!Z23</f>
        <v>6975</v>
      </c>
      <c r="P74" s="1126"/>
      <c r="Q74" s="1126"/>
      <c r="R74" s="1126"/>
      <c r="S74" s="1126"/>
      <c r="T74" s="1126"/>
      <c r="U74" s="1134">
        <f>Segments!AF23</f>
        <v>7164</v>
      </c>
      <c r="V74" s="1126"/>
      <c r="W74" s="1126"/>
      <c r="X74" s="1126"/>
      <c r="Y74" s="1126"/>
      <c r="Z74" s="1126"/>
      <c r="AA74" s="1127">
        <f>+AA72+AA70</f>
        <v>8043.9582666666665</v>
      </c>
      <c r="AB74" s="1127"/>
      <c r="AC74" s="1127"/>
      <c r="AD74" s="1127"/>
      <c r="AE74" s="1127"/>
      <c r="AF74" s="1127"/>
      <c r="AG74" s="1127">
        <f>+AG72+AG70</f>
        <v>8278.1383044444447</v>
      </c>
      <c r="AH74" s="1127"/>
      <c r="AI74" s="1127">
        <f>+AI72+AI70</f>
        <v>8436.0021902518529</v>
      </c>
      <c r="AJ74" s="1127"/>
      <c r="AK74" s="1127">
        <f>+AK72+AK70</f>
        <v>8757.966933158521</v>
      </c>
      <c r="AL74" s="1127"/>
      <c r="AM74" s="1127">
        <f>+AM72+AM70</f>
        <v>8904.1804911122254</v>
      </c>
      <c r="AN74" s="1101"/>
      <c r="AO74" s="1100"/>
      <c r="AP74" s="1100"/>
      <c r="AQ74" s="1100"/>
      <c r="AR74" s="1100"/>
      <c r="AS74" s="1100"/>
      <c r="AT74" s="1100"/>
      <c r="AU74" s="1100"/>
      <c r="AV74" s="1100"/>
      <c r="AW74" s="1100"/>
      <c r="AX74" s="1100"/>
      <c r="AY74" s="1100"/>
      <c r="AZ74" s="1100"/>
      <c r="BA74" s="1100"/>
      <c r="BB74" s="1100"/>
      <c r="BC74" s="1100"/>
      <c r="BD74" s="1100"/>
      <c r="BE74" s="1100"/>
      <c r="BF74" s="1100"/>
      <c r="BG74" s="1100"/>
      <c r="BH74" s="1108"/>
      <c r="BI74" s="1108"/>
      <c r="BJ74" s="1108"/>
      <c r="BK74" s="1108"/>
      <c r="BL74" s="1108"/>
      <c r="BM74" s="1108"/>
      <c r="BN74" s="1108"/>
      <c r="BO74" s="1108"/>
      <c r="BP74" s="1108"/>
      <c r="BQ74" s="1108"/>
      <c r="BR74" s="1108"/>
      <c r="BS74" s="1108"/>
      <c r="BT74" s="1108"/>
      <c r="BU74" s="1108"/>
      <c r="BV74" s="1108"/>
      <c r="BW74" s="1108"/>
      <c r="BX74" s="1108"/>
      <c r="BY74" s="1108"/>
      <c r="BZ74" s="1101"/>
      <c r="CA74" s="1101"/>
      <c r="CB74" s="1101"/>
      <c r="CC74" s="1101"/>
      <c r="CD74" s="1101"/>
      <c r="CE74" s="1101"/>
      <c r="CF74" s="1101"/>
      <c r="CG74" s="1101"/>
      <c r="CH74" s="1101"/>
      <c r="CI74" s="1101"/>
      <c r="CJ74" s="1101"/>
      <c r="CK74" s="1101"/>
      <c r="CL74" s="1101"/>
      <c r="CM74" s="1101"/>
      <c r="CN74" s="1101"/>
      <c r="CO74" s="1101"/>
      <c r="CP74" s="1101"/>
      <c r="CQ74" s="1101"/>
      <c r="CR74" s="1101"/>
      <c r="CS74" s="1101"/>
      <c r="CT74" s="1101"/>
      <c r="CU74" s="1101"/>
      <c r="CV74" s="1101"/>
      <c r="CW74" s="1101"/>
      <c r="CX74" s="1101"/>
      <c r="CY74" s="1101"/>
      <c r="CZ74" s="1101"/>
      <c r="DA74" s="1101"/>
      <c r="DB74" s="1101"/>
      <c r="DC74" s="1101"/>
      <c r="DD74" s="1101"/>
      <c r="DE74" s="1101"/>
      <c r="DF74" s="1101"/>
      <c r="DG74" s="1101"/>
      <c r="DH74" s="1101"/>
      <c r="DI74" s="1101"/>
      <c r="DJ74" s="1101"/>
      <c r="DK74" s="1101"/>
      <c r="DL74" s="1101"/>
      <c r="DM74" s="1101"/>
      <c r="DN74" s="1101"/>
      <c r="DO74" s="1101"/>
      <c r="DP74" s="1101"/>
      <c r="DQ74" s="1101"/>
      <c r="DR74" s="1101"/>
      <c r="DS74" s="1101"/>
      <c r="DT74" s="1101"/>
      <c r="DU74" s="1101"/>
      <c r="DV74" s="1101"/>
      <c r="DW74" s="1101"/>
      <c r="DX74" s="1101"/>
      <c r="DY74" s="1101"/>
      <c r="DZ74" s="1101"/>
      <c r="EA74" s="1101"/>
      <c r="EB74" s="1101"/>
      <c r="EC74" s="1101"/>
      <c r="ED74" s="1101"/>
      <c r="EE74" s="1101"/>
      <c r="EF74" s="1101"/>
      <c r="EG74" s="1101"/>
      <c r="EH74" s="1101"/>
      <c r="EI74" s="1101"/>
      <c r="EJ74" s="1101"/>
      <c r="EK74" s="1101"/>
      <c r="EL74" s="1101"/>
      <c r="EM74" s="1101"/>
      <c r="EN74" s="1101"/>
      <c r="EO74" s="1101"/>
      <c r="EP74" s="1101"/>
      <c r="EQ74" s="1101"/>
      <c r="ER74" s="1101"/>
      <c r="ES74" s="1101"/>
      <c r="ET74" s="1101"/>
    </row>
    <row r="75" spans="1:150" s="1109" customFormat="1" x14ac:dyDescent="0.3">
      <c r="A75" s="1101"/>
      <c r="B75" s="1101"/>
      <c r="C75" s="1126" t="s">
        <v>693</v>
      </c>
      <c r="D75" s="1126"/>
      <c r="E75" s="1126"/>
      <c r="F75" s="1126"/>
      <c r="G75" s="1126"/>
      <c r="H75" s="1126"/>
      <c r="I75" s="1134">
        <f>I74+I69+I60</f>
        <v>23159</v>
      </c>
      <c r="J75" s="1126"/>
      <c r="K75" s="1126"/>
      <c r="L75" s="1126"/>
      <c r="M75" s="1126"/>
      <c r="N75" s="1126"/>
      <c r="O75" s="1134">
        <f>O74+O69+O60</f>
        <v>22571</v>
      </c>
      <c r="P75" s="1126"/>
      <c r="Q75" s="1126"/>
      <c r="R75" s="1126"/>
      <c r="S75" s="1126"/>
      <c r="T75" s="1126"/>
      <c r="U75" s="1134">
        <f>U74+U69+U60</f>
        <v>22811</v>
      </c>
      <c r="V75" s="1126"/>
      <c r="W75" s="1126"/>
      <c r="X75" s="1126"/>
      <c r="Y75" s="1126"/>
      <c r="Z75" s="1126"/>
      <c r="AA75" s="1134">
        <f>AA74+AA69+AA60</f>
        <v>23980.87099333333</v>
      </c>
      <c r="AB75" s="1126"/>
      <c r="AC75" s="1126"/>
      <c r="AD75" s="1126"/>
      <c r="AE75" s="1126"/>
      <c r="AF75" s="1126"/>
      <c r="AG75" s="1134">
        <f>AG74+AG69+AG60</f>
        <v>24688.855817955562</v>
      </c>
      <c r="AH75" s="1126"/>
      <c r="AI75" s="1134">
        <f>AI74+AI69+AI60</f>
        <v>25327.77294541493</v>
      </c>
      <c r="AJ75" s="1126"/>
      <c r="AK75" s="1134">
        <f>AK74+AK69+AK60</f>
        <v>26160.220617250394</v>
      </c>
      <c r="AL75" s="1126"/>
      <c r="AM75" s="1134">
        <f>AM74+AM69+AM60</f>
        <v>26834.160493280171</v>
      </c>
      <c r="AN75" s="1101"/>
      <c r="AO75" s="1108"/>
      <c r="AP75" s="1108"/>
      <c r="AQ75" s="1108"/>
      <c r="AR75" s="1108"/>
      <c r="AS75" s="1108"/>
      <c r="AT75" s="1108"/>
      <c r="AU75" s="1108"/>
      <c r="AV75" s="1108"/>
      <c r="AW75" s="1108"/>
      <c r="AX75" s="1108"/>
      <c r="AY75" s="1108"/>
      <c r="AZ75" s="1108"/>
      <c r="BA75" s="1108"/>
      <c r="BB75" s="1108"/>
      <c r="BC75" s="1108"/>
      <c r="BD75" s="1108"/>
      <c r="BE75" s="1108"/>
      <c r="BF75" s="1108"/>
      <c r="BG75" s="1108"/>
      <c r="BH75" s="1101"/>
      <c r="BI75" s="1101"/>
      <c r="BJ75" s="1101"/>
      <c r="BK75" s="1101"/>
      <c r="BL75" s="1101"/>
      <c r="BM75" s="1101"/>
      <c r="BN75" s="1101"/>
      <c r="BO75" s="1101"/>
      <c r="BP75" s="1101"/>
      <c r="BQ75" s="1101"/>
      <c r="BR75" s="1101"/>
      <c r="BS75" s="1101"/>
      <c r="BT75" s="1101"/>
      <c r="BU75" s="1101"/>
      <c r="BV75" s="1101"/>
      <c r="BW75" s="1101"/>
      <c r="BX75" s="1101"/>
      <c r="BY75" s="1101"/>
      <c r="BZ75" s="1101"/>
      <c r="CA75" s="1101"/>
      <c r="CB75" s="1101"/>
      <c r="CC75" s="1101"/>
      <c r="CD75" s="1101"/>
      <c r="CE75" s="1101"/>
      <c r="CF75" s="1101"/>
      <c r="CG75" s="1101"/>
      <c r="CH75" s="1101"/>
      <c r="CI75" s="1101"/>
      <c r="CJ75" s="1101"/>
      <c r="CK75" s="1101"/>
      <c r="CL75" s="1101"/>
      <c r="CM75" s="1101"/>
      <c r="CN75" s="1101"/>
      <c r="CO75" s="1101"/>
      <c r="CP75" s="1101"/>
      <c r="CQ75" s="1101"/>
      <c r="CR75" s="1101"/>
      <c r="CS75" s="1101"/>
      <c r="CT75" s="1101"/>
      <c r="CU75" s="1101"/>
      <c r="CV75" s="1101"/>
      <c r="CW75" s="1101"/>
      <c r="CX75" s="1101"/>
      <c r="CY75" s="1101"/>
      <c r="CZ75" s="1101"/>
      <c r="DA75" s="1101"/>
      <c r="DB75" s="1101"/>
      <c r="DC75" s="1101"/>
      <c r="DD75" s="1101"/>
      <c r="DE75" s="1101"/>
      <c r="DF75" s="1101"/>
      <c r="DG75" s="1101"/>
      <c r="DH75" s="1101"/>
      <c r="DI75" s="1101"/>
      <c r="DJ75" s="1101"/>
      <c r="DK75" s="1101"/>
      <c r="DL75" s="1101"/>
      <c r="DM75" s="1101"/>
      <c r="DN75" s="1101"/>
      <c r="DO75" s="1101"/>
      <c r="DP75" s="1101"/>
      <c r="DQ75" s="1101"/>
      <c r="DR75" s="1101"/>
      <c r="DS75" s="1101"/>
      <c r="DT75" s="1101"/>
      <c r="DU75" s="1101"/>
      <c r="DV75" s="1101"/>
      <c r="DW75" s="1101"/>
      <c r="DX75" s="1101"/>
      <c r="DY75" s="1101"/>
      <c r="DZ75" s="1101"/>
      <c r="EA75" s="1101"/>
      <c r="EB75" s="1101"/>
      <c r="EC75" s="1101"/>
      <c r="ED75" s="1101"/>
      <c r="EE75" s="1101"/>
      <c r="EF75" s="1101"/>
      <c r="EG75" s="1101"/>
      <c r="EH75" s="1101"/>
      <c r="EI75" s="1101"/>
      <c r="EJ75" s="1101"/>
      <c r="EK75" s="1101"/>
      <c r="EL75" s="1101"/>
      <c r="EM75" s="1101"/>
      <c r="EN75" s="1101"/>
      <c r="EO75" s="1101"/>
      <c r="EP75" s="1101"/>
      <c r="EQ75" s="1101"/>
      <c r="ER75" s="1101"/>
      <c r="ES75" s="1101"/>
      <c r="ET75" s="1101"/>
    </row>
    <row r="76" spans="1:150" x14ac:dyDescent="0.3">
      <c r="C76" s="468"/>
      <c r="D76" s="468"/>
      <c r="E76" s="468"/>
      <c r="F76" s="468"/>
      <c r="G76" s="468"/>
      <c r="H76" s="468"/>
      <c r="I76" s="468"/>
      <c r="J76" s="468"/>
      <c r="K76" s="468"/>
      <c r="L76" s="468"/>
      <c r="M76" s="468"/>
      <c r="N76" s="468"/>
      <c r="O76" s="468"/>
      <c r="P76" s="468"/>
      <c r="Q76" s="468"/>
      <c r="R76" s="468"/>
      <c r="S76" s="468"/>
      <c r="T76" s="468"/>
      <c r="U76" s="468"/>
      <c r="V76" s="468"/>
      <c r="W76" s="468"/>
      <c r="X76" s="468"/>
      <c r="Y76" s="468"/>
      <c r="Z76" s="468"/>
      <c r="AA76" s="468"/>
      <c r="AB76" s="468"/>
      <c r="AC76" s="468"/>
      <c r="AD76" s="468"/>
      <c r="AE76" s="468"/>
      <c r="AF76" s="468"/>
      <c r="AG76" s="468"/>
      <c r="AH76" s="468"/>
      <c r="AI76" s="468"/>
      <c r="AJ76" s="468"/>
      <c r="AK76" s="468"/>
      <c r="AL76" s="468"/>
      <c r="AM76" s="468"/>
      <c r="AO76" s="1101"/>
      <c r="AP76" s="1101"/>
      <c r="AQ76" s="1101"/>
      <c r="AR76" s="1101"/>
      <c r="AS76" s="1101"/>
      <c r="AT76" s="1101"/>
      <c r="AU76" s="1101"/>
      <c r="AV76" s="1101"/>
      <c r="AW76" s="1101"/>
      <c r="AX76" s="1101"/>
      <c r="AY76" s="1101"/>
      <c r="AZ76" s="1101"/>
      <c r="BA76" s="1101"/>
      <c r="BB76" s="1101"/>
      <c r="BC76" s="1101"/>
      <c r="BD76" s="1101"/>
      <c r="BE76" s="1101"/>
      <c r="BF76" s="1101"/>
      <c r="BG76" s="1101"/>
    </row>
    <row r="77" spans="1:150" x14ac:dyDescent="0.3">
      <c r="C77" s="468" t="s">
        <v>228</v>
      </c>
      <c r="D77" s="468"/>
      <c r="E77" s="468"/>
      <c r="F77" s="468"/>
      <c r="G77" s="468"/>
      <c r="H77" s="468"/>
      <c r="I77" s="1113">
        <f>Segments!T24</f>
        <v>1716</v>
      </c>
      <c r="J77" s="468"/>
      <c r="K77" s="468"/>
      <c r="L77" s="468"/>
      <c r="M77" s="468"/>
      <c r="N77" s="468"/>
      <c r="O77" s="1113">
        <f>Segments!Z24</f>
        <v>1548</v>
      </c>
      <c r="P77" s="468"/>
      <c r="Q77" s="468"/>
      <c r="R77" s="468"/>
      <c r="S77" s="468"/>
      <c r="T77" s="468"/>
      <c r="U77" s="1113">
        <f>Segments!AF24</f>
        <v>1439</v>
      </c>
      <c r="V77" s="468"/>
      <c r="W77" s="468"/>
      <c r="X77" s="468"/>
      <c r="Y77" s="468"/>
      <c r="Z77" s="468"/>
      <c r="AA77" s="468">
        <v>1500</v>
      </c>
      <c r="AB77" s="468"/>
      <c r="AC77" s="468"/>
      <c r="AD77" s="468"/>
      <c r="AE77" s="468"/>
      <c r="AF77" s="468"/>
      <c r="AG77" s="468">
        <v>1500</v>
      </c>
      <c r="AH77" s="468"/>
      <c r="AI77" s="468">
        <v>1500</v>
      </c>
      <c r="AJ77" s="468"/>
      <c r="AK77" s="468">
        <v>1500</v>
      </c>
      <c r="AL77" s="468"/>
      <c r="AM77" s="468">
        <v>1500</v>
      </c>
      <c r="BH77" s="1108"/>
      <c r="BI77" s="1108"/>
      <c r="BJ77" s="1108"/>
      <c r="BK77" s="1108"/>
      <c r="BL77" s="1108"/>
      <c r="BM77" s="1108"/>
      <c r="BN77" s="1108"/>
      <c r="BO77" s="1108"/>
      <c r="BP77" s="1108"/>
      <c r="BQ77" s="1108"/>
      <c r="BR77" s="1108"/>
      <c r="BS77" s="1108"/>
      <c r="BT77" s="1108"/>
      <c r="BU77" s="1108"/>
      <c r="BV77" s="1108"/>
      <c r="BW77" s="1108"/>
      <c r="BX77" s="1108"/>
      <c r="BY77" s="1108"/>
    </row>
    <row r="78" spans="1:150" x14ac:dyDescent="0.3">
      <c r="C78" s="468"/>
      <c r="D78" s="468"/>
      <c r="E78" s="468"/>
      <c r="F78" s="468"/>
      <c r="G78" s="468"/>
      <c r="H78" s="468"/>
      <c r="I78" s="468"/>
      <c r="J78" s="468"/>
      <c r="K78" s="468"/>
      <c r="L78" s="468"/>
      <c r="M78" s="468"/>
      <c r="N78" s="468"/>
      <c r="O78" s="468"/>
      <c r="P78" s="468"/>
      <c r="Q78" s="468"/>
      <c r="R78" s="468"/>
      <c r="S78" s="468"/>
      <c r="T78" s="468"/>
      <c r="U78" s="468"/>
      <c r="V78" s="468"/>
      <c r="W78" s="468"/>
      <c r="X78" s="468"/>
      <c r="Y78" s="468"/>
      <c r="Z78" s="468"/>
      <c r="AA78" s="468"/>
      <c r="AB78" s="468"/>
      <c r="AC78" s="468"/>
      <c r="AD78" s="468"/>
      <c r="AE78" s="468"/>
      <c r="AF78" s="468"/>
      <c r="AG78" s="468"/>
      <c r="AH78" s="468"/>
      <c r="AI78" s="468"/>
      <c r="AJ78" s="468"/>
      <c r="AK78" s="468"/>
      <c r="AL78" s="468"/>
      <c r="AM78" s="468"/>
      <c r="AO78" s="1108"/>
      <c r="AP78" s="1108"/>
      <c r="AQ78" s="1108"/>
      <c r="AR78" s="1108"/>
      <c r="AS78" s="1108"/>
      <c r="AT78" s="1108"/>
      <c r="AU78" s="1108"/>
      <c r="AV78" s="1108"/>
      <c r="AW78" s="1108"/>
      <c r="AX78" s="1108"/>
      <c r="AY78" s="1108"/>
      <c r="AZ78" s="1108"/>
      <c r="BA78" s="1108"/>
      <c r="BB78" s="1108"/>
      <c r="BC78" s="1108"/>
      <c r="BD78" s="1108"/>
      <c r="BE78" s="1108"/>
      <c r="BF78" s="1108"/>
      <c r="BG78" s="1108"/>
    </row>
    <row r="79" spans="1:150" x14ac:dyDescent="0.3">
      <c r="C79" s="468" t="s">
        <v>842</v>
      </c>
      <c r="D79" s="468"/>
      <c r="E79" s="468"/>
      <c r="F79" s="468"/>
      <c r="G79" s="468"/>
      <c r="H79" s="468"/>
      <c r="I79" s="1113">
        <f>I75+I77</f>
        <v>24875</v>
      </c>
      <c r="J79" s="468"/>
      <c r="K79" s="468"/>
      <c r="L79" s="468"/>
      <c r="M79" s="468"/>
      <c r="N79" s="468"/>
      <c r="O79" s="1113">
        <f>O75+O77</f>
        <v>24119</v>
      </c>
      <c r="P79" s="468"/>
      <c r="Q79" s="468"/>
      <c r="R79" s="468"/>
      <c r="S79" s="468"/>
      <c r="T79" s="468"/>
      <c r="U79" s="1113">
        <f>U75+U77</f>
        <v>24250</v>
      </c>
      <c r="V79" s="468"/>
      <c r="W79" s="468"/>
      <c r="X79" s="468"/>
      <c r="Y79" s="468"/>
      <c r="Z79" s="468"/>
      <c r="AA79" s="1113">
        <f>AA75+AA77</f>
        <v>25480.87099333333</v>
      </c>
      <c r="AB79" s="468"/>
      <c r="AC79" s="468"/>
      <c r="AD79" s="468"/>
      <c r="AE79" s="468"/>
      <c r="AF79" s="468"/>
      <c r="AG79" s="1113">
        <f>AG75+AG77</f>
        <v>26188.855817955562</v>
      </c>
      <c r="AH79" s="468"/>
      <c r="AI79" s="1113">
        <f>AI75+AI77</f>
        <v>26827.77294541493</v>
      </c>
      <c r="AJ79" s="468"/>
      <c r="AK79" s="1113">
        <f>AK75+AK77</f>
        <v>27660.220617250394</v>
      </c>
      <c r="AL79" s="468"/>
      <c r="AM79" s="1113">
        <f>AM75+AM77</f>
        <v>28334.160493280171</v>
      </c>
      <c r="AN79" s="1189"/>
      <c r="BH79" s="1108"/>
      <c r="BI79" s="1108"/>
      <c r="BJ79" s="1108"/>
      <c r="BK79" s="1108"/>
      <c r="BL79" s="1108"/>
      <c r="BM79" s="1108"/>
      <c r="BN79" s="1108"/>
      <c r="BO79" s="1108"/>
      <c r="BP79" s="1108"/>
      <c r="BQ79" s="1108"/>
      <c r="BR79" s="1108"/>
      <c r="BS79" s="1108"/>
      <c r="BT79" s="1108"/>
      <c r="BU79" s="1108"/>
      <c r="BV79" s="1108"/>
      <c r="BW79" s="1108"/>
      <c r="BX79" s="1108"/>
      <c r="BY79" s="1108"/>
    </row>
    <row r="80" spans="1:150" x14ac:dyDescent="0.3">
      <c r="C80" s="468"/>
      <c r="D80" s="468"/>
      <c r="E80" s="468"/>
      <c r="F80" s="468"/>
      <c r="G80" s="468"/>
      <c r="H80" s="468"/>
      <c r="I80" s="468"/>
      <c r="J80" s="468"/>
      <c r="K80" s="468"/>
      <c r="L80" s="468"/>
      <c r="M80" s="468"/>
      <c r="N80" s="468"/>
      <c r="O80" s="468"/>
      <c r="P80" s="468"/>
      <c r="Q80" s="468"/>
      <c r="R80" s="468"/>
      <c r="S80" s="468"/>
      <c r="T80" s="468"/>
      <c r="U80" s="468"/>
      <c r="V80" s="468"/>
      <c r="W80" s="468"/>
      <c r="X80" s="468"/>
      <c r="Y80" s="468"/>
      <c r="Z80" s="468"/>
      <c r="AA80" s="1146">
        <f>AA79/U79-1</f>
        <v>5.0757566735394999E-2</v>
      </c>
      <c r="AB80" s="468"/>
      <c r="AC80" s="468"/>
      <c r="AD80" s="468"/>
      <c r="AE80" s="468"/>
      <c r="AF80" s="468"/>
      <c r="AG80" s="1146">
        <f>AG79/AA79-1</f>
        <v>2.7784953850575445E-2</v>
      </c>
      <c r="AH80" s="1175"/>
      <c r="AI80" s="1146">
        <f>AI79/AG79-1</f>
        <v>2.4396526976994348E-2</v>
      </c>
      <c r="AJ80" s="1175"/>
      <c r="AK80" s="1146">
        <f>AK79/AI79-1</f>
        <v>3.1029324481357534E-2</v>
      </c>
      <c r="AL80" s="1175"/>
      <c r="AM80" s="1146">
        <f>AM79/AK79-1</f>
        <v>2.4364949410760284E-2</v>
      </c>
      <c r="AO80" s="1108"/>
      <c r="AP80" s="1108"/>
      <c r="AQ80" s="1108"/>
      <c r="AR80" s="1108"/>
      <c r="AS80" s="1108"/>
      <c r="AT80" s="1108"/>
      <c r="AU80" s="1108"/>
      <c r="AV80" s="1108"/>
      <c r="AW80" s="1108"/>
      <c r="AX80" s="1108"/>
      <c r="AY80" s="1108"/>
      <c r="AZ80" s="1108"/>
      <c r="BA80" s="1108"/>
      <c r="BB80" s="1108"/>
      <c r="BC80" s="1108"/>
      <c r="BD80" s="1108"/>
      <c r="BE80" s="1108"/>
      <c r="BF80" s="1108"/>
      <c r="BG80" s="1108"/>
      <c r="BH80" s="1101"/>
      <c r="BI80" s="1101"/>
      <c r="BJ80" s="1101"/>
      <c r="BK80" s="1101"/>
      <c r="BL80" s="1101"/>
      <c r="BM80" s="1101"/>
      <c r="BN80" s="1101"/>
      <c r="BO80" s="1101"/>
      <c r="BP80" s="1101"/>
      <c r="BQ80" s="1101"/>
      <c r="BR80" s="1101"/>
      <c r="BS80" s="1101"/>
      <c r="BT80" s="1101"/>
      <c r="BU80" s="1101"/>
      <c r="BV80" s="1101"/>
      <c r="BW80" s="1101"/>
      <c r="BX80" s="1101"/>
      <c r="BY80" s="1101"/>
    </row>
    <row r="81" spans="41:77" x14ac:dyDescent="0.3">
      <c r="AO81" s="1101"/>
      <c r="AP81" s="1101"/>
      <c r="AQ81" s="1101"/>
      <c r="AR81" s="1101"/>
      <c r="AS81" s="1101"/>
      <c r="AT81" s="1101"/>
      <c r="AU81" s="1101"/>
      <c r="AV81" s="1101"/>
      <c r="AW81" s="1101"/>
      <c r="AX81" s="1101"/>
      <c r="AY81" s="1101"/>
      <c r="AZ81" s="1101"/>
      <c r="BA81" s="1101"/>
      <c r="BB81" s="1101"/>
      <c r="BC81" s="1101"/>
      <c r="BD81" s="1101"/>
      <c r="BE81" s="1101"/>
      <c r="BF81" s="1101"/>
      <c r="BG81" s="1101"/>
      <c r="BH81" s="1101"/>
      <c r="BI81" s="1101"/>
      <c r="BJ81" s="1101"/>
      <c r="BK81" s="1101"/>
      <c r="BL81" s="1101"/>
      <c r="BM81" s="1101"/>
      <c r="BN81" s="1101"/>
      <c r="BO81" s="1101"/>
      <c r="BP81" s="1101"/>
      <c r="BQ81" s="1101"/>
      <c r="BR81" s="1101"/>
      <c r="BS81" s="1101"/>
      <c r="BT81" s="1101"/>
      <c r="BU81" s="1101"/>
      <c r="BV81" s="1101"/>
      <c r="BW81" s="1101"/>
      <c r="BX81" s="1101"/>
      <c r="BY81" s="1101"/>
    </row>
    <row r="82" spans="41:77" x14ac:dyDescent="0.3">
      <c r="AO82" s="1101"/>
      <c r="AP82" s="1101"/>
      <c r="AQ82" s="1101"/>
      <c r="AR82" s="1101"/>
      <c r="AS82" s="1101"/>
      <c r="AT82" s="1101"/>
      <c r="AU82" s="1101"/>
      <c r="AV82" s="1101"/>
      <c r="AW82" s="1101"/>
      <c r="AX82" s="1101"/>
      <c r="AY82" s="1101"/>
      <c r="AZ82" s="1101"/>
      <c r="BA82" s="1101"/>
      <c r="BB82" s="1101"/>
      <c r="BC82" s="1101"/>
      <c r="BD82" s="1101"/>
      <c r="BE82" s="1101"/>
      <c r="BF82" s="1101"/>
      <c r="BG82" s="1101"/>
    </row>
  </sheetData>
  <mergeCells count="10">
    <mergeCell ref="AW4:BA4"/>
    <mergeCell ref="BC4:BG4"/>
    <mergeCell ref="BI4:BM4"/>
    <mergeCell ref="BO4:BS4"/>
    <mergeCell ref="E4:I4"/>
    <mergeCell ref="K4:O4"/>
    <mergeCell ref="Q4:U4"/>
    <mergeCell ref="W4:AA4"/>
    <mergeCell ref="AC4:AG4"/>
    <mergeCell ref="AQ4:AU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N181"/>
  <sheetViews>
    <sheetView showGridLines="0" topLeftCell="A46" zoomScale="68" zoomScaleNormal="130" workbookViewId="0">
      <selection activeCell="J62" sqref="J62"/>
    </sheetView>
  </sheetViews>
  <sheetFormatPr defaultColWidth="9" defaultRowHeight="15" customHeight="1" x14ac:dyDescent="0.3"/>
  <cols>
    <col min="1" max="1" width="3.5" style="374" customWidth="1"/>
    <col min="2" max="2" width="39" style="21" customWidth="1"/>
    <col min="3" max="3" width="13.5" style="21" customWidth="1"/>
    <col min="4" max="13" width="12.5" style="21" customWidth="1"/>
    <col min="14" max="17" width="12.5" style="23" customWidth="1"/>
    <col min="18" max="16384" width="9" style="23"/>
  </cols>
  <sheetData>
    <row r="1" spans="1:14" s="569" customFormat="1" ht="15" customHeight="1" x14ac:dyDescent="0.3"/>
    <row r="2" spans="1:14" s="569" customFormat="1" ht="15" customHeight="1" x14ac:dyDescent="0.3"/>
    <row r="3" spans="1:14" s="569" customFormat="1" ht="15" customHeight="1" x14ac:dyDescent="0.3"/>
    <row r="4" spans="1:14" s="569" customFormat="1" ht="15" customHeight="1" x14ac:dyDescent="0.3"/>
    <row r="5" spans="1:14" s="413" customFormat="1" ht="4" customHeight="1" x14ac:dyDescent="0.3">
      <c r="A5" s="564"/>
      <c r="B5" s="34"/>
      <c r="C5" s="34"/>
      <c r="D5" s="34"/>
      <c r="E5" s="34"/>
      <c r="F5" s="34"/>
      <c r="G5" s="34"/>
      <c r="H5" s="34"/>
      <c r="I5" s="34"/>
      <c r="J5" s="34"/>
      <c r="K5" s="34"/>
      <c r="L5" s="34"/>
      <c r="M5" s="34"/>
    </row>
    <row r="7" spans="1:14" ht="15" customHeight="1" x14ac:dyDescent="0.3">
      <c r="A7" s="374" t="s">
        <v>39</v>
      </c>
      <c r="B7" s="366" t="s">
        <v>843</v>
      </c>
      <c r="C7" s="30"/>
      <c r="D7" s="30"/>
      <c r="E7" s="30"/>
      <c r="F7" s="30"/>
      <c r="G7" s="30"/>
      <c r="H7" s="30"/>
      <c r="I7" s="30"/>
      <c r="J7" s="30"/>
      <c r="K7" s="30"/>
      <c r="L7" s="30"/>
    </row>
    <row r="8" spans="1:14" ht="4" customHeight="1" x14ac:dyDescent="0.3">
      <c r="B8" s="415"/>
      <c r="C8" s="381"/>
      <c r="D8" s="381"/>
      <c r="E8" s="381"/>
      <c r="F8" s="381"/>
      <c r="G8" s="381"/>
      <c r="H8" s="381"/>
      <c r="I8" s="381"/>
      <c r="J8" s="381"/>
      <c r="K8" s="381"/>
      <c r="L8" s="381"/>
    </row>
    <row r="9" spans="1:14" ht="15" customHeight="1" x14ac:dyDescent="0.3">
      <c r="B9" s="416"/>
      <c r="C9" s="23"/>
      <c r="D9" s="23"/>
      <c r="E9" s="416"/>
      <c r="F9" s="23"/>
      <c r="G9" s="23"/>
      <c r="H9" s="416"/>
      <c r="J9" s="23"/>
      <c r="K9" s="416"/>
      <c r="L9" s="23"/>
      <c r="N9" s="23" t="s">
        <v>844</v>
      </c>
    </row>
    <row r="10" spans="1:14" ht="15" customHeight="1" x14ac:dyDescent="0.3">
      <c r="B10" s="366" t="s">
        <v>845</v>
      </c>
      <c r="C10" s="30"/>
      <c r="D10" s="30"/>
      <c r="E10" s="30"/>
      <c r="G10" s="366" t="s">
        <v>846</v>
      </c>
      <c r="H10" s="366"/>
      <c r="I10" s="366"/>
      <c r="J10" s="366" t="s">
        <v>847</v>
      </c>
      <c r="K10" s="366" t="s">
        <v>848</v>
      </c>
      <c r="L10" s="366" t="s">
        <v>849</v>
      </c>
      <c r="N10" s="23" t="s">
        <v>850</v>
      </c>
    </row>
    <row r="11" spans="1:14" ht="15" customHeight="1" x14ac:dyDescent="0.3">
      <c r="B11" s="21" t="s">
        <v>851</v>
      </c>
      <c r="E11" s="417">
        <f>(G86+G77)</f>
        <v>12111</v>
      </c>
      <c r="G11" s="21" t="s">
        <v>852</v>
      </c>
      <c r="J11" s="653"/>
      <c r="K11" s="654"/>
      <c r="L11" s="45">
        <f>K11*$E$13</f>
        <v>0</v>
      </c>
      <c r="N11" s="23" t="s">
        <v>853</v>
      </c>
    </row>
    <row r="12" spans="1:14" ht="15" customHeight="1" x14ac:dyDescent="0.3">
      <c r="B12" s="348" t="s">
        <v>854</v>
      </c>
      <c r="C12" s="348"/>
      <c r="D12" s="348"/>
      <c r="E12" s="651"/>
      <c r="G12" s="21" t="s">
        <v>855</v>
      </c>
      <c r="J12" s="653"/>
      <c r="K12" s="654"/>
      <c r="L12" s="45">
        <f>K12*$E$13</f>
        <v>0</v>
      </c>
      <c r="N12" s="23" t="s">
        <v>856</v>
      </c>
    </row>
    <row r="13" spans="1:14" ht="15" customHeight="1" x14ac:dyDescent="0.3">
      <c r="B13" s="31" t="s">
        <v>857</v>
      </c>
      <c r="E13" s="418">
        <f>E11*E12</f>
        <v>0</v>
      </c>
      <c r="G13" s="21" t="s">
        <v>858</v>
      </c>
      <c r="J13" s="653"/>
      <c r="K13" s="654"/>
      <c r="L13" s="45">
        <f>K13*$E$13</f>
        <v>0</v>
      </c>
      <c r="N13" s="23" t="s">
        <v>859</v>
      </c>
    </row>
    <row r="14" spans="1:14" ht="15" customHeight="1" x14ac:dyDescent="0.3">
      <c r="B14" s="348" t="s">
        <v>860</v>
      </c>
      <c r="C14" s="348"/>
      <c r="D14" s="348"/>
      <c r="E14" s="419">
        <f>BS!AJ38+BS!AJ39+BS!AJ44+BS!AJ45-BS!AJ15</f>
        <v>0</v>
      </c>
      <c r="J14" s="420"/>
      <c r="L14" s="45"/>
    </row>
    <row r="15" spans="1:14" ht="15" customHeight="1" x14ac:dyDescent="0.3">
      <c r="B15" s="31" t="s">
        <v>861</v>
      </c>
      <c r="E15" s="418">
        <f>E13-E14</f>
        <v>0</v>
      </c>
      <c r="G15" s="366" t="s">
        <v>862</v>
      </c>
      <c r="H15" s="366"/>
      <c r="I15" s="366"/>
      <c r="J15" s="366"/>
      <c r="K15" s="366"/>
      <c r="L15" s="366"/>
    </row>
    <row r="16" spans="1:14" ht="15" customHeight="1" x14ac:dyDescent="0.3">
      <c r="G16" s="21" t="s">
        <v>863</v>
      </c>
      <c r="L16" s="421" t="e">
        <f>L180</f>
        <v>#DIV/0!</v>
      </c>
    </row>
    <row r="17" spans="1:12" ht="15" customHeight="1" x14ac:dyDescent="0.3">
      <c r="B17" s="21" t="s">
        <v>864</v>
      </c>
      <c r="E17" s="45">
        <f>0.03*E13</f>
        <v>0</v>
      </c>
      <c r="G17" s="21" t="s">
        <v>865</v>
      </c>
      <c r="L17" s="421" t="e">
        <f>L181</f>
        <v>#DIV/0!</v>
      </c>
    </row>
    <row r="19" spans="1:12" ht="15" customHeight="1" x14ac:dyDescent="0.3">
      <c r="B19" s="366" t="s">
        <v>866</v>
      </c>
      <c r="C19" s="30"/>
      <c r="D19" s="30"/>
      <c r="E19" s="30"/>
      <c r="I19" s="414"/>
    </row>
    <row r="20" spans="1:12" ht="15" customHeight="1" x14ac:dyDescent="0.3">
      <c r="B20" s="21" t="s">
        <v>867</v>
      </c>
      <c r="E20" s="652"/>
      <c r="H20" s="422"/>
    </row>
    <row r="21" spans="1:12" ht="15" customHeight="1" x14ac:dyDescent="0.3">
      <c r="C21" s="423"/>
    </row>
    <row r="22" spans="1:12" ht="15" customHeight="1" x14ac:dyDescent="0.3">
      <c r="A22" s="374" t="s">
        <v>39</v>
      </c>
      <c r="B22" s="366" t="s">
        <v>868</v>
      </c>
      <c r="C22" s="30"/>
      <c r="D22" s="30"/>
      <c r="E22" s="30"/>
      <c r="F22" s="30"/>
      <c r="G22" s="30"/>
      <c r="H22" s="30"/>
      <c r="I22" s="30"/>
      <c r="J22" s="30"/>
      <c r="K22" s="30"/>
      <c r="L22" s="30"/>
    </row>
    <row r="23" spans="1:12" ht="4" customHeight="1" x14ac:dyDescent="0.3">
      <c r="B23" s="415"/>
      <c r="C23" s="381"/>
      <c r="D23" s="381"/>
      <c r="E23" s="381"/>
      <c r="F23" s="381"/>
      <c r="G23" s="381"/>
      <c r="H23" s="381"/>
      <c r="I23" s="381"/>
      <c r="J23" s="381"/>
      <c r="K23" s="381"/>
      <c r="L23" s="381"/>
    </row>
    <row r="24" spans="1:12" ht="15" customHeight="1" x14ac:dyDescent="0.3">
      <c r="C24" s="424"/>
    </row>
    <row r="25" spans="1:12" ht="15" customHeight="1" x14ac:dyDescent="0.3">
      <c r="B25" s="366" t="s">
        <v>869</v>
      </c>
      <c r="C25" s="30"/>
      <c r="D25" s="30"/>
      <c r="E25" s="30"/>
      <c r="G25" s="366" t="s">
        <v>870</v>
      </c>
      <c r="H25" s="30"/>
      <c r="I25" s="30"/>
      <c r="J25" s="30"/>
      <c r="K25" s="30"/>
      <c r="L25" s="30"/>
    </row>
    <row r="26" spans="1:12" ht="15" customHeight="1" x14ac:dyDescent="0.3">
      <c r="B26" s="337"/>
      <c r="C26" s="416" t="s">
        <v>849</v>
      </c>
      <c r="D26" s="416" t="s">
        <v>871</v>
      </c>
      <c r="E26" s="416" t="s">
        <v>872</v>
      </c>
      <c r="J26" s="416" t="s">
        <v>849</v>
      </c>
      <c r="K26" s="416" t="s">
        <v>871</v>
      </c>
      <c r="L26" s="416" t="s">
        <v>872</v>
      </c>
    </row>
    <row r="27" spans="1:12" ht="15" customHeight="1" x14ac:dyDescent="0.3">
      <c r="B27" s="23" t="s">
        <v>852</v>
      </c>
      <c r="C27" s="417">
        <f>L11</f>
        <v>0</v>
      </c>
      <c r="D27" s="425">
        <f>C27/$E$11</f>
        <v>0</v>
      </c>
      <c r="E27" s="426" t="e">
        <f>C27/$C$34</f>
        <v>#DIV/0!</v>
      </c>
      <c r="G27" s="23" t="s">
        <v>873</v>
      </c>
      <c r="H27" s="23"/>
      <c r="I27" s="23"/>
      <c r="J27" s="417">
        <f>E14</f>
        <v>0</v>
      </c>
      <c r="K27" s="425">
        <f>J27/$E$11</f>
        <v>0</v>
      </c>
      <c r="L27" s="426" t="e">
        <f>J27/$J$34</f>
        <v>#DIV/0!</v>
      </c>
    </row>
    <row r="28" spans="1:12" ht="15" customHeight="1" x14ac:dyDescent="0.3">
      <c r="B28" s="23" t="s">
        <v>855</v>
      </c>
      <c r="C28" s="417">
        <f>L12</f>
        <v>0</v>
      </c>
      <c r="D28" s="425">
        <f>C28/$E$11</f>
        <v>0</v>
      </c>
      <c r="E28" s="426" t="e">
        <f>C28/$C$34</f>
        <v>#DIV/0!</v>
      </c>
      <c r="G28" s="23" t="s">
        <v>874</v>
      </c>
      <c r="H28" s="23"/>
      <c r="I28" s="23"/>
      <c r="J28" s="417">
        <f>E15</f>
        <v>0</v>
      </c>
      <c r="K28" s="425">
        <f>J28/$E$11</f>
        <v>0</v>
      </c>
      <c r="L28" s="426" t="e">
        <f>J28/$J$34</f>
        <v>#DIV/0!</v>
      </c>
    </row>
    <row r="29" spans="1:12" ht="15" customHeight="1" x14ac:dyDescent="0.3">
      <c r="B29" s="427" t="s">
        <v>858</v>
      </c>
      <c r="C29" s="428">
        <f>L13</f>
        <v>0</v>
      </c>
      <c r="D29" s="429">
        <f>C29/$E$11</f>
        <v>0</v>
      </c>
      <c r="E29" s="430" t="e">
        <f>C29/$C$34</f>
        <v>#DIV/0!</v>
      </c>
      <c r="G29" s="23"/>
      <c r="H29" s="23"/>
      <c r="I29" s="23"/>
      <c r="J29" s="431"/>
      <c r="K29" s="23"/>
      <c r="L29" s="414"/>
    </row>
    <row r="30" spans="1:12" ht="15" customHeight="1" x14ac:dyDescent="0.3">
      <c r="B30" s="337" t="s">
        <v>693</v>
      </c>
      <c r="C30" s="432">
        <f>SUM(C27:C29)</f>
        <v>0</v>
      </c>
      <c r="D30" s="433">
        <f>C30/$E$11</f>
        <v>0</v>
      </c>
      <c r="E30" s="434" t="e">
        <f>C30/$C$34</f>
        <v>#DIV/0!</v>
      </c>
      <c r="G30" s="23" t="s">
        <v>864</v>
      </c>
      <c r="H30" s="23"/>
      <c r="I30" s="23"/>
      <c r="J30" s="417">
        <f>E17</f>
        <v>0</v>
      </c>
      <c r="K30" s="425">
        <f>J30/$E$11</f>
        <v>0</v>
      </c>
      <c r="L30" s="426" t="e">
        <f>J30/$J$34</f>
        <v>#DIV/0!</v>
      </c>
    </row>
    <row r="31" spans="1:12" ht="15" customHeight="1" x14ac:dyDescent="0.3">
      <c r="B31" s="337"/>
      <c r="C31" s="23"/>
      <c r="D31" s="23"/>
      <c r="E31" s="426"/>
      <c r="G31" s="23"/>
      <c r="H31" s="23"/>
      <c r="I31" s="23"/>
      <c r="J31" s="414"/>
      <c r="K31" s="414"/>
      <c r="L31" s="414"/>
    </row>
    <row r="32" spans="1:12" ht="15" customHeight="1" x14ac:dyDescent="0.3">
      <c r="B32" s="23" t="s">
        <v>875</v>
      </c>
      <c r="C32" s="45">
        <f>C34-C30</f>
        <v>0</v>
      </c>
      <c r="D32" s="425">
        <f>C32/$E$11</f>
        <v>0</v>
      </c>
      <c r="E32" s="426" t="e">
        <f>C32/$C$34</f>
        <v>#DIV/0!</v>
      </c>
      <c r="G32" s="23"/>
      <c r="H32" s="23"/>
      <c r="I32" s="23"/>
    </row>
    <row r="34" spans="1:12" ht="15" customHeight="1" x14ac:dyDescent="0.3">
      <c r="B34" s="435" t="s">
        <v>876</v>
      </c>
      <c r="C34" s="436">
        <f>J34</f>
        <v>0</v>
      </c>
      <c r="D34" s="437">
        <f>C34/$E$11</f>
        <v>0</v>
      </c>
      <c r="E34" s="438" t="e">
        <f>C34/$C$34</f>
        <v>#DIV/0!</v>
      </c>
      <c r="G34" s="439" t="s">
        <v>877</v>
      </c>
      <c r="H34" s="440"/>
      <c r="I34" s="440"/>
      <c r="J34" s="441">
        <f>J27+J28+J30</f>
        <v>0</v>
      </c>
      <c r="K34" s="442">
        <f>J34/$E$11</f>
        <v>0</v>
      </c>
      <c r="L34" s="443" t="e">
        <f>J34/$J$34</f>
        <v>#DIV/0!</v>
      </c>
    </row>
    <row r="35" spans="1:12" ht="15" customHeight="1" x14ac:dyDescent="0.3">
      <c r="C35" s="423"/>
    </row>
    <row r="36" spans="1:12" ht="15" customHeight="1" x14ac:dyDescent="0.3">
      <c r="B36" s="366" t="s">
        <v>701</v>
      </c>
      <c r="C36" s="30"/>
      <c r="D36" s="30"/>
      <c r="E36" s="30"/>
      <c r="F36" s="30"/>
      <c r="G36" s="30"/>
      <c r="H36" s="30"/>
      <c r="I36" s="30"/>
      <c r="J36" s="30"/>
      <c r="K36" s="30"/>
      <c r="L36" s="30"/>
    </row>
    <row r="37" spans="1:12" ht="15" customHeight="1" x14ac:dyDescent="0.3">
      <c r="B37" s="30"/>
      <c r="C37" s="30"/>
      <c r="D37" s="30"/>
      <c r="E37" s="30"/>
      <c r="F37" s="30"/>
      <c r="G37" s="30"/>
      <c r="H37" s="30"/>
      <c r="I37" s="30"/>
      <c r="J37" s="30"/>
      <c r="K37" s="30"/>
      <c r="L37" s="30"/>
    </row>
    <row r="38" spans="1:12" ht="15" customHeight="1" x14ac:dyDescent="0.3">
      <c r="A38" s="374" t="s">
        <v>39</v>
      </c>
      <c r="B38" s="30"/>
      <c r="C38" s="30"/>
      <c r="D38" s="30"/>
      <c r="E38" s="444">
        <v>2022</v>
      </c>
      <c r="F38" s="444">
        <f t="shared" ref="F38:L38" si="0">+E38+1</f>
        <v>2023</v>
      </c>
      <c r="G38" s="444">
        <f t="shared" si="0"/>
        <v>2024</v>
      </c>
      <c r="H38" s="445">
        <f t="shared" si="0"/>
        <v>2025</v>
      </c>
      <c r="I38" s="445">
        <f t="shared" si="0"/>
        <v>2026</v>
      </c>
      <c r="J38" s="445">
        <f t="shared" si="0"/>
        <v>2027</v>
      </c>
      <c r="K38" s="445">
        <f t="shared" si="0"/>
        <v>2028</v>
      </c>
      <c r="L38" s="445">
        <f t="shared" si="0"/>
        <v>2029</v>
      </c>
    </row>
    <row r="39" spans="1:12" ht="15" customHeight="1" x14ac:dyDescent="0.3">
      <c r="H39" s="22"/>
      <c r="I39" s="22"/>
      <c r="J39" s="22"/>
      <c r="K39" s="22"/>
      <c r="L39" s="22"/>
    </row>
    <row r="50" spans="1:12" ht="15" customHeight="1" x14ac:dyDescent="0.3">
      <c r="B50" s="289" t="s">
        <v>428</v>
      </c>
      <c r="C50" s="450"/>
      <c r="D50" s="451"/>
      <c r="E50" s="452"/>
      <c r="F50" s="452"/>
      <c r="G50" s="453"/>
      <c r="H50" s="312">
        <f>SUM(H39:H49)</f>
        <v>0</v>
      </c>
      <c r="I50" s="312">
        <f t="shared" ref="I50:L50" si="1">SUM(I39:I49)</f>
        <v>0</v>
      </c>
      <c r="J50" s="312">
        <f t="shared" si="1"/>
        <v>0</v>
      </c>
      <c r="K50" s="312">
        <f t="shared" si="1"/>
        <v>0</v>
      </c>
      <c r="L50" s="312">
        <f t="shared" si="1"/>
        <v>0</v>
      </c>
    </row>
    <row r="51" spans="1:12" ht="15" customHeight="1" x14ac:dyDescent="0.3">
      <c r="B51" s="446"/>
      <c r="C51" s="454"/>
      <c r="D51" s="23"/>
      <c r="E51" s="455"/>
      <c r="F51" s="455"/>
      <c r="G51" s="456"/>
      <c r="H51" s="457"/>
      <c r="I51" s="457"/>
      <c r="J51" s="457"/>
      <c r="K51" s="457"/>
      <c r="L51" s="457"/>
    </row>
    <row r="52" spans="1:12" ht="15" customHeight="1" x14ac:dyDescent="0.3">
      <c r="B52" s="366" t="s">
        <v>703</v>
      </c>
      <c r="C52" s="30"/>
      <c r="D52" s="30"/>
      <c r="E52" s="30"/>
      <c r="F52" s="30"/>
      <c r="G52" s="30"/>
      <c r="H52" s="30"/>
      <c r="I52" s="30"/>
      <c r="J52" s="30"/>
      <c r="K52" s="30"/>
      <c r="L52" s="30"/>
    </row>
    <row r="53" spans="1:12" ht="15" customHeight="1" x14ac:dyDescent="0.3">
      <c r="B53" s="30"/>
      <c r="C53" s="30"/>
      <c r="D53" s="30"/>
      <c r="E53" s="30"/>
      <c r="F53" s="30"/>
      <c r="G53" s="30"/>
      <c r="H53" s="30"/>
      <c r="I53" s="30"/>
      <c r="J53" s="30"/>
      <c r="K53" s="30"/>
      <c r="L53" s="30"/>
    </row>
    <row r="54" spans="1:12" ht="15" customHeight="1" x14ac:dyDescent="0.3">
      <c r="B54" s="30"/>
      <c r="C54" s="30"/>
      <c r="D54" s="30"/>
      <c r="E54" s="30"/>
      <c r="F54" s="30"/>
      <c r="G54" s="30"/>
      <c r="H54" s="30"/>
      <c r="I54" s="30"/>
      <c r="J54" s="30"/>
      <c r="K54" s="30"/>
      <c r="L54" s="30"/>
    </row>
    <row r="55" spans="1:12" ht="4" customHeight="1" x14ac:dyDescent="0.3">
      <c r="B55" s="459"/>
      <c r="C55" s="460"/>
      <c r="D55" s="413"/>
      <c r="E55" s="461"/>
      <c r="F55" s="461"/>
      <c r="G55" s="461"/>
      <c r="H55" s="462"/>
      <c r="I55" s="462"/>
      <c r="J55" s="462"/>
      <c r="K55" s="462"/>
      <c r="L55" s="462"/>
    </row>
    <row r="56" spans="1:12" ht="4" customHeight="1" x14ac:dyDescent="0.3">
      <c r="B56" s="446"/>
      <c r="C56" s="447"/>
      <c r="D56" s="23"/>
      <c r="E56" s="455"/>
      <c r="F56" s="455"/>
      <c r="G56" s="455"/>
      <c r="H56" s="458"/>
      <c r="I56" s="458"/>
      <c r="J56" s="458"/>
      <c r="K56" s="458"/>
      <c r="L56" s="458"/>
    </row>
    <row r="57" spans="1:12" ht="15" customHeight="1" x14ac:dyDescent="0.3">
      <c r="A57" s="374" t="s">
        <v>39</v>
      </c>
      <c r="B57" s="366" t="s">
        <v>704</v>
      </c>
      <c r="C57" s="30"/>
      <c r="D57" s="30"/>
      <c r="E57" s="444">
        <v>2022</v>
      </c>
      <c r="F57" s="444">
        <f t="shared" ref="F57:L57" si="2">+E57+1</f>
        <v>2023</v>
      </c>
      <c r="G57" s="444">
        <f t="shared" si="2"/>
        <v>2024</v>
      </c>
      <c r="H57" s="445">
        <f t="shared" si="2"/>
        <v>2025</v>
      </c>
      <c r="I57" s="445">
        <f t="shared" si="2"/>
        <v>2026</v>
      </c>
      <c r="J57" s="445">
        <f t="shared" si="2"/>
        <v>2027</v>
      </c>
      <c r="K57" s="445">
        <f t="shared" si="2"/>
        <v>2028</v>
      </c>
      <c r="L57" s="445">
        <f t="shared" si="2"/>
        <v>2029</v>
      </c>
    </row>
    <row r="58" spans="1:12" ht="4" customHeight="1" x14ac:dyDescent="0.3">
      <c r="B58" s="34"/>
      <c r="C58" s="34"/>
      <c r="D58" s="34"/>
      <c r="E58" s="34"/>
      <c r="F58" s="34"/>
      <c r="G58" s="34"/>
      <c r="H58" s="34"/>
      <c r="I58" s="34"/>
      <c r="J58" s="34"/>
      <c r="K58" s="34"/>
      <c r="L58" s="34"/>
    </row>
    <row r="59" spans="1:12" ht="15" customHeight="1" x14ac:dyDescent="0.3">
      <c r="B59" s="369" t="s">
        <v>702</v>
      </c>
      <c r="D59" s="463" t="e">
        <f>+_xlfn.XLOOKUP($B59,#REF!,#REF!)</f>
        <v>#REF!</v>
      </c>
      <c r="E59" s="55">
        <f>FCFF!H31</f>
        <v>24875</v>
      </c>
      <c r="F59" s="55">
        <f>FCFF!N31</f>
        <v>24119</v>
      </c>
      <c r="G59" s="404">
        <f>FCFF!T31</f>
        <v>24250</v>
      </c>
      <c r="H59" s="464">
        <f>+H50</f>
        <v>0</v>
      </c>
      <c r="I59" s="464">
        <f t="shared" ref="I59:L59" si="3">+I50</f>
        <v>0</v>
      </c>
      <c r="J59" s="464">
        <f t="shared" si="3"/>
        <v>0</v>
      </c>
      <c r="K59" s="464">
        <f t="shared" si="3"/>
        <v>0</v>
      </c>
      <c r="L59" s="464">
        <f t="shared" si="3"/>
        <v>0</v>
      </c>
    </row>
    <row r="60" spans="1:12" s="449" customFormat="1" ht="15" customHeight="1" x14ac:dyDescent="0.3">
      <c r="A60" s="374"/>
      <c r="B60" s="29" t="s">
        <v>705</v>
      </c>
      <c r="C60" s="24"/>
      <c r="D60" s="24"/>
      <c r="E60" s="303">
        <f>E59/IS!N18-1</f>
        <v>0.14084571638231513</v>
      </c>
      <c r="F60" s="303">
        <f>F59/E59-1</f>
        <v>-3.0391959798995005E-2</v>
      </c>
      <c r="G60" s="405">
        <f>G59/F59-1</f>
        <v>5.4314026286330641E-3</v>
      </c>
      <c r="H60" s="303">
        <f t="shared" ref="H60:L60" si="4">H59/G59-1</f>
        <v>-1</v>
      </c>
      <c r="I60" s="303" t="e">
        <f t="shared" si="4"/>
        <v>#DIV/0!</v>
      </c>
      <c r="J60" s="303" t="e">
        <f t="shared" si="4"/>
        <v>#DIV/0!</v>
      </c>
      <c r="K60" s="303" t="e">
        <f t="shared" si="4"/>
        <v>#DIV/0!</v>
      </c>
      <c r="L60" s="303" t="e">
        <f t="shared" si="4"/>
        <v>#DIV/0!</v>
      </c>
    </row>
    <row r="61" spans="1:12" ht="15" customHeight="1" x14ac:dyDescent="0.3">
      <c r="B61" s="393"/>
      <c r="E61" s="54"/>
      <c r="F61" s="54"/>
      <c r="G61" s="406"/>
      <c r="H61" s="426"/>
      <c r="I61" s="426"/>
      <c r="J61" s="426"/>
      <c r="K61" s="426"/>
      <c r="L61" s="426"/>
    </row>
    <row r="62" spans="1:12" ht="15" customHeight="1" x14ac:dyDescent="0.3">
      <c r="B62" s="369" t="s">
        <v>706</v>
      </c>
      <c r="E62" s="55">
        <f>FCFF!H34</f>
        <v>0</v>
      </c>
      <c r="F62" s="55">
        <f>FCFF!N34</f>
        <v>0</v>
      </c>
      <c r="G62" s="404">
        <f>FCFF!T34</f>
        <v>0</v>
      </c>
      <c r="H62" s="464">
        <f>H63*H$59</f>
        <v>0</v>
      </c>
      <c r="I62" s="464">
        <f>I63*I$59</f>
        <v>0</v>
      </c>
      <c r="J62" s="464">
        <f>J63*J$59</f>
        <v>0</v>
      </c>
      <c r="K62" s="464">
        <f>K63*K$59</f>
        <v>0</v>
      </c>
      <c r="L62" s="464">
        <f>L63*L$59</f>
        <v>0</v>
      </c>
    </row>
    <row r="63" spans="1:12" s="449" customFormat="1" ht="15" customHeight="1" x14ac:dyDescent="0.3">
      <c r="A63" s="374"/>
      <c r="B63" s="29" t="s">
        <v>707</v>
      </c>
      <c r="C63" s="24"/>
      <c r="D63" s="24"/>
      <c r="E63" s="303">
        <f>E62/E59</f>
        <v>0</v>
      </c>
      <c r="F63" s="303">
        <f t="shared" ref="F63:G63" si="5">F62/F59</f>
        <v>0</v>
      </c>
      <c r="G63" s="405">
        <f t="shared" si="5"/>
        <v>0</v>
      </c>
      <c r="H63" s="465"/>
      <c r="I63" s="465"/>
      <c r="J63" s="465"/>
      <c r="K63" s="465"/>
      <c r="L63" s="466"/>
    </row>
    <row r="64" spans="1:12" ht="15" customHeight="1" x14ac:dyDescent="0.3">
      <c r="G64" s="202"/>
    </row>
    <row r="65" spans="2:12" ht="15" customHeight="1" x14ac:dyDescent="0.3">
      <c r="B65" s="369" t="s">
        <v>708</v>
      </c>
      <c r="E65" s="55">
        <f>FCFF!H37</f>
        <v>0</v>
      </c>
      <c r="F65" s="55">
        <f>FCFF!N37</f>
        <v>0</v>
      </c>
      <c r="G65" s="404">
        <f>FCFF!T37</f>
        <v>0</v>
      </c>
      <c r="H65" s="464">
        <f>+H66*H62</f>
        <v>0</v>
      </c>
      <c r="I65" s="464">
        <f t="shared" ref="I65:L65" si="6">+I66*I62</f>
        <v>0</v>
      </c>
      <c r="J65" s="464">
        <f t="shared" si="6"/>
        <v>0</v>
      </c>
      <c r="K65" s="464">
        <f t="shared" si="6"/>
        <v>0</v>
      </c>
      <c r="L65" s="464">
        <f t="shared" si="6"/>
        <v>0</v>
      </c>
    </row>
    <row r="66" spans="2:12" s="449" customFormat="1" ht="15" customHeight="1" x14ac:dyDescent="0.3">
      <c r="B66" s="29" t="s">
        <v>709</v>
      </c>
      <c r="C66" s="24"/>
      <c r="D66" s="24"/>
      <c r="E66" s="740" t="s">
        <v>245</v>
      </c>
      <c r="F66" s="740" t="s">
        <v>245</v>
      </c>
      <c r="G66" s="741" t="s">
        <v>245</v>
      </c>
      <c r="H66" s="465">
        <v>0</v>
      </c>
      <c r="I66" s="465">
        <v>0</v>
      </c>
      <c r="J66" s="465">
        <v>0</v>
      </c>
      <c r="K66" s="465">
        <v>0</v>
      </c>
      <c r="L66" s="465">
        <v>0</v>
      </c>
    </row>
    <row r="67" spans="2:12" ht="15" customHeight="1" x14ac:dyDescent="0.3">
      <c r="B67" s="29"/>
      <c r="E67" s="178"/>
      <c r="F67" s="178"/>
      <c r="G67" s="407"/>
      <c r="H67" s="23"/>
      <c r="I67" s="23"/>
      <c r="J67" s="23"/>
      <c r="K67" s="23"/>
      <c r="L67" s="23"/>
    </row>
    <row r="68" spans="2:12" ht="15" customHeight="1" x14ac:dyDescent="0.3">
      <c r="B68" s="369" t="s">
        <v>710</v>
      </c>
      <c r="E68" s="55">
        <f>FCFF!H40</f>
        <v>24875</v>
      </c>
      <c r="F68" s="55">
        <f>FCFF!N40</f>
        <v>24119</v>
      </c>
      <c r="G68" s="404">
        <f>FCFF!T40</f>
        <v>24250</v>
      </c>
      <c r="H68" s="464">
        <f>+H59-H62-H65</f>
        <v>0</v>
      </c>
      <c r="I68" s="464">
        <f t="shared" ref="I68:L68" si="7">+I59-I62-I65</f>
        <v>0</v>
      </c>
      <c r="J68" s="464">
        <f t="shared" si="7"/>
        <v>0</v>
      </c>
      <c r="K68" s="464">
        <f t="shared" si="7"/>
        <v>0</v>
      </c>
      <c r="L68" s="464">
        <f t="shared" si="7"/>
        <v>0</v>
      </c>
    </row>
    <row r="69" spans="2:12" s="449" customFormat="1" ht="15" customHeight="1" x14ac:dyDescent="0.3">
      <c r="B69" s="29" t="s">
        <v>707</v>
      </c>
      <c r="C69" s="24"/>
      <c r="D69" s="24"/>
      <c r="E69" s="305">
        <f>E68/E59</f>
        <v>1</v>
      </c>
      <c r="F69" s="305">
        <f t="shared" ref="F69:G69" si="8">F68/F59</f>
        <v>1</v>
      </c>
      <c r="G69" s="408">
        <f t="shared" si="8"/>
        <v>1</v>
      </c>
      <c r="H69" s="467" t="str">
        <f t="shared" ref="H69:L69" si="9">IFERROR(H68/H$59,"")</f>
        <v/>
      </c>
      <c r="I69" s="467" t="str">
        <f t="shared" si="9"/>
        <v/>
      </c>
      <c r="J69" s="467" t="str">
        <f t="shared" si="9"/>
        <v/>
      </c>
      <c r="K69" s="467" t="str">
        <f t="shared" si="9"/>
        <v/>
      </c>
      <c r="L69" s="467" t="str">
        <f t="shared" si="9"/>
        <v/>
      </c>
    </row>
    <row r="70" spans="2:12" ht="15" customHeight="1" x14ac:dyDescent="0.3">
      <c r="B70" s="369"/>
      <c r="E70" s="63"/>
      <c r="F70" s="63"/>
      <c r="G70" s="409"/>
      <c r="H70" s="426"/>
      <c r="I70" s="426"/>
      <c r="J70" s="426"/>
      <c r="K70" s="426"/>
      <c r="L70" s="426"/>
    </row>
    <row r="71" spans="2:12" ht="15" customHeight="1" x14ac:dyDescent="0.3">
      <c r="B71" s="369" t="s">
        <v>711</v>
      </c>
      <c r="E71" s="65">
        <f>FCFF!H43</f>
        <v>0</v>
      </c>
      <c r="F71" s="65">
        <f>FCFF!N43</f>
        <v>0</v>
      </c>
      <c r="G71" s="410">
        <f>FCFF!T43</f>
        <v>0</v>
      </c>
      <c r="H71" s="464">
        <f>+H72*H59</f>
        <v>0</v>
      </c>
      <c r="I71" s="464">
        <f t="shared" ref="I71:L71" si="10">+I72*I59</f>
        <v>0</v>
      </c>
      <c r="J71" s="464">
        <f t="shared" si="10"/>
        <v>0</v>
      </c>
      <c r="K71" s="464">
        <f t="shared" si="10"/>
        <v>0</v>
      </c>
      <c r="L71" s="464">
        <f t="shared" si="10"/>
        <v>0</v>
      </c>
    </row>
    <row r="72" spans="2:12" s="449" customFormat="1" ht="15" customHeight="1" x14ac:dyDescent="0.3">
      <c r="B72" s="29" t="s">
        <v>707</v>
      </c>
      <c r="C72" s="24"/>
      <c r="D72" s="24"/>
      <c r="E72" s="305">
        <f>E71/E59</f>
        <v>0</v>
      </c>
      <c r="F72" s="305">
        <f t="shared" ref="F72:G72" si="11">F71/F59</f>
        <v>0</v>
      </c>
      <c r="G72" s="408">
        <f t="shared" si="11"/>
        <v>0</v>
      </c>
      <c r="H72" s="465"/>
      <c r="I72" s="465"/>
      <c r="J72" s="465"/>
      <c r="K72" s="465"/>
      <c r="L72" s="466"/>
    </row>
    <row r="73" spans="2:12" s="470" customFormat="1" ht="15" customHeight="1" x14ac:dyDescent="0.3">
      <c r="B73" s="393"/>
      <c r="C73" s="468"/>
      <c r="D73" s="468"/>
      <c r="E73" s="63"/>
      <c r="F73" s="63"/>
      <c r="G73" s="409"/>
      <c r="H73" s="469"/>
      <c r="I73" s="469"/>
      <c r="J73" s="469"/>
      <c r="K73" s="469"/>
      <c r="L73" s="469"/>
    </row>
    <row r="74" spans="2:12" ht="15" customHeight="1" x14ac:dyDescent="0.3">
      <c r="B74" s="369" t="s">
        <v>712</v>
      </c>
      <c r="E74" s="65">
        <f>FCFF!H46</f>
        <v>0</v>
      </c>
      <c r="F74" s="65">
        <f>FCFF!N46</f>
        <v>0</v>
      </c>
      <c r="G74" s="410">
        <f>FCFF!T46</f>
        <v>0</v>
      </c>
      <c r="H74" s="464">
        <f>+H75*H68</f>
        <v>0</v>
      </c>
      <c r="I74" s="464">
        <f t="shared" ref="I74:L74" si="12">+I75*I68</f>
        <v>0</v>
      </c>
      <c r="J74" s="464">
        <f t="shared" si="12"/>
        <v>0</v>
      </c>
      <c r="K74" s="464">
        <f t="shared" si="12"/>
        <v>0</v>
      </c>
      <c r="L74" s="464">
        <f t="shared" si="12"/>
        <v>0</v>
      </c>
    </row>
    <row r="75" spans="2:12" ht="15" customHeight="1" x14ac:dyDescent="0.3">
      <c r="B75" s="29" t="s">
        <v>713</v>
      </c>
      <c r="E75" s="305">
        <f>E74/E68</f>
        <v>0</v>
      </c>
      <c r="F75" s="305">
        <f t="shared" ref="F75" si="13">F74/F68</f>
        <v>0</v>
      </c>
      <c r="G75" s="408">
        <f>G74/G68</f>
        <v>0</v>
      </c>
      <c r="H75" s="465"/>
      <c r="I75" s="465"/>
      <c r="J75" s="465"/>
      <c r="K75" s="465"/>
      <c r="L75" s="465"/>
    </row>
    <row r="76" spans="2:12" ht="15" customHeight="1" x14ac:dyDescent="0.3">
      <c r="B76" s="29"/>
      <c r="E76" s="63"/>
      <c r="F76" s="63"/>
      <c r="G76" s="409"/>
      <c r="H76" s="424"/>
      <c r="I76" s="424"/>
      <c r="J76" s="424"/>
      <c r="K76" s="424"/>
      <c r="L76" s="424"/>
    </row>
    <row r="77" spans="2:12" ht="15" customHeight="1" x14ac:dyDescent="0.3">
      <c r="B77" s="369" t="s">
        <v>714</v>
      </c>
      <c r="E77" s="65">
        <f>FCFF!H49</f>
        <v>2246</v>
      </c>
      <c r="F77" s="65">
        <f>FCFF!N49</f>
        <v>2318</v>
      </c>
      <c r="G77" s="410">
        <f>FCFF!T49</f>
        <v>2398</v>
      </c>
      <c r="H77" s="464">
        <f>+H80+H83</f>
        <v>0</v>
      </c>
      <c r="I77" s="464">
        <f t="shared" ref="I77:L77" si="14">+I80+I83</f>
        <v>0</v>
      </c>
      <c r="J77" s="464">
        <f t="shared" si="14"/>
        <v>0</v>
      </c>
      <c r="K77" s="464">
        <f t="shared" si="14"/>
        <v>0</v>
      </c>
      <c r="L77" s="464">
        <f t="shared" si="14"/>
        <v>0</v>
      </c>
    </row>
    <row r="78" spans="2:12" s="449" customFormat="1" ht="15" customHeight="1" x14ac:dyDescent="0.3">
      <c r="B78" s="29" t="s">
        <v>715</v>
      </c>
      <c r="C78" s="24"/>
      <c r="D78" s="24"/>
      <c r="E78" s="305">
        <f>E77/(E111+E114)</f>
        <v>3.8918731588979377E-2</v>
      </c>
      <c r="F78" s="305">
        <f>F77/(F111+F114)</f>
        <v>3.9260852627834894E-2</v>
      </c>
      <c r="G78" s="408">
        <f>G77/(G111+G114)</f>
        <v>4.0207914151576124E-2</v>
      </c>
      <c r="H78" s="305">
        <f t="shared" ref="H78:L78" si="15">H77/(H111+H114)</f>
        <v>0</v>
      </c>
      <c r="I78" s="305">
        <f t="shared" si="15"/>
        <v>0</v>
      </c>
      <c r="J78" s="305">
        <f t="shared" si="15"/>
        <v>0</v>
      </c>
      <c r="K78" s="305">
        <f t="shared" si="15"/>
        <v>0</v>
      </c>
      <c r="L78" s="305">
        <f t="shared" si="15"/>
        <v>0</v>
      </c>
    </row>
    <row r="79" spans="2:12" ht="15" customHeight="1" x14ac:dyDescent="0.3">
      <c r="B79" s="29"/>
      <c r="E79" s="305"/>
      <c r="F79" s="305"/>
      <c r="G79" s="408"/>
      <c r="H79" s="471"/>
      <c r="I79" s="471"/>
      <c r="J79" s="471"/>
      <c r="K79" s="471"/>
      <c r="L79" s="471"/>
    </row>
    <row r="80" spans="2:12" ht="15" customHeight="1" x14ac:dyDescent="0.3">
      <c r="B80" s="472" t="s">
        <v>716</v>
      </c>
      <c r="E80" s="65">
        <f>FCFF!H52</f>
        <v>0</v>
      </c>
      <c r="F80" s="65">
        <f>FCFF!N52</f>
        <v>0</v>
      </c>
      <c r="G80" s="410">
        <f>FCFF!T52</f>
        <v>0</v>
      </c>
      <c r="H80" s="473">
        <f>H81*G111</f>
        <v>0</v>
      </c>
      <c r="I80" s="473">
        <f t="shared" ref="I80:L80" si="16">I81*H111</f>
        <v>0</v>
      </c>
      <c r="J80" s="473">
        <f t="shared" si="16"/>
        <v>0</v>
      </c>
      <c r="K80" s="473">
        <f t="shared" si="16"/>
        <v>0</v>
      </c>
      <c r="L80" s="473">
        <f t="shared" si="16"/>
        <v>0</v>
      </c>
    </row>
    <row r="81" spans="2:12" ht="15" customHeight="1" x14ac:dyDescent="0.3">
      <c r="B81" s="299" t="s">
        <v>717</v>
      </c>
      <c r="E81" s="305">
        <f>E80/E111</f>
        <v>0</v>
      </c>
      <c r="F81" s="305">
        <f>FCFF!N53</f>
        <v>0</v>
      </c>
      <c r="G81" s="408">
        <f>FCFF!T53</f>
        <v>0</v>
      </c>
      <c r="H81" s="465"/>
      <c r="I81" s="465"/>
      <c r="J81" s="465"/>
      <c r="K81" s="465"/>
      <c r="L81" s="465"/>
    </row>
    <row r="82" spans="2:12" ht="15" customHeight="1" x14ac:dyDescent="0.3">
      <c r="B82" s="29"/>
      <c r="E82" s="305"/>
      <c r="F82" s="305"/>
      <c r="G82" s="408"/>
    </row>
    <row r="83" spans="2:12" ht="15" customHeight="1" x14ac:dyDescent="0.3">
      <c r="B83" s="472" t="s">
        <v>718</v>
      </c>
      <c r="E83" s="65">
        <f>FCFF!H55</f>
        <v>0</v>
      </c>
      <c r="F83" s="65">
        <f>FCFF!N55</f>
        <v>0</v>
      </c>
      <c r="G83" s="410">
        <f>FCFF!T55</f>
        <v>0</v>
      </c>
      <c r="H83" s="464">
        <f>H84*G114</f>
        <v>0</v>
      </c>
      <c r="I83" s="464">
        <f t="shared" ref="I83:L83" si="17">I84*H114</f>
        <v>0</v>
      </c>
      <c r="J83" s="464">
        <f t="shared" si="17"/>
        <v>0</v>
      </c>
      <c r="K83" s="464">
        <f t="shared" si="17"/>
        <v>0</v>
      </c>
      <c r="L83" s="464">
        <f t="shared" si="17"/>
        <v>0</v>
      </c>
    </row>
    <row r="84" spans="2:12" ht="15" customHeight="1" x14ac:dyDescent="0.3">
      <c r="B84" s="299" t="s">
        <v>719</v>
      </c>
      <c r="C84" s="474"/>
      <c r="D84" s="474"/>
      <c r="E84" s="305" t="e">
        <f>E83/E114</f>
        <v>#DIV/0!</v>
      </c>
      <c r="F84" s="305" t="e">
        <f>F83/F114</f>
        <v>#DIV/0!</v>
      </c>
      <c r="G84" s="408" t="e">
        <f>G83/G114</f>
        <v>#DIV/0!</v>
      </c>
      <c r="H84" s="465"/>
      <c r="I84" s="465"/>
      <c r="J84" s="465"/>
      <c r="K84" s="465"/>
      <c r="L84" s="466"/>
    </row>
    <row r="85" spans="2:12" ht="15" customHeight="1" x14ac:dyDescent="0.3">
      <c r="B85" s="475"/>
      <c r="C85" s="474"/>
      <c r="D85" s="474"/>
      <c r="E85" s="63"/>
      <c r="F85" s="63"/>
      <c r="G85" s="409"/>
      <c r="H85" s="467"/>
      <c r="I85" s="467"/>
      <c r="J85" s="467"/>
      <c r="K85" s="467"/>
      <c r="L85" s="467"/>
    </row>
    <row r="86" spans="2:12" ht="15" customHeight="1" x14ac:dyDescent="0.3">
      <c r="B86" s="369" t="s">
        <v>721</v>
      </c>
      <c r="C86" s="474"/>
      <c r="D86" s="474"/>
      <c r="E86" s="65">
        <f>FCFF!H61</f>
        <v>10009</v>
      </c>
      <c r="F86" s="65">
        <f>FCFF!N61</f>
        <v>9082</v>
      </c>
      <c r="G86" s="410">
        <f>FCFF!T61</f>
        <v>9713</v>
      </c>
      <c r="H86" s="464">
        <f>H68-H71-H74-H77</f>
        <v>0</v>
      </c>
      <c r="I86" s="464">
        <f t="shared" ref="I86:L86" si="18">I68-I71-I74-I77</f>
        <v>0</v>
      </c>
      <c r="J86" s="464">
        <f t="shared" si="18"/>
        <v>0</v>
      </c>
      <c r="K86" s="464">
        <f t="shared" si="18"/>
        <v>0</v>
      </c>
      <c r="L86" s="464">
        <f t="shared" si="18"/>
        <v>0</v>
      </c>
    </row>
    <row r="87" spans="2:12" ht="15" customHeight="1" x14ac:dyDescent="0.3">
      <c r="B87" s="29" t="s">
        <v>707</v>
      </c>
      <c r="C87" s="474"/>
      <c r="D87" s="474"/>
      <c r="E87" s="305">
        <f t="shared" ref="E87:L87" si="19">E86/E59</f>
        <v>0.40237185929648239</v>
      </c>
      <c r="F87" s="305">
        <f t="shared" si="19"/>
        <v>0.37654960819271116</v>
      </c>
      <c r="G87" s="408">
        <f t="shared" si="19"/>
        <v>0.40053608247422678</v>
      </c>
      <c r="H87" s="305" t="e">
        <f t="shared" si="19"/>
        <v>#DIV/0!</v>
      </c>
      <c r="I87" s="305" t="e">
        <f t="shared" si="19"/>
        <v>#DIV/0!</v>
      </c>
      <c r="J87" s="305" t="e">
        <f t="shared" si="19"/>
        <v>#DIV/0!</v>
      </c>
      <c r="K87" s="305" t="e">
        <f t="shared" si="19"/>
        <v>#DIV/0!</v>
      </c>
      <c r="L87" s="305" t="e">
        <f t="shared" si="19"/>
        <v>#DIV/0!</v>
      </c>
    </row>
    <row r="88" spans="2:12" ht="15" customHeight="1" x14ac:dyDescent="0.3">
      <c r="B88" s="29"/>
      <c r="C88" s="474"/>
      <c r="D88" s="474"/>
      <c r="E88" s="467"/>
      <c r="F88" s="467"/>
      <c r="G88" s="476"/>
      <c r="H88" s="467"/>
      <c r="I88" s="467"/>
      <c r="J88" s="467"/>
      <c r="K88" s="467"/>
      <c r="L88" s="467"/>
    </row>
    <row r="89" spans="2:12" ht="15" customHeight="1" x14ac:dyDescent="0.3">
      <c r="B89" s="369" t="s">
        <v>878</v>
      </c>
      <c r="C89" s="474"/>
      <c r="D89" s="474"/>
      <c r="E89" s="65">
        <f>IS!T38</f>
        <v>0</v>
      </c>
      <c r="F89" s="65">
        <f>IS!Z38</f>
        <v>1340</v>
      </c>
      <c r="G89" s="410">
        <f>IS!AF38</f>
        <v>1269</v>
      </c>
      <c r="H89" s="63">
        <f>+H164</f>
        <v>0</v>
      </c>
      <c r="I89" s="63">
        <f t="shared" ref="I89:L89" si="20">+I164</f>
        <v>0</v>
      </c>
      <c r="J89" s="63">
        <f t="shared" si="20"/>
        <v>0</v>
      </c>
      <c r="K89" s="63">
        <f t="shared" si="20"/>
        <v>0</v>
      </c>
      <c r="L89" s="63">
        <f t="shared" si="20"/>
        <v>0</v>
      </c>
    </row>
    <row r="90" spans="2:12" ht="15" customHeight="1" x14ac:dyDescent="0.3">
      <c r="B90" s="369"/>
      <c r="C90" s="474"/>
      <c r="D90" s="474"/>
      <c r="E90" s="467"/>
      <c r="F90" s="467"/>
      <c r="G90" s="476"/>
      <c r="H90" s="467"/>
      <c r="I90" s="467"/>
      <c r="J90" s="467"/>
      <c r="K90" s="467"/>
      <c r="L90" s="467"/>
    </row>
    <row r="91" spans="2:12" ht="15" customHeight="1" x14ac:dyDescent="0.3">
      <c r="B91" s="369" t="s">
        <v>879</v>
      </c>
      <c r="C91" s="474"/>
      <c r="D91" s="474"/>
      <c r="E91" s="65">
        <f>IS!T42</f>
        <v>9164</v>
      </c>
      <c r="F91" s="65">
        <f>IS!Z42</f>
        <v>8233</v>
      </c>
      <c r="G91" s="410">
        <f>IS!AF42</f>
        <v>8794</v>
      </c>
      <c r="H91" s="63">
        <f>+H86-H89</f>
        <v>0</v>
      </c>
      <c r="I91" s="63">
        <f t="shared" ref="I91:L91" si="21">+I86-I89</f>
        <v>0</v>
      </c>
      <c r="J91" s="63">
        <f t="shared" si="21"/>
        <v>0</v>
      </c>
      <c r="K91" s="63">
        <f t="shared" si="21"/>
        <v>0</v>
      </c>
      <c r="L91" s="63">
        <f t="shared" si="21"/>
        <v>0</v>
      </c>
    </row>
    <row r="92" spans="2:12" ht="15" customHeight="1" x14ac:dyDescent="0.3">
      <c r="B92" s="29" t="s">
        <v>707</v>
      </c>
      <c r="C92" s="474"/>
      <c r="D92" s="474"/>
      <c r="E92" s="467">
        <f t="shared" ref="E92:L92" si="22">E91/E59</f>
        <v>0.36840201005025125</v>
      </c>
      <c r="F92" s="467">
        <f t="shared" si="22"/>
        <v>0.34134914382851694</v>
      </c>
      <c r="G92" s="477">
        <f t="shared" si="22"/>
        <v>0.36263917525773198</v>
      </c>
      <c r="H92" s="467" t="e">
        <f t="shared" si="22"/>
        <v>#DIV/0!</v>
      </c>
      <c r="I92" s="467" t="e">
        <f t="shared" si="22"/>
        <v>#DIV/0!</v>
      </c>
      <c r="J92" s="467" t="e">
        <f t="shared" si="22"/>
        <v>#DIV/0!</v>
      </c>
      <c r="K92" s="467" t="e">
        <f t="shared" si="22"/>
        <v>#DIV/0!</v>
      </c>
      <c r="L92" s="467" t="e">
        <f t="shared" si="22"/>
        <v>#DIV/0!</v>
      </c>
    </row>
    <row r="93" spans="2:12" ht="15" customHeight="1" x14ac:dyDescent="0.3">
      <c r="B93" s="73"/>
      <c r="C93" s="474"/>
      <c r="D93" s="474"/>
      <c r="E93" s="467"/>
      <c r="F93" s="467"/>
      <c r="G93" s="477"/>
      <c r="H93" s="467"/>
      <c r="I93" s="467"/>
      <c r="J93" s="467"/>
      <c r="K93" s="467"/>
      <c r="L93" s="467"/>
    </row>
    <row r="94" spans="2:12" ht="15" customHeight="1" x14ac:dyDescent="0.3">
      <c r="B94" s="369" t="s">
        <v>880</v>
      </c>
      <c r="C94" s="474"/>
      <c r="D94" s="474"/>
      <c r="E94" s="65">
        <f>IS!T45</f>
        <v>2097</v>
      </c>
      <c r="F94" s="65">
        <f>IS!Z45</f>
        <v>1854</v>
      </c>
      <c r="G94" s="410">
        <f>IS!AF45</f>
        <v>2047</v>
      </c>
      <c r="H94" s="63">
        <f>H95*H91</f>
        <v>0</v>
      </c>
      <c r="I94" s="63">
        <f t="shared" ref="I94:L94" si="23">I95*I91</f>
        <v>0</v>
      </c>
      <c r="J94" s="63">
        <f t="shared" si="23"/>
        <v>0</v>
      </c>
      <c r="K94" s="63">
        <f t="shared" si="23"/>
        <v>0</v>
      </c>
      <c r="L94" s="63">
        <f t="shared" si="23"/>
        <v>0</v>
      </c>
    </row>
    <row r="95" spans="2:12" ht="15" customHeight="1" x14ac:dyDescent="0.3">
      <c r="B95" s="29" t="s">
        <v>881</v>
      </c>
      <c r="C95" s="474"/>
      <c r="D95" s="474"/>
      <c r="E95" s="467">
        <f>E94/E91</f>
        <v>0.22883020515058927</v>
      </c>
      <c r="F95" s="467">
        <f t="shared" ref="F95:G95" si="24">F94/F91</f>
        <v>0.22519130329163123</v>
      </c>
      <c r="G95" s="478">
        <f t="shared" si="24"/>
        <v>0.23277234478053219</v>
      </c>
      <c r="H95" s="465"/>
      <c r="I95" s="465"/>
      <c r="J95" s="465"/>
      <c r="K95" s="465"/>
      <c r="L95" s="466"/>
    </row>
    <row r="96" spans="2:12" ht="15" customHeight="1" x14ac:dyDescent="0.3">
      <c r="G96" s="202"/>
    </row>
    <row r="97" spans="1:12" ht="15" customHeight="1" x14ac:dyDescent="0.3">
      <c r="B97" s="369" t="s">
        <v>882</v>
      </c>
      <c r="C97" s="474"/>
      <c r="D97" s="474"/>
      <c r="E97" s="65">
        <f>IS!T47</f>
        <v>7067</v>
      </c>
      <c r="F97" s="65">
        <f>IS!Z47</f>
        <v>6379</v>
      </c>
      <c r="G97" s="410">
        <f>IS!AF47</f>
        <v>6747</v>
      </c>
      <c r="H97" s="63">
        <f>H91-H94</f>
        <v>0</v>
      </c>
      <c r="I97" s="63">
        <f t="shared" ref="I97:L97" si="25">I91-I94</f>
        <v>0</v>
      </c>
      <c r="J97" s="63">
        <f t="shared" si="25"/>
        <v>0</v>
      </c>
      <c r="K97" s="63">
        <f t="shared" si="25"/>
        <v>0</v>
      </c>
      <c r="L97" s="63">
        <f t="shared" si="25"/>
        <v>0</v>
      </c>
    </row>
    <row r="98" spans="1:12" ht="15" customHeight="1" x14ac:dyDescent="0.3">
      <c r="B98" s="29" t="s">
        <v>707</v>
      </c>
      <c r="C98" s="474"/>
      <c r="D98" s="474"/>
      <c r="E98" s="467">
        <f t="shared" ref="E98:L98" si="26">E97/E59</f>
        <v>0.2841005025125628</v>
      </c>
      <c r="F98" s="467">
        <f t="shared" si="26"/>
        <v>0.26448028525229073</v>
      </c>
      <c r="G98" s="477">
        <f t="shared" si="26"/>
        <v>0.27822680412371131</v>
      </c>
      <c r="H98" s="467" t="e">
        <f t="shared" si="26"/>
        <v>#DIV/0!</v>
      </c>
      <c r="I98" s="467" t="e">
        <f t="shared" si="26"/>
        <v>#DIV/0!</v>
      </c>
      <c r="J98" s="467" t="e">
        <f t="shared" si="26"/>
        <v>#DIV/0!</v>
      </c>
      <c r="K98" s="467" t="e">
        <f t="shared" si="26"/>
        <v>#DIV/0!</v>
      </c>
      <c r="L98" s="467" t="e">
        <f t="shared" si="26"/>
        <v>#DIV/0!</v>
      </c>
    </row>
    <row r="99" spans="1:12" ht="15" customHeight="1" x14ac:dyDescent="0.3">
      <c r="B99" s="29"/>
      <c r="C99" s="474"/>
      <c r="D99" s="474"/>
      <c r="E99" s="479"/>
      <c r="F99" s="479"/>
      <c r="G99" s="480"/>
      <c r="H99" s="467"/>
      <c r="I99" s="467"/>
      <c r="J99" s="467"/>
      <c r="K99" s="467"/>
      <c r="L99" s="467"/>
    </row>
    <row r="100" spans="1:12" ht="15" customHeight="1" x14ac:dyDescent="0.3">
      <c r="A100" s="374" t="s">
        <v>39</v>
      </c>
      <c r="B100" s="366" t="s">
        <v>724</v>
      </c>
      <c r="C100" s="30"/>
      <c r="D100" s="30"/>
      <c r="E100" s="444">
        <f t="shared" ref="E100:L100" si="27">E57</f>
        <v>2022</v>
      </c>
      <c r="F100" s="444">
        <f t="shared" si="27"/>
        <v>2023</v>
      </c>
      <c r="G100" s="444">
        <f t="shared" si="27"/>
        <v>2024</v>
      </c>
      <c r="H100" s="445">
        <f t="shared" si="27"/>
        <v>2025</v>
      </c>
      <c r="I100" s="445">
        <f t="shared" si="27"/>
        <v>2026</v>
      </c>
      <c r="J100" s="445">
        <f t="shared" si="27"/>
        <v>2027</v>
      </c>
      <c r="K100" s="445">
        <f t="shared" si="27"/>
        <v>2028</v>
      </c>
      <c r="L100" s="445">
        <f t="shared" si="27"/>
        <v>2029</v>
      </c>
    </row>
    <row r="101" spans="1:12" ht="4" customHeight="1" x14ac:dyDescent="0.3">
      <c r="B101" s="481"/>
      <c r="C101" s="34"/>
      <c r="D101" s="34"/>
      <c r="E101" s="34"/>
      <c r="F101" s="34"/>
      <c r="G101" s="34"/>
      <c r="H101" s="34"/>
      <c r="I101" s="34"/>
      <c r="J101" s="34"/>
      <c r="K101" s="34"/>
      <c r="L101" s="34"/>
    </row>
    <row r="102" spans="1:12" ht="15" customHeight="1" x14ac:dyDescent="0.3">
      <c r="B102" s="369" t="s">
        <v>753</v>
      </c>
      <c r="E102" s="65">
        <f>FCFF!H70</f>
        <v>1891</v>
      </c>
      <c r="F102" s="65">
        <f>FCFF!N70</f>
        <v>2073</v>
      </c>
      <c r="G102" s="410">
        <f>FCFF!T70</f>
        <v>1894</v>
      </c>
      <c r="H102" s="482">
        <f>+H103*H59/365</f>
        <v>0</v>
      </c>
      <c r="I102" s="482">
        <f t="shared" ref="I102:L102" si="28">+I103*I59/365</f>
        <v>0</v>
      </c>
      <c r="J102" s="482">
        <f t="shared" si="28"/>
        <v>0</v>
      </c>
      <c r="K102" s="482">
        <f>+K103*K59/366</f>
        <v>0</v>
      </c>
      <c r="L102" s="482">
        <f t="shared" si="28"/>
        <v>0</v>
      </c>
    </row>
    <row r="103" spans="1:12" ht="15" customHeight="1" x14ac:dyDescent="0.3">
      <c r="B103" s="29" t="s">
        <v>754</v>
      </c>
      <c r="E103" s="319">
        <f>FCFF!H71</f>
        <v>27.747336683417085</v>
      </c>
      <c r="F103" s="319">
        <f>FCFF!N71</f>
        <v>31.371325511007921</v>
      </c>
      <c r="G103" s="411">
        <f>FCFF!T71</f>
        <v>28.507628865979378</v>
      </c>
      <c r="H103" s="483"/>
      <c r="I103" s="483"/>
      <c r="J103" s="483"/>
      <c r="K103" s="483"/>
      <c r="L103" s="483"/>
    </row>
    <row r="104" spans="1:12" ht="15" customHeight="1" x14ac:dyDescent="0.3">
      <c r="B104" s="369"/>
      <c r="E104" s="94"/>
      <c r="F104" s="94"/>
      <c r="G104" s="412"/>
      <c r="H104" s="482"/>
      <c r="I104" s="482"/>
      <c r="J104" s="482"/>
      <c r="K104" s="482"/>
      <c r="L104" s="482"/>
    </row>
    <row r="105" spans="1:12" ht="15" customHeight="1" x14ac:dyDescent="0.3">
      <c r="B105" s="369" t="s">
        <v>755</v>
      </c>
      <c r="E105" s="65">
        <f>FCFF!H73</f>
        <v>741</v>
      </c>
      <c r="F105" s="65">
        <f>FCFF!N73</f>
        <v>743</v>
      </c>
      <c r="G105" s="410">
        <f>FCFF!T73</f>
        <v>769</v>
      </c>
      <c r="H105" s="482">
        <f>+H106*H59</f>
        <v>0</v>
      </c>
      <c r="I105" s="482">
        <f t="shared" ref="I105:L105" si="29">+I106*I59</f>
        <v>0</v>
      </c>
      <c r="J105" s="482">
        <f t="shared" si="29"/>
        <v>0</v>
      </c>
      <c r="K105" s="482">
        <f t="shared" si="29"/>
        <v>0</v>
      </c>
      <c r="L105" s="482">
        <f t="shared" si="29"/>
        <v>0</v>
      </c>
    </row>
    <row r="106" spans="1:12" ht="15" customHeight="1" x14ac:dyDescent="0.3">
      <c r="B106" s="29" t="s">
        <v>756</v>
      </c>
      <c r="E106" s="305">
        <f>FCFF!H74</f>
        <v>2.978894472361809E-2</v>
      </c>
      <c r="F106" s="305">
        <f>FCFF!N74</f>
        <v>3.0805588954765952E-2</v>
      </c>
      <c r="G106" s="408">
        <f>FCFF!T74</f>
        <v>3.1711340206185566E-2</v>
      </c>
      <c r="H106" s="465"/>
      <c r="I106" s="465"/>
      <c r="J106" s="465"/>
      <c r="K106" s="465"/>
      <c r="L106" s="465"/>
    </row>
    <row r="107" spans="1:12" ht="15" customHeight="1" x14ac:dyDescent="0.3">
      <c r="B107" s="369"/>
      <c r="E107" s="94"/>
      <c r="F107" s="94"/>
      <c r="G107" s="412"/>
    </row>
    <row r="108" spans="1:12" ht="15" customHeight="1" x14ac:dyDescent="0.3">
      <c r="B108" s="369" t="s">
        <v>757</v>
      </c>
      <c r="E108" s="65">
        <f>FCFF!H76</f>
        <v>301</v>
      </c>
      <c r="F108" s="65">
        <f>FCFF!N76</f>
        <v>261</v>
      </c>
      <c r="G108" s="410">
        <f>FCFF!T76</f>
        <v>322</v>
      </c>
      <c r="H108" s="482">
        <f>+H109*H59</f>
        <v>0</v>
      </c>
      <c r="I108" s="482">
        <f t="shared" ref="I108:L108" si="30">+I109*I59</f>
        <v>0</v>
      </c>
      <c r="J108" s="482">
        <f t="shared" si="30"/>
        <v>0</v>
      </c>
      <c r="K108" s="482">
        <f t="shared" si="30"/>
        <v>0</v>
      </c>
      <c r="L108" s="482">
        <f t="shared" si="30"/>
        <v>0</v>
      </c>
    </row>
    <row r="109" spans="1:12" s="449" customFormat="1" ht="15" customHeight="1" x14ac:dyDescent="0.3">
      <c r="A109" s="374"/>
      <c r="B109" s="29" t="s">
        <v>707</v>
      </c>
      <c r="C109" s="24"/>
      <c r="D109" s="24"/>
      <c r="E109" s="305">
        <f>FCFF!H77</f>
        <v>1.2100502512562814E-2</v>
      </c>
      <c r="F109" s="305">
        <f>FCFF!N77</f>
        <v>1.0821344168497865E-2</v>
      </c>
      <c r="G109" s="408">
        <f>FCFF!T77</f>
        <v>1.3278350515463918E-2</v>
      </c>
      <c r="H109" s="465"/>
      <c r="I109" s="465"/>
      <c r="J109" s="465"/>
      <c r="K109" s="465"/>
      <c r="L109" s="465"/>
    </row>
    <row r="110" spans="1:12" ht="15" customHeight="1" x14ac:dyDescent="0.3">
      <c r="B110" s="369"/>
      <c r="E110" s="94"/>
      <c r="F110" s="94"/>
      <c r="G110" s="412"/>
      <c r="H110" s="482"/>
      <c r="I110" s="482"/>
      <c r="J110" s="482"/>
      <c r="K110" s="482"/>
      <c r="L110" s="482"/>
    </row>
    <row r="111" spans="1:12" ht="15" customHeight="1" x14ac:dyDescent="0.3">
      <c r="B111" s="369" t="s">
        <v>758</v>
      </c>
      <c r="E111" s="65">
        <f>FCFF!H79</f>
        <v>57710</v>
      </c>
      <c r="F111" s="65">
        <f>FCFF!N79</f>
        <v>59041</v>
      </c>
      <c r="G111" s="410">
        <f>FCFF!T79</f>
        <v>59640</v>
      </c>
      <c r="H111" s="63">
        <f>+G111-H112*H131-H80-H65</f>
        <v>59640</v>
      </c>
      <c r="I111" s="63">
        <f t="shared" ref="I111:L111" si="31">+H111-I112*I131-I80-I65</f>
        <v>59640</v>
      </c>
      <c r="J111" s="63">
        <f t="shared" si="31"/>
        <v>59640</v>
      </c>
      <c r="K111" s="63">
        <f t="shared" si="31"/>
        <v>59640</v>
      </c>
      <c r="L111" s="63">
        <f t="shared" si="31"/>
        <v>59640</v>
      </c>
    </row>
    <row r="112" spans="1:12" ht="15" customHeight="1" x14ac:dyDescent="0.3">
      <c r="B112" s="29" t="s">
        <v>759</v>
      </c>
      <c r="E112" s="305">
        <f>FCFF!H80</f>
        <v>0</v>
      </c>
      <c r="F112" s="305">
        <f>FCFF!N80</f>
        <v>0</v>
      </c>
      <c r="G112" s="408">
        <f>FCFF!T80</f>
        <v>0</v>
      </c>
      <c r="H112" s="465"/>
      <c r="I112" s="465"/>
      <c r="J112" s="465"/>
      <c r="K112" s="465"/>
      <c r="L112" s="465"/>
    </row>
    <row r="113" spans="1:12" ht="15" customHeight="1" x14ac:dyDescent="0.3">
      <c r="G113" s="202"/>
    </row>
    <row r="114" spans="1:12" ht="15" customHeight="1" x14ac:dyDescent="0.3">
      <c r="B114" s="369" t="s">
        <v>883</v>
      </c>
      <c r="E114" s="65">
        <f>FCFF!H82</f>
        <v>0</v>
      </c>
      <c r="F114" s="65">
        <f>FCFF!N82</f>
        <v>0</v>
      </c>
      <c r="G114" s="410">
        <f>FCFF!T82</f>
        <v>0</v>
      </c>
      <c r="H114" s="63">
        <f>+G114+H115*H74-(1-H112)*H131-H83</f>
        <v>0</v>
      </c>
      <c r="I114" s="63">
        <f>+H114+I115*I74-(1-I112)*I131-I83</f>
        <v>0</v>
      </c>
      <c r="J114" s="63">
        <f>+I114+J115*J74-(1-J112)*J131-J83</f>
        <v>0</v>
      </c>
      <c r="K114" s="63">
        <f>+J114+K115*K74-(1-K112)*K131-K83</f>
        <v>0</v>
      </c>
      <c r="L114" s="63">
        <f>+K114+L115*L74-(1-L112)*L131-L83</f>
        <v>0</v>
      </c>
    </row>
    <row r="115" spans="1:12" ht="15" customHeight="1" x14ac:dyDescent="0.3">
      <c r="B115" s="29" t="s">
        <v>884</v>
      </c>
      <c r="E115" s="305" t="str">
        <f>FCFF!H83</f>
        <v/>
      </c>
      <c r="F115" s="305" t="str">
        <f>FCFF!N83</f>
        <v/>
      </c>
      <c r="G115" s="408" t="str">
        <f>FCFF!T83</f>
        <v/>
      </c>
      <c r="H115" s="465"/>
      <c r="I115" s="465"/>
      <c r="J115" s="465"/>
      <c r="K115" s="465"/>
      <c r="L115" s="465"/>
    </row>
    <row r="116" spans="1:12" s="449" customFormat="1" ht="15" customHeight="1" x14ac:dyDescent="0.3">
      <c r="A116" s="374"/>
      <c r="B116" s="94"/>
      <c r="C116" s="20"/>
      <c r="D116" s="20"/>
      <c r="E116" s="94"/>
      <c r="F116" s="94"/>
      <c r="G116" s="412"/>
      <c r="H116" s="482"/>
      <c r="I116" s="482"/>
      <c r="J116" s="482"/>
      <c r="K116" s="482"/>
      <c r="L116" s="482"/>
    </row>
    <row r="117" spans="1:12" ht="15" customHeight="1" x14ac:dyDescent="0.3">
      <c r="B117" s="369" t="s">
        <v>762</v>
      </c>
      <c r="E117" s="65">
        <f>FCFF!H85</f>
        <v>3080</v>
      </c>
      <c r="F117" s="65">
        <f>FCFF!N85</f>
        <v>2868</v>
      </c>
      <c r="G117" s="410">
        <f>FCFF!T85</f>
        <v>2870</v>
      </c>
      <c r="H117" s="63">
        <f>+H118*H62/365</f>
        <v>0</v>
      </c>
      <c r="I117" s="63">
        <f t="shared" ref="I117:L117" si="32">+I118*I62/365</f>
        <v>0</v>
      </c>
      <c r="J117" s="63">
        <f t="shared" si="32"/>
        <v>0</v>
      </c>
      <c r="K117" s="63">
        <f>+K118*K62/366</f>
        <v>0</v>
      </c>
      <c r="L117" s="63">
        <f t="shared" si="32"/>
        <v>0</v>
      </c>
    </row>
    <row r="118" spans="1:12" ht="15" customHeight="1" x14ac:dyDescent="0.3">
      <c r="B118" s="29" t="s">
        <v>885</v>
      </c>
      <c r="E118" s="319">
        <f>FCFF!H86</f>
        <v>0.24405705229793978</v>
      </c>
      <c r="F118" s="319">
        <f>FCFF!N86</f>
        <v>0.22548942526928217</v>
      </c>
      <c r="G118" s="411">
        <f>FCFF!T86</f>
        <v>0.23642804184858721</v>
      </c>
      <c r="H118" s="483"/>
      <c r="I118" s="483"/>
      <c r="J118" s="483"/>
      <c r="K118" s="483"/>
      <c r="L118" s="483"/>
    </row>
    <row r="119" spans="1:12" ht="15" customHeight="1" x14ac:dyDescent="0.3">
      <c r="B119" s="369"/>
      <c r="E119" s="94"/>
      <c r="F119" s="94"/>
      <c r="G119" s="412"/>
      <c r="H119" s="484"/>
      <c r="I119" s="484"/>
      <c r="J119" s="484"/>
      <c r="K119" s="484"/>
      <c r="L119" s="484"/>
    </row>
    <row r="120" spans="1:12" ht="15" customHeight="1" x14ac:dyDescent="0.3">
      <c r="B120" s="369" t="s">
        <v>764</v>
      </c>
      <c r="E120" s="65">
        <f>FCFF!H88</f>
        <v>431</v>
      </c>
      <c r="F120" s="65">
        <f>FCFF!N88</f>
        <v>460</v>
      </c>
      <c r="G120" s="410">
        <f>FCFF!T88</f>
        <v>613</v>
      </c>
      <c r="H120" s="63">
        <f>+H121*H71</f>
        <v>0</v>
      </c>
      <c r="I120" s="63">
        <f t="shared" ref="I120:L120" si="33">+I121*I71</f>
        <v>0</v>
      </c>
      <c r="J120" s="63">
        <f t="shared" si="33"/>
        <v>0</v>
      </c>
      <c r="K120" s="63">
        <f t="shared" si="33"/>
        <v>0</v>
      </c>
      <c r="L120" s="63">
        <f t="shared" si="33"/>
        <v>0</v>
      </c>
    </row>
    <row r="121" spans="1:12" ht="15" customHeight="1" x14ac:dyDescent="0.3">
      <c r="B121" s="29" t="s">
        <v>767</v>
      </c>
      <c r="E121" s="305">
        <f>FCFF!H89</f>
        <v>1.7326633165829147E-2</v>
      </c>
      <c r="F121" s="305">
        <f>FCFF!N89</f>
        <v>1.9072100833367883E-2</v>
      </c>
      <c r="G121" s="408">
        <f>FCFF!T89</f>
        <v>2.5278350515463916E-2</v>
      </c>
      <c r="H121" s="465"/>
      <c r="I121" s="465"/>
      <c r="J121" s="465"/>
      <c r="K121" s="465"/>
      <c r="L121" s="465"/>
    </row>
    <row r="122" spans="1:12" ht="15" customHeight="1" x14ac:dyDescent="0.3">
      <c r="B122" s="369"/>
      <c r="C122" s="474"/>
      <c r="D122" s="474"/>
      <c r="E122" s="467"/>
      <c r="F122" s="467"/>
      <c r="G122" s="477"/>
      <c r="H122" s="485"/>
      <c r="I122" s="485"/>
      <c r="J122" s="485"/>
      <c r="K122" s="485"/>
      <c r="L122" s="485"/>
    </row>
    <row r="123" spans="1:12" ht="15" customHeight="1" x14ac:dyDescent="0.3">
      <c r="A123" s="374" t="s">
        <v>39</v>
      </c>
      <c r="B123" s="366" t="s">
        <v>886</v>
      </c>
      <c r="C123" s="366"/>
      <c r="D123" s="366"/>
      <c r="E123" s="444">
        <f t="shared" ref="E123:L123" si="34">E57</f>
        <v>2022</v>
      </c>
      <c r="F123" s="444">
        <f t="shared" si="34"/>
        <v>2023</v>
      </c>
      <c r="G123" s="444">
        <f t="shared" si="34"/>
        <v>2024</v>
      </c>
      <c r="H123" s="445">
        <f t="shared" si="34"/>
        <v>2025</v>
      </c>
      <c r="I123" s="445">
        <f t="shared" si="34"/>
        <v>2026</v>
      </c>
      <c r="J123" s="445">
        <f t="shared" si="34"/>
        <v>2027</v>
      </c>
      <c r="K123" s="445">
        <f t="shared" si="34"/>
        <v>2028</v>
      </c>
      <c r="L123" s="445">
        <f t="shared" si="34"/>
        <v>2029</v>
      </c>
    </row>
    <row r="124" spans="1:12" ht="4" customHeight="1" x14ac:dyDescent="0.3">
      <c r="B124" s="34"/>
      <c r="C124" s="34"/>
      <c r="D124" s="34"/>
      <c r="E124" s="486"/>
      <c r="F124" s="486"/>
      <c r="G124" s="486"/>
      <c r="H124" s="34"/>
      <c r="I124" s="34"/>
      <c r="J124" s="34"/>
      <c r="K124" s="34"/>
      <c r="L124" s="34"/>
    </row>
    <row r="125" spans="1:12" ht="15" customHeight="1" x14ac:dyDescent="0.3">
      <c r="B125" s="369" t="s">
        <v>714</v>
      </c>
      <c r="E125" s="65">
        <f>FCFF!H94</f>
        <v>2246</v>
      </c>
      <c r="F125" s="65">
        <f>FCFF!N94</f>
        <v>2318</v>
      </c>
      <c r="G125" s="410">
        <f>FCFF!T94</f>
        <v>2398</v>
      </c>
      <c r="H125" s="487">
        <f>+H77+H65</f>
        <v>0</v>
      </c>
      <c r="I125" s="487">
        <f t="shared" ref="I125:L125" si="35">+I77+I65</f>
        <v>0</v>
      </c>
      <c r="J125" s="487">
        <f t="shared" si="35"/>
        <v>0</v>
      </c>
      <c r="K125" s="487">
        <f t="shared" si="35"/>
        <v>0</v>
      </c>
      <c r="L125" s="487">
        <f t="shared" si="35"/>
        <v>0</v>
      </c>
    </row>
    <row r="126" spans="1:12" ht="15" customHeight="1" x14ac:dyDescent="0.3">
      <c r="B126" s="29" t="s">
        <v>715</v>
      </c>
      <c r="E126" s="305">
        <f>FCFF!H95</f>
        <v>3.8918731588979377E-2</v>
      </c>
      <c r="F126" s="305">
        <f>FCFF!N95</f>
        <v>3.9260852627834894E-2</v>
      </c>
      <c r="G126" s="408">
        <f>FCFF!T95</f>
        <v>4.0207914151576124E-2</v>
      </c>
      <c r="H126" s="488">
        <f>+H125/(H111+H114)</f>
        <v>0</v>
      </c>
      <c r="I126" s="488">
        <f>+I125/(I111+I114)</f>
        <v>0</v>
      </c>
      <c r="J126" s="488">
        <f>+J125/(J111+J114)</f>
        <v>0</v>
      </c>
      <c r="K126" s="488">
        <f>+K125/(K111+K114)</f>
        <v>0</v>
      </c>
      <c r="L126" s="488">
        <f>+L125/(L111+L114)</f>
        <v>0</v>
      </c>
    </row>
    <row r="127" spans="1:12" s="337" customFormat="1" ht="15" customHeight="1" x14ac:dyDescent="0.3">
      <c r="A127" s="489"/>
      <c r="B127" s="94"/>
      <c r="C127" s="31"/>
      <c r="D127" s="31"/>
      <c r="E127" s="94"/>
      <c r="F127" s="94"/>
      <c r="G127" s="412"/>
      <c r="H127" s="31"/>
      <c r="I127" s="31"/>
      <c r="J127" s="31"/>
      <c r="K127" s="31"/>
      <c r="L127" s="31"/>
    </row>
    <row r="128" spans="1:12" ht="15" customHeight="1" x14ac:dyDescent="0.3">
      <c r="B128" s="369" t="s">
        <v>771</v>
      </c>
      <c r="E128" s="65">
        <f>FCFF!H103</f>
        <v>8</v>
      </c>
      <c r="F128" s="65">
        <f>FCFF!N103</f>
        <v>-303</v>
      </c>
      <c r="G128" s="410">
        <f>FCFF!T103</f>
        <v>186</v>
      </c>
      <c r="H128" s="490">
        <f>-((H102+H105+H108-H117-H120)-(G102+G105+G108-G117-G120))</f>
        <v>-498</v>
      </c>
      <c r="I128" s="490">
        <f>-((I102+I105+I108-I117-I120)-(H102+H105+H108-H117-H120))</f>
        <v>0</v>
      </c>
      <c r="J128" s="490">
        <f>-((J102+J105+J108-J117-J120)-(I102+I105+I108-I117-I120))</f>
        <v>0</v>
      </c>
      <c r="K128" s="490">
        <f>-((K102+K105+K108-K117-K120)-(J102+J105+J108-J117-J120))</f>
        <v>0</v>
      </c>
      <c r="L128" s="490">
        <f>-((L102+L105+L108-L117-L120)-(K102+K105+K108-K117-K120))</f>
        <v>0</v>
      </c>
    </row>
    <row r="129" spans="1:12" ht="15" customHeight="1" x14ac:dyDescent="0.3">
      <c r="B129" s="29" t="s">
        <v>772</v>
      </c>
      <c r="E129" s="305">
        <f>FCFF!H104</f>
        <v>3.6690515501742798E-4</v>
      </c>
      <c r="F129" s="305">
        <f>FCFF!N104</f>
        <v>-1.2180904522613065E-2</v>
      </c>
      <c r="G129" s="408">
        <f>FCFF!T104</f>
        <v>7.7117625108835356E-3</v>
      </c>
      <c r="H129" s="448">
        <f>H128/(H59-G59)</f>
        <v>2.0536082474226804E-2</v>
      </c>
      <c r="I129" s="448" t="e">
        <f>I128/(I59-H59)</f>
        <v>#DIV/0!</v>
      </c>
      <c r="J129" s="448" t="e">
        <f>J128/(J59-I59)</f>
        <v>#DIV/0!</v>
      </c>
      <c r="K129" s="448" t="e">
        <f>K128/(K59-J59)</f>
        <v>#DIV/0!</v>
      </c>
      <c r="L129" s="448" t="e">
        <f>L128/(L59-K59)</f>
        <v>#DIV/0!</v>
      </c>
    </row>
    <row r="130" spans="1:12" ht="15" customHeight="1" x14ac:dyDescent="0.3">
      <c r="B130" s="94"/>
      <c r="E130" s="94"/>
      <c r="F130" s="94"/>
      <c r="G130" s="412"/>
      <c r="H130" s="491"/>
      <c r="I130" s="491"/>
      <c r="J130" s="491"/>
      <c r="K130" s="491"/>
      <c r="L130" s="491"/>
    </row>
    <row r="131" spans="1:12" ht="15" customHeight="1" x14ac:dyDescent="0.3">
      <c r="B131" s="369" t="s">
        <v>782</v>
      </c>
      <c r="E131" s="65">
        <f>FCFF!H106+FCFF!H109</f>
        <v>-3426</v>
      </c>
      <c r="F131" s="65">
        <f>FCFF!N106+FCFF!N109</f>
        <v>-3606</v>
      </c>
      <c r="G131" s="410">
        <f>FCFF!T106+FCFF!T109</f>
        <v>-3452</v>
      </c>
      <c r="H131" s="482">
        <f>-H132*H59</f>
        <v>0</v>
      </c>
      <c r="I131" s="482">
        <f t="shared" ref="I131:L131" si="36">-I132*I59</f>
        <v>0</v>
      </c>
      <c r="J131" s="482">
        <f t="shared" si="36"/>
        <v>0</v>
      </c>
      <c r="K131" s="482">
        <f t="shared" si="36"/>
        <v>0</v>
      </c>
      <c r="L131" s="482">
        <f t="shared" si="36"/>
        <v>0</v>
      </c>
    </row>
    <row r="132" spans="1:12" ht="15" customHeight="1" x14ac:dyDescent="0.3">
      <c r="B132" s="29" t="s">
        <v>707</v>
      </c>
      <c r="E132" s="305">
        <f>FCFF!H107</f>
        <v>0.14552763819095477</v>
      </c>
      <c r="F132" s="305">
        <f>FCFF!N107</f>
        <v>0.14950868609809695</v>
      </c>
      <c r="G132" s="408">
        <f>FCFF!T107</f>
        <v>0.14235051546391753</v>
      </c>
      <c r="H132" s="465"/>
      <c r="I132" s="465"/>
      <c r="J132" s="465"/>
      <c r="K132" s="465"/>
      <c r="L132" s="465"/>
    </row>
    <row r="133" spans="1:12" ht="15" customHeight="1" x14ac:dyDescent="0.3">
      <c r="B133" s="369"/>
      <c r="G133" s="492"/>
      <c r="H133" s="23"/>
      <c r="I133" s="23"/>
      <c r="J133" s="23"/>
      <c r="K133" s="23"/>
      <c r="L133" s="23"/>
    </row>
    <row r="134" spans="1:12" ht="15" customHeight="1" x14ac:dyDescent="0.3">
      <c r="A134" s="374" t="s">
        <v>39</v>
      </c>
      <c r="B134" s="366" t="s">
        <v>887</v>
      </c>
      <c r="C134" s="366"/>
      <c r="D134" s="366"/>
      <c r="E134" s="444"/>
      <c r="F134" s="444"/>
      <c r="G134" s="493"/>
      <c r="H134" s="445">
        <f>H57</f>
        <v>2025</v>
      </c>
      <c r="I134" s="445">
        <f>I57</f>
        <v>2026</v>
      </c>
      <c r="J134" s="445">
        <f>J57</f>
        <v>2027</v>
      </c>
      <c r="K134" s="445">
        <f>K57</f>
        <v>2028</v>
      </c>
      <c r="L134" s="445">
        <f>L57</f>
        <v>2029</v>
      </c>
    </row>
    <row r="135" spans="1:12" ht="4" customHeight="1" x14ac:dyDescent="0.3">
      <c r="B135" s="34"/>
      <c r="C135" s="34"/>
      <c r="D135" s="34"/>
      <c r="E135" s="34"/>
      <c r="F135" s="34"/>
      <c r="G135" s="494"/>
      <c r="H135" s="34"/>
      <c r="I135" s="34"/>
      <c r="J135" s="34"/>
      <c r="K135" s="34"/>
      <c r="L135" s="34"/>
    </row>
    <row r="136" spans="1:12" ht="15" customHeight="1" x14ac:dyDescent="0.3">
      <c r="B136" s="369" t="s">
        <v>888</v>
      </c>
      <c r="G136" s="202"/>
      <c r="H136" s="487">
        <f>H97</f>
        <v>0</v>
      </c>
      <c r="I136" s="487">
        <f t="shared" ref="I136:L136" si="37">I97</f>
        <v>0</v>
      </c>
      <c r="J136" s="487">
        <f t="shared" si="37"/>
        <v>0</v>
      </c>
      <c r="K136" s="487">
        <f t="shared" si="37"/>
        <v>0</v>
      </c>
      <c r="L136" s="487">
        <f t="shared" si="37"/>
        <v>0</v>
      </c>
    </row>
    <row r="137" spans="1:12" ht="15" customHeight="1" x14ac:dyDescent="0.3">
      <c r="B137" s="369" t="s">
        <v>889</v>
      </c>
      <c r="E137" s="487"/>
      <c r="F137" s="487"/>
      <c r="G137" s="495"/>
      <c r="H137" s="487">
        <f>+H125</f>
        <v>0</v>
      </c>
      <c r="I137" s="487">
        <f>+I125</f>
        <v>0</v>
      </c>
      <c r="J137" s="487">
        <f>+J125</f>
        <v>0</v>
      </c>
      <c r="K137" s="487">
        <f>+K125</f>
        <v>0</v>
      </c>
      <c r="L137" s="487">
        <f>+L125</f>
        <v>0</v>
      </c>
    </row>
    <row r="138" spans="1:12" ht="15" customHeight="1" x14ac:dyDescent="0.3">
      <c r="B138" s="369" t="s">
        <v>714</v>
      </c>
      <c r="E138" s="487"/>
      <c r="F138" s="487"/>
      <c r="G138" s="496"/>
      <c r="H138" s="487">
        <f>+H128</f>
        <v>-498</v>
      </c>
      <c r="I138" s="487">
        <f>+I128</f>
        <v>0</v>
      </c>
      <c r="J138" s="487">
        <f>+J128</f>
        <v>0</v>
      </c>
      <c r="K138" s="487">
        <f>+K128</f>
        <v>0</v>
      </c>
      <c r="L138" s="487">
        <f>+L128</f>
        <v>0</v>
      </c>
    </row>
    <row r="139" spans="1:12" ht="15" customHeight="1" x14ac:dyDescent="0.3">
      <c r="B139" s="369" t="s">
        <v>782</v>
      </c>
      <c r="E139" s="464"/>
      <c r="F139" s="464"/>
      <c r="G139" s="497"/>
      <c r="H139" s="487">
        <f>+H131</f>
        <v>0</v>
      </c>
      <c r="I139" s="487">
        <f>+I131</f>
        <v>0</v>
      </c>
      <c r="J139" s="487">
        <f>+J131</f>
        <v>0</v>
      </c>
      <c r="K139" s="487">
        <f>+K131</f>
        <v>0</v>
      </c>
      <c r="L139" s="487">
        <f>+L131</f>
        <v>0</v>
      </c>
    </row>
    <row r="140" spans="1:12" ht="15" customHeight="1" x14ac:dyDescent="0.3">
      <c r="B140" s="498" t="s">
        <v>890</v>
      </c>
      <c r="C140" s="499"/>
      <c r="D140" s="499"/>
      <c r="E140" s="500"/>
      <c r="F140" s="500"/>
      <c r="G140" s="501"/>
      <c r="H140" s="500">
        <f>H136+H137+H138+H139</f>
        <v>-498</v>
      </c>
      <c r="I140" s="500">
        <f>I136+I137+I138+I139</f>
        <v>0</v>
      </c>
      <c r="J140" s="500">
        <f>J136+J137+J138+J139</f>
        <v>0</v>
      </c>
      <c r="K140" s="500">
        <f>K136+K137+K138+K139</f>
        <v>0</v>
      </c>
      <c r="L140" s="502">
        <f>L136+L137+L138+L139</f>
        <v>0</v>
      </c>
    </row>
    <row r="141" spans="1:12" ht="15" customHeight="1" x14ac:dyDescent="0.3">
      <c r="G141" s="492"/>
    </row>
    <row r="142" spans="1:12" ht="15" customHeight="1" x14ac:dyDescent="0.3">
      <c r="A142" s="374" t="s">
        <v>39</v>
      </c>
      <c r="B142" s="366" t="s">
        <v>891</v>
      </c>
      <c r="C142" s="366"/>
      <c r="D142" s="366"/>
      <c r="E142" s="444"/>
      <c r="F142" s="444"/>
      <c r="G142" s="493"/>
      <c r="H142" s="445">
        <f>H134</f>
        <v>2025</v>
      </c>
      <c r="I142" s="445">
        <f>I134</f>
        <v>2026</v>
      </c>
      <c r="J142" s="445">
        <f>J134</f>
        <v>2027</v>
      </c>
      <c r="K142" s="445">
        <f>K134</f>
        <v>2028</v>
      </c>
      <c r="L142" s="445">
        <f>L134</f>
        <v>2029</v>
      </c>
    </row>
    <row r="143" spans="1:12" ht="4" customHeight="1" x14ac:dyDescent="0.3">
      <c r="B143" s="34"/>
      <c r="C143" s="34"/>
      <c r="D143" s="34"/>
      <c r="E143" s="34"/>
      <c r="F143" s="34"/>
      <c r="G143" s="494"/>
      <c r="H143" s="34"/>
      <c r="I143" s="34"/>
      <c r="J143" s="34"/>
      <c r="K143" s="34"/>
      <c r="L143" s="34"/>
    </row>
    <row r="144" spans="1:12" ht="15" customHeight="1" x14ac:dyDescent="0.3">
      <c r="B144" s="367" t="s">
        <v>852</v>
      </c>
      <c r="C144" s="414"/>
      <c r="D144" s="414"/>
      <c r="E144" s="414"/>
      <c r="F144" s="414"/>
      <c r="G144" s="503"/>
    </row>
    <row r="145" spans="2:12" ht="15" customHeight="1" x14ac:dyDescent="0.3">
      <c r="B145" s="504" t="s">
        <v>892</v>
      </c>
      <c r="C145" s="414"/>
      <c r="D145" s="414"/>
      <c r="E145" s="414"/>
      <c r="F145" s="414"/>
      <c r="G145" s="503"/>
      <c r="H145" s="482">
        <f>G148</f>
        <v>0</v>
      </c>
      <c r="I145" s="482">
        <f t="shared" ref="I145:L145" si="38">H148</f>
        <v>498</v>
      </c>
      <c r="J145" s="482">
        <f t="shared" si="38"/>
        <v>498</v>
      </c>
      <c r="K145" s="482">
        <f t="shared" si="38"/>
        <v>498</v>
      </c>
      <c r="L145" s="482">
        <f t="shared" si="38"/>
        <v>498</v>
      </c>
    </row>
    <row r="146" spans="2:12" ht="15" customHeight="1" x14ac:dyDescent="0.3">
      <c r="B146" s="504" t="s">
        <v>847</v>
      </c>
      <c r="C146" s="414"/>
      <c r="D146" s="414"/>
      <c r="E146" s="414"/>
      <c r="F146" s="414"/>
      <c r="G146" s="503"/>
      <c r="H146" s="482">
        <f>H145*$J$11</f>
        <v>0</v>
      </c>
      <c r="I146" s="482">
        <f t="shared" ref="I146:L146" si="39">I145*$J$11</f>
        <v>0</v>
      </c>
      <c r="J146" s="482">
        <f t="shared" si="39"/>
        <v>0</v>
      </c>
      <c r="K146" s="482">
        <f t="shared" si="39"/>
        <v>0</v>
      </c>
      <c r="L146" s="482">
        <f t="shared" si="39"/>
        <v>0</v>
      </c>
    </row>
    <row r="147" spans="2:12" ht="15" customHeight="1" x14ac:dyDescent="0.3">
      <c r="B147" s="504" t="s">
        <v>893</v>
      </c>
      <c r="C147" s="414"/>
      <c r="D147" s="414"/>
      <c r="E147" s="414"/>
      <c r="F147" s="414"/>
      <c r="G147" s="503"/>
      <c r="H147" s="482">
        <f>MIN(H140,H145)</f>
        <v>-498</v>
      </c>
      <c r="I147" s="482">
        <f t="shared" ref="I147:L147" si="40">MIN(I140,I145)</f>
        <v>0</v>
      </c>
      <c r="J147" s="482">
        <f t="shared" si="40"/>
        <v>0</v>
      </c>
      <c r="K147" s="482">
        <f t="shared" si="40"/>
        <v>0</v>
      </c>
      <c r="L147" s="482">
        <f t="shared" si="40"/>
        <v>0</v>
      </c>
    </row>
    <row r="148" spans="2:12" ht="15" customHeight="1" x14ac:dyDescent="0.3">
      <c r="B148" s="505" t="s">
        <v>894</v>
      </c>
      <c r="C148" s="499"/>
      <c r="D148" s="499"/>
      <c r="E148" s="500"/>
      <c r="F148" s="500"/>
      <c r="G148" s="501">
        <f>L11</f>
        <v>0</v>
      </c>
      <c r="H148" s="500">
        <f>H145-H147</f>
        <v>498</v>
      </c>
      <c r="I148" s="500">
        <f t="shared" ref="I148:L148" si="41">I145-I147</f>
        <v>498</v>
      </c>
      <c r="J148" s="500">
        <f t="shared" si="41"/>
        <v>498</v>
      </c>
      <c r="K148" s="500">
        <f t="shared" si="41"/>
        <v>498</v>
      </c>
      <c r="L148" s="502">
        <f t="shared" si="41"/>
        <v>498</v>
      </c>
    </row>
    <row r="149" spans="2:12" ht="15" customHeight="1" x14ac:dyDescent="0.3">
      <c r="B149" s="506"/>
      <c r="E149" s="482"/>
      <c r="F149" s="482"/>
      <c r="G149" s="507"/>
      <c r="H149" s="482"/>
      <c r="I149" s="482"/>
      <c r="J149" s="482"/>
      <c r="K149" s="482"/>
      <c r="L149" s="482"/>
    </row>
    <row r="150" spans="2:12" ht="15" customHeight="1" x14ac:dyDescent="0.3">
      <c r="B150" s="367" t="s">
        <v>855</v>
      </c>
      <c r="C150" s="414"/>
      <c r="D150" s="414"/>
      <c r="E150" s="414"/>
      <c r="F150" s="414"/>
      <c r="G150" s="503"/>
      <c r="H150" s="482"/>
    </row>
    <row r="151" spans="2:12" ht="15" customHeight="1" x14ac:dyDescent="0.3">
      <c r="B151" s="504" t="s">
        <v>892</v>
      </c>
      <c r="C151" s="414"/>
      <c r="D151" s="414"/>
      <c r="E151" s="414"/>
      <c r="F151" s="414"/>
      <c r="G151" s="503"/>
      <c r="H151" s="482">
        <f>G154</f>
        <v>0</v>
      </c>
      <c r="I151" s="482">
        <f t="shared" ref="I151:L151" si="42">H154</f>
        <v>0</v>
      </c>
      <c r="J151" s="482">
        <f t="shared" si="42"/>
        <v>0</v>
      </c>
      <c r="K151" s="482">
        <f t="shared" si="42"/>
        <v>0</v>
      </c>
      <c r="L151" s="482">
        <f t="shared" si="42"/>
        <v>0</v>
      </c>
    </row>
    <row r="152" spans="2:12" ht="15" customHeight="1" x14ac:dyDescent="0.3">
      <c r="B152" s="504" t="s">
        <v>847</v>
      </c>
      <c r="C152" s="414"/>
      <c r="D152" s="414"/>
      <c r="E152" s="414"/>
      <c r="F152" s="414"/>
      <c r="G152" s="503"/>
      <c r="H152" s="482">
        <f>H151*$J$12</f>
        <v>0</v>
      </c>
      <c r="I152" s="482">
        <f t="shared" ref="I152:L152" si="43">I151*$J$12</f>
        <v>0</v>
      </c>
      <c r="J152" s="482">
        <f t="shared" si="43"/>
        <v>0</v>
      </c>
      <c r="K152" s="482">
        <f t="shared" si="43"/>
        <v>0</v>
      </c>
      <c r="L152" s="482">
        <f t="shared" si="43"/>
        <v>0</v>
      </c>
    </row>
    <row r="153" spans="2:12" ht="15" customHeight="1" x14ac:dyDescent="0.3">
      <c r="B153" s="504" t="s">
        <v>893</v>
      </c>
      <c r="C153" s="414"/>
      <c r="D153" s="414"/>
      <c r="E153" s="414"/>
      <c r="F153" s="414"/>
      <c r="G153" s="503"/>
      <c r="H153" s="482">
        <f>MIN(H151,H140-H147)</f>
        <v>0</v>
      </c>
      <c r="I153" s="482">
        <f>MIN(I151,I140-I147)</f>
        <v>0</v>
      </c>
      <c r="J153" s="482">
        <f t="shared" ref="J153:K153" si="44">MIN(J151,J140-J147)</f>
        <v>0</v>
      </c>
      <c r="K153" s="482">
        <f t="shared" si="44"/>
        <v>0</v>
      </c>
      <c r="L153" s="482">
        <f>MIN(L151,L140-L147)</f>
        <v>0</v>
      </c>
    </row>
    <row r="154" spans="2:12" ht="15" customHeight="1" x14ac:dyDescent="0.3">
      <c r="B154" s="505" t="s">
        <v>894</v>
      </c>
      <c r="C154" s="499"/>
      <c r="D154" s="499"/>
      <c r="E154" s="500"/>
      <c r="F154" s="500"/>
      <c r="G154" s="501">
        <f>L12</f>
        <v>0</v>
      </c>
      <c r="H154" s="500">
        <f>H151-H153</f>
        <v>0</v>
      </c>
      <c r="I154" s="500">
        <f t="shared" ref="I154:L154" si="45">I151-I153</f>
        <v>0</v>
      </c>
      <c r="J154" s="500">
        <f t="shared" si="45"/>
        <v>0</v>
      </c>
      <c r="K154" s="500">
        <f t="shared" si="45"/>
        <v>0</v>
      </c>
      <c r="L154" s="502">
        <f t="shared" si="45"/>
        <v>0</v>
      </c>
    </row>
    <row r="155" spans="2:12" ht="15" customHeight="1" x14ac:dyDescent="0.3">
      <c r="B155" s="506"/>
      <c r="E155" s="482"/>
      <c r="F155" s="482"/>
      <c r="G155" s="507"/>
      <c r="H155" s="482"/>
      <c r="I155" s="482"/>
      <c r="J155" s="482"/>
      <c r="K155" s="482"/>
      <c r="L155" s="482"/>
    </row>
    <row r="156" spans="2:12" ht="15" customHeight="1" x14ac:dyDescent="0.3">
      <c r="B156" s="367" t="s">
        <v>895</v>
      </c>
      <c r="G156" s="492"/>
    </row>
    <row r="157" spans="2:12" ht="15" customHeight="1" x14ac:dyDescent="0.3">
      <c r="B157" s="504" t="s">
        <v>892</v>
      </c>
      <c r="G157" s="492"/>
      <c r="H157" s="482">
        <f>G160</f>
        <v>0</v>
      </c>
      <c r="I157" s="482">
        <f t="shared" ref="I157:L157" si="46">H160</f>
        <v>0</v>
      </c>
      <c r="J157" s="482">
        <f t="shared" si="46"/>
        <v>0</v>
      </c>
      <c r="K157" s="482">
        <f t="shared" si="46"/>
        <v>0</v>
      </c>
      <c r="L157" s="482">
        <f t="shared" si="46"/>
        <v>0</v>
      </c>
    </row>
    <row r="158" spans="2:12" ht="15" customHeight="1" x14ac:dyDescent="0.3">
      <c r="B158" s="504" t="s">
        <v>847</v>
      </c>
      <c r="G158" s="492"/>
      <c r="H158" s="482">
        <f>H157*$J$13</f>
        <v>0</v>
      </c>
      <c r="I158" s="482">
        <f t="shared" ref="I158:L158" si="47">I157*$J$13</f>
        <v>0</v>
      </c>
      <c r="J158" s="482">
        <f t="shared" si="47"/>
        <v>0</v>
      </c>
      <c r="K158" s="482">
        <f t="shared" si="47"/>
        <v>0</v>
      </c>
      <c r="L158" s="482">
        <f t="shared" si="47"/>
        <v>0</v>
      </c>
    </row>
    <row r="159" spans="2:12" ht="15" customHeight="1" x14ac:dyDescent="0.3">
      <c r="B159" s="504" t="s">
        <v>893</v>
      </c>
      <c r="G159" s="492"/>
      <c r="H159" s="482">
        <f>MIN(H157,H140-H147-H153)</f>
        <v>0</v>
      </c>
      <c r="I159" s="482">
        <f t="shared" ref="I159:L159" si="48">MIN(I157,I140-I147-I153)</f>
        <v>0</v>
      </c>
      <c r="J159" s="482">
        <f t="shared" si="48"/>
        <v>0</v>
      </c>
      <c r="K159" s="482">
        <f t="shared" si="48"/>
        <v>0</v>
      </c>
      <c r="L159" s="482">
        <f t="shared" si="48"/>
        <v>0</v>
      </c>
    </row>
    <row r="160" spans="2:12" ht="15" customHeight="1" x14ac:dyDescent="0.3">
      <c r="B160" s="505" t="s">
        <v>894</v>
      </c>
      <c r="C160" s="499"/>
      <c r="D160" s="499"/>
      <c r="E160" s="500"/>
      <c r="F160" s="500"/>
      <c r="G160" s="501">
        <f>L13</f>
        <v>0</v>
      </c>
      <c r="H160" s="500">
        <f>H157-H159</f>
        <v>0</v>
      </c>
      <c r="I160" s="500">
        <f t="shared" ref="I160:L160" si="49">I157-I159</f>
        <v>0</v>
      </c>
      <c r="J160" s="500">
        <f t="shared" si="49"/>
        <v>0</v>
      </c>
      <c r="K160" s="500">
        <f t="shared" si="49"/>
        <v>0</v>
      </c>
      <c r="L160" s="502">
        <f t="shared" si="49"/>
        <v>0</v>
      </c>
    </row>
    <row r="161" spans="1:12" ht="15" customHeight="1" x14ac:dyDescent="0.3">
      <c r="G161" s="650"/>
    </row>
    <row r="162" spans="1:12" ht="15" customHeight="1" x14ac:dyDescent="0.3">
      <c r="B162" s="367" t="s">
        <v>896</v>
      </c>
      <c r="G162" s="492"/>
    </row>
    <row r="163" spans="1:12" ht="15" customHeight="1" x14ac:dyDescent="0.3">
      <c r="B163" s="504" t="s">
        <v>892</v>
      </c>
      <c r="G163" s="492"/>
      <c r="H163" s="482">
        <f>H145+H151+H157</f>
        <v>0</v>
      </c>
      <c r="I163" s="482">
        <f t="shared" ref="I163:L163" si="50">I145+I151+I157</f>
        <v>498</v>
      </c>
      <c r="J163" s="482">
        <f t="shared" si="50"/>
        <v>498</v>
      </c>
      <c r="K163" s="482">
        <f t="shared" si="50"/>
        <v>498</v>
      </c>
      <c r="L163" s="482">
        <f t="shared" si="50"/>
        <v>498</v>
      </c>
    </row>
    <row r="164" spans="1:12" ht="15" customHeight="1" x14ac:dyDescent="0.3">
      <c r="B164" s="504" t="s">
        <v>847</v>
      </c>
      <c r="G164" s="492"/>
      <c r="H164" s="482">
        <f>H146+H152+H158</f>
        <v>0</v>
      </c>
      <c r="I164" s="482">
        <f t="shared" ref="I164:L164" si="51">I146+I152+I158</f>
        <v>0</v>
      </c>
      <c r="J164" s="482">
        <f t="shared" si="51"/>
        <v>0</v>
      </c>
      <c r="K164" s="482">
        <f t="shared" si="51"/>
        <v>0</v>
      </c>
      <c r="L164" s="482">
        <f t="shared" si="51"/>
        <v>0</v>
      </c>
    </row>
    <row r="165" spans="1:12" ht="15" customHeight="1" x14ac:dyDescent="0.3">
      <c r="B165" s="504" t="s">
        <v>893</v>
      </c>
      <c r="G165" s="492"/>
      <c r="H165" s="482">
        <f>H147+H153+H159</f>
        <v>-498</v>
      </c>
      <c r="I165" s="482">
        <f t="shared" ref="I165:L165" si="52">I147+I153+I159</f>
        <v>0</v>
      </c>
      <c r="J165" s="482">
        <f t="shared" si="52"/>
        <v>0</v>
      </c>
      <c r="K165" s="482">
        <f t="shared" si="52"/>
        <v>0</v>
      </c>
      <c r="L165" s="482">
        <f t="shared" si="52"/>
        <v>0</v>
      </c>
    </row>
    <row r="166" spans="1:12" ht="15" customHeight="1" x14ac:dyDescent="0.3">
      <c r="B166" s="505" t="s">
        <v>894</v>
      </c>
      <c r="C166" s="499"/>
      <c r="D166" s="499"/>
      <c r="E166" s="500"/>
      <c r="F166" s="500"/>
      <c r="G166" s="501">
        <f>G148+G154+G160</f>
        <v>0</v>
      </c>
      <c r="H166" s="500">
        <f>H148+H154+H160</f>
        <v>498</v>
      </c>
      <c r="I166" s="500">
        <f t="shared" ref="I166:K166" si="53">I148+I154+I160</f>
        <v>498</v>
      </c>
      <c r="J166" s="500">
        <f t="shared" si="53"/>
        <v>498</v>
      </c>
      <c r="K166" s="500">
        <f t="shared" si="53"/>
        <v>498</v>
      </c>
      <c r="L166" s="502">
        <f>L148+L154+L160</f>
        <v>498</v>
      </c>
    </row>
    <row r="167" spans="1:12" s="337" customFormat="1" ht="15" customHeight="1" x14ac:dyDescent="0.3">
      <c r="A167" s="489"/>
      <c r="B167" s="31"/>
      <c r="C167" s="31"/>
      <c r="D167" s="31"/>
      <c r="E167" s="31"/>
      <c r="F167" s="31"/>
      <c r="G167" s="31"/>
      <c r="H167" s="31"/>
      <c r="I167" s="31"/>
      <c r="J167" s="31"/>
      <c r="K167" s="31"/>
      <c r="L167" s="31"/>
    </row>
    <row r="168" spans="1:12" s="337" customFormat="1" ht="15" customHeight="1" x14ac:dyDescent="0.3">
      <c r="A168" s="489"/>
      <c r="B168" s="366" t="s">
        <v>865</v>
      </c>
      <c r="C168" s="366"/>
      <c r="D168" s="366"/>
      <c r="E168" s="366"/>
      <c r="F168" s="366"/>
      <c r="G168" s="366"/>
      <c r="H168" s="366"/>
      <c r="I168" s="366"/>
      <c r="J168" s="366"/>
      <c r="K168" s="366"/>
      <c r="L168" s="366"/>
    </row>
    <row r="169" spans="1:12" s="337" customFormat="1" ht="15" customHeight="1" x14ac:dyDescent="0.3">
      <c r="A169" s="489"/>
      <c r="B169" s="366"/>
      <c r="C169" s="366"/>
      <c r="D169" s="366"/>
      <c r="E169" s="366"/>
      <c r="F169" s="366"/>
      <c r="G169" s="366"/>
      <c r="H169" s="366"/>
      <c r="I169" s="366"/>
      <c r="J169" s="366"/>
      <c r="K169" s="366"/>
      <c r="L169" s="366"/>
    </row>
    <row r="170" spans="1:12" ht="15" customHeight="1" x14ac:dyDescent="0.3">
      <c r="A170" s="374" t="s">
        <v>39</v>
      </c>
      <c r="B170" s="366"/>
      <c r="C170" s="366"/>
      <c r="D170" s="366"/>
      <c r="E170" s="444"/>
      <c r="F170" s="444"/>
      <c r="G170" s="444"/>
      <c r="H170" s="445"/>
      <c r="I170" s="445"/>
      <c r="J170" s="445"/>
      <c r="K170" s="445"/>
      <c r="L170" s="445"/>
    </row>
    <row r="171" spans="1:12" ht="4" customHeight="1" x14ac:dyDescent="0.3">
      <c r="B171" s="34"/>
      <c r="C171" s="34"/>
      <c r="D171" s="34"/>
      <c r="E171" s="34"/>
      <c r="F171" s="34"/>
      <c r="G171" s="34"/>
      <c r="H171" s="34"/>
      <c r="I171" s="34"/>
      <c r="J171" s="34"/>
      <c r="K171" s="34"/>
      <c r="L171" s="34"/>
    </row>
    <row r="172" spans="1:12" ht="15" customHeight="1" x14ac:dyDescent="0.3">
      <c r="B172" s="369" t="s">
        <v>897</v>
      </c>
      <c r="L172" s="417">
        <f>(L77+L86)</f>
        <v>0</v>
      </c>
    </row>
    <row r="173" spans="1:12" ht="15" customHeight="1" x14ac:dyDescent="0.3">
      <c r="B173" s="508" t="s">
        <v>867</v>
      </c>
      <c r="C173" s="348"/>
      <c r="D173" s="348"/>
      <c r="E173" s="348"/>
      <c r="F173" s="348"/>
      <c r="G173" s="348"/>
      <c r="H173" s="348"/>
      <c r="I173" s="348"/>
      <c r="J173" s="348"/>
      <c r="K173" s="348"/>
      <c r="L173" s="509">
        <f>E20</f>
        <v>0</v>
      </c>
    </row>
    <row r="174" spans="1:12" ht="15" customHeight="1" x14ac:dyDescent="0.3">
      <c r="B174" s="369" t="s">
        <v>857</v>
      </c>
      <c r="L174" s="45">
        <f>L172*L173</f>
        <v>0</v>
      </c>
    </row>
    <row r="175" spans="1:12" ht="15" customHeight="1" x14ac:dyDescent="0.3">
      <c r="B175" s="369" t="s">
        <v>898</v>
      </c>
      <c r="L175" s="417">
        <f>L166</f>
        <v>498</v>
      </c>
    </row>
    <row r="176" spans="1:12" ht="15" customHeight="1" x14ac:dyDescent="0.3">
      <c r="B176" s="369" t="s">
        <v>899</v>
      </c>
      <c r="L176" s="22">
        <f>L174-L175</f>
        <v>-498</v>
      </c>
    </row>
    <row r="178" spans="2:12" ht="15" customHeight="1" x14ac:dyDescent="0.3">
      <c r="B178" s="369" t="s">
        <v>900</v>
      </c>
      <c r="L178" s="417">
        <f>C32</f>
        <v>0</v>
      </c>
    </row>
    <row r="179" spans="2:12" ht="15" customHeight="1" x14ac:dyDescent="0.3">
      <c r="B179" s="369"/>
    </row>
    <row r="180" spans="2:12" ht="15" customHeight="1" x14ac:dyDescent="0.3">
      <c r="B180" s="510" t="s">
        <v>863</v>
      </c>
      <c r="C180" s="511"/>
      <c r="D180" s="511"/>
      <c r="E180" s="511"/>
      <c r="F180" s="511"/>
      <c r="G180" s="511"/>
      <c r="H180" s="511"/>
      <c r="I180" s="511"/>
      <c r="J180" s="511"/>
      <c r="K180" s="511"/>
      <c r="L180" s="512" t="e">
        <f>L176/L178</f>
        <v>#DIV/0!</v>
      </c>
    </row>
    <row r="181" spans="2:12" ht="15" customHeight="1" x14ac:dyDescent="0.3">
      <c r="B181" s="513" t="s">
        <v>865</v>
      </c>
      <c r="C181" s="514"/>
      <c r="D181" s="514"/>
      <c r="E181" s="514"/>
      <c r="F181" s="514"/>
      <c r="G181" s="514"/>
      <c r="H181" s="514"/>
      <c r="I181" s="514"/>
      <c r="J181" s="514"/>
      <c r="K181" s="514"/>
      <c r="L181" s="515" t="e">
        <f>L180^(1/5)-1</f>
        <v>#DIV/0!</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A1:AQ55"/>
  <sheetViews>
    <sheetView showGridLines="0" topLeftCell="A15" zoomScale="58" zoomScaleNormal="70" workbookViewId="0">
      <selection activeCell="K51" sqref="K51"/>
    </sheetView>
  </sheetViews>
  <sheetFormatPr defaultColWidth="9" defaultRowHeight="15" customHeight="1" x14ac:dyDescent="0.3"/>
  <cols>
    <col min="1" max="1" width="2" style="21" customWidth="1"/>
    <col min="2" max="19" width="9" style="21"/>
    <col min="20" max="24" width="9" style="21" customWidth="1"/>
    <col min="25" max="16384" width="9" style="21"/>
  </cols>
  <sheetData>
    <row r="1" spans="1:43" s="569" customFormat="1" ht="15" customHeight="1" x14ac:dyDescent="0.3"/>
    <row r="2" spans="1:43" s="569" customFormat="1" ht="15" customHeight="1" x14ac:dyDescent="0.3"/>
    <row r="3" spans="1:43" s="569" customFormat="1" ht="15" customHeight="1" x14ac:dyDescent="0.3"/>
    <row r="4" spans="1:43" s="569" customFormat="1" ht="15" customHeight="1" x14ac:dyDescent="0.3"/>
    <row r="5" spans="1:43" s="34" customFormat="1" ht="4" customHeight="1" x14ac:dyDescent="0.3"/>
    <row r="7" spans="1:43" ht="15" customHeight="1" x14ac:dyDescent="0.3">
      <c r="B7" s="366" t="s">
        <v>901</v>
      </c>
      <c r="C7" s="183"/>
      <c r="D7" s="183"/>
      <c r="E7" s="183"/>
      <c r="F7" s="183"/>
      <c r="G7" s="183"/>
      <c r="H7" s="183"/>
      <c r="I7" s="183"/>
      <c r="J7" s="183"/>
      <c r="K7" s="183"/>
      <c r="L7" s="183"/>
      <c r="M7" s="183"/>
      <c r="N7" s="183"/>
      <c r="O7" s="183"/>
      <c r="P7" s="183"/>
      <c r="R7" s="366" t="s">
        <v>902</v>
      </c>
      <c r="S7" s="183"/>
      <c r="T7" s="183"/>
      <c r="U7" s="183"/>
      <c r="V7" s="183"/>
      <c r="W7" s="183"/>
      <c r="X7" s="183"/>
      <c r="Y7" s="183"/>
      <c r="Z7" s="183"/>
    </row>
    <row r="8" spans="1:43" ht="15" customHeight="1" x14ac:dyDescent="0.3">
      <c r="B8" s="183"/>
      <c r="C8" s="183"/>
      <c r="D8" s="183"/>
      <c r="E8" s="183"/>
      <c r="F8" s="183"/>
      <c r="G8" s="183"/>
      <c r="H8" s="183"/>
      <c r="I8" s="183"/>
      <c r="J8" s="183"/>
      <c r="K8" s="183"/>
      <c r="L8" s="183"/>
      <c r="M8" s="183"/>
      <c r="N8" s="183"/>
      <c r="O8" s="183"/>
      <c r="P8" s="183"/>
      <c r="R8" s="183"/>
      <c r="S8" s="183"/>
      <c r="T8" s="183"/>
      <c r="U8" s="183"/>
      <c r="V8" s="183"/>
      <c r="W8" s="183"/>
      <c r="X8" s="183"/>
      <c r="Y8" s="183"/>
      <c r="Z8" s="183"/>
    </row>
    <row r="9" spans="1:43" ht="15" customHeight="1" x14ac:dyDescent="0.3">
      <c r="B9" s="183"/>
      <c r="C9" s="183"/>
      <c r="D9" s="183"/>
      <c r="E9" s="183"/>
      <c r="F9" s="183"/>
      <c r="G9" s="183"/>
      <c r="H9" s="183"/>
      <c r="I9" s="183"/>
      <c r="J9" s="183"/>
      <c r="K9" s="183"/>
      <c r="L9" s="183"/>
      <c r="M9" s="183"/>
      <c r="N9" s="183"/>
      <c r="O9" s="183"/>
      <c r="P9" s="183"/>
      <c r="R9" s="183"/>
      <c r="S9" s="183"/>
      <c r="T9" s="183"/>
      <c r="U9" s="183"/>
      <c r="V9" s="183"/>
      <c r="W9" s="183"/>
      <c r="X9" s="183"/>
      <c r="Y9" s="183"/>
      <c r="Z9" s="183"/>
    </row>
    <row r="10" spans="1:43" ht="4" customHeight="1" x14ac:dyDescent="0.3">
      <c r="B10" s="34"/>
      <c r="C10" s="34"/>
      <c r="D10" s="34"/>
      <c r="E10" s="34"/>
      <c r="F10" s="34"/>
      <c r="G10" s="34"/>
      <c r="H10" s="34"/>
      <c r="I10" s="34"/>
      <c r="J10" s="34"/>
      <c r="K10" s="34"/>
      <c r="L10" s="34"/>
      <c r="M10" s="34"/>
      <c r="N10" s="34"/>
      <c r="O10" s="34"/>
      <c r="P10" s="34"/>
      <c r="R10" s="34"/>
      <c r="S10" s="34"/>
      <c r="T10" s="34"/>
      <c r="U10" s="34"/>
      <c r="V10" s="34"/>
      <c r="W10" s="34"/>
      <c r="X10" s="34"/>
      <c r="Y10" s="34"/>
      <c r="Z10" s="34"/>
    </row>
    <row r="11" spans="1:43" ht="15" customHeight="1" x14ac:dyDescent="0.3">
      <c r="A11"/>
      <c r="B11"/>
      <c r="C11"/>
      <c r="D11"/>
      <c r="E11"/>
      <c r="F11"/>
      <c r="G11"/>
      <c r="H11"/>
      <c r="I11"/>
      <c r="J11"/>
      <c r="K11"/>
      <c r="L11"/>
      <c r="M11"/>
    </row>
    <row r="12" spans="1:43" ht="15" customHeight="1" x14ac:dyDescent="0.3">
      <c r="A12"/>
      <c r="B12"/>
      <c r="C12"/>
      <c r="D12"/>
      <c r="E12"/>
      <c r="F12"/>
      <c r="G12"/>
      <c r="H12"/>
      <c r="I12"/>
      <c r="J12"/>
      <c r="K12"/>
      <c r="L12"/>
      <c r="M12"/>
    </row>
    <row r="13" spans="1:43" ht="15" customHeight="1" x14ac:dyDescent="0.3">
      <c r="A13"/>
      <c r="B13"/>
      <c r="C13"/>
      <c r="D13"/>
      <c r="E13"/>
      <c r="F13"/>
      <c r="G13"/>
      <c r="H13"/>
      <c r="I13"/>
      <c r="J13"/>
      <c r="K13"/>
      <c r="L13"/>
      <c r="M13"/>
    </row>
    <row r="14" spans="1:43" ht="15" customHeight="1" x14ac:dyDescent="0.3">
      <c r="A14"/>
      <c r="B14"/>
      <c r="C14"/>
      <c r="D14"/>
      <c r="E14"/>
      <c r="F14"/>
      <c r="G14"/>
      <c r="H14"/>
      <c r="I14"/>
      <c r="J14"/>
      <c r="K14"/>
      <c r="L14"/>
      <c r="M14"/>
      <c r="AA14" s="23"/>
      <c r="AB14" s="23"/>
      <c r="AC14" s="23"/>
      <c r="AD14" s="23"/>
      <c r="AE14" s="23"/>
      <c r="AF14" s="23"/>
      <c r="AG14" s="23"/>
      <c r="AH14" s="23"/>
      <c r="AI14" s="23"/>
      <c r="AJ14" s="23"/>
      <c r="AK14" s="23"/>
      <c r="AL14" s="23"/>
      <c r="AM14" s="23"/>
      <c r="AN14" s="23"/>
      <c r="AO14" s="23"/>
      <c r="AP14" s="23"/>
      <c r="AQ14" s="23"/>
    </row>
    <row r="15" spans="1:43" ht="15" customHeight="1" x14ac:dyDescent="0.3">
      <c r="A15"/>
      <c r="B15"/>
      <c r="C15"/>
      <c r="D15"/>
      <c r="E15"/>
      <c r="F15"/>
      <c r="G15"/>
      <c r="H15"/>
      <c r="I15"/>
      <c r="J15"/>
      <c r="K15"/>
      <c r="L15"/>
      <c r="M15"/>
      <c r="AA15" s="23"/>
      <c r="AB15" s="23"/>
      <c r="AC15" s="23"/>
      <c r="AD15" s="23"/>
      <c r="AE15" s="23"/>
      <c r="AF15" s="23"/>
      <c r="AG15" s="23"/>
      <c r="AH15" s="23"/>
      <c r="AI15" s="23"/>
      <c r="AJ15" s="23"/>
      <c r="AK15" s="23"/>
      <c r="AL15" s="23"/>
      <c r="AM15" s="23"/>
      <c r="AN15" s="23"/>
      <c r="AO15" s="23"/>
      <c r="AP15" s="23"/>
      <c r="AQ15" s="23"/>
    </row>
    <row r="16" spans="1:43" ht="15" customHeight="1" x14ac:dyDescent="0.3">
      <c r="A16"/>
      <c r="B16"/>
      <c r="C16"/>
      <c r="D16"/>
      <c r="E16"/>
      <c r="F16"/>
      <c r="G16"/>
      <c r="H16"/>
      <c r="I16"/>
      <c r="J16"/>
      <c r="K16"/>
      <c r="L16"/>
      <c r="M16"/>
      <c r="AA16" s="23"/>
      <c r="AB16" s="23"/>
      <c r="AC16" s="23"/>
      <c r="AD16" s="23"/>
      <c r="AE16" s="23"/>
      <c r="AF16" s="23"/>
      <c r="AG16" s="23"/>
      <c r="AH16" s="23"/>
      <c r="AI16" s="23"/>
      <c r="AJ16" s="23"/>
      <c r="AK16" s="23"/>
      <c r="AL16" s="23"/>
      <c r="AM16" s="23"/>
      <c r="AN16" s="23"/>
      <c r="AO16" s="23"/>
      <c r="AP16" s="23"/>
      <c r="AQ16" s="23"/>
    </row>
    <row r="17" spans="1:43" ht="15" customHeight="1" x14ac:dyDescent="0.3">
      <c r="A17"/>
      <c r="B17"/>
      <c r="C17"/>
      <c r="D17"/>
      <c r="E17"/>
      <c r="F17"/>
      <c r="G17"/>
      <c r="H17"/>
      <c r="I17"/>
      <c r="J17"/>
      <c r="K17"/>
      <c r="L17"/>
      <c r="M17"/>
      <c r="AA17" s="23"/>
      <c r="AB17" s="23"/>
      <c r="AC17" s="23"/>
      <c r="AD17" s="23"/>
      <c r="AE17" s="23"/>
      <c r="AF17" s="23"/>
      <c r="AG17" s="23"/>
      <c r="AH17" s="23"/>
      <c r="AI17" s="23"/>
      <c r="AJ17" s="23"/>
      <c r="AK17" s="23"/>
      <c r="AL17" s="23"/>
      <c r="AM17" s="23"/>
      <c r="AN17" s="23"/>
      <c r="AO17" s="23"/>
      <c r="AP17" s="23"/>
      <c r="AQ17" s="23"/>
    </row>
    <row r="18" spans="1:43" ht="15" customHeight="1" x14ac:dyDescent="0.3">
      <c r="A18"/>
      <c r="B18"/>
      <c r="C18"/>
      <c r="D18"/>
      <c r="E18"/>
      <c r="F18"/>
      <c r="G18"/>
      <c r="H18"/>
      <c r="I18"/>
      <c r="J18"/>
      <c r="K18"/>
      <c r="L18"/>
      <c r="M18"/>
      <c r="AA18" s="23"/>
      <c r="AB18" s="23"/>
      <c r="AC18" s="23"/>
      <c r="AD18" s="23"/>
      <c r="AE18" s="23"/>
      <c r="AF18" s="23"/>
      <c r="AG18" s="23"/>
      <c r="AH18" s="23"/>
      <c r="AI18" s="23"/>
      <c r="AJ18" s="23"/>
      <c r="AK18" s="23"/>
      <c r="AL18" s="23"/>
      <c r="AM18" s="23"/>
      <c r="AN18" s="23"/>
      <c r="AO18" s="23"/>
      <c r="AP18" s="23"/>
      <c r="AQ18" s="23"/>
    </row>
    <row r="19" spans="1:43" ht="15" customHeight="1" x14ac:dyDescent="0.3">
      <c r="A19"/>
      <c r="B19"/>
      <c r="C19"/>
      <c r="D19"/>
      <c r="E19"/>
      <c r="F19"/>
      <c r="G19"/>
      <c r="H19"/>
      <c r="I19"/>
      <c r="J19"/>
      <c r="K19"/>
      <c r="L19"/>
      <c r="M19"/>
      <c r="AA19" s="23"/>
      <c r="AB19" s="23"/>
      <c r="AC19" s="23"/>
      <c r="AD19" s="23"/>
      <c r="AE19" s="23"/>
      <c r="AF19" s="23"/>
      <c r="AG19" s="23"/>
      <c r="AH19" s="23"/>
      <c r="AI19" s="23"/>
      <c r="AJ19" s="23"/>
      <c r="AK19" s="23"/>
      <c r="AL19" s="23"/>
      <c r="AM19" s="23"/>
      <c r="AN19" s="23"/>
      <c r="AO19" s="23"/>
      <c r="AP19" s="23"/>
      <c r="AQ19" s="23"/>
    </row>
    <row r="20" spans="1:43" ht="15" customHeight="1" x14ac:dyDescent="0.3">
      <c r="A20"/>
      <c r="B20"/>
      <c r="C20"/>
      <c r="D20"/>
      <c r="E20"/>
      <c r="F20"/>
      <c r="G20"/>
      <c r="H20"/>
      <c r="I20"/>
      <c r="J20"/>
      <c r="K20"/>
      <c r="L20"/>
      <c r="M20"/>
      <c r="AA20" s="23"/>
      <c r="AB20" s="23"/>
      <c r="AC20" s="23"/>
      <c r="AD20" s="23"/>
      <c r="AE20" s="23"/>
      <c r="AF20" s="23"/>
      <c r="AG20" s="23"/>
      <c r="AH20" s="23"/>
      <c r="AI20" s="23"/>
      <c r="AJ20" s="23"/>
      <c r="AK20" s="23"/>
      <c r="AL20" s="23"/>
      <c r="AM20" s="23"/>
      <c r="AN20" s="23"/>
      <c r="AO20" s="23"/>
      <c r="AP20" s="23"/>
      <c r="AQ20" s="23"/>
    </row>
    <row r="21" spans="1:43" ht="15" customHeight="1" x14ac:dyDescent="0.3">
      <c r="A21"/>
      <c r="B21"/>
      <c r="C21"/>
      <c r="D21"/>
      <c r="E21"/>
      <c r="F21"/>
      <c r="G21"/>
      <c r="H21"/>
      <c r="I21"/>
      <c r="J21"/>
      <c r="K21"/>
      <c r="L21"/>
      <c r="M21"/>
      <c r="AA21" s="23"/>
      <c r="AB21" s="23"/>
      <c r="AC21" s="23"/>
      <c r="AD21" s="23"/>
      <c r="AE21" s="23"/>
      <c r="AF21" s="23"/>
      <c r="AG21" s="23"/>
      <c r="AH21" s="23"/>
      <c r="AI21" s="23"/>
      <c r="AJ21" s="23"/>
      <c r="AK21" s="23"/>
      <c r="AL21" s="23"/>
      <c r="AM21" s="23"/>
      <c r="AN21" s="23"/>
      <c r="AO21" s="23"/>
      <c r="AP21" s="23"/>
      <c r="AQ21" s="23"/>
    </row>
    <row r="22" spans="1:43" ht="15" customHeight="1" x14ac:dyDescent="0.3">
      <c r="A22"/>
      <c r="B22"/>
      <c r="C22"/>
      <c r="D22"/>
      <c r="E22"/>
      <c r="F22"/>
      <c r="G22"/>
      <c r="H22"/>
      <c r="I22"/>
      <c r="J22"/>
      <c r="K22"/>
      <c r="L22"/>
      <c r="M22"/>
      <c r="AA22" s="23"/>
      <c r="AB22" s="23"/>
      <c r="AC22" s="23"/>
      <c r="AD22" s="23"/>
      <c r="AE22" s="23"/>
      <c r="AF22" s="23"/>
      <c r="AG22" s="23"/>
      <c r="AH22" s="23"/>
      <c r="AI22" s="23"/>
      <c r="AJ22" s="23"/>
      <c r="AK22" s="23"/>
      <c r="AL22" s="23"/>
      <c r="AM22" s="23"/>
      <c r="AN22" s="23"/>
      <c r="AO22" s="23"/>
      <c r="AP22" s="23"/>
      <c r="AQ22" s="23"/>
    </row>
    <row r="23" spans="1:43" ht="15" customHeight="1" x14ac:dyDescent="0.3">
      <c r="A23"/>
      <c r="B23"/>
      <c r="C23"/>
      <c r="D23"/>
      <c r="E23"/>
      <c r="F23"/>
      <c r="G23"/>
      <c r="H23"/>
      <c r="I23"/>
      <c r="J23"/>
      <c r="K23"/>
      <c r="L23"/>
      <c r="M23"/>
      <c r="AA23" s="23"/>
      <c r="AB23" s="23"/>
      <c r="AC23" s="23"/>
      <c r="AD23" s="23"/>
      <c r="AE23" s="23"/>
      <c r="AF23" s="23"/>
      <c r="AG23" s="23"/>
      <c r="AH23" s="23"/>
      <c r="AI23" s="23"/>
      <c r="AJ23" s="23"/>
      <c r="AK23" s="23"/>
      <c r="AL23" s="23"/>
      <c r="AM23" s="23"/>
      <c r="AN23" s="23"/>
      <c r="AO23" s="23"/>
      <c r="AP23" s="23"/>
      <c r="AQ23" s="23"/>
    </row>
    <row r="24" spans="1:43" ht="15" customHeight="1" x14ac:dyDescent="0.3">
      <c r="A24"/>
      <c r="B24"/>
      <c r="C24"/>
      <c r="D24"/>
      <c r="E24"/>
      <c r="F24"/>
      <c r="G24"/>
      <c r="H24"/>
      <c r="I24"/>
      <c r="J24"/>
      <c r="K24"/>
      <c r="L24"/>
      <c r="M24"/>
      <c r="AA24" s="23"/>
      <c r="AB24" s="23"/>
      <c r="AC24" s="23"/>
      <c r="AD24" s="23"/>
      <c r="AE24" s="23"/>
      <c r="AF24" s="23"/>
      <c r="AG24" s="23"/>
      <c r="AH24" s="23"/>
      <c r="AI24" s="23"/>
      <c r="AJ24" s="23"/>
      <c r="AK24" s="23"/>
      <c r="AL24" s="23"/>
      <c r="AM24" s="23"/>
      <c r="AN24" s="23"/>
      <c r="AO24" s="23"/>
      <c r="AP24" s="23"/>
      <c r="AQ24" s="23"/>
    </row>
    <row r="25" spans="1:43" ht="15" customHeight="1" x14ac:dyDescent="0.3">
      <c r="A25"/>
      <c r="B25"/>
      <c r="C25"/>
      <c r="D25"/>
      <c r="E25"/>
      <c r="F25"/>
      <c r="G25"/>
      <c r="H25"/>
      <c r="I25"/>
      <c r="J25"/>
      <c r="K25"/>
      <c r="L25"/>
      <c r="M25"/>
      <c r="AA25" s="23"/>
      <c r="AB25" s="23"/>
      <c r="AC25" s="23"/>
      <c r="AD25" s="23"/>
      <c r="AE25" s="23"/>
      <c r="AF25" s="23"/>
      <c r="AG25" s="23"/>
      <c r="AH25" s="23"/>
      <c r="AI25" s="23"/>
      <c r="AJ25" s="23"/>
      <c r="AK25" s="23"/>
      <c r="AL25" s="23"/>
      <c r="AM25" s="23"/>
      <c r="AN25" s="23"/>
      <c r="AO25" s="23"/>
      <c r="AP25" s="23"/>
      <c r="AQ25" s="23"/>
    </row>
    <row r="26" spans="1:43" ht="15" customHeight="1" x14ac:dyDescent="0.3">
      <c r="A26"/>
      <c r="B26"/>
      <c r="C26"/>
      <c r="D26"/>
      <c r="E26"/>
      <c r="F26"/>
      <c r="G26"/>
      <c r="H26"/>
      <c r="I26"/>
      <c r="J26"/>
      <c r="K26"/>
      <c r="L26"/>
      <c r="M26"/>
      <c r="AA26" s="23"/>
      <c r="AB26" s="23"/>
      <c r="AC26" s="23"/>
      <c r="AD26" s="23"/>
      <c r="AE26" s="23"/>
      <c r="AF26" s="23"/>
      <c r="AG26" s="23"/>
      <c r="AH26" s="23"/>
      <c r="AI26" s="23"/>
      <c r="AJ26" s="23"/>
      <c r="AK26" s="23"/>
      <c r="AL26" s="23"/>
      <c r="AM26" s="23"/>
      <c r="AN26" s="23"/>
      <c r="AO26" s="23"/>
      <c r="AP26" s="23"/>
      <c r="AQ26" s="23"/>
    </row>
    <row r="27" spans="1:43" ht="15" customHeight="1" x14ac:dyDescent="0.3">
      <c r="A27"/>
      <c r="B27"/>
      <c r="C27"/>
      <c r="D27"/>
      <c r="E27"/>
      <c r="F27"/>
      <c r="G27"/>
      <c r="H27"/>
      <c r="I27"/>
      <c r="J27"/>
      <c r="K27"/>
      <c r="L27"/>
      <c r="M27"/>
      <c r="AA27" s="23"/>
      <c r="AB27" s="23"/>
      <c r="AC27" s="23"/>
      <c r="AD27" s="23"/>
      <c r="AE27" s="23"/>
      <c r="AF27" s="23"/>
      <c r="AG27" s="23"/>
      <c r="AH27" s="23"/>
      <c r="AI27" s="23"/>
      <c r="AJ27" s="23"/>
      <c r="AK27" s="23"/>
      <c r="AL27" s="23"/>
      <c r="AM27" s="23"/>
      <c r="AN27" s="23"/>
      <c r="AO27" s="23"/>
      <c r="AP27" s="23"/>
      <c r="AQ27" s="23"/>
    </row>
    <row r="28" spans="1:43" ht="15" customHeight="1" x14ac:dyDescent="0.3">
      <c r="A28"/>
      <c r="B28"/>
      <c r="C28"/>
      <c r="D28"/>
      <c r="E28"/>
      <c r="F28"/>
      <c r="G28"/>
      <c r="H28"/>
      <c r="I28"/>
      <c r="J28"/>
      <c r="K28"/>
      <c r="L28"/>
      <c r="M28"/>
      <c r="AA28" s="23"/>
      <c r="AB28" s="23"/>
      <c r="AC28" s="23"/>
      <c r="AD28" s="23" t="str" cm="1">
        <f t="array" ref="AD28:AL34">_xlfn.SORTBY(R38:Z44,Z38:Z44,1)</f>
        <v>WACC</v>
      </c>
      <c r="AE28" s="23">
        <v>0</v>
      </c>
      <c r="AF28" s="23">
        <v>5.0000000000000001E-3</v>
      </c>
      <c r="AG28" s="23">
        <v>0</v>
      </c>
      <c r="AH28" s="23">
        <v>167.05364960793651</v>
      </c>
      <c r="AI28" s="23">
        <v>187.91713467503581</v>
      </c>
      <c r="AJ28" s="23">
        <v>-12.999921342816577</v>
      </c>
      <c r="AK28" s="23">
        <v>7.8635637242827272</v>
      </c>
      <c r="AL28" s="23">
        <v>12.999921342816577</v>
      </c>
      <c r="AM28" s="23"/>
      <c r="AN28" s="23"/>
      <c r="AO28" s="23"/>
      <c r="AP28" s="23"/>
      <c r="AQ28" s="23"/>
    </row>
    <row r="29" spans="1:43" ht="15" customHeight="1" x14ac:dyDescent="0.3">
      <c r="A29"/>
      <c r="B29"/>
      <c r="C29"/>
      <c r="D29"/>
      <c r="E29"/>
      <c r="F29"/>
      <c r="G29"/>
      <c r="H29"/>
      <c r="I29"/>
      <c r="J29"/>
      <c r="K29"/>
      <c r="L29"/>
      <c r="M29"/>
      <c r="AA29" s="23"/>
      <c r="AB29" s="23"/>
      <c r="AC29" s="23"/>
      <c r="AD29" s="23" t="str">
        <v>Capex Intensity</v>
      </c>
      <c r="AE29" s="23">
        <v>0</v>
      </c>
      <c r="AF29" s="23">
        <v>0.02</v>
      </c>
      <c r="AG29" s="23">
        <v>0</v>
      </c>
      <c r="AH29" s="23">
        <v>165.20161069304254</v>
      </c>
      <c r="AI29" s="23">
        <v>177.91214378488081</v>
      </c>
      <c r="AJ29" s="23">
        <v>-14.851960257710545</v>
      </c>
      <c r="AK29" s="23">
        <v>-2.1414271658722726</v>
      </c>
      <c r="AL29" s="23">
        <v>14.851960257710545</v>
      </c>
      <c r="AM29" s="23"/>
      <c r="AN29" s="23"/>
      <c r="AO29" s="23"/>
      <c r="AP29" s="23"/>
      <c r="AQ29" s="23"/>
    </row>
    <row r="30" spans="1:43" ht="15" customHeight="1" x14ac:dyDescent="0.3">
      <c r="A30"/>
      <c r="B30"/>
      <c r="C30"/>
      <c r="D30"/>
      <c r="E30"/>
      <c r="F30"/>
      <c r="G30"/>
      <c r="H30"/>
      <c r="I30"/>
      <c r="J30"/>
      <c r="K30"/>
      <c r="L30"/>
      <c r="M30"/>
      <c r="AA30" s="23"/>
      <c r="AB30" s="23"/>
      <c r="AC30" s="23"/>
      <c r="AD30" s="23" t="str">
        <v>EBITDA Exit</v>
      </c>
      <c r="AE30" s="23">
        <v>0</v>
      </c>
      <c r="AF30" s="23">
        <v>1.5</v>
      </c>
      <c r="AG30" s="23">
        <v>0</v>
      </c>
      <c r="AH30" s="23">
        <v>167.05364960793651</v>
      </c>
      <c r="AI30" s="23">
        <v>200.43803852581999</v>
      </c>
      <c r="AJ30" s="23">
        <v>-12.999921342816577</v>
      </c>
      <c r="AK30" s="23">
        <v>20.384467575066907</v>
      </c>
      <c r="AL30" s="23">
        <v>20.384467575066907</v>
      </c>
      <c r="AM30" s="23"/>
      <c r="AN30" s="23"/>
      <c r="AO30" s="23"/>
      <c r="AP30" s="23"/>
      <c r="AQ30" s="23"/>
    </row>
    <row r="31" spans="1:43" ht="15" customHeight="1" x14ac:dyDescent="0.3">
      <c r="A31"/>
      <c r="B31"/>
      <c r="C31"/>
      <c r="D31"/>
      <c r="E31"/>
      <c r="F31"/>
      <c r="G31"/>
      <c r="H31"/>
      <c r="I31"/>
      <c r="J31"/>
      <c r="K31"/>
      <c r="L31"/>
      <c r="M31"/>
      <c r="AA31" s="23"/>
      <c r="AB31" s="23"/>
      <c r="AC31" s="23"/>
      <c r="AD31" s="23" t="str">
        <v>Revenue Exit</v>
      </c>
      <c r="AE31" s="23">
        <v>0</v>
      </c>
      <c r="AF31" s="23">
        <v>1.5</v>
      </c>
      <c r="AG31" s="23">
        <v>0</v>
      </c>
      <c r="AH31" s="23">
        <v>180.05357095075308</v>
      </c>
      <c r="AI31" s="23">
        <v>203.5808539292477</v>
      </c>
      <c r="AJ31" s="23">
        <v>0</v>
      </c>
      <c r="AK31" s="23">
        <v>23.527282978494611</v>
      </c>
      <c r="AL31" s="23">
        <v>23.527282978494611</v>
      </c>
      <c r="AM31" s="23"/>
      <c r="AN31" s="23"/>
      <c r="AO31" s="23"/>
      <c r="AP31" s="23"/>
      <c r="AQ31" s="23"/>
    </row>
    <row r="32" spans="1:43" ht="15" customHeight="1" x14ac:dyDescent="0.3">
      <c r="A32"/>
      <c r="B32"/>
      <c r="C32"/>
      <c r="D32"/>
      <c r="E32"/>
      <c r="F32"/>
      <c r="G32"/>
      <c r="H32"/>
      <c r="I32"/>
      <c r="J32"/>
      <c r="K32"/>
      <c r="L32"/>
      <c r="M32"/>
      <c r="R32" s="366" t="s">
        <v>903</v>
      </c>
      <c r="S32" s="30"/>
      <c r="T32" s="30"/>
      <c r="U32" s="30"/>
      <c r="V32" s="366" t="s">
        <v>904</v>
      </c>
      <c r="W32" s="30"/>
      <c r="X32" s="30"/>
      <c r="Y32" s="30"/>
      <c r="Z32" s="35" t="s">
        <v>905</v>
      </c>
      <c r="AA32" s="23"/>
      <c r="AB32" s="23"/>
      <c r="AC32" s="23"/>
      <c r="AD32" s="23" t="str">
        <v>Terminal g</v>
      </c>
      <c r="AE32" s="23">
        <v>0</v>
      </c>
      <c r="AF32" s="23">
        <v>5.0000000000000001E-3</v>
      </c>
      <c r="AG32" s="23">
        <v>0</v>
      </c>
      <c r="AH32" s="23">
        <v>167.05364960793651</v>
      </c>
      <c r="AI32" s="23">
        <v>212.41948788553461</v>
      </c>
      <c r="AJ32" s="23">
        <v>-12.999921342816577</v>
      </c>
      <c r="AK32" s="23">
        <v>32.365916934781524</v>
      </c>
      <c r="AL32" s="23">
        <v>32.365916934781524</v>
      </c>
      <c r="AM32" s="23"/>
      <c r="AN32" s="23"/>
      <c r="AO32" s="23"/>
      <c r="AP32" s="23"/>
      <c r="AQ32" s="23"/>
    </row>
    <row r="33" spans="1:43" ht="15" customHeight="1" x14ac:dyDescent="0.3">
      <c r="A33"/>
      <c r="B33"/>
      <c r="C33"/>
      <c r="D33"/>
      <c r="E33"/>
      <c r="F33"/>
      <c r="G33"/>
      <c r="H33"/>
      <c r="I33"/>
      <c r="J33"/>
      <c r="K33"/>
      <c r="L33"/>
      <c r="M33"/>
      <c r="R33" s="31" t="s">
        <v>906</v>
      </c>
      <c r="T33" s="586">
        <f ca="1">+FCFF!AL169</f>
        <v>188.76742176757386</v>
      </c>
      <c r="V33" s="31" t="s">
        <v>907</v>
      </c>
      <c r="W33" s="94"/>
      <c r="X33" s="607">
        <v>187.91713467503581</v>
      </c>
      <c r="Z33" s="21" t="s">
        <v>420</v>
      </c>
      <c r="AA33" s="23"/>
      <c r="AB33" s="23"/>
      <c r="AC33" s="23"/>
      <c r="AD33" s="23" t="str">
        <v>COGS Margin</v>
      </c>
      <c r="AE33" s="23">
        <v>0</v>
      </c>
      <c r="AF33" s="23">
        <v>0</v>
      </c>
      <c r="AG33" s="23">
        <v>0</v>
      </c>
      <c r="AH33" s="23">
        <v>0</v>
      </c>
      <c r="AI33" s="23">
        <v>0</v>
      </c>
      <c r="AJ33" s="23">
        <v>-180.05357095075308</v>
      </c>
      <c r="AK33" s="23">
        <v>-180.05357095075308</v>
      </c>
      <c r="AL33" s="23">
        <v>180.05357095075308</v>
      </c>
      <c r="AM33" s="23"/>
      <c r="AN33" s="23"/>
      <c r="AO33" s="23"/>
      <c r="AP33" s="23"/>
      <c r="AQ33" s="23"/>
    </row>
    <row r="34" spans="1:43" ht="15" customHeight="1" x14ac:dyDescent="0.3">
      <c r="A34"/>
      <c r="B34"/>
      <c r="C34"/>
      <c r="D34"/>
      <c r="E34"/>
      <c r="F34"/>
      <c r="G34"/>
      <c r="H34"/>
      <c r="I34"/>
      <c r="J34"/>
      <c r="K34"/>
      <c r="L34"/>
      <c r="M34"/>
      <c r="R34" s="31" t="s">
        <v>908</v>
      </c>
      <c r="T34" s="586">
        <f ca="1">+FCFF!Z169</f>
        <v>180.87325830394016</v>
      </c>
      <c r="V34" s="102" t="s">
        <v>909</v>
      </c>
      <c r="W34" s="94"/>
      <c r="X34" s="607">
        <v>180.05357095075308</v>
      </c>
      <c r="AA34" s="23"/>
      <c r="AB34" s="23"/>
      <c r="AC34" s="23"/>
      <c r="AD34" s="23" t="str">
        <v>SG&amp;A Margin</v>
      </c>
      <c r="AE34" s="23">
        <v>0</v>
      </c>
      <c r="AF34" s="23">
        <v>0</v>
      </c>
      <c r="AG34" s="23">
        <v>0</v>
      </c>
      <c r="AH34" s="23">
        <v>0</v>
      </c>
      <c r="AI34" s="23">
        <v>0</v>
      </c>
      <c r="AJ34" s="23">
        <v>-180.05357095075308</v>
      </c>
      <c r="AK34" s="23">
        <v>-180.05357095075308</v>
      </c>
      <c r="AL34" s="23">
        <v>180.05357095075308</v>
      </c>
      <c r="AM34" s="23"/>
      <c r="AN34" s="23"/>
      <c r="AO34" s="23"/>
      <c r="AP34" s="23"/>
      <c r="AQ34" s="23"/>
    </row>
    <row r="35" spans="1:43" ht="15" customHeight="1" x14ac:dyDescent="0.3">
      <c r="A35"/>
      <c r="B35"/>
      <c r="C35"/>
      <c r="D35"/>
      <c r="E35"/>
      <c r="F35"/>
      <c r="G35"/>
      <c r="H35"/>
      <c r="I35"/>
      <c r="J35"/>
      <c r="K35"/>
      <c r="L35"/>
      <c r="M35"/>
      <c r="R35" s="31" t="s">
        <v>910</v>
      </c>
      <c r="T35" s="586">
        <f ca="1">FCFF!AF169</f>
        <v>167.8227499475733</v>
      </c>
      <c r="V35" s="31" t="s">
        <v>911</v>
      </c>
      <c r="X35" s="607">
        <v>167.05364960793651</v>
      </c>
      <c r="AA35" s="23"/>
      <c r="AB35" s="23"/>
      <c r="AC35" s="23"/>
      <c r="AD35" s="23"/>
      <c r="AE35" s="23"/>
      <c r="AF35" s="23"/>
      <c r="AG35" s="23"/>
      <c r="AH35" s="23"/>
      <c r="AI35" s="23"/>
      <c r="AJ35" s="23"/>
      <c r="AK35" s="23"/>
      <c r="AL35" s="23"/>
      <c r="AM35" s="23"/>
      <c r="AN35" s="23"/>
      <c r="AO35" s="23"/>
      <c r="AP35" s="23"/>
      <c r="AQ35" s="23"/>
    </row>
    <row r="36" spans="1:43" ht="15" customHeight="1" x14ac:dyDescent="0.3">
      <c r="A36"/>
      <c r="B36"/>
      <c r="C36"/>
      <c r="D36"/>
      <c r="E36"/>
      <c r="F36"/>
      <c r="G36"/>
      <c r="H36"/>
      <c r="I36"/>
      <c r="J36"/>
      <c r="K36"/>
      <c r="L36"/>
      <c r="M36"/>
      <c r="AA36" s="23"/>
      <c r="AB36" s="23" t="s">
        <v>912</v>
      </c>
      <c r="AC36" s="23"/>
      <c r="AD36" s="23"/>
      <c r="AE36" s="23"/>
      <c r="AF36" s="23"/>
      <c r="AG36" s="23"/>
      <c r="AH36" s="23"/>
      <c r="AI36" s="23"/>
      <c r="AJ36" s="23"/>
      <c r="AK36" s="23"/>
      <c r="AL36" s="23"/>
      <c r="AM36" s="23"/>
      <c r="AN36" s="23"/>
      <c r="AO36" s="23"/>
      <c r="AP36" s="23"/>
      <c r="AQ36" s="23"/>
    </row>
    <row r="37" spans="1:43" ht="15" customHeight="1" x14ac:dyDescent="0.3">
      <c r="A37"/>
      <c r="B37"/>
      <c r="C37"/>
      <c r="D37"/>
      <c r="E37"/>
      <c r="F37"/>
      <c r="G37"/>
      <c r="H37"/>
      <c r="I37"/>
      <c r="J37"/>
      <c r="K37"/>
      <c r="L37"/>
      <c r="M37"/>
      <c r="R37" s="30"/>
      <c r="S37" s="30"/>
      <c r="T37" s="587" t="s">
        <v>913</v>
      </c>
      <c r="U37" s="587" t="s">
        <v>914</v>
      </c>
      <c r="V37" s="588" t="s">
        <v>915</v>
      </c>
      <c r="W37" s="588" t="s">
        <v>916</v>
      </c>
      <c r="X37" s="587" t="s">
        <v>917</v>
      </c>
      <c r="Y37" s="587" t="s">
        <v>918</v>
      </c>
      <c r="Z37" s="587" t="s">
        <v>919</v>
      </c>
      <c r="AA37" s="23"/>
      <c r="AB37" s="23"/>
      <c r="AC37" s="23"/>
      <c r="AD37" s="23"/>
      <c r="AE37" s="23"/>
      <c r="AF37" s="23"/>
      <c r="AG37" s="23"/>
      <c r="AH37" s="23"/>
      <c r="AI37" s="23"/>
      <c r="AJ37" s="23"/>
      <c r="AK37" s="23"/>
      <c r="AL37" s="23"/>
      <c r="AM37" s="23"/>
      <c r="AN37" s="23"/>
      <c r="AO37" s="23"/>
      <c r="AP37" s="23"/>
      <c r="AQ37" s="23"/>
    </row>
    <row r="38" spans="1:43" ht="15" customHeight="1" x14ac:dyDescent="0.3">
      <c r="A38"/>
      <c r="B38"/>
      <c r="C38"/>
      <c r="D38"/>
      <c r="E38"/>
      <c r="F38"/>
      <c r="G38"/>
      <c r="H38"/>
      <c r="I38"/>
      <c r="J38"/>
      <c r="K38"/>
      <c r="L38"/>
      <c r="M38"/>
      <c r="R38" s="94" t="s">
        <v>920</v>
      </c>
      <c r="S38" s="94"/>
      <c r="T38" s="591">
        <v>0.02</v>
      </c>
      <c r="U38" s="589"/>
      <c r="V38" s="607">
        <v>165.20161069304254</v>
      </c>
      <c r="W38" s="607">
        <v>177.91214378488081</v>
      </c>
      <c r="X38" s="21" cm="1">
        <f t="array" ref="X38">+V38-_xlfn.IFS($Z$33="EBITDA",$X$34,$Z$33="Revenue",$X$35,$Z$33="Gordon",$X$33)</f>
        <v>-14.851960257710545</v>
      </c>
      <c r="Y38" s="21" cm="1">
        <f t="array" ref="Y38">+W38-_xlfn.IFS($Z$33="EBITDA",$X$34,$Z$33="Revenue",$X$35,$Z$33="Gordon",$X$33)</f>
        <v>-2.1414271658722726</v>
      </c>
      <c r="Z38" s="21">
        <f>MAX(ABS(X38),ABS(Y38))</f>
        <v>14.851960257710545</v>
      </c>
      <c r="AA38" s="23"/>
      <c r="AB38" s="23"/>
      <c r="AC38" s="23"/>
      <c r="AD38" s="23"/>
      <c r="AE38" s="23"/>
      <c r="AF38" s="23"/>
      <c r="AG38" s="23"/>
      <c r="AH38" s="23"/>
      <c r="AI38" s="23"/>
      <c r="AJ38" s="23"/>
      <c r="AK38" s="23"/>
      <c r="AL38" s="23"/>
      <c r="AM38" s="23"/>
      <c r="AN38" s="23"/>
      <c r="AO38" s="23"/>
      <c r="AP38" s="23"/>
      <c r="AQ38" s="23"/>
    </row>
    <row r="39" spans="1:43" ht="15" hidden="1" customHeight="1" x14ac:dyDescent="0.3">
      <c r="A39"/>
      <c r="B39"/>
      <c r="C39"/>
      <c r="D39"/>
      <c r="E39"/>
      <c r="F39"/>
      <c r="G39"/>
      <c r="H39"/>
      <c r="I39"/>
      <c r="J39"/>
      <c r="K39"/>
      <c r="L39"/>
      <c r="M39"/>
      <c r="R39" s="94" t="s">
        <v>921</v>
      </c>
      <c r="S39" s="333"/>
      <c r="T39" s="591"/>
      <c r="U39" s="589"/>
      <c r="V39" s="607"/>
      <c r="W39" s="607"/>
      <c r="X39" s="21" cm="1">
        <f t="array" ref="X39">+V39-_xlfn.IFS($Z$33="EBITDA",$X$34,$Z$33="Revenue",$X$35,$Z$33="Gordon",$X$33)</f>
        <v>-180.05357095075308</v>
      </c>
      <c r="Y39" s="21" cm="1">
        <f t="array" ref="Y39">+W39-_xlfn.IFS($Z$33="EBITDA",$X$34,$Z$33="Revenue",$X$35,$Z$33="Gordon",$X$33)</f>
        <v>-180.05357095075308</v>
      </c>
      <c r="Z39" s="21">
        <f>MAX(ABS(X39),ABS(Y39))</f>
        <v>180.05357095075308</v>
      </c>
      <c r="AA39" s="23"/>
      <c r="AB39" s="23"/>
      <c r="AC39" s="23"/>
      <c r="AD39" s="23"/>
      <c r="AE39" s="23"/>
      <c r="AF39" s="23"/>
      <c r="AG39" s="23"/>
      <c r="AH39" s="23"/>
      <c r="AI39" s="23"/>
      <c r="AJ39" s="23"/>
      <c r="AK39" s="23"/>
      <c r="AL39" s="23"/>
      <c r="AM39" s="23"/>
      <c r="AN39" s="23"/>
      <c r="AO39" s="23"/>
      <c r="AP39" s="23"/>
      <c r="AQ39" s="23"/>
    </row>
    <row r="40" spans="1:43" ht="15" hidden="1" customHeight="1" x14ac:dyDescent="0.3">
      <c r="A40"/>
      <c r="B40"/>
      <c r="C40"/>
      <c r="D40"/>
      <c r="E40"/>
      <c r="F40"/>
      <c r="G40"/>
      <c r="H40"/>
      <c r="I40"/>
      <c r="J40"/>
      <c r="K40"/>
      <c r="L40"/>
      <c r="M40"/>
      <c r="R40" s="94" t="s">
        <v>922</v>
      </c>
      <c r="S40" s="94"/>
      <c r="T40" s="591"/>
      <c r="U40" s="589"/>
      <c r="V40" s="607"/>
      <c r="W40" s="607"/>
      <c r="X40" s="21" cm="1">
        <f t="array" ref="X40">+V40-_xlfn.IFS($Z$33="EBITDA",$X$34,$Z$33="Revenue",$X$35,$Z$33="Gordon",$X$33)</f>
        <v>-180.05357095075308</v>
      </c>
      <c r="Y40" s="21" cm="1">
        <f t="array" ref="Y40">+W40-_xlfn.IFS($Z$33="EBITDA",$X$34,$Z$33="Revenue",$X$35,$Z$33="Gordon",$X$33)</f>
        <v>-180.05357095075308</v>
      </c>
      <c r="Z40" s="21">
        <f t="shared" ref="Z40:Z44" si="0">MAX(ABS(X40),ABS(Y40))</f>
        <v>180.05357095075308</v>
      </c>
      <c r="AA40" s="23"/>
      <c r="AB40" s="23"/>
      <c r="AC40" s="23"/>
      <c r="AD40" s="23"/>
      <c r="AE40" s="23"/>
      <c r="AF40" s="23"/>
      <c r="AG40" s="23"/>
      <c r="AH40" s="23"/>
      <c r="AI40" s="23"/>
      <c r="AJ40" s="23"/>
      <c r="AK40" s="23"/>
      <c r="AL40" s="23"/>
      <c r="AM40" s="23"/>
      <c r="AN40" s="23"/>
      <c r="AO40" s="23"/>
      <c r="AP40" s="23"/>
      <c r="AQ40" s="23"/>
    </row>
    <row r="41" spans="1:43" ht="15" customHeight="1" x14ac:dyDescent="0.3">
      <c r="A41"/>
      <c r="B41"/>
      <c r="C41"/>
      <c r="D41"/>
      <c r="E41"/>
      <c r="F41"/>
      <c r="G41"/>
      <c r="H41"/>
      <c r="I41"/>
      <c r="J41"/>
      <c r="K41"/>
      <c r="L41"/>
      <c r="M41"/>
      <c r="R41" s="94" t="s">
        <v>695</v>
      </c>
      <c r="S41" s="94"/>
      <c r="T41" s="591">
        <v>5.0000000000000001E-3</v>
      </c>
      <c r="U41" s="589"/>
      <c r="V41" s="607">
        <v>167.05364960793651</v>
      </c>
      <c r="W41" s="607">
        <v>187.91713467503581</v>
      </c>
      <c r="X41" s="21" cm="1">
        <f t="array" ref="X41">+V41-_xlfn.IFS($Z$33="EBITDA",$X$34,$Z$33="Revenue",$X$35,$Z$33="Gordon",$X$33)</f>
        <v>-12.999921342816577</v>
      </c>
      <c r="Y41" s="21" cm="1">
        <f t="array" ref="Y41">+W41-_xlfn.IFS($Z$33="EBITDA",$X$34,$Z$33="Revenue",$X$35,$Z$33="Gordon",$X$33)</f>
        <v>7.8635637242827272</v>
      </c>
      <c r="Z41" s="21">
        <f t="shared" si="0"/>
        <v>12.999921342816577</v>
      </c>
      <c r="AA41" s="23"/>
      <c r="AB41" s="23"/>
      <c r="AC41" s="23"/>
      <c r="AD41" s="23"/>
      <c r="AE41" s="23"/>
      <c r="AF41" s="23"/>
      <c r="AG41" s="23"/>
      <c r="AH41" s="23"/>
      <c r="AI41" s="23"/>
      <c r="AJ41" s="23"/>
      <c r="AK41" s="23"/>
      <c r="AL41" s="23"/>
      <c r="AM41" s="23"/>
      <c r="AN41" s="23"/>
      <c r="AO41" s="23"/>
      <c r="AP41" s="23"/>
      <c r="AQ41" s="23"/>
    </row>
    <row r="42" spans="1:43" ht="15" customHeight="1" x14ac:dyDescent="0.3">
      <c r="A42"/>
      <c r="B42"/>
      <c r="C42"/>
      <c r="D42"/>
      <c r="E42"/>
      <c r="F42"/>
      <c r="G42"/>
      <c r="H42"/>
      <c r="I42"/>
      <c r="J42"/>
      <c r="K42"/>
      <c r="L42"/>
      <c r="M42"/>
      <c r="R42" s="94" t="s">
        <v>923</v>
      </c>
      <c r="S42" s="94"/>
      <c r="T42" s="591">
        <v>5.0000000000000001E-3</v>
      </c>
      <c r="U42" s="589"/>
      <c r="V42" s="607">
        <v>167.05364960793651</v>
      </c>
      <c r="W42" s="607">
        <v>212.41948788553461</v>
      </c>
      <c r="X42" s="21" cm="1">
        <f t="array" ref="X42">+V42-_xlfn.IFS($Z$33="EBITDA",$X$34,$Z$33="Revenue",$X$35,$Z$33="Gordon",$X$33)</f>
        <v>-12.999921342816577</v>
      </c>
      <c r="Y42" s="21" cm="1">
        <f t="array" ref="Y42">+W42-_xlfn.IFS($Z$33="EBITDA",$X$34,$Z$33="Revenue",$X$35,$Z$33="Gordon",$X$33)</f>
        <v>32.365916934781524</v>
      </c>
      <c r="Z42" s="21">
        <f t="shared" si="0"/>
        <v>32.365916934781524</v>
      </c>
      <c r="AA42" s="23"/>
      <c r="AB42" s="23"/>
      <c r="AC42" s="23"/>
      <c r="AD42" s="23"/>
      <c r="AE42" s="23"/>
      <c r="AF42" s="23"/>
      <c r="AG42" s="23"/>
      <c r="AH42" s="23"/>
      <c r="AI42" s="23"/>
      <c r="AJ42" s="23"/>
      <c r="AK42" s="23"/>
      <c r="AL42" s="23"/>
      <c r="AM42" s="23"/>
      <c r="AN42" s="23"/>
      <c r="AO42" s="23"/>
      <c r="AP42" s="23"/>
      <c r="AQ42" s="23"/>
    </row>
    <row r="43" spans="1:43" ht="15" customHeight="1" x14ac:dyDescent="0.3">
      <c r="A43"/>
      <c r="B43"/>
      <c r="C43"/>
      <c r="D43"/>
      <c r="E43"/>
      <c r="F43"/>
      <c r="G43"/>
      <c r="H43" s="1203" t="s">
        <v>924</v>
      </c>
      <c r="I43"/>
      <c r="J43"/>
      <c r="K43"/>
      <c r="L43"/>
      <c r="M43"/>
      <c r="R43" s="94" t="s">
        <v>925</v>
      </c>
      <c r="S43" s="94"/>
      <c r="T43" s="592">
        <v>1.5</v>
      </c>
      <c r="U43" s="590"/>
      <c r="V43" s="607">
        <v>167.05364960793651</v>
      </c>
      <c r="W43" s="607">
        <v>200.43803852581999</v>
      </c>
      <c r="X43" s="21" cm="1">
        <f t="array" ref="X43">+V43-_xlfn.IFS($Z$33="EBITDA",$X$34,$Z$33="Revenue",$X$35,$Z$33="Gordon",$X$33)</f>
        <v>-12.999921342816577</v>
      </c>
      <c r="Y43" s="21" cm="1">
        <f t="array" ref="Y43">+W43-_xlfn.IFS($Z$33="EBITDA",$X$34,$Z$33="Revenue",$X$35,$Z$33="Gordon",$X$33)</f>
        <v>20.384467575066907</v>
      </c>
      <c r="Z43" s="21">
        <f t="shared" si="0"/>
        <v>20.384467575066907</v>
      </c>
      <c r="AA43" s="23"/>
      <c r="AB43" s="23"/>
      <c r="AC43" s="23"/>
      <c r="AD43" s="23"/>
      <c r="AE43" s="23"/>
      <c r="AF43" s="23"/>
      <c r="AG43" s="23"/>
      <c r="AH43" s="23"/>
      <c r="AI43" s="23"/>
      <c r="AJ43" s="23"/>
      <c r="AK43" s="23"/>
      <c r="AL43" s="23"/>
      <c r="AM43" s="23"/>
      <c r="AN43" s="23"/>
      <c r="AO43" s="23"/>
      <c r="AP43" s="23"/>
      <c r="AQ43" s="23"/>
    </row>
    <row r="44" spans="1:43" ht="15" customHeight="1" x14ac:dyDescent="0.4">
      <c r="A44"/>
      <c r="B44"/>
      <c r="C44"/>
      <c r="D44" s="1200" t="s">
        <v>926</v>
      </c>
      <c r="E44" s="1201"/>
      <c r="F44" s="1201"/>
      <c r="G44"/>
      <c r="H44"/>
      <c r="I44"/>
      <c r="J44"/>
      <c r="K44"/>
      <c r="L44"/>
      <c r="M44"/>
      <c r="R44" s="94" t="s">
        <v>927</v>
      </c>
      <c r="S44" s="94"/>
      <c r="T44" s="592">
        <v>1.5</v>
      </c>
      <c r="U44" s="590"/>
      <c r="V44" s="607">
        <v>180.05357095075308</v>
      </c>
      <c r="W44" s="607">
        <v>203.5808539292477</v>
      </c>
      <c r="X44" s="21" cm="1">
        <f t="array" ref="X44">+V44-_xlfn.IFS($Z$33="EBITDA",$X$34,$Z$33="Revenue",$X$35,$Z$33="Gordon",$X$33)</f>
        <v>0</v>
      </c>
      <c r="Y44" s="21" cm="1">
        <f t="array" ref="Y44">+W44-_xlfn.IFS($Z$33="EBITDA",$X$34,$Z$33="Revenue",$X$35,$Z$33="Gordon",$X$33)</f>
        <v>23.527282978494611</v>
      </c>
      <c r="Z44" s="21">
        <f t="shared" si="0"/>
        <v>23.527282978494611</v>
      </c>
      <c r="AA44" s="23"/>
      <c r="AB44" s="23"/>
      <c r="AC44" s="23"/>
      <c r="AD44" s="23"/>
      <c r="AE44" s="23"/>
      <c r="AF44" s="23"/>
      <c r="AG44" s="23"/>
      <c r="AH44" s="23"/>
      <c r="AI44" s="23"/>
      <c r="AJ44" s="23"/>
      <c r="AK44" s="23"/>
      <c r="AL44" s="23"/>
      <c r="AM44" s="23"/>
      <c r="AN44" s="23"/>
      <c r="AO44" s="23"/>
      <c r="AP44" s="23"/>
      <c r="AQ44" s="23"/>
    </row>
    <row r="45" spans="1:43" ht="15" customHeight="1" x14ac:dyDescent="0.4">
      <c r="A45"/>
      <c r="B45"/>
      <c r="C45"/>
      <c r="D45" s="1197" t="s">
        <v>928</v>
      </c>
      <c r="E45" s="1198"/>
      <c r="F45" s="1198"/>
      <c r="G45"/>
      <c r="H45" s="1204" t="s">
        <v>929</v>
      </c>
      <c r="I45"/>
      <c r="J45"/>
      <c r="K45"/>
      <c r="L45"/>
      <c r="M45"/>
      <c r="AA45" s="23"/>
      <c r="AB45" s="23"/>
      <c r="AC45" s="23"/>
      <c r="AD45" s="23"/>
      <c r="AE45" s="23"/>
      <c r="AF45" s="23"/>
      <c r="AG45" s="23"/>
      <c r="AH45" s="23"/>
      <c r="AI45" s="23"/>
      <c r="AJ45" s="23"/>
      <c r="AK45" s="23"/>
      <c r="AL45" s="23"/>
      <c r="AM45" s="23"/>
      <c r="AN45" s="23"/>
      <c r="AO45" s="23"/>
      <c r="AP45" s="23"/>
      <c r="AQ45" s="23"/>
    </row>
    <row r="46" spans="1:43" ht="15" customHeight="1" x14ac:dyDescent="0.4">
      <c r="A46"/>
      <c r="B46"/>
      <c r="C46"/>
      <c r="D46" s="1197" t="s">
        <v>930</v>
      </c>
      <c r="E46" s="1198"/>
      <c r="F46" s="1198"/>
      <c r="G46"/>
      <c r="H46" s="1204" t="s">
        <v>931</v>
      </c>
      <c r="I46"/>
      <c r="J46"/>
      <c r="K46"/>
      <c r="L46"/>
      <c r="M46"/>
      <c r="AA46" s="23"/>
      <c r="AB46" s="23"/>
      <c r="AC46" s="23"/>
      <c r="AD46" s="23"/>
      <c r="AE46" s="23"/>
      <c r="AF46" s="23"/>
      <c r="AG46" s="23"/>
      <c r="AH46" s="23"/>
      <c r="AI46" s="23"/>
      <c r="AJ46" s="23"/>
      <c r="AK46" s="23"/>
      <c r="AL46" s="23"/>
      <c r="AM46" s="23"/>
      <c r="AN46" s="23"/>
      <c r="AO46" s="23"/>
      <c r="AP46" s="23"/>
      <c r="AQ46" s="23"/>
    </row>
    <row r="47" spans="1:43" ht="15" customHeight="1" x14ac:dyDescent="0.35">
      <c r="A47"/>
      <c r="B47"/>
      <c r="C47"/>
      <c r="D47" s="1198"/>
      <c r="E47" s="1198"/>
      <c r="F47" s="1198"/>
      <c r="G47"/>
      <c r="H47" s="4"/>
      <c r="I47"/>
      <c r="J47"/>
      <c r="K47"/>
      <c r="L47"/>
      <c r="M47"/>
      <c r="AA47" s="23"/>
      <c r="AB47" s="23"/>
      <c r="AC47" s="23"/>
      <c r="AD47" s="23"/>
      <c r="AE47" s="23"/>
      <c r="AF47" s="23"/>
      <c r="AG47" s="23"/>
      <c r="AH47" s="23"/>
      <c r="AI47" s="23"/>
      <c r="AJ47" s="23"/>
      <c r="AK47" s="23"/>
      <c r="AL47" s="23"/>
      <c r="AM47" s="23"/>
      <c r="AN47" s="23"/>
      <c r="AO47" s="23"/>
      <c r="AP47" s="23"/>
      <c r="AQ47" s="23"/>
    </row>
    <row r="48" spans="1:43" ht="15" customHeight="1" x14ac:dyDescent="0.35">
      <c r="A48"/>
      <c r="B48"/>
      <c r="C48"/>
      <c r="D48" s="1198"/>
      <c r="E48" s="1198"/>
      <c r="F48" s="1198"/>
      <c r="G48"/>
      <c r="H48" s="4"/>
      <c r="I48"/>
      <c r="J48"/>
      <c r="K48"/>
      <c r="L48"/>
      <c r="M48"/>
      <c r="O48"/>
      <c r="AA48" s="23"/>
      <c r="AB48" s="23"/>
      <c r="AC48" s="23"/>
      <c r="AD48" s="23"/>
      <c r="AE48" s="23"/>
      <c r="AF48" s="23"/>
      <c r="AG48" s="23"/>
      <c r="AH48" s="23"/>
      <c r="AI48" s="23"/>
      <c r="AJ48" s="23"/>
      <c r="AK48" s="23"/>
      <c r="AL48" s="23"/>
      <c r="AM48" s="23"/>
      <c r="AN48" s="23"/>
      <c r="AO48" s="23"/>
      <c r="AP48" s="23"/>
      <c r="AQ48" s="23"/>
    </row>
    <row r="49" spans="1:43" ht="15" customHeight="1" x14ac:dyDescent="0.4">
      <c r="A49"/>
      <c r="B49"/>
      <c r="C49"/>
      <c r="D49" s="1200" t="s">
        <v>932</v>
      </c>
      <c r="E49" s="1201"/>
      <c r="F49" s="1201"/>
      <c r="G49"/>
      <c r="H49" s="4"/>
      <c r="I49"/>
      <c r="J49"/>
      <c r="K49"/>
      <c r="L49"/>
      <c r="M49"/>
      <c r="AA49" s="23"/>
      <c r="AB49" s="23"/>
      <c r="AC49" s="23"/>
      <c r="AD49" s="23"/>
      <c r="AE49" s="23"/>
      <c r="AF49" s="23"/>
      <c r="AG49" s="23"/>
      <c r="AH49" s="23"/>
      <c r="AI49" s="23"/>
      <c r="AJ49" s="23"/>
      <c r="AK49" s="23"/>
      <c r="AL49" s="23"/>
      <c r="AM49" s="23"/>
      <c r="AN49" s="23"/>
      <c r="AO49" s="23"/>
      <c r="AP49" s="23"/>
      <c r="AQ49" s="23"/>
    </row>
    <row r="50" spans="1:43" ht="15" customHeight="1" x14ac:dyDescent="0.4">
      <c r="A50"/>
      <c r="B50"/>
      <c r="C50"/>
      <c r="D50" s="1197" t="s">
        <v>933</v>
      </c>
      <c r="E50" s="1198"/>
      <c r="F50" s="1198"/>
      <c r="G50"/>
      <c r="H50" s="1204" t="s">
        <v>934</v>
      </c>
      <c r="I50"/>
      <c r="J50"/>
      <c r="K50"/>
      <c r="L50"/>
      <c r="M50"/>
      <c r="AA50" s="23"/>
      <c r="AB50" s="23"/>
      <c r="AC50" s="23"/>
      <c r="AD50" s="23"/>
      <c r="AE50" s="23"/>
      <c r="AF50" s="23"/>
      <c r="AG50" s="23"/>
      <c r="AH50" s="23"/>
      <c r="AI50" s="23"/>
      <c r="AJ50" s="23"/>
      <c r="AK50" s="23"/>
      <c r="AL50" s="23"/>
      <c r="AM50" s="23"/>
      <c r="AN50" s="23"/>
      <c r="AO50" s="23"/>
      <c r="AP50" s="23"/>
      <c r="AQ50" s="23"/>
    </row>
    <row r="51" spans="1:43" ht="15" customHeight="1" x14ac:dyDescent="0.4">
      <c r="D51" s="1197" t="s">
        <v>930</v>
      </c>
      <c r="E51" s="1199"/>
      <c r="F51" s="1199"/>
      <c r="H51" s="1204" t="s">
        <v>935</v>
      </c>
      <c r="AA51" s="23"/>
      <c r="AB51" s="23"/>
      <c r="AC51" s="23"/>
      <c r="AD51" s="23"/>
      <c r="AE51" s="23"/>
      <c r="AF51" s="23"/>
      <c r="AG51" s="23"/>
      <c r="AH51" s="23"/>
      <c r="AI51" s="23"/>
      <c r="AJ51" s="23"/>
      <c r="AK51" s="23"/>
      <c r="AL51" s="23"/>
      <c r="AM51" s="23"/>
      <c r="AN51" s="23"/>
      <c r="AO51" s="23"/>
      <c r="AP51" s="23"/>
      <c r="AQ51" s="23"/>
    </row>
    <row r="52" spans="1:43" ht="15" customHeight="1" x14ac:dyDescent="0.3">
      <c r="D52" s="1199"/>
      <c r="E52" s="1199"/>
      <c r="F52" s="1199"/>
      <c r="H52" s="23"/>
      <c r="AA52" s="23"/>
      <c r="AB52" s="23"/>
      <c r="AC52" s="23"/>
      <c r="AD52" s="23"/>
      <c r="AE52" s="23"/>
      <c r="AF52" s="23"/>
      <c r="AG52" s="23"/>
      <c r="AH52" s="23"/>
      <c r="AI52" s="23"/>
      <c r="AJ52" s="23"/>
      <c r="AK52" s="23"/>
      <c r="AL52" s="23"/>
      <c r="AM52" s="23"/>
      <c r="AN52" s="23"/>
      <c r="AO52" s="23"/>
      <c r="AP52" s="23"/>
      <c r="AQ52" s="23"/>
    </row>
    <row r="53" spans="1:43" ht="15" customHeight="1" x14ac:dyDescent="0.4">
      <c r="D53" s="1200" t="s">
        <v>936</v>
      </c>
      <c r="E53" s="1202"/>
      <c r="F53" s="1202"/>
      <c r="H53" s="23"/>
      <c r="AA53" s="23"/>
      <c r="AB53" s="23"/>
      <c r="AC53" s="23"/>
      <c r="AD53" s="23"/>
      <c r="AE53" s="23"/>
      <c r="AF53" s="23"/>
      <c r="AG53" s="23"/>
      <c r="AH53" s="23"/>
      <c r="AI53" s="23"/>
      <c r="AJ53" s="23"/>
      <c r="AK53" s="23"/>
      <c r="AL53" s="23"/>
      <c r="AM53" s="23"/>
      <c r="AN53" s="23"/>
      <c r="AO53" s="23"/>
      <c r="AP53" s="23"/>
      <c r="AQ53" s="23"/>
    </row>
    <row r="54" spans="1:43" ht="15" customHeight="1" x14ac:dyDescent="0.4">
      <c r="D54" s="1197" t="s">
        <v>933</v>
      </c>
      <c r="E54" s="1199"/>
      <c r="F54" s="1199"/>
      <c r="H54" s="1204" t="s">
        <v>937</v>
      </c>
      <c r="AA54" s="23"/>
      <c r="AB54" s="23"/>
      <c r="AC54" s="23"/>
      <c r="AD54" s="23"/>
      <c r="AE54" s="23"/>
      <c r="AF54" s="23"/>
      <c r="AG54" s="23"/>
      <c r="AH54" s="23"/>
      <c r="AI54" s="23"/>
      <c r="AJ54" s="23"/>
      <c r="AK54" s="23"/>
      <c r="AL54" s="23"/>
      <c r="AM54" s="23"/>
      <c r="AN54" s="23"/>
      <c r="AO54" s="23"/>
      <c r="AP54" s="23"/>
      <c r="AQ54" s="23"/>
    </row>
    <row r="55" spans="1:43" ht="15" customHeight="1" x14ac:dyDescent="0.4">
      <c r="D55" s="1197" t="s">
        <v>930</v>
      </c>
      <c r="E55" s="1199"/>
      <c r="F55" s="1199"/>
      <c r="H55" s="1204" t="s">
        <v>938</v>
      </c>
    </row>
  </sheetData>
  <dataValidations disablePrompts="1"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topLeftCell="A6" zoomScale="51" zoomScaleNormal="145" workbookViewId="0">
      <selection activeCell="E27" sqref="E27"/>
    </sheetView>
  </sheetViews>
  <sheetFormatPr defaultColWidth="9" defaultRowHeight="14.25" customHeight="1" outlineLevelCol="1" x14ac:dyDescent="0.3"/>
  <cols>
    <col min="1" max="1" width="2" style="94" customWidth="1"/>
    <col min="2" max="2" width="50.5" style="94" customWidth="1"/>
    <col min="3" max="3" width="3.33203125" style="21" customWidth="1"/>
    <col min="4" max="7" width="9.5" style="94" customWidth="1" outlineLevel="1"/>
    <col min="8" max="8" width="11.5" style="94" customWidth="1"/>
    <col min="9" max="9" width="1.5" style="21" customWidth="1"/>
    <col min="10" max="13" width="9.5" style="94" customWidth="1" outlineLevel="1"/>
    <col min="14" max="14" width="11.5" style="94" customWidth="1"/>
    <col min="15" max="15" width="1.5" style="21" customWidth="1"/>
    <col min="16" max="19" width="9.5" style="94" customWidth="1" outlineLevel="1"/>
    <col min="20" max="20" width="11.5" style="94" customWidth="1"/>
    <col min="21" max="21" width="1.5" style="21" customWidth="1"/>
    <col min="22" max="25" width="9.5" style="94" customWidth="1" outlineLevel="1"/>
    <col min="26" max="26" width="11.5" style="94" customWidth="1"/>
    <col min="27" max="27" width="1.5" style="21" customWidth="1"/>
    <col min="28" max="31" width="9.5" style="94" customWidth="1" outlineLevel="1"/>
    <col min="32" max="32" width="11.5" style="94" customWidth="1"/>
    <col min="33" max="33" width="1.5" style="21" customWidth="1"/>
    <col min="34" max="37" width="9.5" style="94" customWidth="1" outlineLevel="1"/>
    <col min="38" max="38" width="11.5" style="94" customWidth="1"/>
    <col min="39" max="39" width="1.5" style="21" customWidth="1"/>
    <col min="40" max="43" width="9.5" style="94" customWidth="1" outlineLevel="1"/>
    <col min="44" max="44" width="11.5" style="94" customWidth="1"/>
    <col min="45" max="45" width="1.5" style="21" customWidth="1"/>
    <col min="46" max="46" width="11.5" style="94" customWidth="1"/>
    <col min="47" max="47" width="1.5" style="21" customWidth="1"/>
    <col min="48" max="48" width="11.5" style="102" customWidth="1"/>
    <col min="49" max="49" width="1.5" style="21" customWidth="1"/>
    <col min="50" max="50" width="11.5" style="94" customWidth="1"/>
    <col min="51" max="51" width="1.5" style="94" customWidth="1"/>
    <col min="52" max="16384" width="9" style="94"/>
  </cols>
  <sheetData>
    <row r="1" spans="2:50" s="569" customFormat="1" ht="15" customHeight="1" x14ac:dyDescent="0.3"/>
    <row r="2" spans="2:50" s="569" customFormat="1" ht="15" customHeight="1" x14ac:dyDescent="0.3"/>
    <row r="3" spans="2:50" s="569" customFormat="1" ht="15" customHeight="1" x14ac:dyDescent="0.3"/>
    <row r="4" spans="2:50" s="569" customFormat="1" ht="15" customHeight="1" x14ac:dyDescent="0.3"/>
    <row r="5" spans="2:50" s="285" customFormat="1" ht="4" customHeight="1" x14ac:dyDescent="0.3">
      <c r="C5" s="34"/>
      <c r="I5" s="34"/>
      <c r="O5" s="34"/>
      <c r="U5" s="34"/>
      <c r="AA5" s="34"/>
      <c r="AG5" s="34"/>
      <c r="AM5" s="34"/>
      <c r="AS5" s="34"/>
      <c r="AU5" s="34"/>
      <c r="AV5" s="286"/>
      <c r="AW5" s="34"/>
    </row>
    <row r="7" spans="2:50" s="38" customFormat="1" ht="15" customHeight="1" x14ac:dyDescent="0.3">
      <c r="B7" s="158" t="s">
        <v>704</v>
      </c>
      <c r="C7" s="16"/>
      <c r="D7" s="199">
        <v>2020</v>
      </c>
      <c r="E7" s="199">
        <v>2020</v>
      </c>
      <c r="F7" s="199">
        <v>2020</v>
      </c>
      <c r="G7" s="199">
        <v>2020</v>
      </c>
      <c r="H7" s="199">
        <v>2020</v>
      </c>
      <c r="I7" s="16"/>
      <c r="J7" s="199">
        <v>2021</v>
      </c>
      <c r="K7" s="199">
        <v>2021</v>
      </c>
      <c r="L7" s="199">
        <v>2021</v>
      </c>
      <c r="M7" s="199">
        <v>2021</v>
      </c>
      <c r="N7" s="199">
        <v>2021</v>
      </c>
      <c r="O7" s="166"/>
      <c r="P7" s="199">
        <v>2022</v>
      </c>
      <c r="Q7" s="199">
        <v>2022</v>
      </c>
      <c r="R7" s="199">
        <v>2022</v>
      </c>
      <c r="S7" s="199">
        <v>2022</v>
      </c>
      <c r="T7" s="199">
        <v>2022</v>
      </c>
      <c r="U7" s="166"/>
      <c r="V7" s="199">
        <v>2023</v>
      </c>
      <c r="W7" s="199">
        <v>2023</v>
      </c>
      <c r="X7" s="199">
        <v>2023</v>
      </c>
      <c r="Y7" s="199">
        <v>2023</v>
      </c>
      <c r="Z7" s="199">
        <v>2023</v>
      </c>
      <c r="AA7" s="167"/>
      <c r="AB7" s="199">
        <v>2024</v>
      </c>
      <c r="AC7" s="199">
        <v>2024</v>
      </c>
      <c r="AD7" s="199">
        <v>2024</v>
      </c>
      <c r="AE7" s="199">
        <v>2024</v>
      </c>
      <c r="AF7" s="199">
        <v>2024</v>
      </c>
      <c r="AG7" s="167"/>
      <c r="AH7" s="199">
        <v>2025</v>
      </c>
      <c r="AI7" s="199">
        <v>2025</v>
      </c>
      <c r="AJ7" s="200">
        <v>2025</v>
      </c>
      <c r="AK7" s="199">
        <v>2025</v>
      </c>
      <c r="AL7" s="199">
        <v>2025</v>
      </c>
      <c r="AM7" s="168"/>
      <c r="AN7" s="199">
        <v>2025</v>
      </c>
      <c r="AO7" s="199">
        <v>2025</v>
      </c>
      <c r="AP7" s="200">
        <v>2025</v>
      </c>
      <c r="AQ7" s="199">
        <v>2025</v>
      </c>
      <c r="AR7" s="199">
        <v>2025</v>
      </c>
      <c r="AS7" s="16"/>
      <c r="AT7" s="159"/>
      <c r="AU7" s="16"/>
      <c r="AV7" s="160"/>
      <c r="AW7" s="16"/>
      <c r="AX7" s="160"/>
    </row>
    <row r="8" spans="2:50" s="38" customFormat="1" ht="15" customHeight="1" x14ac:dyDescent="0.3">
      <c r="B8" s="161"/>
      <c r="C8" s="16"/>
      <c r="D8" s="1244">
        <v>2020</v>
      </c>
      <c r="E8" s="1244"/>
      <c r="F8" s="1244"/>
      <c r="G8" s="1244"/>
      <c r="H8" s="1244"/>
      <c r="I8" s="166"/>
      <c r="J8" s="1244">
        <v>2021</v>
      </c>
      <c r="K8" s="1244"/>
      <c r="L8" s="1244"/>
      <c r="M8" s="1244"/>
      <c r="N8" s="1244"/>
      <c r="O8" s="166"/>
      <c r="P8" s="1244">
        <v>2022</v>
      </c>
      <c r="Q8" s="1244"/>
      <c r="R8" s="1244"/>
      <c r="S8" s="1244"/>
      <c r="T8" s="1244"/>
      <c r="U8" s="166"/>
      <c r="V8" s="1244">
        <v>2023</v>
      </c>
      <c r="W8" s="1244"/>
      <c r="X8" s="1244"/>
      <c r="Y8" s="1244"/>
      <c r="Z8" s="1244"/>
      <c r="AA8" s="166"/>
      <c r="AB8" s="1244">
        <v>2024</v>
      </c>
      <c r="AC8" s="1244"/>
      <c r="AD8" s="1244"/>
      <c r="AE8" s="1244"/>
      <c r="AF8" s="1244"/>
      <c r="AG8" s="166"/>
      <c r="AH8" s="1243">
        <v>2025</v>
      </c>
      <c r="AI8" s="1243"/>
      <c r="AJ8" s="1243"/>
      <c r="AK8" s="1243"/>
      <c r="AL8" s="1243"/>
      <c r="AM8" s="166"/>
      <c r="AN8" s="1243">
        <v>2026</v>
      </c>
      <c r="AO8" s="1243"/>
      <c r="AP8" s="1243"/>
      <c r="AQ8" s="1243"/>
      <c r="AR8" s="1243"/>
      <c r="AS8" s="168"/>
      <c r="AT8" s="163">
        <v>2027</v>
      </c>
      <c r="AU8" s="164"/>
      <c r="AV8" s="163">
        <v>2028</v>
      </c>
      <c r="AW8" s="164"/>
      <c r="AX8" s="163">
        <v>2029</v>
      </c>
    </row>
    <row r="9" spans="2:50" s="38" customFormat="1" ht="14.25" customHeight="1" x14ac:dyDescent="0.3">
      <c r="B9" s="161"/>
      <c r="C9" s="16"/>
      <c r="D9" s="165" t="s">
        <v>217</v>
      </c>
      <c r="E9" s="165" t="s">
        <v>218</v>
      </c>
      <c r="F9" s="165" t="s">
        <v>219</v>
      </c>
      <c r="G9" s="165" t="s">
        <v>220</v>
      </c>
      <c r="H9" s="165" t="s">
        <v>221</v>
      </c>
      <c r="I9" s="16"/>
      <c r="J9" s="165" t="s">
        <v>217</v>
      </c>
      <c r="K9" s="165" t="s">
        <v>218</v>
      </c>
      <c r="L9" s="165" t="s">
        <v>219</v>
      </c>
      <c r="M9" s="165" t="s">
        <v>220</v>
      </c>
      <c r="N9" s="165" t="s">
        <v>221</v>
      </c>
      <c r="O9" s="162"/>
      <c r="P9" s="165" t="s">
        <v>217</v>
      </c>
      <c r="Q9" s="165" t="s">
        <v>218</v>
      </c>
      <c r="R9" s="165" t="s">
        <v>219</v>
      </c>
      <c r="S9" s="165" t="s">
        <v>220</v>
      </c>
      <c r="T9" s="165" t="s">
        <v>221</v>
      </c>
      <c r="U9" s="162"/>
      <c r="V9" s="165" t="s">
        <v>217</v>
      </c>
      <c r="W9" s="165" t="s">
        <v>218</v>
      </c>
      <c r="X9" s="165" t="s">
        <v>219</v>
      </c>
      <c r="Y9" s="165" t="s">
        <v>220</v>
      </c>
      <c r="Z9" s="165" t="s">
        <v>221</v>
      </c>
      <c r="AA9" s="162"/>
      <c r="AB9" s="165" t="s">
        <v>217</v>
      </c>
      <c r="AC9" s="165" t="s">
        <v>218</v>
      </c>
      <c r="AD9" s="165" t="s">
        <v>219</v>
      </c>
      <c r="AE9" s="165" t="s">
        <v>220</v>
      </c>
      <c r="AF9" s="165" t="s">
        <v>221</v>
      </c>
      <c r="AG9" s="162"/>
      <c r="AH9" s="165" t="s">
        <v>217</v>
      </c>
      <c r="AI9" s="165" t="s">
        <v>218</v>
      </c>
      <c r="AJ9" s="165" t="s">
        <v>219</v>
      </c>
      <c r="AK9" s="165" t="s">
        <v>220</v>
      </c>
      <c r="AL9" s="165" t="s">
        <v>221</v>
      </c>
      <c r="AM9" s="162"/>
      <c r="AN9" s="165" t="s">
        <v>217</v>
      </c>
      <c r="AO9" s="165" t="s">
        <v>218</v>
      </c>
      <c r="AP9" s="165" t="s">
        <v>219</v>
      </c>
      <c r="AQ9" s="165" t="s">
        <v>220</v>
      </c>
      <c r="AR9" s="165" t="s">
        <v>221</v>
      </c>
      <c r="AS9" s="162"/>
      <c r="AT9" s="165" t="s">
        <v>221</v>
      </c>
      <c r="AU9" s="162"/>
      <c r="AV9" s="165" t="s">
        <v>221</v>
      </c>
      <c r="AW9" s="162"/>
      <c r="AX9" s="165" t="s">
        <v>221</v>
      </c>
    </row>
    <row r="10" spans="2:50" s="38" customFormat="1" ht="4" customHeight="1" x14ac:dyDescent="0.3">
      <c r="B10" s="173"/>
      <c r="C10" s="33"/>
      <c r="D10" s="174"/>
      <c r="E10" s="174"/>
      <c r="F10" s="174"/>
      <c r="G10" s="174"/>
      <c r="H10" s="174"/>
      <c r="I10" s="33"/>
      <c r="J10" s="174"/>
      <c r="K10" s="174"/>
      <c r="L10" s="174"/>
      <c r="M10" s="174"/>
      <c r="N10" s="174"/>
      <c r="O10" s="175"/>
      <c r="P10" s="174"/>
      <c r="Q10" s="174"/>
      <c r="R10" s="174"/>
      <c r="S10" s="174"/>
      <c r="T10" s="174"/>
      <c r="U10" s="175"/>
      <c r="V10" s="174"/>
      <c r="W10" s="174"/>
      <c r="X10" s="174"/>
      <c r="Y10" s="174"/>
      <c r="Z10" s="174"/>
      <c r="AA10" s="175"/>
      <c r="AB10" s="174"/>
      <c r="AC10" s="174"/>
      <c r="AD10" s="174"/>
      <c r="AE10" s="174"/>
      <c r="AF10" s="174"/>
      <c r="AG10" s="175"/>
      <c r="AH10" s="174"/>
      <c r="AI10" s="174"/>
      <c r="AJ10" s="174"/>
      <c r="AK10" s="174"/>
      <c r="AL10" s="176"/>
      <c r="AM10" s="177"/>
      <c r="AN10" s="176"/>
      <c r="AO10" s="176"/>
      <c r="AP10" s="176"/>
      <c r="AQ10" s="176"/>
      <c r="AR10" s="176"/>
      <c r="AS10" s="177"/>
      <c r="AT10" s="176"/>
      <c r="AU10" s="177"/>
      <c r="AV10" s="176"/>
      <c r="AW10" s="177"/>
      <c r="AX10" s="176"/>
    </row>
    <row r="11" spans="2:50" s="38" customFormat="1" ht="4" customHeight="1" x14ac:dyDescent="0.3">
      <c r="B11" s="169"/>
      <c r="C11" s="17"/>
      <c r="D11" s="170"/>
      <c r="E11" s="170"/>
      <c r="F11" s="170"/>
      <c r="G11" s="170"/>
      <c r="H11" s="170"/>
      <c r="I11" s="17"/>
      <c r="J11" s="170"/>
      <c r="K11" s="170"/>
      <c r="L11" s="170"/>
      <c r="M11" s="170"/>
      <c r="N11" s="170"/>
      <c r="O11" s="171"/>
      <c r="P11" s="170"/>
      <c r="Q11" s="170"/>
      <c r="R11" s="170"/>
      <c r="S11" s="170"/>
      <c r="T11" s="170"/>
      <c r="U11" s="171"/>
      <c r="V11" s="170"/>
      <c r="W11" s="170"/>
      <c r="X11" s="170"/>
      <c r="Y11" s="170"/>
      <c r="Z11" s="170"/>
      <c r="AA11" s="171"/>
      <c r="AB11" s="170"/>
      <c r="AC11" s="170"/>
      <c r="AD11" s="170"/>
      <c r="AE11" s="170"/>
      <c r="AF11" s="170"/>
      <c r="AG11" s="201"/>
      <c r="AH11" s="170"/>
      <c r="AI11" s="170"/>
      <c r="AJ11" s="170"/>
      <c r="AK11" s="170"/>
      <c r="AL11" s="172"/>
      <c r="AM11" s="32"/>
      <c r="AN11" s="172"/>
      <c r="AO11" s="172"/>
      <c r="AP11" s="172"/>
      <c r="AQ11" s="172"/>
      <c r="AR11" s="172"/>
      <c r="AS11" s="32"/>
      <c r="AT11" s="172"/>
      <c r="AU11" s="32"/>
      <c r="AV11" s="172"/>
      <c r="AW11" s="32"/>
      <c r="AX11" s="172"/>
    </row>
    <row r="12" spans="2:50" s="51" customFormat="1" ht="14.25" customHeight="1" x14ac:dyDescent="0.3">
      <c r="B12" s="42" t="s">
        <v>939</v>
      </c>
      <c r="C12" s="21"/>
      <c r="D12" s="43"/>
      <c r="E12" s="43"/>
      <c r="F12" s="43"/>
      <c r="G12" s="43"/>
      <c r="H12" s="44"/>
      <c r="I12" s="45"/>
      <c r="J12" s="43"/>
      <c r="K12" s="43"/>
      <c r="L12" s="43"/>
      <c r="M12" s="43"/>
      <c r="N12" s="44"/>
      <c r="O12" s="44"/>
      <c r="P12" s="43"/>
      <c r="Q12" s="43"/>
      <c r="R12" s="43"/>
      <c r="S12" s="43"/>
      <c r="T12" s="44"/>
      <c r="U12" s="44"/>
      <c r="V12" s="43"/>
      <c r="W12" s="43"/>
      <c r="X12" s="43"/>
      <c r="Y12" s="43"/>
      <c r="Z12" s="44"/>
      <c r="AA12" s="44"/>
      <c r="AB12" s="43"/>
      <c r="AC12" s="43"/>
      <c r="AD12" s="43"/>
      <c r="AE12" s="43"/>
      <c r="AF12" s="44"/>
      <c r="AG12" s="46"/>
      <c r="AH12" s="43"/>
      <c r="AI12" s="43"/>
      <c r="AJ12" s="47"/>
      <c r="AK12" s="47"/>
      <c r="AL12" s="44"/>
      <c r="AM12" s="48"/>
      <c r="AN12" s="47"/>
      <c r="AO12" s="47"/>
      <c r="AP12" s="47"/>
      <c r="AQ12" s="47"/>
      <c r="AR12" s="44"/>
      <c r="AS12" s="48"/>
      <c r="AT12" s="49"/>
      <c r="AU12" s="50"/>
      <c r="AV12" s="49"/>
      <c r="AW12" s="50"/>
      <c r="AX12" s="49"/>
    </row>
    <row r="13" spans="2:50" s="51" customFormat="1" ht="14.25" hidden="1" customHeight="1" x14ac:dyDescent="0.3">
      <c r="B13" s="53" t="s">
        <v>940</v>
      </c>
      <c r="C13" s="21"/>
      <c r="D13" s="47"/>
      <c r="E13" s="47"/>
      <c r="F13" s="47"/>
      <c r="G13" s="47"/>
      <c r="H13" s="49"/>
      <c r="I13" s="45"/>
      <c r="J13" s="47"/>
      <c r="K13" s="47"/>
      <c r="L13" s="47"/>
      <c r="M13" s="47"/>
      <c r="N13" s="49"/>
      <c r="O13" s="44"/>
      <c r="P13" s="47"/>
      <c r="Q13" s="47"/>
      <c r="R13" s="47"/>
      <c r="S13" s="47"/>
      <c r="T13" s="49"/>
      <c r="U13" s="44"/>
      <c r="V13" s="47"/>
      <c r="W13" s="47"/>
      <c r="X13" s="47"/>
      <c r="Y13" s="47"/>
      <c r="Z13" s="49"/>
      <c r="AA13" s="44"/>
      <c r="AB13" s="47"/>
      <c r="AC13" s="47"/>
      <c r="AD13" s="47"/>
      <c r="AE13" s="47"/>
      <c r="AF13" s="49"/>
      <c r="AG13" s="46"/>
      <c r="AH13" s="47"/>
      <c r="AI13" s="47"/>
      <c r="AJ13" s="47"/>
      <c r="AK13" s="47"/>
      <c r="AL13" s="49"/>
      <c r="AM13" s="48"/>
      <c r="AN13" s="47"/>
      <c r="AO13" s="47"/>
      <c r="AP13" s="47"/>
      <c r="AQ13" s="47"/>
      <c r="AR13" s="49"/>
      <c r="AS13" s="48"/>
      <c r="AT13" s="49"/>
      <c r="AU13" s="50"/>
      <c r="AV13" s="49"/>
      <c r="AW13" s="50"/>
      <c r="AX13" s="49"/>
    </row>
    <row r="14" spans="2:50" s="51" customFormat="1" ht="14.25" hidden="1" customHeight="1" x14ac:dyDescent="0.3">
      <c r="B14" s="53" t="s">
        <v>941</v>
      </c>
      <c r="C14" s="21"/>
      <c r="D14" s="47"/>
      <c r="E14" s="47"/>
      <c r="F14" s="47"/>
      <c r="G14" s="47"/>
      <c r="H14" s="49"/>
      <c r="I14" s="45"/>
      <c r="J14" s="47"/>
      <c r="K14" s="47"/>
      <c r="L14" s="47"/>
      <c r="M14" s="47"/>
      <c r="N14" s="49"/>
      <c r="O14" s="44"/>
      <c r="P14" s="47"/>
      <c r="Q14" s="47"/>
      <c r="R14" s="47"/>
      <c r="S14" s="47"/>
      <c r="T14" s="49"/>
      <c r="U14" s="44"/>
      <c r="V14" s="47"/>
      <c r="W14" s="47"/>
      <c r="X14" s="47"/>
      <c r="Y14" s="47"/>
      <c r="Z14" s="49"/>
      <c r="AA14" s="44"/>
      <c r="AB14" s="47"/>
      <c r="AC14" s="47"/>
      <c r="AD14" s="47"/>
      <c r="AE14" s="47"/>
      <c r="AF14" s="49"/>
      <c r="AG14" s="46"/>
      <c r="AH14" s="47"/>
      <c r="AI14" s="47"/>
      <c r="AJ14" s="47"/>
      <c r="AK14" s="47"/>
      <c r="AL14" s="49"/>
      <c r="AM14" s="48"/>
      <c r="AN14" s="47"/>
      <c r="AO14" s="47"/>
      <c r="AP14" s="47"/>
      <c r="AQ14" s="47"/>
      <c r="AR14" s="49"/>
      <c r="AS14" s="48"/>
      <c r="AT14" s="49"/>
      <c r="AU14" s="50"/>
      <c r="AV14" s="49"/>
      <c r="AW14" s="50"/>
      <c r="AX14" s="49"/>
    </row>
    <row r="15" spans="2:50" s="51" customFormat="1" ht="14.25" hidden="1" customHeight="1" x14ac:dyDescent="0.3">
      <c r="B15" s="53" t="s">
        <v>942</v>
      </c>
      <c r="C15" s="21"/>
      <c r="D15" s="47"/>
      <c r="E15" s="47"/>
      <c r="F15" s="47"/>
      <c r="G15" s="47"/>
      <c r="H15" s="49"/>
      <c r="I15" s="45"/>
      <c r="J15" s="47"/>
      <c r="K15" s="47"/>
      <c r="L15" s="47"/>
      <c r="M15" s="47"/>
      <c r="N15" s="49"/>
      <c r="O15" s="44"/>
      <c r="P15" s="47"/>
      <c r="Q15" s="47"/>
      <c r="R15" s="47"/>
      <c r="S15" s="47"/>
      <c r="T15" s="49"/>
      <c r="U15" s="44"/>
      <c r="V15" s="47"/>
      <c r="W15" s="47"/>
      <c r="X15" s="47"/>
      <c r="Y15" s="47"/>
      <c r="Z15" s="49"/>
      <c r="AA15" s="44"/>
      <c r="AB15" s="47"/>
      <c r="AC15" s="47"/>
      <c r="AD15" s="47"/>
      <c r="AE15" s="47"/>
      <c r="AF15" s="49"/>
      <c r="AG15" s="46"/>
      <c r="AH15" s="47"/>
      <c r="AI15" s="47"/>
      <c r="AJ15" s="47"/>
      <c r="AK15" s="47"/>
      <c r="AL15" s="49"/>
      <c r="AM15" s="48"/>
      <c r="AN15" s="47"/>
      <c r="AO15" s="47"/>
      <c r="AP15" s="47"/>
      <c r="AQ15" s="47"/>
      <c r="AR15" s="49"/>
      <c r="AS15" s="48"/>
      <c r="AT15" s="49"/>
      <c r="AU15" s="50"/>
      <c r="AV15" s="49"/>
      <c r="AW15" s="50"/>
      <c r="AX15" s="49"/>
    </row>
    <row r="16" spans="2:50" s="51" customFormat="1" ht="14.25" hidden="1" customHeight="1" x14ac:dyDescent="0.3">
      <c r="B16" s="53" t="s">
        <v>943</v>
      </c>
      <c r="C16" s="21"/>
      <c r="D16" s="47"/>
      <c r="E16" s="47"/>
      <c r="F16" s="47"/>
      <c r="G16" s="47"/>
      <c r="H16" s="55"/>
      <c r="I16" s="45"/>
      <c r="J16" s="47"/>
      <c r="K16" s="47"/>
      <c r="L16" s="47"/>
      <c r="M16" s="47"/>
      <c r="N16" s="55"/>
      <c r="O16" s="54"/>
      <c r="P16" s="47"/>
      <c r="Q16" s="47"/>
      <c r="R16" s="47"/>
      <c r="S16" s="47"/>
      <c r="T16" s="55"/>
      <c r="U16" s="54"/>
      <c r="V16" s="47"/>
      <c r="W16" s="47"/>
      <c r="X16" s="47"/>
      <c r="Y16" s="47"/>
      <c r="Z16" s="55"/>
      <c r="AA16" s="54"/>
      <c r="AB16" s="47"/>
      <c r="AC16" s="47"/>
      <c r="AD16" s="47"/>
      <c r="AE16" s="47"/>
      <c r="AF16" s="55"/>
      <c r="AG16" s="46"/>
      <c r="AH16" s="47"/>
      <c r="AI16" s="47"/>
      <c r="AJ16" s="47"/>
      <c r="AK16" s="47"/>
      <c r="AL16" s="55"/>
      <c r="AM16" s="48"/>
      <c r="AN16" s="47"/>
      <c r="AO16" s="47"/>
      <c r="AP16" s="47"/>
      <c r="AQ16" s="47"/>
      <c r="AR16" s="55"/>
      <c r="AS16" s="48"/>
      <c r="AT16" s="55"/>
      <c r="AU16" s="50"/>
      <c r="AV16" s="55"/>
      <c r="AW16" s="50"/>
      <c r="AX16" s="55"/>
    </row>
    <row r="17" spans="1:50" s="51" customFormat="1" ht="14.25" hidden="1" customHeight="1" x14ac:dyDescent="0.3">
      <c r="A17" s="52"/>
      <c r="B17" s="53" t="s">
        <v>944</v>
      </c>
      <c r="C17" s="21"/>
      <c r="D17" s="47"/>
      <c r="E17" s="47"/>
      <c r="F17" s="47"/>
      <c r="G17" s="47"/>
      <c r="H17" s="55"/>
      <c r="I17" s="45"/>
      <c r="J17" s="47"/>
      <c r="K17" s="47"/>
      <c r="L17" s="47"/>
      <c r="M17" s="47"/>
      <c r="N17" s="55"/>
      <c r="O17" s="54"/>
      <c r="P17" s="47"/>
      <c r="Q17" s="47"/>
      <c r="R17" s="47"/>
      <c r="S17" s="47"/>
      <c r="T17" s="55"/>
      <c r="U17" s="54"/>
      <c r="V17" s="47"/>
      <c r="W17" s="47"/>
      <c r="X17" s="47"/>
      <c r="Y17" s="47"/>
      <c r="Z17" s="55"/>
      <c r="AA17" s="54"/>
      <c r="AB17" s="47"/>
      <c r="AC17" s="47"/>
      <c r="AD17" s="47"/>
      <c r="AE17" s="47"/>
      <c r="AF17" s="55"/>
      <c r="AG17" s="46"/>
      <c r="AH17" s="47"/>
      <c r="AI17" s="47"/>
      <c r="AJ17" s="47"/>
      <c r="AK17" s="47"/>
      <c r="AL17" s="55"/>
      <c r="AM17" s="48"/>
      <c r="AN17" s="47"/>
      <c r="AO17" s="47"/>
      <c r="AP17" s="47"/>
      <c r="AQ17" s="47"/>
      <c r="AR17" s="55"/>
      <c r="AS17" s="48"/>
      <c r="AT17" s="55"/>
      <c r="AU17" s="50"/>
      <c r="AV17" s="55"/>
      <c r="AW17" s="50"/>
      <c r="AX17" s="55"/>
    </row>
    <row r="18" spans="1:50" s="51" customFormat="1" ht="14.25" customHeight="1" x14ac:dyDescent="0.3">
      <c r="A18" s="52"/>
      <c r="B18" s="56" t="s">
        <v>223</v>
      </c>
      <c r="C18" s="21"/>
      <c r="D18" s="57">
        <v>5229</v>
      </c>
      <c r="E18" s="57">
        <v>4244</v>
      </c>
      <c r="F18" s="57">
        <v>4919</v>
      </c>
      <c r="G18" s="57">
        <v>5141</v>
      </c>
      <c r="H18" s="58">
        <v>19533</v>
      </c>
      <c r="I18" s="45"/>
      <c r="J18" s="57">
        <v>5001</v>
      </c>
      <c r="K18" s="57">
        <v>5504</v>
      </c>
      <c r="L18" s="57">
        <v>5566</v>
      </c>
      <c r="M18" s="57">
        <v>5733</v>
      </c>
      <c r="N18" s="58">
        <v>21804</v>
      </c>
      <c r="O18" s="44"/>
      <c r="P18" s="57">
        <v>5860</v>
      </c>
      <c r="Q18" s="57">
        <v>6269</v>
      </c>
      <c r="R18" s="57">
        <v>6566</v>
      </c>
      <c r="S18" s="57">
        <v>6180</v>
      </c>
      <c r="T18" s="58">
        <v>24875</v>
      </c>
      <c r="U18" s="44"/>
      <c r="V18" s="57">
        <v>6056</v>
      </c>
      <c r="W18" s="57">
        <v>5963</v>
      </c>
      <c r="X18" s="57">
        <v>5941</v>
      </c>
      <c r="Y18" s="57">
        <v>6159</v>
      </c>
      <c r="Z18" s="58">
        <v>24119</v>
      </c>
      <c r="AA18" s="44"/>
      <c r="AB18" s="57">
        <v>6031</v>
      </c>
      <c r="AC18" s="57">
        <v>6007</v>
      </c>
      <c r="AD18" s="57">
        <v>6091</v>
      </c>
      <c r="AE18" s="57">
        <v>6121</v>
      </c>
      <c r="AF18" s="58">
        <v>24250</v>
      </c>
      <c r="AG18" s="46"/>
      <c r="AH18" s="57">
        <v>6027</v>
      </c>
      <c r="AI18" s="57">
        <v>6154</v>
      </c>
      <c r="AJ18" s="59"/>
      <c r="AK18" s="59"/>
      <c r="AL18" s="60"/>
      <c r="AM18" s="48"/>
      <c r="AN18" s="59"/>
      <c r="AO18" s="59"/>
      <c r="AP18" s="59"/>
      <c r="AQ18" s="59"/>
      <c r="AR18" s="60"/>
      <c r="AS18" s="48"/>
      <c r="AT18" s="60"/>
      <c r="AU18" s="50"/>
      <c r="AV18" s="60"/>
      <c r="AW18" s="50"/>
      <c r="AX18" s="60"/>
    </row>
    <row r="19" spans="1:50" s="51" customFormat="1" ht="14.25" customHeight="1" x14ac:dyDescent="0.3">
      <c r="A19" s="52"/>
      <c r="B19" s="61"/>
      <c r="C19" s="21"/>
      <c r="D19" s="43"/>
      <c r="E19" s="43"/>
      <c r="F19" s="43"/>
      <c r="G19" s="43"/>
      <c r="H19" s="44"/>
      <c r="I19" s="45"/>
      <c r="J19" s="43"/>
      <c r="K19" s="43"/>
      <c r="L19" s="43"/>
      <c r="M19" s="43"/>
      <c r="N19" s="44"/>
      <c r="O19" s="44"/>
      <c r="P19" s="43"/>
      <c r="Q19" s="43"/>
      <c r="R19" s="43"/>
      <c r="S19" s="43"/>
      <c r="T19" s="44"/>
      <c r="U19" s="44"/>
      <c r="V19" s="43"/>
      <c r="W19" s="43"/>
      <c r="X19" s="43"/>
      <c r="Y19" s="43"/>
      <c r="Z19" s="44"/>
      <c r="AA19" s="44"/>
      <c r="AB19" s="43"/>
      <c r="AC19" s="43"/>
      <c r="AD19" s="43"/>
      <c r="AE19" s="43"/>
      <c r="AF19" s="44"/>
      <c r="AG19" s="46"/>
      <c r="AH19" s="559"/>
      <c r="AI19" s="43"/>
      <c r="AJ19" s="47"/>
      <c r="AK19" s="47"/>
      <c r="AL19" s="49"/>
      <c r="AM19" s="48"/>
      <c r="AN19" s="47"/>
      <c r="AO19" s="47"/>
      <c r="AP19" s="47"/>
      <c r="AQ19" s="47"/>
      <c r="AR19" s="49"/>
      <c r="AS19" s="48"/>
      <c r="AT19" s="49"/>
      <c r="AU19" s="50"/>
      <c r="AV19" s="49"/>
      <c r="AW19" s="50"/>
      <c r="AX19" s="49"/>
    </row>
    <row r="20" spans="1:50" s="51" customFormat="1" ht="14.25" customHeight="1" x14ac:dyDescent="0.3">
      <c r="A20" s="41" t="s">
        <v>39</v>
      </c>
      <c r="B20" s="62" t="s">
        <v>945</v>
      </c>
      <c r="C20" s="19"/>
      <c r="D20" s="43"/>
      <c r="E20" s="43"/>
      <c r="F20" s="43"/>
      <c r="G20" s="43"/>
      <c r="H20" s="63"/>
      <c r="I20" s="45"/>
      <c r="J20" s="43"/>
      <c r="K20" s="43"/>
      <c r="L20" s="43"/>
      <c r="M20" s="43"/>
      <c r="N20" s="63"/>
      <c r="O20" s="45"/>
      <c r="P20" s="43"/>
      <c r="Q20" s="43"/>
      <c r="R20" s="43"/>
      <c r="S20" s="43"/>
      <c r="T20" s="63"/>
      <c r="U20" s="45"/>
      <c r="V20" s="43"/>
      <c r="W20" s="43"/>
      <c r="X20" s="43"/>
      <c r="Y20" s="43"/>
      <c r="Z20" s="63"/>
      <c r="AA20" s="48"/>
      <c r="AB20" s="43"/>
      <c r="AC20" s="43"/>
      <c r="AD20" s="43"/>
      <c r="AE20" s="43"/>
      <c r="AF20" s="63"/>
      <c r="AG20" s="46"/>
      <c r="AH20" s="43"/>
      <c r="AI20" s="43"/>
      <c r="AJ20" s="47"/>
      <c r="AK20" s="47"/>
      <c r="AL20" s="65"/>
      <c r="AM20" s="64"/>
      <c r="AN20" s="47"/>
      <c r="AO20" s="47"/>
      <c r="AP20" s="47"/>
      <c r="AQ20" s="47"/>
      <c r="AR20" s="65"/>
      <c r="AS20" s="64"/>
      <c r="AT20" s="65"/>
      <c r="AU20" s="66"/>
      <c r="AV20" s="65"/>
      <c r="AW20" s="66"/>
      <c r="AX20" s="65"/>
    </row>
    <row r="21" spans="1:50" s="51" customFormat="1" ht="14.25" customHeight="1" x14ac:dyDescent="0.3">
      <c r="A21" s="52"/>
      <c r="B21" s="67" t="s">
        <v>946</v>
      </c>
      <c r="C21" s="22"/>
      <c r="D21" s="57">
        <v>0</v>
      </c>
      <c r="E21" s="57">
        <v>0</v>
      </c>
      <c r="F21" s="57">
        <v>0</v>
      </c>
      <c r="G21" s="57">
        <v>0</v>
      </c>
      <c r="H21" s="63">
        <v>0</v>
      </c>
      <c r="I21" s="45"/>
      <c r="J21" s="57">
        <v>0</v>
      </c>
      <c r="K21" s="57">
        <v>0</v>
      </c>
      <c r="L21" s="57">
        <v>0</v>
      </c>
      <c r="M21" s="57">
        <v>0</v>
      </c>
      <c r="N21" s="63">
        <v>0</v>
      </c>
      <c r="O21" s="45"/>
      <c r="P21" s="57">
        <v>0</v>
      </c>
      <c r="Q21" s="57">
        <v>0</v>
      </c>
      <c r="R21" s="57">
        <v>0</v>
      </c>
      <c r="S21" s="57">
        <v>0</v>
      </c>
      <c r="T21" s="63"/>
      <c r="U21" s="45"/>
      <c r="V21" s="57"/>
      <c r="W21" s="57"/>
      <c r="X21" s="57"/>
      <c r="Y21" s="57"/>
      <c r="Z21" s="63"/>
      <c r="AA21" s="48"/>
      <c r="AB21" s="57"/>
      <c r="AC21" s="57"/>
      <c r="AD21" s="57"/>
      <c r="AE21" s="57"/>
      <c r="AF21" s="63"/>
      <c r="AG21" s="46"/>
      <c r="AH21" s="57">
        <v>0</v>
      </c>
      <c r="AI21" s="57">
        <v>0</v>
      </c>
      <c r="AJ21" s="47"/>
      <c r="AK21" s="47"/>
      <c r="AL21" s="65"/>
      <c r="AM21" s="68"/>
      <c r="AN21" s="47"/>
      <c r="AO21" s="47"/>
      <c r="AP21" s="47"/>
      <c r="AQ21" s="47"/>
      <c r="AR21" s="65"/>
      <c r="AS21" s="68"/>
      <c r="AT21" s="65"/>
      <c r="AU21" s="69"/>
      <c r="AV21" s="65"/>
      <c r="AW21" s="69"/>
      <c r="AX21" s="65"/>
    </row>
    <row r="22" spans="1:50" s="51" customFormat="1" ht="14.25" customHeight="1" x14ac:dyDescent="0.3">
      <c r="A22" s="70"/>
      <c r="B22" s="67" t="s">
        <v>947</v>
      </c>
      <c r="C22" s="19"/>
      <c r="D22" s="57">
        <v>0</v>
      </c>
      <c r="E22" s="57">
        <v>0</v>
      </c>
      <c r="F22" s="57">
        <v>0</v>
      </c>
      <c r="G22" s="57">
        <v>0</v>
      </c>
      <c r="H22" s="71">
        <v>0</v>
      </c>
      <c r="I22" s="45"/>
      <c r="J22" s="57">
        <v>0</v>
      </c>
      <c r="K22" s="57">
        <v>0</v>
      </c>
      <c r="L22" s="57">
        <v>0</v>
      </c>
      <c r="M22" s="57">
        <v>0</v>
      </c>
      <c r="N22" s="71">
        <v>0</v>
      </c>
      <c r="O22" s="45"/>
      <c r="P22" s="57">
        <v>0</v>
      </c>
      <c r="Q22" s="57">
        <v>0</v>
      </c>
      <c r="R22" s="57">
        <v>0</v>
      </c>
      <c r="S22" s="57">
        <v>0</v>
      </c>
      <c r="T22" s="71">
        <v>0</v>
      </c>
      <c r="U22" s="45"/>
      <c r="V22" s="57">
        <v>0</v>
      </c>
      <c r="W22" s="57">
        <v>0</v>
      </c>
      <c r="X22" s="57">
        <v>0</v>
      </c>
      <c r="Y22" s="57">
        <v>0</v>
      </c>
      <c r="Z22" s="71">
        <v>0</v>
      </c>
      <c r="AA22" s="48"/>
      <c r="AB22" s="57">
        <v>0</v>
      </c>
      <c r="AC22" s="57">
        <v>0</v>
      </c>
      <c r="AD22" s="57">
        <v>0</v>
      </c>
      <c r="AE22" s="57">
        <v>0</v>
      </c>
      <c r="AF22" s="71">
        <v>0</v>
      </c>
      <c r="AG22" s="46"/>
      <c r="AH22" s="57">
        <v>0</v>
      </c>
      <c r="AI22" s="57">
        <v>0</v>
      </c>
      <c r="AJ22" s="47"/>
      <c r="AK22" s="47"/>
      <c r="AL22" s="72"/>
      <c r="AM22" s="68"/>
      <c r="AN22" s="47"/>
      <c r="AO22" s="47"/>
      <c r="AP22" s="47"/>
      <c r="AQ22" s="47"/>
      <c r="AR22" s="72"/>
      <c r="AS22" s="68"/>
      <c r="AT22" s="72"/>
      <c r="AU22" s="69"/>
      <c r="AV22" s="72"/>
      <c r="AW22" s="69"/>
      <c r="AX22" s="72"/>
    </row>
    <row r="23" spans="1:50" s="51" customFormat="1" ht="14.25" customHeight="1" x14ac:dyDescent="0.3">
      <c r="A23" s="52"/>
      <c r="B23" s="73" t="s">
        <v>948</v>
      </c>
      <c r="C23" s="21"/>
      <c r="D23" s="43">
        <v>0</v>
      </c>
      <c r="E23" s="43">
        <v>0</v>
      </c>
      <c r="F23" s="43">
        <v>0</v>
      </c>
      <c r="G23" s="43">
        <v>0</v>
      </c>
      <c r="H23" s="74">
        <v>0</v>
      </c>
      <c r="I23" s="45"/>
      <c r="J23" s="43">
        <v>0</v>
      </c>
      <c r="K23" s="43">
        <v>0</v>
      </c>
      <c r="L23" s="43">
        <v>0</v>
      </c>
      <c r="M23" s="43">
        <v>0</v>
      </c>
      <c r="N23" s="74">
        <v>0</v>
      </c>
      <c r="O23" s="45"/>
      <c r="P23" s="43">
        <v>0</v>
      </c>
      <c r="Q23" s="43">
        <v>0</v>
      </c>
      <c r="R23" s="43">
        <v>0</v>
      </c>
      <c r="S23" s="43">
        <v>0</v>
      </c>
      <c r="T23" s="74">
        <v>0</v>
      </c>
      <c r="U23" s="45"/>
      <c r="V23" s="43">
        <v>0</v>
      </c>
      <c r="W23" s="43">
        <v>0</v>
      </c>
      <c r="X23" s="43">
        <v>0</v>
      </c>
      <c r="Y23" s="43">
        <v>0</v>
      </c>
      <c r="Z23" s="74">
        <v>0</v>
      </c>
      <c r="AA23" s="48"/>
      <c r="AB23" s="43">
        <v>0</v>
      </c>
      <c r="AC23" s="43">
        <v>0</v>
      </c>
      <c r="AD23" s="43">
        <v>0</v>
      </c>
      <c r="AE23" s="43">
        <v>0</v>
      </c>
      <c r="AF23" s="74">
        <v>0</v>
      </c>
      <c r="AG23" s="46"/>
      <c r="AH23" s="43">
        <v>0</v>
      </c>
      <c r="AI23" s="43">
        <v>0</v>
      </c>
      <c r="AJ23" s="47"/>
      <c r="AK23" s="47"/>
      <c r="AL23" s="75"/>
      <c r="AM23" s="68"/>
      <c r="AN23" s="47"/>
      <c r="AO23" s="47"/>
      <c r="AP23" s="47"/>
      <c r="AQ23" s="47"/>
      <c r="AR23" s="75"/>
      <c r="AS23" s="68"/>
      <c r="AT23" s="75"/>
      <c r="AU23" s="69"/>
      <c r="AV23" s="75"/>
      <c r="AW23" s="69"/>
      <c r="AX23" s="75"/>
    </row>
    <row r="24" spans="1:50" s="51" customFormat="1" ht="14.25" customHeight="1" x14ac:dyDescent="0.3">
      <c r="A24" s="70"/>
      <c r="B24" s="76" t="s">
        <v>250</v>
      </c>
      <c r="C24" s="19"/>
      <c r="D24" s="43">
        <f>D18</f>
        <v>5229</v>
      </c>
      <c r="E24" s="43">
        <f t="shared" ref="E24:G24" si="0">E18</f>
        <v>4244</v>
      </c>
      <c r="F24" s="43">
        <f t="shared" si="0"/>
        <v>4919</v>
      </c>
      <c r="G24" s="43">
        <f t="shared" si="0"/>
        <v>5141</v>
      </c>
      <c r="H24" s="74">
        <f>H18-H21</f>
        <v>19533</v>
      </c>
      <c r="I24" s="45"/>
      <c r="J24" s="43">
        <f t="shared" ref="J24:M24" si="1">J18</f>
        <v>5001</v>
      </c>
      <c r="K24" s="43">
        <f t="shared" si="1"/>
        <v>5504</v>
      </c>
      <c r="L24" s="43">
        <f t="shared" si="1"/>
        <v>5566</v>
      </c>
      <c r="M24" s="43">
        <f t="shared" si="1"/>
        <v>5733</v>
      </c>
      <c r="N24" s="74">
        <f>N18-N21</f>
        <v>21804</v>
      </c>
      <c r="O24" s="45"/>
      <c r="P24" s="43">
        <f t="shared" ref="P24:S24" si="2">P18</f>
        <v>5860</v>
      </c>
      <c r="Q24" s="43">
        <f t="shared" si="2"/>
        <v>6269</v>
      </c>
      <c r="R24" s="43">
        <f t="shared" si="2"/>
        <v>6566</v>
      </c>
      <c r="S24" s="43">
        <f t="shared" si="2"/>
        <v>6180</v>
      </c>
      <c r="T24" s="74">
        <f>T18-T21</f>
        <v>24875</v>
      </c>
      <c r="U24" s="45"/>
      <c r="V24" s="43">
        <f t="shared" ref="V24:Y24" si="3">V18</f>
        <v>6056</v>
      </c>
      <c r="W24" s="43">
        <f t="shared" si="3"/>
        <v>5963</v>
      </c>
      <c r="X24" s="43">
        <f t="shared" si="3"/>
        <v>5941</v>
      </c>
      <c r="Y24" s="43">
        <f t="shared" si="3"/>
        <v>6159</v>
      </c>
      <c r="Z24" s="74">
        <f>Z18-Z21</f>
        <v>24119</v>
      </c>
      <c r="AA24" s="48"/>
      <c r="AB24" s="43">
        <f t="shared" ref="AB24:AE24" si="4">AB18</f>
        <v>6031</v>
      </c>
      <c r="AC24" s="43">
        <f t="shared" si="4"/>
        <v>6007</v>
      </c>
      <c r="AD24" s="43">
        <f t="shared" si="4"/>
        <v>6091</v>
      </c>
      <c r="AE24" s="43">
        <f t="shared" si="4"/>
        <v>6121</v>
      </c>
      <c r="AF24" s="74">
        <f>AF18-AF21</f>
        <v>24250</v>
      </c>
      <c r="AG24" s="46"/>
      <c r="AH24" s="43">
        <f t="shared" ref="AH24:AI24" si="5">AH18</f>
        <v>6027</v>
      </c>
      <c r="AI24" s="43">
        <f t="shared" si="5"/>
        <v>6154</v>
      </c>
      <c r="AJ24" s="47"/>
      <c r="AK24" s="47"/>
      <c r="AL24" s="75"/>
      <c r="AM24" s="68"/>
      <c r="AN24" s="47"/>
      <c r="AO24" s="47"/>
      <c r="AP24" s="47"/>
      <c r="AQ24" s="47"/>
      <c r="AR24" s="75"/>
      <c r="AS24" s="68"/>
      <c r="AT24" s="75"/>
      <c r="AU24" s="69"/>
      <c r="AV24" s="75"/>
      <c r="AW24" s="69"/>
      <c r="AX24" s="75"/>
    </row>
    <row r="25" spans="1:50" s="51" customFormat="1" ht="14.25" customHeight="1" x14ac:dyDescent="0.3">
      <c r="A25" s="52"/>
      <c r="B25" s="77"/>
      <c r="C25" s="21"/>
      <c r="D25" s="43"/>
      <c r="E25" s="43"/>
      <c r="F25" s="43"/>
      <c r="G25" s="43"/>
      <c r="H25" s="63"/>
      <c r="I25" s="45"/>
      <c r="J25" s="43"/>
      <c r="K25" s="43"/>
      <c r="L25" s="43"/>
      <c r="M25" s="43"/>
      <c r="N25" s="63"/>
      <c r="O25" s="45"/>
      <c r="P25" s="43"/>
      <c r="Q25" s="43"/>
      <c r="R25" s="43"/>
      <c r="S25" s="43"/>
      <c r="T25" s="63"/>
      <c r="U25" s="45"/>
      <c r="V25" s="43"/>
      <c r="W25" s="43"/>
      <c r="X25" s="43"/>
      <c r="Y25" s="43"/>
      <c r="Z25" s="63"/>
      <c r="AA25" s="48"/>
      <c r="AB25" s="43"/>
      <c r="AC25" s="43"/>
      <c r="AD25" s="43"/>
      <c r="AE25" s="43"/>
      <c r="AF25" s="63"/>
      <c r="AG25" s="46"/>
      <c r="AH25" s="43"/>
      <c r="AI25" s="43"/>
      <c r="AJ25" s="47"/>
      <c r="AK25" s="47"/>
      <c r="AL25" s="65"/>
      <c r="AM25" s="68"/>
      <c r="AN25" s="47"/>
      <c r="AO25" s="47"/>
      <c r="AP25" s="47"/>
      <c r="AQ25" s="47"/>
      <c r="AR25" s="65"/>
      <c r="AS25" s="68"/>
      <c r="AT25" s="65"/>
      <c r="AU25" s="69"/>
      <c r="AV25" s="65"/>
      <c r="AW25" s="69"/>
      <c r="AX25" s="65"/>
    </row>
    <row r="26" spans="1:50" s="51" customFormat="1" ht="14.25" customHeight="1" x14ac:dyDescent="0.3">
      <c r="A26" s="41" t="s">
        <v>39</v>
      </c>
      <c r="B26" s="62" t="s">
        <v>949</v>
      </c>
      <c r="C26" s="19"/>
      <c r="D26" s="43"/>
      <c r="E26" s="43"/>
      <c r="F26" s="43"/>
      <c r="G26" s="43"/>
      <c r="H26" s="63"/>
      <c r="I26" s="45"/>
      <c r="J26" s="43"/>
      <c r="K26" s="43"/>
      <c r="L26" s="43"/>
      <c r="M26" s="43"/>
      <c r="N26" s="63"/>
      <c r="O26" s="45"/>
      <c r="P26" s="43"/>
      <c r="Q26" s="43"/>
      <c r="R26" s="43"/>
      <c r="S26" s="43"/>
      <c r="T26" s="63"/>
      <c r="U26" s="45"/>
      <c r="V26" s="43"/>
      <c r="W26" s="43"/>
      <c r="X26" s="43"/>
      <c r="Y26" s="43"/>
      <c r="Z26" s="63"/>
      <c r="AA26" s="78"/>
      <c r="AB26" s="43"/>
      <c r="AC26" s="43"/>
      <c r="AD26" s="43"/>
      <c r="AE26" s="43"/>
      <c r="AF26" s="63"/>
      <c r="AG26" s="79"/>
      <c r="AH26" s="43"/>
      <c r="AI26" s="43"/>
      <c r="AJ26" s="47"/>
      <c r="AK26" s="47"/>
      <c r="AL26" s="65"/>
      <c r="AM26" s="78"/>
      <c r="AN26" s="47"/>
      <c r="AO26" s="47"/>
      <c r="AP26" s="47"/>
      <c r="AQ26" s="47"/>
      <c r="AR26" s="65"/>
      <c r="AS26" s="78"/>
      <c r="AT26" s="65"/>
      <c r="AU26" s="80"/>
      <c r="AV26" s="65"/>
      <c r="AW26" s="80"/>
      <c r="AX26" s="65"/>
    </row>
    <row r="27" spans="1:50" s="51" customFormat="1" ht="14.25" customHeight="1" x14ac:dyDescent="0.3">
      <c r="A27" s="81"/>
      <c r="B27" s="67" t="s">
        <v>950</v>
      </c>
      <c r="C27" s="24"/>
      <c r="D27" s="43">
        <v>0</v>
      </c>
      <c r="E27" s="43">
        <v>0</v>
      </c>
      <c r="F27" s="43">
        <v>0</v>
      </c>
      <c r="G27" s="43">
        <v>0</v>
      </c>
      <c r="H27" s="63">
        <v>0</v>
      </c>
      <c r="I27" s="45"/>
      <c r="J27" s="43">
        <v>0</v>
      </c>
      <c r="K27" s="43">
        <v>0</v>
      </c>
      <c r="L27" s="43">
        <v>0</v>
      </c>
      <c r="M27" s="43">
        <v>0</v>
      </c>
      <c r="N27" s="63">
        <v>0</v>
      </c>
      <c r="O27" s="45"/>
      <c r="P27" s="43">
        <v>0</v>
      </c>
      <c r="Q27" s="43">
        <v>0</v>
      </c>
      <c r="R27" s="43">
        <v>0</v>
      </c>
      <c r="S27" s="43">
        <v>0</v>
      </c>
      <c r="T27" s="63">
        <v>0</v>
      </c>
      <c r="U27" s="45"/>
      <c r="V27" s="43">
        <v>0</v>
      </c>
      <c r="W27" s="43">
        <v>0</v>
      </c>
      <c r="X27" s="43">
        <v>0</v>
      </c>
      <c r="Y27" s="43">
        <v>0</v>
      </c>
      <c r="Z27" s="63">
        <v>0</v>
      </c>
      <c r="AA27" s="78"/>
      <c r="AB27" s="43">
        <v>0</v>
      </c>
      <c r="AC27" s="43">
        <v>0</v>
      </c>
      <c r="AD27" s="43">
        <v>0</v>
      </c>
      <c r="AE27" s="43">
        <v>0</v>
      </c>
      <c r="AF27" s="63">
        <v>0</v>
      </c>
      <c r="AG27" s="79"/>
      <c r="AH27" s="43">
        <v>0</v>
      </c>
      <c r="AI27" s="43">
        <v>0</v>
      </c>
      <c r="AJ27" s="47"/>
      <c r="AK27" s="47"/>
      <c r="AL27" s="65"/>
      <c r="AM27" s="78"/>
      <c r="AN27" s="47"/>
      <c r="AO27" s="47"/>
      <c r="AP27" s="47"/>
      <c r="AQ27" s="47"/>
      <c r="AR27" s="65"/>
      <c r="AS27" s="78"/>
      <c r="AT27" s="65"/>
      <c r="AU27" s="80"/>
      <c r="AV27" s="65"/>
      <c r="AW27" s="80"/>
      <c r="AX27" s="65"/>
    </row>
    <row r="28" spans="1:50" s="51" customFormat="1" ht="14.25" customHeight="1" x14ac:dyDescent="0.3">
      <c r="A28" s="52"/>
      <c r="B28" s="67" t="s">
        <v>951</v>
      </c>
      <c r="C28" s="21"/>
      <c r="D28" s="43">
        <v>547</v>
      </c>
      <c r="E28" s="43">
        <v>551</v>
      </c>
      <c r="F28" s="43">
        <v>555</v>
      </c>
      <c r="G28" s="43">
        <v>557</v>
      </c>
      <c r="H28" s="63">
        <v>2210</v>
      </c>
      <c r="I28" s="45"/>
      <c r="J28" s="43">
        <v>549</v>
      </c>
      <c r="K28" s="43">
        <v>550</v>
      </c>
      <c r="L28" s="43">
        <v>553</v>
      </c>
      <c r="M28" s="43">
        <v>556</v>
      </c>
      <c r="N28" s="63">
        <v>2208</v>
      </c>
      <c r="O28" s="45"/>
      <c r="P28" s="43">
        <v>555</v>
      </c>
      <c r="Q28" s="43">
        <v>559</v>
      </c>
      <c r="R28" s="43">
        <v>563</v>
      </c>
      <c r="S28" s="43">
        <v>569</v>
      </c>
      <c r="T28" s="63">
        <v>2246</v>
      </c>
      <c r="U28" s="45"/>
      <c r="V28" s="43">
        <v>572</v>
      </c>
      <c r="W28" s="43">
        <v>577</v>
      </c>
      <c r="X28" s="43">
        <v>580</v>
      </c>
      <c r="Y28" s="43">
        <v>589</v>
      </c>
      <c r="Z28" s="63">
        <v>2318</v>
      </c>
      <c r="AA28" s="48"/>
      <c r="AB28" s="43">
        <v>594</v>
      </c>
      <c r="AC28" s="43">
        <v>596</v>
      </c>
      <c r="AD28" s="43">
        <v>602</v>
      </c>
      <c r="AE28" s="43">
        <v>606</v>
      </c>
      <c r="AF28" s="63">
        <v>2398</v>
      </c>
      <c r="AG28" s="46"/>
      <c r="AH28" s="43">
        <v>610</v>
      </c>
      <c r="AI28" s="43">
        <v>613</v>
      </c>
      <c r="AJ28" s="47"/>
      <c r="AK28" s="47"/>
      <c r="AL28" s="65"/>
      <c r="AM28" s="68"/>
      <c r="AN28" s="47"/>
      <c r="AO28" s="47"/>
      <c r="AP28" s="47"/>
      <c r="AQ28" s="47"/>
      <c r="AR28" s="65"/>
      <c r="AS28" s="68"/>
      <c r="AT28" s="65"/>
      <c r="AU28" s="69"/>
      <c r="AV28" s="65"/>
      <c r="AW28" s="69"/>
      <c r="AX28" s="65"/>
    </row>
    <row r="29" spans="1:50" s="51" customFormat="1" ht="14.25" customHeight="1" x14ac:dyDescent="0.3">
      <c r="A29" s="70"/>
      <c r="B29" s="67" t="s">
        <v>952</v>
      </c>
      <c r="C29" s="19"/>
      <c r="D29" s="43">
        <v>0</v>
      </c>
      <c r="E29" s="43">
        <v>0</v>
      </c>
      <c r="F29" s="43">
        <v>0</v>
      </c>
      <c r="G29" s="43">
        <v>0</v>
      </c>
      <c r="H29" s="63">
        <v>0</v>
      </c>
      <c r="I29" s="45"/>
      <c r="J29" s="43">
        <v>0</v>
      </c>
      <c r="K29" s="43">
        <v>0</v>
      </c>
      <c r="L29" s="43">
        <v>0</v>
      </c>
      <c r="M29" s="43">
        <v>0</v>
      </c>
      <c r="N29" s="63">
        <v>0</v>
      </c>
      <c r="O29" s="45"/>
      <c r="P29" s="43">
        <v>0</v>
      </c>
      <c r="Q29" s="43">
        <v>0</v>
      </c>
      <c r="R29" s="43">
        <v>0</v>
      </c>
      <c r="S29" s="43">
        <v>0</v>
      </c>
      <c r="T29" s="63">
        <v>0</v>
      </c>
      <c r="U29" s="45"/>
      <c r="V29" s="43">
        <v>0</v>
      </c>
      <c r="W29" s="43">
        <v>0</v>
      </c>
      <c r="X29" s="43">
        <v>0</v>
      </c>
      <c r="Y29" s="43">
        <v>0</v>
      </c>
      <c r="Z29" s="63">
        <v>0</v>
      </c>
      <c r="AA29" s="78"/>
      <c r="AB29" s="43">
        <v>0</v>
      </c>
      <c r="AC29" s="43">
        <v>0</v>
      </c>
      <c r="AD29" s="43">
        <v>0</v>
      </c>
      <c r="AE29" s="43">
        <v>0</v>
      </c>
      <c r="AF29" s="63">
        <v>0</v>
      </c>
      <c r="AG29" s="79"/>
      <c r="AH29" s="43">
        <v>0</v>
      </c>
      <c r="AI29" s="43">
        <v>0</v>
      </c>
      <c r="AJ29" s="47"/>
      <c r="AK29" s="47"/>
      <c r="AL29" s="65"/>
      <c r="AM29" s="78"/>
      <c r="AN29" s="47"/>
      <c r="AO29" s="47"/>
      <c r="AP29" s="47"/>
      <c r="AQ29" s="47"/>
      <c r="AR29" s="65"/>
      <c r="AS29" s="78"/>
      <c r="AT29" s="65"/>
      <c r="AU29" s="80"/>
      <c r="AV29" s="65"/>
      <c r="AW29" s="80"/>
      <c r="AX29" s="65"/>
    </row>
    <row r="30" spans="1:50" s="51" customFormat="1" ht="14.25" customHeight="1" x14ac:dyDescent="0.3">
      <c r="A30" s="52"/>
      <c r="B30" s="67" t="s">
        <v>953</v>
      </c>
      <c r="C30" s="21"/>
      <c r="D30" s="43">
        <v>2539</v>
      </c>
      <c r="E30" s="43">
        <v>2108</v>
      </c>
      <c r="F30" s="43">
        <v>2333</v>
      </c>
      <c r="G30" s="43">
        <v>2300</v>
      </c>
      <c r="H30" s="71">
        <v>9280</v>
      </c>
      <c r="I30" s="45"/>
      <c r="J30" s="43">
        <v>2459</v>
      </c>
      <c r="K30" s="43">
        <v>2481</v>
      </c>
      <c r="L30" s="43">
        <v>2581</v>
      </c>
      <c r="M30" s="43">
        <v>2737</v>
      </c>
      <c r="N30" s="71">
        <v>10258</v>
      </c>
      <c r="O30" s="45"/>
      <c r="P30" s="43">
        <v>2928</v>
      </c>
      <c r="Q30" s="43">
        <v>3215</v>
      </c>
      <c r="R30" s="43">
        <v>3256</v>
      </c>
      <c r="S30" s="43">
        <v>3221</v>
      </c>
      <c r="T30" s="71">
        <f>12620-T21</f>
        <v>12620</v>
      </c>
      <c r="U30" s="45"/>
      <c r="V30" s="43">
        <v>3190</v>
      </c>
      <c r="W30" s="43">
        <v>3182</v>
      </c>
      <c r="X30" s="43">
        <v>3184</v>
      </c>
      <c r="Y30" s="43">
        <v>3163</v>
      </c>
      <c r="Z30" s="71">
        <f>12719-Z21</f>
        <v>12719</v>
      </c>
      <c r="AA30" s="48"/>
      <c r="AB30" s="43">
        <v>3065</v>
      </c>
      <c r="AC30" s="43">
        <v>3011</v>
      </c>
      <c r="AD30" s="43">
        <v>3073</v>
      </c>
      <c r="AE30" s="43">
        <v>2990</v>
      </c>
      <c r="AF30" s="71">
        <f>12139-AF21</f>
        <v>12139</v>
      </c>
      <c r="AG30" s="46"/>
      <c r="AH30" s="43">
        <v>3046</v>
      </c>
      <c r="AI30" s="43">
        <v>3016</v>
      </c>
      <c r="AJ30" s="47"/>
      <c r="AK30" s="47"/>
      <c r="AL30" s="72"/>
      <c r="AM30" s="68"/>
      <c r="AN30" s="47"/>
      <c r="AO30" s="47"/>
      <c r="AP30" s="47"/>
      <c r="AQ30" s="47"/>
      <c r="AR30" s="72"/>
      <c r="AS30" s="68"/>
      <c r="AT30" s="72"/>
      <c r="AU30" s="69"/>
      <c r="AV30" s="72"/>
      <c r="AW30" s="69"/>
      <c r="AX30" s="72"/>
    </row>
    <row r="31" spans="1:50" s="51" customFormat="1" ht="14.25" customHeight="1" x14ac:dyDescent="0.3">
      <c r="A31" s="70"/>
      <c r="B31" s="73" t="s">
        <v>954</v>
      </c>
      <c r="C31" s="19"/>
      <c r="D31" s="43">
        <v>3086</v>
      </c>
      <c r="E31" s="43">
        <v>2659</v>
      </c>
      <c r="F31" s="43">
        <v>2888</v>
      </c>
      <c r="G31" s="43">
        <v>2857</v>
      </c>
      <c r="H31" s="82">
        <v>11490</v>
      </c>
      <c r="I31" s="45"/>
      <c r="J31" s="43">
        <v>3008</v>
      </c>
      <c r="K31" s="43">
        <v>3031</v>
      </c>
      <c r="L31" s="43">
        <v>3134</v>
      </c>
      <c r="M31" s="43">
        <v>3293</v>
      </c>
      <c r="N31" s="82">
        <v>12466</v>
      </c>
      <c r="O31" s="45"/>
      <c r="P31" s="43">
        <v>3483</v>
      </c>
      <c r="Q31" s="43">
        <v>3774</v>
      </c>
      <c r="R31" s="43">
        <v>3819</v>
      </c>
      <c r="S31" s="43">
        <v>3790</v>
      </c>
      <c r="T31" s="82">
        <v>14866</v>
      </c>
      <c r="U31" s="45"/>
      <c r="V31" s="43">
        <v>3762</v>
      </c>
      <c r="W31" s="43">
        <v>3759</v>
      </c>
      <c r="X31" s="43">
        <v>3764</v>
      </c>
      <c r="Y31" s="43">
        <v>3752</v>
      </c>
      <c r="Z31" s="82">
        <v>15037</v>
      </c>
      <c r="AA31" s="78"/>
      <c r="AB31" s="43">
        <v>3659</v>
      </c>
      <c r="AC31" s="43">
        <v>3607</v>
      </c>
      <c r="AD31" s="43">
        <v>3675</v>
      </c>
      <c r="AE31" s="43">
        <v>3596</v>
      </c>
      <c r="AF31" s="82">
        <v>14537</v>
      </c>
      <c r="AG31" s="79"/>
      <c r="AH31" s="43">
        <v>3656</v>
      </c>
      <c r="AI31" s="43">
        <v>3629</v>
      </c>
      <c r="AJ31" s="43"/>
      <c r="AK31" s="43"/>
      <c r="AL31" s="353"/>
      <c r="AM31" s="78"/>
      <c r="AN31" s="43"/>
      <c r="AO31" s="43"/>
      <c r="AP31" s="43"/>
      <c r="AQ31" s="43"/>
      <c r="AR31" s="353"/>
      <c r="AS31" s="78"/>
      <c r="AT31" s="353"/>
      <c r="AU31" s="80"/>
      <c r="AV31" s="353"/>
      <c r="AW31" s="80"/>
      <c r="AX31" s="353"/>
    </row>
    <row r="32" spans="1:50" s="51" customFormat="1" ht="14.25" customHeight="1" x14ac:dyDescent="0.3">
      <c r="A32" s="70"/>
      <c r="B32" s="73" t="s">
        <v>955</v>
      </c>
      <c r="C32" s="19"/>
      <c r="D32" s="43">
        <v>0</v>
      </c>
      <c r="E32" s="43">
        <v>0</v>
      </c>
      <c r="F32" s="43">
        <v>0</v>
      </c>
      <c r="G32" s="43">
        <v>0</v>
      </c>
      <c r="H32" s="71">
        <v>0</v>
      </c>
      <c r="I32" s="45"/>
      <c r="J32" s="43">
        <v>0</v>
      </c>
      <c r="K32" s="43">
        <v>0</v>
      </c>
      <c r="L32" s="43">
        <v>0</v>
      </c>
      <c r="M32" s="43">
        <v>0</v>
      </c>
      <c r="N32" s="71">
        <v>0</v>
      </c>
      <c r="O32" s="45"/>
      <c r="P32" s="43">
        <v>0</v>
      </c>
      <c r="Q32" s="43">
        <v>0</v>
      </c>
      <c r="R32" s="43">
        <v>0</v>
      </c>
      <c r="S32" s="43">
        <v>0</v>
      </c>
      <c r="T32" s="71">
        <v>0</v>
      </c>
      <c r="U32" s="45"/>
      <c r="V32" s="43">
        <v>0</v>
      </c>
      <c r="W32" s="43">
        <v>0</v>
      </c>
      <c r="X32" s="43">
        <v>0</v>
      </c>
      <c r="Y32" s="43">
        <v>0</v>
      </c>
      <c r="Z32" s="71">
        <v>0</v>
      </c>
      <c r="AA32" s="83"/>
      <c r="AB32" s="43">
        <v>0</v>
      </c>
      <c r="AC32" s="43">
        <v>0</v>
      </c>
      <c r="AD32" s="43">
        <v>0</v>
      </c>
      <c r="AE32" s="43">
        <v>0</v>
      </c>
      <c r="AF32" s="71">
        <v>0</v>
      </c>
      <c r="AG32" s="79"/>
      <c r="AH32" s="43">
        <v>0</v>
      </c>
      <c r="AI32" s="43">
        <v>0</v>
      </c>
      <c r="AJ32" s="47"/>
      <c r="AK32" s="47"/>
      <c r="AL32" s="72"/>
      <c r="AM32" s="83"/>
      <c r="AN32" s="47"/>
      <c r="AO32" s="47"/>
      <c r="AP32" s="47"/>
      <c r="AQ32" s="47"/>
      <c r="AR32" s="72"/>
      <c r="AS32" s="83"/>
      <c r="AT32" s="72"/>
      <c r="AU32" s="84"/>
      <c r="AV32" s="72"/>
      <c r="AW32" s="84"/>
      <c r="AX32" s="72"/>
    </row>
    <row r="33" spans="1:50" s="51" customFormat="1" ht="14.25" customHeight="1" x14ac:dyDescent="0.3">
      <c r="A33" s="52"/>
      <c r="B33" s="76" t="s">
        <v>956</v>
      </c>
      <c r="C33" s="21"/>
      <c r="D33" s="43">
        <v>2143</v>
      </c>
      <c r="E33" s="43">
        <v>1585</v>
      </c>
      <c r="F33" s="43">
        <v>2031</v>
      </c>
      <c r="G33" s="43">
        <v>2284</v>
      </c>
      <c r="H33" s="71">
        <v>8043</v>
      </c>
      <c r="I33" s="45"/>
      <c r="J33" s="43">
        <v>1993</v>
      </c>
      <c r="K33" s="43">
        <v>2473</v>
      </c>
      <c r="L33" s="43">
        <v>2432</v>
      </c>
      <c r="M33" s="43">
        <v>2440</v>
      </c>
      <c r="N33" s="71">
        <v>9338</v>
      </c>
      <c r="O33" s="45"/>
      <c r="P33" s="43">
        <v>2377</v>
      </c>
      <c r="Q33" s="43">
        <v>2495</v>
      </c>
      <c r="R33" s="43">
        <v>2747</v>
      </c>
      <c r="S33" s="43">
        <v>2390</v>
      </c>
      <c r="T33" s="71">
        <v>10009</v>
      </c>
      <c r="U33" s="45"/>
      <c r="V33" s="43">
        <v>2294</v>
      </c>
      <c r="W33" s="43">
        <v>2204</v>
      </c>
      <c r="X33" s="43">
        <v>2177</v>
      </c>
      <c r="Y33" s="43">
        <v>2407</v>
      </c>
      <c r="Z33" s="71">
        <v>9082</v>
      </c>
      <c r="AA33" s="48"/>
      <c r="AB33" s="43">
        <v>2372</v>
      </c>
      <c r="AC33" s="43">
        <v>2400</v>
      </c>
      <c r="AD33" s="43">
        <v>2416</v>
      </c>
      <c r="AE33" s="43">
        <v>2525</v>
      </c>
      <c r="AF33" s="71">
        <v>9713</v>
      </c>
      <c r="AG33" s="46"/>
      <c r="AH33" s="43">
        <v>2371</v>
      </c>
      <c r="AI33" s="43">
        <v>2525</v>
      </c>
      <c r="AJ33" s="47"/>
      <c r="AK33" s="47"/>
      <c r="AL33" s="72"/>
      <c r="AM33" s="68"/>
      <c r="AN33" s="47"/>
      <c r="AO33" s="47"/>
      <c r="AP33" s="47"/>
      <c r="AQ33" s="47"/>
      <c r="AR33" s="72"/>
      <c r="AS33" s="68"/>
      <c r="AT33" s="72"/>
      <c r="AU33" s="69"/>
      <c r="AV33" s="72"/>
      <c r="AW33" s="69"/>
      <c r="AX33" s="72"/>
    </row>
    <row r="34" spans="1:50" s="51" customFormat="1" ht="14.25" customHeight="1" x14ac:dyDescent="0.3">
      <c r="A34" s="70"/>
      <c r="B34" s="70"/>
      <c r="C34" s="19"/>
      <c r="D34" s="43"/>
      <c r="E34" s="43"/>
      <c r="F34" s="43"/>
      <c r="G34" s="43"/>
      <c r="H34" s="63"/>
      <c r="I34" s="45"/>
      <c r="J34" s="43"/>
      <c r="K34" s="43"/>
      <c r="L34" s="43"/>
      <c r="M34" s="43"/>
      <c r="N34" s="63"/>
      <c r="O34" s="45"/>
      <c r="P34" s="43"/>
      <c r="Q34" s="43"/>
      <c r="R34" s="43"/>
      <c r="S34" s="43"/>
      <c r="T34" s="63"/>
      <c r="U34" s="45"/>
      <c r="V34" s="43"/>
      <c r="W34" s="43"/>
      <c r="X34" s="43"/>
      <c r="Y34" s="43"/>
      <c r="Z34" s="63"/>
      <c r="AA34" s="78"/>
      <c r="AB34" s="43"/>
      <c r="AC34" s="43"/>
      <c r="AD34" s="43"/>
      <c r="AE34" s="43"/>
      <c r="AF34" s="63"/>
      <c r="AG34" s="79"/>
      <c r="AH34" s="43"/>
      <c r="AI34" s="43"/>
      <c r="AJ34" s="47"/>
      <c r="AK34" s="47"/>
      <c r="AL34" s="65"/>
      <c r="AM34" s="85"/>
      <c r="AN34" s="47"/>
      <c r="AO34" s="47"/>
      <c r="AP34" s="47"/>
      <c r="AQ34" s="47"/>
      <c r="AR34" s="65"/>
      <c r="AS34" s="85"/>
      <c r="AT34" s="65"/>
      <c r="AU34" s="86"/>
      <c r="AV34" s="65"/>
      <c r="AW34" s="86"/>
      <c r="AX34" s="65"/>
    </row>
    <row r="35" spans="1:50" s="51" customFormat="1" ht="14.25" customHeight="1" x14ac:dyDescent="0.3">
      <c r="A35" s="41" t="s">
        <v>39</v>
      </c>
      <c r="B35" s="62" t="s">
        <v>957</v>
      </c>
      <c r="C35" s="21"/>
      <c r="D35" s="43"/>
      <c r="E35" s="43"/>
      <c r="F35" s="43"/>
      <c r="G35" s="43"/>
      <c r="H35" s="63"/>
      <c r="I35" s="45"/>
      <c r="J35" s="43"/>
      <c r="K35" s="43"/>
      <c r="L35" s="43"/>
      <c r="M35" s="43"/>
      <c r="N35" s="63"/>
      <c r="O35" s="45"/>
      <c r="P35" s="43"/>
      <c r="Q35" s="43"/>
      <c r="R35" s="43"/>
      <c r="S35" s="43"/>
      <c r="T35" s="63"/>
      <c r="U35" s="45"/>
      <c r="V35" s="43"/>
      <c r="W35" s="43"/>
      <c r="X35" s="43"/>
      <c r="Y35" s="43"/>
      <c r="Z35" s="63"/>
      <c r="AA35" s="48"/>
      <c r="AB35" s="43"/>
      <c r="AC35" s="43"/>
      <c r="AD35" s="43"/>
      <c r="AE35" s="43"/>
      <c r="AF35" s="63"/>
      <c r="AG35" s="46"/>
      <c r="AH35" s="43"/>
      <c r="AI35" s="43"/>
      <c r="AJ35" s="47"/>
      <c r="AK35" s="47"/>
      <c r="AL35" s="307"/>
      <c r="AM35" s="68"/>
      <c r="AN35" s="47"/>
      <c r="AO35" s="47"/>
      <c r="AP35" s="47"/>
      <c r="AQ35" s="47"/>
      <c r="AR35" s="65"/>
      <c r="AS35" s="68"/>
      <c r="AT35" s="65"/>
      <c r="AU35" s="69"/>
      <c r="AV35" s="65"/>
      <c r="AW35" s="69"/>
      <c r="AX35" s="65"/>
    </row>
    <row r="36" spans="1:50" s="51" customFormat="1" ht="14.25" customHeight="1" x14ac:dyDescent="0.3">
      <c r="A36" s="41"/>
      <c r="B36" s="67" t="s">
        <v>958</v>
      </c>
      <c r="C36" s="21"/>
      <c r="D36" s="43">
        <v>278</v>
      </c>
      <c r="E36" s="43">
        <v>289</v>
      </c>
      <c r="F36" s="43">
        <v>295</v>
      </c>
      <c r="G36" s="43">
        <v>279</v>
      </c>
      <c r="H36" s="63">
        <v>1141</v>
      </c>
      <c r="I36" s="45"/>
      <c r="J36" s="43">
        <v>290</v>
      </c>
      <c r="K36" s="43">
        <v>282</v>
      </c>
      <c r="L36" s="43">
        <v>290</v>
      </c>
      <c r="M36" s="43">
        <v>295</v>
      </c>
      <c r="N36" s="63">
        <v>1157</v>
      </c>
      <c r="O36" s="45"/>
      <c r="P36" s="43">
        <v>307</v>
      </c>
      <c r="Q36" s="43">
        <v>316</v>
      </c>
      <c r="R36" s="43">
        <v>315</v>
      </c>
      <c r="S36" s="43">
        <v>333</v>
      </c>
      <c r="T36" s="63">
        <v>1271</v>
      </c>
      <c r="U36" s="45"/>
      <c r="V36" s="43">
        <v>336</v>
      </c>
      <c r="W36" s="43">
        <v>339</v>
      </c>
      <c r="X36" s="43">
        <v>334</v>
      </c>
      <c r="Y36" s="43">
        <v>331</v>
      </c>
      <c r="Z36" s="63">
        <v>1340</v>
      </c>
      <c r="AA36" s="48"/>
      <c r="AB36" s="43">
        <v>324</v>
      </c>
      <c r="AC36" s="43">
        <v>319</v>
      </c>
      <c r="AD36" s="43">
        <v>314</v>
      </c>
      <c r="AE36" s="43">
        <v>312</v>
      </c>
      <c r="AF36" s="63">
        <v>1269</v>
      </c>
      <c r="AG36" s="46"/>
      <c r="AH36" s="43">
        <v>322</v>
      </c>
      <c r="AI36" s="43">
        <v>335</v>
      </c>
      <c r="AJ36" s="47"/>
      <c r="AK36" s="47"/>
      <c r="AL36" s="65"/>
      <c r="AM36" s="68"/>
      <c r="AN36" s="47"/>
      <c r="AO36" s="47"/>
      <c r="AP36" s="47"/>
      <c r="AQ36" s="47"/>
      <c r="AR36" s="65"/>
      <c r="AS36" s="68"/>
      <c r="AT36" s="65"/>
      <c r="AU36" s="69"/>
      <c r="AV36" s="65"/>
      <c r="AW36" s="69"/>
      <c r="AX36" s="65"/>
    </row>
    <row r="37" spans="1:50" s="51" customFormat="1" ht="14.25" customHeight="1" x14ac:dyDescent="0.3">
      <c r="A37" s="41"/>
      <c r="B37" s="67" t="s">
        <v>959</v>
      </c>
      <c r="C37" s="21"/>
      <c r="D37" s="43">
        <v>6</v>
      </c>
      <c r="E37" s="43">
        <v>3</v>
      </c>
      <c r="F37" s="43">
        <v>2</v>
      </c>
      <c r="G37" s="43">
        <v>1</v>
      </c>
      <c r="H37" s="63">
        <v>12</v>
      </c>
      <c r="I37" s="45"/>
      <c r="J37" s="43">
        <v>1</v>
      </c>
      <c r="K37" s="43">
        <v>1</v>
      </c>
      <c r="L37" s="43">
        <v>0</v>
      </c>
      <c r="M37" s="43">
        <v>1</v>
      </c>
      <c r="N37" s="63">
        <v>5</v>
      </c>
      <c r="O37" s="45"/>
      <c r="P37" s="43">
        <v>0</v>
      </c>
      <c r="Q37" s="43">
        <v>0</v>
      </c>
      <c r="R37" s="43">
        <v>0</v>
      </c>
      <c r="S37" s="43">
        <v>0</v>
      </c>
      <c r="T37" s="63">
        <v>0</v>
      </c>
      <c r="U37" s="45"/>
      <c r="V37" s="43">
        <v>0</v>
      </c>
      <c r="W37" s="43">
        <v>0</v>
      </c>
      <c r="X37" s="43">
        <v>0</v>
      </c>
      <c r="Y37" s="43">
        <v>0</v>
      </c>
      <c r="Z37" s="63">
        <v>0</v>
      </c>
      <c r="AA37" s="48"/>
      <c r="AB37" s="43">
        <v>0</v>
      </c>
      <c r="AC37" s="43">
        <v>0</v>
      </c>
      <c r="AD37" s="43">
        <v>0</v>
      </c>
      <c r="AE37" s="43">
        <v>0</v>
      </c>
      <c r="AF37" s="63">
        <v>0</v>
      </c>
      <c r="AG37" s="46"/>
      <c r="AH37" s="43">
        <v>0</v>
      </c>
      <c r="AI37" s="43">
        <v>0</v>
      </c>
      <c r="AJ37" s="47"/>
      <c r="AK37" s="47"/>
      <c r="AL37" s="65"/>
      <c r="AM37" s="68"/>
      <c r="AN37" s="47"/>
      <c r="AO37" s="47"/>
      <c r="AP37" s="47"/>
      <c r="AQ37" s="47"/>
      <c r="AR37" s="65"/>
      <c r="AS37" s="68"/>
      <c r="AT37" s="65"/>
      <c r="AU37" s="69"/>
      <c r="AV37" s="65"/>
      <c r="AW37" s="69"/>
      <c r="AX37" s="65"/>
    </row>
    <row r="38" spans="1:50" s="51" customFormat="1" ht="14.25" customHeight="1" x14ac:dyDescent="0.3">
      <c r="A38" s="52" t="s">
        <v>39</v>
      </c>
      <c r="B38" s="73" t="s">
        <v>960</v>
      </c>
      <c r="C38" s="21"/>
      <c r="D38" s="43">
        <v>272</v>
      </c>
      <c r="E38" s="43">
        <v>286</v>
      </c>
      <c r="F38" s="43">
        <v>293</v>
      </c>
      <c r="G38" s="43">
        <v>278</v>
      </c>
      <c r="H38" s="63">
        <v>1129</v>
      </c>
      <c r="I38" s="45"/>
      <c r="J38" s="43">
        <v>289</v>
      </c>
      <c r="K38" s="43">
        <v>281</v>
      </c>
      <c r="L38" s="43">
        <v>290</v>
      </c>
      <c r="M38" s="43">
        <v>294</v>
      </c>
      <c r="N38" s="63">
        <v>1152</v>
      </c>
      <c r="O38" s="45"/>
      <c r="P38" s="43">
        <v>0</v>
      </c>
      <c r="Q38" s="43">
        <v>0</v>
      </c>
      <c r="R38" s="43">
        <v>0</v>
      </c>
      <c r="S38" s="43">
        <v>0</v>
      </c>
      <c r="T38" s="63">
        <v>0</v>
      </c>
      <c r="U38" s="45"/>
      <c r="V38" s="43">
        <v>0</v>
      </c>
      <c r="W38" s="43">
        <v>0</v>
      </c>
      <c r="X38" s="43">
        <v>0</v>
      </c>
      <c r="Y38" s="43">
        <v>0</v>
      </c>
      <c r="Z38" s="63">
        <v>1340</v>
      </c>
      <c r="AA38" s="48"/>
      <c r="AB38" s="43">
        <v>0</v>
      </c>
      <c r="AC38" s="43">
        <v>0</v>
      </c>
      <c r="AD38" s="43">
        <v>0</v>
      </c>
      <c r="AE38" s="43">
        <v>0</v>
      </c>
      <c r="AF38" s="63">
        <v>1269</v>
      </c>
      <c r="AG38" s="46"/>
      <c r="AH38" s="43">
        <v>0</v>
      </c>
      <c r="AI38" s="43">
        <v>0</v>
      </c>
      <c r="AJ38" s="47"/>
      <c r="AK38" s="47"/>
      <c r="AL38" s="65"/>
      <c r="AM38" s="68"/>
      <c r="AN38" s="47"/>
      <c r="AO38" s="47"/>
      <c r="AP38" s="47"/>
      <c r="AQ38" s="47"/>
      <c r="AR38" s="65"/>
      <c r="AS38" s="68"/>
      <c r="AT38" s="65"/>
      <c r="AU38" s="69"/>
      <c r="AV38" s="65"/>
      <c r="AW38" s="69"/>
      <c r="AX38" s="65"/>
    </row>
    <row r="39" spans="1:50" s="51" customFormat="1" ht="14.25" customHeight="1" x14ac:dyDescent="0.3">
      <c r="A39" s="70"/>
      <c r="B39" s="73" t="s">
        <v>961</v>
      </c>
      <c r="C39" s="19"/>
      <c r="D39" s="43">
        <v>0</v>
      </c>
      <c r="E39" s="43">
        <v>0</v>
      </c>
      <c r="F39" s="43">
        <v>0</v>
      </c>
      <c r="G39" s="43">
        <v>0</v>
      </c>
      <c r="H39" s="63">
        <v>0</v>
      </c>
      <c r="I39" s="45"/>
      <c r="J39" s="43">
        <v>0</v>
      </c>
      <c r="K39" s="43">
        <v>0</v>
      </c>
      <c r="L39" s="43">
        <v>0</v>
      </c>
      <c r="M39" s="43">
        <v>0</v>
      </c>
      <c r="N39" s="63">
        <v>0</v>
      </c>
      <c r="O39" s="45"/>
      <c r="P39" s="43">
        <v>0</v>
      </c>
      <c r="Q39" s="43">
        <v>0</v>
      </c>
      <c r="R39" s="43">
        <v>0</v>
      </c>
      <c r="S39" s="43">
        <v>0</v>
      </c>
      <c r="T39" s="63">
        <v>0</v>
      </c>
      <c r="U39" s="45"/>
      <c r="V39" s="43">
        <v>0</v>
      </c>
      <c r="W39" s="43">
        <v>0</v>
      </c>
      <c r="X39" s="43">
        <v>0</v>
      </c>
      <c r="Y39" s="43">
        <v>0</v>
      </c>
      <c r="Z39" s="63">
        <v>0</v>
      </c>
      <c r="AA39" s="78"/>
      <c r="AB39" s="43">
        <v>0</v>
      </c>
      <c r="AC39" s="43">
        <v>0</v>
      </c>
      <c r="AD39" s="43">
        <v>0</v>
      </c>
      <c r="AE39" s="43">
        <v>0</v>
      </c>
      <c r="AF39" s="63">
        <v>0</v>
      </c>
      <c r="AG39" s="79"/>
      <c r="AH39" s="43">
        <v>0</v>
      </c>
      <c r="AI39" s="43">
        <v>0</v>
      </c>
      <c r="AJ39" s="47"/>
      <c r="AK39" s="47"/>
      <c r="AL39" s="65"/>
      <c r="AM39" s="78"/>
      <c r="AN39" s="47"/>
      <c r="AO39" s="47"/>
      <c r="AP39" s="47"/>
      <c r="AQ39" s="47"/>
      <c r="AR39" s="65"/>
      <c r="AS39" s="78"/>
      <c r="AT39" s="65"/>
      <c r="AU39" s="80"/>
      <c r="AV39" s="65"/>
      <c r="AW39" s="80"/>
      <c r="AX39" s="65"/>
    </row>
    <row r="40" spans="1:50" s="51" customFormat="1" ht="14.25" customHeight="1" x14ac:dyDescent="0.3">
      <c r="A40" s="52"/>
      <c r="B40" s="73" t="s">
        <v>962</v>
      </c>
      <c r="C40" s="21"/>
      <c r="D40" s="43">
        <v>-36</v>
      </c>
      <c r="E40" s="43">
        <v>-45</v>
      </c>
      <c r="F40" s="43">
        <v>-32</v>
      </c>
      <c r="G40" s="43">
        <v>-47</v>
      </c>
      <c r="H40" s="71">
        <v>-275</v>
      </c>
      <c r="I40" s="45"/>
      <c r="J40" s="43">
        <v>-50</v>
      </c>
      <c r="K40" s="43">
        <v>-41</v>
      </c>
      <c r="L40" s="43">
        <v>-38</v>
      </c>
      <c r="M40" s="43">
        <v>-40</v>
      </c>
      <c r="N40" s="71">
        <v>-158</v>
      </c>
      <c r="O40" s="45"/>
      <c r="P40" s="43">
        <v>260</v>
      </c>
      <c r="Q40" s="43">
        <v>251</v>
      </c>
      <c r="R40" s="43">
        <v>191</v>
      </c>
      <c r="S40" s="43">
        <v>241</v>
      </c>
      <c r="T40" s="71">
        <v>845</v>
      </c>
      <c r="U40" s="45"/>
      <c r="V40" s="43">
        <v>152</v>
      </c>
      <c r="W40" s="43">
        <v>246</v>
      </c>
      <c r="X40" s="43">
        <v>228</v>
      </c>
      <c r="Y40" s="43">
        <v>223</v>
      </c>
      <c r="Z40" s="71">
        <v>-491</v>
      </c>
      <c r="AA40" s="48"/>
      <c r="AB40" s="43">
        <v>232</v>
      </c>
      <c r="AC40" s="43">
        <v>216</v>
      </c>
      <c r="AD40" s="43">
        <v>227</v>
      </c>
      <c r="AE40" s="43">
        <v>244</v>
      </c>
      <c r="AF40" s="71">
        <v>-350</v>
      </c>
      <c r="AG40" s="46"/>
      <c r="AH40" s="43">
        <v>244</v>
      </c>
      <c r="AI40" s="43">
        <v>212</v>
      </c>
      <c r="AJ40" s="47"/>
      <c r="AK40" s="47"/>
      <c r="AL40" s="72"/>
      <c r="AM40" s="48"/>
      <c r="AN40" s="47"/>
      <c r="AO40" s="47"/>
      <c r="AP40" s="47"/>
      <c r="AQ40" s="47"/>
      <c r="AR40" s="72"/>
      <c r="AS40" s="48"/>
      <c r="AT40" s="72"/>
      <c r="AU40" s="50"/>
      <c r="AV40" s="72"/>
      <c r="AW40" s="50"/>
      <c r="AX40" s="72"/>
    </row>
    <row r="41" spans="1:50" s="51" customFormat="1" ht="14.25" customHeight="1" x14ac:dyDescent="0.3">
      <c r="A41" s="70"/>
      <c r="B41" s="76" t="s">
        <v>963</v>
      </c>
      <c r="C41" s="19"/>
      <c r="D41" s="43">
        <v>236</v>
      </c>
      <c r="E41" s="43">
        <v>241</v>
      </c>
      <c r="F41" s="43">
        <v>261</v>
      </c>
      <c r="G41" s="43">
        <v>231</v>
      </c>
      <c r="H41" s="74">
        <v>854</v>
      </c>
      <c r="I41" s="45"/>
      <c r="J41" s="43">
        <v>239</v>
      </c>
      <c r="K41" s="43">
        <v>240</v>
      </c>
      <c r="L41" s="43">
        <v>252</v>
      </c>
      <c r="M41" s="43">
        <v>254</v>
      </c>
      <c r="N41" s="74">
        <v>994</v>
      </c>
      <c r="O41" s="45"/>
      <c r="P41" s="43">
        <v>260</v>
      </c>
      <c r="Q41" s="43">
        <v>251</v>
      </c>
      <c r="R41" s="43">
        <v>191</v>
      </c>
      <c r="S41" s="43">
        <v>241</v>
      </c>
      <c r="T41" s="74">
        <v>845</v>
      </c>
      <c r="U41" s="45"/>
      <c r="V41" s="43">
        <v>152</v>
      </c>
      <c r="W41" s="43">
        <v>246</v>
      </c>
      <c r="X41" s="43">
        <v>228</v>
      </c>
      <c r="Y41" s="43">
        <v>223</v>
      </c>
      <c r="Z41" s="74">
        <v>849</v>
      </c>
      <c r="AA41" s="83"/>
      <c r="AB41" s="43">
        <v>232</v>
      </c>
      <c r="AC41" s="43">
        <v>216</v>
      </c>
      <c r="AD41" s="43">
        <v>227</v>
      </c>
      <c r="AE41" s="43">
        <v>244</v>
      </c>
      <c r="AF41" s="74">
        <v>919</v>
      </c>
      <c r="AG41" s="79"/>
      <c r="AH41" s="43">
        <v>244</v>
      </c>
      <c r="AI41" s="43">
        <v>212</v>
      </c>
      <c r="AJ41" s="47"/>
      <c r="AK41" s="47"/>
      <c r="AL41" s="75"/>
      <c r="AM41" s="78"/>
      <c r="AN41" s="47"/>
      <c r="AO41" s="47"/>
      <c r="AP41" s="47"/>
      <c r="AQ41" s="47"/>
      <c r="AR41" s="75"/>
      <c r="AS41" s="78"/>
      <c r="AT41" s="75"/>
      <c r="AU41" s="80"/>
      <c r="AV41" s="75"/>
      <c r="AW41" s="80"/>
      <c r="AX41" s="75"/>
    </row>
    <row r="42" spans="1:50" s="51" customFormat="1" ht="14.25" customHeight="1" x14ac:dyDescent="0.3">
      <c r="A42" s="81"/>
      <c r="B42" s="87" t="s">
        <v>879</v>
      </c>
      <c r="C42" s="20"/>
      <c r="D42" s="43">
        <v>1907</v>
      </c>
      <c r="E42" s="43">
        <v>1344</v>
      </c>
      <c r="F42" s="43">
        <v>1770</v>
      </c>
      <c r="G42" s="43">
        <v>2053</v>
      </c>
      <c r="H42" s="74">
        <v>7189</v>
      </c>
      <c r="I42" s="45"/>
      <c r="J42" s="43">
        <v>1754</v>
      </c>
      <c r="K42" s="43">
        <v>2233</v>
      </c>
      <c r="L42" s="43">
        <v>2180</v>
      </c>
      <c r="M42" s="43">
        <v>2186</v>
      </c>
      <c r="N42" s="74">
        <v>8344</v>
      </c>
      <c r="O42" s="45"/>
      <c r="P42" s="43">
        <v>2117</v>
      </c>
      <c r="Q42" s="43">
        <v>2244</v>
      </c>
      <c r="R42" s="43">
        <v>2556</v>
      </c>
      <c r="S42" s="43">
        <v>2149</v>
      </c>
      <c r="T42" s="74">
        <v>9164</v>
      </c>
      <c r="U42" s="45"/>
      <c r="V42" s="43">
        <v>2142</v>
      </c>
      <c r="W42" s="43">
        <v>1958</v>
      </c>
      <c r="X42" s="43">
        <v>1949</v>
      </c>
      <c r="Y42" s="43">
        <v>2184</v>
      </c>
      <c r="Z42" s="74">
        <v>8233</v>
      </c>
      <c r="AA42" s="48"/>
      <c r="AB42" s="43">
        <v>2140</v>
      </c>
      <c r="AC42" s="43">
        <v>2184</v>
      </c>
      <c r="AD42" s="43">
        <v>2189</v>
      </c>
      <c r="AE42" s="43">
        <v>2281</v>
      </c>
      <c r="AF42" s="74">
        <v>8794</v>
      </c>
      <c r="AG42" s="46"/>
      <c r="AH42" s="43">
        <v>2127</v>
      </c>
      <c r="AI42" s="43">
        <v>2313</v>
      </c>
      <c r="AJ42" s="47"/>
      <c r="AK42" s="47"/>
      <c r="AL42" s="75"/>
      <c r="AM42" s="48"/>
      <c r="AN42" s="47"/>
      <c r="AO42" s="47"/>
      <c r="AP42" s="47"/>
      <c r="AQ42" s="47"/>
      <c r="AR42" s="75"/>
      <c r="AS42" s="48"/>
      <c r="AT42" s="75"/>
      <c r="AU42" s="50"/>
      <c r="AV42" s="75"/>
      <c r="AW42" s="50"/>
      <c r="AX42" s="75"/>
    </row>
    <row r="43" spans="1:50" s="51" customFormat="1" ht="14.25" customHeight="1" x14ac:dyDescent="0.3">
      <c r="A43" s="70"/>
      <c r="B43" s="73"/>
      <c r="C43" s="19"/>
      <c r="D43" s="43"/>
      <c r="E43" s="43"/>
      <c r="F43" s="43"/>
      <c r="G43" s="43"/>
      <c r="H43" s="63"/>
      <c r="I43" s="45"/>
      <c r="J43" s="43"/>
      <c r="K43" s="43"/>
      <c r="L43" s="43"/>
      <c r="M43" s="43"/>
      <c r="N43" s="63"/>
      <c r="O43" s="45"/>
      <c r="P43" s="43"/>
      <c r="Q43" s="43"/>
      <c r="R43" s="43"/>
      <c r="S43" s="43"/>
      <c r="T43" s="63"/>
      <c r="U43" s="45"/>
      <c r="V43" s="43"/>
      <c r="W43" s="43"/>
      <c r="X43" s="43"/>
      <c r="Y43" s="43"/>
      <c r="Z43" s="63"/>
      <c r="AA43" s="48"/>
      <c r="AB43" s="43"/>
      <c r="AC43" s="43"/>
      <c r="AD43" s="43"/>
      <c r="AE43" s="43"/>
      <c r="AF43" s="63"/>
      <c r="AG43" s="46"/>
      <c r="AH43" s="43"/>
      <c r="AI43" s="43"/>
      <c r="AJ43" s="47"/>
      <c r="AK43" s="47"/>
      <c r="AL43" s="65"/>
      <c r="AM43" s="48"/>
      <c r="AN43" s="47"/>
      <c r="AO43" s="47"/>
      <c r="AP43" s="47"/>
      <c r="AQ43" s="47"/>
      <c r="AR43" s="65"/>
      <c r="AS43" s="48"/>
      <c r="AT43" s="65"/>
      <c r="AU43" s="50"/>
      <c r="AV43" s="65"/>
      <c r="AW43" s="50"/>
      <c r="AX43" s="65"/>
    </row>
    <row r="44" spans="1:50" s="51" customFormat="1" ht="14.25" customHeight="1" x14ac:dyDescent="0.3">
      <c r="A44" s="41" t="s">
        <v>39</v>
      </c>
      <c r="B44" s="62" t="s">
        <v>964</v>
      </c>
      <c r="C44" s="19"/>
      <c r="D44" s="43"/>
      <c r="E44" s="43"/>
      <c r="F44" s="43"/>
      <c r="G44" s="43"/>
      <c r="H44" s="63"/>
      <c r="I44" s="45"/>
      <c r="J44" s="43"/>
      <c r="K44" s="43"/>
      <c r="L44" s="43"/>
      <c r="M44" s="43"/>
      <c r="N44" s="63"/>
      <c r="O44" s="45"/>
      <c r="P44" s="43"/>
      <c r="Q44" s="43"/>
      <c r="R44" s="43"/>
      <c r="S44" s="43"/>
      <c r="T44" s="63"/>
      <c r="U44" s="45"/>
      <c r="V44" s="43"/>
      <c r="W44" s="43"/>
      <c r="X44" s="43"/>
      <c r="Y44" s="43"/>
      <c r="Z44" s="63"/>
      <c r="AA44" s="48"/>
      <c r="AB44" s="43"/>
      <c r="AC44" s="43"/>
      <c r="AD44" s="43"/>
      <c r="AE44" s="43"/>
      <c r="AF44" s="63"/>
      <c r="AG44" s="46"/>
      <c r="AH44" s="43"/>
      <c r="AI44" s="43"/>
      <c r="AJ44" s="47"/>
      <c r="AK44" s="47"/>
      <c r="AL44" s="65"/>
      <c r="AM44" s="48"/>
      <c r="AN44" s="47"/>
      <c r="AO44" s="47"/>
      <c r="AP44" s="47"/>
      <c r="AQ44" s="47"/>
      <c r="AR44" s="65"/>
      <c r="AS44" s="48"/>
      <c r="AT44" s="65"/>
      <c r="AU44" s="50"/>
      <c r="AV44" s="65"/>
      <c r="AW44" s="50"/>
      <c r="AX44" s="65"/>
    </row>
    <row r="45" spans="1:50" s="51" customFormat="1" ht="14.25" customHeight="1" x14ac:dyDescent="0.3">
      <c r="A45" s="81"/>
      <c r="B45" s="67" t="s">
        <v>880</v>
      </c>
      <c r="C45" s="20"/>
      <c r="D45" s="43">
        <v>441.69</v>
      </c>
      <c r="E45" s="43">
        <v>259.54399999999998</v>
      </c>
      <c r="F45" s="43">
        <v>409.37</v>
      </c>
      <c r="G45" s="43">
        <v>478.22</v>
      </c>
      <c r="H45" s="63">
        <v>1678.537</v>
      </c>
      <c r="I45" s="45"/>
      <c r="J45" s="43">
        <v>413</v>
      </c>
      <c r="K45" s="43">
        <v>500.57</v>
      </c>
      <c r="L45" s="43">
        <v>507</v>
      </c>
      <c r="M45" s="43">
        <v>508.18</v>
      </c>
      <c r="N45" s="63">
        <v>1926.86</v>
      </c>
      <c r="O45" s="45"/>
      <c r="P45" s="43">
        <v>487</v>
      </c>
      <c r="Q45" s="43">
        <v>486.42</v>
      </c>
      <c r="R45" s="43">
        <v>575</v>
      </c>
      <c r="S45" s="43">
        <v>528</v>
      </c>
      <c r="T45" s="63">
        <v>2097</v>
      </c>
      <c r="U45" s="45"/>
      <c r="V45" s="43">
        <v>512</v>
      </c>
      <c r="W45" s="43">
        <v>389</v>
      </c>
      <c r="X45" s="43">
        <v>421</v>
      </c>
      <c r="Y45" s="43">
        <v>532</v>
      </c>
      <c r="Z45" s="63">
        <v>1854</v>
      </c>
      <c r="AA45" s="68"/>
      <c r="AB45" s="43">
        <v>499</v>
      </c>
      <c r="AC45" s="43">
        <v>511</v>
      </c>
      <c r="AD45" s="43">
        <v>518</v>
      </c>
      <c r="AE45" s="43">
        <v>519</v>
      </c>
      <c r="AF45" s="63">
        <v>2047</v>
      </c>
      <c r="AG45" s="46"/>
      <c r="AH45" s="43">
        <v>501</v>
      </c>
      <c r="AI45" s="43">
        <v>437</v>
      </c>
      <c r="AJ45" s="47"/>
      <c r="AK45" s="47"/>
      <c r="AL45" s="65"/>
      <c r="AM45" s="88"/>
      <c r="AN45" s="47"/>
      <c r="AO45" s="47"/>
      <c r="AP45" s="47"/>
      <c r="AQ45" s="47"/>
      <c r="AR45" s="65"/>
      <c r="AS45" s="68"/>
      <c r="AT45" s="65"/>
      <c r="AU45" s="69"/>
      <c r="AV45" s="65"/>
      <c r="AW45" s="69"/>
      <c r="AX45" s="65"/>
    </row>
    <row r="46" spans="1:50" s="51" customFormat="1" ht="14.25" customHeight="1" x14ac:dyDescent="0.3">
      <c r="A46" s="81"/>
      <c r="B46" s="67" t="s">
        <v>965</v>
      </c>
      <c r="C46" s="20"/>
      <c r="D46" s="43">
        <v>0</v>
      </c>
      <c r="E46" s="43">
        <v>0</v>
      </c>
      <c r="F46" s="43">
        <v>0</v>
      </c>
      <c r="G46" s="43">
        <v>0</v>
      </c>
      <c r="H46" s="63">
        <v>0</v>
      </c>
      <c r="I46" s="45"/>
      <c r="J46" s="43">
        <v>0</v>
      </c>
      <c r="K46" s="43">
        <v>0</v>
      </c>
      <c r="L46" s="43">
        <v>0</v>
      </c>
      <c r="M46" s="43">
        <v>0</v>
      </c>
      <c r="N46" s="63">
        <v>0</v>
      </c>
      <c r="O46" s="45"/>
      <c r="P46" s="43">
        <v>0</v>
      </c>
      <c r="Q46" s="43">
        <v>0</v>
      </c>
      <c r="R46" s="43">
        <v>0</v>
      </c>
      <c r="S46" s="43">
        <v>0</v>
      </c>
      <c r="T46" s="63">
        <v>0</v>
      </c>
      <c r="U46" s="45"/>
      <c r="V46" s="43">
        <v>0</v>
      </c>
      <c r="W46" s="43">
        <v>0</v>
      </c>
      <c r="X46" s="43">
        <v>0</v>
      </c>
      <c r="Y46" s="43">
        <v>0</v>
      </c>
      <c r="Z46" s="63">
        <v>0</v>
      </c>
      <c r="AA46" s="48"/>
      <c r="AB46" s="43">
        <v>0</v>
      </c>
      <c r="AC46" s="43">
        <v>0</v>
      </c>
      <c r="AD46" s="43">
        <v>0</v>
      </c>
      <c r="AE46" s="43">
        <v>0</v>
      </c>
      <c r="AF46" s="63">
        <v>0</v>
      </c>
      <c r="AG46" s="46"/>
      <c r="AH46" s="43">
        <v>0</v>
      </c>
      <c r="AI46" s="43">
        <v>0</v>
      </c>
      <c r="AJ46" s="47"/>
      <c r="AK46" s="47"/>
      <c r="AL46" s="65"/>
      <c r="AM46" s="89"/>
      <c r="AN46" s="47"/>
      <c r="AO46" s="47"/>
      <c r="AP46" s="47"/>
      <c r="AQ46" s="47"/>
      <c r="AR46" s="65"/>
      <c r="AS46" s="48"/>
      <c r="AT46" s="65"/>
      <c r="AU46" s="50"/>
      <c r="AV46" s="65"/>
      <c r="AW46" s="50"/>
      <c r="AX46" s="65"/>
    </row>
    <row r="47" spans="1:50" s="51" customFormat="1" ht="14.25" customHeight="1" thickBot="1" x14ac:dyDescent="0.35">
      <c r="A47" s="70"/>
      <c r="B47" s="67" t="s">
        <v>966</v>
      </c>
      <c r="C47" s="19"/>
      <c r="D47" s="43">
        <v>1465.31</v>
      </c>
      <c r="E47" s="43">
        <v>1084.4559999999999</v>
      </c>
      <c r="F47" s="43">
        <v>1360.63</v>
      </c>
      <c r="G47" s="43">
        <v>1574.78</v>
      </c>
      <c r="H47" s="90">
        <v>5510.4629999999997</v>
      </c>
      <c r="I47" s="45"/>
      <c r="J47" s="43">
        <v>1341</v>
      </c>
      <c r="K47" s="43">
        <v>1732.43</v>
      </c>
      <c r="L47" s="43">
        <v>1673</v>
      </c>
      <c r="M47" s="43">
        <v>1677.82</v>
      </c>
      <c r="N47" s="90">
        <v>6417.14</v>
      </c>
      <c r="O47" s="45"/>
      <c r="P47" s="43">
        <v>1630</v>
      </c>
      <c r="Q47" s="43">
        <v>1757.58</v>
      </c>
      <c r="R47" s="43">
        <v>1981</v>
      </c>
      <c r="S47" s="43">
        <v>1621</v>
      </c>
      <c r="T47" s="90">
        <v>7067</v>
      </c>
      <c r="U47" s="45"/>
      <c r="V47" s="43">
        <v>1630</v>
      </c>
      <c r="W47" s="43">
        <v>1569</v>
      </c>
      <c r="X47" s="43">
        <v>1528</v>
      </c>
      <c r="Y47" s="43">
        <v>1652</v>
      </c>
      <c r="Z47" s="90">
        <v>6379</v>
      </c>
      <c r="AA47" s="48"/>
      <c r="AB47" s="43">
        <v>1641</v>
      </c>
      <c r="AC47" s="43">
        <v>1673</v>
      </c>
      <c r="AD47" s="43">
        <v>1671</v>
      </c>
      <c r="AE47" s="43">
        <v>1762</v>
      </c>
      <c r="AF47" s="90">
        <v>6747</v>
      </c>
      <c r="AG47" s="46"/>
      <c r="AH47" s="43">
        <v>1626</v>
      </c>
      <c r="AI47" s="43">
        <v>1876</v>
      </c>
      <c r="AJ47" s="47"/>
      <c r="AK47" s="47"/>
      <c r="AL47" s="91"/>
      <c r="AM47" s="89"/>
      <c r="AN47" s="47"/>
      <c r="AO47" s="47"/>
      <c r="AP47" s="47"/>
      <c r="AQ47" s="47"/>
      <c r="AR47" s="91"/>
      <c r="AS47" s="48"/>
      <c r="AT47" s="91"/>
      <c r="AU47" s="50"/>
      <c r="AV47" s="91"/>
      <c r="AW47" s="50"/>
      <c r="AX47" s="91"/>
    </row>
    <row r="49" spans="1:50" s="51" customFormat="1" ht="14.25" customHeight="1" x14ac:dyDescent="0.3">
      <c r="A49" s="41" t="s">
        <v>39</v>
      </c>
      <c r="B49" s="62" t="s">
        <v>967</v>
      </c>
      <c r="C49" s="21"/>
      <c r="D49" s="43"/>
      <c r="E49" s="43"/>
      <c r="F49" s="43"/>
      <c r="G49" s="43"/>
      <c r="H49" s="63"/>
      <c r="I49" s="45"/>
      <c r="J49" s="43"/>
      <c r="K49" s="43"/>
      <c r="L49" s="43"/>
      <c r="M49" s="43"/>
      <c r="N49" s="63"/>
      <c r="O49" s="45"/>
      <c r="P49" s="43"/>
      <c r="Q49" s="43"/>
      <c r="R49" s="43"/>
      <c r="S49" s="43"/>
      <c r="T49" s="63"/>
      <c r="U49" s="45"/>
      <c r="V49" s="43"/>
      <c r="W49" s="43"/>
      <c r="X49" s="43"/>
      <c r="Y49" s="43"/>
      <c r="Z49" s="63"/>
      <c r="AA49" s="45"/>
      <c r="AB49" s="43"/>
      <c r="AC49" s="43"/>
      <c r="AD49" s="43"/>
      <c r="AE49" s="43"/>
      <c r="AF49" s="63"/>
      <c r="AG49" s="92"/>
      <c r="AH49" s="43"/>
      <c r="AI49" s="43"/>
      <c r="AJ49" s="47"/>
      <c r="AK49" s="47"/>
      <c r="AL49" s="65"/>
      <c r="AM49" s="45"/>
      <c r="AN49" s="47"/>
      <c r="AO49" s="47"/>
      <c r="AP49" s="47"/>
      <c r="AQ49" s="47"/>
      <c r="AR49" s="65"/>
      <c r="AS49" s="45"/>
      <c r="AT49" s="65"/>
      <c r="AU49" s="93"/>
      <c r="AV49" s="65"/>
      <c r="AW49" s="93"/>
      <c r="AX49" s="65"/>
    </row>
    <row r="50" spans="1:50" s="51" customFormat="1" ht="14.25" customHeight="1" x14ac:dyDescent="0.3">
      <c r="A50" s="70"/>
      <c r="B50" s="67" t="s">
        <v>968</v>
      </c>
      <c r="C50" s="19"/>
      <c r="D50" s="43">
        <v>0</v>
      </c>
      <c r="E50" s="43">
        <v>0</v>
      </c>
      <c r="F50" s="43">
        <v>0</v>
      </c>
      <c r="G50" s="43">
        <v>0</v>
      </c>
      <c r="H50" s="63">
        <v>0</v>
      </c>
      <c r="I50" s="45"/>
      <c r="J50" s="43">
        <v>0</v>
      </c>
      <c r="K50" s="43">
        <v>0</v>
      </c>
      <c r="L50" s="43">
        <v>0</v>
      </c>
      <c r="M50" s="43">
        <v>0</v>
      </c>
      <c r="N50" s="63">
        <v>0</v>
      </c>
      <c r="O50" s="45"/>
      <c r="P50" s="43">
        <v>0</v>
      </c>
      <c r="Q50" s="43">
        <v>0</v>
      </c>
      <c r="R50" s="43">
        <v>0</v>
      </c>
      <c r="S50" s="43">
        <v>0</v>
      </c>
      <c r="T50" s="63">
        <v>0</v>
      </c>
      <c r="U50" s="45"/>
      <c r="V50" s="43">
        <v>0</v>
      </c>
      <c r="W50" s="43">
        <v>0</v>
      </c>
      <c r="X50" s="43">
        <v>0</v>
      </c>
      <c r="Y50" s="43">
        <v>0</v>
      </c>
      <c r="Z50" s="63">
        <v>0</v>
      </c>
      <c r="AA50" s="78"/>
      <c r="AB50" s="43">
        <v>0</v>
      </c>
      <c r="AC50" s="43">
        <v>0</v>
      </c>
      <c r="AD50" s="43">
        <v>0</v>
      </c>
      <c r="AE50" s="43">
        <v>0</v>
      </c>
      <c r="AF50" s="63">
        <v>0</v>
      </c>
      <c r="AG50" s="79"/>
      <c r="AH50" s="43">
        <v>0</v>
      </c>
      <c r="AI50" s="43">
        <v>0</v>
      </c>
      <c r="AJ50" s="47"/>
      <c r="AK50" s="47"/>
      <c r="AL50" s="65"/>
      <c r="AM50" s="78"/>
      <c r="AN50" s="47"/>
      <c r="AO50" s="47"/>
      <c r="AP50" s="47"/>
      <c r="AQ50" s="47"/>
      <c r="AR50" s="65"/>
      <c r="AS50" s="78"/>
      <c r="AT50" s="65"/>
      <c r="AU50" s="80"/>
      <c r="AV50" s="65"/>
      <c r="AW50" s="80"/>
      <c r="AX50" s="65"/>
    </row>
    <row r="51" spans="1:50" s="51" customFormat="1" ht="14.25" customHeight="1" x14ac:dyDescent="0.3">
      <c r="A51" s="52"/>
      <c r="B51" s="67" t="s">
        <v>969</v>
      </c>
      <c r="C51" s="21"/>
      <c r="D51" s="43">
        <v>0</v>
      </c>
      <c r="E51" s="43">
        <v>0</v>
      </c>
      <c r="F51" s="43">
        <v>0</v>
      </c>
      <c r="G51" s="43">
        <v>0</v>
      </c>
      <c r="H51" s="71">
        <v>0</v>
      </c>
      <c r="I51" s="45"/>
      <c r="J51" s="43">
        <v>0</v>
      </c>
      <c r="K51" s="43">
        <v>0</v>
      </c>
      <c r="L51" s="43">
        <v>0</v>
      </c>
      <c r="M51" s="43">
        <v>0</v>
      </c>
      <c r="N51" s="71">
        <v>0</v>
      </c>
      <c r="O51" s="45"/>
      <c r="P51" s="43">
        <v>0</v>
      </c>
      <c r="Q51" s="43">
        <v>0</v>
      </c>
      <c r="R51" s="43">
        <v>0</v>
      </c>
      <c r="S51" s="43">
        <v>0</v>
      </c>
      <c r="T51" s="71">
        <v>0</v>
      </c>
      <c r="U51" s="45"/>
      <c r="V51" s="43">
        <v>0</v>
      </c>
      <c r="W51" s="43">
        <v>0</v>
      </c>
      <c r="X51" s="43">
        <v>0</v>
      </c>
      <c r="Y51" s="43">
        <v>0</v>
      </c>
      <c r="Z51" s="71">
        <v>0</v>
      </c>
      <c r="AA51" s="45"/>
      <c r="AB51" s="43">
        <v>0</v>
      </c>
      <c r="AC51" s="43">
        <v>0</v>
      </c>
      <c r="AD51" s="43">
        <v>0</v>
      </c>
      <c r="AE51" s="43">
        <v>0</v>
      </c>
      <c r="AF51" s="71">
        <v>0</v>
      </c>
      <c r="AG51" s="92"/>
      <c r="AH51" s="43">
        <v>0</v>
      </c>
      <c r="AI51" s="43">
        <v>0</v>
      </c>
      <c r="AJ51" s="47"/>
      <c r="AK51" s="47"/>
      <c r="AL51" s="72"/>
      <c r="AM51" s="45"/>
      <c r="AN51" s="47"/>
      <c r="AO51" s="47"/>
      <c r="AP51" s="47"/>
      <c r="AQ51" s="47"/>
      <c r="AR51" s="72"/>
      <c r="AS51" s="45"/>
      <c r="AT51" s="72"/>
      <c r="AU51" s="93"/>
      <c r="AV51" s="72"/>
      <c r="AW51" s="93"/>
      <c r="AX51" s="72"/>
    </row>
    <row r="52" spans="1:50" s="51" customFormat="1" ht="14.25" customHeight="1" thickBot="1" x14ac:dyDescent="0.35">
      <c r="A52" s="70"/>
      <c r="B52" s="73" t="s">
        <v>970</v>
      </c>
      <c r="C52" s="19"/>
      <c r="D52" s="43">
        <v>1465.31</v>
      </c>
      <c r="E52" s="43">
        <v>1084.4559999999999</v>
      </c>
      <c r="F52" s="43">
        <v>1360.63</v>
      </c>
      <c r="G52" s="43">
        <v>1574.78</v>
      </c>
      <c r="H52" s="90">
        <v>5510.4629999999997</v>
      </c>
      <c r="I52" s="45"/>
      <c r="J52" s="43">
        <v>1341</v>
      </c>
      <c r="K52" s="43">
        <v>1732.43</v>
      </c>
      <c r="L52" s="43">
        <v>1673</v>
      </c>
      <c r="M52" s="43">
        <v>1677.82</v>
      </c>
      <c r="N52" s="90">
        <v>6417.14</v>
      </c>
      <c r="O52" s="45"/>
      <c r="P52" s="43">
        <v>1630</v>
      </c>
      <c r="Q52" s="43">
        <v>1757.58</v>
      </c>
      <c r="R52" s="43">
        <v>1981</v>
      </c>
      <c r="S52" s="43">
        <v>1621</v>
      </c>
      <c r="T52" s="90">
        <v>7067</v>
      </c>
      <c r="U52" s="45"/>
      <c r="V52" s="43">
        <v>1630</v>
      </c>
      <c r="W52" s="43">
        <v>1569</v>
      </c>
      <c r="X52" s="43">
        <v>1528</v>
      </c>
      <c r="Y52" s="43">
        <v>1652</v>
      </c>
      <c r="Z52" s="90">
        <v>6379</v>
      </c>
      <c r="AA52" s="45"/>
      <c r="AB52" s="43">
        <v>1641</v>
      </c>
      <c r="AC52" s="43">
        <v>1673</v>
      </c>
      <c r="AD52" s="43">
        <v>1671</v>
      </c>
      <c r="AE52" s="43">
        <v>1762</v>
      </c>
      <c r="AF52" s="90">
        <v>6747</v>
      </c>
      <c r="AG52" s="92"/>
      <c r="AH52" s="43">
        <v>1626</v>
      </c>
      <c r="AI52" s="43">
        <v>1876</v>
      </c>
      <c r="AJ52" s="47"/>
      <c r="AK52" s="47"/>
      <c r="AL52" s="91"/>
      <c r="AM52" s="45"/>
      <c r="AN52" s="47"/>
      <c r="AO52" s="47"/>
      <c r="AP52" s="47"/>
      <c r="AQ52" s="47"/>
      <c r="AR52" s="91"/>
      <c r="AS52" s="45"/>
      <c r="AT52" s="91"/>
      <c r="AU52" s="93"/>
      <c r="AV52" s="91"/>
      <c r="AW52" s="93"/>
      <c r="AX52" s="91"/>
    </row>
    <row r="53" spans="1:50" s="51" customFormat="1" ht="14.25" customHeight="1" thickTop="1" x14ac:dyDescent="0.3">
      <c r="A53" s="52"/>
      <c r="B53" s="94"/>
      <c r="C53" s="21"/>
      <c r="D53" s="43"/>
      <c r="E53" s="43"/>
      <c r="F53" s="43"/>
      <c r="G53" s="43"/>
      <c r="H53" s="63"/>
      <c r="I53" s="45"/>
      <c r="J53" s="43"/>
      <c r="K53" s="43"/>
      <c r="L53" s="43"/>
      <c r="M53" s="43"/>
      <c r="N53" s="63"/>
      <c r="O53" s="45"/>
      <c r="P53" s="43"/>
      <c r="Q53" s="43"/>
      <c r="R53" s="43"/>
      <c r="S53" s="43"/>
      <c r="T53" s="63"/>
      <c r="U53" s="45"/>
      <c r="V53" s="43"/>
      <c r="W53" s="43"/>
      <c r="X53" s="43"/>
      <c r="Y53" s="43"/>
      <c r="Z53" s="63"/>
      <c r="AA53" s="45"/>
      <c r="AB53" s="43"/>
      <c r="AC53" s="43"/>
      <c r="AD53" s="43"/>
      <c r="AE53" s="43"/>
      <c r="AF53" s="63"/>
      <c r="AG53" s="92"/>
      <c r="AH53" s="43"/>
      <c r="AI53" s="43"/>
      <c r="AJ53" s="47"/>
      <c r="AK53" s="47"/>
      <c r="AL53" s="65"/>
      <c r="AM53" s="45"/>
      <c r="AN53" s="47"/>
      <c r="AO53" s="47"/>
      <c r="AP53" s="47"/>
      <c r="AQ53" s="47"/>
      <c r="AR53" s="65"/>
      <c r="AS53" s="45"/>
      <c r="AT53" s="65"/>
      <c r="AU53" s="93"/>
      <c r="AV53" s="65"/>
      <c r="AW53" s="93"/>
      <c r="AX53" s="65"/>
    </row>
    <row r="54" spans="1:50" s="51" customFormat="1" ht="14.25" customHeight="1" x14ac:dyDescent="0.3">
      <c r="A54" s="41" t="s">
        <v>39</v>
      </c>
      <c r="B54" s="62" t="s">
        <v>971</v>
      </c>
      <c r="C54" s="19"/>
      <c r="D54" s="43"/>
      <c r="E54" s="43"/>
      <c r="F54" s="43"/>
      <c r="G54" s="43"/>
      <c r="H54" s="63"/>
      <c r="I54" s="45"/>
      <c r="J54" s="43"/>
      <c r="K54" s="43"/>
      <c r="L54" s="43"/>
      <c r="M54" s="43"/>
      <c r="N54" s="63"/>
      <c r="O54" s="45"/>
      <c r="P54" s="43"/>
      <c r="Q54" s="43"/>
      <c r="R54" s="43"/>
      <c r="S54" s="43"/>
      <c r="T54" s="63"/>
      <c r="U54" s="45"/>
      <c r="V54" s="43"/>
      <c r="W54" s="43"/>
      <c r="X54" s="43"/>
      <c r="Y54" s="43"/>
      <c r="Z54" s="63"/>
      <c r="AA54" s="45"/>
      <c r="AB54" s="43"/>
      <c r="AC54" s="43"/>
      <c r="AD54" s="43"/>
      <c r="AE54" s="43"/>
      <c r="AF54" s="63"/>
      <c r="AG54" s="92"/>
      <c r="AH54" s="43"/>
      <c r="AI54" s="43"/>
      <c r="AJ54" s="47"/>
      <c r="AK54" s="47"/>
      <c r="AL54" s="65"/>
      <c r="AM54" s="45"/>
      <c r="AN54" s="47"/>
      <c r="AO54" s="47"/>
      <c r="AP54" s="47"/>
      <c r="AQ54" s="47"/>
      <c r="AR54" s="65"/>
      <c r="AS54" s="45"/>
      <c r="AT54" s="65"/>
      <c r="AU54" s="93"/>
      <c r="AV54" s="65"/>
      <c r="AW54" s="93"/>
      <c r="AX54" s="65"/>
    </row>
    <row r="55" spans="1:50" s="51" customFormat="1" ht="14.25" customHeight="1" x14ac:dyDescent="0.3">
      <c r="A55" s="52"/>
      <c r="B55" s="73" t="s">
        <v>972</v>
      </c>
      <c r="C55" s="21"/>
      <c r="D55" s="95">
        <v>2.1413000000000002</v>
      </c>
      <c r="E55" s="95">
        <v>1.6002000000000001</v>
      </c>
      <c r="F55" s="95">
        <v>2.0156999999999998</v>
      </c>
      <c r="G55" s="95">
        <v>2.3426999999999998</v>
      </c>
      <c r="H55" s="96">
        <v>8.1358999999999995</v>
      </c>
      <c r="I55" s="97"/>
      <c r="J55" s="95">
        <v>2.0099999999999998</v>
      </c>
      <c r="K55" s="95">
        <v>2.6309</v>
      </c>
      <c r="L55" s="95">
        <v>2.58</v>
      </c>
      <c r="M55" s="95">
        <v>2.62</v>
      </c>
      <c r="N55" s="96">
        <v>9.8150999999999993</v>
      </c>
      <c r="O55" s="97"/>
      <c r="P55" s="95">
        <v>2.58</v>
      </c>
      <c r="Q55" s="95">
        <v>2.8094000000000001</v>
      </c>
      <c r="R55" s="95">
        <v>3.1930999999999998</v>
      </c>
      <c r="S55" s="95">
        <v>2.6457000000000002</v>
      </c>
      <c r="T55" s="96">
        <v>11.349</v>
      </c>
      <c r="U55" s="97"/>
      <c r="V55" s="95">
        <v>2.67</v>
      </c>
      <c r="W55" s="95">
        <v>2.58</v>
      </c>
      <c r="X55" s="95">
        <v>2.5099999999999998</v>
      </c>
      <c r="Y55" s="95">
        <v>2.71</v>
      </c>
      <c r="Z55" s="96">
        <v>10.47</v>
      </c>
      <c r="AA55" s="97"/>
      <c r="AB55" s="95">
        <v>2.69</v>
      </c>
      <c r="AC55" s="95">
        <v>2.75</v>
      </c>
      <c r="AD55" s="95">
        <v>2.75</v>
      </c>
      <c r="AE55" s="95">
        <v>2.92</v>
      </c>
      <c r="AF55" s="96">
        <v>11.1</v>
      </c>
      <c r="AG55" s="98"/>
      <c r="AH55" s="95">
        <v>2.71</v>
      </c>
      <c r="AI55" s="95">
        <v>3.16</v>
      </c>
      <c r="AJ55" s="99"/>
      <c r="AK55" s="99"/>
      <c r="AL55" s="100"/>
      <c r="AM55" s="97"/>
      <c r="AN55" s="99"/>
      <c r="AO55" s="99"/>
      <c r="AP55" s="99"/>
      <c r="AQ55" s="99"/>
      <c r="AR55" s="100"/>
      <c r="AS55" s="97"/>
      <c r="AT55" s="100"/>
      <c r="AU55" s="101"/>
      <c r="AV55" s="100"/>
      <c r="AW55" s="101"/>
      <c r="AX55" s="100"/>
    </row>
    <row r="56" spans="1:50" s="51" customFormat="1" ht="14.25" customHeight="1" x14ac:dyDescent="0.3">
      <c r="A56" s="70"/>
      <c r="B56" s="73" t="s">
        <v>973</v>
      </c>
      <c r="C56" s="19"/>
      <c r="D56" s="95">
        <v>2.1373000000000002</v>
      </c>
      <c r="E56" s="95">
        <v>1.6</v>
      </c>
      <c r="F56" s="95">
        <v>2.0065</v>
      </c>
      <c r="G56" s="95">
        <v>2.3389000000000002</v>
      </c>
      <c r="H56" s="96">
        <v>8.1178000000000008</v>
      </c>
      <c r="I56" s="97"/>
      <c r="J56" s="95">
        <v>2</v>
      </c>
      <c r="K56" s="95">
        <v>2.6206999999999998</v>
      </c>
      <c r="L56" s="95">
        <v>2.57</v>
      </c>
      <c r="M56" s="95">
        <v>2.6082999999999998</v>
      </c>
      <c r="N56" s="96">
        <v>9.7885000000000009</v>
      </c>
      <c r="O56" s="97"/>
      <c r="P56" s="95">
        <v>2.57</v>
      </c>
      <c r="Q56" s="95">
        <v>2.8065000000000002</v>
      </c>
      <c r="R56" s="95">
        <v>3.1884000000000001</v>
      </c>
      <c r="S56" s="95">
        <v>2.6423000000000001</v>
      </c>
      <c r="T56" s="96">
        <v>11.320600000000001</v>
      </c>
      <c r="U56" s="97"/>
      <c r="V56" s="95">
        <v>2.67</v>
      </c>
      <c r="W56" s="95">
        <v>2.57</v>
      </c>
      <c r="X56" s="95">
        <v>2.5099999999999998</v>
      </c>
      <c r="Y56" s="95">
        <v>2.71</v>
      </c>
      <c r="Z56" s="96">
        <v>10.45</v>
      </c>
      <c r="AA56" s="97"/>
      <c r="AB56" s="95">
        <v>2.69</v>
      </c>
      <c r="AC56" s="95">
        <v>2.74</v>
      </c>
      <c r="AD56" s="95">
        <v>2.75</v>
      </c>
      <c r="AE56" s="95">
        <v>2.91</v>
      </c>
      <c r="AF56" s="96">
        <v>11.09</v>
      </c>
      <c r="AG56" s="98"/>
      <c r="AH56" s="95">
        <v>2.7</v>
      </c>
      <c r="AI56" s="95">
        <v>3.15</v>
      </c>
      <c r="AJ56" s="99"/>
      <c r="AK56" s="99"/>
      <c r="AL56" s="100"/>
      <c r="AM56" s="97"/>
      <c r="AN56" s="99"/>
      <c r="AO56" s="99"/>
      <c r="AP56" s="99"/>
      <c r="AQ56" s="99"/>
      <c r="AR56" s="100"/>
      <c r="AS56" s="97"/>
      <c r="AT56" s="100"/>
      <c r="AU56" s="101"/>
      <c r="AV56" s="100"/>
      <c r="AW56" s="101"/>
      <c r="AX56" s="100"/>
    </row>
    <row r="57" spans="1:50" s="51" customFormat="1" ht="14.25" customHeight="1" x14ac:dyDescent="0.3">
      <c r="A57" s="52"/>
      <c r="B57" s="94"/>
      <c r="C57" s="21"/>
      <c r="D57" s="43"/>
      <c r="E57" s="43"/>
      <c r="F57" s="43"/>
      <c r="G57" s="43"/>
      <c r="H57" s="63"/>
      <c r="I57" s="45"/>
      <c r="J57" s="43"/>
      <c r="K57" s="43"/>
      <c r="L57" s="43"/>
      <c r="M57" s="43"/>
      <c r="N57" s="63"/>
      <c r="O57" s="45"/>
      <c r="P57" s="43"/>
      <c r="Q57" s="43"/>
      <c r="R57" s="43"/>
      <c r="S57" s="43"/>
      <c r="T57" s="63"/>
      <c r="U57" s="45"/>
      <c r="V57" s="43"/>
      <c r="W57" s="43"/>
      <c r="X57" s="43"/>
      <c r="Y57" s="43"/>
      <c r="Z57" s="63"/>
      <c r="AA57" s="45"/>
      <c r="AB57" s="43"/>
      <c r="AC57" s="43"/>
      <c r="AD57" s="43"/>
      <c r="AE57" s="43"/>
      <c r="AF57" s="63"/>
      <c r="AG57" s="92"/>
      <c r="AH57" s="43"/>
      <c r="AI57" s="43"/>
      <c r="AJ57" s="47"/>
      <c r="AK57" s="47"/>
      <c r="AL57" s="65"/>
      <c r="AM57" s="45"/>
      <c r="AN57" s="47"/>
      <c r="AO57" s="47"/>
      <c r="AP57" s="47"/>
      <c r="AQ57" s="47"/>
      <c r="AR57" s="65"/>
      <c r="AS57" s="45"/>
      <c r="AT57" s="65"/>
      <c r="AU57" s="93"/>
      <c r="AV57" s="65"/>
      <c r="AW57" s="93"/>
      <c r="AX57" s="65"/>
    </row>
    <row r="58" spans="1:50" s="51" customFormat="1" ht="14.25" customHeight="1" x14ac:dyDescent="0.3">
      <c r="A58" s="41" t="s">
        <v>39</v>
      </c>
      <c r="B58" s="62" t="s">
        <v>974</v>
      </c>
      <c r="C58" s="19"/>
      <c r="D58" s="43"/>
      <c r="E58" s="43"/>
      <c r="F58" s="43"/>
      <c r="G58" s="43"/>
      <c r="H58" s="63"/>
      <c r="I58" s="45"/>
      <c r="J58" s="43"/>
      <c r="K58" s="43"/>
      <c r="L58" s="43"/>
      <c r="M58" s="43"/>
      <c r="N58" s="63"/>
      <c r="O58" s="45"/>
      <c r="P58" s="43"/>
      <c r="Q58" s="43"/>
      <c r="R58" s="43"/>
      <c r="S58" s="43"/>
      <c r="T58" s="63"/>
      <c r="U58" s="45"/>
      <c r="V58" s="43"/>
      <c r="W58" s="43"/>
      <c r="X58" s="43"/>
      <c r="Y58" s="43"/>
      <c r="Z58" s="63"/>
      <c r="AA58" s="45"/>
      <c r="AB58" s="43"/>
      <c r="AC58" s="43"/>
      <c r="AD58" s="43"/>
      <c r="AE58" s="43"/>
      <c r="AF58" s="63"/>
      <c r="AG58" s="92"/>
      <c r="AH58" s="43"/>
      <c r="AI58" s="43"/>
      <c r="AJ58" s="47"/>
      <c r="AK58" s="47"/>
      <c r="AL58" s="65"/>
      <c r="AM58" s="45"/>
      <c r="AN58" s="47"/>
      <c r="AO58" s="47"/>
      <c r="AP58" s="47"/>
      <c r="AQ58" s="47"/>
      <c r="AR58" s="65"/>
      <c r="AS58" s="45"/>
      <c r="AT58" s="65"/>
      <c r="AU58" s="93"/>
      <c r="AV58" s="65"/>
      <c r="AW58" s="93"/>
      <c r="AX58" s="65"/>
    </row>
    <row r="59" spans="1:50" s="51" customFormat="1" ht="14.25" customHeight="1" x14ac:dyDescent="0.3">
      <c r="A59" s="94"/>
      <c r="B59" s="67" t="s">
        <v>975</v>
      </c>
      <c r="C59" s="21"/>
      <c r="D59" s="315">
        <v>684.3</v>
      </c>
      <c r="E59" s="315">
        <v>677.7</v>
      </c>
      <c r="F59" s="315">
        <v>675</v>
      </c>
      <c r="G59" s="315">
        <v>672.2</v>
      </c>
      <c r="H59" s="325">
        <v>677.3</v>
      </c>
      <c r="I59" s="326"/>
      <c r="J59" s="315">
        <v>667.6</v>
      </c>
      <c r="K59" s="315">
        <v>658.5</v>
      </c>
      <c r="L59" s="315">
        <v>648.70000000000005</v>
      </c>
      <c r="M59" s="315">
        <v>640.4</v>
      </c>
      <c r="N59" s="325">
        <v>653.79999999999995</v>
      </c>
      <c r="O59" s="326"/>
      <c r="P59" s="315">
        <v>632.20000000000005</v>
      </c>
      <c r="Q59" s="315">
        <v>625.6</v>
      </c>
      <c r="R59" s="315">
        <v>620.4</v>
      </c>
      <c r="S59" s="315">
        <v>612.70000000000005</v>
      </c>
      <c r="T59" s="325">
        <v>622.70000000000005</v>
      </c>
      <c r="U59" s="326"/>
      <c r="V59" s="315">
        <v>610.6</v>
      </c>
      <c r="W59" s="315">
        <v>608.70000000000005</v>
      </c>
      <c r="X59" s="315">
        <v>608.70000000000005</v>
      </c>
      <c r="Y59" s="315">
        <v>608.9</v>
      </c>
      <c r="Z59" s="325">
        <v>609.20000000000005</v>
      </c>
      <c r="AA59" s="326"/>
      <c r="AB59" s="315">
        <v>609.20000000000005</v>
      </c>
      <c r="AC59" s="315">
        <v>609.4</v>
      </c>
      <c r="AD59" s="315">
        <v>607.6</v>
      </c>
      <c r="AE59" s="315">
        <v>604.20000000000005</v>
      </c>
      <c r="AF59" s="325">
        <v>607.6</v>
      </c>
      <c r="AG59" s="327"/>
      <c r="AH59" s="315">
        <v>601</v>
      </c>
      <c r="AI59" s="315">
        <v>594.1</v>
      </c>
      <c r="AJ59" s="328"/>
      <c r="AK59" s="328"/>
      <c r="AL59" s="352"/>
      <c r="AM59" s="326"/>
      <c r="AN59" s="328"/>
      <c r="AO59" s="328"/>
      <c r="AP59" s="328"/>
      <c r="AQ59" s="328"/>
      <c r="AR59" s="352"/>
      <c r="AS59" s="45"/>
      <c r="AT59" s="352"/>
      <c r="AU59" s="93"/>
      <c r="AV59" s="352"/>
      <c r="AW59" s="93"/>
      <c r="AX59" s="352"/>
    </row>
    <row r="60" spans="1:50" s="51" customFormat="1" ht="14.25" customHeight="1" x14ac:dyDescent="0.3">
      <c r="A60" s="94"/>
      <c r="B60" s="67" t="s">
        <v>976</v>
      </c>
      <c r="C60" s="21"/>
      <c r="D60" s="315">
        <v>686.2</v>
      </c>
      <c r="E60" s="315">
        <v>679.2</v>
      </c>
      <c r="F60" s="315">
        <v>676.8</v>
      </c>
      <c r="G60" s="315">
        <v>674.1</v>
      </c>
      <c r="H60" s="325">
        <v>679.1</v>
      </c>
      <c r="I60" s="326"/>
      <c r="J60" s="315">
        <v>669.2</v>
      </c>
      <c r="K60" s="315">
        <v>660.1</v>
      </c>
      <c r="L60" s="315">
        <v>650.29999999999995</v>
      </c>
      <c r="M60" s="315">
        <v>642.1</v>
      </c>
      <c r="N60" s="325">
        <v>655.4</v>
      </c>
      <c r="O60" s="326"/>
      <c r="P60" s="315">
        <v>633.6</v>
      </c>
      <c r="Q60" s="315">
        <v>626.79999999999995</v>
      </c>
      <c r="R60" s="315">
        <v>621.5</v>
      </c>
      <c r="S60" s="315">
        <v>613.70000000000005</v>
      </c>
      <c r="T60" s="325">
        <v>624</v>
      </c>
      <c r="U60" s="326"/>
      <c r="V60" s="315">
        <v>611.5</v>
      </c>
      <c r="W60" s="315">
        <v>609.5</v>
      </c>
      <c r="X60" s="315">
        <v>609.79999999999995</v>
      </c>
      <c r="Y60" s="315">
        <v>609.9</v>
      </c>
      <c r="Z60" s="325">
        <v>610.20000000000005</v>
      </c>
      <c r="AA60" s="326"/>
      <c r="AB60" s="315">
        <v>610.20000000000005</v>
      </c>
      <c r="AC60" s="315">
        <v>610.29999999999995</v>
      </c>
      <c r="AD60" s="315">
        <v>608.6</v>
      </c>
      <c r="AE60" s="315">
        <v>605.20000000000005</v>
      </c>
      <c r="AF60" s="325">
        <v>608.6</v>
      </c>
      <c r="AG60" s="327"/>
      <c r="AH60" s="315">
        <v>601.9</v>
      </c>
      <c r="AI60" s="315">
        <v>594.79999999999995</v>
      </c>
      <c r="AJ60" s="328"/>
      <c r="AK60" s="328"/>
      <c r="AL60" s="352"/>
      <c r="AM60" s="326"/>
      <c r="AN60" s="328"/>
      <c r="AO60" s="328"/>
      <c r="AP60" s="328"/>
      <c r="AQ60" s="328"/>
      <c r="AR60" s="352"/>
      <c r="AS60" s="45"/>
      <c r="AT60" s="352"/>
      <c r="AU60" s="93"/>
      <c r="AV60" s="352"/>
      <c r="AW60" s="93"/>
      <c r="AX60" s="352"/>
    </row>
    <row r="61" spans="1:50" ht="14.25" customHeight="1" x14ac:dyDescent="0.3">
      <c r="AG61" s="202"/>
    </row>
    <row r="62" spans="1:50" ht="14.25" customHeight="1" x14ac:dyDescent="0.3">
      <c r="B62" s="61" t="s">
        <v>977</v>
      </c>
      <c r="C62" s="112"/>
      <c r="D62" s="110"/>
      <c r="E62" s="110"/>
      <c r="F62" s="110"/>
      <c r="G62" s="110"/>
      <c r="H62" s="110"/>
      <c r="I62" s="112"/>
      <c r="J62" s="110"/>
      <c r="K62" s="110"/>
      <c r="L62" s="110"/>
      <c r="M62" s="110"/>
      <c r="N62" s="110"/>
      <c r="O62" s="112"/>
      <c r="P62" s="110"/>
      <c r="Q62" s="110"/>
      <c r="R62" s="110"/>
      <c r="S62" s="110"/>
      <c r="T62" s="110"/>
      <c r="U62" s="112"/>
      <c r="V62" s="110"/>
      <c r="W62" s="110"/>
      <c r="X62" s="110"/>
      <c r="Y62" s="110"/>
      <c r="Z62" s="110"/>
      <c r="AA62" s="112"/>
      <c r="AB62" s="110"/>
      <c r="AC62" s="110"/>
      <c r="AD62" s="110"/>
      <c r="AE62" s="110"/>
      <c r="AF62" s="110"/>
      <c r="AG62" s="354"/>
      <c r="AH62" s="110"/>
      <c r="AI62" s="110"/>
      <c r="AJ62" s="110"/>
      <c r="AK62" s="110"/>
      <c r="AL62" s="110"/>
      <c r="AM62" s="112"/>
      <c r="AN62" s="110"/>
      <c r="AO62" s="110"/>
      <c r="AP62" s="110"/>
      <c r="AQ62" s="110"/>
    </row>
    <row r="63" spans="1:50" ht="14.25" customHeight="1" x14ac:dyDescent="0.3">
      <c r="B63" s="61"/>
      <c r="C63" s="112"/>
      <c r="D63" s="110"/>
      <c r="E63" s="110"/>
      <c r="F63" s="110"/>
      <c r="G63" s="110"/>
      <c r="H63" s="110"/>
      <c r="I63" s="112"/>
      <c r="J63" s="110"/>
      <c r="K63" s="110"/>
      <c r="L63" s="110"/>
      <c r="M63" s="110"/>
      <c r="N63" s="110"/>
      <c r="O63" s="112"/>
      <c r="P63" s="110"/>
      <c r="Q63" s="110"/>
      <c r="R63" s="110"/>
      <c r="S63" s="110"/>
      <c r="T63" s="110"/>
      <c r="U63" s="112"/>
      <c r="V63" s="110"/>
      <c r="W63" s="110"/>
      <c r="X63" s="110"/>
      <c r="Y63" s="110"/>
      <c r="Z63" s="110"/>
      <c r="AA63" s="112"/>
      <c r="AB63" s="110"/>
      <c r="AC63" s="110"/>
      <c r="AD63" s="110"/>
      <c r="AE63" s="110"/>
      <c r="AF63" s="110"/>
      <c r="AG63" s="354"/>
      <c r="AH63" s="110"/>
      <c r="AI63" s="110"/>
      <c r="AJ63" s="110"/>
      <c r="AK63" s="110"/>
      <c r="AL63" s="110"/>
      <c r="AM63" s="112"/>
      <c r="AN63" s="110"/>
      <c r="AO63" s="110"/>
      <c r="AP63" s="110"/>
      <c r="AQ63" s="110"/>
    </row>
    <row r="64" spans="1:50" ht="14.25" customHeight="1" x14ac:dyDescent="0.3">
      <c r="B64" s="111" t="s">
        <v>978</v>
      </c>
      <c r="C64" s="15"/>
      <c r="D64" s="57"/>
      <c r="E64" s="57"/>
      <c r="F64" s="57"/>
      <c r="G64" s="57"/>
      <c r="H64" s="63"/>
      <c r="I64" s="18"/>
      <c r="J64" s="57"/>
      <c r="K64" s="57"/>
      <c r="L64" s="57"/>
      <c r="M64" s="57"/>
      <c r="N64" s="63"/>
      <c r="O64" s="18"/>
      <c r="P64" s="57"/>
      <c r="Q64" s="57"/>
      <c r="R64" s="57"/>
      <c r="S64" s="57"/>
      <c r="T64" s="63"/>
      <c r="U64" s="18"/>
      <c r="V64" s="57"/>
      <c r="W64" s="57"/>
      <c r="X64" s="57"/>
      <c r="Y64" s="57"/>
      <c r="Z64" s="63"/>
      <c r="AA64" s="18"/>
      <c r="AB64" s="57"/>
      <c r="AC64" s="57"/>
      <c r="AD64" s="57"/>
      <c r="AE64" s="57"/>
      <c r="AF64" s="63"/>
      <c r="AG64" s="147"/>
      <c r="AH64" s="57"/>
      <c r="AI64" s="57"/>
      <c r="AJ64" s="43"/>
      <c r="AK64" s="43"/>
      <c r="AL64" s="63"/>
      <c r="AM64" s="18"/>
      <c r="AN64" s="43"/>
      <c r="AO64" s="43"/>
      <c r="AP64" s="43"/>
      <c r="AQ64" s="43"/>
    </row>
    <row r="65" spans="2:2" ht="14.25" customHeight="1" x14ac:dyDescent="0.3">
      <c r="B65" s="111" t="s">
        <v>979</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U32" zoomScale="130" zoomScaleNormal="130" workbookViewId="0">
      <selection activeCell="AI43" sqref="AI43"/>
    </sheetView>
  </sheetViews>
  <sheetFormatPr defaultColWidth="9" defaultRowHeight="15" customHeight="1" outlineLevelCol="1" x14ac:dyDescent="0.3"/>
  <cols>
    <col min="1" max="1" width="2" style="38" customWidth="1"/>
    <col min="2" max="2" width="50.5" style="38" customWidth="1"/>
    <col min="3" max="3" width="3.33203125" style="15" customWidth="1"/>
    <col min="4" max="7" width="9.5" style="38" customWidth="1" outlineLevel="1"/>
    <col min="8" max="8" width="11.5" style="38" customWidth="1"/>
    <col min="9" max="9" width="1.5" style="15" customWidth="1"/>
    <col min="10" max="13" width="9.5" style="38" customWidth="1" outlineLevel="1"/>
    <col min="14" max="14" width="11.5" style="38" customWidth="1"/>
    <col min="15" max="15" width="1.5" style="15" customWidth="1"/>
    <col min="16" max="19" width="9.5" style="38" customWidth="1" outlineLevel="1"/>
    <col min="20" max="20" width="11.5" style="38" customWidth="1"/>
    <col min="21" max="21" width="1.5" style="15" customWidth="1"/>
    <col min="22" max="25" width="9.5" style="38" customWidth="1" outlineLevel="1"/>
    <col min="26" max="26" width="11.5" style="38" customWidth="1"/>
    <col min="27" max="27" width="1.5" style="15" customWidth="1"/>
    <col min="28" max="31" width="9.5" style="38" customWidth="1" outlineLevel="1"/>
    <col min="32" max="32" width="11.5" style="38" customWidth="1"/>
    <col min="33" max="33" width="1.5" style="15" customWidth="1"/>
    <col min="34" max="37" width="9.5" style="38" customWidth="1" outlineLevel="1"/>
    <col min="38" max="38" width="11.5" style="38" customWidth="1"/>
    <col min="39" max="39" width="1.5" style="15" customWidth="1"/>
    <col min="40" max="43" width="9.5" style="38" customWidth="1" outlineLevel="1"/>
    <col min="44" max="44" width="11.5" style="38" customWidth="1"/>
    <col min="45" max="45" width="1.5" style="15" customWidth="1"/>
    <col min="46" max="46" width="11.5" style="38" customWidth="1"/>
    <col min="47" max="47" width="1.5" style="15" customWidth="1"/>
    <col min="48" max="48" width="11.5" style="39" customWidth="1"/>
    <col min="49" max="49" width="1.5" style="38" customWidth="1"/>
    <col min="50" max="50" width="11.5" style="38" customWidth="1"/>
    <col min="51" max="16384" width="9" style="38"/>
  </cols>
  <sheetData>
    <row r="1" spans="1:50" s="569" customFormat="1" ht="15" customHeight="1" x14ac:dyDescent="0.3">
      <c r="AH1" s="569">
        <v>0</v>
      </c>
    </row>
    <row r="2" spans="1:50" s="569" customFormat="1" ht="15" customHeight="1" x14ac:dyDescent="0.3"/>
    <row r="3" spans="1:50" s="569" customFormat="1" ht="15" customHeight="1" x14ac:dyDescent="0.3"/>
    <row r="4" spans="1:50" s="569" customFormat="1" ht="15" customHeight="1" x14ac:dyDescent="0.3"/>
    <row r="5" spans="1:50" s="565" customFormat="1" ht="4" customHeight="1" x14ac:dyDescent="0.3">
      <c r="C5" s="566"/>
      <c r="I5" s="566"/>
      <c r="O5" s="566"/>
      <c r="U5" s="566"/>
      <c r="AA5" s="566"/>
      <c r="AG5" s="566"/>
      <c r="AM5" s="566"/>
      <c r="AS5" s="566"/>
      <c r="AU5" s="566"/>
      <c r="AV5" s="567"/>
    </row>
    <row r="7" spans="1:50" ht="15" customHeight="1" x14ac:dyDescent="0.3">
      <c r="B7" s="158" t="s">
        <v>724</v>
      </c>
      <c r="C7" s="16"/>
      <c r="D7" s="199">
        <v>2020</v>
      </c>
      <c r="E7" s="199">
        <v>2020</v>
      </c>
      <c r="F7" s="165">
        <v>2020</v>
      </c>
      <c r="G7" s="199">
        <v>2020</v>
      </c>
      <c r="H7" s="199">
        <v>2020</v>
      </c>
      <c r="I7" s="16"/>
      <c r="J7" s="199">
        <v>2021</v>
      </c>
      <c r="K7" s="199">
        <v>2021</v>
      </c>
      <c r="L7" s="199">
        <v>2021</v>
      </c>
      <c r="M7" s="199">
        <v>2021</v>
      </c>
      <c r="N7" s="199">
        <v>2021</v>
      </c>
      <c r="O7" s="166"/>
      <c r="P7" s="199">
        <v>2022</v>
      </c>
      <c r="Q7" s="199">
        <v>2022</v>
      </c>
      <c r="R7" s="199">
        <v>2022</v>
      </c>
      <c r="S7" s="199">
        <v>2022</v>
      </c>
      <c r="T7" s="199">
        <v>2022</v>
      </c>
      <c r="U7" s="166"/>
      <c r="V7" s="199">
        <v>2023</v>
      </c>
      <c r="W7" s="199">
        <v>2023</v>
      </c>
      <c r="X7" s="199">
        <v>2023</v>
      </c>
      <c r="Y7" s="199">
        <v>2023</v>
      </c>
      <c r="Z7" s="199">
        <v>2023</v>
      </c>
      <c r="AA7" s="167"/>
      <c r="AB7" s="199">
        <v>2024</v>
      </c>
      <c r="AC7" s="199">
        <v>2024</v>
      </c>
      <c r="AD7" s="199">
        <v>2024</v>
      </c>
      <c r="AE7" s="199">
        <v>2024</v>
      </c>
      <c r="AF7" s="199">
        <v>2024</v>
      </c>
      <c r="AG7" s="167"/>
      <c r="AH7" s="199">
        <v>2025</v>
      </c>
      <c r="AI7" s="199">
        <v>2025</v>
      </c>
      <c r="AJ7" s="200">
        <v>2025</v>
      </c>
      <c r="AK7" s="199">
        <v>2025</v>
      </c>
      <c r="AL7" s="199">
        <v>2025</v>
      </c>
      <c r="AM7" s="168"/>
      <c r="AN7" s="199">
        <v>2025</v>
      </c>
      <c r="AO7" s="199">
        <v>2025</v>
      </c>
      <c r="AP7" s="200">
        <v>2025</v>
      </c>
      <c r="AQ7" s="199">
        <v>2025</v>
      </c>
      <c r="AR7" s="199">
        <v>2025</v>
      </c>
      <c r="AS7" s="16"/>
      <c r="AT7" s="159"/>
      <c r="AU7" s="16"/>
      <c r="AV7" s="160"/>
      <c r="AW7" s="16"/>
      <c r="AX7" s="160"/>
    </row>
    <row r="8" spans="1:50" ht="15" customHeight="1" x14ac:dyDescent="0.3">
      <c r="B8" s="161"/>
      <c r="C8" s="16"/>
      <c r="D8" s="1244">
        <v>2020</v>
      </c>
      <c r="E8" s="1244"/>
      <c r="F8" s="1244"/>
      <c r="G8" s="1244"/>
      <c r="H8" s="1244"/>
      <c r="I8" s="166"/>
      <c r="J8" s="1244">
        <v>2021</v>
      </c>
      <c r="K8" s="1244"/>
      <c r="L8" s="1244"/>
      <c r="M8" s="1244"/>
      <c r="N8" s="1244"/>
      <c r="O8" s="166"/>
      <c r="P8" s="1244">
        <v>2022</v>
      </c>
      <c r="Q8" s="1244"/>
      <c r="R8" s="1244"/>
      <c r="S8" s="1244"/>
      <c r="T8" s="1244"/>
      <c r="U8" s="166"/>
      <c r="V8" s="1244">
        <v>2023</v>
      </c>
      <c r="W8" s="1244"/>
      <c r="X8" s="1244"/>
      <c r="Y8" s="1244"/>
      <c r="Z8" s="1244"/>
      <c r="AA8" s="166"/>
      <c r="AB8" s="1244">
        <v>2024</v>
      </c>
      <c r="AC8" s="1244"/>
      <c r="AD8" s="1244"/>
      <c r="AE8" s="1244"/>
      <c r="AF8" s="1244"/>
      <c r="AG8" s="166"/>
      <c r="AH8" s="1243">
        <v>2025</v>
      </c>
      <c r="AI8" s="1243"/>
      <c r="AJ8" s="1243"/>
      <c r="AK8" s="1243"/>
      <c r="AL8" s="1243"/>
      <c r="AM8" s="166"/>
      <c r="AN8" s="1243">
        <v>2026</v>
      </c>
      <c r="AO8" s="1243"/>
      <c r="AP8" s="1243"/>
      <c r="AQ8" s="1243"/>
      <c r="AR8" s="1243"/>
      <c r="AS8" s="168"/>
      <c r="AT8" s="163">
        <v>2027</v>
      </c>
      <c r="AU8" s="164"/>
      <c r="AV8" s="163">
        <v>2028</v>
      </c>
      <c r="AW8" s="164"/>
      <c r="AX8" s="163">
        <v>2029</v>
      </c>
    </row>
    <row r="9" spans="1:50" ht="15" customHeight="1" x14ac:dyDescent="0.3">
      <c r="B9" s="161"/>
      <c r="C9" s="16"/>
      <c r="D9" s="165" t="s">
        <v>217</v>
      </c>
      <c r="E9" s="165" t="s">
        <v>218</v>
      </c>
      <c r="F9" s="165" t="s">
        <v>219</v>
      </c>
      <c r="G9" s="165" t="s">
        <v>220</v>
      </c>
      <c r="H9" s="165" t="s">
        <v>221</v>
      </c>
      <c r="I9" s="16"/>
      <c r="J9" s="165" t="s">
        <v>217</v>
      </c>
      <c r="K9" s="165" t="s">
        <v>218</v>
      </c>
      <c r="L9" s="165" t="s">
        <v>219</v>
      </c>
      <c r="M9" s="165" t="s">
        <v>220</v>
      </c>
      <c r="N9" s="165" t="s">
        <v>221</v>
      </c>
      <c r="O9" s="162"/>
      <c r="P9" s="165" t="s">
        <v>217</v>
      </c>
      <c r="Q9" s="165" t="s">
        <v>218</v>
      </c>
      <c r="R9" s="165" t="s">
        <v>219</v>
      </c>
      <c r="S9" s="165" t="s">
        <v>220</v>
      </c>
      <c r="T9" s="165" t="s">
        <v>221</v>
      </c>
      <c r="U9" s="162"/>
      <c r="V9" s="165" t="s">
        <v>217</v>
      </c>
      <c r="W9" s="165" t="s">
        <v>218</v>
      </c>
      <c r="X9" s="165" t="s">
        <v>219</v>
      </c>
      <c r="Y9" s="165" t="s">
        <v>220</v>
      </c>
      <c r="Z9" s="165" t="s">
        <v>221</v>
      </c>
      <c r="AA9" s="162"/>
      <c r="AB9" s="165" t="s">
        <v>217</v>
      </c>
      <c r="AC9" s="165" t="s">
        <v>218</v>
      </c>
      <c r="AD9" s="165" t="s">
        <v>219</v>
      </c>
      <c r="AE9" s="165" t="s">
        <v>220</v>
      </c>
      <c r="AF9" s="165" t="s">
        <v>221</v>
      </c>
      <c r="AG9" s="162"/>
      <c r="AH9" s="165" t="s">
        <v>217</v>
      </c>
      <c r="AI9" s="165" t="s">
        <v>218</v>
      </c>
      <c r="AJ9" s="165" t="s">
        <v>219</v>
      </c>
      <c r="AK9" s="165" t="s">
        <v>220</v>
      </c>
      <c r="AL9" s="165" t="s">
        <v>221</v>
      </c>
      <c r="AM9" s="162"/>
      <c r="AN9" s="165" t="s">
        <v>217</v>
      </c>
      <c r="AO9" s="165" t="s">
        <v>218</v>
      </c>
      <c r="AP9" s="165" t="s">
        <v>219</v>
      </c>
      <c r="AQ9" s="165" t="s">
        <v>220</v>
      </c>
      <c r="AR9" s="165" t="s">
        <v>221</v>
      </c>
      <c r="AS9" s="162"/>
      <c r="AT9" s="165" t="s">
        <v>221</v>
      </c>
      <c r="AU9" s="162"/>
      <c r="AV9" s="165" t="s">
        <v>221</v>
      </c>
      <c r="AW9" s="162"/>
      <c r="AX9" s="165" t="s">
        <v>221</v>
      </c>
    </row>
    <row r="10" spans="1:50" ht="4" customHeight="1" x14ac:dyDescent="0.3">
      <c r="A10" s="40"/>
      <c r="B10" s="173"/>
      <c r="C10" s="33"/>
      <c r="D10" s="174"/>
      <c r="E10" s="174"/>
      <c r="F10" s="174"/>
      <c r="G10" s="174"/>
      <c r="H10" s="174"/>
      <c r="I10" s="33"/>
      <c r="J10" s="174"/>
      <c r="K10" s="174"/>
      <c r="L10" s="174"/>
      <c r="M10" s="174"/>
      <c r="N10" s="174"/>
      <c r="O10" s="175"/>
      <c r="P10" s="174"/>
      <c r="Q10" s="174"/>
      <c r="R10" s="174"/>
      <c r="S10" s="174"/>
      <c r="T10" s="174"/>
      <c r="U10" s="175"/>
      <c r="V10" s="174"/>
      <c r="W10" s="174"/>
      <c r="X10" s="174"/>
      <c r="Y10" s="174"/>
      <c r="Z10" s="174"/>
      <c r="AA10" s="175"/>
      <c r="AB10" s="174"/>
      <c r="AC10" s="174"/>
      <c r="AD10" s="174"/>
      <c r="AE10" s="174"/>
      <c r="AF10" s="174"/>
      <c r="AG10" s="175"/>
      <c r="AH10" s="174"/>
      <c r="AI10" s="174"/>
      <c r="AJ10" s="174"/>
      <c r="AK10" s="174"/>
      <c r="AL10" s="176"/>
      <c r="AM10" s="177"/>
      <c r="AN10" s="176"/>
      <c r="AO10" s="176"/>
      <c r="AP10" s="176"/>
      <c r="AQ10" s="176"/>
      <c r="AR10" s="176"/>
      <c r="AS10" s="177"/>
      <c r="AT10" s="176"/>
      <c r="AU10" s="177"/>
      <c r="AV10" s="176"/>
      <c r="AW10" s="177"/>
      <c r="AX10" s="176"/>
    </row>
    <row r="11" spans="1:50" ht="4" customHeight="1" x14ac:dyDescent="0.3">
      <c r="A11" s="40"/>
      <c r="B11" s="169"/>
      <c r="C11" s="17"/>
      <c r="D11" s="170"/>
      <c r="E11" s="170"/>
      <c r="F11" s="170"/>
      <c r="G11" s="170"/>
      <c r="H11" s="170"/>
      <c r="I11" s="17"/>
      <c r="J11" s="170"/>
      <c r="K11" s="170"/>
      <c r="L11" s="170"/>
      <c r="M11" s="170"/>
      <c r="N11" s="170"/>
      <c r="O11" s="171"/>
      <c r="P11" s="170"/>
      <c r="Q11" s="170"/>
      <c r="R11" s="170"/>
      <c r="S11" s="170"/>
      <c r="T11" s="170"/>
      <c r="U11" s="171"/>
      <c r="V11" s="170"/>
      <c r="W11" s="170"/>
      <c r="X11" s="170"/>
      <c r="Y11" s="170"/>
      <c r="Z11" s="170"/>
      <c r="AA11" s="171"/>
      <c r="AB11" s="170"/>
      <c r="AC11" s="170"/>
      <c r="AD11" s="170"/>
      <c r="AE11" s="170"/>
      <c r="AF11" s="170"/>
      <c r="AG11" s="201"/>
      <c r="AH11" s="170"/>
      <c r="AI11" s="170"/>
      <c r="AJ11" s="170"/>
      <c r="AK11" s="170"/>
      <c r="AL11" s="172"/>
      <c r="AM11" s="32"/>
      <c r="AN11" s="172"/>
      <c r="AO11" s="172"/>
      <c r="AP11" s="172"/>
      <c r="AQ11" s="172"/>
      <c r="AR11" s="172"/>
      <c r="AS11" s="32"/>
      <c r="AT11" s="172"/>
      <c r="AU11" s="32"/>
      <c r="AV11" s="172"/>
      <c r="AW11" s="32"/>
      <c r="AX11" s="172"/>
    </row>
    <row r="12" spans="1:50" ht="15" customHeight="1" x14ac:dyDescent="0.3">
      <c r="A12" s="41"/>
      <c r="B12" s="103" t="s">
        <v>980</v>
      </c>
      <c r="D12" s="43"/>
      <c r="E12" s="43"/>
      <c r="F12" s="43"/>
      <c r="G12" s="43"/>
      <c r="H12" s="54"/>
      <c r="I12" s="18"/>
      <c r="J12" s="104"/>
      <c r="K12" s="104"/>
      <c r="L12" s="104"/>
      <c r="M12" s="104"/>
      <c r="N12" s="105"/>
      <c r="O12" s="105"/>
      <c r="P12" s="104"/>
      <c r="Q12" s="104"/>
      <c r="R12" s="104"/>
      <c r="S12" s="104"/>
      <c r="T12" s="105"/>
      <c r="U12" s="105"/>
      <c r="V12" s="104"/>
      <c r="W12" s="104"/>
      <c r="X12" s="104"/>
      <c r="Y12" s="104"/>
      <c r="Z12" s="105"/>
      <c r="AA12" s="105"/>
      <c r="AB12" s="106"/>
      <c r="AC12" s="106"/>
      <c r="AD12" s="106"/>
      <c r="AE12" s="106"/>
      <c r="AF12" s="105"/>
      <c r="AG12" s="107"/>
      <c r="AH12" s="108"/>
      <c r="AI12" s="108"/>
      <c r="AJ12" s="108"/>
      <c r="AK12" s="108"/>
      <c r="AL12" s="105"/>
      <c r="AM12" s="109"/>
      <c r="AN12" s="108"/>
      <c r="AO12" s="108"/>
      <c r="AP12" s="108"/>
      <c r="AQ12" s="108"/>
      <c r="AR12" s="105"/>
      <c r="AS12" s="109"/>
      <c r="AT12" s="105"/>
      <c r="AU12" s="109"/>
      <c r="AV12" s="105"/>
    </row>
    <row r="13" spans="1:50" s="110" customFormat="1" ht="15" customHeight="1" x14ac:dyDescent="0.3">
      <c r="B13" s="111"/>
      <c r="C13" s="112"/>
      <c r="D13" s="43"/>
      <c r="E13" s="43"/>
      <c r="F13" s="43"/>
      <c r="G13" s="43"/>
      <c r="H13" s="54"/>
      <c r="I13" s="113"/>
      <c r="J13" s="104"/>
      <c r="K13" s="104"/>
      <c r="L13" s="104"/>
      <c r="M13" s="104"/>
      <c r="N13" s="105"/>
      <c r="O13" s="113"/>
      <c r="P13" s="104"/>
      <c r="Q13" s="104"/>
      <c r="R13" s="104"/>
      <c r="S13" s="104"/>
      <c r="T13" s="105"/>
      <c r="U13" s="113"/>
      <c r="V13" s="104"/>
      <c r="W13" s="104"/>
      <c r="X13" s="104"/>
      <c r="Y13" s="104"/>
      <c r="Z13" s="105"/>
      <c r="AA13" s="114"/>
      <c r="AB13" s="106"/>
      <c r="AC13" s="106"/>
      <c r="AD13" s="106"/>
      <c r="AE13" s="106"/>
      <c r="AF13" s="105"/>
      <c r="AG13" s="115"/>
      <c r="AH13" s="116"/>
      <c r="AI13" s="116"/>
      <c r="AJ13" s="116"/>
      <c r="AK13" s="116"/>
      <c r="AL13" s="105"/>
      <c r="AM13" s="117"/>
      <c r="AN13" s="116"/>
      <c r="AO13" s="116"/>
      <c r="AP13" s="116"/>
      <c r="AQ13" s="116"/>
      <c r="AR13" s="105"/>
      <c r="AS13" s="117"/>
      <c r="AT13" s="105"/>
      <c r="AU13" s="117"/>
      <c r="AV13" s="105"/>
    </row>
    <row r="14" spans="1:50" ht="15" customHeight="1" x14ac:dyDescent="0.3">
      <c r="A14" s="41" t="s">
        <v>39</v>
      </c>
      <c r="B14" s="111" t="s">
        <v>981</v>
      </c>
      <c r="D14" s="43"/>
      <c r="E14" s="43"/>
      <c r="F14" s="43"/>
      <c r="G14" s="43"/>
      <c r="H14" s="63"/>
      <c r="I14" s="18"/>
      <c r="J14" s="118"/>
      <c r="K14" s="118"/>
      <c r="L14" s="118"/>
      <c r="M14" s="118"/>
      <c r="N14" s="105"/>
      <c r="O14" s="18"/>
      <c r="P14" s="118"/>
      <c r="Q14" s="118"/>
      <c r="R14" s="118"/>
      <c r="S14" s="118"/>
      <c r="T14" s="105"/>
      <c r="U14" s="18"/>
      <c r="V14" s="118"/>
      <c r="W14" s="118"/>
      <c r="X14" s="118"/>
      <c r="Y14" s="118"/>
      <c r="Z14" s="105"/>
      <c r="AA14" s="119"/>
      <c r="AB14" s="120"/>
      <c r="AC14" s="120"/>
      <c r="AD14" s="120"/>
      <c r="AE14" s="120"/>
      <c r="AF14" s="105"/>
      <c r="AG14" s="121"/>
      <c r="AH14" s="122"/>
      <c r="AI14" s="122"/>
      <c r="AJ14" s="122"/>
      <c r="AK14" s="122"/>
      <c r="AL14" s="105"/>
      <c r="AM14" s="123"/>
      <c r="AN14" s="122"/>
      <c r="AO14" s="122"/>
      <c r="AP14" s="122"/>
      <c r="AQ14" s="122"/>
      <c r="AR14" s="105"/>
      <c r="AS14" s="123"/>
      <c r="AT14" s="105"/>
      <c r="AU14" s="123"/>
      <c r="AV14" s="105"/>
    </row>
    <row r="15" spans="1:50" ht="15" customHeight="1" x14ac:dyDescent="0.3">
      <c r="A15" s="41"/>
      <c r="B15" s="124" t="s">
        <v>982</v>
      </c>
      <c r="D15" s="57">
        <v>1190</v>
      </c>
      <c r="E15" s="57">
        <v>2766</v>
      </c>
      <c r="F15" s="57">
        <v>2661</v>
      </c>
      <c r="G15" s="57">
        <v>1859</v>
      </c>
      <c r="H15" s="54">
        <v>1859</v>
      </c>
      <c r="I15" s="113"/>
      <c r="J15" s="57">
        <v>1243</v>
      </c>
      <c r="K15" s="57">
        <v>1161</v>
      </c>
      <c r="L15" s="57">
        <v>1240</v>
      </c>
      <c r="M15" s="57">
        <v>1006</v>
      </c>
      <c r="N15" s="54">
        <v>1006</v>
      </c>
      <c r="O15" s="113"/>
      <c r="P15" s="57">
        <v>955</v>
      </c>
      <c r="Q15" s="57">
        <v>834</v>
      </c>
      <c r="R15" s="57">
        <v>1313</v>
      </c>
      <c r="S15" s="57">
        <v>1019</v>
      </c>
      <c r="T15" s="54">
        <v>1019</v>
      </c>
      <c r="U15" s="113"/>
      <c r="V15" s="57">
        <v>1079</v>
      </c>
      <c r="W15" s="57">
        <v>830</v>
      </c>
      <c r="X15" s="57">
        <v>766</v>
      </c>
      <c r="Y15" s="57">
        <v>1071</v>
      </c>
      <c r="Z15" s="54">
        <v>1071</v>
      </c>
      <c r="AA15" s="114"/>
      <c r="AB15" s="57">
        <v>945</v>
      </c>
      <c r="AC15" s="57">
        <v>1157</v>
      </c>
      <c r="AD15" s="57">
        <v>967</v>
      </c>
      <c r="AE15" s="57">
        <v>1036</v>
      </c>
      <c r="AF15" s="54">
        <v>1036</v>
      </c>
      <c r="AG15" s="115"/>
      <c r="AH15" s="57">
        <v>1411</v>
      </c>
      <c r="AI15" s="57">
        <v>1060</v>
      </c>
      <c r="AJ15" s="57">
        <v>0</v>
      </c>
      <c r="AK15" s="122"/>
      <c r="AL15" s="105"/>
      <c r="AM15" s="123"/>
      <c r="AN15" s="122"/>
      <c r="AO15" s="122"/>
      <c r="AP15" s="122"/>
      <c r="AQ15" s="122"/>
      <c r="AR15" s="105"/>
      <c r="AS15" s="123"/>
      <c r="AT15" s="105"/>
      <c r="AU15" s="123"/>
      <c r="AV15" s="105"/>
    </row>
    <row r="16" spans="1:50" ht="15" customHeight="1" x14ac:dyDescent="0.3">
      <c r="A16" s="41"/>
      <c r="B16" s="135" t="s">
        <v>983</v>
      </c>
      <c r="D16" s="57">
        <v>60</v>
      </c>
      <c r="E16" s="57">
        <v>60</v>
      </c>
      <c r="F16" s="57">
        <v>60</v>
      </c>
      <c r="G16" s="57">
        <v>60</v>
      </c>
      <c r="H16" s="54">
        <v>60</v>
      </c>
      <c r="I16" s="18"/>
      <c r="J16" s="57">
        <v>60</v>
      </c>
      <c r="K16" s="57">
        <v>46</v>
      </c>
      <c r="L16" s="57">
        <v>46</v>
      </c>
      <c r="M16" s="57">
        <v>46</v>
      </c>
      <c r="N16" s="54">
        <v>46</v>
      </c>
      <c r="O16" s="18"/>
      <c r="P16" s="57">
        <v>46</v>
      </c>
      <c r="Q16" s="57">
        <v>46</v>
      </c>
      <c r="R16" s="57">
        <v>46</v>
      </c>
      <c r="S16" s="57">
        <v>46</v>
      </c>
      <c r="T16" s="54">
        <v>46</v>
      </c>
      <c r="U16" s="18"/>
      <c r="V16" s="57">
        <v>0</v>
      </c>
      <c r="W16" s="57">
        <v>0</v>
      </c>
      <c r="X16" s="57">
        <v>16</v>
      </c>
      <c r="Y16" s="57">
        <v>16</v>
      </c>
      <c r="Z16" s="54">
        <v>16</v>
      </c>
      <c r="AA16" s="119"/>
      <c r="AB16" s="57">
        <v>20</v>
      </c>
      <c r="AC16" s="57">
        <v>20</v>
      </c>
      <c r="AD16" s="57">
        <v>20</v>
      </c>
      <c r="AE16" s="57">
        <v>20</v>
      </c>
      <c r="AF16" s="54">
        <v>20</v>
      </c>
      <c r="AG16" s="121"/>
      <c r="AH16" s="57">
        <v>0</v>
      </c>
      <c r="AI16" s="57">
        <v>0</v>
      </c>
      <c r="AJ16" s="57">
        <v>0</v>
      </c>
      <c r="AK16" s="122"/>
      <c r="AL16" s="105"/>
      <c r="AM16" s="123"/>
      <c r="AN16" s="122"/>
      <c r="AO16" s="122"/>
      <c r="AP16" s="122"/>
      <c r="AQ16" s="122"/>
      <c r="AR16" s="105"/>
      <c r="AS16" s="123"/>
      <c r="AT16" s="105"/>
      <c r="AU16" s="123"/>
      <c r="AV16" s="105"/>
    </row>
    <row r="17" spans="1:48" s="110" customFormat="1" ht="15" customHeight="1" x14ac:dyDescent="0.3">
      <c r="B17" s="135" t="s">
        <v>984</v>
      </c>
      <c r="C17" s="112"/>
      <c r="D17" s="57">
        <v>1130</v>
      </c>
      <c r="E17" s="57">
        <v>2706</v>
      </c>
      <c r="F17" s="57">
        <v>2601</v>
      </c>
      <c r="G17" s="57">
        <v>1799</v>
      </c>
      <c r="H17" s="54">
        <v>1799</v>
      </c>
      <c r="I17" s="18"/>
      <c r="J17" s="57">
        <v>1183</v>
      </c>
      <c r="K17" s="57">
        <v>1115</v>
      </c>
      <c r="L17" s="57">
        <v>1194</v>
      </c>
      <c r="M17" s="57">
        <v>960</v>
      </c>
      <c r="N17" s="54">
        <v>960</v>
      </c>
      <c r="O17" s="18"/>
      <c r="P17" s="57">
        <v>909</v>
      </c>
      <c r="Q17" s="57">
        <v>788</v>
      </c>
      <c r="R17" s="57">
        <v>1267</v>
      </c>
      <c r="S17" s="57">
        <v>973</v>
      </c>
      <c r="T17" s="54">
        <v>973</v>
      </c>
      <c r="U17" s="18"/>
      <c r="V17" s="57">
        <v>1079</v>
      </c>
      <c r="W17" s="57">
        <v>830</v>
      </c>
      <c r="X17" s="57">
        <v>750</v>
      </c>
      <c r="Y17" s="57">
        <v>1055</v>
      </c>
      <c r="Z17" s="54">
        <v>1055</v>
      </c>
      <c r="AA17" s="119"/>
      <c r="AB17" s="57">
        <v>925</v>
      </c>
      <c r="AC17" s="57">
        <v>1137</v>
      </c>
      <c r="AD17" s="57">
        <v>947</v>
      </c>
      <c r="AE17" s="57">
        <v>1016</v>
      </c>
      <c r="AF17" s="54">
        <v>1016</v>
      </c>
      <c r="AG17" s="121"/>
      <c r="AH17" s="57">
        <v>1411</v>
      </c>
      <c r="AI17" s="57">
        <v>1060</v>
      </c>
      <c r="AJ17" s="57">
        <v>0</v>
      </c>
      <c r="AK17" s="122"/>
      <c r="AL17" s="54"/>
      <c r="AM17" s="125"/>
      <c r="AN17" s="43"/>
      <c r="AO17" s="43"/>
      <c r="AP17" s="43"/>
      <c r="AQ17" s="43"/>
      <c r="AR17" s="54"/>
      <c r="AS17" s="125"/>
      <c r="AT17" s="54"/>
      <c r="AU17" s="125"/>
      <c r="AV17" s="54"/>
    </row>
    <row r="18" spans="1:48" s="110" customFormat="1" ht="15" customHeight="1" x14ac:dyDescent="0.3">
      <c r="B18" s="124" t="s">
        <v>985</v>
      </c>
      <c r="C18" s="112"/>
      <c r="D18" s="57">
        <v>1669</v>
      </c>
      <c r="E18" s="57">
        <v>1388</v>
      </c>
      <c r="F18" s="57">
        <v>1565</v>
      </c>
      <c r="G18" s="57">
        <v>1505</v>
      </c>
      <c r="H18" s="54">
        <v>1505</v>
      </c>
      <c r="I18" s="113"/>
      <c r="J18" s="57">
        <v>1610</v>
      </c>
      <c r="K18" s="57">
        <v>1666</v>
      </c>
      <c r="L18" s="57">
        <v>1679</v>
      </c>
      <c r="M18" s="57">
        <v>1722</v>
      </c>
      <c r="N18" s="54">
        <v>1722</v>
      </c>
      <c r="O18" s="113"/>
      <c r="P18" s="57">
        <v>1958</v>
      </c>
      <c r="Q18" s="57">
        <v>2052</v>
      </c>
      <c r="R18" s="57">
        <v>2052</v>
      </c>
      <c r="S18" s="57">
        <v>1891</v>
      </c>
      <c r="T18" s="54">
        <v>1891</v>
      </c>
      <c r="U18" s="113"/>
      <c r="V18" s="57">
        <v>1955</v>
      </c>
      <c r="W18" s="57">
        <v>1826</v>
      </c>
      <c r="X18" s="57">
        <v>1934</v>
      </c>
      <c r="Y18" s="57">
        <v>2073</v>
      </c>
      <c r="Z18" s="54">
        <v>2073</v>
      </c>
      <c r="AA18" s="114"/>
      <c r="AB18" s="57">
        <v>2162</v>
      </c>
      <c r="AC18" s="57">
        <v>2118</v>
      </c>
      <c r="AD18" s="57">
        <v>2036</v>
      </c>
      <c r="AE18" s="57">
        <v>1894</v>
      </c>
      <c r="AF18" s="54">
        <v>1894</v>
      </c>
      <c r="AG18" s="115"/>
      <c r="AH18" s="57">
        <v>1965</v>
      </c>
      <c r="AI18" s="57">
        <v>1915</v>
      </c>
      <c r="AJ18" s="57">
        <v>0</v>
      </c>
      <c r="AK18" s="47"/>
      <c r="AL18" s="55"/>
      <c r="AM18" s="125"/>
      <c r="AN18" s="47"/>
      <c r="AO18" s="47"/>
      <c r="AP18" s="47"/>
      <c r="AQ18" s="47"/>
      <c r="AR18" s="55"/>
      <c r="AS18" s="125"/>
      <c r="AT18" s="55"/>
      <c r="AU18" s="125"/>
      <c r="AV18" s="55"/>
    </row>
    <row r="19" spans="1:48" ht="15" customHeight="1" x14ac:dyDescent="0.3">
      <c r="A19" s="40"/>
      <c r="B19" s="124" t="s">
        <v>755</v>
      </c>
      <c r="D19" s="57">
        <v>692</v>
      </c>
      <c r="E19" s="57">
        <v>668</v>
      </c>
      <c r="F19" s="57">
        <v>649</v>
      </c>
      <c r="G19" s="57">
        <v>638</v>
      </c>
      <c r="H19" s="54">
        <v>638</v>
      </c>
      <c r="I19" s="18"/>
      <c r="J19" s="57">
        <v>659</v>
      </c>
      <c r="K19" s="57">
        <v>688</v>
      </c>
      <c r="L19" s="57">
        <v>664</v>
      </c>
      <c r="M19" s="57">
        <v>621</v>
      </c>
      <c r="N19" s="54">
        <v>621</v>
      </c>
      <c r="O19" s="18"/>
      <c r="P19" s="57">
        <v>726</v>
      </c>
      <c r="Q19" s="57">
        <v>790</v>
      </c>
      <c r="R19" s="57">
        <v>794</v>
      </c>
      <c r="S19" s="57">
        <v>741</v>
      </c>
      <c r="T19" s="54">
        <v>741</v>
      </c>
      <c r="U19" s="18"/>
      <c r="V19" s="57">
        <v>728</v>
      </c>
      <c r="W19" s="57">
        <v>742</v>
      </c>
      <c r="X19" s="57">
        <v>770</v>
      </c>
      <c r="Y19" s="57">
        <v>743</v>
      </c>
      <c r="Z19" s="54">
        <v>743</v>
      </c>
      <c r="AA19" s="119"/>
      <c r="AB19" s="57">
        <v>770</v>
      </c>
      <c r="AC19" s="57">
        <v>807</v>
      </c>
      <c r="AD19" s="57">
        <v>775</v>
      </c>
      <c r="AE19" s="57">
        <v>769</v>
      </c>
      <c r="AF19" s="54">
        <v>769</v>
      </c>
      <c r="AG19" s="121"/>
      <c r="AH19" s="57">
        <v>747</v>
      </c>
      <c r="AI19" s="57">
        <v>774</v>
      </c>
      <c r="AJ19" s="57">
        <v>0</v>
      </c>
      <c r="AK19" s="47"/>
      <c r="AL19" s="55"/>
      <c r="AM19" s="123"/>
      <c r="AN19" s="47"/>
      <c r="AO19" s="47"/>
      <c r="AP19" s="47"/>
      <c r="AQ19" s="47"/>
      <c r="AR19" s="55"/>
      <c r="AS19" s="123"/>
      <c r="AT19" s="55"/>
      <c r="AU19" s="123"/>
      <c r="AV19" s="55"/>
    </row>
    <row r="20" spans="1:48" s="110" customFormat="1" ht="15" customHeight="1" x14ac:dyDescent="0.3">
      <c r="B20" s="124" t="s">
        <v>986</v>
      </c>
      <c r="C20" s="112"/>
      <c r="D20" s="43">
        <v>253</v>
      </c>
      <c r="E20" s="43">
        <v>261</v>
      </c>
      <c r="F20" s="43">
        <v>255</v>
      </c>
      <c r="G20" s="43">
        <v>212</v>
      </c>
      <c r="H20" s="71">
        <v>212</v>
      </c>
      <c r="I20" s="113"/>
      <c r="J20" s="43">
        <v>207</v>
      </c>
      <c r="K20" s="43">
        <v>249</v>
      </c>
      <c r="L20" s="43">
        <v>227</v>
      </c>
      <c r="M20" s="43">
        <v>202</v>
      </c>
      <c r="N20" s="71">
        <v>202</v>
      </c>
      <c r="O20" s="113"/>
      <c r="P20" s="43">
        <v>237</v>
      </c>
      <c r="Q20" s="43">
        <v>300</v>
      </c>
      <c r="R20" s="43">
        <v>246</v>
      </c>
      <c r="S20" s="43">
        <v>301</v>
      </c>
      <c r="T20" s="71">
        <v>301</v>
      </c>
      <c r="U20" s="113"/>
      <c r="V20" s="43">
        <v>296</v>
      </c>
      <c r="W20" s="43">
        <v>354</v>
      </c>
      <c r="X20" s="43">
        <v>343</v>
      </c>
      <c r="Y20" s="43">
        <v>261</v>
      </c>
      <c r="Z20" s="71">
        <v>261</v>
      </c>
      <c r="AA20" s="126"/>
      <c r="AB20" s="43">
        <v>317</v>
      </c>
      <c r="AC20" s="43">
        <v>416</v>
      </c>
      <c r="AD20" s="43">
        <v>371</v>
      </c>
      <c r="AE20" s="43">
        <v>322</v>
      </c>
      <c r="AF20" s="71">
        <v>322</v>
      </c>
      <c r="AG20" s="127"/>
      <c r="AH20" s="43">
        <v>416</v>
      </c>
      <c r="AI20" s="43">
        <v>434</v>
      </c>
      <c r="AJ20" s="43">
        <v>0</v>
      </c>
      <c r="AK20" s="47"/>
      <c r="AL20" s="72"/>
      <c r="AM20" s="126"/>
      <c r="AN20" s="47"/>
      <c r="AO20" s="47"/>
      <c r="AP20" s="47"/>
      <c r="AQ20" s="47"/>
      <c r="AR20" s="72"/>
      <c r="AS20" s="126"/>
      <c r="AT20" s="72"/>
      <c r="AU20" s="126"/>
      <c r="AV20" s="72"/>
    </row>
    <row r="21" spans="1:48" s="132" customFormat="1" ht="15" customHeight="1" x14ac:dyDescent="0.3">
      <c r="A21" s="81"/>
      <c r="B21" s="56" t="s">
        <v>987</v>
      </c>
      <c r="C21" s="24"/>
      <c r="D21" s="57">
        <v>3804</v>
      </c>
      <c r="E21" s="57">
        <v>5083</v>
      </c>
      <c r="F21" s="57">
        <v>5130</v>
      </c>
      <c r="G21" s="57">
        <v>4214</v>
      </c>
      <c r="H21" s="74">
        <v>4214</v>
      </c>
      <c r="I21" s="128"/>
      <c r="J21" s="57">
        <v>3719</v>
      </c>
      <c r="K21" s="57">
        <v>3764</v>
      </c>
      <c r="L21" s="57">
        <v>3810</v>
      </c>
      <c r="M21" s="57">
        <v>3551</v>
      </c>
      <c r="N21" s="74">
        <v>3551</v>
      </c>
      <c r="O21" s="128"/>
      <c r="P21" s="57">
        <v>3876</v>
      </c>
      <c r="Q21" s="57">
        <v>3976</v>
      </c>
      <c r="R21" s="57">
        <v>4405</v>
      </c>
      <c r="S21" s="57">
        <v>3952</v>
      </c>
      <c r="T21" s="74">
        <v>3952</v>
      </c>
      <c r="U21" s="128"/>
      <c r="V21" s="57">
        <v>4058</v>
      </c>
      <c r="W21" s="57">
        <v>3752</v>
      </c>
      <c r="X21" s="57">
        <v>3813</v>
      </c>
      <c r="Y21" s="57">
        <v>4148</v>
      </c>
      <c r="Z21" s="74">
        <v>4148</v>
      </c>
      <c r="AA21" s="129"/>
      <c r="AB21" s="57">
        <v>4194</v>
      </c>
      <c r="AC21" s="57">
        <v>4498</v>
      </c>
      <c r="AD21" s="57">
        <v>4149</v>
      </c>
      <c r="AE21" s="57">
        <v>4021</v>
      </c>
      <c r="AF21" s="74">
        <v>4021</v>
      </c>
      <c r="AG21" s="130"/>
      <c r="AH21" s="57">
        <v>4539</v>
      </c>
      <c r="AI21" s="57">
        <v>4183</v>
      </c>
      <c r="AJ21" s="57">
        <v>0</v>
      </c>
      <c r="AK21" s="47"/>
      <c r="AL21" s="75"/>
      <c r="AM21" s="131"/>
      <c r="AN21" s="47"/>
      <c r="AO21" s="47"/>
      <c r="AP21" s="47"/>
      <c r="AQ21" s="47"/>
      <c r="AR21" s="75"/>
      <c r="AS21" s="131"/>
      <c r="AT21" s="75"/>
      <c r="AU21" s="131"/>
      <c r="AV21" s="75"/>
    </row>
    <row r="22" spans="1:48" ht="15" customHeight="1" x14ac:dyDescent="0.3">
      <c r="A22" s="40"/>
      <c r="B22" s="133"/>
      <c r="D22" s="43"/>
      <c r="E22" s="43"/>
      <c r="F22" s="43"/>
      <c r="G22" s="43"/>
      <c r="H22" s="63"/>
      <c r="I22" s="18"/>
      <c r="J22" s="43"/>
      <c r="K22" s="43"/>
      <c r="L22" s="43"/>
      <c r="M22" s="43"/>
      <c r="N22" s="63"/>
      <c r="O22" s="18"/>
      <c r="P22" s="43"/>
      <c r="Q22" s="43"/>
      <c r="R22" s="43"/>
      <c r="S22" s="43"/>
      <c r="T22" s="63"/>
      <c r="U22" s="18"/>
      <c r="V22" s="43"/>
      <c r="W22" s="43"/>
      <c r="X22" s="43"/>
      <c r="Y22" s="43"/>
      <c r="Z22" s="63"/>
      <c r="AA22" s="119"/>
      <c r="AB22" s="43"/>
      <c r="AC22" s="43"/>
      <c r="AD22" s="43"/>
      <c r="AE22" s="43"/>
      <c r="AF22" s="63"/>
      <c r="AG22" s="121"/>
      <c r="AH22" s="43"/>
      <c r="AI22" s="43"/>
      <c r="AJ22" s="43"/>
      <c r="AK22" s="47"/>
      <c r="AL22" s="65"/>
      <c r="AM22" s="123"/>
      <c r="AN22" s="47"/>
      <c r="AO22" s="47"/>
      <c r="AP22" s="47"/>
      <c r="AQ22" s="47"/>
      <c r="AR22" s="65"/>
      <c r="AS22" s="123"/>
      <c r="AT22" s="65"/>
      <c r="AU22" s="123"/>
      <c r="AV22" s="65"/>
    </row>
    <row r="23" spans="1:48" s="110" customFormat="1" ht="15" customHeight="1" x14ac:dyDescent="0.3">
      <c r="A23" s="41" t="s">
        <v>39</v>
      </c>
      <c r="B23" s="42" t="s">
        <v>988</v>
      </c>
      <c r="C23" s="112"/>
      <c r="D23" s="43"/>
      <c r="E23" s="43"/>
      <c r="F23" s="43"/>
      <c r="G23" s="43"/>
      <c r="H23" s="63"/>
      <c r="I23" s="113"/>
      <c r="J23" s="43"/>
      <c r="K23" s="43"/>
      <c r="L23" s="43"/>
      <c r="M23" s="43"/>
      <c r="N23" s="63"/>
      <c r="O23" s="113"/>
      <c r="P23" s="43"/>
      <c r="Q23" s="43"/>
      <c r="R23" s="43"/>
      <c r="S23" s="43"/>
      <c r="T23" s="63"/>
      <c r="U23" s="113"/>
      <c r="V23" s="43"/>
      <c r="W23" s="43"/>
      <c r="X23" s="43"/>
      <c r="Y23" s="43"/>
      <c r="Z23" s="63"/>
      <c r="AA23" s="126"/>
      <c r="AB23" s="43"/>
      <c r="AC23" s="43"/>
      <c r="AD23" s="43"/>
      <c r="AE23" s="43"/>
      <c r="AF23" s="63"/>
      <c r="AG23" s="127"/>
      <c r="AH23" s="43"/>
      <c r="AI23" s="43"/>
      <c r="AJ23" s="43"/>
      <c r="AK23" s="47"/>
      <c r="AL23" s="65"/>
      <c r="AM23" s="126"/>
      <c r="AN23" s="47"/>
      <c r="AO23" s="47"/>
      <c r="AP23" s="47"/>
      <c r="AQ23" s="47"/>
      <c r="AR23" s="65"/>
      <c r="AS23" s="126"/>
      <c r="AT23" s="65"/>
      <c r="AU23" s="126"/>
      <c r="AV23" s="65"/>
    </row>
    <row r="24" spans="1:48" ht="15" customHeight="1" x14ac:dyDescent="0.3">
      <c r="A24" s="40"/>
      <c r="B24" s="124" t="s">
        <v>758</v>
      </c>
      <c r="D24" s="57">
        <v>55894</v>
      </c>
      <c r="E24" s="57">
        <v>55970</v>
      </c>
      <c r="F24" s="57">
        <v>56017</v>
      </c>
      <c r="G24" s="57">
        <v>55771</v>
      </c>
      <c r="H24" s="54">
        <v>55771</v>
      </c>
      <c r="I24" s="18"/>
      <c r="J24" s="57">
        <v>55643</v>
      </c>
      <c r="K24" s="57">
        <v>55783</v>
      </c>
      <c r="L24" s="57">
        <v>55992</v>
      </c>
      <c r="M24" s="57">
        <v>56658</v>
      </c>
      <c r="N24" s="54">
        <v>56658</v>
      </c>
      <c r="O24" s="18"/>
      <c r="P24" s="57">
        <v>56791</v>
      </c>
      <c r="Q24" s="57">
        <v>57021</v>
      </c>
      <c r="R24" s="57">
        <v>57392</v>
      </c>
      <c r="S24" s="57">
        <v>57710</v>
      </c>
      <c r="T24" s="54">
        <v>57710</v>
      </c>
      <c r="U24" s="18"/>
      <c r="V24" s="57">
        <v>57974</v>
      </c>
      <c r="W24" s="57">
        <v>58292</v>
      </c>
      <c r="X24" s="57">
        <v>58680</v>
      </c>
      <c r="Y24" s="57">
        <v>59041</v>
      </c>
      <c r="Z24" s="54">
        <v>59041</v>
      </c>
      <c r="AA24" s="119"/>
      <c r="AB24" s="57">
        <v>59043</v>
      </c>
      <c r="AC24" s="57">
        <v>59221</v>
      </c>
      <c r="AD24" s="57">
        <v>59381</v>
      </c>
      <c r="AE24" s="57">
        <v>59640</v>
      </c>
      <c r="AF24" s="54">
        <v>59640</v>
      </c>
      <c r="AG24" s="121"/>
      <c r="AH24" s="57">
        <v>59852</v>
      </c>
      <c r="AI24" s="57">
        <v>60210</v>
      </c>
      <c r="AJ24" s="57">
        <v>0</v>
      </c>
      <c r="AK24" s="47"/>
      <c r="AL24" s="55"/>
      <c r="AM24" s="123"/>
      <c r="AN24" s="47"/>
      <c r="AO24" s="47"/>
      <c r="AP24" s="47"/>
      <c r="AQ24" s="47"/>
      <c r="AR24" s="55"/>
      <c r="AS24" s="123"/>
      <c r="AT24" s="55"/>
      <c r="AU24" s="123"/>
      <c r="AV24" s="55"/>
    </row>
    <row r="25" spans="1:48" s="110" customFormat="1" ht="15" customHeight="1" x14ac:dyDescent="0.3">
      <c r="B25" s="135" t="s">
        <v>989</v>
      </c>
      <c r="C25" s="112"/>
      <c r="D25" s="57">
        <v>76431</v>
      </c>
      <c r="E25" s="57">
        <v>76717</v>
      </c>
      <c r="F25" s="57">
        <v>77029</v>
      </c>
      <c r="G25" s="57">
        <v>77030</v>
      </c>
      <c r="H25" s="54">
        <v>77030</v>
      </c>
      <c r="I25" s="113"/>
      <c r="J25" s="57">
        <v>77201</v>
      </c>
      <c r="K25" s="57">
        <v>77617</v>
      </c>
      <c r="L25" s="57">
        <v>78118</v>
      </c>
      <c r="M25" s="57">
        <v>79062</v>
      </c>
      <c r="N25" s="54">
        <v>79062</v>
      </c>
      <c r="O25" s="113"/>
      <c r="P25" s="57">
        <v>79322</v>
      </c>
      <c r="Q25" s="57">
        <v>79779</v>
      </c>
      <c r="R25" s="57">
        <v>80444</v>
      </c>
      <c r="S25" s="57">
        <v>80927</v>
      </c>
      <c r="T25" s="54">
        <v>80927</v>
      </c>
      <c r="U25" s="113"/>
      <c r="V25" s="57">
        <v>81541</v>
      </c>
      <c r="W25" s="57">
        <v>82162</v>
      </c>
      <c r="X25" s="57">
        <v>82802</v>
      </c>
      <c r="Y25" s="57">
        <v>83376</v>
      </c>
      <c r="Z25" s="54">
        <v>83376</v>
      </c>
      <c r="AA25" s="126"/>
      <c r="AB25" s="57">
        <v>83724</v>
      </c>
      <c r="AC25" s="57">
        <v>84114</v>
      </c>
      <c r="AD25" s="57">
        <v>84614</v>
      </c>
      <c r="AE25" s="57">
        <v>85137</v>
      </c>
      <c r="AF25" s="54">
        <v>85137</v>
      </c>
      <c r="AG25" s="127"/>
      <c r="AH25" s="57">
        <v>85700</v>
      </c>
      <c r="AI25" s="57">
        <v>86366</v>
      </c>
      <c r="AJ25" s="57">
        <v>0</v>
      </c>
      <c r="AK25" s="47"/>
      <c r="AL25" s="55"/>
      <c r="AM25" s="126"/>
      <c r="AN25" s="47"/>
      <c r="AO25" s="47"/>
      <c r="AP25" s="47"/>
      <c r="AQ25" s="47"/>
      <c r="AR25" s="55"/>
      <c r="AS25" s="126"/>
      <c r="AT25" s="55"/>
      <c r="AU25" s="126"/>
      <c r="AV25" s="55"/>
    </row>
    <row r="26" spans="1:48" ht="15" customHeight="1" x14ac:dyDescent="0.3">
      <c r="A26" s="40"/>
      <c r="B26" s="135" t="s">
        <v>990</v>
      </c>
      <c r="D26" s="57">
        <v>20537</v>
      </c>
      <c r="E26" s="57">
        <v>20747</v>
      </c>
      <c r="F26" s="57">
        <v>21012</v>
      </c>
      <c r="G26" s="57">
        <v>21259</v>
      </c>
      <c r="H26" s="54">
        <v>21259</v>
      </c>
      <c r="I26" s="18"/>
      <c r="J26" s="57">
        <v>21558</v>
      </c>
      <c r="K26" s="57">
        <v>21834</v>
      </c>
      <c r="L26" s="57">
        <v>22126</v>
      </c>
      <c r="M26" s="57">
        <v>22404</v>
      </c>
      <c r="N26" s="54">
        <v>22404</v>
      </c>
      <c r="O26" s="18"/>
      <c r="P26" s="57">
        <v>22531</v>
      </c>
      <c r="Q26" s="57">
        <v>22758</v>
      </c>
      <c r="R26" s="57">
        <v>23052</v>
      </c>
      <c r="S26" s="57">
        <v>23217</v>
      </c>
      <c r="T26" s="54">
        <v>23217</v>
      </c>
      <c r="U26" s="18"/>
      <c r="V26" s="57">
        <v>23567</v>
      </c>
      <c r="W26" s="57">
        <v>23870</v>
      </c>
      <c r="X26" s="57">
        <v>24122</v>
      </c>
      <c r="Y26" s="57">
        <v>24335</v>
      </c>
      <c r="Z26" s="54">
        <v>24335</v>
      </c>
      <c r="AA26" s="119"/>
      <c r="AB26" s="57">
        <v>24681</v>
      </c>
      <c r="AC26" s="57">
        <v>24893</v>
      </c>
      <c r="AD26" s="57">
        <v>25233</v>
      </c>
      <c r="AE26" s="57">
        <v>25497</v>
      </c>
      <c r="AF26" s="54">
        <v>25497</v>
      </c>
      <c r="AG26" s="121"/>
      <c r="AH26" s="57">
        <v>25848</v>
      </c>
      <c r="AI26" s="57">
        <v>26156</v>
      </c>
      <c r="AJ26" s="57">
        <v>0</v>
      </c>
      <c r="AK26" s="47"/>
      <c r="AL26" s="55"/>
      <c r="AM26" s="123"/>
      <c r="AN26" s="47"/>
      <c r="AO26" s="47"/>
      <c r="AP26" s="47"/>
      <c r="AQ26" s="47"/>
      <c r="AR26" s="55"/>
      <c r="AS26" s="123"/>
      <c r="AT26" s="55"/>
      <c r="AU26" s="123"/>
      <c r="AV26" s="55"/>
    </row>
    <row r="27" spans="1:48" ht="15" customHeight="1" x14ac:dyDescent="0.3">
      <c r="A27" s="40"/>
      <c r="B27" s="124" t="s">
        <v>760</v>
      </c>
      <c r="D27" s="57">
        <v>0</v>
      </c>
      <c r="E27" s="57">
        <v>0</v>
      </c>
      <c r="F27" s="57">
        <v>0</v>
      </c>
      <c r="G27" s="57">
        <v>0</v>
      </c>
      <c r="H27" s="54">
        <v>0</v>
      </c>
      <c r="I27" s="18"/>
      <c r="J27" s="57">
        <v>0</v>
      </c>
      <c r="K27" s="57">
        <v>0</v>
      </c>
      <c r="L27" s="57">
        <v>0</v>
      </c>
      <c r="M27" s="57">
        <v>0</v>
      </c>
      <c r="N27" s="54">
        <v>0</v>
      </c>
      <c r="O27" s="18"/>
      <c r="P27" s="57">
        <v>0</v>
      </c>
      <c r="Q27" s="57">
        <v>0</v>
      </c>
      <c r="R27" s="57">
        <v>0</v>
      </c>
      <c r="S27" s="57">
        <v>0</v>
      </c>
      <c r="T27" s="54">
        <v>0</v>
      </c>
      <c r="U27" s="18"/>
      <c r="V27" s="57">
        <v>0</v>
      </c>
      <c r="W27" s="57">
        <v>0</v>
      </c>
      <c r="X27" s="57">
        <v>0</v>
      </c>
      <c r="Y27" s="57">
        <v>0</v>
      </c>
      <c r="Z27" s="54">
        <v>0</v>
      </c>
      <c r="AA27" s="119"/>
      <c r="AB27" s="57">
        <v>0</v>
      </c>
      <c r="AC27" s="57">
        <v>0</v>
      </c>
      <c r="AD27" s="57">
        <v>0</v>
      </c>
      <c r="AE27" s="57">
        <v>0</v>
      </c>
      <c r="AF27" s="54">
        <v>0</v>
      </c>
      <c r="AG27" s="121"/>
      <c r="AH27" s="57">
        <v>0</v>
      </c>
      <c r="AI27" s="57">
        <v>0</v>
      </c>
      <c r="AJ27" s="57">
        <v>0</v>
      </c>
      <c r="AK27" s="47"/>
      <c r="AL27" s="55"/>
      <c r="AM27" s="123"/>
      <c r="AN27" s="47"/>
      <c r="AO27" s="47"/>
      <c r="AP27" s="47"/>
      <c r="AQ27" s="47"/>
      <c r="AR27" s="55"/>
      <c r="AS27" s="123"/>
      <c r="AT27" s="55"/>
      <c r="AU27" s="123"/>
      <c r="AV27" s="55"/>
    </row>
    <row r="28" spans="1:48" ht="15" customHeight="1" x14ac:dyDescent="0.3">
      <c r="A28" s="40"/>
      <c r="B28" s="124" t="s">
        <v>991</v>
      </c>
      <c r="D28" s="57">
        <v>0</v>
      </c>
      <c r="E28" s="57">
        <v>0</v>
      </c>
      <c r="F28" s="57">
        <v>0</v>
      </c>
      <c r="G28" s="57">
        <v>0</v>
      </c>
      <c r="H28" s="54">
        <v>0</v>
      </c>
      <c r="I28" s="18"/>
      <c r="J28" s="57">
        <v>0</v>
      </c>
      <c r="K28" s="57">
        <v>0</v>
      </c>
      <c r="L28" s="57">
        <v>0</v>
      </c>
      <c r="M28" s="57">
        <v>0</v>
      </c>
      <c r="N28" s="54">
        <v>0</v>
      </c>
      <c r="O28" s="18"/>
      <c r="P28" s="57">
        <v>0</v>
      </c>
      <c r="Q28" s="57">
        <v>0</v>
      </c>
      <c r="R28" s="57">
        <v>0</v>
      </c>
      <c r="S28" s="57">
        <v>0</v>
      </c>
      <c r="T28" s="54">
        <v>0</v>
      </c>
      <c r="U28" s="18"/>
      <c r="V28" s="57">
        <v>0</v>
      </c>
      <c r="W28" s="57">
        <v>0</v>
      </c>
      <c r="X28" s="57">
        <v>0</v>
      </c>
      <c r="Y28" s="57">
        <v>0</v>
      </c>
      <c r="Z28" s="54">
        <v>0</v>
      </c>
      <c r="AA28" s="119"/>
      <c r="AB28" s="57">
        <v>0</v>
      </c>
      <c r="AC28" s="57">
        <v>0</v>
      </c>
      <c r="AD28" s="57">
        <v>0</v>
      </c>
      <c r="AE28" s="57">
        <v>0</v>
      </c>
      <c r="AF28" s="54">
        <v>0</v>
      </c>
      <c r="AG28" s="121"/>
      <c r="AH28" s="57">
        <v>0</v>
      </c>
      <c r="AI28" s="57">
        <v>0</v>
      </c>
      <c r="AJ28" s="57">
        <v>0</v>
      </c>
      <c r="AK28" s="47"/>
      <c r="AL28" s="55"/>
      <c r="AM28" s="134"/>
      <c r="AN28" s="47"/>
      <c r="AO28" s="47"/>
      <c r="AP28" s="47"/>
      <c r="AQ28" s="47"/>
      <c r="AR28" s="55"/>
      <c r="AS28" s="134"/>
      <c r="AT28" s="55"/>
      <c r="AU28" s="134"/>
      <c r="AV28" s="55"/>
    </row>
    <row r="29" spans="1:48" ht="15" customHeight="1" x14ac:dyDescent="0.3">
      <c r="A29" s="40"/>
      <c r="B29" s="124" t="s">
        <v>883</v>
      </c>
      <c r="D29" s="57">
        <v>0</v>
      </c>
      <c r="E29" s="57">
        <v>0</v>
      </c>
      <c r="F29" s="57">
        <v>0</v>
      </c>
      <c r="G29" s="57">
        <v>0</v>
      </c>
      <c r="H29" s="54">
        <v>0</v>
      </c>
      <c r="I29" s="18"/>
      <c r="J29" s="57">
        <v>0</v>
      </c>
      <c r="K29" s="57">
        <v>0</v>
      </c>
      <c r="L29" s="57">
        <v>0</v>
      </c>
      <c r="M29" s="57">
        <v>0</v>
      </c>
      <c r="N29" s="54">
        <v>0</v>
      </c>
      <c r="O29" s="18"/>
      <c r="P29" s="57">
        <v>0</v>
      </c>
      <c r="Q29" s="57">
        <v>0</v>
      </c>
      <c r="R29" s="57">
        <v>0</v>
      </c>
      <c r="S29" s="57">
        <v>0</v>
      </c>
      <c r="T29" s="54">
        <v>0</v>
      </c>
      <c r="U29" s="18"/>
      <c r="V29" s="57">
        <v>0</v>
      </c>
      <c r="W29" s="57">
        <v>0</v>
      </c>
      <c r="X29" s="57">
        <v>0</v>
      </c>
      <c r="Y29" s="57">
        <v>0</v>
      </c>
      <c r="Z29" s="54">
        <v>0</v>
      </c>
      <c r="AA29" s="119"/>
      <c r="AB29" s="57">
        <v>0</v>
      </c>
      <c r="AC29" s="57">
        <v>0</v>
      </c>
      <c r="AD29" s="57">
        <v>0</v>
      </c>
      <c r="AE29" s="57">
        <v>0</v>
      </c>
      <c r="AF29" s="54">
        <v>0</v>
      </c>
      <c r="AG29" s="121"/>
      <c r="AH29" s="57">
        <v>0</v>
      </c>
      <c r="AI29" s="57">
        <v>0</v>
      </c>
      <c r="AJ29" s="57">
        <v>0</v>
      </c>
      <c r="AK29" s="47"/>
      <c r="AL29" s="55"/>
      <c r="AM29" s="123"/>
      <c r="AN29" s="47"/>
      <c r="AO29" s="47"/>
      <c r="AP29" s="47"/>
      <c r="AQ29" s="47"/>
      <c r="AR29" s="55"/>
      <c r="AS29" s="123"/>
      <c r="AT29" s="55"/>
      <c r="AU29" s="123"/>
      <c r="AV29" s="55"/>
    </row>
    <row r="30" spans="1:48" s="110" customFormat="1" ht="15" customHeight="1" x14ac:dyDescent="0.3">
      <c r="B30" s="124" t="s">
        <v>992</v>
      </c>
      <c r="C30" s="112"/>
      <c r="D30" s="57">
        <v>2518</v>
      </c>
      <c r="E30" s="57">
        <v>2502</v>
      </c>
      <c r="F30" s="57">
        <v>2567</v>
      </c>
      <c r="G30" s="57">
        <v>2413</v>
      </c>
      <c r="H30" s="71">
        <v>2413</v>
      </c>
      <c r="I30" s="113"/>
      <c r="J30" s="57">
        <v>2431</v>
      </c>
      <c r="K30" s="57">
        <v>2526</v>
      </c>
      <c r="L30" s="57">
        <v>2558</v>
      </c>
      <c r="M30" s="57">
        <v>3316</v>
      </c>
      <c r="N30" s="71">
        <v>3316</v>
      </c>
      <c r="O30" s="113"/>
      <c r="P30" s="57">
        <v>3384</v>
      </c>
      <c r="Q30" s="57">
        <v>3443</v>
      </c>
      <c r="R30" s="57">
        <v>3546</v>
      </c>
      <c r="S30" s="57">
        <v>3787</v>
      </c>
      <c r="T30" s="71">
        <v>3787</v>
      </c>
      <c r="U30" s="113"/>
      <c r="V30" s="57">
        <v>3936</v>
      </c>
      <c r="W30" s="57">
        <v>3989</v>
      </c>
      <c r="X30" s="57">
        <v>4047</v>
      </c>
      <c r="Y30" s="57">
        <v>3943</v>
      </c>
      <c r="Z30" s="71">
        <v>3943</v>
      </c>
      <c r="AA30" s="126"/>
      <c r="AB30" s="57">
        <v>4029</v>
      </c>
      <c r="AC30" s="57">
        <v>4098</v>
      </c>
      <c r="AD30" s="57">
        <v>4040</v>
      </c>
      <c r="AE30" s="57">
        <v>4054</v>
      </c>
      <c r="AF30" s="71">
        <v>4054</v>
      </c>
      <c r="AG30" s="127"/>
      <c r="AH30" s="57">
        <v>4101</v>
      </c>
      <c r="AI30" s="57">
        <v>4183</v>
      </c>
      <c r="AJ30" s="57">
        <v>0</v>
      </c>
      <c r="AK30" s="47"/>
      <c r="AL30" s="72"/>
      <c r="AM30" s="126"/>
      <c r="AN30" s="47"/>
      <c r="AO30" s="47"/>
      <c r="AP30" s="47"/>
      <c r="AQ30" s="47"/>
      <c r="AR30" s="72"/>
      <c r="AS30" s="126"/>
      <c r="AT30" s="72"/>
      <c r="AU30" s="126"/>
      <c r="AV30" s="72"/>
    </row>
    <row r="31" spans="1:48" ht="15" customHeight="1" x14ac:dyDescent="0.3">
      <c r="A31" s="40"/>
      <c r="B31" s="135" t="s">
        <v>993</v>
      </c>
      <c r="D31" s="57">
        <v>58412</v>
      </c>
      <c r="E31" s="57">
        <v>58472</v>
      </c>
      <c r="F31" s="57">
        <v>58584</v>
      </c>
      <c r="G31" s="57">
        <v>58184</v>
      </c>
      <c r="H31" s="71">
        <v>58184</v>
      </c>
      <c r="I31" s="18"/>
      <c r="J31" s="57">
        <v>58074</v>
      </c>
      <c r="K31" s="57">
        <v>58309</v>
      </c>
      <c r="L31" s="57">
        <v>58550</v>
      </c>
      <c r="M31" s="57">
        <v>59974</v>
      </c>
      <c r="N31" s="71">
        <v>59974</v>
      </c>
      <c r="O31" s="18"/>
      <c r="P31" s="57">
        <v>60175</v>
      </c>
      <c r="Q31" s="57">
        <v>60464</v>
      </c>
      <c r="R31" s="57">
        <v>60938</v>
      </c>
      <c r="S31" s="57">
        <v>61497</v>
      </c>
      <c r="T31" s="71">
        <v>61497</v>
      </c>
      <c r="U31" s="18"/>
      <c r="V31" s="57">
        <v>61910</v>
      </c>
      <c r="W31" s="57">
        <v>62281</v>
      </c>
      <c r="X31" s="57">
        <v>62727</v>
      </c>
      <c r="Y31" s="57">
        <v>62984</v>
      </c>
      <c r="Z31" s="71">
        <v>62984</v>
      </c>
      <c r="AA31" s="119"/>
      <c r="AB31" s="57">
        <v>63072</v>
      </c>
      <c r="AC31" s="57">
        <v>63319</v>
      </c>
      <c r="AD31" s="57">
        <v>63421</v>
      </c>
      <c r="AE31" s="57">
        <v>63694</v>
      </c>
      <c r="AF31" s="71">
        <v>63694</v>
      </c>
      <c r="AG31" s="121"/>
      <c r="AH31" s="57">
        <v>63953</v>
      </c>
      <c r="AI31" s="57">
        <v>64393</v>
      </c>
      <c r="AJ31" s="57">
        <v>0</v>
      </c>
      <c r="AK31" s="47"/>
      <c r="AL31" s="72"/>
      <c r="AM31" s="136"/>
      <c r="AN31" s="47"/>
      <c r="AO31" s="47"/>
      <c r="AP31" s="47"/>
      <c r="AQ31" s="47"/>
      <c r="AR31" s="72"/>
      <c r="AS31" s="136"/>
      <c r="AT31" s="72"/>
      <c r="AU31" s="136"/>
      <c r="AV31" s="72"/>
    </row>
    <row r="32" spans="1:48" s="110" customFormat="1" ht="15" customHeight="1" thickBot="1" x14ac:dyDescent="0.35">
      <c r="B32" s="137" t="s">
        <v>994</v>
      </c>
      <c r="C32" s="112"/>
      <c r="D32" s="57">
        <v>62216</v>
      </c>
      <c r="E32" s="57">
        <v>63555</v>
      </c>
      <c r="F32" s="57">
        <v>63714</v>
      </c>
      <c r="G32" s="57">
        <v>62398</v>
      </c>
      <c r="H32" s="90">
        <v>62398</v>
      </c>
      <c r="I32" s="113"/>
      <c r="J32" s="57">
        <v>61793</v>
      </c>
      <c r="K32" s="57">
        <v>62073</v>
      </c>
      <c r="L32" s="57">
        <v>62360</v>
      </c>
      <c r="M32" s="57">
        <v>63525</v>
      </c>
      <c r="N32" s="90">
        <v>63525</v>
      </c>
      <c r="O32" s="113"/>
      <c r="P32" s="57">
        <v>64051</v>
      </c>
      <c r="Q32" s="57">
        <v>64440</v>
      </c>
      <c r="R32" s="57">
        <v>65343</v>
      </c>
      <c r="S32" s="57">
        <v>65449</v>
      </c>
      <c r="T32" s="90">
        <v>65449</v>
      </c>
      <c r="U32" s="113"/>
      <c r="V32" s="57">
        <v>65968</v>
      </c>
      <c r="W32" s="57">
        <v>66033</v>
      </c>
      <c r="X32" s="57">
        <v>66540</v>
      </c>
      <c r="Y32" s="57">
        <v>67132</v>
      </c>
      <c r="Z32" s="90">
        <v>67132</v>
      </c>
      <c r="AA32" s="138"/>
      <c r="AB32" s="57">
        <v>67266</v>
      </c>
      <c r="AC32" s="57">
        <v>67817</v>
      </c>
      <c r="AD32" s="57">
        <v>67570</v>
      </c>
      <c r="AE32" s="57">
        <v>67715</v>
      </c>
      <c r="AF32" s="90">
        <v>67715</v>
      </c>
      <c r="AG32" s="127"/>
      <c r="AH32" s="57">
        <v>68492</v>
      </c>
      <c r="AI32" s="57">
        <v>68576</v>
      </c>
      <c r="AJ32" s="57">
        <v>0</v>
      </c>
      <c r="AK32" s="47"/>
      <c r="AL32" s="91"/>
      <c r="AM32" s="126"/>
      <c r="AN32" s="47"/>
      <c r="AO32" s="47"/>
      <c r="AP32" s="47"/>
      <c r="AQ32" s="47"/>
      <c r="AR32" s="91"/>
      <c r="AS32" s="126"/>
      <c r="AT32" s="91"/>
      <c r="AU32" s="126"/>
      <c r="AV32" s="91"/>
    </row>
    <row r="34" spans="1:48" s="110" customFormat="1" ht="15" customHeight="1" x14ac:dyDescent="0.3">
      <c r="A34" s="41"/>
      <c r="B34" s="61" t="s">
        <v>995</v>
      </c>
      <c r="C34" s="112"/>
      <c r="D34" s="43"/>
      <c r="E34" s="43"/>
      <c r="F34" s="43"/>
      <c r="G34" s="43"/>
      <c r="H34" s="63"/>
      <c r="I34" s="113"/>
      <c r="J34" s="43"/>
      <c r="K34" s="43"/>
      <c r="L34" s="43"/>
      <c r="M34" s="43"/>
      <c r="N34" s="63"/>
      <c r="O34" s="113"/>
      <c r="P34" s="43"/>
      <c r="Q34" s="43"/>
      <c r="R34" s="43"/>
      <c r="S34" s="43"/>
      <c r="T34" s="63"/>
      <c r="U34" s="113"/>
      <c r="V34" s="43"/>
      <c r="W34" s="43"/>
      <c r="X34" s="43"/>
      <c r="Y34" s="43"/>
      <c r="Z34" s="63"/>
      <c r="AA34" s="114"/>
      <c r="AB34" s="43"/>
      <c r="AC34" s="43"/>
      <c r="AD34" s="43"/>
      <c r="AE34" s="43"/>
      <c r="AF34" s="63"/>
      <c r="AG34" s="115"/>
      <c r="AH34" s="43"/>
      <c r="AI34" s="43"/>
      <c r="AJ34" s="43"/>
      <c r="AK34" s="47"/>
      <c r="AL34" s="65"/>
      <c r="AM34" s="114"/>
      <c r="AN34" s="47"/>
      <c r="AO34" s="47"/>
      <c r="AP34" s="47"/>
      <c r="AQ34" s="47"/>
      <c r="AR34" s="65"/>
      <c r="AS34" s="114"/>
      <c r="AT34" s="65"/>
      <c r="AU34" s="114"/>
      <c r="AV34" s="65"/>
    </row>
    <row r="35" spans="1:48" s="144" customFormat="1" ht="15" customHeight="1" x14ac:dyDescent="0.3">
      <c r="A35" s="139"/>
      <c r="B35" s="140"/>
      <c r="C35" s="25"/>
      <c r="D35" s="43"/>
      <c r="E35" s="43"/>
      <c r="F35" s="43"/>
      <c r="G35" s="43"/>
      <c r="H35" s="63"/>
      <c r="I35" s="141"/>
      <c r="J35" s="43"/>
      <c r="K35" s="43"/>
      <c r="L35" s="43"/>
      <c r="M35" s="43"/>
      <c r="N35" s="63"/>
      <c r="O35" s="141"/>
      <c r="P35" s="43"/>
      <c r="Q35" s="43"/>
      <c r="R35" s="43"/>
      <c r="S35" s="43"/>
      <c r="T35" s="63"/>
      <c r="U35" s="141"/>
      <c r="V35" s="43"/>
      <c r="W35" s="43"/>
      <c r="X35" s="43"/>
      <c r="Y35" s="43"/>
      <c r="Z35" s="63"/>
      <c r="AA35" s="142"/>
      <c r="AB35" s="43"/>
      <c r="AC35" s="43"/>
      <c r="AD35" s="43"/>
      <c r="AE35" s="43"/>
      <c r="AF35" s="63"/>
      <c r="AG35" s="143"/>
      <c r="AH35" s="43"/>
      <c r="AI35" s="43"/>
      <c r="AJ35" s="43"/>
      <c r="AK35" s="47"/>
      <c r="AL35" s="65"/>
      <c r="AM35" s="145"/>
      <c r="AN35" s="47"/>
      <c r="AO35" s="47"/>
      <c r="AP35" s="47"/>
      <c r="AQ35" s="47"/>
      <c r="AR35" s="65"/>
      <c r="AS35" s="136"/>
      <c r="AT35" s="65"/>
      <c r="AU35" s="136"/>
      <c r="AV35" s="65"/>
    </row>
    <row r="36" spans="1:48" s="110" customFormat="1" ht="15" customHeight="1" x14ac:dyDescent="0.3">
      <c r="A36" s="41" t="s">
        <v>39</v>
      </c>
      <c r="B36" s="111" t="s">
        <v>996</v>
      </c>
      <c r="C36" s="112"/>
      <c r="D36" s="43"/>
      <c r="E36" s="43"/>
      <c r="F36" s="43"/>
      <c r="G36" s="43"/>
      <c r="H36" s="63"/>
      <c r="I36" s="113"/>
      <c r="J36" s="43"/>
      <c r="K36" s="43"/>
      <c r="L36" s="43"/>
      <c r="M36" s="43"/>
      <c r="N36" s="63"/>
      <c r="O36" s="113"/>
      <c r="P36" s="43"/>
      <c r="Q36" s="43"/>
      <c r="R36" s="43"/>
      <c r="S36" s="43"/>
      <c r="T36" s="63"/>
      <c r="U36" s="113"/>
      <c r="V36" s="43"/>
      <c r="W36" s="43"/>
      <c r="X36" s="43"/>
      <c r="Y36" s="43"/>
      <c r="Z36" s="63"/>
      <c r="AA36" s="114"/>
      <c r="AB36" s="43"/>
      <c r="AC36" s="43"/>
      <c r="AD36" s="43"/>
      <c r="AE36" s="43"/>
      <c r="AF36" s="63"/>
      <c r="AG36" s="115"/>
      <c r="AH36" s="43"/>
      <c r="AI36" s="43"/>
      <c r="AJ36" s="43"/>
      <c r="AK36" s="47"/>
      <c r="AL36" s="65"/>
      <c r="AM36" s="146"/>
      <c r="AN36" s="47"/>
      <c r="AO36" s="47"/>
      <c r="AP36" s="47"/>
      <c r="AQ36" s="47"/>
      <c r="AR36" s="65"/>
      <c r="AS36" s="114"/>
      <c r="AT36" s="65"/>
      <c r="AU36" s="114"/>
      <c r="AV36" s="65"/>
    </row>
    <row r="37" spans="1:48" ht="15" customHeight="1" x14ac:dyDescent="0.3">
      <c r="A37" s="40"/>
      <c r="B37" s="124" t="s">
        <v>997</v>
      </c>
      <c r="D37" s="57">
        <v>2317</v>
      </c>
      <c r="E37" s="57">
        <v>2517</v>
      </c>
      <c r="F37" s="57">
        <v>2029</v>
      </c>
      <c r="G37" s="57">
        <v>2191</v>
      </c>
      <c r="H37" s="54">
        <v>2191</v>
      </c>
      <c r="I37" s="18"/>
      <c r="J37" s="57">
        <v>2436</v>
      </c>
      <c r="K37" s="57">
        <v>2336</v>
      </c>
      <c r="L37" s="57">
        <v>2281</v>
      </c>
      <c r="M37" s="57">
        <v>2542</v>
      </c>
      <c r="N37" s="54">
        <v>2542</v>
      </c>
      <c r="O37" s="18"/>
      <c r="P37" s="57">
        <v>2936</v>
      </c>
      <c r="Q37" s="57">
        <v>2637</v>
      </c>
      <c r="R37" s="57">
        <v>3225</v>
      </c>
      <c r="S37" s="57">
        <v>3080</v>
      </c>
      <c r="T37" s="54">
        <v>3080</v>
      </c>
      <c r="U37" s="18"/>
      <c r="V37" s="57">
        <v>2854</v>
      </c>
      <c r="W37" s="57">
        <v>2743</v>
      </c>
      <c r="X37" s="57">
        <v>2856</v>
      </c>
      <c r="Y37" s="57">
        <v>2868</v>
      </c>
      <c r="Z37" s="54">
        <v>2868</v>
      </c>
      <c r="AA37" s="18"/>
      <c r="AB37" s="57">
        <v>2995</v>
      </c>
      <c r="AC37" s="57">
        <v>2794</v>
      </c>
      <c r="AD37" s="57">
        <v>2913</v>
      </c>
      <c r="AE37" s="57">
        <v>2870</v>
      </c>
      <c r="AF37" s="54">
        <v>2870</v>
      </c>
      <c r="AG37" s="147"/>
      <c r="AH37" s="57">
        <v>3085</v>
      </c>
      <c r="AI37" s="57">
        <v>3134</v>
      </c>
      <c r="AJ37" s="57">
        <v>0</v>
      </c>
      <c r="AK37" s="47"/>
      <c r="AL37" s="55"/>
      <c r="AM37" s="18"/>
      <c r="AN37" s="47"/>
      <c r="AO37" s="47"/>
      <c r="AP37" s="47"/>
      <c r="AQ37" s="47"/>
      <c r="AR37" s="55"/>
      <c r="AS37" s="18"/>
      <c r="AT37" s="55"/>
      <c r="AU37" s="18"/>
      <c r="AV37" s="55"/>
    </row>
    <row r="38" spans="1:48" ht="15" customHeight="1" x14ac:dyDescent="0.3">
      <c r="A38" s="40"/>
      <c r="B38" s="124" t="s">
        <v>998</v>
      </c>
      <c r="D38" s="57">
        <v>1392</v>
      </c>
      <c r="E38" s="57">
        <v>1885</v>
      </c>
      <c r="F38" s="57">
        <v>1885</v>
      </c>
      <c r="G38" s="57">
        <v>960</v>
      </c>
      <c r="H38" s="54">
        <v>960</v>
      </c>
      <c r="I38" s="18"/>
      <c r="J38" s="57">
        <v>1565</v>
      </c>
      <c r="K38" s="57">
        <v>1110</v>
      </c>
      <c r="L38" s="57">
        <v>1835</v>
      </c>
      <c r="M38" s="57">
        <v>2074</v>
      </c>
      <c r="N38" s="54">
        <v>2074</v>
      </c>
      <c r="O38" s="18"/>
      <c r="P38" s="57">
        <v>1559</v>
      </c>
      <c r="Q38" s="57">
        <v>2334</v>
      </c>
      <c r="R38" s="57">
        <v>1678</v>
      </c>
      <c r="S38" s="57">
        <v>1611</v>
      </c>
      <c r="T38" s="54">
        <v>1611</v>
      </c>
      <c r="U38" s="18"/>
      <c r="V38" s="57">
        <v>2592</v>
      </c>
      <c r="W38" s="57">
        <v>1745</v>
      </c>
      <c r="X38" s="57">
        <v>1724</v>
      </c>
      <c r="Y38" s="57">
        <v>1374</v>
      </c>
      <c r="Z38" s="54">
        <v>1374</v>
      </c>
      <c r="AA38" s="119"/>
      <c r="AB38" s="57">
        <v>733</v>
      </c>
      <c r="AC38" s="57">
        <v>727</v>
      </c>
      <c r="AD38" s="57">
        <v>1652</v>
      </c>
      <c r="AE38" s="57">
        <v>1388</v>
      </c>
      <c r="AF38" s="54">
        <v>1388</v>
      </c>
      <c r="AG38" s="121"/>
      <c r="AH38" s="57">
        <v>2227</v>
      </c>
      <c r="AI38" s="57">
        <v>2522</v>
      </c>
      <c r="AJ38" s="57">
        <v>0</v>
      </c>
      <c r="AK38" s="47"/>
      <c r="AL38" s="55"/>
      <c r="AM38" s="148"/>
      <c r="AN38" s="47"/>
      <c r="AO38" s="47"/>
      <c r="AP38" s="47"/>
      <c r="AQ38" s="47"/>
      <c r="AR38" s="55"/>
      <c r="AS38" s="148"/>
      <c r="AT38" s="55"/>
      <c r="AU38" s="148"/>
      <c r="AV38" s="55"/>
    </row>
    <row r="39" spans="1:48" s="110" customFormat="1" ht="15" customHeight="1" x14ac:dyDescent="0.3">
      <c r="B39" s="124" t="s">
        <v>999</v>
      </c>
      <c r="C39" s="112"/>
      <c r="D39" s="57">
        <v>445</v>
      </c>
      <c r="E39" s="57">
        <v>424</v>
      </c>
      <c r="F39" s="57">
        <v>403</v>
      </c>
      <c r="G39" s="57">
        <v>430</v>
      </c>
      <c r="H39" s="54">
        <v>430</v>
      </c>
      <c r="I39" s="113"/>
      <c r="J39" s="57">
        <v>294</v>
      </c>
      <c r="K39" s="57">
        <v>297</v>
      </c>
      <c r="L39" s="57">
        <v>306</v>
      </c>
      <c r="M39" s="57">
        <v>422</v>
      </c>
      <c r="N39" s="54">
        <v>422</v>
      </c>
      <c r="O39" s="113"/>
      <c r="P39" s="57">
        <v>305</v>
      </c>
      <c r="Q39" s="57">
        <v>314</v>
      </c>
      <c r="R39" s="57">
        <v>326</v>
      </c>
      <c r="S39" s="57">
        <v>398</v>
      </c>
      <c r="T39" s="54">
        <v>398</v>
      </c>
      <c r="U39" s="113"/>
      <c r="V39" s="57">
        <v>344</v>
      </c>
      <c r="W39" s="57">
        <v>346</v>
      </c>
      <c r="X39" s="57">
        <v>362</v>
      </c>
      <c r="Y39" s="57">
        <v>404</v>
      </c>
      <c r="Z39" s="54">
        <v>404</v>
      </c>
      <c r="AA39" s="126"/>
      <c r="AB39" s="57">
        <v>322</v>
      </c>
      <c r="AC39" s="57">
        <v>317</v>
      </c>
      <c r="AD39" s="57">
        <v>349</v>
      </c>
      <c r="AE39" s="57">
        <v>383</v>
      </c>
      <c r="AF39" s="54">
        <v>383</v>
      </c>
      <c r="AG39" s="127"/>
      <c r="AH39" s="57">
        <v>304</v>
      </c>
      <c r="AI39" s="57">
        <v>312</v>
      </c>
      <c r="AJ39" s="57">
        <v>0</v>
      </c>
      <c r="AK39" s="47"/>
      <c r="AL39" s="55"/>
      <c r="AM39" s="126"/>
      <c r="AN39" s="47"/>
      <c r="AO39" s="47"/>
      <c r="AP39" s="47"/>
      <c r="AQ39" s="47"/>
      <c r="AR39" s="55"/>
      <c r="AS39" s="126"/>
      <c r="AT39" s="55"/>
      <c r="AU39" s="126"/>
      <c r="AV39" s="55"/>
    </row>
    <row r="40" spans="1:48" ht="15" customHeight="1" x14ac:dyDescent="0.3">
      <c r="A40" s="40"/>
      <c r="B40" s="124" t="s">
        <v>1000</v>
      </c>
      <c r="D40" s="57">
        <v>487</v>
      </c>
      <c r="E40" s="57">
        <v>453</v>
      </c>
      <c r="F40" s="57">
        <v>524</v>
      </c>
      <c r="G40" s="57">
        <v>592</v>
      </c>
      <c r="H40" s="54">
        <v>592</v>
      </c>
      <c r="I40" s="18"/>
      <c r="J40" s="57">
        <v>576</v>
      </c>
      <c r="K40" s="57">
        <v>614</v>
      </c>
      <c r="L40" s="57">
        <v>689</v>
      </c>
      <c r="M40" s="57">
        <v>706</v>
      </c>
      <c r="N40" s="54">
        <v>706</v>
      </c>
      <c r="O40" s="18"/>
      <c r="P40" s="57">
        <v>662</v>
      </c>
      <c r="Q40" s="57">
        <v>717</v>
      </c>
      <c r="R40" s="57">
        <v>483</v>
      </c>
      <c r="S40" s="57">
        <v>431</v>
      </c>
      <c r="T40" s="54">
        <v>431</v>
      </c>
      <c r="U40" s="18"/>
      <c r="V40" s="57">
        <v>419</v>
      </c>
      <c r="W40" s="57">
        <v>415</v>
      </c>
      <c r="X40" s="57">
        <v>362</v>
      </c>
      <c r="Y40" s="57">
        <v>460</v>
      </c>
      <c r="Z40" s="54">
        <v>460</v>
      </c>
      <c r="AA40" s="18"/>
      <c r="AB40" s="57">
        <v>484</v>
      </c>
      <c r="AC40" s="57">
        <v>449</v>
      </c>
      <c r="AD40" s="57">
        <v>452</v>
      </c>
      <c r="AE40" s="57">
        <v>613</v>
      </c>
      <c r="AF40" s="54">
        <v>613</v>
      </c>
      <c r="AG40" s="147"/>
      <c r="AH40" s="57">
        <v>606</v>
      </c>
      <c r="AI40" s="57">
        <v>484</v>
      </c>
      <c r="AJ40" s="57">
        <v>0</v>
      </c>
      <c r="AK40" s="47"/>
      <c r="AL40" s="55"/>
      <c r="AM40" s="18"/>
      <c r="AN40" s="47"/>
      <c r="AO40" s="47"/>
      <c r="AP40" s="47"/>
      <c r="AQ40" s="47"/>
      <c r="AR40" s="55"/>
      <c r="AS40" s="18"/>
      <c r="AT40" s="55"/>
      <c r="AU40" s="18"/>
      <c r="AV40" s="55"/>
    </row>
    <row r="41" spans="1:48" s="110" customFormat="1" ht="15" customHeight="1" x14ac:dyDescent="0.3">
      <c r="B41" s="135" t="s">
        <v>1001</v>
      </c>
      <c r="C41" s="112"/>
      <c r="D41" s="57">
        <v>4641</v>
      </c>
      <c r="E41" s="57">
        <v>5279</v>
      </c>
      <c r="F41" s="57">
        <v>4841</v>
      </c>
      <c r="G41" s="57">
        <v>4173</v>
      </c>
      <c r="H41" s="74">
        <v>4173</v>
      </c>
      <c r="I41" s="113"/>
      <c r="J41" s="57">
        <v>4871</v>
      </c>
      <c r="K41" s="57">
        <v>4357</v>
      </c>
      <c r="L41" s="57">
        <v>5111</v>
      </c>
      <c r="M41" s="57">
        <v>5744</v>
      </c>
      <c r="N41" s="74">
        <v>5744</v>
      </c>
      <c r="O41" s="113"/>
      <c r="P41" s="57">
        <v>5462</v>
      </c>
      <c r="Q41" s="57">
        <v>6002</v>
      </c>
      <c r="R41" s="57">
        <v>5712</v>
      </c>
      <c r="S41" s="57">
        <v>5520</v>
      </c>
      <c r="T41" s="74">
        <v>5520</v>
      </c>
      <c r="U41" s="113"/>
      <c r="V41" s="57">
        <v>6209</v>
      </c>
      <c r="W41" s="57">
        <v>5249</v>
      </c>
      <c r="X41" s="57">
        <v>5304</v>
      </c>
      <c r="Y41" s="57">
        <v>5106</v>
      </c>
      <c r="Z41" s="74">
        <v>5106</v>
      </c>
      <c r="AA41" s="126"/>
      <c r="AB41" s="57">
        <v>4534</v>
      </c>
      <c r="AC41" s="57">
        <v>4287</v>
      </c>
      <c r="AD41" s="57">
        <v>5366</v>
      </c>
      <c r="AE41" s="57">
        <v>5254</v>
      </c>
      <c r="AF41" s="74">
        <v>5254</v>
      </c>
      <c r="AG41" s="127"/>
      <c r="AH41" s="57">
        <v>6222</v>
      </c>
      <c r="AI41" s="57">
        <v>6452</v>
      </c>
      <c r="AJ41" s="57">
        <v>0</v>
      </c>
      <c r="AK41" s="43"/>
      <c r="AL41" s="74"/>
      <c r="AM41" s="126"/>
      <c r="AN41" s="43"/>
      <c r="AO41" s="43"/>
      <c r="AP41" s="43"/>
      <c r="AQ41" s="43"/>
      <c r="AR41" s="74"/>
      <c r="AS41" s="126"/>
      <c r="AT41" s="74"/>
      <c r="AU41" s="126"/>
      <c r="AV41" s="74"/>
    </row>
    <row r="42" spans="1:48" ht="15" customHeight="1" x14ac:dyDescent="0.3">
      <c r="A42" s="40"/>
      <c r="B42" s="149"/>
      <c r="D42" s="43"/>
      <c r="E42" s="43"/>
      <c r="F42" s="43"/>
      <c r="G42" s="43"/>
      <c r="H42" s="63"/>
      <c r="I42" s="18"/>
      <c r="J42" s="43"/>
      <c r="K42" s="43"/>
      <c r="L42" s="43"/>
      <c r="M42" s="43"/>
      <c r="N42" s="63"/>
      <c r="O42" s="18"/>
      <c r="P42" s="43"/>
      <c r="Q42" s="43"/>
      <c r="R42" s="43"/>
      <c r="S42" s="43"/>
      <c r="T42" s="63"/>
      <c r="U42" s="18"/>
      <c r="V42" s="43"/>
      <c r="W42" s="43"/>
      <c r="X42" s="43"/>
      <c r="Y42" s="43"/>
      <c r="Z42" s="63"/>
      <c r="AA42" s="18"/>
      <c r="AB42" s="43"/>
      <c r="AC42" s="43"/>
      <c r="AD42" s="43"/>
      <c r="AE42" s="43"/>
      <c r="AF42" s="63"/>
      <c r="AG42" s="147"/>
      <c r="AH42" s="43"/>
      <c r="AI42" s="43">
        <f>+AI38+AI39+AI44+AI45</f>
        <v>33956</v>
      </c>
      <c r="AJ42" s="43"/>
      <c r="AK42" s="43"/>
      <c r="AL42" s="63"/>
      <c r="AM42" s="18"/>
      <c r="AN42" s="43"/>
      <c r="AO42" s="43"/>
      <c r="AP42" s="43"/>
      <c r="AQ42" s="43"/>
      <c r="AR42" s="63"/>
      <c r="AS42" s="18"/>
      <c r="AT42" s="63"/>
      <c r="AU42" s="18"/>
      <c r="AV42" s="63"/>
    </row>
    <row r="43" spans="1:48" s="110" customFormat="1" ht="15" customHeight="1" x14ac:dyDescent="0.3">
      <c r="A43" s="41" t="s">
        <v>39</v>
      </c>
      <c r="B43" s="111" t="s">
        <v>1002</v>
      </c>
      <c r="C43" s="112"/>
      <c r="D43" s="43"/>
      <c r="E43" s="43"/>
      <c r="F43" s="43"/>
      <c r="G43" s="43"/>
      <c r="H43" s="63"/>
      <c r="I43" s="113"/>
      <c r="J43" s="43"/>
      <c r="K43" s="43"/>
      <c r="L43" s="43"/>
      <c r="M43" s="43"/>
      <c r="N43" s="63"/>
      <c r="O43" s="113"/>
      <c r="P43" s="43"/>
      <c r="Q43" s="43"/>
      <c r="R43" s="43"/>
      <c r="S43" s="43"/>
      <c r="T43" s="63"/>
      <c r="U43" s="113"/>
      <c r="V43" s="43"/>
      <c r="W43" s="43"/>
      <c r="X43" s="43"/>
      <c r="Y43" s="43"/>
      <c r="Z43" s="63"/>
      <c r="AA43" s="113"/>
      <c r="AB43" s="43"/>
      <c r="AC43" s="43"/>
      <c r="AD43" s="43"/>
      <c r="AE43" s="43"/>
      <c r="AF43" s="63"/>
      <c r="AG43" s="150"/>
      <c r="AH43" s="43"/>
      <c r="AI43" s="43"/>
      <c r="AJ43" s="43"/>
      <c r="AK43" s="43"/>
      <c r="AL43" s="63"/>
      <c r="AM43" s="113"/>
      <c r="AN43" s="43"/>
      <c r="AO43" s="43"/>
      <c r="AP43" s="43"/>
      <c r="AQ43" s="43"/>
      <c r="AR43" s="63"/>
      <c r="AS43" s="113"/>
      <c r="AT43" s="63"/>
      <c r="AU43" s="113"/>
      <c r="AV43" s="63"/>
    </row>
    <row r="44" spans="1:48" ht="15" customHeight="1" x14ac:dyDescent="0.3">
      <c r="A44" s="40"/>
      <c r="B44" s="124" t="s">
        <v>1003</v>
      </c>
      <c r="D44" s="57">
        <v>25932</v>
      </c>
      <c r="E44" s="57">
        <v>26012</v>
      </c>
      <c r="F44" s="57">
        <v>25706</v>
      </c>
      <c r="G44" s="57">
        <v>25320</v>
      </c>
      <c r="H44" s="63">
        <v>25320</v>
      </c>
      <c r="I44" s="18"/>
      <c r="J44" s="57">
        <v>25117</v>
      </c>
      <c r="K44" s="57">
        <v>27702</v>
      </c>
      <c r="L44" s="57">
        <v>27560</v>
      </c>
      <c r="M44" s="57">
        <v>27319</v>
      </c>
      <c r="N44" s="63">
        <v>27319</v>
      </c>
      <c r="O44" s="18"/>
      <c r="P44" s="57">
        <v>30680</v>
      </c>
      <c r="Q44" s="57">
        <v>29673</v>
      </c>
      <c r="R44" s="57">
        <v>31744</v>
      </c>
      <c r="S44" s="57">
        <v>31481</v>
      </c>
      <c r="T44" s="63">
        <v>31481</v>
      </c>
      <c r="U44" s="18"/>
      <c r="V44" s="57">
        <v>31192</v>
      </c>
      <c r="W44" s="57">
        <v>31557</v>
      </c>
      <c r="X44" s="57">
        <v>31153</v>
      </c>
      <c r="Y44" s="57">
        <v>31047</v>
      </c>
      <c r="Z44" s="63">
        <v>31047</v>
      </c>
      <c r="AA44" s="18"/>
      <c r="AB44" s="57">
        <v>31195</v>
      </c>
      <c r="AC44" s="57">
        <v>31165</v>
      </c>
      <c r="AD44" s="57">
        <v>29761</v>
      </c>
      <c r="AE44" s="57">
        <v>29695</v>
      </c>
      <c r="AF44" s="63">
        <v>29695</v>
      </c>
      <c r="AG44" s="147"/>
      <c r="AH44" s="57">
        <v>30615</v>
      </c>
      <c r="AI44" s="57">
        <v>30291</v>
      </c>
      <c r="AJ44" s="57">
        <v>0</v>
      </c>
      <c r="AK44" s="43"/>
      <c r="AL44" s="63"/>
      <c r="AM44" s="18"/>
      <c r="AN44" s="43"/>
      <c r="AO44" s="43"/>
      <c r="AP44" s="43"/>
      <c r="AQ44" s="43"/>
      <c r="AR44" s="63"/>
      <c r="AS44" s="18"/>
      <c r="AT44" s="63"/>
      <c r="AU44" s="18"/>
      <c r="AV44" s="63"/>
    </row>
    <row r="45" spans="1:48" s="110" customFormat="1" ht="15" customHeight="1" x14ac:dyDescent="0.3">
      <c r="B45" s="124" t="s">
        <v>1004</v>
      </c>
      <c r="C45" s="112"/>
      <c r="D45" s="57">
        <v>1772</v>
      </c>
      <c r="E45" s="57">
        <v>1747</v>
      </c>
      <c r="F45" s="57">
        <v>1667</v>
      </c>
      <c r="G45" s="57">
        <v>1623</v>
      </c>
      <c r="H45" s="63">
        <v>1623</v>
      </c>
      <c r="I45" s="113"/>
      <c r="J45" s="57">
        <v>1171</v>
      </c>
      <c r="K45" s="57">
        <v>1256</v>
      </c>
      <c r="L45" s="57">
        <v>1262</v>
      </c>
      <c r="M45" s="57">
        <v>1673</v>
      </c>
      <c r="N45" s="63">
        <v>1673</v>
      </c>
      <c r="O45" s="113"/>
      <c r="P45" s="57">
        <v>1291</v>
      </c>
      <c r="Q45" s="57">
        <v>1295</v>
      </c>
      <c r="R45" s="57">
        <v>1303</v>
      </c>
      <c r="S45" s="57">
        <v>1467</v>
      </c>
      <c r="T45" s="63">
        <v>1467</v>
      </c>
      <c r="U45" s="113"/>
      <c r="V45" s="57">
        <v>1233</v>
      </c>
      <c r="W45" s="57">
        <v>1217</v>
      </c>
      <c r="X45" s="57">
        <v>1244</v>
      </c>
      <c r="Y45" s="57">
        <v>1354</v>
      </c>
      <c r="Z45" s="63">
        <v>1354</v>
      </c>
      <c r="AA45" s="113"/>
      <c r="AB45" s="57">
        <v>1016</v>
      </c>
      <c r="AC45" s="57">
        <v>988</v>
      </c>
      <c r="AD45" s="57">
        <v>934</v>
      </c>
      <c r="AE45" s="57">
        <v>997</v>
      </c>
      <c r="AF45" s="63">
        <v>997</v>
      </c>
      <c r="AG45" s="150"/>
      <c r="AH45" s="57">
        <v>758</v>
      </c>
      <c r="AI45" s="57">
        <v>831</v>
      </c>
      <c r="AJ45" s="57">
        <v>0</v>
      </c>
      <c r="AK45" s="43"/>
      <c r="AL45" s="63"/>
      <c r="AM45" s="113"/>
      <c r="AN45" s="43"/>
      <c r="AO45" s="43"/>
      <c r="AP45" s="43"/>
      <c r="AQ45" s="43"/>
      <c r="AR45" s="63"/>
      <c r="AS45" s="113"/>
      <c r="AT45" s="63"/>
      <c r="AU45" s="113"/>
      <c r="AV45" s="63"/>
    </row>
    <row r="46" spans="1:48" ht="15" customHeight="1" x14ac:dyDescent="0.3">
      <c r="A46" s="40"/>
      <c r="B46" s="124" t="s">
        <v>1005</v>
      </c>
      <c r="D46" s="57">
        <v>13880</v>
      </c>
      <c r="E46" s="57">
        <v>14065</v>
      </c>
      <c r="F46" s="57">
        <v>14301</v>
      </c>
      <c r="G46" s="57">
        <v>14324</v>
      </c>
      <c r="H46" s="63">
        <v>14324</v>
      </c>
      <c r="I46" s="18"/>
      <c r="J46" s="57">
        <v>14380</v>
      </c>
      <c r="K46" s="57">
        <v>14455</v>
      </c>
      <c r="L46" s="57">
        <v>14510</v>
      </c>
      <c r="M46" s="57">
        <v>14628</v>
      </c>
      <c r="N46" s="63">
        <v>14628</v>
      </c>
      <c r="O46" s="18"/>
      <c r="P46" s="57">
        <v>14721</v>
      </c>
      <c r="Q46" s="57">
        <v>14760</v>
      </c>
      <c r="R46" s="57">
        <v>14841</v>
      </c>
      <c r="S46" s="57">
        <v>14818</v>
      </c>
      <c r="T46" s="63">
        <v>14818</v>
      </c>
      <c r="U46" s="18"/>
      <c r="V46" s="57">
        <v>14880</v>
      </c>
      <c r="W46" s="57">
        <v>14816</v>
      </c>
      <c r="X46" s="57">
        <v>14835</v>
      </c>
      <c r="Y46" s="57">
        <v>14837</v>
      </c>
      <c r="Z46" s="63">
        <v>14837</v>
      </c>
      <c r="AA46" s="18"/>
      <c r="AB46" s="57">
        <v>14856</v>
      </c>
      <c r="AC46" s="57">
        <v>14888</v>
      </c>
      <c r="AD46" s="57">
        <v>14925</v>
      </c>
      <c r="AE46" s="57">
        <v>14879</v>
      </c>
      <c r="AF46" s="63">
        <v>14879</v>
      </c>
      <c r="AG46" s="147"/>
      <c r="AH46" s="57">
        <v>14858</v>
      </c>
      <c r="AI46" s="57">
        <v>14744</v>
      </c>
      <c r="AJ46" s="57">
        <v>0</v>
      </c>
      <c r="AK46" s="43"/>
      <c r="AL46" s="63"/>
      <c r="AM46" s="18"/>
      <c r="AN46" s="43"/>
      <c r="AO46" s="43"/>
      <c r="AP46" s="43"/>
      <c r="AQ46" s="43"/>
      <c r="AR46" s="63"/>
      <c r="AS46" s="18"/>
      <c r="AT46" s="63"/>
      <c r="AU46" s="18"/>
      <c r="AV46" s="63"/>
    </row>
    <row r="47" spans="1:48" s="110" customFormat="1" ht="15" customHeight="1" x14ac:dyDescent="0.3">
      <c r="B47" s="135" t="s">
        <v>1006</v>
      </c>
      <c r="C47" s="112"/>
      <c r="D47" s="57">
        <v>41584</v>
      </c>
      <c r="E47" s="57">
        <v>41824</v>
      </c>
      <c r="F47" s="57">
        <v>41674</v>
      </c>
      <c r="G47" s="57">
        <v>41267</v>
      </c>
      <c r="H47" s="63">
        <v>41267</v>
      </c>
      <c r="I47" s="113"/>
      <c r="J47" s="57">
        <v>40668</v>
      </c>
      <c r="K47" s="57">
        <v>43413</v>
      </c>
      <c r="L47" s="57">
        <v>43332</v>
      </c>
      <c r="M47" s="57">
        <v>43620</v>
      </c>
      <c r="N47" s="63">
        <v>43620</v>
      </c>
      <c r="O47" s="113"/>
      <c r="P47" s="57">
        <v>46692</v>
      </c>
      <c r="Q47" s="57">
        <v>45728</v>
      </c>
      <c r="R47" s="57">
        <v>47888</v>
      </c>
      <c r="S47" s="57">
        <v>47766</v>
      </c>
      <c r="T47" s="63">
        <v>47766</v>
      </c>
      <c r="U47" s="113"/>
      <c r="V47" s="57">
        <v>47305</v>
      </c>
      <c r="W47" s="57">
        <v>47590</v>
      </c>
      <c r="X47" s="57">
        <v>47232</v>
      </c>
      <c r="Y47" s="57">
        <v>47238</v>
      </c>
      <c r="Z47" s="63">
        <v>47238</v>
      </c>
      <c r="AA47" s="113"/>
      <c r="AB47" s="57">
        <v>47067</v>
      </c>
      <c r="AC47" s="57">
        <v>47041</v>
      </c>
      <c r="AD47" s="57">
        <v>45620</v>
      </c>
      <c r="AE47" s="57">
        <v>45571</v>
      </c>
      <c r="AF47" s="63">
        <v>45571</v>
      </c>
      <c r="AG47" s="150"/>
      <c r="AH47" s="57">
        <v>46231</v>
      </c>
      <c r="AI47" s="57">
        <v>45866</v>
      </c>
      <c r="AJ47" s="57">
        <v>0</v>
      </c>
      <c r="AK47" s="43"/>
      <c r="AL47" s="63"/>
      <c r="AM47" s="113"/>
      <c r="AN47" s="43"/>
      <c r="AO47" s="43"/>
      <c r="AP47" s="43"/>
      <c r="AQ47" s="43"/>
      <c r="AR47" s="63"/>
      <c r="AS47" s="113"/>
      <c r="AT47" s="63"/>
      <c r="AU47" s="113"/>
      <c r="AV47" s="63"/>
    </row>
    <row r="48" spans="1:48" ht="15" customHeight="1" x14ac:dyDescent="0.3">
      <c r="A48" s="40"/>
      <c r="B48" s="137" t="s">
        <v>1007</v>
      </c>
      <c r="D48" s="57">
        <v>46225</v>
      </c>
      <c r="E48" s="57">
        <v>47103</v>
      </c>
      <c r="F48" s="57">
        <v>46515</v>
      </c>
      <c r="G48" s="57">
        <v>45440</v>
      </c>
      <c r="H48" s="74">
        <v>45440</v>
      </c>
      <c r="I48" s="18"/>
      <c r="J48" s="57">
        <v>45539</v>
      </c>
      <c r="K48" s="57">
        <v>47770</v>
      </c>
      <c r="L48" s="57">
        <v>48443</v>
      </c>
      <c r="M48" s="57">
        <v>49364</v>
      </c>
      <c r="N48" s="74">
        <v>49364</v>
      </c>
      <c r="O48" s="18"/>
      <c r="P48" s="57">
        <v>52154</v>
      </c>
      <c r="Q48" s="57">
        <v>51730</v>
      </c>
      <c r="R48" s="57">
        <v>53600</v>
      </c>
      <c r="S48" s="57">
        <v>53286</v>
      </c>
      <c r="T48" s="74">
        <v>53286</v>
      </c>
      <c r="U48" s="18"/>
      <c r="V48" s="57">
        <v>53514</v>
      </c>
      <c r="W48" s="57">
        <v>52839</v>
      </c>
      <c r="X48" s="57">
        <v>52536</v>
      </c>
      <c r="Y48" s="57">
        <v>52344</v>
      </c>
      <c r="Z48" s="74">
        <v>52344</v>
      </c>
      <c r="AA48" s="18"/>
      <c r="AB48" s="57">
        <v>51601</v>
      </c>
      <c r="AC48" s="57">
        <v>51328</v>
      </c>
      <c r="AD48" s="57">
        <v>50986</v>
      </c>
      <c r="AE48" s="57">
        <v>50825</v>
      </c>
      <c r="AF48" s="74">
        <v>50825</v>
      </c>
      <c r="AG48" s="147"/>
      <c r="AH48" s="57">
        <v>52453</v>
      </c>
      <c r="AI48" s="57">
        <v>52318</v>
      </c>
      <c r="AJ48" s="57">
        <v>0</v>
      </c>
      <c r="AK48" s="43"/>
      <c r="AL48" s="74"/>
      <c r="AM48" s="18"/>
      <c r="AN48" s="43"/>
      <c r="AO48" s="43"/>
      <c r="AP48" s="43"/>
      <c r="AQ48" s="43"/>
      <c r="AR48" s="74"/>
      <c r="AS48" s="18"/>
      <c r="AT48" s="74"/>
      <c r="AU48" s="18"/>
      <c r="AV48" s="74"/>
    </row>
    <row r="50" spans="1:48" ht="15" customHeight="1" x14ac:dyDescent="0.3">
      <c r="A50" s="41" t="s">
        <v>39</v>
      </c>
      <c r="B50" s="111" t="s">
        <v>1008</v>
      </c>
      <c r="D50" s="43"/>
      <c r="E50" s="43"/>
      <c r="F50" s="43"/>
      <c r="G50" s="43"/>
      <c r="H50" s="63"/>
      <c r="I50" s="18"/>
      <c r="J50" s="43"/>
      <c r="K50" s="43"/>
      <c r="L50" s="43"/>
      <c r="M50" s="43"/>
      <c r="N50" s="63"/>
      <c r="O50" s="18"/>
      <c r="P50" s="43"/>
      <c r="Q50" s="43"/>
      <c r="R50" s="43"/>
      <c r="S50" s="43"/>
      <c r="T50" s="63"/>
      <c r="U50" s="18"/>
      <c r="V50" s="43"/>
      <c r="W50" s="43"/>
      <c r="X50" s="43"/>
      <c r="Y50" s="43"/>
      <c r="Z50" s="63"/>
      <c r="AA50" s="18"/>
      <c r="AB50" s="43"/>
      <c r="AC50" s="43"/>
      <c r="AD50" s="43"/>
      <c r="AE50" s="43"/>
      <c r="AF50" s="63"/>
      <c r="AG50" s="147"/>
      <c r="AH50" s="43"/>
      <c r="AI50" s="43"/>
      <c r="AJ50" s="43"/>
      <c r="AK50" s="43"/>
      <c r="AL50" s="63"/>
      <c r="AM50" s="18"/>
      <c r="AN50" s="43"/>
      <c r="AO50" s="43"/>
      <c r="AP50" s="43"/>
      <c r="AQ50" s="43"/>
      <c r="AR50" s="63"/>
      <c r="AT50" s="63"/>
      <c r="AV50" s="63"/>
    </row>
    <row r="51" spans="1:48" ht="15" customHeight="1" x14ac:dyDescent="0.3">
      <c r="A51" s="40"/>
      <c r="B51" s="124" t="s">
        <v>1009</v>
      </c>
      <c r="D51" s="57">
        <v>15991</v>
      </c>
      <c r="E51" s="57">
        <v>16452</v>
      </c>
      <c r="F51" s="57">
        <v>17199</v>
      </c>
      <c r="G51" s="57">
        <v>16958</v>
      </c>
      <c r="H51" s="63">
        <v>16958</v>
      </c>
      <c r="I51" s="18"/>
      <c r="J51" s="57">
        <v>16254</v>
      </c>
      <c r="K51" s="57">
        <v>14303</v>
      </c>
      <c r="L51" s="57">
        <v>13917</v>
      </c>
      <c r="M51" s="57">
        <v>14161</v>
      </c>
      <c r="N51" s="63">
        <v>14161</v>
      </c>
      <c r="O51" s="18"/>
      <c r="P51" s="57">
        <v>11897</v>
      </c>
      <c r="Q51" s="57">
        <v>12710</v>
      </c>
      <c r="R51" s="57">
        <v>11743</v>
      </c>
      <c r="S51" s="57">
        <v>12163</v>
      </c>
      <c r="T51" s="63">
        <v>12163</v>
      </c>
      <c r="U51" s="18"/>
      <c r="V51" s="57">
        <v>12454</v>
      </c>
      <c r="W51" s="57">
        <v>13194</v>
      </c>
      <c r="X51" s="57">
        <v>14004</v>
      </c>
      <c r="Y51" s="57">
        <v>14788</v>
      </c>
      <c r="Z51" s="63">
        <v>14788</v>
      </c>
      <c r="AA51" s="18"/>
      <c r="AB51" s="57">
        <v>15665</v>
      </c>
      <c r="AC51" s="57">
        <v>16489</v>
      </c>
      <c r="AD51" s="57">
        <v>16584</v>
      </c>
      <c r="AE51" s="57">
        <v>16890</v>
      </c>
      <c r="AF51" s="63">
        <v>16890</v>
      </c>
      <c r="AG51" s="147"/>
      <c r="AH51" s="57">
        <v>16039</v>
      </c>
      <c r="AI51" s="57">
        <v>16258</v>
      </c>
      <c r="AJ51" s="57">
        <v>0</v>
      </c>
      <c r="AK51" s="57"/>
      <c r="AL51" s="63"/>
      <c r="AM51" s="18"/>
      <c r="AN51" s="57"/>
      <c r="AO51" s="57"/>
      <c r="AP51" s="57"/>
      <c r="AQ51" s="57"/>
      <c r="AR51" s="63"/>
      <c r="AT51" s="63"/>
      <c r="AV51" s="63"/>
    </row>
    <row r="52" spans="1:48" s="110" customFormat="1" ht="15" customHeight="1" x14ac:dyDescent="0.3">
      <c r="B52" s="124" t="s">
        <v>1010</v>
      </c>
      <c r="C52" s="112"/>
      <c r="D52" s="57">
        <v>0</v>
      </c>
      <c r="E52" s="57">
        <v>0</v>
      </c>
      <c r="F52" s="57">
        <v>0</v>
      </c>
      <c r="G52" s="57">
        <v>0</v>
      </c>
      <c r="H52" s="63">
        <v>0</v>
      </c>
      <c r="I52" s="113"/>
      <c r="J52" s="57">
        <v>0</v>
      </c>
      <c r="K52" s="57">
        <v>0</v>
      </c>
      <c r="L52" s="57">
        <v>0</v>
      </c>
      <c r="M52" s="57">
        <v>0</v>
      </c>
      <c r="N52" s="63">
        <v>0</v>
      </c>
      <c r="O52" s="113"/>
      <c r="P52" s="57">
        <v>0</v>
      </c>
      <c r="Q52" s="57">
        <v>0</v>
      </c>
      <c r="R52" s="57">
        <v>0</v>
      </c>
      <c r="S52" s="57">
        <v>0</v>
      </c>
      <c r="T52" s="63">
        <v>0</v>
      </c>
      <c r="U52" s="113"/>
      <c r="V52" s="57">
        <v>0</v>
      </c>
      <c r="W52" s="57">
        <v>0</v>
      </c>
      <c r="X52" s="57">
        <v>0</v>
      </c>
      <c r="Y52" s="57">
        <v>0</v>
      </c>
      <c r="Z52" s="63">
        <v>0</v>
      </c>
      <c r="AA52" s="113"/>
      <c r="AB52" s="57">
        <v>0</v>
      </c>
      <c r="AC52" s="57">
        <v>0</v>
      </c>
      <c r="AD52" s="57">
        <v>0</v>
      </c>
      <c r="AE52" s="57">
        <v>0</v>
      </c>
      <c r="AF52" s="63">
        <v>0</v>
      </c>
      <c r="AG52" s="150"/>
      <c r="AH52" s="57">
        <v>0</v>
      </c>
      <c r="AI52" s="57">
        <v>0</v>
      </c>
      <c r="AJ52" s="57">
        <v>0</v>
      </c>
      <c r="AK52" s="57"/>
      <c r="AL52" s="63"/>
      <c r="AM52" s="113"/>
      <c r="AN52" s="57"/>
      <c r="AO52" s="57"/>
      <c r="AP52" s="57"/>
      <c r="AQ52" s="57"/>
      <c r="AR52" s="63"/>
      <c r="AT52" s="63"/>
      <c r="AV52" s="63"/>
    </row>
    <row r="53" spans="1:48" ht="15" customHeight="1" x14ac:dyDescent="0.3">
      <c r="A53" s="40"/>
      <c r="B53" s="124" t="s">
        <v>1011</v>
      </c>
      <c r="D53" s="57">
        <v>0</v>
      </c>
      <c r="E53" s="57">
        <v>0</v>
      </c>
      <c r="F53" s="57">
        <v>0</v>
      </c>
      <c r="G53" s="57">
        <v>0</v>
      </c>
      <c r="H53" s="63">
        <v>0</v>
      </c>
      <c r="I53" s="18"/>
      <c r="J53" s="57">
        <v>0</v>
      </c>
      <c r="K53" s="57">
        <v>0</v>
      </c>
      <c r="L53" s="57">
        <v>0</v>
      </c>
      <c r="M53" s="57">
        <v>0</v>
      </c>
      <c r="N53" s="63">
        <v>0</v>
      </c>
      <c r="O53" s="18"/>
      <c r="P53" s="57">
        <v>0</v>
      </c>
      <c r="Q53" s="57">
        <v>0</v>
      </c>
      <c r="R53" s="57">
        <v>0</v>
      </c>
      <c r="S53" s="57">
        <v>0</v>
      </c>
      <c r="T53" s="63">
        <v>0</v>
      </c>
      <c r="U53" s="18"/>
      <c r="V53" s="57">
        <v>0</v>
      </c>
      <c r="W53" s="57">
        <v>0</v>
      </c>
      <c r="X53" s="57">
        <v>0</v>
      </c>
      <c r="Y53" s="57">
        <v>0</v>
      </c>
      <c r="Z53" s="63">
        <v>0</v>
      </c>
      <c r="AA53" s="18"/>
      <c r="AB53" s="57">
        <v>0</v>
      </c>
      <c r="AC53" s="57">
        <v>0</v>
      </c>
      <c r="AD53" s="57">
        <v>0</v>
      </c>
      <c r="AE53" s="57">
        <v>0</v>
      </c>
      <c r="AF53" s="63">
        <v>0</v>
      </c>
      <c r="AG53" s="147"/>
      <c r="AH53" s="57">
        <v>0</v>
      </c>
      <c r="AI53" s="57">
        <v>0</v>
      </c>
      <c r="AJ53" s="57">
        <v>0</v>
      </c>
      <c r="AK53" s="57"/>
      <c r="AL53" s="63"/>
      <c r="AM53" s="18"/>
      <c r="AN53" s="57"/>
      <c r="AO53" s="57"/>
      <c r="AP53" s="57"/>
      <c r="AQ53" s="57"/>
      <c r="AR53" s="63"/>
      <c r="AT53" s="63"/>
      <c r="AV53" s="63"/>
    </row>
    <row r="54" spans="1:48" s="110" customFormat="1" ht="15" customHeight="1" x14ac:dyDescent="0.3">
      <c r="B54" s="135" t="s">
        <v>1012</v>
      </c>
      <c r="C54" s="112"/>
      <c r="D54" s="57">
        <v>15991</v>
      </c>
      <c r="E54" s="57">
        <v>16452</v>
      </c>
      <c r="F54" s="57">
        <v>17199</v>
      </c>
      <c r="G54" s="57">
        <v>16958</v>
      </c>
      <c r="H54" s="74">
        <v>16958</v>
      </c>
      <c r="I54" s="113"/>
      <c r="J54" s="57">
        <v>16254</v>
      </c>
      <c r="K54" s="57">
        <v>14303</v>
      </c>
      <c r="L54" s="57">
        <v>13917</v>
      </c>
      <c r="M54" s="57">
        <v>14161</v>
      </c>
      <c r="N54" s="74">
        <v>14161</v>
      </c>
      <c r="O54" s="113"/>
      <c r="P54" s="57">
        <v>11897</v>
      </c>
      <c r="Q54" s="57">
        <v>12710</v>
      </c>
      <c r="R54" s="57">
        <v>11743</v>
      </c>
      <c r="S54" s="57">
        <v>12163</v>
      </c>
      <c r="T54" s="74">
        <v>12163</v>
      </c>
      <c r="U54" s="113"/>
      <c r="V54" s="57">
        <v>12454</v>
      </c>
      <c r="W54" s="57">
        <v>13194</v>
      </c>
      <c r="X54" s="57">
        <v>14004</v>
      </c>
      <c r="Y54" s="57">
        <v>14788</v>
      </c>
      <c r="Z54" s="74">
        <v>14788</v>
      </c>
      <c r="AA54" s="113"/>
      <c r="AB54" s="57">
        <v>15665</v>
      </c>
      <c r="AC54" s="57">
        <v>16489</v>
      </c>
      <c r="AD54" s="57">
        <v>16584</v>
      </c>
      <c r="AE54" s="57">
        <v>16890</v>
      </c>
      <c r="AF54" s="74">
        <v>16890</v>
      </c>
      <c r="AG54" s="150"/>
      <c r="AH54" s="57">
        <v>16039</v>
      </c>
      <c r="AI54" s="57">
        <v>16258</v>
      </c>
      <c r="AJ54" s="57">
        <v>0</v>
      </c>
      <c r="AK54" s="57"/>
      <c r="AL54" s="74"/>
      <c r="AM54" s="113"/>
      <c r="AN54" s="57"/>
      <c r="AO54" s="57"/>
      <c r="AP54" s="57"/>
      <c r="AQ54" s="57"/>
      <c r="AR54" s="74"/>
      <c r="AT54" s="74"/>
      <c r="AV54" s="74"/>
    </row>
    <row r="55" spans="1:48" ht="15" customHeight="1" thickBot="1" x14ac:dyDescent="0.35">
      <c r="A55" s="40"/>
      <c r="B55" s="137" t="s">
        <v>1013</v>
      </c>
      <c r="D55" s="57">
        <v>62216</v>
      </c>
      <c r="E55" s="57">
        <v>63555</v>
      </c>
      <c r="F55" s="57">
        <v>63714</v>
      </c>
      <c r="G55" s="57">
        <v>62398</v>
      </c>
      <c r="H55" s="90">
        <v>62398</v>
      </c>
      <c r="I55" s="18"/>
      <c r="J55" s="57">
        <v>61793</v>
      </c>
      <c r="K55" s="57">
        <v>62073</v>
      </c>
      <c r="L55" s="57">
        <v>62360</v>
      </c>
      <c r="M55" s="57">
        <v>63525</v>
      </c>
      <c r="N55" s="90">
        <v>63525</v>
      </c>
      <c r="O55" s="18"/>
      <c r="P55" s="57">
        <v>64051</v>
      </c>
      <c r="Q55" s="57">
        <v>64440</v>
      </c>
      <c r="R55" s="57">
        <v>65343</v>
      </c>
      <c r="S55" s="57">
        <v>65449</v>
      </c>
      <c r="T55" s="90">
        <v>65449</v>
      </c>
      <c r="U55" s="18"/>
      <c r="V55" s="57">
        <v>65968</v>
      </c>
      <c r="W55" s="57">
        <v>66033</v>
      </c>
      <c r="X55" s="57">
        <v>66540</v>
      </c>
      <c r="Y55" s="57">
        <v>67132</v>
      </c>
      <c r="Z55" s="90">
        <v>67132</v>
      </c>
      <c r="AA55" s="18"/>
      <c r="AB55" s="57">
        <v>67266</v>
      </c>
      <c r="AC55" s="57">
        <v>67817</v>
      </c>
      <c r="AD55" s="57">
        <v>67570</v>
      </c>
      <c r="AE55" s="57">
        <v>67715</v>
      </c>
      <c r="AF55" s="90">
        <v>67715</v>
      </c>
      <c r="AG55" s="147"/>
      <c r="AH55" s="57">
        <v>68492</v>
      </c>
      <c r="AI55" s="57">
        <v>68576</v>
      </c>
      <c r="AJ55" s="57">
        <v>0</v>
      </c>
      <c r="AK55" s="57"/>
      <c r="AL55" s="90"/>
      <c r="AM55" s="18"/>
      <c r="AN55" s="57"/>
      <c r="AO55" s="57"/>
      <c r="AP55" s="57"/>
      <c r="AQ55" s="57"/>
      <c r="AR55" s="90"/>
      <c r="AT55" s="90"/>
      <c r="AV55" s="90"/>
    </row>
    <row r="56" spans="1:48" ht="15" customHeight="1" thickTop="1" x14ac:dyDescent="0.3">
      <c r="AV56" s="38"/>
    </row>
    <row r="57" spans="1:48" ht="15" customHeight="1" thickBot="1" x14ac:dyDescent="0.35">
      <c r="B57" s="111" t="s">
        <v>1014</v>
      </c>
      <c r="D57" s="57">
        <v>0</v>
      </c>
      <c r="E57" s="57">
        <v>0</v>
      </c>
      <c r="F57" s="57">
        <v>0</v>
      </c>
      <c r="G57" s="57">
        <v>0</v>
      </c>
      <c r="H57" s="90">
        <v>0</v>
      </c>
      <c r="I57" s="18"/>
      <c r="J57" s="57">
        <v>0</v>
      </c>
      <c r="K57" s="57">
        <v>0</v>
      </c>
      <c r="L57" s="57">
        <v>0</v>
      </c>
      <c r="M57" s="57">
        <v>0</v>
      </c>
      <c r="N57" s="90">
        <v>0</v>
      </c>
      <c r="O57" s="18"/>
      <c r="P57" s="57">
        <v>0</v>
      </c>
      <c r="Q57" s="57">
        <v>0</v>
      </c>
      <c r="R57" s="57">
        <v>0</v>
      </c>
      <c r="S57" s="57">
        <v>0</v>
      </c>
      <c r="T57" s="90">
        <v>0</v>
      </c>
      <c r="U57" s="18"/>
      <c r="V57" s="57">
        <v>0</v>
      </c>
      <c r="W57" s="57">
        <v>0</v>
      </c>
      <c r="X57" s="57">
        <v>0</v>
      </c>
      <c r="Y57" s="57">
        <v>0</v>
      </c>
      <c r="Z57" s="90">
        <v>0</v>
      </c>
      <c r="AA57" s="18"/>
      <c r="AB57" s="57">
        <v>0</v>
      </c>
      <c r="AC57" s="57">
        <v>0</v>
      </c>
      <c r="AD57" s="57">
        <v>0</v>
      </c>
      <c r="AE57" s="57">
        <v>0</v>
      </c>
      <c r="AF57" s="90">
        <v>0</v>
      </c>
      <c r="AG57" s="147"/>
      <c r="AH57" s="57">
        <v>0</v>
      </c>
      <c r="AI57" s="57">
        <v>0</v>
      </c>
      <c r="AJ57" s="57">
        <v>0</v>
      </c>
      <c r="AK57" s="57"/>
      <c r="AL57" s="90"/>
      <c r="AM57" s="18"/>
      <c r="AN57" s="57"/>
      <c r="AO57" s="57"/>
      <c r="AP57" s="57"/>
      <c r="AQ57" s="57"/>
      <c r="AR57" s="90"/>
      <c r="AT57" s="90"/>
      <c r="AV57" s="90"/>
    </row>
    <row r="58" spans="1:48" ht="15" customHeight="1" thickTop="1" x14ac:dyDescent="0.3"/>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zoomScale="46" zoomScaleNormal="85" workbookViewId="0">
      <selection activeCell="AR22" sqref="AR22"/>
    </sheetView>
  </sheetViews>
  <sheetFormatPr defaultColWidth="9" defaultRowHeight="15" customHeight="1" outlineLevelCol="1" x14ac:dyDescent="0.3"/>
  <cols>
    <col min="1" max="1" width="2" style="38" customWidth="1"/>
    <col min="2" max="2" width="50.5" style="38" customWidth="1"/>
    <col min="3" max="3" width="3.33203125" style="15" customWidth="1"/>
    <col min="4" max="7" width="9.5" style="38" customWidth="1" outlineLevel="1"/>
    <col min="8" max="8" width="11.5" style="38" customWidth="1"/>
    <col min="9" max="9" width="1.5" style="15" customWidth="1"/>
    <col min="10" max="13" width="9.5" style="38" customWidth="1" outlineLevel="1"/>
    <col min="14" max="14" width="11.5" style="38" customWidth="1"/>
    <col min="15" max="15" width="1.5" style="15" customWidth="1"/>
    <col min="16" max="19" width="9.5" style="38" customWidth="1" outlineLevel="1"/>
    <col min="20" max="20" width="11.5" style="38" customWidth="1"/>
    <col min="21" max="21" width="1.5" style="15" customWidth="1"/>
    <col min="22" max="25" width="9.5" style="38" customWidth="1" outlineLevel="1"/>
    <col min="26" max="26" width="11.5" style="38" customWidth="1"/>
    <col min="27" max="27" width="1.5" style="15" customWidth="1"/>
    <col min="28" max="31" width="9.5" style="38" customWidth="1" outlineLevel="1"/>
    <col min="32" max="32" width="11.5" style="38" customWidth="1"/>
    <col min="33" max="33" width="1.5" style="15" customWidth="1"/>
    <col min="34" max="37" width="9.5" style="38" customWidth="1" outlineLevel="1"/>
    <col min="38" max="38" width="11.5" style="38" customWidth="1"/>
    <col min="39" max="39" width="1.5" style="15" customWidth="1"/>
    <col min="40" max="43" width="9.5" style="38" customWidth="1" outlineLevel="1"/>
    <col min="44" max="44" width="11.5" style="38" customWidth="1"/>
    <col min="45" max="45" width="1.5" style="15" customWidth="1"/>
    <col min="46" max="46" width="11.5" style="38" customWidth="1"/>
    <col min="47" max="47" width="1.5" style="15" customWidth="1"/>
    <col min="48" max="48" width="11.5" style="39" customWidth="1"/>
    <col min="49" max="49" width="1.5" style="38" customWidth="1"/>
    <col min="50" max="50" width="11.5" style="38" customWidth="1"/>
    <col min="51" max="51" width="1.5" style="38" customWidth="1"/>
    <col min="52" max="16384" width="9" style="38"/>
  </cols>
  <sheetData>
    <row r="1" spans="1:50" s="569" customFormat="1" ht="15" customHeight="1" x14ac:dyDescent="0.3"/>
    <row r="2" spans="1:50" s="569" customFormat="1" ht="15" customHeight="1" x14ac:dyDescent="0.3"/>
    <row r="3" spans="1:50" s="569" customFormat="1" ht="15" customHeight="1" x14ac:dyDescent="0.3"/>
    <row r="4" spans="1:50" s="569" customFormat="1" ht="15" customHeight="1" x14ac:dyDescent="0.3"/>
    <row r="5" spans="1:50" s="565" customFormat="1" ht="4" customHeight="1" x14ac:dyDescent="0.3">
      <c r="C5" s="566"/>
      <c r="I5" s="566"/>
      <c r="O5" s="566"/>
      <c r="U5" s="566"/>
      <c r="AA5" s="566"/>
      <c r="AG5" s="566"/>
      <c r="AM5" s="566"/>
      <c r="AS5" s="566"/>
      <c r="AU5" s="566"/>
      <c r="AV5" s="567"/>
    </row>
    <row r="7" spans="1:50" ht="15" customHeight="1" x14ac:dyDescent="0.3">
      <c r="A7" s="41" t="s">
        <v>39</v>
      </c>
      <c r="B7" s="158" t="s">
        <v>765</v>
      </c>
      <c r="C7" s="16"/>
      <c r="D7" s="199">
        <v>2020</v>
      </c>
      <c r="E7" s="199">
        <v>2020</v>
      </c>
      <c r="F7" s="199">
        <v>2020</v>
      </c>
      <c r="G7" s="199">
        <v>2020</v>
      </c>
      <c r="H7" s="199">
        <v>2020</v>
      </c>
      <c r="I7" s="16"/>
      <c r="J7" s="199">
        <v>2021</v>
      </c>
      <c r="K7" s="199">
        <v>2021</v>
      </c>
      <c r="L7" s="199">
        <v>2021</v>
      </c>
      <c r="M7" s="199">
        <v>2021</v>
      </c>
      <c r="N7" s="199">
        <v>2021</v>
      </c>
      <c r="O7" s="166"/>
      <c r="P7" s="199">
        <v>2022</v>
      </c>
      <c r="Q7" s="199">
        <v>2022</v>
      </c>
      <c r="R7" s="199">
        <v>2022</v>
      </c>
      <c r="S7" s="199">
        <v>2022</v>
      </c>
      <c r="T7" s="199">
        <v>2022</v>
      </c>
      <c r="U7" s="166"/>
      <c r="V7" s="199">
        <v>2023</v>
      </c>
      <c r="W7" s="199">
        <v>2023</v>
      </c>
      <c r="X7" s="199">
        <v>2023</v>
      </c>
      <c r="Y7" s="199">
        <v>2023</v>
      </c>
      <c r="Z7" s="199">
        <v>2023</v>
      </c>
      <c r="AA7" s="167"/>
      <c r="AB7" s="199">
        <v>2024</v>
      </c>
      <c r="AC7" s="199">
        <v>2024</v>
      </c>
      <c r="AD7" s="199">
        <v>2024</v>
      </c>
      <c r="AE7" s="199">
        <v>2024</v>
      </c>
      <c r="AF7" s="199">
        <v>2024</v>
      </c>
      <c r="AG7" s="167"/>
      <c r="AH7" s="199">
        <v>2025</v>
      </c>
      <c r="AI7" s="199">
        <v>2025</v>
      </c>
      <c r="AJ7" s="200">
        <v>2025</v>
      </c>
      <c r="AK7" s="199">
        <v>2025</v>
      </c>
      <c r="AL7" s="199">
        <v>2025</v>
      </c>
      <c r="AM7" s="168"/>
      <c r="AN7" s="199">
        <v>2025</v>
      </c>
      <c r="AO7" s="199">
        <v>2025</v>
      </c>
      <c r="AP7" s="200">
        <v>2025</v>
      </c>
      <c r="AQ7" s="199">
        <v>2025</v>
      </c>
      <c r="AR7" s="199">
        <v>2025</v>
      </c>
      <c r="AS7" s="16"/>
      <c r="AT7" s="159"/>
      <c r="AU7" s="16"/>
      <c r="AV7" s="160"/>
      <c r="AW7" s="16"/>
      <c r="AX7" s="160"/>
    </row>
    <row r="8" spans="1:50" ht="15" customHeight="1" x14ac:dyDescent="0.3">
      <c r="B8" s="161"/>
      <c r="C8" s="16"/>
      <c r="D8" s="1244">
        <v>2020</v>
      </c>
      <c r="E8" s="1244"/>
      <c r="F8" s="1244"/>
      <c r="G8" s="1244"/>
      <c r="H8" s="1244"/>
      <c r="I8" s="166"/>
      <c r="J8" s="1244">
        <v>2021</v>
      </c>
      <c r="K8" s="1244"/>
      <c r="L8" s="1244"/>
      <c r="M8" s="1244"/>
      <c r="N8" s="1244"/>
      <c r="O8" s="166"/>
      <c r="P8" s="1244">
        <v>2022</v>
      </c>
      <c r="Q8" s="1244"/>
      <c r="R8" s="1244"/>
      <c r="S8" s="1244"/>
      <c r="T8" s="1244"/>
      <c r="U8" s="166"/>
      <c r="V8" s="1244">
        <v>2023</v>
      </c>
      <c r="W8" s="1244"/>
      <c r="X8" s="1244"/>
      <c r="Y8" s="1244"/>
      <c r="Z8" s="1244"/>
      <c r="AA8" s="166"/>
      <c r="AB8" s="1244">
        <v>2024</v>
      </c>
      <c r="AC8" s="1244"/>
      <c r="AD8" s="1244"/>
      <c r="AE8" s="1244"/>
      <c r="AF8" s="1244"/>
      <c r="AG8" s="166"/>
      <c r="AH8" s="1243">
        <v>2025</v>
      </c>
      <c r="AI8" s="1243"/>
      <c r="AJ8" s="1243"/>
      <c r="AK8" s="1243"/>
      <c r="AL8" s="1243"/>
      <c r="AM8" s="166"/>
      <c r="AN8" s="1243">
        <v>2026</v>
      </c>
      <c r="AO8" s="1243"/>
      <c r="AP8" s="1243"/>
      <c r="AQ8" s="1243"/>
      <c r="AR8" s="1243"/>
      <c r="AS8" s="168"/>
      <c r="AT8" s="163">
        <v>2027</v>
      </c>
      <c r="AU8" s="164"/>
      <c r="AV8" s="163">
        <v>2028</v>
      </c>
      <c r="AW8" s="164"/>
      <c r="AX8" s="163">
        <v>2029</v>
      </c>
    </row>
    <row r="9" spans="1:50" ht="15" customHeight="1" x14ac:dyDescent="0.3">
      <c r="B9" s="161"/>
      <c r="C9" s="16"/>
      <c r="D9" s="165" t="s">
        <v>217</v>
      </c>
      <c r="E9" s="165" t="s">
        <v>218</v>
      </c>
      <c r="F9" s="165" t="s">
        <v>219</v>
      </c>
      <c r="G9" s="165" t="s">
        <v>220</v>
      </c>
      <c r="H9" s="165" t="s">
        <v>221</v>
      </c>
      <c r="I9" s="16"/>
      <c r="J9" s="165" t="s">
        <v>217</v>
      </c>
      <c r="K9" s="165" t="s">
        <v>218</v>
      </c>
      <c r="L9" s="165" t="s">
        <v>219</v>
      </c>
      <c r="M9" s="165" t="s">
        <v>220</v>
      </c>
      <c r="N9" s="165" t="s">
        <v>221</v>
      </c>
      <c r="O9" s="162"/>
      <c r="P9" s="165" t="s">
        <v>217</v>
      </c>
      <c r="Q9" s="165" t="s">
        <v>218</v>
      </c>
      <c r="R9" s="165" t="s">
        <v>219</v>
      </c>
      <c r="S9" s="165" t="s">
        <v>220</v>
      </c>
      <c r="T9" s="165" t="s">
        <v>221</v>
      </c>
      <c r="U9" s="162"/>
      <c r="V9" s="165" t="s">
        <v>217</v>
      </c>
      <c r="W9" s="165" t="s">
        <v>218</v>
      </c>
      <c r="X9" s="165" t="s">
        <v>219</v>
      </c>
      <c r="Y9" s="165" t="s">
        <v>220</v>
      </c>
      <c r="Z9" s="165" t="s">
        <v>221</v>
      </c>
      <c r="AA9" s="162"/>
      <c r="AB9" s="165" t="s">
        <v>217</v>
      </c>
      <c r="AC9" s="165" t="s">
        <v>218</v>
      </c>
      <c r="AD9" s="165" t="s">
        <v>219</v>
      </c>
      <c r="AE9" s="165" t="s">
        <v>220</v>
      </c>
      <c r="AF9" s="165" t="s">
        <v>221</v>
      </c>
      <c r="AG9" s="162"/>
      <c r="AH9" s="165" t="s">
        <v>217</v>
      </c>
      <c r="AI9" s="165" t="s">
        <v>218</v>
      </c>
      <c r="AJ9" s="165" t="s">
        <v>219</v>
      </c>
      <c r="AK9" s="165" t="s">
        <v>220</v>
      </c>
      <c r="AL9" s="165" t="s">
        <v>221</v>
      </c>
      <c r="AM9" s="162"/>
      <c r="AN9" s="165" t="s">
        <v>217</v>
      </c>
      <c r="AO9" s="165" t="s">
        <v>218</v>
      </c>
      <c r="AP9" s="165" t="s">
        <v>219</v>
      </c>
      <c r="AQ9" s="165" t="s">
        <v>220</v>
      </c>
      <c r="AR9" s="165" t="s">
        <v>221</v>
      </c>
      <c r="AS9" s="162"/>
      <c r="AT9" s="165" t="s">
        <v>221</v>
      </c>
      <c r="AU9" s="162"/>
      <c r="AV9" s="165" t="s">
        <v>221</v>
      </c>
      <c r="AW9" s="162"/>
      <c r="AX9" s="165" t="s">
        <v>221</v>
      </c>
    </row>
    <row r="10" spans="1:50" ht="4" customHeight="1" x14ac:dyDescent="0.3">
      <c r="A10" s="40"/>
      <c r="B10" s="173"/>
      <c r="C10" s="33"/>
      <c r="D10" s="174"/>
      <c r="E10" s="174"/>
      <c r="F10" s="174"/>
      <c r="G10" s="174"/>
      <c r="H10" s="174"/>
      <c r="I10" s="33"/>
      <c r="J10" s="174"/>
      <c r="K10" s="174"/>
      <c r="L10" s="174"/>
      <c r="M10" s="174"/>
      <c r="N10" s="174"/>
      <c r="O10" s="175"/>
      <c r="P10" s="174"/>
      <c r="Q10" s="174"/>
      <c r="R10" s="174"/>
      <c r="S10" s="174"/>
      <c r="T10" s="174"/>
      <c r="U10" s="175"/>
      <c r="V10" s="174"/>
      <c r="W10" s="174"/>
      <c r="X10" s="174"/>
      <c r="Y10" s="174"/>
      <c r="Z10" s="174"/>
      <c r="AA10" s="175"/>
      <c r="AB10" s="174"/>
      <c r="AC10" s="174"/>
      <c r="AD10" s="174"/>
      <c r="AE10" s="174"/>
      <c r="AF10" s="174"/>
      <c r="AG10" s="175"/>
      <c r="AH10" s="174"/>
      <c r="AI10" s="174"/>
      <c r="AJ10" s="174"/>
      <c r="AK10" s="174"/>
      <c r="AL10" s="176"/>
      <c r="AM10" s="177"/>
      <c r="AN10" s="176"/>
      <c r="AO10" s="176"/>
      <c r="AP10" s="176"/>
      <c r="AQ10" s="176"/>
      <c r="AR10" s="176"/>
      <c r="AS10" s="177"/>
      <c r="AT10" s="176"/>
      <c r="AU10" s="177"/>
      <c r="AV10" s="176"/>
      <c r="AW10" s="177"/>
      <c r="AX10" s="176"/>
    </row>
    <row r="11" spans="1:50" ht="4" customHeight="1" x14ac:dyDescent="0.3">
      <c r="A11" s="40"/>
      <c r="B11" s="169"/>
      <c r="C11" s="17"/>
      <c r="D11" s="170"/>
      <c r="E11" s="170"/>
      <c r="F11" s="170"/>
      <c r="G11" s="170"/>
      <c r="H11" s="170"/>
      <c r="I11" s="17"/>
      <c r="J11" s="170"/>
      <c r="K11" s="170"/>
      <c r="L11" s="170"/>
      <c r="M11" s="170"/>
      <c r="N11" s="170"/>
      <c r="O11" s="171"/>
      <c r="P11" s="170"/>
      <c r="Q11" s="170"/>
      <c r="R11" s="170"/>
      <c r="S11" s="170"/>
      <c r="T11" s="170"/>
      <c r="U11" s="171"/>
      <c r="V11" s="170"/>
      <c r="W11" s="170"/>
      <c r="X11" s="170"/>
      <c r="Y11" s="170"/>
      <c r="Z11" s="170"/>
      <c r="AA11" s="171"/>
      <c r="AB11" s="170"/>
      <c r="AC11" s="170"/>
      <c r="AD11" s="170"/>
      <c r="AE11" s="170"/>
      <c r="AF11" s="170"/>
      <c r="AG11" s="201"/>
      <c r="AH11" s="170"/>
      <c r="AI11" s="170"/>
      <c r="AJ11" s="170"/>
      <c r="AK11" s="170"/>
      <c r="AL11" s="172"/>
      <c r="AM11" s="32"/>
      <c r="AN11" s="172"/>
      <c r="AO11" s="172"/>
      <c r="AP11" s="172"/>
      <c r="AQ11" s="172"/>
      <c r="AR11" s="172"/>
      <c r="AS11" s="32"/>
      <c r="AT11" s="172"/>
      <c r="AU11" s="32"/>
      <c r="AV11" s="172"/>
      <c r="AW11" s="32"/>
      <c r="AX11" s="172"/>
    </row>
    <row r="12" spans="1:50" s="51" customFormat="1" ht="15" customHeight="1" x14ac:dyDescent="0.3">
      <c r="B12" s="151" t="s">
        <v>1015</v>
      </c>
      <c r="C12" s="15"/>
      <c r="D12" s="57">
        <v>831</v>
      </c>
      <c r="E12" s="43">
        <v>1130</v>
      </c>
      <c r="F12" s="43">
        <v>2706</v>
      </c>
      <c r="G12" s="43">
        <v>2601</v>
      </c>
      <c r="H12" s="54">
        <v>1799</v>
      </c>
      <c r="I12" s="45"/>
      <c r="J12" s="43">
        <v>1799</v>
      </c>
      <c r="K12" s="43">
        <v>1183</v>
      </c>
      <c r="L12" s="43">
        <v>1115</v>
      </c>
      <c r="M12" s="43">
        <v>1194</v>
      </c>
      <c r="N12" s="54">
        <v>960</v>
      </c>
      <c r="O12" s="44"/>
      <c r="P12" s="43">
        <v>960</v>
      </c>
      <c r="Q12" s="43">
        <v>909</v>
      </c>
      <c r="R12" s="43">
        <v>788</v>
      </c>
      <c r="S12" s="43">
        <v>1267</v>
      </c>
      <c r="T12" s="54">
        <v>973</v>
      </c>
      <c r="U12" s="44"/>
      <c r="V12" s="43">
        <v>973</v>
      </c>
      <c r="W12" s="43">
        <v>1079</v>
      </c>
      <c r="X12" s="43">
        <v>830</v>
      </c>
      <c r="Y12" s="43">
        <v>750</v>
      </c>
      <c r="Z12" s="54">
        <v>1055</v>
      </c>
      <c r="AA12" s="44"/>
      <c r="AB12" s="43">
        <v>1055</v>
      </c>
      <c r="AC12" s="43">
        <v>925</v>
      </c>
      <c r="AD12" s="43">
        <v>1137</v>
      </c>
      <c r="AE12" s="43">
        <v>947</v>
      </c>
      <c r="AF12" s="54">
        <v>1016</v>
      </c>
      <c r="AG12" s="46"/>
      <c r="AH12" s="43">
        <v>1016</v>
      </c>
      <c r="AI12" s="43">
        <v>1411</v>
      </c>
      <c r="AJ12" s="43">
        <v>1060</v>
      </c>
      <c r="AK12" s="43"/>
      <c r="AL12" s="55"/>
      <c r="AM12" s="50"/>
      <c r="AN12" s="47"/>
      <c r="AO12" s="47"/>
      <c r="AP12" s="47"/>
      <c r="AQ12" s="47"/>
      <c r="AR12" s="55"/>
      <c r="AS12" s="50"/>
      <c r="AT12" s="55"/>
      <c r="AU12" s="50"/>
      <c r="AV12" s="55"/>
      <c r="AX12" s="55"/>
    </row>
    <row r="13" spans="1:50" s="51" customFormat="1" ht="15" customHeight="1" x14ac:dyDescent="0.3">
      <c r="A13" s="40"/>
      <c r="B13" s="151"/>
      <c r="C13" s="15"/>
      <c r="D13" s="43"/>
      <c r="E13" s="43"/>
      <c r="F13" s="43"/>
      <c r="G13" s="43"/>
      <c r="H13" s="54"/>
      <c r="I13" s="45"/>
      <c r="J13" s="43"/>
      <c r="K13" s="43"/>
      <c r="L13" s="43"/>
      <c r="M13" s="43"/>
      <c r="N13" s="54"/>
      <c r="O13" s="44"/>
      <c r="P13" s="43"/>
      <c r="Q13" s="43"/>
      <c r="R13" s="43"/>
      <c r="S13" s="43"/>
      <c r="T13" s="54"/>
      <c r="U13" s="44"/>
      <c r="V13" s="43"/>
      <c r="W13" s="43"/>
      <c r="X13" s="43"/>
      <c r="Y13" s="43"/>
      <c r="Z13" s="54"/>
      <c r="AA13" s="44"/>
      <c r="AB13" s="43"/>
      <c r="AC13" s="43"/>
      <c r="AD13" s="43"/>
      <c r="AE13" s="43"/>
      <c r="AF13" s="54"/>
      <c r="AG13" s="46"/>
      <c r="AH13" s="43"/>
      <c r="AI13" s="43"/>
      <c r="AJ13" s="43"/>
      <c r="AK13" s="47"/>
      <c r="AL13" s="55"/>
      <c r="AM13" s="50"/>
      <c r="AN13" s="47"/>
      <c r="AO13" s="47"/>
      <c r="AP13" s="47"/>
      <c r="AQ13" s="47"/>
      <c r="AR13" s="55"/>
      <c r="AS13" s="50"/>
      <c r="AT13" s="55"/>
      <c r="AU13" s="50"/>
      <c r="AV13" s="55"/>
      <c r="AX13" s="55"/>
    </row>
    <row r="14" spans="1:50" s="51" customFormat="1" ht="15" customHeight="1" x14ac:dyDescent="0.3">
      <c r="A14" s="41" t="s">
        <v>39</v>
      </c>
      <c r="B14" s="151" t="s">
        <v>1016</v>
      </c>
      <c r="C14" s="15"/>
      <c r="D14" s="43"/>
      <c r="E14" s="43"/>
      <c r="F14" s="43"/>
      <c r="G14" s="43"/>
      <c r="H14" s="63"/>
      <c r="I14" s="45"/>
      <c r="J14" s="43"/>
      <c r="K14" s="43"/>
      <c r="L14" s="43"/>
      <c r="M14" s="43"/>
      <c r="N14" s="63"/>
      <c r="O14" s="44"/>
      <c r="P14" s="43"/>
      <c r="Q14" s="43"/>
      <c r="R14" s="43"/>
      <c r="S14" s="43"/>
      <c r="T14" s="63"/>
      <c r="U14" s="44"/>
      <c r="V14" s="43"/>
      <c r="W14" s="43"/>
      <c r="X14" s="43"/>
      <c r="Y14" s="43"/>
      <c r="Z14" s="63"/>
      <c r="AA14" s="44"/>
      <c r="AB14" s="43"/>
      <c r="AC14" s="43"/>
      <c r="AD14" s="43"/>
      <c r="AE14" s="43"/>
      <c r="AF14" s="63"/>
      <c r="AG14" s="46"/>
      <c r="AH14" s="43"/>
      <c r="AI14" s="43"/>
      <c r="AJ14" s="43"/>
      <c r="AK14" s="47"/>
      <c r="AL14" s="65"/>
      <c r="AM14" s="50"/>
      <c r="AN14" s="47"/>
      <c r="AO14" s="47"/>
      <c r="AP14" s="47"/>
      <c r="AQ14" s="47"/>
      <c r="AR14" s="65"/>
      <c r="AS14" s="50"/>
      <c r="AT14" s="65"/>
      <c r="AU14" s="50"/>
      <c r="AV14" s="65"/>
      <c r="AX14" s="65"/>
    </row>
    <row r="15" spans="1:50" s="51" customFormat="1" ht="15" customHeight="1" x14ac:dyDescent="0.3">
      <c r="A15" s="40"/>
      <c r="B15" s="152" t="s">
        <v>882</v>
      </c>
      <c r="C15" s="15"/>
      <c r="D15" s="57">
        <v>1474</v>
      </c>
      <c r="E15" s="57">
        <v>1132</v>
      </c>
      <c r="F15" s="57">
        <v>1363</v>
      </c>
      <c r="G15" s="57">
        <v>1380</v>
      </c>
      <c r="H15" s="54">
        <v>5349</v>
      </c>
      <c r="I15" s="45"/>
      <c r="J15" s="57">
        <v>1341</v>
      </c>
      <c r="K15" s="57">
        <v>1798</v>
      </c>
      <c r="L15" s="57">
        <v>1673</v>
      </c>
      <c r="M15" s="57">
        <v>1711</v>
      </c>
      <c r="N15" s="54">
        <v>6523</v>
      </c>
      <c r="O15" s="44"/>
      <c r="P15" s="57">
        <v>1630</v>
      </c>
      <c r="Q15" s="57">
        <v>1835</v>
      </c>
      <c r="R15" s="57">
        <v>1895</v>
      </c>
      <c r="S15" s="57">
        <v>1638</v>
      </c>
      <c r="T15" s="54">
        <v>6998</v>
      </c>
      <c r="U15" s="44"/>
      <c r="V15" s="57">
        <v>1630</v>
      </c>
      <c r="W15" s="57">
        <v>1569</v>
      </c>
      <c r="X15" s="57">
        <v>1528</v>
      </c>
      <c r="Y15" s="57">
        <v>1652</v>
      </c>
      <c r="Z15" s="54">
        <v>6379</v>
      </c>
      <c r="AA15" s="44"/>
      <c r="AB15" s="57">
        <v>1641</v>
      </c>
      <c r="AC15" s="57">
        <v>1673</v>
      </c>
      <c r="AD15" s="57">
        <v>1671</v>
      </c>
      <c r="AE15" s="57">
        <v>1762</v>
      </c>
      <c r="AF15" s="54">
        <v>6747</v>
      </c>
      <c r="AG15" s="46"/>
      <c r="AH15" s="57">
        <v>1626</v>
      </c>
      <c r="AI15" s="57">
        <v>1876</v>
      </c>
      <c r="AJ15" s="57">
        <v>0</v>
      </c>
      <c r="AK15" s="47"/>
      <c r="AL15" s="55"/>
      <c r="AM15" s="50"/>
      <c r="AN15" s="47"/>
      <c r="AO15" s="47"/>
      <c r="AP15" s="47"/>
      <c r="AQ15" s="47"/>
      <c r="AR15" s="55"/>
      <c r="AS15" s="50"/>
      <c r="AT15" s="55"/>
      <c r="AU15" s="50"/>
      <c r="AV15" s="55"/>
      <c r="AX15" s="55"/>
    </row>
    <row r="16" spans="1:50" s="51" customFormat="1" ht="15" customHeight="1" x14ac:dyDescent="0.3">
      <c r="A16" s="40"/>
      <c r="B16" s="152" t="s">
        <v>1017</v>
      </c>
      <c r="C16" s="15"/>
      <c r="D16" s="43"/>
      <c r="E16" s="43"/>
      <c r="F16" s="43"/>
      <c r="G16" s="43"/>
      <c r="H16" s="54"/>
      <c r="I16" s="45"/>
      <c r="J16" s="43"/>
      <c r="K16" s="43"/>
      <c r="L16" s="43"/>
      <c r="M16" s="43"/>
      <c r="N16" s="54"/>
      <c r="O16" s="54"/>
      <c r="P16" s="43"/>
      <c r="Q16" s="43"/>
      <c r="R16" s="43"/>
      <c r="S16" s="43"/>
      <c r="T16" s="54"/>
      <c r="U16" s="54"/>
      <c r="V16" s="43"/>
      <c r="W16" s="43"/>
      <c r="X16" s="43"/>
      <c r="Y16" s="43"/>
      <c r="Z16" s="54"/>
      <c r="AA16" s="54"/>
      <c r="AB16" s="43"/>
      <c r="AC16" s="43"/>
      <c r="AD16" s="43"/>
      <c r="AE16" s="43"/>
      <c r="AF16" s="54"/>
      <c r="AG16" s="46"/>
      <c r="AH16" s="43"/>
      <c r="AI16" s="43"/>
      <c r="AJ16" s="43"/>
      <c r="AK16" s="47"/>
      <c r="AL16" s="55"/>
      <c r="AM16" s="50"/>
      <c r="AN16" s="47"/>
      <c r="AO16" s="47"/>
      <c r="AP16" s="47"/>
      <c r="AQ16" s="47"/>
      <c r="AR16" s="55"/>
      <c r="AS16" s="50"/>
      <c r="AT16" s="55"/>
      <c r="AU16" s="50"/>
      <c r="AV16" s="55"/>
      <c r="AX16" s="55"/>
    </row>
    <row r="17" spans="1:50" s="51" customFormat="1" ht="15" customHeight="1" x14ac:dyDescent="0.3">
      <c r="A17" s="40"/>
      <c r="B17" s="153" t="s">
        <v>951</v>
      </c>
      <c r="C17" s="15"/>
      <c r="D17" s="57">
        <v>547</v>
      </c>
      <c r="E17" s="57">
        <v>551</v>
      </c>
      <c r="F17" s="57">
        <v>555</v>
      </c>
      <c r="G17" s="57">
        <v>557</v>
      </c>
      <c r="H17" s="54">
        <v>2210</v>
      </c>
      <c r="I17" s="45"/>
      <c r="J17" s="57">
        <v>549</v>
      </c>
      <c r="K17" s="57">
        <v>550</v>
      </c>
      <c r="L17" s="57">
        <v>553</v>
      </c>
      <c r="M17" s="57">
        <v>556</v>
      </c>
      <c r="N17" s="54">
        <v>2208</v>
      </c>
      <c r="O17" s="44"/>
      <c r="P17" s="57">
        <v>555</v>
      </c>
      <c r="Q17" s="57">
        <v>559</v>
      </c>
      <c r="R17" s="57">
        <v>563</v>
      </c>
      <c r="S17" s="57">
        <v>569</v>
      </c>
      <c r="T17" s="54">
        <v>2246</v>
      </c>
      <c r="U17" s="44"/>
      <c r="V17" s="57">
        <v>572</v>
      </c>
      <c r="W17" s="57">
        <v>577</v>
      </c>
      <c r="X17" s="57">
        <v>580</v>
      </c>
      <c r="Y17" s="57">
        <v>589</v>
      </c>
      <c r="Z17" s="54">
        <v>2318</v>
      </c>
      <c r="AA17" s="44"/>
      <c r="AB17" s="57">
        <v>594</v>
      </c>
      <c r="AC17" s="57">
        <v>596</v>
      </c>
      <c r="AD17" s="57">
        <v>602</v>
      </c>
      <c r="AE17" s="57">
        <v>606</v>
      </c>
      <c r="AF17" s="54">
        <v>2398</v>
      </c>
      <c r="AG17" s="46"/>
      <c r="AH17" s="57">
        <v>610</v>
      </c>
      <c r="AI17" s="57">
        <v>613</v>
      </c>
      <c r="AJ17" s="57">
        <v>0</v>
      </c>
      <c r="AK17" s="47"/>
      <c r="AL17" s="54"/>
      <c r="AM17" s="50"/>
      <c r="AN17" s="47"/>
      <c r="AO17" s="47"/>
      <c r="AP17" s="47"/>
      <c r="AQ17" s="47"/>
      <c r="AR17" s="54"/>
      <c r="AS17" s="50"/>
      <c r="AT17" s="55"/>
      <c r="AU17" s="50"/>
      <c r="AV17" s="55"/>
      <c r="AX17" s="55"/>
    </row>
    <row r="18" spans="1:50" s="51" customFormat="1" ht="15" customHeight="1" x14ac:dyDescent="0.3">
      <c r="A18" s="40"/>
      <c r="B18" s="153" t="s">
        <v>1018</v>
      </c>
      <c r="C18" s="15"/>
      <c r="D18" s="57">
        <v>0</v>
      </c>
      <c r="E18" s="57">
        <v>0</v>
      </c>
      <c r="F18" s="57">
        <v>0</v>
      </c>
      <c r="G18" s="57">
        <v>0</v>
      </c>
      <c r="H18" s="54">
        <v>0</v>
      </c>
      <c r="I18" s="45"/>
      <c r="J18" s="57">
        <v>0</v>
      </c>
      <c r="K18" s="57">
        <v>0</v>
      </c>
      <c r="L18" s="57">
        <v>0</v>
      </c>
      <c r="M18" s="57">
        <v>0</v>
      </c>
      <c r="N18" s="54">
        <v>0</v>
      </c>
      <c r="O18" s="44"/>
      <c r="P18" s="57">
        <v>0</v>
      </c>
      <c r="Q18" s="57">
        <v>0</v>
      </c>
      <c r="R18" s="57">
        <v>0</v>
      </c>
      <c r="S18" s="57">
        <v>0</v>
      </c>
      <c r="T18" s="54">
        <v>0</v>
      </c>
      <c r="U18" s="44"/>
      <c r="V18" s="57">
        <v>0</v>
      </c>
      <c r="W18" s="57">
        <v>0</v>
      </c>
      <c r="X18" s="57">
        <v>0</v>
      </c>
      <c r="Y18" s="57">
        <v>0</v>
      </c>
      <c r="Z18" s="54">
        <v>0</v>
      </c>
      <c r="AA18" s="44"/>
      <c r="AB18" s="57">
        <v>0</v>
      </c>
      <c r="AC18" s="57">
        <v>0</v>
      </c>
      <c r="AD18" s="57">
        <v>0</v>
      </c>
      <c r="AE18" s="57">
        <v>0</v>
      </c>
      <c r="AF18" s="54">
        <v>0</v>
      </c>
      <c r="AG18" s="46"/>
      <c r="AH18" s="57">
        <v>0</v>
      </c>
      <c r="AI18" s="57">
        <v>0</v>
      </c>
      <c r="AJ18" s="57">
        <v>0</v>
      </c>
      <c r="AK18" s="47"/>
      <c r="AL18" s="54"/>
      <c r="AM18" s="50"/>
      <c r="AN18" s="47"/>
      <c r="AO18" s="47"/>
      <c r="AP18" s="47"/>
      <c r="AQ18" s="47"/>
      <c r="AR18" s="54"/>
      <c r="AS18" s="50"/>
      <c r="AT18" s="55"/>
      <c r="AU18" s="50"/>
      <c r="AV18" s="55"/>
      <c r="AX18" s="55"/>
    </row>
    <row r="19" spans="1:50" s="51" customFormat="1" ht="15" customHeight="1" x14ac:dyDescent="0.3">
      <c r="A19" s="110"/>
      <c r="B19" s="153" t="s">
        <v>87</v>
      </c>
      <c r="C19" s="112"/>
      <c r="D19" s="57">
        <v>27</v>
      </c>
      <c r="E19" s="57">
        <v>135</v>
      </c>
      <c r="F19" s="57">
        <v>284</v>
      </c>
      <c r="G19" s="57">
        <v>269</v>
      </c>
      <c r="H19" s="54">
        <v>715</v>
      </c>
      <c r="I19" s="45"/>
      <c r="J19" s="57">
        <v>-77</v>
      </c>
      <c r="K19" s="57">
        <v>77</v>
      </c>
      <c r="L19" s="57">
        <v>122</v>
      </c>
      <c r="M19" s="57">
        <v>-24</v>
      </c>
      <c r="N19" s="54">
        <v>98</v>
      </c>
      <c r="O19" s="45"/>
      <c r="P19" s="57">
        <v>17</v>
      </c>
      <c r="Q19" s="57">
        <v>24</v>
      </c>
      <c r="R19" s="57">
        <v>46</v>
      </c>
      <c r="S19" s="57">
        <v>23</v>
      </c>
      <c r="T19" s="54">
        <v>110</v>
      </c>
      <c r="U19" s="45"/>
      <c r="V19" s="57">
        <v>-65</v>
      </c>
      <c r="W19" s="57">
        <v>-25</v>
      </c>
      <c r="X19" s="57">
        <v>28</v>
      </c>
      <c r="Y19" s="57">
        <v>47</v>
      </c>
      <c r="Z19" s="54">
        <v>-15</v>
      </c>
      <c r="AA19" s="48"/>
      <c r="AB19" s="57">
        <v>-57</v>
      </c>
      <c r="AC19" s="57">
        <v>32</v>
      </c>
      <c r="AD19" s="57">
        <v>50</v>
      </c>
      <c r="AE19" s="57">
        <v>-10</v>
      </c>
      <c r="AF19" s="54">
        <v>15</v>
      </c>
      <c r="AG19" s="46"/>
      <c r="AH19" s="57">
        <v>-29</v>
      </c>
      <c r="AI19" s="57">
        <v>-137</v>
      </c>
      <c r="AJ19" s="57">
        <v>0</v>
      </c>
      <c r="AK19" s="47"/>
      <c r="AL19" s="55"/>
      <c r="AM19" s="66"/>
      <c r="AN19" s="47"/>
      <c r="AO19" s="47"/>
      <c r="AP19" s="47"/>
      <c r="AQ19" s="47"/>
      <c r="AR19" s="55"/>
      <c r="AS19" s="66"/>
      <c r="AT19" s="55"/>
      <c r="AU19" s="66"/>
      <c r="AV19" s="55"/>
      <c r="AX19" s="55"/>
    </row>
    <row r="20" spans="1:50" s="51" customFormat="1" ht="15" customHeight="1" x14ac:dyDescent="0.3">
      <c r="A20" s="40"/>
      <c r="B20" s="152" t="s">
        <v>1019</v>
      </c>
      <c r="C20" s="15"/>
      <c r="D20" s="43"/>
      <c r="E20" s="43"/>
      <c r="F20" s="43"/>
      <c r="G20" s="43"/>
      <c r="H20" s="63"/>
      <c r="I20" s="45"/>
      <c r="J20" s="43"/>
      <c r="K20" s="43"/>
      <c r="L20" s="43"/>
      <c r="M20" s="43"/>
      <c r="N20" s="63"/>
      <c r="O20" s="45"/>
      <c r="P20" s="43"/>
      <c r="Q20" s="43"/>
      <c r="R20" s="43"/>
      <c r="S20" s="43"/>
      <c r="T20" s="63"/>
      <c r="U20" s="45"/>
      <c r="V20" s="43"/>
      <c r="W20" s="43"/>
      <c r="X20" s="43"/>
      <c r="Y20" s="43"/>
      <c r="Z20" s="63"/>
      <c r="AA20" s="48"/>
      <c r="AB20" s="43"/>
      <c r="AC20" s="43"/>
      <c r="AD20" s="43"/>
      <c r="AE20" s="43"/>
      <c r="AF20" s="63"/>
      <c r="AG20" s="46"/>
      <c r="AH20" s="43"/>
      <c r="AI20" s="43"/>
      <c r="AJ20" s="43"/>
      <c r="AK20" s="47"/>
      <c r="AL20" s="65"/>
      <c r="AM20" s="69"/>
      <c r="AN20" s="47"/>
      <c r="AO20" s="47"/>
      <c r="AP20" s="47"/>
      <c r="AQ20" s="47"/>
      <c r="AR20" s="65"/>
      <c r="AS20" s="69"/>
      <c r="AT20" s="65"/>
      <c r="AU20" s="69"/>
      <c r="AV20" s="65"/>
      <c r="AX20" s="65"/>
    </row>
    <row r="21" spans="1:50" s="51" customFormat="1" ht="15" customHeight="1" x14ac:dyDescent="0.3">
      <c r="A21" s="110"/>
      <c r="B21" s="153" t="s">
        <v>985</v>
      </c>
      <c r="C21" s="112"/>
      <c r="D21" s="57">
        <v>-74</v>
      </c>
      <c r="E21" s="57">
        <v>281</v>
      </c>
      <c r="F21" s="57">
        <v>-177</v>
      </c>
      <c r="G21" s="57">
        <v>60</v>
      </c>
      <c r="H21" s="63">
        <v>90</v>
      </c>
      <c r="I21" s="45"/>
      <c r="J21" s="57">
        <v>-105</v>
      </c>
      <c r="K21" s="57">
        <v>-56</v>
      </c>
      <c r="L21" s="57">
        <v>-13</v>
      </c>
      <c r="M21" s="57">
        <v>-43</v>
      </c>
      <c r="N21" s="63">
        <v>-217</v>
      </c>
      <c r="O21" s="45"/>
      <c r="P21" s="57">
        <v>-236</v>
      </c>
      <c r="Q21" s="57">
        <v>-94</v>
      </c>
      <c r="R21" s="57">
        <v>0</v>
      </c>
      <c r="S21" s="57">
        <v>161</v>
      </c>
      <c r="T21" s="63">
        <v>-169</v>
      </c>
      <c r="U21" s="45"/>
      <c r="V21" s="57">
        <v>-59</v>
      </c>
      <c r="W21" s="57">
        <v>129</v>
      </c>
      <c r="X21" s="57">
        <v>-108</v>
      </c>
      <c r="Y21" s="57">
        <v>-139</v>
      </c>
      <c r="Z21" s="63">
        <v>-177</v>
      </c>
      <c r="AA21" s="48"/>
      <c r="AB21" s="57">
        <v>-89</v>
      </c>
      <c r="AC21" s="57">
        <v>44</v>
      </c>
      <c r="AD21" s="57">
        <v>82</v>
      </c>
      <c r="AE21" s="57">
        <v>142</v>
      </c>
      <c r="AF21" s="63">
        <v>179</v>
      </c>
      <c r="AG21" s="46"/>
      <c r="AH21" s="57">
        <v>-71</v>
      </c>
      <c r="AI21" s="57">
        <v>50</v>
      </c>
      <c r="AJ21" s="57">
        <v>0</v>
      </c>
      <c r="AK21" s="47"/>
      <c r="AL21" s="63"/>
      <c r="AM21" s="69"/>
      <c r="AN21" s="47"/>
      <c r="AO21" s="47"/>
      <c r="AP21" s="47"/>
      <c r="AQ21" s="47"/>
      <c r="AR21" s="63"/>
      <c r="AS21" s="69"/>
      <c r="AT21" s="65"/>
      <c r="AU21" s="69"/>
      <c r="AV21" s="65"/>
      <c r="AX21" s="65"/>
    </row>
    <row r="22" spans="1:50" s="51" customFormat="1" ht="15" customHeight="1" x14ac:dyDescent="0.3">
      <c r="A22" s="40"/>
      <c r="B22" s="153" t="s">
        <v>1020</v>
      </c>
      <c r="C22" s="15"/>
      <c r="D22" s="57">
        <v>59</v>
      </c>
      <c r="E22" s="57">
        <v>24</v>
      </c>
      <c r="F22" s="57">
        <v>19</v>
      </c>
      <c r="G22" s="57">
        <v>11</v>
      </c>
      <c r="H22" s="63">
        <v>113</v>
      </c>
      <c r="I22" s="45"/>
      <c r="J22" s="57">
        <v>-21</v>
      </c>
      <c r="K22" s="57">
        <v>-29</v>
      </c>
      <c r="L22" s="57">
        <v>24</v>
      </c>
      <c r="M22" s="57">
        <v>43</v>
      </c>
      <c r="N22" s="63">
        <v>17</v>
      </c>
      <c r="O22" s="45"/>
      <c r="P22" s="57">
        <v>-105</v>
      </c>
      <c r="Q22" s="57">
        <v>-64</v>
      </c>
      <c r="R22" s="57">
        <v>-4</v>
      </c>
      <c r="S22" s="57">
        <v>53</v>
      </c>
      <c r="T22" s="63">
        <v>-120</v>
      </c>
      <c r="U22" s="45"/>
      <c r="V22" s="57">
        <v>13</v>
      </c>
      <c r="W22" s="57">
        <v>-14</v>
      </c>
      <c r="X22" s="57">
        <v>-28</v>
      </c>
      <c r="Y22" s="57">
        <v>27</v>
      </c>
      <c r="Z22" s="63">
        <v>-2</v>
      </c>
      <c r="AA22" s="48"/>
      <c r="AB22" s="57">
        <v>-27</v>
      </c>
      <c r="AC22" s="57">
        <v>-37</v>
      </c>
      <c r="AD22" s="57">
        <v>32</v>
      </c>
      <c r="AE22" s="57">
        <v>6</v>
      </c>
      <c r="AF22" s="63">
        <v>-26</v>
      </c>
      <c r="AG22" s="46"/>
      <c r="AH22" s="57">
        <v>22</v>
      </c>
      <c r="AI22" s="57">
        <v>-27</v>
      </c>
      <c r="AJ22" s="57">
        <v>0</v>
      </c>
      <c r="AK22" s="47"/>
      <c r="AL22" s="63"/>
      <c r="AM22" s="69"/>
      <c r="AN22" s="47"/>
      <c r="AO22" s="47"/>
      <c r="AP22" s="47"/>
      <c r="AQ22" s="47"/>
      <c r="AR22" s="63"/>
      <c r="AS22" s="69"/>
      <c r="AT22" s="65"/>
      <c r="AU22" s="69"/>
      <c r="AV22" s="65"/>
      <c r="AX22" s="65"/>
    </row>
    <row r="23" spans="1:50" s="51" customFormat="1" ht="15" customHeight="1" x14ac:dyDescent="0.3">
      <c r="A23" s="110"/>
      <c r="B23" s="153" t="s">
        <v>997</v>
      </c>
      <c r="C23" s="112"/>
      <c r="D23" s="57">
        <v>0</v>
      </c>
      <c r="E23" s="57">
        <v>0</v>
      </c>
      <c r="F23" s="57">
        <v>0</v>
      </c>
      <c r="G23" s="57">
        <v>0</v>
      </c>
      <c r="H23" s="63">
        <v>0</v>
      </c>
      <c r="I23" s="45"/>
      <c r="J23" s="57">
        <v>0</v>
      </c>
      <c r="K23" s="57">
        <v>0</v>
      </c>
      <c r="L23" s="57">
        <v>0</v>
      </c>
      <c r="M23" s="57">
        <v>0</v>
      </c>
      <c r="N23" s="63">
        <v>0</v>
      </c>
      <c r="O23" s="45"/>
      <c r="P23" s="57">
        <v>0</v>
      </c>
      <c r="Q23" s="57">
        <v>0</v>
      </c>
      <c r="R23" s="57">
        <v>0</v>
      </c>
      <c r="S23" s="57">
        <v>0</v>
      </c>
      <c r="T23" s="63">
        <v>0</v>
      </c>
      <c r="U23" s="45"/>
      <c r="V23" s="57">
        <v>0</v>
      </c>
      <c r="W23" s="57">
        <v>0</v>
      </c>
      <c r="X23" s="57">
        <v>0</v>
      </c>
      <c r="Y23" s="57">
        <v>0</v>
      </c>
      <c r="Z23" s="63">
        <v>0</v>
      </c>
      <c r="AA23" s="48"/>
      <c r="AB23" s="57">
        <v>0</v>
      </c>
      <c r="AC23" s="57">
        <v>0</v>
      </c>
      <c r="AD23" s="57">
        <v>0</v>
      </c>
      <c r="AE23" s="57">
        <v>0</v>
      </c>
      <c r="AF23" s="63">
        <v>0</v>
      </c>
      <c r="AG23" s="46"/>
      <c r="AH23" s="57">
        <v>0</v>
      </c>
      <c r="AI23" s="57">
        <v>0</v>
      </c>
      <c r="AJ23" s="57">
        <v>0</v>
      </c>
      <c r="AK23" s="47"/>
      <c r="AL23" s="63"/>
      <c r="AM23" s="69"/>
      <c r="AN23" s="47"/>
      <c r="AO23" s="47"/>
      <c r="AP23" s="47"/>
      <c r="AQ23" s="47"/>
      <c r="AR23" s="63"/>
      <c r="AS23" s="69"/>
      <c r="AT23" s="65"/>
      <c r="AU23" s="69"/>
      <c r="AV23" s="65"/>
      <c r="AX23" s="65"/>
    </row>
    <row r="24" spans="1:50" s="51" customFormat="1" ht="15" customHeight="1" x14ac:dyDescent="0.3">
      <c r="A24" s="110"/>
      <c r="B24" s="153" t="s">
        <v>87</v>
      </c>
      <c r="C24" s="112"/>
      <c r="D24" s="57">
        <v>122</v>
      </c>
      <c r="E24" s="57">
        <v>114</v>
      </c>
      <c r="F24" s="57">
        <v>-443</v>
      </c>
      <c r="G24" s="57">
        <v>270</v>
      </c>
      <c r="H24" s="71">
        <v>63</v>
      </c>
      <c r="I24" s="45"/>
      <c r="J24" s="57">
        <v>271</v>
      </c>
      <c r="K24" s="57">
        <v>-79</v>
      </c>
      <c r="L24" s="57">
        <v>-75</v>
      </c>
      <c r="M24" s="57">
        <v>286</v>
      </c>
      <c r="N24" s="71">
        <v>403</v>
      </c>
      <c r="O24" s="45"/>
      <c r="P24" s="57">
        <v>375</v>
      </c>
      <c r="Q24" s="57">
        <v>-329</v>
      </c>
      <c r="R24" s="57">
        <v>403</v>
      </c>
      <c r="S24" s="57">
        <v>-152</v>
      </c>
      <c r="T24" s="71">
        <v>297</v>
      </c>
      <c r="U24" s="45"/>
      <c r="V24" s="57">
        <v>-251</v>
      </c>
      <c r="W24" s="57">
        <v>-218</v>
      </c>
      <c r="X24" s="57">
        <v>126</v>
      </c>
      <c r="Y24" s="57">
        <v>219</v>
      </c>
      <c r="Z24" s="71">
        <v>-124</v>
      </c>
      <c r="AA24" s="78"/>
      <c r="AB24" s="57">
        <v>60</v>
      </c>
      <c r="AC24" s="57">
        <v>-397</v>
      </c>
      <c r="AD24" s="57">
        <v>214</v>
      </c>
      <c r="AE24" s="57">
        <v>156</v>
      </c>
      <c r="AF24" s="71">
        <v>33</v>
      </c>
      <c r="AG24" s="79"/>
      <c r="AH24" s="57">
        <v>52</v>
      </c>
      <c r="AI24" s="57">
        <v>-42</v>
      </c>
      <c r="AJ24" s="57">
        <v>0</v>
      </c>
      <c r="AK24" s="47"/>
      <c r="AL24" s="71"/>
      <c r="AM24" s="80"/>
      <c r="AN24" s="47"/>
      <c r="AO24" s="47"/>
      <c r="AP24" s="47"/>
      <c r="AQ24" s="47"/>
      <c r="AR24" s="71"/>
      <c r="AS24" s="80"/>
      <c r="AT24" s="72"/>
      <c r="AU24" s="80"/>
      <c r="AV24" s="72"/>
      <c r="AX24" s="72"/>
    </row>
    <row r="25" spans="1:50" s="51" customFormat="1" ht="15" customHeight="1" thickBot="1" x14ac:dyDescent="0.35">
      <c r="A25" s="81"/>
      <c r="B25" s="154" t="s">
        <v>1021</v>
      </c>
      <c r="C25" s="24"/>
      <c r="D25" s="57">
        <v>2155</v>
      </c>
      <c r="E25" s="57">
        <v>2237</v>
      </c>
      <c r="F25" s="57">
        <v>1601</v>
      </c>
      <c r="G25" s="57">
        <v>2547</v>
      </c>
      <c r="H25" s="90">
        <v>8540</v>
      </c>
      <c r="I25" s="45"/>
      <c r="J25" s="57">
        <v>1958</v>
      </c>
      <c r="K25" s="57">
        <v>2261</v>
      </c>
      <c r="L25" s="57">
        <v>2284</v>
      </c>
      <c r="M25" s="57">
        <v>2529</v>
      </c>
      <c r="N25" s="90">
        <v>9032</v>
      </c>
      <c r="O25" s="45"/>
      <c r="P25" s="57">
        <v>2236</v>
      </c>
      <c r="Q25" s="57">
        <v>1931</v>
      </c>
      <c r="R25" s="57">
        <v>2903</v>
      </c>
      <c r="S25" s="57">
        <v>2292</v>
      </c>
      <c r="T25" s="90">
        <v>9362</v>
      </c>
      <c r="U25" s="45"/>
      <c r="V25" s="57">
        <v>1840</v>
      </c>
      <c r="W25" s="57">
        <v>2018</v>
      </c>
      <c r="X25" s="57">
        <v>2126</v>
      </c>
      <c r="Y25" s="57">
        <v>2395</v>
      </c>
      <c r="Z25" s="90">
        <v>8379</v>
      </c>
      <c r="AA25" s="78"/>
      <c r="AB25" s="57">
        <v>2122</v>
      </c>
      <c r="AC25" s="57">
        <v>1911</v>
      </c>
      <c r="AD25" s="57">
        <v>2651</v>
      </c>
      <c r="AE25" s="57">
        <v>2662</v>
      </c>
      <c r="AF25" s="90">
        <v>9346</v>
      </c>
      <c r="AG25" s="79"/>
      <c r="AH25" s="57">
        <v>2210</v>
      </c>
      <c r="AI25" s="57">
        <v>2333</v>
      </c>
      <c r="AJ25" s="57">
        <v>0</v>
      </c>
      <c r="AK25" s="47"/>
      <c r="AL25" s="91"/>
      <c r="AM25" s="80"/>
      <c r="AN25" s="47"/>
      <c r="AO25" s="47"/>
      <c r="AP25" s="47"/>
      <c r="AQ25" s="47"/>
      <c r="AR25" s="91"/>
      <c r="AS25" s="80"/>
      <c r="AT25" s="91"/>
      <c r="AU25" s="80"/>
      <c r="AV25" s="91"/>
      <c r="AX25" s="91"/>
    </row>
    <row r="26" spans="1:50" s="51" customFormat="1" ht="15" customHeight="1" thickTop="1" x14ac:dyDescent="0.3">
      <c r="A26" s="40"/>
      <c r="B26" s="151"/>
      <c r="C26" s="15"/>
      <c r="D26" s="43"/>
      <c r="E26" s="43"/>
      <c r="F26" s="43"/>
      <c r="G26" s="43"/>
      <c r="H26" s="63"/>
      <c r="I26" s="45"/>
      <c r="J26" s="43"/>
      <c r="K26" s="43"/>
      <c r="L26" s="43"/>
      <c r="M26" s="43"/>
      <c r="N26" s="63"/>
      <c r="O26" s="45"/>
      <c r="P26" s="43"/>
      <c r="Q26" s="43"/>
      <c r="R26" s="43"/>
      <c r="S26" s="43"/>
      <c r="T26" s="63"/>
      <c r="U26" s="45"/>
      <c r="V26" s="43"/>
      <c r="W26" s="43"/>
      <c r="X26" s="43"/>
      <c r="Y26" s="43"/>
      <c r="Z26" s="63"/>
      <c r="AA26" s="48"/>
      <c r="AB26" s="43"/>
      <c r="AC26" s="43"/>
      <c r="AD26" s="43"/>
      <c r="AE26" s="43"/>
      <c r="AF26" s="63"/>
      <c r="AG26" s="46"/>
      <c r="AH26" s="43"/>
      <c r="AI26" s="43"/>
      <c r="AJ26" s="43"/>
      <c r="AK26" s="47"/>
      <c r="AL26" s="65"/>
      <c r="AM26" s="69"/>
      <c r="AN26" s="47"/>
      <c r="AO26" s="47"/>
      <c r="AP26" s="47"/>
      <c r="AQ26" s="47"/>
      <c r="AR26" s="65"/>
      <c r="AS26" s="69"/>
      <c r="AT26" s="65"/>
      <c r="AU26" s="69"/>
      <c r="AV26" s="65"/>
      <c r="AX26" s="65"/>
    </row>
    <row r="27" spans="1:50" s="51" customFormat="1" ht="15" customHeight="1" x14ac:dyDescent="0.3">
      <c r="A27" s="41" t="s">
        <v>39</v>
      </c>
      <c r="B27" s="155" t="s">
        <v>1022</v>
      </c>
      <c r="C27" s="112"/>
      <c r="D27" s="43"/>
      <c r="E27" s="43"/>
      <c r="F27" s="43"/>
      <c r="G27" s="43"/>
      <c r="H27" s="63"/>
      <c r="I27" s="45"/>
      <c r="J27" s="43"/>
      <c r="K27" s="43"/>
      <c r="L27" s="43"/>
      <c r="M27" s="43"/>
      <c r="N27" s="63"/>
      <c r="O27" s="45"/>
      <c r="P27" s="43"/>
      <c r="Q27" s="43"/>
      <c r="R27" s="43"/>
      <c r="S27" s="43"/>
      <c r="T27" s="63"/>
      <c r="U27" s="45"/>
      <c r="V27" s="43"/>
      <c r="W27" s="43"/>
      <c r="X27" s="43"/>
      <c r="Y27" s="43"/>
      <c r="Z27" s="63"/>
      <c r="AA27" s="78"/>
      <c r="AB27" s="43"/>
      <c r="AC27" s="43"/>
      <c r="AD27" s="43"/>
      <c r="AE27" s="43"/>
      <c r="AF27" s="63"/>
      <c r="AG27" s="79"/>
      <c r="AH27" s="43"/>
      <c r="AI27" s="43"/>
      <c r="AJ27" s="43"/>
      <c r="AK27" s="47"/>
      <c r="AL27" s="65"/>
      <c r="AM27" s="80"/>
      <c r="AN27" s="47"/>
      <c r="AO27" s="47"/>
      <c r="AP27" s="47"/>
      <c r="AQ27" s="47"/>
      <c r="AR27" s="65"/>
      <c r="AS27" s="80"/>
      <c r="AT27" s="65"/>
      <c r="AU27" s="80"/>
      <c r="AV27" s="65"/>
      <c r="AX27" s="65"/>
    </row>
    <row r="28" spans="1:50" s="51" customFormat="1" ht="15" customHeight="1" x14ac:dyDescent="0.3">
      <c r="A28" s="40"/>
      <c r="B28" s="156" t="s">
        <v>1023</v>
      </c>
      <c r="C28" s="15"/>
      <c r="D28" s="57">
        <v>-807</v>
      </c>
      <c r="E28" s="57">
        <v>-792</v>
      </c>
      <c r="F28" s="57">
        <v>-695</v>
      </c>
      <c r="G28" s="57">
        <v>-633</v>
      </c>
      <c r="H28" s="63">
        <v>-2927</v>
      </c>
      <c r="I28" s="45"/>
      <c r="J28" s="57">
        <v>-536</v>
      </c>
      <c r="K28" s="57">
        <v>-654</v>
      </c>
      <c r="L28" s="57">
        <v>-755</v>
      </c>
      <c r="M28" s="57">
        <v>-991</v>
      </c>
      <c r="N28" s="63">
        <v>-2936</v>
      </c>
      <c r="O28" s="45"/>
      <c r="P28" s="57">
        <v>-848</v>
      </c>
      <c r="Q28" s="57">
        <v>-797</v>
      </c>
      <c r="R28" s="57">
        <v>-1045</v>
      </c>
      <c r="S28" s="57">
        <v>-930</v>
      </c>
      <c r="T28" s="63">
        <v>-3620</v>
      </c>
      <c r="U28" s="45"/>
      <c r="V28" s="57">
        <v>-772</v>
      </c>
      <c r="W28" s="57">
        <v>-835</v>
      </c>
      <c r="X28" s="57">
        <v>-1020</v>
      </c>
      <c r="Y28" s="57">
        <v>-1024</v>
      </c>
      <c r="Z28" s="63">
        <v>-3606</v>
      </c>
      <c r="AA28" s="48"/>
      <c r="AB28" s="57">
        <v>-797</v>
      </c>
      <c r="AC28" s="57">
        <v>-902</v>
      </c>
      <c r="AD28" s="57">
        <v>-831</v>
      </c>
      <c r="AE28" s="57">
        <v>-922</v>
      </c>
      <c r="AF28" s="63">
        <v>-3452</v>
      </c>
      <c r="AG28" s="46"/>
      <c r="AH28" s="57">
        <v>-906</v>
      </c>
      <c r="AI28" s="57">
        <v>-936</v>
      </c>
      <c r="AJ28" s="57">
        <v>0</v>
      </c>
      <c r="AK28" s="47"/>
      <c r="AL28" s="65"/>
      <c r="AM28" s="69"/>
      <c r="AN28" s="47"/>
      <c r="AO28" s="47"/>
      <c r="AP28" s="47"/>
      <c r="AQ28" s="47"/>
      <c r="AR28" s="65"/>
      <c r="AS28" s="69"/>
      <c r="AT28" s="65"/>
      <c r="AU28" s="69"/>
      <c r="AV28" s="65"/>
      <c r="AW28" s="355"/>
      <c r="AX28" s="65"/>
    </row>
    <row r="29" spans="1:50" s="51" customFormat="1" ht="15" customHeight="1" x14ac:dyDescent="0.3">
      <c r="A29" s="110"/>
      <c r="B29" s="156" t="s">
        <v>1024</v>
      </c>
      <c r="C29" s="112"/>
      <c r="D29" s="57">
        <v>8</v>
      </c>
      <c r="E29" s="57">
        <v>99</v>
      </c>
      <c r="F29" s="57">
        <v>12</v>
      </c>
      <c r="G29" s="57">
        <v>30</v>
      </c>
      <c r="H29" s="63">
        <v>149</v>
      </c>
      <c r="I29" s="45"/>
      <c r="J29" s="57">
        <v>17</v>
      </c>
      <c r="K29" s="57">
        <v>84</v>
      </c>
      <c r="L29" s="57">
        <v>19</v>
      </c>
      <c r="M29" s="57">
        <v>58</v>
      </c>
      <c r="N29" s="63">
        <v>178</v>
      </c>
      <c r="O29" s="45"/>
      <c r="P29" s="57">
        <v>32</v>
      </c>
      <c r="Q29" s="57">
        <v>88</v>
      </c>
      <c r="R29" s="57">
        <v>52</v>
      </c>
      <c r="S29" s="57">
        <v>22</v>
      </c>
      <c r="T29" s="63">
        <v>194</v>
      </c>
      <c r="U29" s="45"/>
      <c r="V29" s="57">
        <v>12</v>
      </c>
      <c r="W29" s="57">
        <v>33</v>
      </c>
      <c r="X29" s="57">
        <v>0</v>
      </c>
      <c r="Y29" s="57">
        <v>0</v>
      </c>
      <c r="Z29" s="63">
        <v>0</v>
      </c>
      <c r="AA29" s="78"/>
      <c r="AB29" s="57">
        <v>0</v>
      </c>
      <c r="AC29" s="57">
        <v>0</v>
      </c>
      <c r="AD29" s="57">
        <v>0</v>
      </c>
      <c r="AE29" s="57">
        <v>0</v>
      </c>
      <c r="AF29" s="63">
        <v>0</v>
      </c>
      <c r="AG29" s="79"/>
      <c r="AH29" s="57">
        <v>0</v>
      </c>
      <c r="AI29" s="57">
        <v>0</v>
      </c>
      <c r="AJ29" s="57">
        <v>0</v>
      </c>
      <c r="AK29" s="47"/>
      <c r="AL29" s="65"/>
      <c r="AM29" s="80"/>
      <c r="AN29" s="47"/>
      <c r="AO29" s="47"/>
      <c r="AP29" s="47"/>
      <c r="AQ29" s="47"/>
      <c r="AR29" s="65"/>
      <c r="AS29" s="80"/>
      <c r="AT29" s="65"/>
      <c r="AU29" s="80"/>
      <c r="AV29" s="65"/>
      <c r="AX29" s="65"/>
    </row>
    <row r="30" spans="1:50" s="51" customFormat="1" ht="15" customHeight="1" x14ac:dyDescent="0.3">
      <c r="A30" s="40"/>
      <c r="B30" s="156" t="s">
        <v>1025</v>
      </c>
      <c r="C30" s="15"/>
      <c r="D30" s="57">
        <v>0</v>
      </c>
      <c r="E30" s="57">
        <v>0</v>
      </c>
      <c r="F30" s="57">
        <v>0</v>
      </c>
      <c r="G30" s="57">
        <v>0</v>
      </c>
      <c r="H30" s="63">
        <v>0</v>
      </c>
      <c r="I30" s="45"/>
      <c r="J30" s="57">
        <v>0</v>
      </c>
      <c r="K30" s="57">
        <v>0</v>
      </c>
      <c r="L30" s="57">
        <v>0</v>
      </c>
      <c r="M30" s="57">
        <v>0</v>
      </c>
      <c r="N30" s="63">
        <v>0</v>
      </c>
      <c r="O30" s="45"/>
      <c r="P30" s="57">
        <v>0</v>
      </c>
      <c r="Q30" s="57">
        <v>0</v>
      </c>
      <c r="R30" s="57">
        <v>0</v>
      </c>
      <c r="S30" s="57">
        <v>0</v>
      </c>
      <c r="T30" s="63">
        <v>0</v>
      </c>
      <c r="U30" s="45"/>
      <c r="V30" s="57">
        <v>0</v>
      </c>
      <c r="W30" s="57">
        <v>0</v>
      </c>
      <c r="X30" s="57">
        <v>0</v>
      </c>
      <c r="Y30" s="57">
        <v>0</v>
      </c>
      <c r="Z30" s="63">
        <v>0</v>
      </c>
      <c r="AA30" s="48"/>
      <c r="AB30" s="57">
        <v>0</v>
      </c>
      <c r="AC30" s="57">
        <v>0</v>
      </c>
      <c r="AD30" s="57">
        <v>0</v>
      </c>
      <c r="AE30" s="57">
        <v>0</v>
      </c>
      <c r="AF30" s="63">
        <v>0</v>
      </c>
      <c r="AG30" s="46"/>
      <c r="AH30" s="57">
        <v>0</v>
      </c>
      <c r="AI30" s="57">
        <v>0</v>
      </c>
      <c r="AJ30" s="57">
        <v>0</v>
      </c>
      <c r="AK30" s="47"/>
      <c r="AL30" s="65"/>
      <c r="AM30" s="69"/>
      <c r="AN30" s="47"/>
      <c r="AO30" s="47"/>
      <c r="AP30" s="47"/>
      <c r="AQ30" s="47"/>
      <c r="AR30" s="65"/>
      <c r="AS30" s="69"/>
      <c r="AT30" s="65"/>
      <c r="AU30" s="69"/>
      <c r="AV30" s="65"/>
      <c r="AX30" s="65"/>
    </row>
    <row r="31" spans="1:50" s="51" customFormat="1" ht="15" customHeight="1" x14ac:dyDescent="0.3">
      <c r="A31" s="110"/>
      <c r="B31" s="156" t="s">
        <v>1026</v>
      </c>
      <c r="C31" s="112"/>
      <c r="D31" s="57">
        <v>0</v>
      </c>
      <c r="E31" s="57">
        <v>0</v>
      </c>
      <c r="F31" s="57">
        <v>0</v>
      </c>
      <c r="G31" s="57">
        <v>0</v>
      </c>
      <c r="H31" s="63">
        <v>0</v>
      </c>
      <c r="I31" s="45"/>
      <c r="J31" s="57">
        <v>0</v>
      </c>
      <c r="K31" s="57">
        <v>0</v>
      </c>
      <c r="L31" s="57">
        <v>0</v>
      </c>
      <c r="M31" s="57">
        <v>0</v>
      </c>
      <c r="N31" s="63">
        <v>0</v>
      </c>
      <c r="O31" s="45"/>
      <c r="P31" s="57">
        <v>0</v>
      </c>
      <c r="Q31" s="57">
        <v>0</v>
      </c>
      <c r="R31" s="57">
        <v>0</v>
      </c>
      <c r="S31" s="57">
        <v>0</v>
      </c>
      <c r="T31" s="63">
        <v>0</v>
      </c>
      <c r="U31" s="45"/>
      <c r="V31" s="57">
        <v>0</v>
      </c>
      <c r="W31" s="57">
        <v>0</v>
      </c>
      <c r="X31" s="57">
        <v>0</v>
      </c>
      <c r="Y31" s="57">
        <v>0</v>
      </c>
      <c r="Z31" s="63">
        <v>0</v>
      </c>
      <c r="AA31" s="78"/>
      <c r="AB31" s="57">
        <v>0</v>
      </c>
      <c r="AC31" s="57">
        <v>0</v>
      </c>
      <c r="AD31" s="57">
        <v>0</v>
      </c>
      <c r="AE31" s="57">
        <v>0</v>
      </c>
      <c r="AF31" s="63">
        <v>0</v>
      </c>
      <c r="AG31" s="79"/>
      <c r="AH31" s="57">
        <v>0</v>
      </c>
      <c r="AI31" s="57">
        <v>0</v>
      </c>
      <c r="AJ31" s="57">
        <v>0</v>
      </c>
      <c r="AK31" s="47"/>
      <c r="AL31" s="65"/>
      <c r="AM31" s="86"/>
      <c r="AN31" s="47"/>
      <c r="AO31" s="47"/>
      <c r="AP31" s="47"/>
      <c r="AQ31" s="47"/>
      <c r="AR31" s="65"/>
      <c r="AS31" s="86"/>
      <c r="AT31" s="65"/>
      <c r="AU31" s="86"/>
      <c r="AV31" s="65"/>
      <c r="AX31" s="65"/>
    </row>
    <row r="32" spans="1:50" s="51" customFormat="1" ht="15" customHeight="1" x14ac:dyDescent="0.3">
      <c r="A32" s="110"/>
      <c r="B32" s="156" t="s">
        <v>1027</v>
      </c>
      <c r="C32" s="112"/>
      <c r="D32" s="57">
        <v>0</v>
      </c>
      <c r="E32" s="57">
        <v>0</v>
      </c>
      <c r="F32" s="57">
        <v>0</v>
      </c>
      <c r="G32" s="57">
        <v>0</v>
      </c>
      <c r="H32" s="63">
        <v>0</v>
      </c>
      <c r="I32" s="45"/>
      <c r="J32" s="57">
        <v>0</v>
      </c>
      <c r="K32" s="57">
        <v>0</v>
      </c>
      <c r="L32" s="57">
        <v>0</v>
      </c>
      <c r="M32" s="57">
        <v>0</v>
      </c>
      <c r="N32" s="63">
        <v>0</v>
      </c>
      <c r="O32" s="45"/>
      <c r="P32" s="57">
        <v>0</v>
      </c>
      <c r="Q32" s="57">
        <v>0</v>
      </c>
      <c r="R32" s="57">
        <v>0</v>
      </c>
      <c r="S32" s="57">
        <v>0</v>
      </c>
      <c r="T32" s="63">
        <v>0</v>
      </c>
      <c r="U32" s="45"/>
      <c r="V32" s="57">
        <v>0</v>
      </c>
      <c r="W32" s="57">
        <v>0</v>
      </c>
      <c r="X32" s="57">
        <v>0</v>
      </c>
      <c r="Y32" s="57">
        <v>0</v>
      </c>
      <c r="Z32" s="63">
        <v>0</v>
      </c>
      <c r="AA32" s="78"/>
      <c r="AB32" s="57">
        <v>0</v>
      </c>
      <c r="AC32" s="57">
        <v>0</v>
      </c>
      <c r="AD32" s="57">
        <v>0</v>
      </c>
      <c r="AE32" s="57">
        <v>0</v>
      </c>
      <c r="AF32" s="63">
        <v>0</v>
      </c>
      <c r="AG32" s="79"/>
      <c r="AH32" s="57">
        <v>0</v>
      </c>
      <c r="AI32" s="57">
        <v>0</v>
      </c>
      <c r="AJ32" s="57">
        <v>0</v>
      </c>
      <c r="AK32" s="47"/>
      <c r="AL32" s="65"/>
      <c r="AM32" s="86"/>
      <c r="AN32" s="47"/>
      <c r="AO32" s="47"/>
      <c r="AP32" s="47"/>
      <c r="AQ32" s="47"/>
      <c r="AR32" s="65"/>
      <c r="AS32" s="86"/>
      <c r="AT32" s="65"/>
      <c r="AU32" s="86"/>
      <c r="AV32" s="65"/>
      <c r="AX32" s="65"/>
    </row>
    <row r="33" spans="1:38" s="51" customFormat="1" ht="15" customHeight="1" x14ac:dyDescent="0.3">
      <c r="A33" s="110"/>
      <c r="B33" s="156" t="s">
        <v>1028</v>
      </c>
      <c r="C33" s="15"/>
      <c r="D33" s="57">
        <v>0</v>
      </c>
      <c r="E33" s="57">
        <v>0</v>
      </c>
      <c r="F33" s="57">
        <v>0</v>
      </c>
      <c r="G33" s="57">
        <v>0</v>
      </c>
      <c r="H33" s="63">
        <v>0</v>
      </c>
      <c r="I33" s="45"/>
      <c r="J33" s="57">
        <v>0</v>
      </c>
      <c r="K33" s="57">
        <v>0</v>
      </c>
      <c r="L33" s="57">
        <v>0</v>
      </c>
      <c r="M33" s="57">
        <v>0</v>
      </c>
      <c r="N33" s="63">
        <v>0</v>
      </c>
      <c r="O33" s="45"/>
      <c r="P33" s="57">
        <v>0</v>
      </c>
      <c r="Q33" s="57">
        <v>0</v>
      </c>
      <c r="R33" s="57">
        <v>0</v>
      </c>
      <c r="S33" s="57">
        <v>0</v>
      </c>
      <c r="T33" s="63">
        <v>0</v>
      </c>
      <c r="U33" s="45"/>
      <c r="V33" s="57">
        <v>0</v>
      </c>
      <c r="W33" s="57">
        <v>0</v>
      </c>
      <c r="X33" s="57">
        <v>0</v>
      </c>
      <c r="Y33" s="57">
        <v>0</v>
      </c>
      <c r="Z33" s="63">
        <v>0</v>
      </c>
      <c r="AA33" s="48"/>
      <c r="AB33" s="57">
        <v>0</v>
      </c>
      <c r="AC33" s="57">
        <v>0</v>
      </c>
      <c r="AD33" s="57">
        <v>0</v>
      </c>
      <c r="AE33" s="57">
        <v>0</v>
      </c>
      <c r="AF33" s="63">
        <v>0</v>
      </c>
      <c r="AG33" s="46"/>
      <c r="AH33" s="57">
        <v>0</v>
      </c>
      <c r="AI33" s="57">
        <v>0</v>
      </c>
      <c r="AJ33" s="57">
        <v>0</v>
      </c>
      <c r="AK33" s="47"/>
      <c r="AL33" s="65"/>
    </row>
    <row r="34" spans="1:38" s="51" customFormat="1" ht="15" customHeight="1" x14ac:dyDescent="0.3">
      <c r="A34" s="40"/>
      <c r="B34" s="156" t="s">
        <v>1029</v>
      </c>
      <c r="C34" s="15"/>
      <c r="D34" s="57">
        <v>0</v>
      </c>
      <c r="E34" s="57">
        <v>0</v>
      </c>
      <c r="F34" s="57">
        <v>0</v>
      </c>
      <c r="G34" s="57">
        <v>0</v>
      </c>
      <c r="H34" s="63">
        <v>0</v>
      </c>
      <c r="I34" s="45"/>
      <c r="J34" s="57">
        <v>0</v>
      </c>
      <c r="K34" s="57">
        <v>0</v>
      </c>
      <c r="L34" s="57">
        <v>0</v>
      </c>
      <c r="M34" s="57">
        <v>0</v>
      </c>
      <c r="N34" s="63">
        <v>0</v>
      </c>
      <c r="O34" s="45"/>
      <c r="P34" s="57">
        <v>0</v>
      </c>
      <c r="Q34" s="57">
        <v>0</v>
      </c>
      <c r="R34" s="57">
        <v>0</v>
      </c>
      <c r="S34" s="57">
        <v>0</v>
      </c>
      <c r="T34" s="63">
        <v>0</v>
      </c>
      <c r="U34" s="45"/>
      <c r="V34" s="57">
        <v>0</v>
      </c>
      <c r="W34" s="57">
        <v>0</v>
      </c>
      <c r="X34" s="57">
        <v>0</v>
      </c>
      <c r="Y34" s="57">
        <v>0</v>
      </c>
      <c r="Z34" s="63">
        <v>0</v>
      </c>
      <c r="AA34" s="48"/>
      <c r="AB34" s="57">
        <v>0</v>
      </c>
      <c r="AC34" s="57">
        <v>0</v>
      </c>
      <c r="AD34" s="57">
        <v>0</v>
      </c>
      <c r="AE34" s="57">
        <v>0</v>
      </c>
      <c r="AF34" s="63">
        <v>0</v>
      </c>
      <c r="AG34" s="46"/>
      <c r="AH34" s="57">
        <v>0</v>
      </c>
      <c r="AI34" s="57">
        <v>0</v>
      </c>
      <c r="AJ34" s="57">
        <v>0</v>
      </c>
      <c r="AK34" s="47"/>
      <c r="AL34" s="65"/>
    </row>
    <row r="35" spans="1:38" s="51" customFormat="1" ht="15" customHeight="1" x14ac:dyDescent="0.3">
      <c r="B35" s="156" t="s">
        <v>1030</v>
      </c>
      <c r="C35" s="112"/>
      <c r="D35" s="57">
        <v>-8</v>
      </c>
      <c r="E35" s="57">
        <v>83</v>
      </c>
      <c r="F35" s="57">
        <v>19</v>
      </c>
      <c r="G35" s="57">
        <v>8</v>
      </c>
      <c r="H35" s="71">
        <v>102</v>
      </c>
      <c r="I35" s="45"/>
      <c r="J35" s="57">
        <v>14</v>
      </c>
      <c r="K35" s="57">
        <v>4</v>
      </c>
      <c r="L35" s="57">
        <v>15</v>
      </c>
      <c r="M35" s="57">
        <v>16</v>
      </c>
      <c r="N35" s="71">
        <v>49</v>
      </c>
      <c r="O35" s="45"/>
      <c r="P35" s="57">
        <v>-20</v>
      </c>
      <c r="Q35" s="57">
        <v>5</v>
      </c>
      <c r="R35" s="57">
        <v>-26</v>
      </c>
      <c r="S35" s="57">
        <v>-4</v>
      </c>
      <c r="T35" s="71">
        <v>-45</v>
      </c>
      <c r="U35" s="45"/>
      <c r="V35" s="57">
        <v>-45</v>
      </c>
      <c r="W35" s="57">
        <v>-67</v>
      </c>
      <c r="X35" s="57">
        <v>44</v>
      </c>
      <c r="Y35" s="57">
        <v>7</v>
      </c>
      <c r="Z35" s="71">
        <v>-61</v>
      </c>
      <c r="AA35" s="78"/>
      <c r="AB35" s="57">
        <v>-5</v>
      </c>
      <c r="AC35" s="57">
        <v>112</v>
      </c>
      <c r="AD35" s="57">
        <v>-3</v>
      </c>
      <c r="AE35" s="57">
        <v>23</v>
      </c>
      <c r="AF35" s="71">
        <v>127</v>
      </c>
      <c r="AG35" s="79"/>
      <c r="AH35" s="57">
        <v>-32</v>
      </c>
      <c r="AI35" s="57">
        <v>35</v>
      </c>
      <c r="AJ35" s="57">
        <v>0</v>
      </c>
      <c r="AK35" s="47"/>
      <c r="AL35" s="72"/>
    </row>
    <row r="36" spans="1:38" s="51" customFormat="1" ht="15" customHeight="1" thickBot="1" x14ac:dyDescent="0.35">
      <c r="A36" s="110"/>
      <c r="B36" s="157" t="s">
        <v>1031</v>
      </c>
      <c r="C36" s="15"/>
      <c r="D36" s="57">
        <v>-807</v>
      </c>
      <c r="E36" s="57">
        <v>-610</v>
      </c>
      <c r="F36" s="57">
        <v>-664</v>
      </c>
      <c r="G36" s="57">
        <v>-595</v>
      </c>
      <c r="H36" s="90">
        <v>-2676</v>
      </c>
      <c r="I36" s="45"/>
      <c r="J36" s="57">
        <v>-505</v>
      </c>
      <c r="K36" s="57">
        <v>-566</v>
      </c>
      <c r="L36" s="57">
        <v>-721</v>
      </c>
      <c r="M36" s="57">
        <v>-917</v>
      </c>
      <c r="N36" s="90">
        <v>-2709</v>
      </c>
      <c r="O36" s="45"/>
      <c r="P36" s="57">
        <v>-836</v>
      </c>
      <c r="Q36" s="57">
        <v>-704</v>
      </c>
      <c r="R36" s="57">
        <v>-1019</v>
      </c>
      <c r="S36" s="57">
        <v>-912</v>
      </c>
      <c r="T36" s="90">
        <v>-3471</v>
      </c>
      <c r="U36" s="45"/>
      <c r="V36" s="57">
        <v>-805</v>
      </c>
      <c r="W36" s="57">
        <v>-869</v>
      </c>
      <c r="X36" s="57">
        <v>-976</v>
      </c>
      <c r="Y36" s="57">
        <v>-1017</v>
      </c>
      <c r="Z36" s="90">
        <v>-3667</v>
      </c>
      <c r="AA36" s="48"/>
      <c r="AB36" s="57">
        <v>-802</v>
      </c>
      <c r="AC36" s="57">
        <v>-790</v>
      </c>
      <c r="AD36" s="57">
        <v>-834</v>
      </c>
      <c r="AE36" s="57">
        <v>-899</v>
      </c>
      <c r="AF36" s="90">
        <v>-3325</v>
      </c>
      <c r="AG36" s="46"/>
      <c r="AH36" s="57">
        <v>-938</v>
      </c>
      <c r="AI36" s="57">
        <v>-901</v>
      </c>
      <c r="AJ36" s="57">
        <v>0</v>
      </c>
      <c r="AK36" s="47"/>
      <c r="AL36" s="91"/>
    </row>
    <row r="37" spans="1:38" s="51" customFormat="1" ht="15" customHeight="1" thickTop="1" x14ac:dyDescent="0.3">
      <c r="A37" s="40"/>
      <c r="B37" s="151"/>
      <c r="C37" s="112"/>
      <c r="D37" s="43"/>
      <c r="E37" s="43"/>
      <c r="F37" s="43"/>
      <c r="G37" s="43"/>
      <c r="H37" s="63"/>
      <c r="I37" s="45"/>
      <c r="J37" s="43"/>
      <c r="K37" s="43"/>
      <c r="L37" s="43"/>
      <c r="M37" s="43"/>
      <c r="N37" s="63"/>
      <c r="O37" s="45"/>
      <c r="P37" s="43"/>
      <c r="Q37" s="43"/>
      <c r="R37" s="43"/>
      <c r="S37" s="43"/>
      <c r="T37" s="63"/>
      <c r="U37" s="45"/>
      <c r="V37" s="43"/>
      <c r="W37" s="43"/>
      <c r="X37" s="43"/>
      <c r="Y37" s="43"/>
      <c r="Z37" s="63"/>
      <c r="AA37" s="83"/>
      <c r="AB37" s="43"/>
      <c r="AC37" s="43"/>
      <c r="AD37" s="43"/>
      <c r="AE37" s="43"/>
      <c r="AF37" s="63"/>
      <c r="AG37" s="79"/>
      <c r="AH37" s="43"/>
      <c r="AI37" s="43"/>
      <c r="AJ37" s="43"/>
      <c r="AK37" s="47"/>
      <c r="AL37" s="65"/>
    </row>
    <row r="38" spans="1:38" s="51" customFormat="1" ht="15" customHeight="1" x14ac:dyDescent="0.3">
      <c r="A38" s="41" t="s">
        <v>39</v>
      </c>
      <c r="B38" s="155" t="s">
        <v>1032</v>
      </c>
      <c r="C38" s="25"/>
      <c r="D38" s="43"/>
      <c r="E38" s="43"/>
      <c r="F38" s="43"/>
      <c r="G38" s="43"/>
      <c r="H38" s="63"/>
      <c r="I38" s="45"/>
      <c r="J38" s="43"/>
      <c r="K38" s="43"/>
      <c r="L38" s="43"/>
      <c r="M38" s="43"/>
      <c r="N38" s="63"/>
      <c r="O38" s="45"/>
      <c r="P38" s="43"/>
      <c r="Q38" s="43"/>
      <c r="R38" s="43"/>
      <c r="S38" s="43"/>
      <c r="T38" s="63"/>
      <c r="U38" s="45"/>
      <c r="V38" s="43"/>
      <c r="W38" s="43"/>
      <c r="X38" s="43"/>
      <c r="Y38" s="43"/>
      <c r="Z38" s="63"/>
      <c r="AA38" s="48"/>
      <c r="AB38" s="43"/>
      <c r="AC38" s="43"/>
      <c r="AD38" s="43"/>
      <c r="AE38" s="43"/>
      <c r="AF38" s="63"/>
      <c r="AG38" s="46"/>
      <c r="AH38" s="43"/>
      <c r="AI38" s="43"/>
      <c r="AJ38" s="43"/>
      <c r="AK38" s="47"/>
      <c r="AL38" s="65"/>
    </row>
    <row r="39" spans="1:38" s="51" customFormat="1" ht="15" customHeight="1" x14ac:dyDescent="0.3">
      <c r="A39" s="110"/>
      <c r="B39" s="156" t="s">
        <v>1033</v>
      </c>
      <c r="C39" s="112"/>
      <c r="D39" s="57">
        <v>-660</v>
      </c>
      <c r="E39" s="57">
        <v>-659</v>
      </c>
      <c r="F39" s="57">
        <v>-655</v>
      </c>
      <c r="G39" s="57">
        <v>-652</v>
      </c>
      <c r="H39" s="63">
        <v>-2626</v>
      </c>
      <c r="I39" s="45"/>
      <c r="J39" s="57">
        <v>-650</v>
      </c>
      <c r="K39" s="57">
        <v>-700</v>
      </c>
      <c r="L39" s="57">
        <v>-695</v>
      </c>
      <c r="M39" s="57">
        <v>-755</v>
      </c>
      <c r="N39" s="63">
        <v>-2800</v>
      </c>
      <c r="O39" s="45"/>
      <c r="P39" s="57">
        <v>-743</v>
      </c>
      <c r="Q39" s="57">
        <v>-813</v>
      </c>
      <c r="R39" s="57">
        <v>-806</v>
      </c>
      <c r="S39" s="57">
        <v>-797</v>
      </c>
      <c r="T39" s="63">
        <v>-3159</v>
      </c>
      <c r="U39" s="45"/>
      <c r="V39" s="57">
        <v>-795</v>
      </c>
      <c r="W39" s="57">
        <v>-793</v>
      </c>
      <c r="X39" s="57">
        <v>-792</v>
      </c>
      <c r="Y39" s="57">
        <v>-793</v>
      </c>
      <c r="Z39" s="63">
        <v>-3173</v>
      </c>
      <c r="AA39" s="48"/>
      <c r="AB39" s="57">
        <v>-795</v>
      </c>
      <c r="AC39" s="57">
        <v>-793</v>
      </c>
      <c r="AD39" s="57">
        <v>-815</v>
      </c>
      <c r="AE39" s="57">
        <v>-810</v>
      </c>
      <c r="AF39" s="63">
        <v>-3213</v>
      </c>
      <c r="AG39" s="46"/>
      <c r="AH39" s="57">
        <v>-804</v>
      </c>
      <c r="AI39" s="57">
        <v>-795</v>
      </c>
      <c r="AJ39" s="57">
        <v>0</v>
      </c>
      <c r="AK39" s="47"/>
      <c r="AL39" s="65"/>
    </row>
    <row r="40" spans="1:38" s="51" customFormat="1" ht="15" customHeight="1" x14ac:dyDescent="0.3">
      <c r="A40" s="110"/>
      <c r="B40" s="156" t="s">
        <v>1034</v>
      </c>
      <c r="C40" s="112"/>
      <c r="D40" s="57">
        <v>-2556</v>
      </c>
      <c r="E40" s="57">
        <v>0</v>
      </c>
      <c r="F40" s="57">
        <v>-400</v>
      </c>
      <c r="G40" s="57">
        <v>-749</v>
      </c>
      <c r="H40" s="63">
        <v>-3705</v>
      </c>
      <c r="I40" s="45"/>
      <c r="J40" s="57">
        <v>-1347</v>
      </c>
      <c r="K40" s="57">
        <v>-2738</v>
      </c>
      <c r="L40" s="57">
        <v>-1761</v>
      </c>
      <c r="M40" s="57">
        <v>-1445</v>
      </c>
      <c r="N40" s="63">
        <v>-7291</v>
      </c>
      <c r="O40" s="45"/>
      <c r="P40" s="57">
        <v>-2743</v>
      </c>
      <c r="Q40" s="57">
        <v>-730</v>
      </c>
      <c r="R40" s="57">
        <v>-2024</v>
      </c>
      <c r="S40" s="57">
        <v>-785</v>
      </c>
      <c r="T40" s="63">
        <v>-6282</v>
      </c>
      <c r="U40" s="45"/>
      <c r="V40" s="57">
        <v>-575</v>
      </c>
      <c r="W40" s="57">
        <v>-130</v>
      </c>
      <c r="X40" s="57">
        <v>0</v>
      </c>
      <c r="Y40" s="57">
        <v>0</v>
      </c>
      <c r="Z40" s="63">
        <v>-705</v>
      </c>
      <c r="AA40" s="48"/>
      <c r="AB40" s="57">
        <v>0</v>
      </c>
      <c r="AC40" s="57">
        <v>-100</v>
      </c>
      <c r="AD40" s="57">
        <v>-731</v>
      </c>
      <c r="AE40" s="57">
        <v>-674</v>
      </c>
      <c r="AF40" s="63">
        <v>-1505</v>
      </c>
      <c r="AG40" s="46"/>
      <c r="AH40" s="57">
        <v>-1420</v>
      </c>
      <c r="AI40" s="57">
        <v>-1259</v>
      </c>
      <c r="AJ40" s="57">
        <v>0</v>
      </c>
      <c r="AK40" s="47"/>
      <c r="AL40" s="65"/>
    </row>
    <row r="41" spans="1:38" s="51" customFormat="1" ht="15" customHeight="1" x14ac:dyDescent="0.3">
      <c r="A41" s="110"/>
      <c r="B41" s="156" t="s">
        <v>1035</v>
      </c>
      <c r="C41" s="112"/>
      <c r="D41" s="57">
        <v>0</v>
      </c>
      <c r="E41" s="57">
        <v>0</v>
      </c>
      <c r="F41" s="57">
        <v>0</v>
      </c>
      <c r="G41" s="57">
        <v>0</v>
      </c>
      <c r="H41" s="63">
        <v>0</v>
      </c>
      <c r="I41" s="45"/>
      <c r="J41" s="57">
        <v>0</v>
      </c>
      <c r="K41" s="57">
        <v>0</v>
      </c>
      <c r="L41" s="57">
        <v>0</v>
      </c>
      <c r="M41" s="57">
        <v>0</v>
      </c>
      <c r="N41" s="63">
        <v>0</v>
      </c>
      <c r="O41" s="45"/>
      <c r="P41" s="57">
        <v>0</v>
      </c>
      <c r="Q41" s="57">
        <v>0</v>
      </c>
      <c r="R41" s="57">
        <v>0</v>
      </c>
      <c r="S41" s="57">
        <v>0</v>
      </c>
      <c r="T41" s="63">
        <v>0</v>
      </c>
      <c r="U41" s="45"/>
      <c r="V41" s="57">
        <v>0</v>
      </c>
      <c r="W41" s="57">
        <v>0</v>
      </c>
      <c r="X41" s="57">
        <v>0</v>
      </c>
      <c r="Y41" s="57">
        <v>0</v>
      </c>
      <c r="Z41" s="63">
        <v>0</v>
      </c>
      <c r="AA41" s="48"/>
      <c r="AB41" s="57">
        <v>0</v>
      </c>
      <c r="AC41" s="57">
        <v>0</v>
      </c>
      <c r="AD41" s="57">
        <v>0</v>
      </c>
      <c r="AE41" s="57">
        <v>0</v>
      </c>
      <c r="AF41" s="63">
        <v>0</v>
      </c>
      <c r="AG41" s="46"/>
      <c r="AH41" s="57">
        <v>0</v>
      </c>
      <c r="AI41" s="57">
        <v>0</v>
      </c>
      <c r="AJ41" s="57">
        <v>0</v>
      </c>
      <c r="AK41" s="47"/>
      <c r="AL41" s="65"/>
    </row>
    <row r="42" spans="1:38" s="51" customFormat="1" ht="15" customHeight="1" x14ac:dyDescent="0.3">
      <c r="A42" s="139"/>
      <c r="B42" s="156" t="s">
        <v>1036</v>
      </c>
      <c r="C42" s="25"/>
      <c r="D42" s="57">
        <v>0</v>
      </c>
      <c r="E42" s="57">
        <v>0</v>
      </c>
      <c r="F42" s="57">
        <v>0</v>
      </c>
      <c r="G42" s="57">
        <v>0</v>
      </c>
      <c r="H42" s="63">
        <v>0</v>
      </c>
      <c r="I42" s="45"/>
      <c r="J42" s="57">
        <v>0</v>
      </c>
      <c r="K42" s="57">
        <v>0</v>
      </c>
      <c r="L42" s="57">
        <v>0</v>
      </c>
      <c r="M42" s="57">
        <v>0</v>
      </c>
      <c r="N42" s="63">
        <v>0</v>
      </c>
      <c r="O42" s="45"/>
      <c r="P42" s="57">
        <v>0</v>
      </c>
      <c r="Q42" s="57">
        <v>0</v>
      </c>
      <c r="R42" s="57">
        <v>0</v>
      </c>
      <c r="S42" s="57">
        <v>0</v>
      </c>
      <c r="T42" s="63">
        <v>0</v>
      </c>
      <c r="U42" s="45"/>
      <c r="V42" s="57">
        <v>0</v>
      </c>
      <c r="W42" s="57">
        <v>0</v>
      </c>
      <c r="X42" s="57">
        <v>0</v>
      </c>
      <c r="Y42" s="57">
        <v>0</v>
      </c>
      <c r="Z42" s="63">
        <v>0</v>
      </c>
      <c r="AA42" s="48"/>
      <c r="AB42" s="57">
        <v>0</v>
      </c>
      <c r="AC42" s="57">
        <v>0</v>
      </c>
      <c r="AD42" s="57">
        <v>0</v>
      </c>
      <c r="AE42" s="57">
        <v>0</v>
      </c>
      <c r="AF42" s="63">
        <v>0</v>
      </c>
      <c r="AG42" s="46"/>
      <c r="AH42" s="57">
        <v>0</v>
      </c>
      <c r="AI42" s="57">
        <v>0</v>
      </c>
      <c r="AJ42" s="57">
        <v>0</v>
      </c>
      <c r="AK42" s="47"/>
      <c r="AL42" s="65"/>
    </row>
    <row r="43" spans="1:38" s="51" customFormat="1" ht="15" customHeight="1" x14ac:dyDescent="0.3">
      <c r="A43" s="110"/>
      <c r="B43" s="156" t="s">
        <v>1037</v>
      </c>
      <c r="C43" s="112"/>
      <c r="D43" s="57">
        <v>0</v>
      </c>
      <c r="E43" s="57">
        <v>0</v>
      </c>
      <c r="F43" s="57">
        <v>0</v>
      </c>
      <c r="G43" s="57">
        <v>0</v>
      </c>
      <c r="H43" s="63">
        <v>0</v>
      </c>
      <c r="I43" s="45"/>
      <c r="J43" s="57">
        <v>0</v>
      </c>
      <c r="K43" s="57">
        <v>0</v>
      </c>
      <c r="L43" s="57">
        <v>0</v>
      </c>
      <c r="M43" s="57">
        <v>0</v>
      </c>
      <c r="N43" s="63">
        <v>0</v>
      </c>
      <c r="O43" s="45"/>
      <c r="P43" s="57">
        <v>0</v>
      </c>
      <c r="Q43" s="57">
        <v>0</v>
      </c>
      <c r="R43" s="57">
        <v>0</v>
      </c>
      <c r="S43" s="57">
        <v>0</v>
      </c>
      <c r="T43" s="63">
        <v>0</v>
      </c>
      <c r="U43" s="45"/>
      <c r="V43" s="57">
        <v>0</v>
      </c>
      <c r="W43" s="57">
        <v>0</v>
      </c>
      <c r="X43" s="57">
        <v>0</v>
      </c>
      <c r="Y43" s="57">
        <v>0</v>
      </c>
      <c r="Z43" s="63">
        <v>0</v>
      </c>
      <c r="AA43" s="48"/>
      <c r="AB43" s="57">
        <v>0</v>
      </c>
      <c r="AC43" s="57">
        <v>0</v>
      </c>
      <c r="AD43" s="57">
        <v>0</v>
      </c>
      <c r="AE43" s="57">
        <v>0</v>
      </c>
      <c r="AF43" s="63">
        <v>0</v>
      </c>
      <c r="AG43" s="46"/>
      <c r="AH43" s="57">
        <v>0</v>
      </c>
      <c r="AI43" s="57">
        <v>0</v>
      </c>
      <c r="AJ43" s="57">
        <v>0</v>
      </c>
      <c r="AK43" s="47"/>
      <c r="AL43" s="65"/>
    </row>
    <row r="44" spans="1:38" s="51" customFormat="1" ht="15" customHeight="1" x14ac:dyDescent="0.3">
      <c r="A44" s="110"/>
      <c r="B44" s="156" t="s">
        <v>1038</v>
      </c>
      <c r="C44" s="112"/>
      <c r="D44" s="57">
        <v>2219</v>
      </c>
      <c r="E44" s="57">
        <v>549</v>
      </c>
      <c r="F44" s="57">
        <v>12</v>
      </c>
      <c r="G44" s="57">
        <v>-1351</v>
      </c>
      <c r="H44" s="71">
        <v>1429</v>
      </c>
      <c r="I44" s="45"/>
      <c r="J44" s="57">
        <v>-76</v>
      </c>
      <c r="K44" s="57">
        <v>1704</v>
      </c>
      <c r="L44" s="57">
        <v>972</v>
      </c>
      <c r="M44" s="57">
        <v>333</v>
      </c>
      <c r="N44" s="71">
        <v>2933</v>
      </c>
      <c r="O44" s="45"/>
      <c r="P44" s="57">
        <v>2033</v>
      </c>
      <c r="Q44" s="57">
        <v>200</v>
      </c>
      <c r="R44" s="57">
        <v>1416</v>
      </c>
      <c r="S44" s="57">
        <v>-95</v>
      </c>
      <c r="T44" s="71">
        <v>3554</v>
      </c>
      <c r="U44" s="45"/>
      <c r="V44" s="57">
        <v>443</v>
      </c>
      <c r="W44" s="57">
        <v>-478</v>
      </c>
      <c r="X44" s="57">
        <v>-420</v>
      </c>
      <c r="Y44" s="57">
        <v>-292</v>
      </c>
      <c r="Z44" s="71">
        <v>-747</v>
      </c>
      <c r="AA44" s="78"/>
      <c r="AB44" s="57">
        <v>-656</v>
      </c>
      <c r="AC44" s="57">
        <v>-24</v>
      </c>
      <c r="AD44" s="57">
        <v>-461</v>
      </c>
      <c r="AE44" s="57">
        <v>-208</v>
      </c>
      <c r="AF44" s="71">
        <v>-1349</v>
      </c>
      <c r="AG44" s="79"/>
      <c r="AH44" s="57">
        <v>1346</v>
      </c>
      <c r="AI44" s="57">
        <v>283</v>
      </c>
      <c r="AJ44" s="57">
        <v>0</v>
      </c>
      <c r="AK44" s="47"/>
      <c r="AL44" s="72"/>
    </row>
    <row r="45" spans="1:38" s="51" customFormat="1" ht="15" customHeight="1" thickBot="1" x14ac:dyDescent="0.35">
      <c r="A45" s="110"/>
      <c r="B45" s="157" t="s">
        <v>1039</v>
      </c>
      <c r="C45" s="15"/>
      <c r="D45" s="57">
        <v>-997</v>
      </c>
      <c r="E45" s="57">
        <v>-110</v>
      </c>
      <c r="F45" s="57">
        <v>-1043</v>
      </c>
      <c r="G45" s="57">
        <v>-2752</v>
      </c>
      <c r="H45" s="90">
        <v>-4902</v>
      </c>
      <c r="I45" s="45"/>
      <c r="J45" s="57">
        <v>-2073</v>
      </c>
      <c r="K45" s="57">
        <v>-1734</v>
      </c>
      <c r="L45" s="57">
        <v>-1484</v>
      </c>
      <c r="M45" s="57">
        <v>-1867</v>
      </c>
      <c r="N45" s="90">
        <v>-7158</v>
      </c>
      <c r="O45" s="45"/>
      <c r="P45" s="57">
        <v>-1453</v>
      </c>
      <c r="Q45" s="57">
        <v>-1343</v>
      </c>
      <c r="R45" s="57">
        <v>-1414</v>
      </c>
      <c r="S45" s="57">
        <v>-1677</v>
      </c>
      <c r="T45" s="90">
        <v>-5887</v>
      </c>
      <c r="U45" s="45"/>
      <c r="V45" s="57">
        <v>-927</v>
      </c>
      <c r="W45" s="57">
        <v>-1401</v>
      </c>
      <c r="X45" s="57">
        <v>-1212</v>
      </c>
      <c r="Y45" s="57">
        <v>-1085</v>
      </c>
      <c r="Z45" s="90">
        <v>-4625</v>
      </c>
      <c r="AA45" s="45"/>
      <c r="AB45" s="57">
        <v>-1451</v>
      </c>
      <c r="AC45" s="57">
        <v>-917</v>
      </c>
      <c r="AD45" s="57">
        <v>-2007</v>
      </c>
      <c r="AE45" s="57">
        <v>-1692</v>
      </c>
      <c r="AF45" s="90">
        <v>-6067</v>
      </c>
      <c r="AG45" s="92"/>
      <c r="AH45" s="57">
        <v>-878</v>
      </c>
      <c r="AI45" s="57">
        <v>-1771</v>
      </c>
      <c r="AJ45" s="57">
        <v>0</v>
      </c>
      <c r="AK45" s="47"/>
      <c r="AL45" s="91"/>
    </row>
    <row r="46" spans="1:38" s="51" customFormat="1" ht="15" customHeight="1" thickTop="1" x14ac:dyDescent="0.35">
      <c r="A46" s="110"/>
      <c r="B46" s="9"/>
      <c r="C46" s="112"/>
      <c r="D46" s="43"/>
      <c r="E46" s="43"/>
      <c r="F46" s="43"/>
      <c r="G46" s="43"/>
      <c r="H46" s="63"/>
      <c r="I46" s="45"/>
      <c r="J46" s="43"/>
      <c r="K46" s="43"/>
      <c r="L46" s="43"/>
      <c r="M46" s="43"/>
      <c r="N46" s="63"/>
      <c r="O46" s="45"/>
      <c r="P46" s="43"/>
      <c r="Q46" s="43"/>
      <c r="R46" s="43"/>
      <c r="S46" s="43"/>
      <c r="T46" s="63"/>
      <c r="U46" s="45"/>
      <c r="V46" s="43"/>
      <c r="W46" s="43"/>
      <c r="X46" s="43"/>
      <c r="Y46" s="43"/>
      <c r="Z46" s="63"/>
      <c r="AA46" s="78"/>
      <c r="AB46" s="43"/>
      <c r="AC46" s="43"/>
      <c r="AD46" s="43"/>
      <c r="AE46" s="43"/>
      <c r="AF46" s="63"/>
      <c r="AG46" s="79"/>
      <c r="AH46" s="43"/>
      <c r="AI46" s="43"/>
      <c r="AJ46" s="43"/>
      <c r="AK46" s="47"/>
      <c r="AL46" s="65"/>
    </row>
    <row r="47" spans="1:38" s="51" customFormat="1" ht="15" customHeight="1" x14ac:dyDescent="0.3">
      <c r="A47" s="41" t="s">
        <v>39</v>
      </c>
      <c r="B47" s="155" t="s">
        <v>1040</v>
      </c>
      <c r="C47" s="15"/>
      <c r="D47" s="57">
        <v>0</v>
      </c>
      <c r="E47" s="57">
        <v>0</v>
      </c>
      <c r="F47" s="57">
        <v>0</v>
      </c>
      <c r="G47" s="57">
        <v>0</v>
      </c>
      <c r="H47" s="63">
        <v>0</v>
      </c>
      <c r="I47" s="45"/>
      <c r="J47" s="57">
        <v>0</v>
      </c>
      <c r="K47" s="57">
        <v>0</v>
      </c>
      <c r="L47" s="57">
        <v>0</v>
      </c>
      <c r="M47" s="57">
        <v>0</v>
      </c>
      <c r="N47" s="63">
        <v>0</v>
      </c>
      <c r="O47" s="45"/>
      <c r="P47" s="57">
        <v>0</v>
      </c>
      <c r="Q47" s="57">
        <v>0</v>
      </c>
      <c r="R47" s="57">
        <v>0</v>
      </c>
      <c r="S47" s="57">
        <v>0</v>
      </c>
      <c r="T47" s="63">
        <v>0</v>
      </c>
      <c r="U47" s="45"/>
      <c r="V47" s="57">
        <v>0</v>
      </c>
      <c r="W47" s="57">
        <v>0</v>
      </c>
      <c r="X47" s="57">
        <v>0</v>
      </c>
      <c r="Y47" s="57">
        <v>0</v>
      </c>
      <c r="Z47" s="63">
        <v>0</v>
      </c>
      <c r="AA47" s="45"/>
      <c r="AB47" s="57">
        <v>0</v>
      </c>
      <c r="AC47" s="57">
        <v>0</v>
      </c>
      <c r="AD47" s="57">
        <v>0</v>
      </c>
      <c r="AE47" s="57">
        <v>0</v>
      </c>
      <c r="AF47" s="63">
        <v>0</v>
      </c>
      <c r="AG47" s="92"/>
      <c r="AH47" s="57">
        <v>0</v>
      </c>
      <c r="AI47" s="57">
        <v>0</v>
      </c>
      <c r="AJ47" s="57">
        <v>0</v>
      </c>
      <c r="AK47" s="47"/>
      <c r="AL47" s="65"/>
    </row>
    <row r="49" spans="1:36" s="51" customFormat="1" ht="15" customHeight="1" x14ac:dyDescent="0.3">
      <c r="A49" s="41" t="s">
        <v>39</v>
      </c>
      <c r="B49" s="155" t="s">
        <v>1041</v>
      </c>
      <c r="C49" s="15"/>
      <c r="D49" s="57">
        <v>351</v>
      </c>
      <c r="E49" s="57">
        <v>1517</v>
      </c>
      <c r="F49" s="57">
        <v>-106</v>
      </c>
      <c r="G49" s="57">
        <v>-800</v>
      </c>
      <c r="H49" s="71">
        <v>962</v>
      </c>
      <c r="I49" s="45"/>
      <c r="J49" s="57">
        <v>-620</v>
      </c>
      <c r="K49" s="57">
        <v>-39</v>
      </c>
      <c r="L49" s="57">
        <v>79</v>
      </c>
      <c r="M49" s="57">
        <v>-255</v>
      </c>
      <c r="N49" s="71">
        <v>-835</v>
      </c>
      <c r="O49" s="45"/>
      <c r="P49" s="57">
        <v>-53</v>
      </c>
      <c r="Q49" s="57">
        <v>-116</v>
      </c>
      <c r="R49" s="57">
        <v>470</v>
      </c>
      <c r="S49" s="57">
        <v>-297</v>
      </c>
      <c r="T49" s="71">
        <v>4</v>
      </c>
      <c r="U49" s="45"/>
      <c r="V49" s="57">
        <v>108</v>
      </c>
      <c r="W49" s="57">
        <v>-252</v>
      </c>
      <c r="X49" s="57">
        <v>-62</v>
      </c>
      <c r="Y49" s="57">
        <v>293</v>
      </c>
      <c r="Z49" s="71">
        <v>87</v>
      </c>
      <c r="AA49" s="45"/>
      <c r="AB49" s="57">
        <v>-131</v>
      </c>
      <c r="AC49" s="57">
        <v>204</v>
      </c>
      <c r="AD49" s="57">
        <v>-190</v>
      </c>
      <c r="AE49" s="57">
        <v>71</v>
      </c>
      <c r="AF49" s="71">
        <v>-46</v>
      </c>
      <c r="AG49" s="92"/>
      <c r="AH49" s="57">
        <v>394</v>
      </c>
      <c r="AI49" s="57">
        <v>-339</v>
      </c>
      <c r="AJ49" s="57">
        <v>0</v>
      </c>
    </row>
    <row r="50" spans="1:36" s="51" customFormat="1" ht="15" customHeight="1" thickBot="1" x14ac:dyDescent="0.35">
      <c r="B50" s="155" t="s">
        <v>1042</v>
      </c>
      <c r="C50" s="112"/>
      <c r="D50" s="57">
        <v>1130</v>
      </c>
      <c r="E50" s="57">
        <v>2706</v>
      </c>
      <c r="F50" s="57">
        <v>2601</v>
      </c>
      <c r="G50" s="57">
        <v>1799</v>
      </c>
      <c r="H50" s="90">
        <v>1799</v>
      </c>
      <c r="I50" s="45"/>
      <c r="J50" s="57">
        <v>1183</v>
      </c>
      <c r="K50" s="57">
        <v>1115</v>
      </c>
      <c r="L50" s="57">
        <v>1194</v>
      </c>
      <c r="M50" s="57">
        <v>960</v>
      </c>
      <c r="N50" s="90">
        <v>960</v>
      </c>
      <c r="O50" s="45"/>
      <c r="P50" s="57">
        <v>909</v>
      </c>
      <c r="Q50" s="57">
        <v>788</v>
      </c>
      <c r="R50" s="57">
        <v>1267</v>
      </c>
      <c r="S50" s="57">
        <v>973</v>
      </c>
      <c r="T50" s="90">
        <v>973</v>
      </c>
      <c r="U50" s="45"/>
      <c r="V50" s="57">
        <v>1079</v>
      </c>
      <c r="W50" s="57">
        <v>830</v>
      </c>
      <c r="X50" s="57">
        <v>750</v>
      </c>
      <c r="Y50" s="57">
        <v>1055</v>
      </c>
      <c r="Z50" s="90">
        <v>1055</v>
      </c>
      <c r="AA50" s="45"/>
      <c r="AB50" s="57">
        <v>925</v>
      </c>
      <c r="AC50" s="57">
        <v>1137</v>
      </c>
      <c r="AD50" s="57">
        <v>947</v>
      </c>
      <c r="AE50" s="57">
        <v>1016</v>
      </c>
      <c r="AF50" s="90">
        <v>1016</v>
      </c>
      <c r="AG50" s="92"/>
      <c r="AH50" s="57">
        <v>1411</v>
      </c>
      <c r="AI50" s="57">
        <v>1060</v>
      </c>
      <c r="AJ50" s="57">
        <v>0</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A149" zoomScale="52" zoomScaleNormal="100" workbookViewId="0">
      <selection activeCell="E68" sqref="E68"/>
    </sheetView>
  </sheetViews>
  <sheetFormatPr defaultColWidth="9" defaultRowHeight="14.25" customHeight="1" outlineLevelCol="1" x14ac:dyDescent="0.3"/>
  <cols>
    <col min="1" max="1" width="2" style="94" customWidth="1"/>
    <col min="2" max="2" width="50.5" style="94" customWidth="1"/>
    <col min="3" max="3" width="3.33203125" style="21" customWidth="1"/>
    <col min="4" max="7" width="9.5" style="94" customWidth="1" outlineLevel="1"/>
    <col min="8" max="8" width="11.5" style="94" customWidth="1"/>
    <col min="9" max="9" width="1.5" style="21" customWidth="1"/>
    <col min="10" max="13" width="9.5" style="94" customWidth="1" outlineLevel="1"/>
    <col min="14" max="14" width="11.5" style="94" customWidth="1"/>
    <col min="15" max="15" width="1.5" style="21" customWidth="1"/>
    <col min="16" max="19" width="9.5" style="94" customWidth="1" outlineLevel="1"/>
    <col min="20" max="20" width="11.5" style="94" customWidth="1"/>
    <col min="21" max="21" width="1.5" style="21" customWidth="1"/>
    <col min="22" max="25" width="9.5" style="94" customWidth="1" outlineLevel="1"/>
    <col min="26" max="26" width="11.5" style="94" customWidth="1"/>
    <col min="27" max="27" width="1.5" style="21" customWidth="1"/>
    <col min="28" max="31" width="9.5" style="94" customWidth="1" outlineLevel="1"/>
    <col min="32" max="32" width="11.5" style="94" customWidth="1"/>
    <col min="33" max="33" width="1.5" style="21" customWidth="1"/>
    <col min="34" max="37" width="9.5" style="94" customWidth="1" outlineLevel="1"/>
    <col min="38" max="38" width="11.5" style="94" customWidth="1"/>
    <col min="39" max="39" width="1.5" style="21" customWidth="1"/>
    <col min="40" max="43" width="9.5" style="94" customWidth="1" outlineLevel="1"/>
    <col min="44" max="44" width="11.5" style="94" customWidth="1"/>
    <col min="45" max="45" width="1.5" style="21" customWidth="1"/>
    <col min="46" max="46" width="11.5" style="94" customWidth="1"/>
    <col min="47" max="47" width="1.5" style="21" customWidth="1"/>
    <col min="48" max="48" width="11.5" style="102" customWidth="1"/>
    <col min="49" max="49" width="1.5" style="21" customWidth="1"/>
    <col min="50" max="50" width="11.5" style="94" customWidth="1"/>
    <col min="51" max="51" width="1.5" style="94" customWidth="1"/>
    <col min="52" max="16384" width="9" style="94"/>
  </cols>
  <sheetData>
    <row r="1" spans="1:50" s="569" customFormat="1" ht="15" customHeight="1" x14ac:dyDescent="0.3"/>
    <row r="2" spans="1:50" s="569" customFormat="1" ht="15" customHeight="1" x14ac:dyDescent="0.3"/>
    <row r="3" spans="1:50" s="569" customFormat="1" ht="15" customHeight="1" x14ac:dyDescent="0.3"/>
    <row r="4" spans="1:50" s="569" customFormat="1" ht="15" customHeight="1" x14ac:dyDescent="0.3"/>
    <row r="5" spans="1:50" s="285" customFormat="1" ht="4" customHeight="1" x14ac:dyDescent="0.3">
      <c r="C5" s="34"/>
      <c r="I5" s="34"/>
      <c r="O5" s="34"/>
      <c r="U5" s="34"/>
      <c r="AA5" s="34"/>
      <c r="AG5" s="34"/>
      <c r="AM5" s="34"/>
      <c r="AS5" s="34"/>
      <c r="AU5" s="34"/>
      <c r="AV5" s="286"/>
      <c r="AW5" s="34"/>
    </row>
    <row r="7" spans="1:50" s="38" customFormat="1" ht="15" customHeight="1" x14ac:dyDescent="0.3">
      <c r="B7" s="158" t="s">
        <v>1043</v>
      </c>
      <c r="C7" s="16"/>
      <c r="D7" s="199">
        <f>F7</f>
        <v>2020</v>
      </c>
      <c r="E7" s="199">
        <f>F7</f>
        <v>2020</v>
      </c>
      <c r="F7" s="199">
        <v>2020</v>
      </c>
      <c r="G7" s="199">
        <f>F7</f>
        <v>2020</v>
      </c>
      <c r="H7" s="199">
        <f>F7</f>
        <v>2020</v>
      </c>
      <c r="I7" s="16"/>
      <c r="J7" s="199">
        <f>L7</f>
        <v>2021</v>
      </c>
      <c r="K7" s="199">
        <f>L7</f>
        <v>2021</v>
      </c>
      <c r="L7" s="199">
        <v>2021</v>
      </c>
      <c r="M7" s="199">
        <f>L7</f>
        <v>2021</v>
      </c>
      <c r="N7" s="199">
        <f>L7</f>
        <v>2021</v>
      </c>
      <c r="O7" s="166"/>
      <c r="P7" s="199">
        <f>R7</f>
        <v>2022</v>
      </c>
      <c r="Q7" s="199">
        <f>R7</f>
        <v>2022</v>
      </c>
      <c r="R7" s="199">
        <v>2022</v>
      </c>
      <c r="S7" s="199">
        <f>R7</f>
        <v>2022</v>
      </c>
      <c r="T7" s="199">
        <f>R7</f>
        <v>2022</v>
      </c>
      <c r="U7" s="166"/>
      <c r="V7" s="199">
        <f>X7</f>
        <v>2023</v>
      </c>
      <c r="W7" s="199">
        <f>X7</f>
        <v>2023</v>
      </c>
      <c r="X7" s="199">
        <v>2023</v>
      </c>
      <c r="Y7" s="199">
        <f>X7</f>
        <v>2023</v>
      </c>
      <c r="Z7" s="199">
        <f>X7</f>
        <v>2023</v>
      </c>
      <c r="AA7" s="167"/>
      <c r="AB7" s="199">
        <f>AD7</f>
        <v>2024</v>
      </c>
      <c r="AC7" s="199">
        <f>AD7</f>
        <v>2024</v>
      </c>
      <c r="AD7" s="199">
        <v>2024</v>
      </c>
      <c r="AE7" s="199">
        <f>AD7</f>
        <v>2024</v>
      </c>
      <c r="AF7" s="199">
        <f>AD7</f>
        <v>2024</v>
      </c>
      <c r="AG7" s="167"/>
      <c r="AH7" s="199">
        <f>AJ7</f>
        <v>2025</v>
      </c>
      <c r="AI7" s="199">
        <f>AJ7</f>
        <v>2025</v>
      </c>
      <c r="AJ7" s="200">
        <v>2025</v>
      </c>
      <c r="AK7" s="199">
        <f>AJ7</f>
        <v>2025</v>
      </c>
      <c r="AL7" s="199">
        <f>AJ7</f>
        <v>2025</v>
      </c>
      <c r="AM7" s="168"/>
      <c r="AN7" s="199">
        <f>AP7</f>
        <v>2025</v>
      </c>
      <c r="AO7" s="199">
        <f>AP7</f>
        <v>2025</v>
      </c>
      <c r="AP7" s="200">
        <v>2025</v>
      </c>
      <c r="AQ7" s="199">
        <f>AP7</f>
        <v>2025</v>
      </c>
      <c r="AR7" s="199">
        <f>AP7</f>
        <v>2025</v>
      </c>
      <c r="AS7" s="16"/>
      <c r="AT7" s="159"/>
      <c r="AU7" s="16"/>
      <c r="AV7" s="160"/>
      <c r="AW7" s="16"/>
      <c r="AX7" s="160"/>
    </row>
    <row r="8" spans="1:50" s="38" customFormat="1" ht="15" customHeight="1" x14ac:dyDescent="0.3">
      <c r="B8" s="161"/>
      <c r="C8" s="16"/>
      <c r="D8" s="1244">
        <v>2020</v>
      </c>
      <c r="E8" s="1244"/>
      <c r="F8" s="1244"/>
      <c r="G8" s="1244"/>
      <c r="H8" s="1244"/>
      <c r="I8" s="166"/>
      <c r="J8" s="1244">
        <f>D8+1</f>
        <v>2021</v>
      </c>
      <c r="K8" s="1244"/>
      <c r="L8" s="1244"/>
      <c r="M8" s="1244"/>
      <c r="N8" s="1244"/>
      <c r="O8" s="166"/>
      <c r="P8" s="1244">
        <f>J8+1</f>
        <v>2022</v>
      </c>
      <c r="Q8" s="1244"/>
      <c r="R8" s="1244"/>
      <c r="S8" s="1244"/>
      <c r="T8" s="1244"/>
      <c r="U8" s="166"/>
      <c r="V8" s="1244">
        <f>P8+1</f>
        <v>2023</v>
      </c>
      <c r="W8" s="1244"/>
      <c r="X8" s="1244"/>
      <c r="Y8" s="1244"/>
      <c r="Z8" s="1244"/>
      <c r="AA8" s="166"/>
      <c r="AB8" s="1244">
        <f>V8+1</f>
        <v>2024</v>
      </c>
      <c r="AC8" s="1244"/>
      <c r="AD8" s="1244"/>
      <c r="AE8" s="1244"/>
      <c r="AF8" s="1244"/>
      <c r="AG8" s="166"/>
      <c r="AH8" s="1243">
        <f>AB8+1</f>
        <v>2025</v>
      </c>
      <c r="AI8" s="1243"/>
      <c r="AJ8" s="1243"/>
      <c r="AK8" s="1243"/>
      <c r="AL8" s="1243"/>
      <c r="AM8" s="166"/>
      <c r="AN8" s="1243">
        <f>AH8+1</f>
        <v>2026</v>
      </c>
      <c r="AO8" s="1243"/>
      <c r="AP8" s="1243"/>
      <c r="AQ8" s="1243"/>
      <c r="AR8" s="1243"/>
      <c r="AS8" s="168"/>
      <c r="AT8" s="163">
        <f>AN8+1</f>
        <v>2027</v>
      </c>
      <c r="AU8" s="164"/>
      <c r="AV8" s="163">
        <f>+AT8+1</f>
        <v>2028</v>
      </c>
      <c r="AW8" s="164"/>
      <c r="AX8" s="163">
        <f>+AV8+1</f>
        <v>2029</v>
      </c>
    </row>
    <row r="9" spans="1:50" s="38" customFormat="1" ht="14.25" customHeight="1" x14ac:dyDescent="0.3">
      <c r="B9" s="161"/>
      <c r="C9" s="16"/>
      <c r="D9" s="165" t="s">
        <v>217</v>
      </c>
      <c r="E9" s="165" t="s">
        <v>218</v>
      </c>
      <c r="F9" s="165" t="s">
        <v>219</v>
      </c>
      <c r="G9" s="165" t="s">
        <v>220</v>
      </c>
      <c r="H9" s="165" t="s">
        <v>221</v>
      </c>
      <c r="I9" s="16"/>
      <c r="J9" s="165" t="s">
        <v>217</v>
      </c>
      <c r="K9" s="165" t="s">
        <v>218</v>
      </c>
      <c r="L9" s="165" t="s">
        <v>219</v>
      </c>
      <c r="M9" s="165" t="s">
        <v>220</v>
      </c>
      <c r="N9" s="165" t="s">
        <v>221</v>
      </c>
      <c r="O9" s="162"/>
      <c r="P9" s="165" t="s">
        <v>217</v>
      </c>
      <c r="Q9" s="165" t="s">
        <v>218</v>
      </c>
      <c r="R9" s="165" t="s">
        <v>219</v>
      </c>
      <c r="S9" s="165" t="s">
        <v>220</v>
      </c>
      <c r="T9" s="165" t="s">
        <v>221</v>
      </c>
      <c r="U9" s="162"/>
      <c r="V9" s="165" t="s">
        <v>217</v>
      </c>
      <c r="W9" s="165" t="s">
        <v>218</v>
      </c>
      <c r="X9" s="165" t="s">
        <v>219</v>
      </c>
      <c r="Y9" s="165" t="s">
        <v>220</v>
      </c>
      <c r="Z9" s="165" t="s">
        <v>221</v>
      </c>
      <c r="AA9" s="162"/>
      <c r="AB9" s="165" t="s">
        <v>217</v>
      </c>
      <c r="AC9" s="165" t="s">
        <v>218</v>
      </c>
      <c r="AD9" s="165" t="s">
        <v>219</v>
      </c>
      <c r="AE9" s="165" t="s">
        <v>220</v>
      </c>
      <c r="AF9" s="165" t="s">
        <v>221</v>
      </c>
      <c r="AG9" s="162"/>
      <c r="AH9" s="165" t="s">
        <v>217</v>
      </c>
      <c r="AI9" s="165" t="s">
        <v>218</v>
      </c>
      <c r="AJ9" s="165" t="s">
        <v>219</v>
      </c>
      <c r="AK9" s="165" t="s">
        <v>220</v>
      </c>
      <c r="AL9" s="165" t="s">
        <v>221</v>
      </c>
      <c r="AM9" s="162"/>
      <c r="AN9" s="165" t="s">
        <v>217</v>
      </c>
      <c r="AO9" s="165" t="s">
        <v>218</v>
      </c>
      <c r="AP9" s="165" t="s">
        <v>219</v>
      </c>
      <c r="AQ9" s="165" t="s">
        <v>220</v>
      </c>
      <c r="AR9" s="165" t="s">
        <v>221</v>
      </c>
      <c r="AS9" s="162"/>
      <c r="AT9" s="165" t="s">
        <v>221</v>
      </c>
      <c r="AU9" s="162"/>
      <c r="AV9" s="165" t="s">
        <v>221</v>
      </c>
      <c r="AW9" s="162"/>
      <c r="AX9" s="165" t="s">
        <v>221</v>
      </c>
    </row>
    <row r="10" spans="1:50" s="38" customFormat="1" ht="4" customHeight="1" x14ac:dyDescent="0.3">
      <c r="A10" s="40"/>
      <c r="B10" s="173"/>
      <c r="C10" s="33"/>
      <c r="D10" s="174"/>
      <c r="E10" s="174"/>
      <c r="F10" s="174"/>
      <c r="G10" s="174"/>
      <c r="H10" s="174"/>
      <c r="I10" s="33"/>
      <c r="J10" s="174"/>
      <c r="K10" s="174"/>
      <c r="L10" s="174"/>
      <c r="M10" s="174"/>
      <c r="N10" s="174"/>
      <c r="O10" s="175"/>
      <c r="P10" s="174"/>
      <c r="Q10" s="174"/>
      <c r="R10" s="174"/>
      <c r="S10" s="174"/>
      <c r="T10" s="174"/>
      <c r="U10" s="175"/>
      <c r="V10" s="174"/>
      <c r="W10" s="174"/>
      <c r="X10" s="174"/>
      <c r="Y10" s="174"/>
      <c r="Z10" s="174"/>
      <c r="AA10" s="175"/>
      <c r="AB10" s="174"/>
      <c r="AC10" s="174"/>
      <c r="AD10" s="174"/>
      <c r="AE10" s="174"/>
      <c r="AF10" s="174"/>
      <c r="AG10" s="175"/>
      <c r="AH10" s="174"/>
      <c r="AI10" s="174"/>
      <c r="AJ10" s="174"/>
      <c r="AK10" s="174"/>
      <c r="AL10" s="176"/>
      <c r="AM10" s="177"/>
      <c r="AN10" s="176"/>
      <c r="AO10" s="176"/>
      <c r="AP10" s="176"/>
      <c r="AQ10" s="176"/>
      <c r="AR10" s="176"/>
      <c r="AS10" s="177"/>
      <c r="AT10" s="176"/>
      <c r="AU10" s="177"/>
      <c r="AV10" s="176"/>
      <c r="AW10" s="177"/>
      <c r="AX10" s="176"/>
    </row>
    <row r="11" spans="1:50" s="38" customFormat="1" ht="4" customHeight="1" x14ac:dyDescent="0.3">
      <c r="A11" s="40"/>
      <c r="B11" s="169"/>
      <c r="C11" s="17"/>
      <c r="D11" s="170"/>
      <c r="E11" s="170"/>
      <c r="F11" s="170"/>
      <c r="G11" s="170"/>
      <c r="H11" s="170"/>
      <c r="I11" s="17"/>
      <c r="J11" s="170"/>
      <c r="K11" s="170"/>
      <c r="L11" s="170"/>
      <c r="M11" s="170"/>
      <c r="N11" s="170"/>
      <c r="O11" s="171"/>
      <c r="P11" s="170"/>
      <c r="Q11" s="170"/>
      <c r="R11" s="170"/>
      <c r="S11" s="170"/>
      <c r="T11" s="170"/>
      <c r="U11" s="171"/>
      <c r="V11" s="170"/>
      <c r="W11" s="170"/>
      <c r="X11" s="170"/>
      <c r="Y11" s="170"/>
      <c r="Z11" s="170"/>
      <c r="AA11" s="171"/>
      <c r="AB11" s="170"/>
      <c r="AC11" s="170"/>
      <c r="AD11" s="170"/>
      <c r="AE11" s="170"/>
      <c r="AF11" s="170"/>
      <c r="AG11" s="201"/>
      <c r="AH11" s="170"/>
      <c r="AI11" s="170"/>
      <c r="AJ11" s="170"/>
      <c r="AK11" s="170"/>
      <c r="AL11" s="172"/>
      <c r="AM11" s="32"/>
      <c r="AN11" s="172"/>
      <c r="AO11" s="172"/>
      <c r="AP11" s="172"/>
      <c r="AQ11" s="172"/>
      <c r="AR11" s="172"/>
      <c r="AS11" s="32"/>
      <c r="AT11" s="172"/>
      <c r="AU11" s="32"/>
      <c r="AV11" s="172"/>
      <c r="AW11" s="32"/>
      <c r="AX11" s="172"/>
    </row>
    <row r="12" spans="1:50" ht="14.25" customHeight="1" x14ac:dyDescent="0.3">
      <c r="A12" s="41" t="s">
        <v>39</v>
      </c>
      <c r="B12" s="62" t="s">
        <v>939</v>
      </c>
      <c r="D12" s="205"/>
      <c r="E12" s="205"/>
      <c r="F12" s="205"/>
      <c r="G12" s="205"/>
      <c r="H12" s="206"/>
      <c r="I12" s="207"/>
      <c r="J12" s="205"/>
      <c r="K12" s="205"/>
      <c r="L12" s="205"/>
      <c r="M12" s="205"/>
      <c r="N12" s="206"/>
      <c r="O12" s="206"/>
      <c r="P12" s="205"/>
      <c r="Q12" s="205"/>
      <c r="R12" s="205"/>
      <c r="S12" s="205"/>
      <c r="T12" s="206"/>
      <c r="U12" s="206"/>
      <c r="V12" s="205"/>
      <c r="W12" s="205"/>
      <c r="X12" s="205"/>
      <c r="Y12" s="205"/>
      <c r="Z12" s="206"/>
      <c r="AA12" s="206"/>
      <c r="AB12" s="205"/>
      <c r="AC12" s="205"/>
      <c r="AD12" s="205"/>
      <c r="AE12" s="205"/>
      <c r="AF12" s="206"/>
      <c r="AG12" s="208"/>
      <c r="AH12" s="205"/>
      <c r="AI12" s="205"/>
      <c r="AJ12" s="209"/>
      <c r="AK12" s="209"/>
      <c r="AL12" s="206"/>
      <c r="AM12" s="210"/>
      <c r="AN12" s="209"/>
      <c r="AO12" s="209"/>
      <c r="AP12" s="209"/>
      <c r="AQ12" s="209"/>
      <c r="AR12" s="206"/>
      <c r="AS12" s="210"/>
      <c r="AT12" s="211"/>
      <c r="AU12" s="212"/>
      <c r="AV12" s="211"/>
      <c r="AW12" s="212"/>
      <c r="AX12" s="211"/>
    </row>
    <row r="13" spans="1:50" ht="14.25" customHeight="1" x14ac:dyDescent="0.3">
      <c r="A13" s="52"/>
      <c r="B13" s="67" t="s">
        <v>940</v>
      </c>
      <c r="D13" s="205"/>
      <c r="E13" s="205"/>
      <c r="F13" s="205"/>
      <c r="G13" s="205"/>
      <c r="H13" s="206" t="str">
        <f>IF(ROUND(SUM(IS!D13:G13),1)=ROUND(IS!H13,1),"OK","ERROR")</f>
        <v>OK</v>
      </c>
      <c r="I13" s="207"/>
      <c r="J13" s="205"/>
      <c r="K13" s="205"/>
      <c r="L13" s="205"/>
      <c r="M13" s="205"/>
      <c r="N13" s="206" t="str">
        <f>IF(ROUND(SUM(IS!J13:M13),1)=ROUND(IS!N13,1),"OK","ERROR")</f>
        <v>OK</v>
      </c>
      <c r="O13" s="206"/>
      <c r="P13" s="205"/>
      <c r="Q13" s="205"/>
      <c r="R13" s="205"/>
      <c r="S13" s="205"/>
      <c r="T13" s="206" t="str">
        <f>IF(ROUND(SUM(IS!P13:S13),1)=ROUND(IS!T13,1),"OK","ERROR")</f>
        <v>OK</v>
      </c>
      <c r="U13" s="206"/>
      <c r="V13" s="205"/>
      <c r="W13" s="205"/>
      <c r="X13" s="205"/>
      <c r="Y13" s="205"/>
      <c r="Z13" s="206" t="str">
        <f>IF(ROUND(SUM(IS!V13:Y13),1)=ROUND(IS!Z13,1),"OK","ERROR")</f>
        <v>OK</v>
      </c>
      <c r="AA13" s="206"/>
      <c r="AB13" s="205"/>
      <c r="AC13" s="205"/>
      <c r="AD13" s="205"/>
      <c r="AE13" s="205"/>
      <c r="AF13" s="206" t="str">
        <f>IF(ROUND(SUM(IS!AB13:AE13),1)=ROUND(IS!AF13,1),"OK","ERROR")</f>
        <v>OK</v>
      </c>
      <c r="AG13" s="208"/>
      <c r="AH13" s="205"/>
      <c r="AI13" s="205"/>
      <c r="AJ13" s="209"/>
      <c r="AK13" s="209"/>
      <c r="AL13" s="206" t="str">
        <f>IF(ROUND(SUM(IS!AH13:AK13),1)=ROUND(IS!AL13,1),"OK","ERROR")</f>
        <v>OK</v>
      </c>
      <c r="AM13" s="210"/>
      <c r="AN13" s="209"/>
      <c r="AO13" s="209"/>
      <c r="AP13" s="209"/>
      <c r="AQ13" s="209"/>
      <c r="AR13" s="206" t="str">
        <f>IF(ROUND(SUM(IS!AN13:AQ13),1)=ROUND(IS!AR13,1),"OK","ERROR")</f>
        <v>OK</v>
      </c>
      <c r="AS13" s="210"/>
      <c r="AT13" s="206"/>
      <c r="AU13" s="212"/>
      <c r="AV13" s="206"/>
      <c r="AW13" s="212"/>
      <c r="AX13" s="206"/>
    </row>
    <row r="14" spans="1:50" ht="14.25" customHeight="1" x14ac:dyDescent="0.3">
      <c r="A14" s="52"/>
      <c r="B14" s="67" t="s">
        <v>941</v>
      </c>
      <c r="D14" s="205"/>
      <c r="E14" s="205"/>
      <c r="F14" s="205"/>
      <c r="G14" s="205"/>
      <c r="H14" s="206" t="str">
        <f>IF(ROUND(SUM(IS!D14:G14),1)=ROUND(IS!H14,1),"OK","ERROR")</f>
        <v>OK</v>
      </c>
      <c r="I14" s="207"/>
      <c r="J14" s="205"/>
      <c r="K14" s="205"/>
      <c r="L14" s="205"/>
      <c r="M14" s="205"/>
      <c r="N14" s="206" t="str">
        <f>IF(ROUND(SUM(IS!J14:M14),1)=ROUND(IS!N14,1),"OK","ERROR")</f>
        <v>OK</v>
      </c>
      <c r="O14" s="206"/>
      <c r="P14" s="205"/>
      <c r="Q14" s="205"/>
      <c r="R14" s="205"/>
      <c r="S14" s="205"/>
      <c r="T14" s="206" t="str">
        <f>IF(ROUND(SUM(IS!P14:S14),1)=ROUND(IS!T14,1),"OK","ERROR")</f>
        <v>OK</v>
      </c>
      <c r="U14" s="206"/>
      <c r="V14" s="205"/>
      <c r="W14" s="205"/>
      <c r="X14" s="205"/>
      <c r="Y14" s="205"/>
      <c r="Z14" s="206" t="str">
        <f>IF(ROUND(SUM(IS!V14:Y14),1)=ROUND(IS!Z14,1),"OK","ERROR")</f>
        <v>OK</v>
      </c>
      <c r="AA14" s="206"/>
      <c r="AB14" s="205"/>
      <c r="AC14" s="205"/>
      <c r="AD14" s="205"/>
      <c r="AE14" s="205"/>
      <c r="AF14" s="206" t="str">
        <f>IF(ROUND(SUM(IS!AB14:AE14),1)=ROUND(IS!AF14,1),"OK","ERROR")</f>
        <v>OK</v>
      </c>
      <c r="AG14" s="208"/>
      <c r="AH14" s="205"/>
      <c r="AI14" s="205"/>
      <c r="AJ14" s="209"/>
      <c r="AK14" s="209"/>
      <c r="AL14" s="206" t="str">
        <f>IF(ROUND(SUM(IS!AH14:AK14),1)=ROUND(IS!AL14,1),"OK","ERROR")</f>
        <v>OK</v>
      </c>
      <c r="AM14" s="210"/>
      <c r="AN14" s="209"/>
      <c r="AO14" s="209"/>
      <c r="AP14" s="209"/>
      <c r="AQ14" s="209"/>
      <c r="AR14" s="206" t="str">
        <f>IF(ROUND(SUM(IS!AN14:AQ14),1)=ROUND(IS!AR14,1),"OK","ERROR")</f>
        <v>OK</v>
      </c>
      <c r="AS14" s="210"/>
      <c r="AT14" s="206"/>
      <c r="AU14" s="212"/>
      <c r="AV14" s="206"/>
      <c r="AW14" s="212"/>
      <c r="AX14" s="206"/>
    </row>
    <row r="15" spans="1:50" ht="14.25" customHeight="1" x14ac:dyDescent="0.3">
      <c r="A15" s="52"/>
      <c r="B15" s="67" t="s">
        <v>942</v>
      </c>
      <c r="D15" s="205"/>
      <c r="E15" s="205"/>
      <c r="F15" s="205"/>
      <c r="G15" s="205"/>
      <c r="H15" s="206" t="str">
        <f>IF(ROUND(SUM(IS!D15:G15),1)=ROUND(IS!H15,1),"OK","ERROR")</f>
        <v>OK</v>
      </c>
      <c r="I15" s="207"/>
      <c r="J15" s="205"/>
      <c r="K15" s="205"/>
      <c r="L15" s="205"/>
      <c r="M15" s="205"/>
      <c r="N15" s="206" t="str">
        <f>IF(ROUND(SUM(IS!J15:M15),1)=ROUND(IS!N15,1),"OK","ERROR")</f>
        <v>OK</v>
      </c>
      <c r="O15" s="206"/>
      <c r="P15" s="205"/>
      <c r="Q15" s="205"/>
      <c r="R15" s="205"/>
      <c r="S15" s="205"/>
      <c r="T15" s="206" t="str">
        <f>IF(ROUND(SUM(IS!P15:S15),1)=ROUND(IS!T15,1),"OK","ERROR")</f>
        <v>OK</v>
      </c>
      <c r="U15" s="206"/>
      <c r="V15" s="205"/>
      <c r="W15" s="205"/>
      <c r="X15" s="205"/>
      <c r="Y15" s="205"/>
      <c r="Z15" s="206" t="str">
        <f>IF(ROUND(SUM(IS!V15:Y15),1)=ROUND(IS!Z15,1),"OK","ERROR")</f>
        <v>OK</v>
      </c>
      <c r="AA15" s="206"/>
      <c r="AB15" s="205"/>
      <c r="AC15" s="205"/>
      <c r="AD15" s="205"/>
      <c r="AE15" s="205"/>
      <c r="AF15" s="206" t="str">
        <f>IF(ROUND(SUM(IS!AB15:AE15),1)=ROUND(IS!AF15,1),"OK","ERROR")</f>
        <v>OK</v>
      </c>
      <c r="AG15" s="208"/>
      <c r="AH15" s="205"/>
      <c r="AI15" s="205"/>
      <c r="AJ15" s="209"/>
      <c r="AK15" s="209"/>
      <c r="AL15" s="206" t="str">
        <f>IF(ROUND(SUM(IS!AH15:AK15),1)=ROUND(IS!AL15,1),"OK","ERROR")</f>
        <v>OK</v>
      </c>
      <c r="AM15" s="210"/>
      <c r="AN15" s="209"/>
      <c r="AO15" s="209"/>
      <c r="AP15" s="209"/>
      <c r="AQ15" s="209"/>
      <c r="AR15" s="206" t="str">
        <f>IF(ROUND(SUM(IS!AN15:AQ15),1)=ROUND(IS!AR15,1),"OK","ERROR")</f>
        <v>OK</v>
      </c>
      <c r="AS15" s="210"/>
      <c r="AT15" s="206"/>
      <c r="AU15" s="212"/>
      <c r="AV15" s="206"/>
      <c r="AW15" s="212"/>
      <c r="AX15" s="206"/>
    </row>
    <row r="16" spans="1:50" ht="14.25" customHeight="1" x14ac:dyDescent="0.3">
      <c r="A16" s="52"/>
      <c r="B16" s="67" t="s">
        <v>943</v>
      </c>
      <c r="D16" s="205"/>
      <c r="E16" s="205"/>
      <c r="F16" s="205"/>
      <c r="G16" s="205"/>
      <c r="H16" s="213" t="str">
        <f>IF(ROUND(SUM(IS!D16:G16),1)=ROUND(IS!H16,1),"OK","ERROR")</f>
        <v>OK</v>
      </c>
      <c r="I16" s="207"/>
      <c r="J16" s="205"/>
      <c r="K16" s="205"/>
      <c r="L16" s="205"/>
      <c r="M16" s="205"/>
      <c r="N16" s="213" t="str">
        <f>IF(ROUND(SUM(IS!J16:M16),1)=ROUND(IS!N16,1),"OK","ERROR")</f>
        <v>OK</v>
      </c>
      <c r="O16" s="213"/>
      <c r="P16" s="205"/>
      <c r="Q16" s="205"/>
      <c r="R16" s="205"/>
      <c r="S16" s="205"/>
      <c r="T16" s="213" t="str">
        <f>IF(ROUND(SUM(IS!P16:S16),1)=ROUND(IS!T16,1),"OK","ERROR")</f>
        <v>OK</v>
      </c>
      <c r="U16" s="213"/>
      <c r="V16" s="205"/>
      <c r="W16" s="205"/>
      <c r="X16" s="205"/>
      <c r="Y16" s="205"/>
      <c r="Z16" s="213" t="str">
        <f>IF(ROUND(SUM(IS!V16:Y16),1)=ROUND(IS!Z16,1),"OK","ERROR")</f>
        <v>OK</v>
      </c>
      <c r="AA16" s="213"/>
      <c r="AB16" s="205"/>
      <c r="AC16" s="205"/>
      <c r="AD16" s="205"/>
      <c r="AE16" s="205"/>
      <c r="AF16" s="213" t="str">
        <f>IF(ROUND(SUM(IS!AB16:AE16),1)=ROUND(IS!AF16,1),"OK","ERROR")</f>
        <v>OK</v>
      </c>
      <c r="AG16" s="208"/>
      <c r="AH16" s="205"/>
      <c r="AI16" s="205"/>
      <c r="AJ16" s="209"/>
      <c r="AK16" s="209"/>
      <c r="AL16" s="213" t="str">
        <f>IF(ROUND(SUM(IS!AH16:AK16),1)=ROUND(IS!AL16,1),"OK","ERROR")</f>
        <v>OK</v>
      </c>
      <c r="AM16" s="210"/>
      <c r="AN16" s="209"/>
      <c r="AO16" s="209"/>
      <c r="AP16" s="209"/>
      <c r="AQ16" s="209"/>
      <c r="AR16" s="213" t="str">
        <f>IF(ROUND(SUM(IS!AN16:AQ16),1)=ROUND(IS!AR16,1),"OK","ERROR")</f>
        <v>OK</v>
      </c>
      <c r="AS16" s="210"/>
      <c r="AT16" s="213"/>
      <c r="AU16" s="212"/>
      <c r="AV16" s="213"/>
      <c r="AW16" s="212"/>
      <c r="AX16" s="213"/>
    </row>
    <row r="17" spans="1:44" ht="14.25" customHeight="1" x14ac:dyDescent="0.3">
      <c r="A17" s="52"/>
      <c r="B17" s="67" t="s">
        <v>944</v>
      </c>
      <c r="D17" s="205"/>
      <c r="E17" s="205"/>
      <c r="F17" s="205"/>
      <c r="G17" s="205"/>
      <c r="H17" s="213" t="str">
        <f>IF(ROUND(SUM(IS!D17:G17),1)=ROUND(IS!H17,1),"OK","ERROR")</f>
        <v>OK</v>
      </c>
      <c r="I17" s="207"/>
      <c r="J17" s="205"/>
      <c r="K17" s="205"/>
      <c r="L17" s="205"/>
      <c r="M17" s="205"/>
      <c r="N17" s="213" t="str">
        <f>IF(ROUND(SUM(IS!J17:M17),1)=ROUND(IS!N17,1),"OK","ERROR")</f>
        <v>OK</v>
      </c>
      <c r="O17" s="213"/>
      <c r="P17" s="205"/>
      <c r="Q17" s="205"/>
      <c r="R17" s="205"/>
      <c r="S17" s="205"/>
      <c r="T17" s="213" t="str">
        <f>IF(ROUND(SUM(IS!P17:S17),1)=ROUND(IS!T17,1),"OK","ERROR")</f>
        <v>OK</v>
      </c>
      <c r="U17" s="213"/>
      <c r="V17" s="205"/>
      <c r="W17" s="205"/>
      <c r="X17" s="205"/>
      <c r="Y17" s="205"/>
      <c r="Z17" s="213" t="str">
        <f>IF(ROUND(SUM(IS!V17:Y17),1)=ROUND(IS!Z17,1),"OK","ERROR")</f>
        <v>OK</v>
      </c>
      <c r="AA17" s="213"/>
      <c r="AB17" s="205"/>
      <c r="AC17" s="205"/>
      <c r="AD17" s="205"/>
      <c r="AE17" s="205"/>
      <c r="AF17" s="213" t="str">
        <f>IF(ROUND(SUM(IS!AB17:AE17),1)=ROUND(IS!AF17,1),"OK","ERROR")</f>
        <v>OK</v>
      </c>
      <c r="AG17" s="208"/>
      <c r="AH17" s="205"/>
      <c r="AI17" s="205"/>
      <c r="AJ17" s="209"/>
      <c r="AK17" s="209"/>
      <c r="AL17" s="213" t="str">
        <f>IF(ROUND(SUM(IS!AH17:AK17),1)=ROUND(IS!AL17,1),"OK","ERROR")</f>
        <v>OK</v>
      </c>
      <c r="AM17" s="210"/>
      <c r="AN17" s="209"/>
      <c r="AO17" s="209"/>
      <c r="AP17" s="209"/>
      <c r="AQ17" s="209"/>
      <c r="AR17" s="213" t="str">
        <f>IF(ROUND(SUM(IS!AN17:AQ17),1)=ROUND(IS!AR17,1),"OK","ERROR")</f>
        <v>OK</v>
      </c>
    </row>
    <row r="18" spans="1:44" ht="14.25" customHeight="1" x14ac:dyDescent="0.3">
      <c r="A18" s="52"/>
      <c r="B18" s="73" t="s">
        <v>223</v>
      </c>
      <c r="D18" s="214"/>
      <c r="E18" s="214"/>
      <c r="F18" s="214" t="s">
        <v>1044</v>
      </c>
      <c r="G18" s="214"/>
      <c r="H18" s="215" t="str">
        <f>IF(ROUND(SUM(IS!D18:G18),1)=ROUND(IS!H18,1),"OK","ERROR")</f>
        <v>OK</v>
      </c>
      <c r="I18" s="207"/>
      <c r="J18" s="214"/>
      <c r="K18" s="214"/>
      <c r="L18" s="214"/>
      <c r="M18" s="214"/>
      <c r="N18" s="215" t="str">
        <f>IF(ROUND(SUM(IS!J18:M18),1)=ROUND(IS!N18,1),"OK","ERROR")</f>
        <v>OK</v>
      </c>
      <c r="O18" s="206"/>
      <c r="P18" s="214"/>
      <c r="Q18" s="214"/>
      <c r="R18" s="214"/>
      <c r="S18" s="214"/>
      <c r="T18" s="215" t="str">
        <f>IF(ROUND(SUM(IS!P18:S18),1)=ROUND(IS!T18,1),"OK","ERROR")</f>
        <v>OK</v>
      </c>
      <c r="U18" s="206"/>
      <c r="V18" s="214"/>
      <c r="W18" s="214"/>
      <c r="X18" s="214"/>
      <c r="Y18" s="214"/>
      <c r="Z18" s="215" t="str">
        <f>IF(ROUND(SUM(IS!V18:Y18),1)=ROUND(IS!Z18,1),"OK","ERROR")</f>
        <v>OK</v>
      </c>
      <c r="AA18" s="206"/>
      <c r="AB18" s="214"/>
      <c r="AC18" s="214"/>
      <c r="AD18" s="214"/>
      <c r="AE18" s="214"/>
      <c r="AF18" s="215" t="str">
        <f>IF(ROUND(SUM(IS!AB18:AE18),1)=ROUND(IS!AF18,1),"OK","ERROR")</f>
        <v>OK</v>
      </c>
      <c r="AG18" s="208"/>
      <c r="AH18" s="214"/>
      <c r="AI18" s="214"/>
      <c r="AJ18" s="216"/>
      <c r="AK18" s="216"/>
      <c r="AL18" s="215" t="str">
        <f>IF(ROUND(SUM(IS!AH18:AK18),1)=ROUND(IS!AL18,1),"OK","ERROR")</f>
        <v>ERROR</v>
      </c>
      <c r="AM18" s="210"/>
      <c r="AN18" s="216"/>
      <c r="AO18" s="216"/>
      <c r="AP18" s="216"/>
      <c r="AQ18" s="216"/>
      <c r="AR18" s="215" t="str">
        <f>IF(ROUND(SUM(IS!AN18:AQ18),1)=ROUND(IS!AR18,1),"OK","ERROR")</f>
        <v>OK</v>
      </c>
    </row>
    <row r="19" spans="1:44" ht="14.25" customHeight="1" x14ac:dyDescent="0.3">
      <c r="A19" s="52"/>
      <c r="B19" s="61"/>
      <c r="D19" s="205"/>
      <c r="E19" s="205"/>
      <c r="F19" s="205"/>
      <c r="G19" s="205"/>
      <c r="H19" s="206"/>
      <c r="I19" s="207"/>
      <c r="J19" s="205"/>
      <c r="K19" s="205"/>
      <c r="L19" s="205"/>
      <c r="M19" s="205"/>
      <c r="N19" s="206"/>
      <c r="O19" s="206"/>
      <c r="P19" s="205"/>
      <c r="Q19" s="205"/>
      <c r="R19" s="205"/>
      <c r="S19" s="205"/>
      <c r="T19" s="206"/>
      <c r="U19" s="206"/>
      <c r="V19" s="205"/>
      <c r="W19" s="205"/>
      <c r="X19" s="205"/>
      <c r="Y19" s="205"/>
      <c r="Z19" s="206"/>
      <c r="AA19" s="206"/>
      <c r="AB19" s="205"/>
      <c r="AC19" s="205"/>
      <c r="AD19" s="205"/>
      <c r="AE19" s="205"/>
      <c r="AF19" s="206"/>
      <c r="AG19" s="208"/>
      <c r="AH19" s="205"/>
      <c r="AI19" s="205"/>
      <c r="AJ19" s="209"/>
      <c r="AK19" s="209"/>
      <c r="AL19" s="206"/>
      <c r="AM19" s="210"/>
      <c r="AN19" s="209"/>
      <c r="AO19" s="209"/>
      <c r="AP19" s="209"/>
      <c r="AQ19" s="209"/>
      <c r="AR19" s="206"/>
    </row>
    <row r="20" spans="1:44" ht="14.25" customHeight="1" x14ac:dyDescent="0.3">
      <c r="A20" s="41" t="s">
        <v>39</v>
      </c>
      <c r="B20" s="62" t="s">
        <v>945</v>
      </c>
      <c r="D20" s="205"/>
      <c r="E20" s="205"/>
      <c r="F20" s="205"/>
      <c r="G20" s="205"/>
      <c r="H20" s="217"/>
      <c r="I20" s="207"/>
      <c r="J20" s="205"/>
      <c r="K20" s="205"/>
      <c r="L20" s="205"/>
      <c r="M20" s="205"/>
      <c r="N20" s="217"/>
      <c r="O20" s="207"/>
      <c r="P20" s="205"/>
      <c r="Q20" s="205"/>
      <c r="R20" s="205"/>
      <c r="S20" s="205"/>
      <c r="T20" s="217"/>
      <c r="U20" s="207"/>
      <c r="V20" s="205"/>
      <c r="W20" s="205"/>
      <c r="X20" s="205"/>
      <c r="Y20" s="205"/>
      <c r="Z20" s="217"/>
      <c r="AA20" s="210"/>
      <c r="AB20" s="205"/>
      <c r="AC20" s="205"/>
      <c r="AD20" s="205"/>
      <c r="AE20" s="205"/>
      <c r="AF20" s="217"/>
      <c r="AG20" s="208"/>
      <c r="AH20" s="205"/>
      <c r="AI20" s="205"/>
      <c r="AJ20" s="209"/>
      <c r="AK20" s="209"/>
      <c r="AL20" s="217"/>
      <c r="AM20" s="218"/>
      <c r="AN20" s="209"/>
      <c r="AO20" s="209"/>
      <c r="AP20" s="209"/>
      <c r="AQ20" s="209"/>
      <c r="AR20" s="217"/>
    </row>
    <row r="21" spans="1:44" ht="14.25" customHeight="1" x14ac:dyDescent="0.3">
      <c r="A21" s="52"/>
      <c r="B21" s="67" t="s">
        <v>946</v>
      </c>
      <c r="D21" s="214"/>
      <c r="E21" s="214"/>
      <c r="F21" s="214"/>
      <c r="G21" s="214"/>
      <c r="H21" s="217" t="str">
        <f>IF(ROUND(SUM(IS!D21:G21),1)=ROUND(IS!H21,1),"OK","ERROR")</f>
        <v>OK</v>
      </c>
      <c r="I21" s="207"/>
      <c r="J21" s="214"/>
      <c r="K21" s="214"/>
      <c r="L21" s="214"/>
      <c r="M21" s="214"/>
      <c r="N21" s="217" t="str">
        <f>IF(ROUND(SUM(IS!J21:M21),1)=ROUND(IS!N21,1),"OK","ERROR")</f>
        <v>OK</v>
      </c>
      <c r="O21" s="207"/>
      <c r="P21" s="214"/>
      <c r="Q21" s="214"/>
      <c r="R21" s="214"/>
      <c r="S21" s="214"/>
      <c r="T21" s="217" t="str">
        <f>IF(ROUND(SUM(IS!P21:S21),1)=ROUND(IS!T21,1),"OK","ERROR")</f>
        <v>OK</v>
      </c>
      <c r="U21" s="207"/>
      <c r="V21" s="214"/>
      <c r="W21" s="214"/>
      <c r="X21" s="214"/>
      <c r="Y21" s="214"/>
      <c r="Z21" s="217" t="str">
        <f>IF(ROUND(SUM(IS!V21:Y21),1)=ROUND(IS!Z21,1),"OK","ERROR")</f>
        <v>OK</v>
      </c>
      <c r="AA21" s="210"/>
      <c r="AB21" s="214"/>
      <c r="AC21" s="214"/>
      <c r="AD21" s="214"/>
      <c r="AE21" s="214"/>
      <c r="AF21" s="217" t="str">
        <f>IF(ROUND(SUM(IS!AB21:AE21),1)=ROUND(IS!AF21,1),"OK","ERROR")</f>
        <v>OK</v>
      </c>
      <c r="AG21" s="208"/>
      <c r="AH21" s="214"/>
      <c r="AI21" s="214"/>
      <c r="AJ21" s="209"/>
      <c r="AK21" s="209"/>
      <c r="AL21" s="217" t="str">
        <f>IF(ROUND(SUM(IS!AH21:AK21),1)=ROUND(IS!AL21,1),"OK","ERROR")</f>
        <v>OK</v>
      </c>
      <c r="AM21" s="221"/>
      <c r="AN21" s="209"/>
      <c r="AO21" s="209"/>
      <c r="AP21" s="209"/>
      <c r="AQ21" s="209"/>
      <c r="AR21" s="217" t="str">
        <f>IF(ROUND(SUM(IS!AN21:AQ21),1)=ROUND(IS!AR21,1),"OK","ERROR")</f>
        <v>OK</v>
      </c>
    </row>
    <row r="22" spans="1:44" ht="14.25" customHeight="1" x14ac:dyDescent="0.3">
      <c r="A22" s="70"/>
      <c r="B22" s="67" t="s">
        <v>947</v>
      </c>
      <c r="D22" s="214"/>
      <c r="E22" s="205"/>
      <c r="F22" s="205"/>
      <c r="G22" s="205"/>
      <c r="H22" s="223" t="str">
        <f>IF(ROUND(SUM(IS!D22:G22),1)=ROUND(IS!H22,1),"OK","ERROR")</f>
        <v>OK</v>
      </c>
      <c r="I22" s="207"/>
      <c r="J22" s="214"/>
      <c r="K22" s="214"/>
      <c r="L22" s="214"/>
      <c r="M22" s="214"/>
      <c r="N22" s="223" t="str">
        <f>IF(ROUND(SUM(IS!J22:M22),1)=ROUND(IS!N22,1),"OK","ERROR")</f>
        <v>OK</v>
      </c>
      <c r="O22" s="207"/>
      <c r="P22" s="214"/>
      <c r="Q22" s="214"/>
      <c r="R22" s="214"/>
      <c r="S22" s="214"/>
      <c r="T22" s="223" t="str">
        <f>IF(ROUND(SUM(IS!P22:S22),1)=ROUND(IS!T22,1),"OK","ERROR")</f>
        <v>OK</v>
      </c>
      <c r="U22" s="207"/>
      <c r="V22" s="214"/>
      <c r="W22" s="214"/>
      <c r="X22" s="214"/>
      <c r="Y22" s="214"/>
      <c r="Z22" s="223" t="str">
        <f>IF(ROUND(SUM(IS!V22:Y22),1)=ROUND(IS!Z22,1),"OK","ERROR")</f>
        <v>OK</v>
      </c>
      <c r="AA22" s="210"/>
      <c r="AB22" s="214"/>
      <c r="AC22" s="214"/>
      <c r="AD22" s="214"/>
      <c r="AE22" s="214"/>
      <c r="AF22" s="223" t="str">
        <f>IF(ROUND(SUM(IS!AB22:AE22),1)=ROUND(IS!AF22,1),"OK","ERROR")</f>
        <v>OK</v>
      </c>
      <c r="AG22" s="208"/>
      <c r="AH22" s="214"/>
      <c r="AI22" s="214"/>
      <c r="AJ22" s="209"/>
      <c r="AK22" s="209"/>
      <c r="AL22" s="223" t="str">
        <f>IF(ROUND(SUM(IS!AH22:AK22),1)=ROUND(IS!AL22,1),"OK","ERROR")</f>
        <v>OK</v>
      </c>
      <c r="AM22" s="221"/>
      <c r="AN22" s="209"/>
      <c r="AO22" s="209"/>
      <c r="AP22" s="209"/>
      <c r="AQ22" s="209"/>
      <c r="AR22" s="223" t="str">
        <f>IF(ROUND(SUM(IS!AN22:AQ22),1)=ROUND(IS!AR22,1),"OK","ERROR")</f>
        <v>OK</v>
      </c>
    </row>
    <row r="23" spans="1:44" ht="14.25" customHeight="1" x14ac:dyDescent="0.3">
      <c r="A23" s="52"/>
      <c r="B23" s="73" t="s">
        <v>948</v>
      </c>
      <c r="D23" s="205"/>
      <c r="E23" s="205"/>
      <c r="F23" s="205"/>
      <c r="G23" s="205"/>
      <c r="H23" s="224" t="str">
        <f>IF(ROUND(SUM(IS!D23:G23),1)=ROUND(IS!H23,1),"OK","ERROR")</f>
        <v>OK</v>
      </c>
      <c r="I23" s="207"/>
      <c r="J23" s="205"/>
      <c r="K23" s="205"/>
      <c r="L23" s="205"/>
      <c r="M23" s="205"/>
      <c r="N23" s="224" t="str">
        <f>IF(ROUND(SUM(IS!J23:M23),1)=ROUND(IS!N23,1),"OK","ERROR")</f>
        <v>OK</v>
      </c>
      <c r="O23" s="207"/>
      <c r="P23" s="205"/>
      <c r="Q23" s="205"/>
      <c r="R23" s="205"/>
      <c r="S23" s="205"/>
      <c r="T23" s="224" t="str">
        <f>IF(ROUND(SUM(IS!P23:S23),1)=ROUND(IS!T23,1),"OK","ERROR")</f>
        <v>OK</v>
      </c>
      <c r="U23" s="207"/>
      <c r="V23" s="205"/>
      <c r="W23" s="205"/>
      <c r="X23" s="205"/>
      <c r="Y23" s="205"/>
      <c r="Z23" s="224" t="str">
        <f>IF(ROUND(SUM(IS!V23:Y23),1)=ROUND(IS!Z23,1),"OK","ERROR")</f>
        <v>OK</v>
      </c>
      <c r="AA23" s="210"/>
      <c r="AB23" s="205"/>
      <c r="AC23" s="205"/>
      <c r="AD23" s="205"/>
      <c r="AE23" s="205"/>
      <c r="AF23" s="224" t="str">
        <f>IF(ROUND(SUM(IS!AB23:AE23),1)=ROUND(IS!AF23,1),"OK","ERROR")</f>
        <v>OK</v>
      </c>
      <c r="AG23" s="208"/>
      <c r="AH23" s="205"/>
      <c r="AI23" s="205"/>
      <c r="AJ23" s="209"/>
      <c r="AK23" s="209"/>
      <c r="AL23" s="224" t="str">
        <f>IF(ROUND(SUM(IS!AH23:AK23),1)=ROUND(IS!AL23,1),"OK","ERROR")</f>
        <v>OK</v>
      </c>
      <c r="AM23" s="221"/>
      <c r="AN23" s="209"/>
      <c r="AO23" s="209"/>
      <c r="AP23" s="209"/>
      <c r="AQ23" s="209"/>
      <c r="AR23" s="224" t="str">
        <f>IF(ROUND(SUM(IS!AN23:AQ23),1)=ROUND(IS!AR23,1),"OK","ERROR")</f>
        <v>OK</v>
      </c>
    </row>
    <row r="24" spans="1:44" ht="14.25" customHeight="1" x14ac:dyDescent="0.3">
      <c r="A24" s="70"/>
      <c r="B24" s="76" t="s">
        <v>250</v>
      </c>
      <c r="D24" s="205"/>
      <c r="E24" s="205"/>
      <c r="F24" s="205"/>
      <c r="G24" s="205"/>
      <c r="H24" s="224" t="str">
        <f>IF(ROUND(SUM(IS!D24:G24),1)=ROUND(IS!H24,1),"OK","ERROR")</f>
        <v>OK</v>
      </c>
      <c r="I24" s="207"/>
      <c r="J24" s="205"/>
      <c r="K24" s="205"/>
      <c r="L24" s="205"/>
      <c r="M24" s="205"/>
      <c r="N24" s="224" t="str">
        <f>IF(ROUND(SUM(IS!J24:M24),1)=ROUND(IS!N24,1),"OK","ERROR")</f>
        <v>OK</v>
      </c>
      <c r="O24" s="207"/>
      <c r="P24" s="205"/>
      <c r="Q24" s="205"/>
      <c r="R24" s="205"/>
      <c r="S24" s="205"/>
      <c r="T24" s="224" t="str">
        <f>IF(ROUND(SUM(IS!P24:S24),1)=ROUND(IS!T24,1),"OK","ERROR")</f>
        <v>OK</v>
      </c>
      <c r="U24" s="207"/>
      <c r="V24" s="205"/>
      <c r="W24" s="205"/>
      <c r="X24" s="205"/>
      <c r="Y24" s="205"/>
      <c r="Z24" s="224" t="str">
        <f>IF(ROUND(SUM(IS!V24:Y24),1)=ROUND(IS!Z24,1),"OK","ERROR")</f>
        <v>OK</v>
      </c>
      <c r="AA24" s="210"/>
      <c r="AB24" s="205"/>
      <c r="AC24" s="205"/>
      <c r="AD24" s="205"/>
      <c r="AE24" s="205"/>
      <c r="AF24" s="224" t="str">
        <f>IF(ROUND(SUM(IS!AB24:AE24),1)=ROUND(IS!AF24,1),"OK","ERROR")</f>
        <v>OK</v>
      </c>
      <c r="AG24" s="208"/>
      <c r="AH24" s="205"/>
      <c r="AI24" s="205"/>
      <c r="AJ24" s="209"/>
      <c r="AK24" s="209"/>
      <c r="AL24" s="224" t="str">
        <f>IF(ROUND(SUM(IS!AH24:AK24),1)=ROUND(IS!AL24,1),"OK","ERROR")</f>
        <v>ERROR</v>
      </c>
      <c r="AM24" s="221"/>
      <c r="AN24" s="209"/>
      <c r="AO24" s="209"/>
      <c r="AP24" s="209"/>
      <c r="AQ24" s="209"/>
      <c r="AR24" s="224" t="str">
        <f>IF(ROUND(SUM(IS!AN24:AQ24),1)=ROUND(IS!AR24,1),"OK","ERROR")</f>
        <v>OK</v>
      </c>
    </row>
    <row r="25" spans="1:44" ht="14.25" customHeight="1" x14ac:dyDescent="0.3">
      <c r="A25" s="52"/>
      <c r="B25" s="77"/>
      <c r="D25" s="205"/>
      <c r="E25" s="205"/>
      <c r="F25" s="205"/>
      <c r="G25" s="205"/>
      <c r="H25" s="217"/>
      <c r="I25" s="207"/>
      <c r="J25" s="205"/>
      <c r="K25" s="205"/>
      <c r="L25" s="205"/>
      <c r="M25" s="205"/>
      <c r="N25" s="217"/>
      <c r="O25" s="207"/>
      <c r="P25" s="205"/>
      <c r="Q25" s="205"/>
      <c r="R25" s="205"/>
      <c r="S25" s="205"/>
      <c r="T25" s="217"/>
      <c r="U25" s="207"/>
      <c r="V25" s="205"/>
      <c r="W25" s="205"/>
      <c r="X25" s="205"/>
      <c r="Y25" s="205"/>
      <c r="Z25" s="217"/>
      <c r="AA25" s="210"/>
      <c r="AB25" s="205"/>
      <c r="AC25" s="205"/>
      <c r="AD25" s="205"/>
      <c r="AE25" s="205"/>
      <c r="AF25" s="217"/>
      <c r="AG25" s="208"/>
      <c r="AH25" s="205"/>
      <c r="AI25" s="205"/>
      <c r="AJ25" s="209"/>
      <c r="AK25" s="209"/>
      <c r="AL25" s="217"/>
      <c r="AM25" s="221"/>
      <c r="AN25" s="209"/>
      <c r="AO25" s="209"/>
      <c r="AP25" s="209"/>
      <c r="AQ25" s="209"/>
      <c r="AR25" s="217"/>
    </row>
    <row r="26" spans="1:44" ht="14.25" customHeight="1" x14ac:dyDescent="0.3">
      <c r="A26" s="41" t="s">
        <v>39</v>
      </c>
      <c r="B26" s="62" t="s">
        <v>949</v>
      </c>
      <c r="D26" s="205"/>
      <c r="E26" s="205"/>
      <c r="F26" s="205"/>
      <c r="G26" s="205"/>
      <c r="H26" s="217"/>
      <c r="I26" s="207"/>
      <c r="J26" s="205"/>
      <c r="K26" s="205"/>
      <c r="L26" s="205"/>
      <c r="M26" s="205"/>
      <c r="N26" s="217"/>
      <c r="O26" s="207"/>
      <c r="P26" s="205"/>
      <c r="Q26" s="205"/>
      <c r="R26" s="205"/>
      <c r="S26" s="205"/>
      <c r="T26" s="217"/>
      <c r="U26" s="207"/>
      <c r="V26" s="205"/>
      <c r="W26" s="205"/>
      <c r="X26" s="205"/>
      <c r="Y26" s="205"/>
      <c r="Z26" s="217"/>
      <c r="AA26" s="225"/>
      <c r="AB26" s="205"/>
      <c r="AC26" s="205"/>
      <c r="AD26" s="205"/>
      <c r="AE26" s="205"/>
      <c r="AF26" s="217"/>
      <c r="AG26" s="226"/>
      <c r="AH26" s="205"/>
      <c r="AI26" s="205"/>
      <c r="AJ26" s="209"/>
      <c r="AK26" s="209"/>
      <c r="AL26" s="217"/>
      <c r="AM26" s="225"/>
      <c r="AN26" s="209"/>
      <c r="AO26" s="209"/>
      <c r="AP26" s="209"/>
      <c r="AQ26" s="209"/>
      <c r="AR26" s="217"/>
    </row>
    <row r="27" spans="1:44" ht="14.25" customHeight="1" x14ac:dyDescent="0.3">
      <c r="A27" s="81"/>
      <c r="B27" s="67" t="s">
        <v>950</v>
      </c>
      <c r="D27" s="205"/>
      <c r="E27" s="205"/>
      <c r="F27" s="205"/>
      <c r="G27" s="205"/>
      <c r="H27" s="217" t="str">
        <f>IF(ROUND(SUM(IS!D27:G27),1)=ROUND(IS!H27,1),"OK","ERROR")</f>
        <v>OK</v>
      </c>
      <c r="I27" s="207"/>
      <c r="J27" s="205"/>
      <c r="K27" s="205"/>
      <c r="L27" s="205"/>
      <c r="M27" s="205"/>
      <c r="N27" s="217" t="str">
        <f>IF(ROUND(SUM(IS!J27:M27),1)=ROUND(IS!N27,1),"OK","ERROR")</f>
        <v>OK</v>
      </c>
      <c r="O27" s="207"/>
      <c r="P27" s="205"/>
      <c r="Q27" s="205"/>
      <c r="R27" s="205"/>
      <c r="S27" s="205"/>
      <c r="T27" s="217" t="str">
        <f>IF(ROUND(SUM(IS!P27:S27),1)=ROUND(IS!T27,1),"OK","ERROR")</f>
        <v>OK</v>
      </c>
      <c r="U27" s="207"/>
      <c r="V27" s="205"/>
      <c r="W27" s="205"/>
      <c r="X27" s="205"/>
      <c r="Y27" s="205"/>
      <c r="Z27" s="217" t="str">
        <f>IF(ROUND(SUM(IS!V27:Y27),1)=ROUND(IS!Z27,1),"OK","ERROR")</f>
        <v>OK</v>
      </c>
      <c r="AA27" s="225"/>
      <c r="AB27" s="205"/>
      <c r="AC27" s="205"/>
      <c r="AD27" s="205"/>
      <c r="AE27" s="205"/>
      <c r="AF27" s="217" t="str">
        <f>IF(ROUND(SUM(IS!AB27:AE27),1)=ROUND(IS!AF27,1),"OK","ERROR")</f>
        <v>OK</v>
      </c>
      <c r="AG27" s="226"/>
      <c r="AH27" s="205"/>
      <c r="AI27" s="205"/>
      <c r="AJ27" s="209"/>
      <c r="AK27" s="209"/>
      <c r="AL27" s="217" t="str">
        <f>IF(ROUND(SUM(IS!AH27:AK27),1)=ROUND(IS!AL27,1),"OK","ERROR")</f>
        <v>OK</v>
      </c>
      <c r="AM27" s="225"/>
      <c r="AN27" s="209"/>
      <c r="AO27" s="209"/>
      <c r="AP27" s="209"/>
      <c r="AQ27" s="209"/>
      <c r="AR27" s="217" t="str">
        <f>IF(ROUND(SUM(IS!AN27:AQ27),1)=ROUND(IS!AR27,1),"OK","ERROR")</f>
        <v>OK</v>
      </c>
    </row>
    <row r="28" spans="1:44" ht="14.25" customHeight="1" x14ac:dyDescent="0.3">
      <c r="A28" s="52"/>
      <c r="B28" s="67" t="s">
        <v>951</v>
      </c>
      <c r="D28" s="205"/>
      <c r="E28" s="205"/>
      <c r="F28" s="205"/>
      <c r="G28" s="205"/>
      <c r="H28" s="217" t="str">
        <f>IF(ROUND(SUM(IS!D28:G28),1)=ROUND(IS!H28,1),"OK","ERROR")</f>
        <v>OK</v>
      </c>
      <c r="I28" s="207"/>
      <c r="J28" s="205"/>
      <c r="K28" s="205"/>
      <c r="L28" s="205"/>
      <c r="M28" s="205"/>
      <c r="N28" s="217" t="str">
        <f>IF(ROUND(SUM(IS!J28:M28),1)=ROUND(IS!N28,1),"OK","ERROR")</f>
        <v>OK</v>
      </c>
      <c r="O28" s="207"/>
      <c r="P28" s="205"/>
      <c r="Q28" s="205"/>
      <c r="R28" s="205"/>
      <c r="S28" s="205"/>
      <c r="T28" s="217" t="str">
        <f>IF(ROUND(SUM(IS!P28:S28),1)=ROUND(IS!T28,1),"OK","ERROR")</f>
        <v>OK</v>
      </c>
      <c r="U28" s="207"/>
      <c r="V28" s="205"/>
      <c r="W28" s="205"/>
      <c r="X28" s="205"/>
      <c r="Y28" s="205"/>
      <c r="Z28" s="217" t="str">
        <f>IF(ROUND(SUM(IS!V28:Y28),1)=ROUND(IS!Z28,1),"OK","ERROR")</f>
        <v>OK</v>
      </c>
      <c r="AA28" s="210"/>
      <c r="AB28" s="205"/>
      <c r="AC28" s="205"/>
      <c r="AD28" s="205"/>
      <c r="AE28" s="205"/>
      <c r="AF28" s="217" t="str">
        <f>IF(ROUND(SUM(IS!AB28:AE28),1)=ROUND(IS!AF28,1),"OK","ERROR")</f>
        <v>OK</v>
      </c>
      <c r="AG28" s="208"/>
      <c r="AH28" s="205"/>
      <c r="AI28" s="205"/>
      <c r="AJ28" s="209"/>
      <c r="AK28" s="209"/>
      <c r="AL28" s="217" t="str">
        <f>IF(ROUND(SUM(IS!AH28:AK28),1)=ROUND(IS!AL28,1),"OK","ERROR")</f>
        <v>ERROR</v>
      </c>
      <c r="AM28" s="221"/>
      <c r="AN28" s="209"/>
      <c r="AO28" s="209"/>
      <c r="AP28" s="209"/>
      <c r="AQ28" s="209"/>
      <c r="AR28" s="217" t="str">
        <f>IF(ROUND(SUM(IS!AN28:AQ28),1)=ROUND(IS!AR28,1),"OK","ERROR")</f>
        <v>OK</v>
      </c>
    </row>
    <row r="29" spans="1:44" ht="14.25" customHeight="1" x14ac:dyDescent="0.3">
      <c r="A29" s="70"/>
      <c r="B29" s="67" t="s">
        <v>952</v>
      </c>
      <c r="D29" s="205"/>
      <c r="E29" s="205"/>
      <c r="F29" s="205"/>
      <c r="G29" s="205"/>
      <c r="H29" s="217" t="str">
        <f>IF(ROUND(SUM(IS!D29:G29),1)=ROUND(IS!H29,1),"OK","ERROR")</f>
        <v>OK</v>
      </c>
      <c r="I29" s="207"/>
      <c r="J29" s="205"/>
      <c r="K29" s="205"/>
      <c r="L29" s="205"/>
      <c r="M29" s="205"/>
      <c r="N29" s="217" t="str">
        <f>IF(ROUND(SUM(IS!J29:M29),1)=ROUND(IS!N29,1),"OK","ERROR")</f>
        <v>OK</v>
      </c>
      <c r="O29" s="207"/>
      <c r="P29" s="205"/>
      <c r="Q29" s="205"/>
      <c r="R29" s="205"/>
      <c r="S29" s="205"/>
      <c r="T29" s="217" t="str">
        <f>IF(ROUND(SUM(IS!P29:S29),1)=ROUND(IS!T29,1),"OK","ERROR")</f>
        <v>OK</v>
      </c>
      <c r="U29" s="207"/>
      <c r="V29" s="205"/>
      <c r="W29" s="205"/>
      <c r="X29" s="205"/>
      <c r="Y29" s="205"/>
      <c r="Z29" s="217" t="str">
        <f>IF(ROUND(SUM(IS!V29:Y29),1)=ROUND(IS!Z29,1),"OK","ERROR")</f>
        <v>OK</v>
      </c>
      <c r="AA29" s="225"/>
      <c r="AB29" s="205"/>
      <c r="AC29" s="205"/>
      <c r="AD29" s="205"/>
      <c r="AE29" s="205"/>
      <c r="AF29" s="217" t="str">
        <f>IF(ROUND(SUM(IS!AB29:AE29),1)=ROUND(IS!AF29,1),"OK","ERROR")</f>
        <v>OK</v>
      </c>
      <c r="AG29" s="226"/>
      <c r="AH29" s="205"/>
      <c r="AI29" s="205"/>
      <c r="AJ29" s="209"/>
      <c r="AK29" s="209"/>
      <c r="AL29" s="217" t="str">
        <f>IF(ROUND(SUM(IS!AH29:AK29),1)=ROUND(IS!AL29,1),"OK","ERROR")</f>
        <v>OK</v>
      </c>
      <c r="AM29" s="225"/>
      <c r="AN29" s="209"/>
      <c r="AO29" s="209"/>
      <c r="AP29" s="209"/>
      <c r="AQ29" s="209"/>
      <c r="AR29" s="217" t="str">
        <f>IF(ROUND(SUM(IS!AN29:AQ29),1)=ROUND(IS!AR29,1),"OK","ERROR")</f>
        <v>OK</v>
      </c>
    </row>
    <row r="30" spans="1:44" ht="14.25" customHeight="1" x14ac:dyDescent="0.3">
      <c r="A30" s="52"/>
      <c r="B30" s="67" t="s">
        <v>953</v>
      </c>
      <c r="D30" s="205"/>
      <c r="E30" s="205"/>
      <c r="F30" s="205"/>
      <c r="G30" s="205"/>
      <c r="H30" s="223" t="str">
        <f>IF(ROUND(SUM(IS!D30:G30),1)=ROUND(IS!H30,1),"OK","ERROR")</f>
        <v>OK</v>
      </c>
      <c r="I30" s="207"/>
      <c r="J30" s="205"/>
      <c r="K30" s="205"/>
      <c r="L30" s="205"/>
      <c r="M30" s="205"/>
      <c r="N30" s="223" t="str">
        <f>IF(ROUND(SUM(IS!J30:M30),1)=ROUND(IS!N30,1),"OK","ERROR")</f>
        <v>OK</v>
      </c>
      <c r="O30" s="207"/>
      <c r="P30" s="205"/>
      <c r="Q30" s="205"/>
      <c r="R30" s="205"/>
      <c r="S30" s="205"/>
      <c r="T30" s="223" t="str">
        <f>IF(ROUND(SUM(IS!P30:S30),1)=ROUND(IS!T30,1),"OK","ERROR")</f>
        <v>OK</v>
      </c>
      <c r="U30" s="207"/>
      <c r="V30" s="205"/>
      <c r="W30" s="205"/>
      <c r="X30" s="205"/>
      <c r="Y30" s="205"/>
      <c r="Z30" s="223" t="str">
        <f>IF(ROUND(SUM(IS!V30:Y30),1)=ROUND(IS!Z30,1),"OK","ERROR")</f>
        <v>OK</v>
      </c>
      <c r="AA30" s="210"/>
      <c r="AB30" s="205"/>
      <c r="AC30" s="205"/>
      <c r="AD30" s="205"/>
      <c r="AE30" s="205"/>
      <c r="AF30" s="223" t="str">
        <f>IF(ROUND(SUM(IS!AB30:AE30),1)=ROUND(IS!AF30,1),"OK","ERROR")</f>
        <v>OK</v>
      </c>
      <c r="AG30" s="208"/>
      <c r="AH30" s="205"/>
      <c r="AI30" s="205"/>
      <c r="AJ30" s="209"/>
      <c r="AK30" s="209"/>
      <c r="AL30" s="223" t="str">
        <f>IF(ROUND(SUM(IS!AH30:AK30),1)=ROUND(IS!AL30,1),"OK","ERROR")</f>
        <v>ERROR</v>
      </c>
      <c r="AM30" s="221"/>
      <c r="AN30" s="209"/>
      <c r="AO30" s="209"/>
      <c r="AP30" s="209"/>
      <c r="AQ30" s="209"/>
      <c r="AR30" s="223" t="str">
        <f>IF(ROUND(SUM(IS!AN30:AQ30),1)=ROUND(IS!AR30,1),"OK","ERROR")</f>
        <v>OK</v>
      </c>
    </row>
    <row r="31" spans="1:44" ht="14.25" customHeight="1" x14ac:dyDescent="0.3">
      <c r="A31" s="70"/>
      <c r="B31" s="73" t="s">
        <v>954</v>
      </c>
      <c r="D31" s="205"/>
      <c r="E31" s="205"/>
      <c r="F31" s="205"/>
      <c r="G31" s="205"/>
      <c r="H31" s="228" t="str">
        <f>IF(ROUND(SUM(IS!D31:G31),1)=ROUND(IS!H31,1),"OK","ERROR")</f>
        <v>OK</v>
      </c>
      <c r="I31" s="207"/>
      <c r="J31" s="205"/>
      <c r="K31" s="205"/>
      <c r="L31" s="205"/>
      <c r="M31" s="205"/>
      <c r="N31" s="228" t="str">
        <f>IF(ROUND(SUM(IS!J31:M31),1)=ROUND(IS!N31,1),"OK","ERROR")</f>
        <v>OK</v>
      </c>
      <c r="O31" s="207"/>
      <c r="P31" s="205"/>
      <c r="Q31" s="205"/>
      <c r="R31" s="205"/>
      <c r="S31" s="205"/>
      <c r="T31" s="228" t="str">
        <f>IF(ROUND(SUM(IS!P31:S31),1)=ROUND(IS!T31,1),"OK","ERROR")</f>
        <v>OK</v>
      </c>
      <c r="U31" s="207"/>
      <c r="V31" s="205"/>
      <c r="W31" s="205"/>
      <c r="X31" s="205"/>
      <c r="Y31" s="205"/>
      <c r="Z31" s="228" t="str">
        <f>IF(ROUND(SUM(IS!V31:Y31),1)=ROUND(IS!Z31,1),"OK","ERROR")</f>
        <v>OK</v>
      </c>
      <c r="AA31" s="225"/>
      <c r="AB31" s="205"/>
      <c r="AC31" s="205"/>
      <c r="AD31" s="205"/>
      <c r="AE31" s="205"/>
      <c r="AF31" s="228" t="str">
        <f>IF(ROUND(SUM(IS!AB31:AE31),1)=ROUND(IS!AF31,1),"OK","ERROR")</f>
        <v>OK</v>
      </c>
      <c r="AG31" s="226"/>
      <c r="AH31" s="205"/>
      <c r="AI31" s="205"/>
      <c r="AJ31" s="209"/>
      <c r="AK31" s="209"/>
      <c r="AL31" s="228" t="str">
        <f>IF(ROUND(SUM(IS!AH31:AK31),1)=ROUND(IS!AL31,1),"OK","ERROR")</f>
        <v>ERROR</v>
      </c>
      <c r="AM31" s="225"/>
      <c r="AN31" s="209"/>
      <c r="AO31" s="209"/>
      <c r="AP31" s="209"/>
      <c r="AQ31" s="209"/>
      <c r="AR31" s="228" t="str">
        <f>IF(ROUND(SUM(IS!AN31:AQ31),1)=ROUND(IS!AR31,1),"OK","ERROR")</f>
        <v>OK</v>
      </c>
    </row>
    <row r="32" spans="1:44" ht="14.25" customHeight="1" x14ac:dyDescent="0.3">
      <c r="A32" s="70"/>
      <c r="B32" s="73" t="s">
        <v>955</v>
      </c>
      <c r="D32" s="205"/>
      <c r="E32" s="205"/>
      <c r="F32" s="205"/>
      <c r="G32" s="205"/>
      <c r="H32" s="223" t="str">
        <f>IF(ROUND(SUM(IS!D32:G32),1)=ROUND(IS!H32,1),"OK","ERROR")</f>
        <v>OK</v>
      </c>
      <c r="I32" s="207"/>
      <c r="J32" s="205"/>
      <c r="K32" s="205"/>
      <c r="L32" s="205"/>
      <c r="M32" s="205"/>
      <c r="N32" s="223" t="str">
        <f>IF(ROUND(SUM(IS!J32:M32),1)=ROUND(IS!N32,1),"OK","ERROR")</f>
        <v>OK</v>
      </c>
      <c r="O32" s="207"/>
      <c r="P32" s="205"/>
      <c r="Q32" s="205"/>
      <c r="R32" s="205"/>
      <c r="S32" s="205"/>
      <c r="T32" s="223" t="str">
        <f>IF(ROUND(SUM(IS!P32:S32),1)=ROUND(IS!T32,1),"OK","ERROR")</f>
        <v>OK</v>
      </c>
      <c r="U32" s="207"/>
      <c r="V32" s="205"/>
      <c r="W32" s="205"/>
      <c r="X32" s="205"/>
      <c r="Y32" s="205"/>
      <c r="Z32" s="223" t="str">
        <f>IF(ROUND(SUM(IS!V32:Y32),1)=ROUND(IS!Z32,1),"OK","ERROR")</f>
        <v>OK</v>
      </c>
      <c r="AA32" s="229"/>
      <c r="AB32" s="205"/>
      <c r="AC32" s="205"/>
      <c r="AD32" s="205"/>
      <c r="AE32" s="205"/>
      <c r="AF32" s="223" t="str">
        <f>IF(ROUND(SUM(IS!AB32:AE32),1)=ROUND(IS!AF32,1),"OK","ERROR")</f>
        <v>OK</v>
      </c>
      <c r="AG32" s="226"/>
      <c r="AH32" s="205"/>
      <c r="AI32" s="205"/>
      <c r="AJ32" s="209"/>
      <c r="AK32" s="209"/>
      <c r="AL32" s="223" t="str">
        <f>IF(ROUND(SUM(IS!AH32:AK32),1)=ROUND(IS!AL32,1),"OK","ERROR")</f>
        <v>OK</v>
      </c>
      <c r="AM32" s="229"/>
      <c r="AN32" s="209"/>
      <c r="AO32" s="209"/>
      <c r="AP32" s="209"/>
      <c r="AQ32" s="209"/>
      <c r="AR32" s="223" t="str">
        <f>IF(ROUND(SUM(IS!AN32:AQ32),1)=ROUND(IS!AR32,1),"OK","ERROR")</f>
        <v>OK</v>
      </c>
    </row>
    <row r="33" spans="1:44" ht="14.25" customHeight="1" x14ac:dyDescent="0.3">
      <c r="A33" s="52"/>
      <c r="B33" s="76" t="s">
        <v>956</v>
      </c>
      <c r="D33" s="205"/>
      <c r="E33" s="205"/>
      <c r="F33" s="205"/>
      <c r="G33" s="205"/>
      <c r="H33" s="223" t="str">
        <f>IF(ROUND(SUM(IS!D33:G33),1)=ROUND(IS!H33,1),"OK","ERROR")</f>
        <v>OK</v>
      </c>
      <c r="I33" s="207"/>
      <c r="J33" s="205"/>
      <c r="K33" s="205"/>
      <c r="L33" s="205"/>
      <c r="M33" s="205"/>
      <c r="N33" s="223" t="str">
        <f>IF(ROUND(SUM(IS!J33:M33),1)=ROUND(IS!N33,1),"OK","ERROR")</f>
        <v>OK</v>
      </c>
      <c r="O33" s="207"/>
      <c r="P33" s="205"/>
      <c r="Q33" s="205"/>
      <c r="R33" s="205"/>
      <c r="S33" s="205"/>
      <c r="T33" s="223" t="str">
        <f>IF(ROUND(SUM(IS!P33:S33),1)=ROUND(IS!T33,1),"OK","ERROR")</f>
        <v>OK</v>
      </c>
      <c r="U33" s="207"/>
      <c r="V33" s="205"/>
      <c r="W33" s="205"/>
      <c r="X33" s="205"/>
      <c r="Y33" s="205"/>
      <c r="Z33" s="223" t="str">
        <f>IF(ROUND(SUM(IS!V33:Y33),1)=ROUND(IS!Z33,1),"OK","ERROR")</f>
        <v>OK</v>
      </c>
      <c r="AA33" s="210"/>
      <c r="AB33" s="205"/>
      <c r="AC33" s="205"/>
      <c r="AD33" s="205"/>
      <c r="AE33" s="205"/>
      <c r="AF33" s="223" t="str">
        <f>IF(ROUND(SUM(IS!AB33:AE33),1)=ROUND(IS!AF33,1),"OK","ERROR")</f>
        <v>OK</v>
      </c>
      <c r="AG33" s="208"/>
      <c r="AH33" s="205"/>
      <c r="AI33" s="205"/>
      <c r="AJ33" s="209"/>
      <c r="AK33" s="209"/>
      <c r="AL33" s="223" t="str">
        <f>IF(ROUND(SUM(IS!AH33:AK33),1)=ROUND(IS!AL33,1),"OK","ERROR")</f>
        <v>ERROR</v>
      </c>
      <c r="AM33" s="221"/>
      <c r="AN33" s="209"/>
      <c r="AO33" s="209"/>
      <c r="AP33" s="209"/>
      <c r="AQ33" s="209"/>
      <c r="AR33" s="223" t="str">
        <f>IF(ROUND(SUM(IS!AN33:AQ33),1)=ROUND(IS!AR33,1),"OK","ERROR")</f>
        <v>OK</v>
      </c>
    </row>
    <row r="34" spans="1:44" ht="14.25" customHeight="1" x14ac:dyDescent="0.3">
      <c r="A34" s="70"/>
      <c r="B34" s="203"/>
      <c r="D34" s="205"/>
      <c r="E34" s="205"/>
      <c r="F34" s="205"/>
      <c r="G34" s="205"/>
      <c r="H34" s="217"/>
      <c r="I34" s="207"/>
      <c r="J34" s="205"/>
      <c r="K34" s="205"/>
      <c r="L34" s="205"/>
      <c r="M34" s="205"/>
      <c r="N34" s="217"/>
      <c r="O34" s="207"/>
      <c r="P34" s="205"/>
      <c r="Q34" s="205"/>
      <c r="R34" s="205"/>
      <c r="S34" s="205"/>
      <c r="T34" s="217"/>
      <c r="U34" s="207"/>
      <c r="V34" s="205"/>
      <c r="W34" s="205"/>
      <c r="X34" s="205"/>
      <c r="Y34" s="205"/>
      <c r="Z34" s="217"/>
      <c r="AA34" s="225"/>
      <c r="AB34" s="205"/>
      <c r="AC34" s="205"/>
      <c r="AD34" s="205"/>
      <c r="AE34" s="205"/>
      <c r="AF34" s="217"/>
      <c r="AG34" s="226"/>
      <c r="AH34" s="205"/>
      <c r="AI34" s="205"/>
      <c r="AJ34" s="209"/>
      <c r="AK34" s="209"/>
      <c r="AL34" s="217"/>
      <c r="AM34" s="230"/>
      <c r="AN34" s="209"/>
      <c r="AO34" s="209"/>
      <c r="AP34" s="209"/>
      <c r="AQ34" s="209"/>
      <c r="AR34" s="217"/>
    </row>
    <row r="35" spans="1:44" ht="14.25" customHeight="1" x14ac:dyDescent="0.3">
      <c r="A35" s="41" t="s">
        <v>39</v>
      </c>
      <c r="B35" s="62" t="s">
        <v>957</v>
      </c>
      <c r="D35" s="205"/>
      <c r="E35" s="205"/>
      <c r="F35" s="205"/>
      <c r="G35" s="205"/>
      <c r="H35" s="217"/>
      <c r="I35" s="207"/>
      <c r="J35" s="205"/>
      <c r="K35" s="205"/>
      <c r="L35" s="205"/>
      <c r="M35" s="205"/>
      <c r="N35" s="217"/>
      <c r="O35" s="207"/>
      <c r="P35" s="205"/>
      <c r="Q35" s="205"/>
      <c r="R35" s="205"/>
      <c r="S35" s="205"/>
      <c r="T35" s="217"/>
      <c r="U35" s="207"/>
      <c r="V35" s="205"/>
      <c r="W35" s="205"/>
      <c r="X35" s="205"/>
      <c r="Y35" s="205"/>
      <c r="Z35" s="217"/>
      <c r="AA35" s="210"/>
      <c r="AB35" s="205"/>
      <c r="AC35" s="205"/>
      <c r="AD35" s="205"/>
      <c r="AE35" s="205"/>
      <c r="AF35" s="217"/>
      <c r="AG35" s="208"/>
      <c r="AH35" s="205"/>
      <c r="AI35" s="205"/>
      <c r="AJ35" s="209"/>
      <c r="AK35" s="209"/>
      <c r="AL35" s="217"/>
      <c r="AM35" s="221"/>
      <c r="AN35" s="209"/>
      <c r="AO35" s="209"/>
      <c r="AP35" s="209"/>
      <c r="AQ35" s="209"/>
      <c r="AR35" s="217"/>
    </row>
    <row r="36" spans="1:44" ht="14.25" customHeight="1" x14ac:dyDescent="0.3">
      <c r="A36" s="41"/>
      <c r="B36" s="67" t="s">
        <v>958</v>
      </c>
      <c r="D36" s="205"/>
      <c r="E36" s="205"/>
      <c r="F36" s="205"/>
      <c r="G36" s="205"/>
      <c r="H36" s="217" t="str">
        <f>IF(ROUND(SUM(IS!D36:G36),1)=ROUND(IS!H36,1),"OK","ERROR")</f>
        <v>OK</v>
      </c>
      <c r="I36" s="207"/>
      <c r="J36" s="205"/>
      <c r="K36" s="205"/>
      <c r="L36" s="205"/>
      <c r="M36" s="205"/>
      <c r="N36" s="217" t="str">
        <f>IF(ROUND(SUM(IS!J36:M36),1)=ROUND(IS!N36,1),"OK","ERROR")</f>
        <v>OK</v>
      </c>
      <c r="O36" s="207"/>
      <c r="P36" s="205"/>
      <c r="Q36" s="205"/>
      <c r="R36" s="205"/>
      <c r="S36" s="205"/>
      <c r="T36" s="217" t="str">
        <f>IF(ROUND(SUM(IS!P36:S36),1)=ROUND(IS!T36,1),"OK","ERROR")</f>
        <v>OK</v>
      </c>
      <c r="U36" s="207"/>
      <c r="V36" s="205"/>
      <c r="W36" s="205"/>
      <c r="X36" s="205"/>
      <c r="Y36" s="205"/>
      <c r="Z36" s="217" t="str">
        <f>IF(ROUND(SUM(IS!V36:Y36),1)=ROUND(IS!Z36,1),"OK","ERROR")</f>
        <v>OK</v>
      </c>
      <c r="AA36" s="210"/>
      <c r="AB36" s="205"/>
      <c r="AC36" s="205"/>
      <c r="AD36" s="205"/>
      <c r="AE36" s="205"/>
      <c r="AF36" s="217" t="str">
        <f>IF(ROUND(SUM(IS!AB36:AE36),1)=ROUND(IS!AF36,1),"OK","ERROR")</f>
        <v>OK</v>
      </c>
      <c r="AG36" s="208"/>
      <c r="AH36" s="205"/>
      <c r="AI36" s="205"/>
      <c r="AJ36" s="209"/>
      <c r="AK36" s="209"/>
      <c r="AL36" s="217" t="str">
        <f>IF(ROUND(SUM(IS!AH36:AK36),1)=ROUND(IS!AL36,1),"OK","ERROR")</f>
        <v>ERROR</v>
      </c>
      <c r="AM36" s="221"/>
      <c r="AN36" s="209"/>
      <c r="AO36" s="209"/>
      <c r="AP36" s="209"/>
      <c r="AQ36" s="209"/>
      <c r="AR36" s="217" t="str">
        <f>IF(ROUND(SUM(IS!AN36:AQ36),1)=ROUND(IS!AR36,1),"OK","ERROR")</f>
        <v>OK</v>
      </c>
    </row>
    <row r="37" spans="1:44" ht="14.25" customHeight="1" x14ac:dyDescent="0.3">
      <c r="A37" s="41"/>
      <c r="B37" s="67" t="s">
        <v>959</v>
      </c>
      <c r="D37" s="205"/>
      <c r="E37" s="205"/>
      <c r="F37" s="205"/>
      <c r="G37" s="205"/>
      <c r="H37" s="217" t="str">
        <f>IF(ROUND(SUM(IS!D37:G37),1)=ROUND(IS!H37,1),"OK","ERROR")</f>
        <v>OK</v>
      </c>
      <c r="I37" s="207"/>
      <c r="J37" s="205"/>
      <c r="K37" s="205"/>
      <c r="L37" s="205"/>
      <c r="M37" s="205"/>
      <c r="N37" s="217" t="str">
        <f>IF(ROUND(SUM(IS!J37:M37),1)=ROUND(IS!N37,1),"OK","ERROR")</f>
        <v>ERROR</v>
      </c>
      <c r="O37" s="207"/>
      <c r="P37" s="205"/>
      <c r="Q37" s="205"/>
      <c r="R37" s="205"/>
      <c r="S37" s="205"/>
      <c r="T37" s="217" t="str">
        <f>IF(ROUND(SUM(IS!P37:S37),1)=ROUND(IS!T37,1),"OK","ERROR")</f>
        <v>OK</v>
      </c>
      <c r="U37" s="207"/>
      <c r="V37" s="205"/>
      <c r="W37" s="205"/>
      <c r="X37" s="205"/>
      <c r="Y37" s="205"/>
      <c r="Z37" s="217" t="str">
        <f>IF(ROUND(SUM(IS!V37:Y37),1)=ROUND(IS!Z37,1),"OK","ERROR")</f>
        <v>OK</v>
      </c>
      <c r="AA37" s="210"/>
      <c r="AB37" s="205"/>
      <c r="AC37" s="205"/>
      <c r="AD37" s="205"/>
      <c r="AE37" s="205"/>
      <c r="AF37" s="217" t="str">
        <f>IF(ROUND(SUM(IS!AB37:AE37),1)=ROUND(IS!AF37,1),"OK","ERROR")</f>
        <v>OK</v>
      </c>
      <c r="AG37" s="208"/>
      <c r="AH37" s="205"/>
      <c r="AI37" s="205"/>
      <c r="AJ37" s="209"/>
      <c r="AK37" s="209"/>
      <c r="AL37" s="217" t="str">
        <f>IF(ROUND(SUM(IS!AH37:AK37),1)=ROUND(IS!AL37,1),"OK","ERROR")</f>
        <v>OK</v>
      </c>
      <c r="AM37" s="221"/>
      <c r="AN37" s="209"/>
      <c r="AO37" s="209"/>
      <c r="AP37" s="209"/>
      <c r="AQ37" s="209"/>
      <c r="AR37" s="217" t="str">
        <f>IF(ROUND(SUM(IS!AN37:AQ37),1)=ROUND(IS!AR37,1),"OK","ERROR")</f>
        <v>OK</v>
      </c>
    </row>
    <row r="38" spans="1:44" ht="14.25" customHeight="1" x14ac:dyDescent="0.3">
      <c r="A38" s="52" t="s">
        <v>39</v>
      </c>
      <c r="B38" s="73" t="s">
        <v>960</v>
      </c>
      <c r="D38" s="205"/>
      <c r="E38" s="205"/>
      <c r="F38" s="205"/>
      <c r="G38" s="205"/>
      <c r="H38" s="217" t="str">
        <f>IF(ROUND(SUM(IS!D38:G38),1)=ROUND(IS!H38,1),"OK","ERROR")</f>
        <v>OK</v>
      </c>
      <c r="I38" s="207"/>
      <c r="J38" s="205"/>
      <c r="K38" s="205"/>
      <c r="L38" s="205"/>
      <c r="M38" s="205"/>
      <c r="N38" s="217" t="str">
        <f>IF(ROUND(SUM(IS!J38:M38),1)=ROUND(IS!N38,1),"OK","ERROR")</f>
        <v>ERROR</v>
      </c>
      <c r="O38" s="207"/>
      <c r="P38" s="205"/>
      <c r="Q38" s="205"/>
      <c r="R38" s="205"/>
      <c r="S38" s="205"/>
      <c r="T38" s="217" t="str">
        <f>IF(ROUND(SUM(IS!P38:S38),1)=ROUND(IS!T38,1),"OK","ERROR")</f>
        <v>OK</v>
      </c>
      <c r="U38" s="207"/>
      <c r="V38" s="205"/>
      <c r="W38" s="205"/>
      <c r="X38" s="205"/>
      <c r="Y38" s="205"/>
      <c r="Z38" s="217" t="str">
        <f>IF(ROUND(SUM(IS!V38:Y38),1)=ROUND(IS!Z38,1),"OK","ERROR")</f>
        <v>ERROR</v>
      </c>
      <c r="AA38" s="210"/>
      <c r="AB38" s="205"/>
      <c r="AC38" s="205"/>
      <c r="AD38" s="205"/>
      <c r="AE38" s="205"/>
      <c r="AF38" s="217" t="str">
        <f>IF(ROUND(SUM(IS!AB38:AE38),1)=ROUND(IS!AF38,1),"OK","ERROR")</f>
        <v>ERROR</v>
      </c>
      <c r="AG38" s="208"/>
      <c r="AH38" s="205"/>
      <c r="AI38" s="205"/>
      <c r="AJ38" s="209"/>
      <c r="AK38" s="209"/>
      <c r="AL38" s="217" t="str">
        <f>IF(ROUND(SUM(IS!AH38:AK38),1)=ROUND(IS!AL38,1),"OK","ERROR")</f>
        <v>OK</v>
      </c>
      <c r="AM38" s="221"/>
      <c r="AN38" s="209"/>
      <c r="AO38" s="209"/>
      <c r="AP38" s="209"/>
      <c r="AQ38" s="209"/>
      <c r="AR38" s="217" t="str">
        <f>IF(ROUND(SUM(IS!AN38:AQ38),1)=ROUND(IS!AR38,1),"OK","ERROR")</f>
        <v>OK</v>
      </c>
    </row>
    <row r="39" spans="1:44" ht="14.25" customHeight="1" x14ac:dyDescent="0.3">
      <c r="A39" s="70"/>
      <c r="B39" s="73" t="s">
        <v>961</v>
      </c>
      <c r="D39" s="205"/>
      <c r="E39" s="205"/>
      <c r="F39" s="205"/>
      <c r="G39" s="205"/>
      <c r="H39" s="217" t="str">
        <f>IF(ROUND(SUM(IS!D39:G39),1)=ROUND(IS!H39,1),"OK","ERROR")</f>
        <v>OK</v>
      </c>
      <c r="I39" s="207"/>
      <c r="J39" s="205"/>
      <c r="K39" s="205"/>
      <c r="L39" s="205"/>
      <c r="M39" s="205"/>
      <c r="N39" s="217" t="str">
        <f>IF(ROUND(SUM(IS!J39:M39),1)=ROUND(IS!N39,1),"OK","ERROR")</f>
        <v>OK</v>
      </c>
      <c r="O39" s="207"/>
      <c r="P39" s="205"/>
      <c r="Q39" s="205"/>
      <c r="R39" s="205"/>
      <c r="S39" s="205"/>
      <c r="T39" s="217" t="str">
        <f>IF(ROUND(SUM(IS!P39:S39),1)=ROUND(IS!T39,1),"OK","ERROR")</f>
        <v>OK</v>
      </c>
      <c r="U39" s="207"/>
      <c r="V39" s="205"/>
      <c r="W39" s="205"/>
      <c r="X39" s="205"/>
      <c r="Y39" s="205"/>
      <c r="Z39" s="217" t="str">
        <f>IF(ROUND(SUM(IS!V39:Y39),1)=ROUND(IS!Z39,1),"OK","ERROR")</f>
        <v>OK</v>
      </c>
      <c r="AA39" s="225"/>
      <c r="AB39" s="205"/>
      <c r="AC39" s="205"/>
      <c r="AD39" s="205"/>
      <c r="AE39" s="205"/>
      <c r="AF39" s="217" t="str">
        <f>IF(ROUND(SUM(IS!AB39:AE39),1)=ROUND(IS!AF39,1),"OK","ERROR")</f>
        <v>OK</v>
      </c>
      <c r="AG39" s="226"/>
      <c r="AH39" s="205"/>
      <c r="AI39" s="205"/>
      <c r="AJ39" s="209"/>
      <c r="AK39" s="209"/>
      <c r="AL39" s="217" t="str">
        <f>IF(ROUND(SUM(IS!AH39:AK39),1)=ROUND(IS!AL39,1),"OK","ERROR")</f>
        <v>OK</v>
      </c>
      <c r="AM39" s="225"/>
      <c r="AN39" s="209"/>
      <c r="AO39" s="209"/>
      <c r="AP39" s="209"/>
      <c r="AQ39" s="209"/>
      <c r="AR39" s="217" t="str">
        <f>IF(ROUND(SUM(IS!AN39:AQ39),1)=ROUND(IS!AR39,1),"OK","ERROR")</f>
        <v>OK</v>
      </c>
    </row>
    <row r="40" spans="1:44" ht="14.25" customHeight="1" x14ac:dyDescent="0.3">
      <c r="A40" s="52"/>
      <c r="B40" s="73" t="s">
        <v>962</v>
      </c>
      <c r="D40" s="205"/>
      <c r="E40" s="205"/>
      <c r="F40" s="205"/>
      <c r="G40" s="205"/>
      <c r="H40" s="223" t="str">
        <f>IF(ROUND(SUM(IS!D40:G40),1)=ROUND(IS!H40,1),"OK","ERROR")</f>
        <v>ERROR</v>
      </c>
      <c r="I40" s="207"/>
      <c r="J40" s="205"/>
      <c r="K40" s="205"/>
      <c r="L40" s="205"/>
      <c r="M40" s="205"/>
      <c r="N40" s="223" t="str">
        <f>IF(ROUND(SUM(IS!J40:M40),1)=ROUND(IS!N40,1),"OK","ERROR")</f>
        <v>ERROR</v>
      </c>
      <c r="O40" s="207"/>
      <c r="P40" s="205"/>
      <c r="Q40" s="205"/>
      <c r="R40" s="205"/>
      <c r="S40" s="205"/>
      <c r="T40" s="223" t="str">
        <f>IF(ROUND(SUM(IS!P40:S40),1)=ROUND(IS!T40,1),"OK","ERROR")</f>
        <v>ERROR</v>
      </c>
      <c r="U40" s="207"/>
      <c r="V40" s="205"/>
      <c r="W40" s="205"/>
      <c r="X40" s="205"/>
      <c r="Y40" s="205"/>
      <c r="Z40" s="223" t="str">
        <f>IF(ROUND(SUM(IS!V40:Y40),1)=ROUND(IS!Z40,1),"OK","ERROR")</f>
        <v>ERROR</v>
      </c>
      <c r="AA40" s="210"/>
      <c r="AB40" s="205"/>
      <c r="AC40" s="205"/>
      <c r="AD40" s="205"/>
      <c r="AE40" s="205"/>
      <c r="AF40" s="223" t="str">
        <f>IF(ROUND(SUM(IS!AB40:AE40),1)=ROUND(IS!AF40,1),"OK","ERROR")</f>
        <v>ERROR</v>
      </c>
      <c r="AG40" s="208"/>
      <c r="AH40" s="205"/>
      <c r="AI40" s="205"/>
      <c r="AJ40" s="209"/>
      <c r="AK40" s="209"/>
      <c r="AL40" s="223" t="str">
        <f>IF(ROUND(SUM(IS!AH40:AK40),1)=ROUND(IS!AL40,1),"OK","ERROR")</f>
        <v>ERROR</v>
      </c>
      <c r="AM40" s="210"/>
      <c r="AN40" s="209"/>
      <c r="AO40" s="209"/>
      <c r="AP40" s="209"/>
      <c r="AQ40" s="209"/>
      <c r="AR40" s="223" t="str">
        <f>IF(ROUND(SUM(IS!AN40:AQ40),1)=ROUND(IS!AR40,1),"OK","ERROR")</f>
        <v>OK</v>
      </c>
    </row>
    <row r="41" spans="1:44" ht="14.25" customHeight="1" x14ac:dyDescent="0.3">
      <c r="A41" s="70"/>
      <c r="B41" s="76" t="s">
        <v>963</v>
      </c>
      <c r="D41" s="205"/>
      <c r="E41" s="205"/>
      <c r="F41" s="205"/>
      <c r="G41" s="205"/>
      <c r="H41" s="224" t="str">
        <f>IF(ROUND(SUM(IS!D41:G41),1)=ROUND(IS!H41,1),"OK","ERROR")</f>
        <v>ERROR</v>
      </c>
      <c r="I41" s="207"/>
      <c r="J41" s="205"/>
      <c r="K41" s="205"/>
      <c r="L41" s="205"/>
      <c r="M41" s="205"/>
      <c r="N41" s="224" t="str">
        <f>IF(ROUND(SUM(IS!J41:M41),1)=ROUND(IS!N41,1),"OK","ERROR")</f>
        <v>ERROR</v>
      </c>
      <c r="O41" s="207"/>
      <c r="P41" s="205"/>
      <c r="Q41" s="205"/>
      <c r="R41" s="205"/>
      <c r="S41" s="205"/>
      <c r="T41" s="224" t="str">
        <f>IF(ROUND(SUM(IS!P41:S41),1)=ROUND(IS!T41,1),"OK","ERROR")</f>
        <v>ERROR</v>
      </c>
      <c r="U41" s="207"/>
      <c r="V41" s="205"/>
      <c r="W41" s="205"/>
      <c r="X41" s="205"/>
      <c r="Y41" s="205"/>
      <c r="Z41" s="224" t="str">
        <f>IF(ROUND(SUM(IS!V41:Y41),1)=ROUND(IS!Z41,1),"OK","ERROR")</f>
        <v>OK</v>
      </c>
      <c r="AA41" s="229"/>
      <c r="AB41" s="205"/>
      <c r="AC41" s="205"/>
      <c r="AD41" s="205"/>
      <c r="AE41" s="205"/>
      <c r="AF41" s="224" t="str">
        <f>IF(ROUND(SUM(IS!AB41:AE41),1)=ROUND(IS!AF41,1),"OK","ERROR")</f>
        <v>OK</v>
      </c>
      <c r="AG41" s="226"/>
      <c r="AH41" s="205"/>
      <c r="AI41" s="205"/>
      <c r="AJ41" s="209"/>
      <c r="AK41" s="209"/>
      <c r="AL41" s="224" t="str">
        <f>IF(ROUND(SUM(IS!AH41:AK41),1)=ROUND(IS!AL41,1),"OK","ERROR")</f>
        <v>ERROR</v>
      </c>
      <c r="AM41" s="225"/>
      <c r="AN41" s="209"/>
      <c r="AO41" s="209"/>
      <c r="AP41" s="209"/>
      <c r="AQ41" s="209"/>
      <c r="AR41" s="224" t="str">
        <f>IF(ROUND(SUM(IS!AN41:AQ41),1)=ROUND(IS!AR41,1),"OK","ERROR")</f>
        <v>OK</v>
      </c>
    </row>
    <row r="42" spans="1:44" ht="14.25" customHeight="1" x14ac:dyDescent="0.3">
      <c r="A42" s="81"/>
      <c r="B42" s="87" t="s">
        <v>879</v>
      </c>
      <c r="D42" s="205"/>
      <c r="E42" s="205"/>
      <c r="F42" s="205"/>
      <c r="G42" s="205"/>
      <c r="H42" s="224" t="str">
        <f>IF(ROUND(SUM(IS!D42:G42),1)=ROUND(IS!H42,1),"OK","ERROR")</f>
        <v>ERROR</v>
      </c>
      <c r="I42" s="207"/>
      <c r="J42" s="205"/>
      <c r="K42" s="205"/>
      <c r="L42" s="205"/>
      <c r="M42" s="205"/>
      <c r="N42" s="224" t="str">
        <f>IF(ROUND(SUM(IS!J42:M42),1)=ROUND(IS!N42,1),"OK","ERROR")</f>
        <v>ERROR</v>
      </c>
      <c r="O42" s="207"/>
      <c r="P42" s="205"/>
      <c r="Q42" s="205"/>
      <c r="R42" s="205"/>
      <c r="S42" s="205"/>
      <c r="T42" s="224" t="str">
        <f>IF(ROUND(SUM(IS!P42:S42),1)=ROUND(IS!T42,1),"OK","ERROR")</f>
        <v>ERROR</v>
      </c>
      <c r="U42" s="207"/>
      <c r="V42" s="205"/>
      <c r="W42" s="205"/>
      <c r="X42" s="205"/>
      <c r="Y42" s="205"/>
      <c r="Z42" s="224" t="str">
        <f>IF(ROUND(SUM(IS!V42:Y42),1)=ROUND(IS!Z42,1),"OK","ERROR")</f>
        <v>OK</v>
      </c>
      <c r="AA42" s="210"/>
      <c r="AB42" s="205"/>
      <c r="AC42" s="205"/>
      <c r="AD42" s="205"/>
      <c r="AE42" s="205"/>
      <c r="AF42" s="224" t="str">
        <f>IF(ROUND(SUM(IS!AB42:AE42),1)=ROUND(IS!AF42,1),"OK","ERROR")</f>
        <v>OK</v>
      </c>
      <c r="AG42" s="208"/>
      <c r="AH42" s="205"/>
      <c r="AI42" s="205"/>
      <c r="AJ42" s="209"/>
      <c r="AK42" s="209"/>
      <c r="AL42" s="224" t="str">
        <f>IF(ROUND(SUM(IS!AH42:AK42),1)=ROUND(IS!AL42,1),"OK","ERROR")</f>
        <v>ERROR</v>
      </c>
      <c r="AM42" s="210"/>
      <c r="AN42" s="209"/>
      <c r="AO42" s="209"/>
      <c r="AP42" s="209"/>
      <c r="AQ42" s="209"/>
      <c r="AR42" s="224" t="str">
        <f>IF(ROUND(SUM(IS!AN42:AQ42),1)=ROUND(IS!AR42,1),"OK","ERROR")</f>
        <v>OK</v>
      </c>
    </row>
    <row r="43" spans="1:44" ht="14.25" customHeight="1" x14ac:dyDescent="0.3">
      <c r="A43" s="70"/>
      <c r="B43" s="73"/>
      <c r="D43" s="205"/>
      <c r="E43" s="205"/>
      <c r="F43" s="205"/>
      <c r="G43" s="205"/>
      <c r="H43" s="217"/>
      <c r="I43" s="207"/>
      <c r="J43" s="205"/>
      <c r="K43" s="205"/>
      <c r="L43" s="205"/>
      <c r="M43" s="205"/>
      <c r="N43" s="217"/>
      <c r="O43" s="207"/>
      <c r="P43" s="205"/>
      <c r="Q43" s="205"/>
      <c r="R43" s="205"/>
      <c r="S43" s="205"/>
      <c r="T43" s="217"/>
      <c r="U43" s="207"/>
      <c r="V43" s="205"/>
      <c r="W43" s="205"/>
      <c r="X43" s="205"/>
      <c r="Y43" s="205"/>
      <c r="Z43" s="217"/>
      <c r="AA43" s="210"/>
      <c r="AB43" s="205"/>
      <c r="AC43" s="205"/>
      <c r="AD43" s="205"/>
      <c r="AE43" s="205"/>
      <c r="AF43" s="217"/>
      <c r="AG43" s="208"/>
      <c r="AH43" s="205"/>
      <c r="AI43" s="205"/>
      <c r="AJ43" s="209"/>
      <c r="AK43" s="209"/>
      <c r="AL43" s="217"/>
      <c r="AM43" s="210"/>
      <c r="AN43" s="209"/>
      <c r="AO43" s="209"/>
      <c r="AP43" s="209"/>
      <c r="AQ43" s="209"/>
      <c r="AR43" s="217"/>
    </row>
    <row r="44" spans="1:44" ht="14.25" customHeight="1" x14ac:dyDescent="0.3">
      <c r="A44" s="41" t="s">
        <v>39</v>
      </c>
      <c r="B44" s="62" t="s">
        <v>964</v>
      </c>
      <c r="D44" s="205"/>
      <c r="E44" s="205"/>
      <c r="F44" s="205"/>
      <c r="G44" s="205"/>
      <c r="H44" s="217"/>
      <c r="I44" s="207"/>
      <c r="J44" s="205"/>
      <c r="K44" s="205"/>
      <c r="L44" s="205"/>
      <c r="M44" s="205"/>
      <c r="N44" s="217"/>
      <c r="O44" s="207"/>
      <c r="P44" s="205"/>
      <c r="Q44" s="205"/>
      <c r="R44" s="205"/>
      <c r="S44" s="205"/>
      <c r="T44" s="217"/>
      <c r="U44" s="207"/>
      <c r="V44" s="205"/>
      <c r="W44" s="205"/>
      <c r="X44" s="205"/>
      <c r="Y44" s="205"/>
      <c r="Z44" s="217"/>
      <c r="AA44" s="210"/>
      <c r="AB44" s="205"/>
      <c r="AC44" s="205"/>
      <c r="AD44" s="205"/>
      <c r="AE44" s="205"/>
      <c r="AF44" s="217"/>
      <c r="AG44" s="208"/>
      <c r="AH44" s="205"/>
      <c r="AI44" s="205"/>
      <c r="AJ44" s="209"/>
      <c r="AK44" s="209"/>
      <c r="AL44" s="217"/>
      <c r="AM44" s="210"/>
      <c r="AN44" s="209"/>
      <c r="AO44" s="209"/>
      <c r="AP44" s="209"/>
      <c r="AQ44" s="209"/>
      <c r="AR44" s="217"/>
    </row>
    <row r="45" spans="1:44" ht="14.25" customHeight="1" x14ac:dyDescent="0.3">
      <c r="A45" s="81"/>
      <c r="B45" s="67" t="s">
        <v>880</v>
      </c>
      <c r="D45" s="205"/>
      <c r="E45" s="205"/>
      <c r="F45" s="205"/>
      <c r="G45" s="205"/>
      <c r="H45" s="217" t="str">
        <f>IF(ROUND(SUM(IS!D45:G45),1)=ROUND(IS!H45,1),"OK","ERROR")</f>
        <v>ERROR</v>
      </c>
      <c r="I45" s="207"/>
      <c r="J45" s="205"/>
      <c r="K45" s="205"/>
      <c r="L45" s="205"/>
      <c r="M45" s="205"/>
      <c r="N45" s="217" t="str">
        <f>IF(ROUND(SUM(IS!J45:M45),1)=ROUND(IS!N45,1),"OK","ERROR")</f>
        <v>ERROR</v>
      </c>
      <c r="O45" s="207"/>
      <c r="P45" s="205"/>
      <c r="Q45" s="205"/>
      <c r="R45" s="205"/>
      <c r="S45" s="205"/>
      <c r="T45" s="217" t="str">
        <f>IF(ROUND(SUM(IS!P45:S45),1)=ROUND(IS!T45,1),"OK","ERROR")</f>
        <v>ERROR</v>
      </c>
      <c r="U45" s="207"/>
      <c r="V45" s="205"/>
      <c r="W45" s="205"/>
      <c r="X45" s="205"/>
      <c r="Y45" s="205"/>
      <c r="Z45" s="217" t="str">
        <f>IF(ROUND(SUM(IS!V45:Y45),1)=ROUND(IS!Z45,1),"OK","ERROR")</f>
        <v>OK</v>
      </c>
      <c r="AA45" s="221"/>
      <c r="AB45" s="205"/>
      <c r="AC45" s="205"/>
      <c r="AD45" s="205"/>
      <c r="AE45" s="205"/>
      <c r="AF45" s="217" t="str">
        <f>IF(ROUND(SUM(IS!AB45:AE45),1)=ROUND(IS!AF45,1),"OK","ERROR")</f>
        <v>OK</v>
      </c>
      <c r="AG45" s="208"/>
      <c r="AH45" s="205"/>
      <c r="AI45" s="205"/>
      <c r="AJ45" s="209"/>
      <c r="AK45" s="209"/>
      <c r="AL45" s="217" t="str">
        <f>IF(ROUND(SUM(IS!AH45:AK45),1)=ROUND(IS!AL45,1),"OK","ERROR")</f>
        <v>ERROR</v>
      </c>
      <c r="AM45" s="232"/>
      <c r="AN45" s="209"/>
      <c r="AO45" s="209"/>
      <c r="AP45" s="209"/>
      <c r="AQ45" s="209"/>
      <c r="AR45" s="217" t="str">
        <f>IF(ROUND(SUM(IS!AN45:AQ45),1)=ROUND(IS!AR45,1),"OK","ERROR")</f>
        <v>OK</v>
      </c>
    </row>
    <row r="46" spans="1:44" ht="14.25" customHeight="1" x14ac:dyDescent="0.3">
      <c r="A46" s="81"/>
      <c r="B46" s="67" t="s">
        <v>965</v>
      </c>
      <c r="D46" s="205"/>
      <c r="E46" s="205"/>
      <c r="F46" s="205"/>
      <c r="G46" s="205"/>
      <c r="H46" s="217" t="str">
        <f>IF(ROUND(SUM(IS!D46:G46),1)=ROUND(IS!H46,1),"OK","ERROR")</f>
        <v>OK</v>
      </c>
      <c r="I46" s="207"/>
      <c r="J46" s="205"/>
      <c r="K46" s="205"/>
      <c r="L46" s="205"/>
      <c r="M46" s="205"/>
      <c r="N46" s="217" t="str">
        <f>IF(ROUND(SUM(IS!J46:M46),1)=ROUND(IS!N46,1),"OK","ERROR")</f>
        <v>OK</v>
      </c>
      <c r="O46" s="207"/>
      <c r="P46" s="205"/>
      <c r="Q46" s="205"/>
      <c r="R46" s="205"/>
      <c r="S46" s="205"/>
      <c r="T46" s="217" t="str">
        <f>IF(ROUND(SUM(IS!P46:S46),1)=ROUND(IS!T46,1),"OK","ERROR")</f>
        <v>OK</v>
      </c>
      <c r="U46" s="207"/>
      <c r="V46" s="205"/>
      <c r="W46" s="205"/>
      <c r="X46" s="205"/>
      <c r="Y46" s="205"/>
      <c r="Z46" s="217" t="str">
        <f>IF(ROUND(SUM(IS!V46:Y46),1)=ROUND(IS!Z46,1),"OK","ERROR")</f>
        <v>OK</v>
      </c>
      <c r="AA46" s="210"/>
      <c r="AB46" s="205"/>
      <c r="AC46" s="205"/>
      <c r="AD46" s="205"/>
      <c r="AE46" s="205"/>
      <c r="AF46" s="217" t="str">
        <f>IF(ROUND(SUM(IS!AB46:AE46),1)=ROUND(IS!AF46,1),"OK","ERROR")</f>
        <v>OK</v>
      </c>
      <c r="AG46" s="208"/>
      <c r="AH46" s="205"/>
      <c r="AI46" s="205"/>
      <c r="AJ46" s="209"/>
      <c r="AK46" s="209"/>
      <c r="AL46" s="217" t="str">
        <f>IF(ROUND(SUM(IS!AH46:AK46),1)=ROUND(IS!AL46,1),"OK","ERROR")</f>
        <v>OK</v>
      </c>
      <c r="AM46" s="233"/>
      <c r="AN46" s="209"/>
      <c r="AO46" s="209"/>
      <c r="AP46" s="209"/>
      <c r="AQ46" s="209"/>
      <c r="AR46" s="217" t="str">
        <f>IF(ROUND(SUM(IS!AN46:AQ46),1)=ROUND(IS!AR46,1),"OK","ERROR")</f>
        <v>OK</v>
      </c>
    </row>
    <row r="47" spans="1:44" ht="14.25" customHeight="1" thickBot="1" x14ac:dyDescent="0.35">
      <c r="A47" s="70"/>
      <c r="B47" s="67" t="s">
        <v>966</v>
      </c>
      <c r="D47" s="205"/>
      <c r="E47" s="205"/>
      <c r="F47" s="205"/>
      <c r="G47" s="205"/>
      <c r="H47" s="234" t="str">
        <f>IF(ROUND(SUM(IS!D47:G47),1)=ROUND(IS!H47,1),"OK","ERROR")</f>
        <v>ERROR</v>
      </c>
      <c r="I47" s="207"/>
      <c r="J47" s="205"/>
      <c r="K47" s="205"/>
      <c r="L47" s="205"/>
      <c r="M47" s="205"/>
      <c r="N47" s="234" t="str">
        <f>IF(ROUND(SUM(IS!J47:M47),1)=ROUND(IS!N47,1),"OK","ERROR")</f>
        <v>ERROR</v>
      </c>
      <c r="O47" s="207"/>
      <c r="P47" s="205"/>
      <c r="Q47" s="205"/>
      <c r="R47" s="205"/>
      <c r="S47" s="205"/>
      <c r="T47" s="234" t="str">
        <f>IF(ROUND(SUM(IS!P47:S47),1)=ROUND(IS!T47,1),"OK","ERROR")</f>
        <v>ERROR</v>
      </c>
      <c r="U47" s="207"/>
      <c r="V47" s="205"/>
      <c r="W47" s="205"/>
      <c r="X47" s="205"/>
      <c r="Y47" s="205"/>
      <c r="Z47" s="234" t="str">
        <f>IF(ROUND(SUM(IS!V47:Y47),1)=ROUND(IS!Z47,1),"OK","ERROR")</f>
        <v>OK</v>
      </c>
      <c r="AA47" s="210"/>
      <c r="AB47" s="205"/>
      <c r="AC47" s="205"/>
      <c r="AD47" s="205"/>
      <c r="AE47" s="205"/>
      <c r="AF47" s="234" t="str">
        <f>IF(ROUND(SUM(IS!AB47:AE47),1)=ROUND(IS!AF47,1),"OK","ERROR")</f>
        <v>OK</v>
      </c>
      <c r="AG47" s="208"/>
      <c r="AH47" s="205"/>
      <c r="AI47" s="205"/>
      <c r="AJ47" s="209"/>
      <c r="AK47" s="209"/>
      <c r="AL47" s="234" t="str">
        <f>IF(ROUND(SUM(IS!AH47:AK47),1)=ROUND(IS!AL47,1),"OK","ERROR")</f>
        <v>ERROR</v>
      </c>
      <c r="AM47" s="233"/>
      <c r="AN47" s="209"/>
      <c r="AO47" s="209"/>
      <c r="AP47" s="209"/>
      <c r="AQ47" s="209"/>
      <c r="AR47" s="234" t="str">
        <f>IF(ROUND(SUM(IS!AN47:AQ47),1)=ROUND(IS!AR47,1),"OK","ERROR")</f>
        <v>OK</v>
      </c>
    </row>
    <row r="49" spans="1:50" ht="14.25" customHeight="1" x14ac:dyDescent="0.3">
      <c r="A49" s="41" t="s">
        <v>39</v>
      </c>
      <c r="B49" s="62" t="s">
        <v>967</v>
      </c>
      <c r="D49" s="205"/>
      <c r="E49" s="205"/>
      <c r="F49" s="205"/>
      <c r="G49" s="205"/>
      <c r="H49" s="217"/>
      <c r="I49" s="207"/>
      <c r="J49" s="205"/>
      <c r="K49" s="205"/>
      <c r="L49" s="205"/>
      <c r="M49" s="205"/>
      <c r="N49" s="217"/>
      <c r="O49" s="207"/>
      <c r="P49" s="205"/>
      <c r="Q49" s="205"/>
      <c r="R49" s="205"/>
      <c r="S49" s="205"/>
      <c r="T49" s="217"/>
      <c r="U49" s="207"/>
      <c r="V49" s="205"/>
      <c r="W49" s="205"/>
      <c r="X49" s="205"/>
      <c r="Y49" s="205"/>
      <c r="Z49" s="217"/>
      <c r="AA49" s="207"/>
      <c r="AB49" s="205"/>
      <c r="AC49" s="205"/>
      <c r="AD49" s="205"/>
      <c r="AE49" s="205"/>
      <c r="AF49" s="217"/>
      <c r="AG49" s="235"/>
      <c r="AH49" s="205"/>
      <c r="AI49" s="205"/>
      <c r="AJ49" s="209"/>
      <c r="AK49" s="209"/>
      <c r="AL49" s="217"/>
      <c r="AM49" s="207"/>
      <c r="AN49" s="209"/>
      <c r="AO49" s="209"/>
      <c r="AP49" s="209"/>
      <c r="AQ49" s="209"/>
      <c r="AR49" s="217"/>
      <c r="AS49" s="207"/>
      <c r="AT49" s="217"/>
      <c r="AU49" s="236"/>
      <c r="AV49" s="217"/>
      <c r="AW49" s="236"/>
      <c r="AX49" s="217"/>
    </row>
    <row r="50" spans="1:50" ht="14.25" customHeight="1" x14ac:dyDescent="0.3">
      <c r="A50" s="70"/>
      <c r="B50" s="67" t="s">
        <v>968</v>
      </c>
      <c r="D50" s="205"/>
      <c r="E50" s="205"/>
      <c r="F50" s="205"/>
      <c r="G50" s="205"/>
      <c r="H50" s="217" t="str">
        <f>IF(ROUND(SUM(IS!D50:G50),1)=ROUND(IS!H50,1),"OK","ERROR")</f>
        <v>OK</v>
      </c>
      <c r="I50" s="207"/>
      <c r="J50" s="205"/>
      <c r="K50" s="205"/>
      <c r="L50" s="205"/>
      <c r="M50" s="205"/>
      <c r="N50" s="217" t="str">
        <f>IF(ROUND(SUM(IS!J50:M50),1)=ROUND(IS!N50,1),"OK","ERROR")</f>
        <v>OK</v>
      </c>
      <c r="O50" s="207"/>
      <c r="P50" s="205"/>
      <c r="Q50" s="205"/>
      <c r="R50" s="205"/>
      <c r="S50" s="205"/>
      <c r="T50" s="217" t="str">
        <f>IF(ROUND(SUM(IS!P50:S50),1)=ROUND(IS!T50,1),"OK","ERROR")</f>
        <v>OK</v>
      </c>
      <c r="U50" s="207"/>
      <c r="V50" s="205"/>
      <c r="W50" s="205"/>
      <c r="X50" s="205"/>
      <c r="Y50" s="205"/>
      <c r="Z50" s="217" t="str">
        <f>IF(ROUND(SUM(IS!V50:Y50),1)=ROUND(IS!Z50,1),"OK","ERROR")</f>
        <v>OK</v>
      </c>
      <c r="AA50" s="225"/>
      <c r="AB50" s="205"/>
      <c r="AC50" s="205"/>
      <c r="AD50" s="205"/>
      <c r="AE50" s="205"/>
      <c r="AF50" s="217" t="str">
        <f>IF(ROUND(SUM(IS!AB50:AE50),1)=ROUND(IS!AF50,1),"OK","ERROR")</f>
        <v>OK</v>
      </c>
      <c r="AG50" s="226"/>
      <c r="AH50" s="205"/>
      <c r="AI50" s="205"/>
      <c r="AJ50" s="209"/>
      <c r="AK50" s="209"/>
      <c r="AL50" s="217" t="str">
        <f>IF(ROUND(SUM(IS!AH50:AK50),1)=ROUND(IS!AL50,1),"OK","ERROR")</f>
        <v>OK</v>
      </c>
      <c r="AM50" s="225"/>
      <c r="AN50" s="209"/>
      <c r="AO50" s="209"/>
      <c r="AP50" s="209"/>
      <c r="AQ50" s="209"/>
      <c r="AR50" s="217" t="str">
        <f>IF(ROUND(SUM(IS!AN50:AQ50),1)=ROUND(IS!AR50,1),"OK","ERROR")</f>
        <v>OK</v>
      </c>
      <c r="AS50" s="225"/>
      <c r="AT50" s="217"/>
      <c r="AU50" s="227"/>
      <c r="AV50" s="217"/>
      <c r="AW50" s="227"/>
      <c r="AX50" s="217"/>
    </row>
    <row r="51" spans="1:50" ht="14.25" customHeight="1" x14ac:dyDescent="0.3">
      <c r="A51" s="52"/>
      <c r="B51" s="67" t="s">
        <v>969</v>
      </c>
      <c r="D51" s="205"/>
      <c r="E51" s="205"/>
      <c r="F51" s="205"/>
      <c r="G51" s="205"/>
      <c r="H51" s="223" t="str">
        <f>IF(ROUND(SUM(IS!D51:G51),1)=ROUND(IS!H51,1),"OK","ERROR")</f>
        <v>OK</v>
      </c>
      <c r="I51" s="207"/>
      <c r="J51" s="205"/>
      <c r="K51" s="205"/>
      <c r="L51" s="205"/>
      <c r="M51" s="205"/>
      <c r="N51" s="223" t="str">
        <f>IF(ROUND(SUM(IS!J51:M51),1)=ROUND(IS!N51,1),"OK","ERROR")</f>
        <v>OK</v>
      </c>
      <c r="O51" s="207"/>
      <c r="P51" s="205"/>
      <c r="Q51" s="205"/>
      <c r="R51" s="205"/>
      <c r="S51" s="205"/>
      <c r="T51" s="223" t="str">
        <f>IF(ROUND(SUM(IS!P51:S51),1)=ROUND(IS!T51,1),"OK","ERROR")</f>
        <v>OK</v>
      </c>
      <c r="U51" s="207"/>
      <c r="V51" s="205"/>
      <c r="W51" s="205"/>
      <c r="X51" s="205"/>
      <c r="Y51" s="205"/>
      <c r="Z51" s="223" t="str">
        <f>IF(ROUND(SUM(IS!V51:Y51),1)=ROUND(IS!Z51,1),"OK","ERROR")</f>
        <v>OK</v>
      </c>
      <c r="AA51" s="207"/>
      <c r="AB51" s="205"/>
      <c r="AC51" s="205"/>
      <c r="AD51" s="205"/>
      <c r="AE51" s="205"/>
      <c r="AF51" s="223" t="str">
        <f>IF(ROUND(SUM(IS!AB51:AE51),1)=ROUND(IS!AF51,1),"OK","ERROR")</f>
        <v>OK</v>
      </c>
      <c r="AG51" s="235"/>
      <c r="AH51" s="205"/>
      <c r="AI51" s="205"/>
      <c r="AJ51" s="209"/>
      <c r="AK51" s="209"/>
      <c r="AL51" s="223" t="str">
        <f>IF(ROUND(SUM(IS!AH51:AK51),1)=ROUND(IS!AL51,1),"OK","ERROR")</f>
        <v>OK</v>
      </c>
      <c r="AM51" s="207"/>
      <c r="AN51" s="209"/>
      <c r="AO51" s="209"/>
      <c r="AP51" s="209"/>
      <c r="AQ51" s="209"/>
      <c r="AR51" s="223" t="str">
        <f>IF(ROUND(SUM(IS!AN51:AQ51),1)=ROUND(IS!AR51,1),"OK","ERROR")</f>
        <v>OK</v>
      </c>
      <c r="AS51" s="207"/>
      <c r="AT51" s="223"/>
      <c r="AU51" s="236"/>
      <c r="AV51" s="223"/>
      <c r="AW51" s="236"/>
      <c r="AX51" s="223"/>
    </row>
    <row r="52" spans="1:50" ht="14.25" customHeight="1" thickBot="1" x14ac:dyDescent="0.35">
      <c r="A52" s="70"/>
      <c r="B52" s="73" t="s">
        <v>970</v>
      </c>
      <c r="D52" s="205"/>
      <c r="E52" s="205"/>
      <c r="F52" s="205"/>
      <c r="G52" s="205"/>
      <c r="H52" s="234" t="str">
        <f>IF(ROUND(SUM(IS!D52:G52),1)=ROUND(IS!H52,1),"OK","ERROR")</f>
        <v>ERROR</v>
      </c>
      <c r="I52" s="207"/>
      <c r="J52" s="205"/>
      <c r="K52" s="205"/>
      <c r="L52" s="205"/>
      <c r="M52" s="205"/>
      <c r="N52" s="234" t="str">
        <f>IF(ROUND(SUM(IS!J52:M52),1)=ROUND(IS!N52,1),"OK","ERROR")</f>
        <v>ERROR</v>
      </c>
      <c r="O52" s="207"/>
      <c r="P52" s="205"/>
      <c r="Q52" s="205"/>
      <c r="R52" s="205"/>
      <c r="S52" s="205"/>
      <c r="T52" s="234" t="str">
        <f>IF(ROUND(SUM(IS!P52:S52),1)=ROUND(IS!T52,1),"OK","ERROR")</f>
        <v>ERROR</v>
      </c>
      <c r="U52" s="207"/>
      <c r="V52" s="205"/>
      <c r="W52" s="205"/>
      <c r="X52" s="205"/>
      <c r="Y52" s="205"/>
      <c r="Z52" s="234" t="str">
        <f>IF(ROUND(SUM(IS!V52:Y52),1)=ROUND(IS!Z52,1),"OK","ERROR")</f>
        <v>OK</v>
      </c>
      <c r="AA52" s="207"/>
      <c r="AB52" s="205"/>
      <c r="AC52" s="205"/>
      <c r="AD52" s="205"/>
      <c r="AE52" s="205"/>
      <c r="AF52" s="234" t="str">
        <f>IF(ROUND(SUM(IS!AB52:AE52),1)=ROUND(IS!AF52,1),"OK","ERROR")</f>
        <v>OK</v>
      </c>
      <c r="AG52" s="235"/>
      <c r="AH52" s="205"/>
      <c r="AI52" s="205"/>
      <c r="AJ52" s="209"/>
      <c r="AK52" s="209"/>
      <c r="AL52" s="234" t="str">
        <f>IF(ROUND(SUM(IS!AH52:AK52),1)=ROUND(IS!AL52,1),"OK","ERROR")</f>
        <v>ERROR</v>
      </c>
      <c r="AM52" s="207"/>
      <c r="AN52" s="209"/>
      <c r="AO52" s="209"/>
      <c r="AP52" s="209"/>
      <c r="AQ52" s="209"/>
      <c r="AR52" s="234" t="str">
        <f>IF(ROUND(SUM(IS!AN52:AQ52),1)=ROUND(IS!AR52,1),"OK","ERROR")</f>
        <v>OK</v>
      </c>
      <c r="AS52" s="207"/>
      <c r="AT52" s="234"/>
      <c r="AU52" s="236"/>
      <c r="AV52" s="234"/>
      <c r="AW52" s="236"/>
      <c r="AX52" s="234"/>
    </row>
    <row r="53" spans="1:50" ht="14.25" customHeight="1" thickTop="1" x14ac:dyDescent="0.3">
      <c r="A53" s="52"/>
      <c r="B53" s="204"/>
      <c r="D53" s="205"/>
      <c r="E53" s="205"/>
      <c r="F53" s="205"/>
      <c r="G53" s="205"/>
      <c r="H53" s="217"/>
      <c r="I53" s="207"/>
      <c r="J53" s="205"/>
      <c r="K53" s="205"/>
      <c r="L53" s="205"/>
      <c r="M53" s="205"/>
      <c r="N53" s="217"/>
      <c r="O53" s="207"/>
      <c r="P53" s="205"/>
      <c r="Q53" s="205"/>
      <c r="R53" s="205"/>
      <c r="S53" s="205"/>
      <c r="T53" s="217"/>
      <c r="U53" s="207"/>
      <c r="V53" s="205"/>
      <c r="W53" s="205"/>
      <c r="X53" s="205"/>
      <c r="Y53" s="205"/>
      <c r="Z53" s="217"/>
      <c r="AA53" s="207"/>
      <c r="AB53" s="205"/>
      <c r="AC53" s="205"/>
      <c r="AD53" s="205"/>
      <c r="AE53" s="205"/>
      <c r="AF53" s="217"/>
      <c r="AG53" s="235"/>
      <c r="AH53" s="205"/>
      <c r="AI53" s="205"/>
      <c r="AJ53" s="209"/>
      <c r="AK53" s="209"/>
      <c r="AL53" s="217"/>
      <c r="AM53" s="207"/>
      <c r="AN53" s="209"/>
      <c r="AO53" s="209"/>
      <c r="AP53" s="209"/>
      <c r="AQ53" s="209"/>
      <c r="AR53" s="217"/>
      <c r="AS53" s="207"/>
      <c r="AT53" s="217"/>
      <c r="AU53" s="236"/>
      <c r="AV53" s="217"/>
      <c r="AW53" s="236"/>
      <c r="AX53" s="217"/>
    </row>
    <row r="54" spans="1:50" ht="14.25" customHeight="1" x14ac:dyDescent="0.3">
      <c r="A54" s="41" t="s">
        <v>39</v>
      </c>
      <c r="B54" s="62" t="s">
        <v>971</v>
      </c>
      <c r="D54" s="205"/>
      <c r="E54" s="205"/>
      <c r="F54" s="205"/>
      <c r="G54" s="205"/>
      <c r="H54" s="217"/>
      <c r="I54" s="207"/>
      <c r="J54" s="205"/>
      <c r="K54" s="205"/>
      <c r="L54" s="205"/>
      <c r="M54" s="205"/>
      <c r="N54" s="217"/>
      <c r="O54" s="207"/>
      <c r="P54" s="205"/>
      <c r="Q54" s="205"/>
      <c r="R54" s="205"/>
      <c r="S54" s="205"/>
      <c r="T54" s="217"/>
      <c r="U54" s="207"/>
      <c r="V54" s="205"/>
      <c r="W54" s="205"/>
      <c r="X54" s="205"/>
      <c r="Y54" s="205"/>
      <c r="Z54" s="217"/>
      <c r="AA54" s="207"/>
      <c r="AB54" s="205"/>
      <c r="AC54" s="205"/>
      <c r="AD54" s="205"/>
      <c r="AE54" s="205"/>
      <c r="AF54" s="217"/>
      <c r="AG54" s="235"/>
      <c r="AH54" s="205"/>
      <c r="AI54" s="205"/>
      <c r="AJ54" s="209"/>
      <c r="AK54" s="209"/>
      <c r="AL54" s="217"/>
      <c r="AM54" s="207"/>
      <c r="AN54" s="209"/>
      <c r="AO54" s="209"/>
      <c r="AP54" s="209"/>
      <c r="AQ54" s="209"/>
      <c r="AR54" s="217"/>
      <c r="AS54" s="207"/>
      <c r="AT54" s="217"/>
      <c r="AU54" s="236"/>
      <c r="AV54" s="217"/>
      <c r="AW54" s="236"/>
      <c r="AX54" s="217"/>
    </row>
    <row r="55" spans="1:50" ht="14.25" customHeight="1" x14ac:dyDescent="0.3">
      <c r="A55" s="52"/>
      <c r="B55" s="73" t="s">
        <v>972</v>
      </c>
      <c r="D55" s="237"/>
      <c r="E55" s="237"/>
      <c r="F55" s="237"/>
      <c r="G55" s="237"/>
      <c r="H55" s="238" t="str">
        <f>IF(ROUND(AVERAGE(IS!D55:G55),0)-ROUND(IS!H55,0)&lt;0.01*ROUND(IS!H55,0),"OK","ERROR")</f>
        <v>OK</v>
      </c>
      <c r="I55" s="239"/>
      <c r="J55" s="237"/>
      <c r="K55" s="237"/>
      <c r="L55" s="237"/>
      <c r="M55" s="237"/>
      <c r="N55" s="238" t="str">
        <f>IF(ROUND(AVERAGE(IS!J55:M55),0)-ROUND(IS!N55,0)&lt;0.01*ROUND(IS!N55,0),"OK","ERROR")</f>
        <v>OK</v>
      </c>
      <c r="O55" s="239"/>
      <c r="P55" s="237"/>
      <c r="Q55" s="237"/>
      <c r="R55" s="237"/>
      <c r="S55" s="237"/>
      <c r="T55" s="238" t="str">
        <f>IF(ROUND(AVERAGE(IS!P55:S55),0)-ROUND(IS!T55,0)&lt;0.01*ROUND(IS!T55,0),"OK","ERROR")</f>
        <v>OK</v>
      </c>
      <c r="U55" s="239"/>
      <c r="V55" s="237"/>
      <c r="W55" s="237"/>
      <c r="X55" s="237"/>
      <c r="Y55" s="237"/>
      <c r="Z55" s="238" t="str">
        <f>IF(ROUND(AVERAGE(IS!V55:Y55),0)-ROUND(IS!Z55,0)&lt;0.01*ROUND(IS!Z55,0),"OK","ERROR")</f>
        <v>OK</v>
      </c>
      <c r="AA55" s="239"/>
      <c r="AB55" s="237"/>
      <c r="AC55" s="237"/>
      <c r="AD55" s="237"/>
      <c r="AE55" s="237"/>
      <c r="AF55" s="238" t="str">
        <f>IF(ROUND(AVERAGE(IS!AB55:AE55),0)-ROUND(IS!AF55,0)&lt;0.01*ROUND(IS!AF55,0),"OK","ERROR")</f>
        <v>OK</v>
      </c>
      <c r="AG55" s="240"/>
      <c r="AH55" s="237"/>
      <c r="AI55" s="237"/>
      <c r="AJ55" s="241"/>
      <c r="AK55" s="241"/>
      <c r="AL55" s="238" t="str">
        <f>IF(ROUND(AVERAGE(IS!AH55:AK55),0)-ROUND(IS!AL55,0)&lt;0.01*ROUND(IS!AL55,0),"OK","ERROR")</f>
        <v>ERROR</v>
      </c>
      <c r="AM55" s="239"/>
      <c r="AN55" s="241"/>
      <c r="AO55" s="241"/>
      <c r="AP55" s="241"/>
      <c r="AQ55" s="241"/>
      <c r="AR55" s="238" t="e">
        <f>IF(ROUND(AVERAGE(IS!AN55:AQ55),0)-ROUND(IS!AR55,0)&lt;0.01*ROUND(IS!AR55,0),"OK","ERROR")</f>
        <v>#DIV/0!</v>
      </c>
      <c r="AS55" s="239"/>
      <c r="AT55" s="238"/>
      <c r="AU55" s="242"/>
      <c r="AV55" s="238"/>
      <c r="AW55" s="242"/>
      <c r="AX55" s="238"/>
    </row>
    <row r="56" spans="1:50" ht="14.25" customHeight="1" x14ac:dyDescent="0.3">
      <c r="A56" s="70"/>
      <c r="B56" s="73" t="s">
        <v>973</v>
      </c>
      <c r="D56" s="237"/>
      <c r="E56" s="237"/>
      <c r="F56" s="237"/>
      <c r="G56" s="237"/>
      <c r="H56" s="238" t="str">
        <f>IF(ROUND(AVERAGE(IS!D56:G56),0)-ROUND(IS!H56,0)&lt;0.01*ROUND(IS!H56,0),"OK","ERROR")</f>
        <v>OK</v>
      </c>
      <c r="I56" s="239"/>
      <c r="J56" s="237"/>
      <c r="K56" s="237"/>
      <c r="L56" s="237"/>
      <c r="M56" s="237"/>
      <c r="N56" s="238" t="str">
        <f>IF(ROUND(AVERAGE(IS!J56:M56),0)-ROUND(IS!N56,0)&lt;0.01*ROUND(IS!N56,0),"OK","ERROR")</f>
        <v>OK</v>
      </c>
      <c r="O56" s="239"/>
      <c r="P56" s="237"/>
      <c r="Q56" s="237"/>
      <c r="R56" s="237"/>
      <c r="S56" s="237"/>
      <c r="T56" s="238" t="str">
        <f>IF(ROUND(AVERAGE(IS!P56:S56),0)-ROUND(IS!T56,0)&lt;0.01*ROUND(IS!T56,0),"OK","ERROR")</f>
        <v>OK</v>
      </c>
      <c r="U56" s="239"/>
      <c r="V56" s="237"/>
      <c r="W56" s="237"/>
      <c r="X56" s="237"/>
      <c r="Y56" s="237"/>
      <c r="Z56" s="238" t="str">
        <f>IF(ROUND(AVERAGE(IS!V56:Y56),0)-ROUND(IS!Z56,0)&lt;0.01*ROUND(IS!Z56,0),"OK","ERROR")</f>
        <v>OK</v>
      </c>
      <c r="AA56" s="239"/>
      <c r="AB56" s="237"/>
      <c r="AC56" s="237"/>
      <c r="AD56" s="237"/>
      <c r="AE56" s="237"/>
      <c r="AF56" s="238" t="str">
        <f>IF(ROUND(AVERAGE(IS!AB56:AE56),0)-ROUND(IS!AF56,0)&lt;0.01*ROUND(IS!AF56,0),"OK","ERROR")</f>
        <v>OK</v>
      </c>
      <c r="AG56" s="240"/>
      <c r="AH56" s="237"/>
      <c r="AI56" s="237"/>
      <c r="AJ56" s="241"/>
      <c r="AK56" s="241"/>
      <c r="AL56" s="238" t="str">
        <f>IF(ROUND(AVERAGE(IS!AH56:AK56),0)-ROUND(IS!AL56,0)&lt;0.01*ROUND(IS!AL56,0),"OK","ERROR")</f>
        <v>ERROR</v>
      </c>
      <c r="AM56" s="239"/>
      <c r="AN56" s="241"/>
      <c r="AO56" s="241"/>
      <c r="AP56" s="241"/>
      <c r="AQ56" s="241"/>
      <c r="AR56" s="238" t="e">
        <f>IF(ROUND(AVERAGE(IS!AN56:AQ56),0)-ROUND(IS!AR56,0)&lt;0.01*ROUND(IS!AR56,0),"OK","ERROR")</f>
        <v>#DIV/0!</v>
      </c>
      <c r="AS56" s="239"/>
      <c r="AT56" s="238"/>
      <c r="AU56" s="242"/>
      <c r="AV56" s="238"/>
      <c r="AW56" s="242"/>
      <c r="AX56" s="238"/>
    </row>
    <row r="57" spans="1:50" ht="14.25" customHeight="1" x14ac:dyDescent="0.3">
      <c r="A57" s="52"/>
      <c r="B57" s="204"/>
      <c r="D57" s="205"/>
      <c r="E57" s="205"/>
      <c r="F57" s="205"/>
      <c r="G57" s="205"/>
      <c r="H57" s="217"/>
      <c r="I57" s="207"/>
      <c r="J57" s="205"/>
      <c r="K57" s="205"/>
      <c r="L57" s="205"/>
      <c r="M57" s="205"/>
      <c r="N57" s="217"/>
      <c r="O57" s="207"/>
      <c r="P57" s="205"/>
      <c r="Q57" s="205"/>
      <c r="R57" s="205"/>
      <c r="S57" s="205"/>
      <c r="T57" s="217"/>
      <c r="U57" s="207"/>
      <c r="V57" s="205"/>
      <c r="W57" s="205"/>
      <c r="X57" s="205"/>
      <c r="Y57" s="205"/>
      <c r="Z57" s="217"/>
      <c r="AA57" s="207"/>
      <c r="AB57" s="205"/>
      <c r="AC57" s="205"/>
      <c r="AD57" s="205"/>
      <c r="AE57" s="205"/>
      <c r="AF57" s="217"/>
      <c r="AG57" s="235"/>
      <c r="AH57" s="205"/>
      <c r="AI57" s="205"/>
      <c r="AJ57" s="209"/>
      <c r="AK57" s="209"/>
      <c r="AL57" s="217"/>
      <c r="AM57" s="207"/>
      <c r="AN57" s="209"/>
      <c r="AO57" s="209"/>
      <c r="AP57" s="209"/>
      <c r="AQ57" s="209"/>
      <c r="AR57" s="217"/>
      <c r="AS57" s="207"/>
      <c r="AT57" s="217"/>
      <c r="AU57" s="236"/>
      <c r="AV57" s="217"/>
      <c r="AW57" s="236"/>
      <c r="AX57" s="217"/>
    </row>
    <row r="58" spans="1:50" ht="14.25" customHeight="1" x14ac:dyDescent="0.3">
      <c r="A58" s="41" t="s">
        <v>39</v>
      </c>
      <c r="B58" s="62" t="s">
        <v>974</v>
      </c>
      <c r="D58" s="205"/>
      <c r="E58" s="205"/>
      <c r="F58" s="205"/>
      <c r="G58" s="205"/>
      <c r="H58" s="217"/>
      <c r="I58" s="207"/>
      <c r="J58" s="205"/>
      <c r="K58" s="205"/>
      <c r="L58" s="205"/>
      <c r="M58" s="205"/>
      <c r="N58" s="217"/>
      <c r="O58" s="207"/>
      <c r="P58" s="205"/>
      <c r="Q58" s="205"/>
      <c r="R58" s="205"/>
      <c r="S58" s="205"/>
      <c r="T58" s="217"/>
      <c r="U58" s="207"/>
      <c r="V58" s="205"/>
      <c r="W58" s="205"/>
      <c r="X58" s="205"/>
      <c r="Y58" s="205"/>
      <c r="Z58" s="217"/>
      <c r="AA58" s="207"/>
      <c r="AB58" s="205"/>
      <c r="AC58" s="205"/>
      <c r="AD58" s="205"/>
      <c r="AE58" s="205"/>
      <c r="AF58" s="217"/>
      <c r="AG58" s="235"/>
      <c r="AH58" s="205"/>
      <c r="AI58" s="205"/>
      <c r="AJ58" s="209"/>
      <c r="AK58" s="209"/>
      <c r="AL58" s="217"/>
      <c r="AM58" s="207"/>
      <c r="AN58" s="209"/>
      <c r="AO58" s="209"/>
      <c r="AP58" s="209"/>
      <c r="AQ58" s="209"/>
      <c r="AR58" s="217"/>
      <c r="AS58" s="207"/>
      <c r="AT58" s="217"/>
      <c r="AU58" s="236"/>
      <c r="AV58" s="217"/>
      <c r="AW58" s="236"/>
      <c r="AX58" s="217"/>
    </row>
    <row r="59" spans="1:50" ht="14.25" customHeight="1" x14ac:dyDescent="0.3">
      <c r="B59" s="67" t="s">
        <v>975</v>
      </c>
      <c r="D59" s="205"/>
      <c r="E59" s="205"/>
      <c r="F59" s="205"/>
      <c r="G59" s="205"/>
      <c r="H59" s="217" t="str">
        <f>IF(ROUND(AVERAGE(IS!D59:G59),0)-ROUND(IS!H59,0)&lt;0.01*ROUND(IS!H59,0),"OK","ERROR")</f>
        <v>OK</v>
      </c>
      <c r="I59" s="207"/>
      <c r="J59" s="205"/>
      <c r="K59" s="205"/>
      <c r="L59" s="205"/>
      <c r="M59" s="205"/>
      <c r="N59" s="217" t="str">
        <f>IF(ROUND(AVERAGE(IS!J59:M59),0)-ROUND(IS!N59,0)&lt;0.01*ROUND(IS!N59,0),"OK","ERROR")</f>
        <v>OK</v>
      </c>
      <c r="O59" s="207"/>
      <c r="P59" s="205"/>
      <c r="Q59" s="205"/>
      <c r="R59" s="205"/>
      <c r="S59" s="205"/>
      <c r="T59" s="217" t="str">
        <f>IF(ROUND(AVERAGE(IS!P59:S59),0)-ROUND(IS!T59,0)&lt;0.01*ROUND(IS!T59,0),"OK","ERROR")</f>
        <v>OK</v>
      </c>
      <c r="U59" s="207"/>
      <c r="V59" s="205"/>
      <c r="W59" s="205"/>
      <c r="X59" s="205"/>
      <c r="Y59" s="205"/>
      <c r="Z59" s="217" t="str">
        <f>IF(ROUND(AVERAGE(IS!V59:Y59),0)-ROUND(IS!Z59,0)&lt;0.01*ROUND(IS!Z59,0),"OK","ERROR")</f>
        <v>OK</v>
      </c>
      <c r="AA59" s="207"/>
      <c r="AB59" s="205"/>
      <c r="AC59" s="205"/>
      <c r="AD59" s="205"/>
      <c r="AE59" s="205"/>
      <c r="AF59" s="217" t="str">
        <f>IF(ROUND(AVERAGE(IS!AB59:AE59),0)-ROUND(IS!AF59,0)&lt;0.01*ROUND(IS!AF59,0),"OK","ERROR")</f>
        <v>OK</v>
      </c>
      <c r="AG59" s="235"/>
      <c r="AH59" s="205"/>
      <c r="AI59" s="205"/>
      <c r="AJ59" s="209"/>
      <c r="AK59" s="209"/>
      <c r="AL59" s="217" t="str">
        <f>IF(ROUND(AVERAGE(IS!AH59:AK59),0)-ROUND(IS!AL59,0)&lt;0.01*ROUND(IS!AL59,0),"OK","ERROR")</f>
        <v>ERROR</v>
      </c>
      <c r="AM59" s="207"/>
      <c r="AN59" s="209"/>
      <c r="AO59" s="209"/>
      <c r="AP59" s="209"/>
      <c r="AQ59" s="209"/>
      <c r="AR59" s="217" t="e">
        <f>IF(ROUND(AVERAGE(IS!AN59:AQ59),0)-ROUND(IS!AR59,0)&lt;0.01*ROUND(IS!AR59,0),"OK","ERROR")</f>
        <v>#DIV/0!</v>
      </c>
      <c r="AS59" s="207"/>
      <c r="AT59" s="217"/>
      <c r="AU59" s="236"/>
      <c r="AV59" s="217"/>
      <c r="AW59" s="236"/>
      <c r="AX59" s="217"/>
    </row>
    <row r="60" spans="1:50" ht="14.25" customHeight="1" x14ac:dyDescent="0.3">
      <c r="B60" s="67" t="s">
        <v>976</v>
      </c>
      <c r="D60" s="205"/>
      <c r="E60" s="205"/>
      <c r="F60" s="205"/>
      <c r="G60" s="205"/>
      <c r="H60" s="217" t="str">
        <f>IF(ROUND(AVERAGE(IS!D60:G60),0)-ROUND(IS!H60,0)&lt;0.01*ROUND(IS!H60,0),"OK","ERROR")</f>
        <v>OK</v>
      </c>
      <c r="I60" s="207"/>
      <c r="J60" s="205"/>
      <c r="K60" s="205"/>
      <c r="L60" s="205"/>
      <c r="M60" s="205"/>
      <c r="N60" s="217" t="str">
        <f>IF(ROUND(AVERAGE(IS!J60:M60),0)-ROUND(IS!N60,0)&lt;0.01*ROUND(IS!N60,0),"OK","ERROR")</f>
        <v>OK</v>
      </c>
      <c r="O60" s="207"/>
      <c r="P60" s="205"/>
      <c r="Q60" s="205"/>
      <c r="R60" s="205"/>
      <c r="S60" s="205"/>
      <c r="T60" s="217" t="str">
        <f>IF(ROUND(AVERAGE(IS!P60:S60),0)-ROUND(IS!T60,0)&lt;0.01*ROUND(IS!T60,0),"OK","ERROR")</f>
        <v>OK</v>
      </c>
      <c r="U60" s="207"/>
      <c r="V60" s="205"/>
      <c r="W60" s="205"/>
      <c r="X60" s="205"/>
      <c r="Y60" s="205"/>
      <c r="Z60" s="217" t="str">
        <f>IF(ROUND(AVERAGE(IS!V60:Y60),0)-ROUND(IS!Z60,0)&lt;0.01*ROUND(IS!Z60,0),"OK","ERROR")</f>
        <v>OK</v>
      </c>
      <c r="AA60" s="207"/>
      <c r="AB60" s="205"/>
      <c r="AC60" s="205"/>
      <c r="AD60" s="205"/>
      <c r="AE60" s="205"/>
      <c r="AF60" s="217" t="str">
        <f>IF(ROUND(AVERAGE(IS!AB60:AE60),0)-ROUND(IS!AF60,0)&lt;0.01*ROUND(IS!AF60,0),"OK","ERROR")</f>
        <v>OK</v>
      </c>
      <c r="AG60" s="235"/>
      <c r="AH60" s="205"/>
      <c r="AI60" s="205"/>
      <c r="AJ60" s="209"/>
      <c r="AK60" s="209"/>
      <c r="AL60" s="217" t="str">
        <f>IF(ROUND(AVERAGE(IS!AH60:AK60),0)-ROUND(IS!AL60,0)&lt;0.01*ROUND(IS!AL60,0),"OK","ERROR")</f>
        <v>ERROR</v>
      </c>
      <c r="AM60" s="207"/>
      <c r="AN60" s="209"/>
      <c r="AO60" s="209"/>
      <c r="AP60" s="209"/>
      <c r="AQ60" s="209"/>
      <c r="AR60" s="217" t="e">
        <f>IF(ROUND(AVERAGE(IS!AN60:AQ60),0)-ROUND(IS!AR60,0)&lt;0.01*ROUND(IS!AR60,0),"OK","ERROR")</f>
        <v>#DIV/0!</v>
      </c>
      <c r="AS60" s="207"/>
      <c r="AT60" s="217"/>
      <c r="AU60" s="236"/>
      <c r="AV60" s="217"/>
      <c r="AW60" s="236"/>
      <c r="AX60" s="217"/>
    </row>
    <row r="62" spans="1:50" s="38" customFormat="1" ht="15" customHeight="1" x14ac:dyDescent="0.3">
      <c r="B62" s="158" t="s">
        <v>1045</v>
      </c>
      <c r="C62" s="16"/>
      <c r="D62" s="199">
        <f>F62</f>
        <v>2020</v>
      </c>
      <c r="E62" s="199">
        <f>F62</f>
        <v>2020</v>
      </c>
      <c r="F62" s="199">
        <v>2020</v>
      </c>
      <c r="G62" s="199">
        <f>F62</f>
        <v>2020</v>
      </c>
      <c r="H62" s="199">
        <f>F62</f>
        <v>2020</v>
      </c>
      <c r="I62" s="16"/>
      <c r="J62" s="199">
        <f>L62</f>
        <v>2021</v>
      </c>
      <c r="K62" s="199">
        <f>L62</f>
        <v>2021</v>
      </c>
      <c r="L62" s="199">
        <v>2021</v>
      </c>
      <c r="M62" s="199">
        <f>L62</f>
        <v>2021</v>
      </c>
      <c r="N62" s="199">
        <f>L62</f>
        <v>2021</v>
      </c>
      <c r="O62" s="166"/>
      <c r="P62" s="199">
        <f>R62</f>
        <v>2022</v>
      </c>
      <c r="Q62" s="199">
        <f>R62</f>
        <v>2022</v>
      </c>
      <c r="R62" s="199">
        <v>2022</v>
      </c>
      <c r="S62" s="199">
        <f>R62</f>
        <v>2022</v>
      </c>
      <c r="T62" s="199">
        <f>R62</f>
        <v>2022</v>
      </c>
      <c r="U62" s="166"/>
      <c r="V62" s="199">
        <f>X62</f>
        <v>2023</v>
      </c>
      <c r="W62" s="199">
        <f>X62</f>
        <v>2023</v>
      </c>
      <c r="X62" s="199">
        <v>2023</v>
      </c>
      <c r="Y62" s="199">
        <f>X62</f>
        <v>2023</v>
      </c>
      <c r="Z62" s="199">
        <f>X62</f>
        <v>2023</v>
      </c>
      <c r="AA62" s="167"/>
      <c r="AB62" s="199">
        <f>AD62</f>
        <v>2024</v>
      </c>
      <c r="AC62" s="199">
        <f>AD62</f>
        <v>2024</v>
      </c>
      <c r="AD62" s="199">
        <v>2024</v>
      </c>
      <c r="AE62" s="199">
        <f>AD62</f>
        <v>2024</v>
      </c>
      <c r="AF62" s="199">
        <f>AD62</f>
        <v>2024</v>
      </c>
      <c r="AG62" s="167"/>
      <c r="AH62" s="199">
        <f>AJ62</f>
        <v>2025</v>
      </c>
      <c r="AI62" s="199">
        <f>AJ62</f>
        <v>2025</v>
      </c>
      <c r="AJ62" s="200">
        <v>2025</v>
      </c>
      <c r="AK62" s="199">
        <f>AJ62</f>
        <v>2025</v>
      </c>
      <c r="AL62" s="199">
        <f>AJ62</f>
        <v>2025</v>
      </c>
      <c r="AM62" s="168"/>
      <c r="AN62" s="199">
        <f>AP62</f>
        <v>2025</v>
      </c>
      <c r="AO62" s="199">
        <f>AP62</f>
        <v>2025</v>
      </c>
      <c r="AP62" s="200">
        <v>2025</v>
      </c>
      <c r="AQ62" s="199">
        <f>AP62</f>
        <v>2025</v>
      </c>
      <c r="AR62" s="199">
        <f>AP62</f>
        <v>2025</v>
      </c>
      <c r="AS62" s="16"/>
      <c r="AT62" s="159"/>
      <c r="AU62" s="16"/>
      <c r="AV62" s="160"/>
      <c r="AW62" s="16"/>
      <c r="AX62" s="160"/>
    </row>
    <row r="63" spans="1:50" s="38" customFormat="1" ht="15" customHeight="1" x14ac:dyDescent="0.3">
      <c r="B63" s="161"/>
      <c r="C63" s="16"/>
      <c r="D63" s="1244">
        <v>2020</v>
      </c>
      <c r="E63" s="1244"/>
      <c r="F63" s="1244"/>
      <c r="G63" s="1244"/>
      <c r="H63" s="1244"/>
      <c r="I63" s="166"/>
      <c r="J63" s="1244">
        <f>D63+1</f>
        <v>2021</v>
      </c>
      <c r="K63" s="1244"/>
      <c r="L63" s="1244"/>
      <c r="M63" s="1244"/>
      <c r="N63" s="1244"/>
      <c r="O63" s="166"/>
      <c r="P63" s="1244">
        <f>J63+1</f>
        <v>2022</v>
      </c>
      <c r="Q63" s="1244"/>
      <c r="R63" s="1244"/>
      <c r="S63" s="1244"/>
      <c r="T63" s="1244"/>
      <c r="U63" s="166"/>
      <c r="V63" s="1244">
        <f>P63+1</f>
        <v>2023</v>
      </c>
      <c r="W63" s="1244"/>
      <c r="X63" s="1244"/>
      <c r="Y63" s="1244"/>
      <c r="Z63" s="1244"/>
      <c r="AA63" s="166"/>
      <c r="AB63" s="1244">
        <f>V63+1</f>
        <v>2024</v>
      </c>
      <c r="AC63" s="1244"/>
      <c r="AD63" s="1244"/>
      <c r="AE63" s="1244"/>
      <c r="AF63" s="1244"/>
      <c r="AG63" s="166"/>
      <c r="AH63" s="1243">
        <f>AB63+1</f>
        <v>2025</v>
      </c>
      <c r="AI63" s="1243"/>
      <c r="AJ63" s="1243"/>
      <c r="AK63" s="1243"/>
      <c r="AL63" s="1243"/>
      <c r="AM63" s="166"/>
      <c r="AN63" s="1243">
        <f>AH63+1</f>
        <v>2026</v>
      </c>
      <c r="AO63" s="1243"/>
      <c r="AP63" s="1243"/>
      <c r="AQ63" s="1243"/>
      <c r="AR63" s="1243"/>
      <c r="AS63" s="168"/>
      <c r="AT63" s="163">
        <f>AN63+1</f>
        <v>2027</v>
      </c>
      <c r="AU63" s="164"/>
      <c r="AV63" s="163">
        <f>+AT63+1</f>
        <v>2028</v>
      </c>
      <c r="AW63" s="164"/>
      <c r="AX63" s="163">
        <f>+AV63+1</f>
        <v>2029</v>
      </c>
    </row>
    <row r="64" spans="1:50" s="38" customFormat="1" ht="14.25" customHeight="1" x14ac:dyDescent="0.3">
      <c r="B64" s="161"/>
      <c r="C64" s="16"/>
      <c r="D64" s="165" t="s">
        <v>217</v>
      </c>
      <c r="E64" s="165" t="s">
        <v>218</v>
      </c>
      <c r="F64" s="165" t="s">
        <v>219</v>
      </c>
      <c r="G64" s="165" t="s">
        <v>220</v>
      </c>
      <c r="H64" s="165" t="s">
        <v>221</v>
      </c>
      <c r="I64" s="16"/>
      <c r="J64" s="165" t="s">
        <v>217</v>
      </c>
      <c r="K64" s="165" t="s">
        <v>218</v>
      </c>
      <c r="L64" s="165" t="s">
        <v>219</v>
      </c>
      <c r="M64" s="165" t="s">
        <v>220</v>
      </c>
      <c r="N64" s="165" t="s">
        <v>221</v>
      </c>
      <c r="O64" s="162"/>
      <c r="P64" s="165" t="s">
        <v>217</v>
      </c>
      <c r="Q64" s="165" t="s">
        <v>218</v>
      </c>
      <c r="R64" s="165" t="s">
        <v>219</v>
      </c>
      <c r="S64" s="165" t="s">
        <v>220</v>
      </c>
      <c r="T64" s="165" t="s">
        <v>221</v>
      </c>
      <c r="U64" s="162"/>
      <c r="V64" s="165" t="s">
        <v>217</v>
      </c>
      <c r="W64" s="165" t="s">
        <v>218</v>
      </c>
      <c r="X64" s="165" t="s">
        <v>219</v>
      </c>
      <c r="Y64" s="165" t="s">
        <v>220</v>
      </c>
      <c r="Z64" s="165" t="s">
        <v>221</v>
      </c>
      <c r="AA64" s="162"/>
      <c r="AB64" s="165" t="s">
        <v>217</v>
      </c>
      <c r="AC64" s="165" t="s">
        <v>218</v>
      </c>
      <c r="AD64" s="165" t="s">
        <v>219</v>
      </c>
      <c r="AE64" s="165" t="s">
        <v>220</v>
      </c>
      <c r="AF64" s="165" t="s">
        <v>221</v>
      </c>
      <c r="AG64" s="162"/>
      <c r="AH64" s="165" t="s">
        <v>217</v>
      </c>
      <c r="AI64" s="165" t="s">
        <v>218</v>
      </c>
      <c r="AJ64" s="165" t="s">
        <v>219</v>
      </c>
      <c r="AK64" s="165" t="s">
        <v>220</v>
      </c>
      <c r="AL64" s="165" t="s">
        <v>221</v>
      </c>
      <c r="AM64" s="162"/>
      <c r="AN64" s="165" t="s">
        <v>217</v>
      </c>
      <c r="AO64" s="165" t="s">
        <v>218</v>
      </c>
      <c r="AP64" s="165" t="s">
        <v>219</v>
      </c>
      <c r="AQ64" s="165" t="s">
        <v>220</v>
      </c>
      <c r="AR64" s="165" t="s">
        <v>221</v>
      </c>
      <c r="AS64" s="162"/>
      <c r="AT64" s="165" t="s">
        <v>221</v>
      </c>
      <c r="AU64" s="162"/>
      <c r="AV64" s="165" t="s">
        <v>221</v>
      </c>
      <c r="AW64" s="162"/>
      <c r="AX64" s="165" t="s">
        <v>221</v>
      </c>
    </row>
    <row r="67" spans="1:50" ht="14.25" customHeight="1" x14ac:dyDescent="0.3">
      <c r="A67" s="41" t="s">
        <v>39</v>
      </c>
      <c r="B67" s="62" t="s">
        <v>939</v>
      </c>
      <c r="D67" s="43"/>
      <c r="E67" s="43"/>
      <c r="F67" s="43"/>
      <c r="G67" s="43"/>
      <c r="H67" s="44"/>
      <c r="I67" s="45"/>
      <c r="J67" s="43"/>
      <c r="K67" s="43"/>
      <c r="L67" s="43"/>
      <c r="M67" s="43"/>
      <c r="N67" s="44"/>
      <c r="O67" s="44"/>
      <c r="P67" s="43"/>
      <c r="Q67" s="43"/>
      <c r="R67" s="43"/>
      <c r="S67" s="43"/>
      <c r="T67" s="44"/>
      <c r="U67" s="44"/>
      <c r="V67" s="43"/>
      <c r="W67" s="43"/>
      <c r="X67" s="43"/>
      <c r="Y67" s="43"/>
      <c r="Z67" s="44"/>
      <c r="AA67" s="44"/>
      <c r="AB67" s="43"/>
      <c r="AC67" s="43"/>
      <c r="AD67" s="43"/>
      <c r="AE67" s="43"/>
      <c r="AF67" s="44"/>
      <c r="AG67" s="46"/>
      <c r="AH67" s="43"/>
      <c r="AI67" s="43"/>
      <c r="AJ67" s="47"/>
      <c r="AK67" s="47"/>
      <c r="AL67" s="44"/>
      <c r="AM67" s="48"/>
      <c r="AN67" s="47"/>
      <c r="AO67" s="47"/>
      <c r="AP67" s="47"/>
      <c r="AQ67" s="47"/>
      <c r="AR67" s="44"/>
      <c r="AS67" s="48"/>
      <c r="AT67" s="49"/>
      <c r="AU67" s="50"/>
      <c r="AV67" s="49"/>
      <c r="AW67" s="50"/>
      <c r="AX67" s="49"/>
    </row>
    <row r="68" spans="1:50" ht="14.25" customHeight="1" x14ac:dyDescent="0.3">
      <c r="A68" s="52"/>
      <c r="B68" s="73" t="s">
        <v>223</v>
      </c>
      <c r="D68" s="214" t="str">
        <f>IF(ROUND(SUM(IS!D13:D17),0)=IS!D18,"OK","ERROR")</f>
        <v>ERROR</v>
      </c>
      <c r="E68" s="214" t="str">
        <f>IF(ROUND(SUM(IS!E13:E17),0)=IS!E18,"OK","ERROR")</f>
        <v>ERROR</v>
      </c>
      <c r="F68" s="214" t="str">
        <f>IF(ROUND(SUM(IS!F13:F17),0)=IS!F18,"OK","ERROR")</f>
        <v>ERROR</v>
      </c>
      <c r="G68" s="214" t="str">
        <f>IF(ROUND(SUM(IS!G13:G17),0)=IS!G18,"OK","ERROR")</f>
        <v>ERROR</v>
      </c>
      <c r="H68" s="215" t="str">
        <f>IF(ROUND(SUM(IS!H13:H17),0)=IS!H18,"OK","ERROR")</f>
        <v>ERROR</v>
      </c>
      <c r="I68" s="207"/>
      <c r="J68" s="214" t="str">
        <f>IF(ROUND(SUM(IS!J13:J17),0)=IS!J18,"OK","ERROR")</f>
        <v>ERROR</v>
      </c>
      <c r="K68" s="214" t="str">
        <f>IF(ROUND(SUM(IS!K13:K17),0)=IS!K18,"OK","ERROR")</f>
        <v>ERROR</v>
      </c>
      <c r="L68" s="214" t="str">
        <f>IF(ROUND(SUM(IS!L13:L17),0)=IS!L18,"OK","ERROR")</f>
        <v>ERROR</v>
      </c>
      <c r="M68" s="214" t="str">
        <f>IF(ROUND(SUM(IS!M13:M17),0)=IS!M18,"OK","ERROR")</f>
        <v>ERROR</v>
      </c>
      <c r="N68" s="215" t="str">
        <f>IF(ROUND(SUM(IS!N13:N17),0)=IS!N18,"OK","ERROR")</f>
        <v>ERROR</v>
      </c>
      <c r="O68" s="206"/>
      <c r="P68" s="214" t="str">
        <f>IF(ROUND(SUM(IS!P13:P17),0)=IS!P18,"OK","ERROR")</f>
        <v>ERROR</v>
      </c>
      <c r="Q68" s="214" t="str">
        <f>IF(ROUND(SUM(IS!Q13:Q17),0)=IS!Q18,"OK","ERROR")</f>
        <v>ERROR</v>
      </c>
      <c r="R68" s="214" t="str">
        <f>IF(ROUND(SUM(IS!R13:R17),0)=IS!R18,"OK","ERROR")</f>
        <v>ERROR</v>
      </c>
      <c r="S68" s="214" t="str">
        <f>IF(ROUND(SUM(IS!S13:S17),0)=IS!S18,"OK","ERROR")</f>
        <v>ERROR</v>
      </c>
      <c r="T68" s="215" t="str">
        <f>IF(ROUND(SUM(IS!T13:T17),0)=IS!T18,"OK","ERROR")</f>
        <v>ERROR</v>
      </c>
      <c r="U68" s="206"/>
      <c r="V68" s="214" t="str">
        <f>IF(ROUND(SUM(IS!V13:V17),0)=IS!V18,"OK","ERROR")</f>
        <v>ERROR</v>
      </c>
      <c r="W68" s="214" t="str">
        <f>IF(ROUND(SUM(IS!W13:W17),0)=IS!W18,"OK","ERROR")</f>
        <v>ERROR</v>
      </c>
      <c r="X68" s="214" t="str">
        <f>IF(ROUND(SUM(IS!X13:X17),0)=IS!X18,"OK","ERROR")</f>
        <v>ERROR</v>
      </c>
      <c r="Y68" s="214" t="str">
        <f>IF(ROUND(SUM(IS!Y13:Y17),0)=IS!Y18,"OK","ERROR")</f>
        <v>ERROR</v>
      </c>
      <c r="Z68" s="215" t="str">
        <f>IF(ROUND(SUM(IS!Z13:Z17),0)=IS!Z18,"OK","ERROR")</f>
        <v>ERROR</v>
      </c>
      <c r="AA68" s="206"/>
      <c r="AB68" s="214" t="str">
        <f>IF(ROUND(SUM(IS!AB13:AB17),0)=IS!AB18,"OK","ERROR")</f>
        <v>ERROR</v>
      </c>
      <c r="AC68" s="214" t="str">
        <f>IF(ROUND(SUM(IS!AC13:AC17),0)=IS!AC18,"OK","ERROR")</f>
        <v>ERROR</v>
      </c>
      <c r="AD68" s="214" t="str">
        <f>IF(ROUND(SUM(IS!AD13:AD17),0)=IS!AD18,"OK","ERROR")</f>
        <v>ERROR</v>
      </c>
      <c r="AE68" s="214" t="str">
        <f>IF(ROUND(SUM(IS!AE13:AE17),0)=IS!AE18,"OK","ERROR")</f>
        <v>ERROR</v>
      </c>
      <c r="AF68" s="215" t="str">
        <f>IF(ROUND(SUM(IS!AF13:AF17),0)=IS!AF18,"OK","ERROR")</f>
        <v>ERROR</v>
      </c>
      <c r="AG68" s="208"/>
      <c r="AH68" s="214" t="str">
        <f>IF(ROUND(SUM(IS!AH13:AH17),0)=IS!AH18,"OK","ERROR")</f>
        <v>ERROR</v>
      </c>
      <c r="AI68" s="214" t="str">
        <f>IF(ROUND(SUM(IS!AI13:AI17),0)=IS!AI18,"OK","ERROR")</f>
        <v>ERROR</v>
      </c>
      <c r="AJ68" s="214" t="str">
        <f>IF(ROUND(SUM(IS!AJ13:AJ17),0)=IS!AJ18,"OK","ERROR")</f>
        <v>OK</v>
      </c>
      <c r="AK68" s="214" t="str">
        <f>IF(ROUND(SUM(IS!AK13:AK17),0)=IS!AK18,"OK","ERROR")</f>
        <v>OK</v>
      </c>
      <c r="AL68" s="215" t="str">
        <f>IF(ROUND(SUM(IS!AL13:AL17),0)=IS!AL18,"OK","ERROR")</f>
        <v>OK</v>
      </c>
      <c r="AM68" s="210"/>
      <c r="AN68" s="214" t="str">
        <f>IF(ROUND(SUM(IS!AN13:AN17),0)=IS!AN18,"OK","ERROR")</f>
        <v>OK</v>
      </c>
      <c r="AO68" s="214" t="str">
        <f>IF(ROUND(SUM(IS!AO13:AO17),0)=IS!AO18,"OK","ERROR")</f>
        <v>OK</v>
      </c>
      <c r="AP68" s="214" t="str">
        <f>IF(ROUND(SUM(IS!AP13:AP17),0)=IS!AP18,"OK","ERROR")</f>
        <v>OK</v>
      </c>
      <c r="AQ68" s="214" t="str">
        <f>IF(ROUND(SUM(IS!AQ13:AQ17),0)=IS!AQ18,"OK","ERROR")</f>
        <v>OK</v>
      </c>
      <c r="AR68" s="215" t="str">
        <f>IF(ROUND(SUM(IS!AR13:AR17),0)=IS!AR18,"OK","ERROR")</f>
        <v>OK</v>
      </c>
      <c r="AS68" s="210"/>
      <c r="AT68" s="215" t="str">
        <f>IF(ROUND(SUM(IS!AT13:AT17),0)=IS!AT18,"OK","ERROR")</f>
        <v>OK</v>
      </c>
      <c r="AU68" s="212"/>
      <c r="AV68" s="215" t="str">
        <f>IF(ROUND(SUM(IS!AV13:AV17),0)=IS!AV18,"OK","ERROR")</f>
        <v>OK</v>
      </c>
      <c r="AW68" s="212"/>
      <c r="AX68" s="215" t="str">
        <f>IF(ROUND(SUM(IS!AX13:AX17),0)=IS!AX18,"OK","ERROR")</f>
        <v>OK</v>
      </c>
    </row>
    <row r="69" spans="1:50" ht="14.25" customHeight="1" x14ac:dyDescent="0.3">
      <c r="A69" s="52"/>
      <c r="B69" s="61"/>
      <c r="D69" s="205"/>
      <c r="E69" s="205"/>
      <c r="F69" s="205"/>
      <c r="G69" s="205"/>
      <c r="H69" s="206"/>
      <c r="I69" s="207"/>
      <c r="J69" s="205"/>
      <c r="K69" s="205"/>
      <c r="L69" s="205"/>
      <c r="M69" s="205"/>
      <c r="N69" s="206"/>
      <c r="O69" s="206"/>
      <c r="P69" s="205"/>
      <c r="Q69" s="205"/>
      <c r="R69" s="205"/>
      <c r="S69" s="205"/>
      <c r="T69" s="206"/>
      <c r="U69" s="206"/>
      <c r="V69" s="205"/>
      <c r="W69" s="205"/>
      <c r="X69" s="205"/>
      <c r="Y69" s="205"/>
      <c r="Z69" s="206"/>
      <c r="AA69" s="206"/>
      <c r="AB69" s="205"/>
      <c r="AC69" s="205"/>
      <c r="AD69" s="205"/>
      <c r="AE69" s="205"/>
      <c r="AF69" s="206"/>
      <c r="AG69" s="208"/>
      <c r="AH69" s="205"/>
      <c r="AI69" s="205"/>
      <c r="AJ69" s="205"/>
      <c r="AK69" s="205"/>
      <c r="AL69" s="206"/>
      <c r="AM69" s="210"/>
      <c r="AN69" s="205"/>
      <c r="AO69" s="205"/>
      <c r="AP69" s="205"/>
      <c r="AQ69" s="205"/>
      <c r="AR69" s="206"/>
      <c r="AS69" s="210"/>
      <c r="AT69" s="206"/>
      <c r="AU69" s="212"/>
      <c r="AV69" s="206"/>
      <c r="AW69" s="212"/>
      <c r="AX69" s="206"/>
    </row>
    <row r="70" spans="1:50" ht="14.25" customHeight="1" x14ac:dyDescent="0.3">
      <c r="A70" s="41" t="s">
        <v>39</v>
      </c>
      <c r="B70" s="62" t="s">
        <v>945</v>
      </c>
      <c r="D70" s="205"/>
      <c r="E70" s="205"/>
      <c r="F70" s="205"/>
      <c r="G70" s="205"/>
      <c r="H70" s="217"/>
      <c r="I70" s="207"/>
      <c r="J70" s="205"/>
      <c r="K70" s="205"/>
      <c r="L70" s="205"/>
      <c r="M70" s="205"/>
      <c r="N70" s="217"/>
      <c r="O70" s="207"/>
      <c r="P70" s="205"/>
      <c r="Q70" s="205"/>
      <c r="R70" s="205"/>
      <c r="S70" s="205"/>
      <c r="T70" s="217"/>
      <c r="U70" s="207"/>
      <c r="V70" s="205"/>
      <c r="W70" s="205"/>
      <c r="X70" s="205"/>
      <c r="Y70" s="205"/>
      <c r="Z70" s="217"/>
      <c r="AA70" s="210"/>
      <c r="AB70" s="205"/>
      <c r="AC70" s="205"/>
      <c r="AD70" s="205"/>
      <c r="AE70" s="205"/>
      <c r="AF70" s="217"/>
      <c r="AG70" s="208"/>
      <c r="AH70" s="205"/>
      <c r="AI70" s="205"/>
      <c r="AJ70" s="205"/>
      <c r="AK70" s="205"/>
      <c r="AL70" s="217"/>
      <c r="AM70" s="218"/>
      <c r="AN70" s="205"/>
      <c r="AO70" s="205"/>
      <c r="AP70" s="205"/>
      <c r="AQ70" s="205"/>
      <c r="AR70" s="217"/>
      <c r="AS70" s="218"/>
      <c r="AT70" s="217"/>
      <c r="AU70" s="220"/>
      <c r="AV70" s="217"/>
      <c r="AW70" s="220"/>
      <c r="AX70" s="217"/>
    </row>
    <row r="71" spans="1:50" ht="14.25" customHeight="1" x14ac:dyDescent="0.3">
      <c r="A71" s="70"/>
      <c r="B71" s="76" t="s">
        <v>250</v>
      </c>
      <c r="D71" s="205" t="str">
        <f>IF(ROUND(IS!D18,0)-ROUND(SUM(IS!D21:D22),0)=ROUND(IS!D24,0),"OK","ERROR")</f>
        <v>OK</v>
      </c>
      <c r="E71" s="205" t="str">
        <f>IF(ROUND(IS!E18,0)-ROUND(SUM(IS!E21:E22),0)=ROUND(IS!E24,0),"OK","ERROR")</f>
        <v>OK</v>
      </c>
      <c r="F71" s="205" t="str">
        <f>IF(ROUND(IS!F18,0)-ROUND(SUM(IS!F21:F22),0)=ROUND(IS!F24,0),"OK","ERROR")</f>
        <v>OK</v>
      </c>
      <c r="G71" s="205" t="str">
        <f>IF(ROUND(IS!G18,0)-ROUND(SUM(IS!G21:G22),0)=ROUND(IS!G24,0),"OK","ERROR")</f>
        <v>OK</v>
      </c>
      <c r="H71" s="224" t="str">
        <f>IF(ROUND(IS!H18,0)-ROUND(SUM(IS!H21:H22),0)=ROUND(IS!H24,0),"OK","ERROR")</f>
        <v>OK</v>
      </c>
      <c r="I71" s="207"/>
      <c r="J71" s="205" t="str">
        <f>IF(ROUND(IS!J18,0)-ROUND(SUM(IS!J21:J22),0)=ROUND(IS!J24,0),"OK","ERROR")</f>
        <v>OK</v>
      </c>
      <c r="K71" s="205" t="str">
        <f>IF(ROUND(IS!K18,0)-ROUND(SUM(IS!K21:K22),0)=ROUND(IS!K24,0),"OK","ERROR")</f>
        <v>OK</v>
      </c>
      <c r="L71" s="205" t="str">
        <f>IF(ROUND(IS!L18,0)-ROUND(SUM(IS!L21:L22),0)=ROUND(IS!L24,0),"OK","ERROR")</f>
        <v>OK</v>
      </c>
      <c r="M71" s="205" t="str">
        <f>IF(ROUND(IS!M18,0)-ROUND(SUM(IS!M21:M22),0)=ROUND(IS!M24,0),"OK","ERROR")</f>
        <v>OK</v>
      </c>
      <c r="N71" s="224" t="str">
        <f>IF(ROUND(IS!N18,0)-ROUND(SUM(IS!N21:N22),0)=ROUND(IS!N24,0),"OK","ERROR")</f>
        <v>OK</v>
      </c>
      <c r="O71" s="207"/>
      <c r="P71" s="205" t="str">
        <f>IF(ROUND(IS!P18,0)-ROUND(SUM(IS!P21:P22),0)=ROUND(IS!P24,0),"OK","ERROR")</f>
        <v>OK</v>
      </c>
      <c r="Q71" s="205" t="str">
        <f>IF(ROUND(IS!Q18,0)-ROUND(SUM(IS!Q21:Q22),0)=ROUND(IS!Q24,0),"OK","ERROR")</f>
        <v>OK</v>
      </c>
      <c r="R71" s="205" t="str">
        <f>IF(ROUND(IS!R18,0)-ROUND(SUM(IS!R21:R22),0)=ROUND(IS!R24,0),"OK","ERROR")</f>
        <v>OK</v>
      </c>
      <c r="S71" s="205" t="str">
        <f>IF(ROUND(IS!S18,0)-ROUND(SUM(IS!S21:S22),0)=ROUND(IS!S24,0),"OK","ERROR")</f>
        <v>OK</v>
      </c>
      <c r="T71" s="224" t="str">
        <f>IF(ROUND(IS!T18,0)-ROUND(SUM(IS!T21:T22),0)=ROUND(IS!T24,0),"OK","ERROR")</f>
        <v>OK</v>
      </c>
      <c r="U71" s="207"/>
      <c r="V71" s="205" t="str">
        <f>IF(ROUND(IS!V18,0)-ROUND(SUM(IS!V21:V22),0)=ROUND(IS!V24,0),"OK","ERROR")</f>
        <v>OK</v>
      </c>
      <c r="W71" s="205" t="str">
        <f>IF(ROUND(IS!W18,0)-ROUND(SUM(IS!W21:W22),0)=ROUND(IS!W24,0),"OK","ERROR")</f>
        <v>OK</v>
      </c>
      <c r="X71" s="205" t="str">
        <f>IF(ROUND(IS!X18,0)-ROUND(SUM(IS!X21:X22),0)=ROUND(IS!X24,0),"OK","ERROR")</f>
        <v>OK</v>
      </c>
      <c r="Y71" s="205" t="str">
        <f>IF(ROUND(IS!Y18,0)-ROUND(SUM(IS!Y21:Y22),0)=ROUND(IS!Y24,0),"OK","ERROR")</f>
        <v>OK</v>
      </c>
      <c r="Z71" s="224" t="str">
        <f>IF(ROUND(IS!Z18,0)-ROUND(SUM(IS!Z21:Z22),0)=ROUND(IS!Z24,0),"OK","ERROR")</f>
        <v>OK</v>
      </c>
      <c r="AA71" s="210"/>
      <c r="AB71" s="205" t="str">
        <f>IF(ROUND(IS!AB18,0)-ROUND(SUM(IS!AB21:AB22),0)=ROUND(IS!AB24,0),"OK","ERROR")</f>
        <v>OK</v>
      </c>
      <c r="AC71" s="205" t="str">
        <f>IF(ROUND(IS!AC18,0)-ROUND(SUM(IS!AC21:AC22),0)=ROUND(IS!AC24,0),"OK","ERROR")</f>
        <v>OK</v>
      </c>
      <c r="AD71" s="205" t="str">
        <f>IF(ROUND(IS!AD18,0)-ROUND(SUM(IS!AD21:AD22),0)=ROUND(IS!AD24,0),"OK","ERROR")</f>
        <v>OK</v>
      </c>
      <c r="AE71" s="205" t="str">
        <f>IF(ROUND(IS!AE18,0)-ROUND(SUM(IS!AE21:AE22),0)=ROUND(IS!AE24,0),"OK","ERROR")</f>
        <v>OK</v>
      </c>
      <c r="AF71" s="224" t="str">
        <f>IF(ROUND(IS!AF18,0)-ROUND(SUM(IS!AF21:AF22),0)=ROUND(IS!AF24,0),"OK","ERROR")</f>
        <v>OK</v>
      </c>
      <c r="AG71" s="208"/>
      <c r="AH71" s="205" t="str">
        <f>IF(ROUND(IS!AH18,0)-ROUND(SUM(IS!AH21:AH22),0)=ROUND(IS!AH24,0),"OK","ERROR")</f>
        <v>OK</v>
      </c>
      <c r="AI71" s="205" t="str">
        <f>IF(ROUND(IS!AI18,0)-ROUND(SUM(IS!AI21:AI22),0)=ROUND(IS!AI24,0),"OK","ERROR")</f>
        <v>OK</v>
      </c>
      <c r="AJ71" s="205" t="str">
        <f>IF(ROUND(IS!AJ18,0)-ROUND(SUM(IS!AJ21:AJ22),0)=ROUND(IS!AJ24,0),"OK","ERROR")</f>
        <v>OK</v>
      </c>
      <c r="AK71" s="205" t="str">
        <f>IF(ROUND(IS!AK18,0)-ROUND(SUM(IS!AK21:AK22),0)=ROUND(IS!AK24,0),"OK","ERROR")</f>
        <v>OK</v>
      </c>
      <c r="AL71" s="224" t="str">
        <f>IF(ROUND(IS!AL18,0)-ROUND(SUM(IS!AL21:AL22),0)=ROUND(IS!AL24,0),"OK","ERROR")</f>
        <v>OK</v>
      </c>
      <c r="AM71" s="221"/>
      <c r="AN71" s="205" t="str">
        <f>IF(ROUND(IS!AN18,0)-ROUND(SUM(IS!AN21:AN22),0)=ROUND(IS!AN24,0),"OK","ERROR")</f>
        <v>OK</v>
      </c>
      <c r="AO71" s="205" t="str">
        <f>IF(ROUND(IS!AO18,0)-ROUND(SUM(IS!AO21:AO22),0)=ROUND(IS!AO24,0),"OK","ERROR")</f>
        <v>OK</v>
      </c>
      <c r="AP71" s="205" t="str">
        <f>IF(ROUND(IS!AP18,0)-ROUND(SUM(IS!AP21:AP22),0)=ROUND(IS!AP24,0),"OK","ERROR")</f>
        <v>OK</v>
      </c>
      <c r="AQ71" s="205" t="str">
        <f>IF(ROUND(IS!AQ18,0)-ROUND(SUM(IS!AQ21:AQ22),0)=ROUND(IS!AQ24,0),"OK","ERROR")</f>
        <v>OK</v>
      </c>
      <c r="AR71" s="224" t="str">
        <f>IF(ROUND(IS!AR18,0)-ROUND(SUM(IS!AR21:AR22),0)=ROUND(IS!AR24,0),"OK","ERROR")</f>
        <v>OK</v>
      </c>
      <c r="AS71" s="221"/>
      <c r="AT71" s="224" t="str">
        <f>IF(ROUND(IS!AT18,0)-ROUND(SUM(IS!AT21:AT22),0)=ROUND(IS!AT24,0),"OK","ERROR")</f>
        <v>OK</v>
      </c>
      <c r="AU71" s="222"/>
      <c r="AV71" s="224" t="str">
        <f>IF(ROUND(IS!AV18,0)-ROUND(SUM(IS!AV21:AV22),0)=ROUND(IS!AV24,0),"OK","ERROR")</f>
        <v>OK</v>
      </c>
      <c r="AW71" s="222"/>
      <c r="AX71" s="224" t="str">
        <f>IF(ROUND(IS!AX18,0)-ROUND(SUM(IS!AX21:AX22),0)=ROUND(IS!AX24,0),"OK","ERROR")</f>
        <v>OK</v>
      </c>
    </row>
    <row r="72" spans="1:50" ht="14.25" customHeight="1" x14ac:dyDescent="0.3">
      <c r="A72" s="52"/>
      <c r="B72" s="77"/>
      <c r="D72" s="205"/>
      <c r="E72" s="205"/>
      <c r="F72" s="205"/>
      <c r="G72" s="205"/>
      <c r="H72" s="217"/>
      <c r="I72" s="207"/>
      <c r="J72" s="205"/>
      <c r="K72" s="205"/>
      <c r="L72" s="205"/>
      <c r="M72" s="205"/>
      <c r="N72" s="217"/>
      <c r="O72" s="207"/>
      <c r="P72" s="205"/>
      <c r="Q72" s="205"/>
      <c r="R72" s="205"/>
      <c r="S72" s="205"/>
      <c r="T72" s="217"/>
      <c r="U72" s="207"/>
      <c r="V72" s="205"/>
      <c r="W72" s="205"/>
      <c r="X72" s="205"/>
      <c r="Y72" s="205"/>
      <c r="Z72" s="217"/>
      <c r="AA72" s="210"/>
      <c r="AB72" s="205"/>
      <c r="AC72" s="205"/>
      <c r="AD72" s="205"/>
      <c r="AE72" s="205"/>
      <c r="AF72" s="217"/>
      <c r="AG72" s="208"/>
      <c r="AH72" s="205"/>
      <c r="AI72" s="205"/>
      <c r="AJ72" s="205"/>
      <c r="AK72" s="205"/>
      <c r="AL72" s="217"/>
      <c r="AM72" s="221"/>
      <c r="AN72" s="205"/>
      <c r="AO72" s="205"/>
      <c r="AP72" s="205"/>
      <c r="AQ72" s="205"/>
      <c r="AR72" s="217"/>
      <c r="AS72" s="221"/>
      <c r="AT72" s="217"/>
      <c r="AU72" s="222"/>
      <c r="AV72" s="217"/>
      <c r="AW72" s="222"/>
      <c r="AX72" s="217"/>
    </row>
    <row r="73" spans="1:50" ht="14.25" customHeight="1" x14ac:dyDescent="0.3">
      <c r="A73" s="41" t="s">
        <v>39</v>
      </c>
      <c r="B73" s="62" t="s">
        <v>949</v>
      </c>
      <c r="D73" s="205"/>
      <c r="E73" s="205"/>
      <c r="F73" s="205"/>
      <c r="G73" s="205"/>
      <c r="H73" s="217"/>
      <c r="I73" s="207"/>
      <c r="J73" s="205"/>
      <c r="K73" s="205"/>
      <c r="L73" s="205"/>
      <c r="M73" s="205"/>
      <c r="N73" s="217"/>
      <c r="O73" s="207"/>
      <c r="P73" s="205"/>
      <c r="Q73" s="205"/>
      <c r="R73" s="205"/>
      <c r="S73" s="205"/>
      <c r="T73" s="217"/>
      <c r="U73" s="207"/>
      <c r="V73" s="205"/>
      <c r="W73" s="205"/>
      <c r="X73" s="205"/>
      <c r="Y73" s="205"/>
      <c r="Z73" s="217"/>
      <c r="AA73" s="225"/>
      <c r="AB73" s="205"/>
      <c r="AC73" s="205"/>
      <c r="AD73" s="205"/>
      <c r="AE73" s="205"/>
      <c r="AF73" s="217"/>
      <c r="AG73" s="226"/>
      <c r="AH73" s="205"/>
      <c r="AI73" s="205"/>
      <c r="AJ73" s="205"/>
      <c r="AK73" s="205"/>
      <c r="AL73" s="217"/>
      <c r="AM73" s="225"/>
      <c r="AN73" s="205"/>
      <c r="AO73" s="205"/>
      <c r="AP73" s="205"/>
      <c r="AQ73" s="205"/>
      <c r="AR73" s="217"/>
      <c r="AS73" s="225"/>
      <c r="AT73" s="217"/>
      <c r="AU73" s="227"/>
      <c r="AV73" s="217"/>
      <c r="AW73" s="227"/>
      <c r="AX73" s="217"/>
    </row>
    <row r="74" spans="1:50" ht="14.25" customHeight="1" x14ac:dyDescent="0.3">
      <c r="A74" s="52"/>
      <c r="B74" s="76" t="s">
        <v>956</v>
      </c>
      <c r="D74" s="205" t="str">
        <f>IF(ROUND(IS!D24,0)-ROUND(SUM(IS!D31:D32),0)=ROUND(IS!D33,0),"OK","ERROR")</f>
        <v>OK</v>
      </c>
      <c r="E74" s="205" t="str">
        <f>IF(ROUND(IS!E24,0)-ROUND(SUM(IS!E31:E32),0)=ROUND(IS!E33,0),"OK","ERROR")</f>
        <v>OK</v>
      </c>
      <c r="F74" s="205" t="str">
        <f>IF(ROUND(IS!F24,0)-ROUND(SUM(IS!F31:F32),0)=ROUND(IS!F33,0),"OK","ERROR")</f>
        <v>OK</v>
      </c>
      <c r="G74" s="205" t="str">
        <f>IF(ROUND(IS!G24,0)-ROUND(SUM(IS!G31:G32),0)=ROUND(IS!G33,0),"OK","ERROR")</f>
        <v>OK</v>
      </c>
      <c r="H74" s="223" t="str">
        <f>IF(ROUND(IS!H24,0)-ROUND(SUM(IS!H31:H32),0)=ROUND(IS!H33,0),"OK","ERROR")</f>
        <v>OK</v>
      </c>
      <c r="I74" s="207"/>
      <c r="J74" s="205" t="str">
        <f>IF(ROUND(IS!J24,0)-ROUND(SUM(IS!J31:J32),0)=ROUND(IS!J33,0),"OK","ERROR")</f>
        <v>OK</v>
      </c>
      <c r="K74" s="205" t="str">
        <f>IF(ROUND(IS!K24,0)-ROUND(SUM(IS!K31:K32),0)=ROUND(IS!K33,0),"OK","ERROR")</f>
        <v>OK</v>
      </c>
      <c r="L74" s="205" t="str">
        <f>IF(ROUND(IS!L24,0)-ROUND(SUM(IS!L31:L32),0)=ROUND(IS!L33,0),"OK","ERROR")</f>
        <v>OK</v>
      </c>
      <c r="M74" s="205" t="str">
        <f>IF(ROUND(IS!M24,0)-ROUND(SUM(IS!M31:M32),0)=ROUND(IS!M33,0),"OK","ERROR")</f>
        <v>OK</v>
      </c>
      <c r="N74" s="223" t="str">
        <f>IF(ROUND(IS!N24,0)-ROUND(SUM(IS!N31:N32),0)=ROUND(IS!N33,0),"OK","ERROR")</f>
        <v>OK</v>
      </c>
      <c r="O74" s="207"/>
      <c r="P74" s="205" t="str">
        <f>IF(ROUND(IS!P24,0)-ROUND(SUM(IS!P31:P32),0)=ROUND(IS!P33,0),"OK","ERROR")</f>
        <v>OK</v>
      </c>
      <c r="Q74" s="205" t="str">
        <f>IF(ROUND(IS!Q24,0)-ROUND(SUM(IS!Q31:Q32),0)=ROUND(IS!Q33,0),"OK","ERROR")</f>
        <v>OK</v>
      </c>
      <c r="R74" s="205" t="str">
        <f>IF(ROUND(IS!R24,0)-ROUND(SUM(IS!R31:R32),0)=ROUND(IS!R33,0),"OK","ERROR")</f>
        <v>OK</v>
      </c>
      <c r="S74" s="205" t="str">
        <f>IF(ROUND(IS!S24,0)-ROUND(SUM(IS!S31:S32),0)=ROUND(IS!S33,0),"OK","ERROR")</f>
        <v>OK</v>
      </c>
      <c r="T74" s="223" t="str">
        <f>IF(ROUND(IS!T24,0)-ROUND(SUM(IS!T31:T32),0)=ROUND(IS!T33,0),"OK","ERROR")</f>
        <v>OK</v>
      </c>
      <c r="U74" s="207"/>
      <c r="V74" s="205" t="str">
        <f>IF(ROUND(IS!V24,0)-ROUND(SUM(IS!V31:V32),0)=ROUND(IS!V33,0),"OK","ERROR")</f>
        <v>OK</v>
      </c>
      <c r="W74" s="205" t="str">
        <f>IF(ROUND(IS!W24,0)-ROUND(SUM(IS!W31:W32),0)=ROUND(IS!W33,0),"OK","ERROR")</f>
        <v>OK</v>
      </c>
      <c r="X74" s="205" t="str">
        <f>IF(ROUND(IS!X24,0)-ROUND(SUM(IS!X31:X32),0)=ROUND(IS!X33,0),"OK","ERROR")</f>
        <v>OK</v>
      </c>
      <c r="Y74" s="205" t="str">
        <f>IF(ROUND(IS!Y24,0)-ROUND(SUM(IS!Y31:Y32),0)=ROUND(IS!Y33,0),"OK","ERROR")</f>
        <v>OK</v>
      </c>
      <c r="Z74" s="223" t="str">
        <f>IF(ROUND(IS!Z24,0)-ROUND(SUM(IS!Z31:Z32),0)=ROUND(IS!Z33,0),"OK","ERROR")</f>
        <v>OK</v>
      </c>
      <c r="AA74" s="210"/>
      <c r="AB74" s="205" t="str">
        <f>IF(ROUND(IS!AB24,0)-ROUND(SUM(IS!AB31:AB32),0)=ROUND(IS!AB33,0),"OK","ERROR")</f>
        <v>OK</v>
      </c>
      <c r="AC74" s="205" t="str">
        <f>IF(ROUND(IS!AC24,0)-ROUND(SUM(IS!AC31:AC32),0)=ROUND(IS!AC33,0),"OK","ERROR")</f>
        <v>OK</v>
      </c>
      <c r="AD74" s="205" t="str">
        <f>IF(ROUND(IS!AD24,0)-ROUND(SUM(IS!AD31:AD32),0)=ROUND(IS!AD33,0),"OK","ERROR")</f>
        <v>OK</v>
      </c>
      <c r="AE74" s="205" t="str">
        <f>IF(ROUND(IS!AE24,0)-ROUND(SUM(IS!AE31:AE32),0)=ROUND(IS!AE33,0),"OK","ERROR")</f>
        <v>OK</v>
      </c>
      <c r="AF74" s="223" t="str">
        <f>IF(ROUND(IS!AF24,0)-ROUND(SUM(IS!AF31:AF32),0)=ROUND(IS!AF33,0),"OK","ERROR")</f>
        <v>OK</v>
      </c>
      <c r="AG74" s="208"/>
      <c r="AH74" s="205" t="str">
        <f>IF(ROUND(IS!AH24,0)-ROUND(SUM(IS!AH31:AH32),0)=ROUND(IS!AH33,0),"OK","ERROR")</f>
        <v>OK</v>
      </c>
      <c r="AI74" s="205" t="str">
        <f>IF(ROUND(IS!AI24,0)-ROUND(SUM(IS!AI31:AI32),0)=ROUND(IS!AI33,0),"OK","ERROR")</f>
        <v>OK</v>
      </c>
      <c r="AJ74" s="205" t="str">
        <f>IF(ROUND(IS!AJ24,0)-ROUND(SUM(IS!AJ31:AJ32),0)=ROUND(IS!AJ33,0),"OK","ERROR")</f>
        <v>OK</v>
      </c>
      <c r="AK74" s="205" t="str">
        <f>IF(ROUND(IS!AK24,0)-ROUND(SUM(IS!AK31:AK32),0)=ROUND(IS!AK33,0),"OK","ERROR")</f>
        <v>OK</v>
      </c>
      <c r="AL74" s="223" t="str">
        <f>IF(ROUND(IS!AL24,0)-ROUND(SUM(IS!AL31:AL32),0)=ROUND(IS!AL33,0),"OK","ERROR")</f>
        <v>OK</v>
      </c>
      <c r="AM74" s="221"/>
      <c r="AN74" s="205" t="str">
        <f>IF(ROUND(IS!AN24,0)-ROUND(SUM(IS!AN31:AN32),0)=ROUND(IS!AN33,0),"OK","ERROR")</f>
        <v>OK</v>
      </c>
      <c r="AO74" s="205" t="str">
        <f>IF(ROUND(IS!AO24,0)-ROUND(SUM(IS!AO31:AO32),0)=ROUND(IS!AO33,0),"OK","ERROR")</f>
        <v>OK</v>
      </c>
      <c r="AP74" s="205" t="str">
        <f>IF(ROUND(IS!AP24,0)-ROUND(SUM(IS!AP31:AP32),0)=ROUND(IS!AP33,0),"OK","ERROR")</f>
        <v>OK</v>
      </c>
      <c r="AQ74" s="205" t="str">
        <f>IF(ROUND(IS!AQ24,0)-ROUND(SUM(IS!AQ31:AQ32),0)=ROUND(IS!AQ33,0),"OK","ERROR")</f>
        <v>OK</v>
      </c>
      <c r="AR74" s="223" t="str">
        <f>IF(ROUND(IS!AR24,0)-ROUND(SUM(IS!AR31:AR32),0)=ROUND(IS!AR33,0),"OK","ERROR")</f>
        <v>OK</v>
      </c>
      <c r="AS74" s="221"/>
      <c r="AT74" s="223" t="str">
        <f>IF(ROUND(IS!AT24,0)-ROUND(SUM(IS!AT31:AT32),0)=ROUND(IS!AT33,0),"OK","ERROR")</f>
        <v>OK</v>
      </c>
      <c r="AU74" s="222"/>
      <c r="AV74" s="223" t="str">
        <f>IF(ROUND(IS!AV24,0)-ROUND(SUM(IS!AV31:AV32),0)=ROUND(IS!AV33,0),"OK","ERROR")</f>
        <v>OK</v>
      </c>
      <c r="AW74" s="222"/>
      <c r="AX74" s="223" t="str">
        <f>IF(ROUND(IS!AX24,0)-ROUND(SUM(IS!AX31:AX32),0)=ROUND(IS!AX33,0),"OK","ERROR")</f>
        <v>OK</v>
      </c>
    </row>
    <row r="75" spans="1:50" ht="14.25" customHeight="1" x14ac:dyDescent="0.3">
      <c r="A75" s="70"/>
      <c r="B75" s="70"/>
      <c r="D75" s="205"/>
      <c r="E75" s="205"/>
      <c r="F75" s="205"/>
      <c r="G75" s="205"/>
      <c r="H75" s="217"/>
      <c r="I75" s="207"/>
      <c r="J75" s="205"/>
      <c r="K75" s="205"/>
      <c r="L75" s="205"/>
      <c r="M75" s="205"/>
      <c r="N75" s="217"/>
      <c r="O75" s="207"/>
      <c r="P75" s="205"/>
      <c r="Q75" s="205"/>
      <c r="R75" s="205"/>
      <c r="S75" s="205"/>
      <c r="T75" s="217"/>
      <c r="U75" s="207"/>
      <c r="V75" s="205"/>
      <c r="W75" s="205"/>
      <c r="X75" s="205"/>
      <c r="Y75" s="205"/>
      <c r="Z75" s="217"/>
      <c r="AA75" s="225"/>
      <c r="AB75" s="205"/>
      <c r="AC75" s="205"/>
      <c r="AD75" s="205"/>
      <c r="AE75" s="205"/>
      <c r="AF75" s="217"/>
      <c r="AG75" s="226"/>
      <c r="AH75" s="205"/>
      <c r="AI75" s="205"/>
      <c r="AJ75" s="205"/>
      <c r="AK75" s="205"/>
      <c r="AL75" s="217"/>
      <c r="AM75" s="230"/>
      <c r="AN75" s="205"/>
      <c r="AO75" s="205"/>
      <c r="AP75" s="205"/>
      <c r="AQ75" s="205"/>
      <c r="AR75" s="217"/>
      <c r="AS75" s="230"/>
      <c r="AT75" s="217"/>
      <c r="AU75" s="231"/>
      <c r="AV75" s="217"/>
      <c r="AW75" s="231"/>
      <c r="AX75" s="217"/>
    </row>
    <row r="76" spans="1:50" ht="14.25" customHeight="1" x14ac:dyDescent="0.3">
      <c r="A76" s="41" t="s">
        <v>39</v>
      </c>
      <c r="B76" s="62" t="s">
        <v>957</v>
      </c>
      <c r="D76" s="205"/>
      <c r="E76" s="205"/>
      <c r="F76" s="205"/>
      <c r="G76" s="205"/>
      <c r="H76" s="217"/>
      <c r="I76" s="207"/>
      <c r="J76" s="205"/>
      <c r="K76" s="205"/>
      <c r="L76" s="205"/>
      <c r="M76" s="205"/>
      <c r="N76" s="217"/>
      <c r="O76" s="207"/>
      <c r="P76" s="205"/>
      <c r="Q76" s="205"/>
      <c r="R76" s="205"/>
      <c r="S76" s="205"/>
      <c r="T76" s="217"/>
      <c r="U76" s="207"/>
      <c r="V76" s="205"/>
      <c r="W76" s="205"/>
      <c r="X76" s="205"/>
      <c r="Y76" s="205"/>
      <c r="Z76" s="217"/>
      <c r="AA76" s="210"/>
      <c r="AB76" s="205"/>
      <c r="AC76" s="205"/>
      <c r="AD76" s="205"/>
      <c r="AE76" s="205"/>
      <c r="AF76" s="217"/>
      <c r="AG76" s="208"/>
      <c r="AH76" s="205"/>
      <c r="AI76" s="205"/>
      <c r="AJ76" s="205"/>
      <c r="AK76" s="205"/>
      <c r="AL76" s="217"/>
      <c r="AM76" s="221"/>
      <c r="AN76" s="205"/>
      <c r="AO76" s="205"/>
      <c r="AP76" s="205"/>
      <c r="AQ76" s="205"/>
      <c r="AR76" s="217"/>
      <c r="AS76" s="221"/>
      <c r="AT76" s="217"/>
      <c r="AU76" s="222"/>
      <c r="AV76" s="217"/>
      <c r="AW76" s="222"/>
      <c r="AX76" s="217"/>
    </row>
    <row r="77" spans="1:50" ht="14.25" customHeight="1" x14ac:dyDescent="0.3">
      <c r="A77" s="81"/>
      <c r="B77" s="87" t="s">
        <v>879</v>
      </c>
      <c r="D77" s="205" t="str">
        <f>IF(ROUND(IS!D33,0)-ROUND(IS!D41,0)=ROUND(IS!D42,0),"OK","ERROR")</f>
        <v>OK</v>
      </c>
      <c r="E77" s="205" t="str">
        <f>IF(ROUND(IS!E33,0)-ROUND(IS!E41,0)=ROUND(IS!E42,0),"OK","ERROR")</f>
        <v>OK</v>
      </c>
      <c r="F77" s="205" t="str">
        <f>IF(ROUND(IS!F33,0)-ROUND(IS!F41,0)=ROUND(IS!F42,0),"OK","ERROR")</f>
        <v>OK</v>
      </c>
      <c r="G77" s="205" t="str">
        <f>IF(ROUND(IS!G33,0)-ROUND(IS!G41,0)=ROUND(IS!G42,0),"OK","ERROR")</f>
        <v>OK</v>
      </c>
      <c r="H77" s="224" t="str">
        <f>IF(ROUND(IS!H33,0)-ROUND(IS!H41,0)=ROUND(IS!H42,0),"OK","ERROR")</f>
        <v>OK</v>
      </c>
      <c r="I77" s="207"/>
      <c r="J77" s="205" t="str">
        <f>IF(ROUND(IS!J33,0)-ROUND(IS!J41,0)=ROUND(IS!J42,0),"OK","ERROR")</f>
        <v>OK</v>
      </c>
      <c r="K77" s="205" t="str">
        <f>IF(ROUND(IS!K33,0)-ROUND(IS!K41,0)=ROUND(IS!K42,0),"OK","ERROR")</f>
        <v>OK</v>
      </c>
      <c r="L77" s="205" t="str">
        <f>IF(ROUND(IS!L33,0)-ROUND(IS!L41,0)=ROUND(IS!L42,0),"OK","ERROR")</f>
        <v>OK</v>
      </c>
      <c r="M77" s="205" t="str">
        <f>IF(ROUND(IS!M33,0)-ROUND(IS!M41,0)=ROUND(IS!M42,0),"OK","ERROR")</f>
        <v>OK</v>
      </c>
      <c r="N77" s="224" t="str">
        <f>IF(ROUND(IS!N33,0)-ROUND(IS!N41,0)=ROUND(IS!N42,0),"OK","ERROR")</f>
        <v>OK</v>
      </c>
      <c r="O77" s="207"/>
      <c r="P77" s="205" t="str">
        <f>IF(ROUND(IS!P33,0)-ROUND(IS!P41,0)=ROUND(IS!P42,0),"OK","ERROR")</f>
        <v>OK</v>
      </c>
      <c r="Q77" s="205" t="str">
        <f>IF(ROUND(IS!Q33,0)-ROUND(IS!Q41,0)=ROUND(IS!Q42,0),"OK","ERROR")</f>
        <v>OK</v>
      </c>
      <c r="R77" s="205" t="str">
        <f>IF(ROUND(IS!R33,0)-ROUND(IS!R41,0)=ROUND(IS!R42,0),"OK","ERROR")</f>
        <v>OK</v>
      </c>
      <c r="S77" s="205" t="str">
        <f>IF(ROUND(IS!S33,0)-ROUND(IS!S41,0)=ROUND(IS!S42,0),"OK","ERROR")</f>
        <v>OK</v>
      </c>
      <c r="T77" s="224" t="str">
        <f>IF(ROUND(IS!T33,0)-ROUND(IS!T41,0)=ROUND(IS!T42,0),"OK","ERROR")</f>
        <v>OK</v>
      </c>
      <c r="U77" s="207"/>
      <c r="V77" s="205" t="str">
        <f>IF(ROUND(IS!V33,0)-ROUND(IS!V41,0)=ROUND(IS!V42,0),"OK","ERROR")</f>
        <v>OK</v>
      </c>
      <c r="W77" s="205" t="str">
        <f>IF(ROUND(IS!W33,0)-ROUND(IS!W41,0)=ROUND(IS!W42,0),"OK","ERROR")</f>
        <v>OK</v>
      </c>
      <c r="X77" s="205" t="str">
        <f>IF(ROUND(IS!X33,0)-ROUND(IS!X41,0)=ROUND(IS!X42,0),"OK","ERROR")</f>
        <v>OK</v>
      </c>
      <c r="Y77" s="205" t="str">
        <f>IF(ROUND(IS!Y33,0)-ROUND(IS!Y41,0)=ROUND(IS!Y42,0),"OK","ERROR")</f>
        <v>OK</v>
      </c>
      <c r="Z77" s="224" t="str">
        <f>IF(ROUND(IS!Z33,0)-ROUND(IS!Z41,0)=ROUND(IS!Z42,0),"OK","ERROR")</f>
        <v>OK</v>
      </c>
      <c r="AA77" s="210"/>
      <c r="AB77" s="205" t="str">
        <f>IF(ROUND(IS!AB33,0)-ROUND(IS!AB41,0)=ROUND(IS!AB42,0),"OK","ERROR")</f>
        <v>OK</v>
      </c>
      <c r="AC77" s="205" t="str">
        <f>IF(ROUND(IS!AC33,0)-ROUND(IS!AC41,0)=ROUND(IS!AC42,0),"OK","ERROR")</f>
        <v>OK</v>
      </c>
      <c r="AD77" s="205" t="str">
        <f>IF(ROUND(IS!AD33,0)-ROUND(IS!AD41,0)=ROUND(IS!AD42,0),"OK","ERROR")</f>
        <v>OK</v>
      </c>
      <c r="AE77" s="205" t="str">
        <f>IF(ROUND(IS!AE33,0)-ROUND(IS!AE41,0)=ROUND(IS!AE42,0),"OK","ERROR")</f>
        <v>OK</v>
      </c>
      <c r="AF77" s="224" t="str">
        <f>IF(ROUND(IS!AF33,0)-ROUND(IS!AF41,0)=ROUND(IS!AF42,0),"OK","ERROR")</f>
        <v>OK</v>
      </c>
      <c r="AG77" s="208"/>
      <c r="AH77" s="205" t="str">
        <f>IF(ROUND(IS!AH33,0)-ROUND(IS!AH41,0)=ROUND(IS!AH42,0),"OK","ERROR")</f>
        <v>OK</v>
      </c>
      <c r="AI77" s="205" t="str">
        <f>IF(ROUND(IS!AI33,0)-ROUND(IS!AI41,0)=ROUND(IS!AI42,0),"OK","ERROR")</f>
        <v>OK</v>
      </c>
      <c r="AJ77" s="205" t="str">
        <f>IF(ROUND(IS!AJ33,0)-ROUND(IS!AJ41,0)=ROUND(IS!AJ42,0),"OK","ERROR")</f>
        <v>OK</v>
      </c>
      <c r="AK77" s="205" t="str">
        <f>IF(ROUND(IS!AK33,0)-ROUND(IS!AK41,0)=ROUND(IS!AK42,0),"OK","ERROR")</f>
        <v>OK</v>
      </c>
      <c r="AL77" s="224" t="str">
        <f>IF(ROUND(IS!AL33,0)-ROUND(IS!AL41,0)=ROUND(IS!AL42,0),"OK","ERROR")</f>
        <v>OK</v>
      </c>
      <c r="AM77" s="210"/>
      <c r="AN77" s="205" t="str">
        <f>IF(ROUND(IS!AN33,0)-ROUND(IS!AN41,0)=ROUND(IS!AN42,0),"OK","ERROR")</f>
        <v>OK</v>
      </c>
      <c r="AO77" s="205" t="str">
        <f>IF(ROUND(IS!AO33,0)-ROUND(IS!AO41,0)=ROUND(IS!AO42,0),"OK","ERROR")</f>
        <v>OK</v>
      </c>
      <c r="AP77" s="205" t="str">
        <f>IF(ROUND(IS!AP33,0)-ROUND(IS!AP41,0)=ROUND(IS!AP42,0),"OK","ERROR")</f>
        <v>OK</v>
      </c>
      <c r="AQ77" s="205" t="str">
        <f>IF(ROUND(IS!AQ33,0)-ROUND(IS!AQ41,0)=ROUND(IS!AQ42,0),"OK","ERROR")</f>
        <v>OK</v>
      </c>
      <c r="AR77" s="224" t="str">
        <f>IF(ROUND(IS!AR33,0)-ROUND(IS!AR41,0)=ROUND(IS!AR42,0),"OK","ERROR")</f>
        <v>OK</v>
      </c>
      <c r="AS77" s="210"/>
      <c r="AT77" s="224" t="str">
        <f>IF(ROUND(IS!AT33,0)-ROUND(IS!AT41,0)=ROUND(IS!AT42,0),"OK","ERROR")</f>
        <v>OK</v>
      </c>
      <c r="AU77" s="212"/>
      <c r="AV77" s="224" t="str">
        <f>IF(ROUND(IS!AV33,0)-ROUND(IS!AV41,0)=ROUND(IS!AV42,0),"OK","ERROR")</f>
        <v>OK</v>
      </c>
      <c r="AW77" s="212"/>
      <c r="AX77" s="224" t="str">
        <f>IF(ROUND(IS!AX33,0)-ROUND(IS!AX41,0)=ROUND(IS!AX42,0),"OK","ERROR")</f>
        <v>OK</v>
      </c>
    </row>
    <row r="78" spans="1:50" ht="14.25" customHeight="1" x14ac:dyDescent="0.3">
      <c r="A78" s="70"/>
      <c r="B78" s="73"/>
      <c r="D78" s="205"/>
      <c r="E78" s="205"/>
      <c r="F78" s="205"/>
      <c r="G78" s="205"/>
      <c r="H78" s="217"/>
      <c r="I78" s="207"/>
      <c r="J78" s="205"/>
      <c r="K78" s="205"/>
      <c r="L78" s="205"/>
      <c r="M78" s="205"/>
      <c r="N78" s="217"/>
      <c r="O78" s="207"/>
      <c r="P78" s="205"/>
      <c r="Q78" s="205"/>
      <c r="R78" s="205"/>
      <c r="S78" s="205"/>
      <c r="T78" s="217"/>
      <c r="U78" s="207"/>
      <c r="V78" s="205"/>
      <c r="W78" s="205"/>
      <c r="X78" s="205"/>
      <c r="Y78" s="205"/>
      <c r="Z78" s="217"/>
      <c r="AA78" s="210"/>
      <c r="AB78" s="205"/>
      <c r="AC78" s="205"/>
      <c r="AD78" s="205"/>
      <c r="AE78" s="205"/>
      <c r="AF78" s="217"/>
      <c r="AG78" s="208"/>
      <c r="AH78" s="205"/>
      <c r="AI78" s="205"/>
      <c r="AJ78" s="205"/>
      <c r="AK78" s="205"/>
      <c r="AL78" s="217"/>
      <c r="AM78" s="210"/>
      <c r="AN78" s="205"/>
      <c r="AO78" s="205"/>
      <c r="AP78" s="205"/>
      <c r="AQ78" s="205"/>
      <c r="AR78" s="217"/>
      <c r="AS78" s="210"/>
      <c r="AT78" s="217"/>
      <c r="AU78" s="212"/>
      <c r="AV78" s="217"/>
      <c r="AW78" s="212"/>
      <c r="AX78" s="217"/>
    </row>
    <row r="79" spans="1:50" ht="14.25" customHeight="1" x14ac:dyDescent="0.3">
      <c r="A79" s="41" t="s">
        <v>39</v>
      </c>
      <c r="B79" s="62" t="s">
        <v>964</v>
      </c>
      <c r="D79" s="205"/>
      <c r="E79" s="205"/>
      <c r="F79" s="205"/>
      <c r="G79" s="205"/>
      <c r="H79" s="217"/>
      <c r="I79" s="207"/>
      <c r="J79" s="205"/>
      <c r="K79" s="205"/>
      <c r="L79" s="205"/>
      <c r="M79" s="205"/>
      <c r="N79" s="217"/>
      <c r="O79" s="207"/>
      <c r="P79" s="205"/>
      <c r="Q79" s="205"/>
      <c r="R79" s="205"/>
      <c r="S79" s="205"/>
      <c r="T79" s="217"/>
      <c r="U79" s="207"/>
      <c r="V79" s="205"/>
      <c r="W79" s="205"/>
      <c r="X79" s="205"/>
      <c r="Y79" s="205"/>
      <c r="Z79" s="217"/>
      <c r="AA79" s="210"/>
      <c r="AB79" s="205"/>
      <c r="AC79" s="205"/>
      <c r="AD79" s="205"/>
      <c r="AE79" s="205"/>
      <c r="AF79" s="217"/>
      <c r="AG79" s="208"/>
      <c r="AH79" s="205"/>
      <c r="AI79" s="205"/>
      <c r="AJ79" s="205"/>
      <c r="AK79" s="205"/>
      <c r="AL79" s="217"/>
      <c r="AM79" s="210"/>
      <c r="AN79" s="205"/>
      <c r="AO79" s="205"/>
      <c r="AP79" s="205"/>
      <c r="AQ79" s="205"/>
      <c r="AR79" s="217"/>
      <c r="AS79" s="210"/>
      <c r="AT79" s="217"/>
      <c r="AU79" s="212"/>
      <c r="AV79" s="217"/>
      <c r="AW79" s="212"/>
      <c r="AX79" s="217"/>
    </row>
    <row r="80" spans="1:50" ht="14.25" customHeight="1" thickBot="1" x14ac:dyDescent="0.35">
      <c r="A80" s="70"/>
      <c r="B80" s="67" t="s">
        <v>966</v>
      </c>
      <c r="D80" s="205" t="str">
        <f>IF(ROUND(IS!D42,0)-ROUND(SUM(IS!D45:D46),0)=ROUND(IS!D47,0),"OK","ERROR")</f>
        <v>OK</v>
      </c>
      <c r="E80" s="205" t="str">
        <f>IF(ROUND(IS!E42,0)-ROUND(SUM(IS!E45:E46),0)=ROUND(IS!E47,0),"OK","ERROR")</f>
        <v>OK</v>
      </c>
      <c r="F80" s="205" t="str">
        <f>IF(ROUND(IS!F42,0)-ROUND(SUM(IS!F45:F46),0)=ROUND(IS!F47,0),"OK","ERROR")</f>
        <v>OK</v>
      </c>
      <c r="G80" s="205" t="str">
        <f>IF(ROUND(IS!G42,0)-ROUND(SUM(IS!G45:G46),0)=ROUND(IS!G47,0),"OK","ERROR")</f>
        <v>OK</v>
      </c>
      <c r="H80" s="234" t="str">
        <f>IF(ROUND(IS!H42,0)-ROUND(SUM(IS!H45:H46),0)=ROUND(IS!H47,0),"OK","ERROR")</f>
        <v>OK</v>
      </c>
      <c r="I80" s="207"/>
      <c r="J80" s="205" t="str">
        <f>IF(ROUND(IS!J42,0)-ROUND(SUM(IS!J45:J46),0)=ROUND(IS!J47,0),"OK","ERROR")</f>
        <v>OK</v>
      </c>
      <c r="K80" s="205" t="str">
        <f>IF(ROUND(IS!K42,0)-ROUND(SUM(IS!K45:K46),0)=ROUND(IS!K47,0),"OK","ERROR")</f>
        <v>OK</v>
      </c>
      <c r="L80" s="205" t="str">
        <f>IF(ROUND(IS!L42,0)-ROUND(SUM(IS!L45:L46),0)=ROUND(IS!L47,0),"OK","ERROR")</f>
        <v>OK</v>
      </c>
      <c r="M80" s="205" t="str">
        <f>IF(ROUND(IS!M42,0)-ROUND(SUM(IS!M45:M46),0)=ROUND(IS!M47,0),"OK","ERROR")</f>
        <v>OK</v>
      </c>
      <c r="N80" s="234" t="str">
        <f>IF(ROUND(IS!N42,0)-ROUND(SUM(IS!N45:N46),0)=ROUND(IS!N47,0),"OK","ERROR")</f>
        <v>OK</v>
      </c>
      <c r="O80" s="207"/>
      <c r="P80" s="205" t="str">
        <f>IF(ROUND(IS!P42,0)-ROUND(SUM(IS!P45:P46),0)=ROUND(IS!P47,0),"OK","ERROR")</f>
        <v>OK</v>
      </c>
      <c r="Q80" s="205" t="str">
        <f>IF(ROUND(IS!Q42,0)-ROUND(SUM(IS!Q45:Q46),0)=ROUND(IS!Q47,0),"OK","ERROR")</f>
        <v>OK</v>
      </c>
      <c r="R80" s="205" t="str">
        <f>IF(ROUND(IS!R42,0)-ROUND(SUM(IS!R45:R46),0)=ROUND(IS!R47,0),"OK","ERROR")</f>
        <v>OK</v>
      </c>
      <c r="S80" s="205" t="str">
        <f>IF(ROUND(IS!S42,0)-ROUND(SUM(IS!S45:S46),0)=ROUND(IS!S47,0),"OK","ERROR")</f>
        <v>OK</v>
      </c>
      <c r="T80" s="234" t="str">
        <f>IF(ROUND(IS!T42,0)-ROUND(SUM(IS!T45:T46),0)=ROUND(IS!T47,0),"OK","ERROR")</f>
        <v>OK</v>
      </c>
      <c r="U80" s="207"/>
      <c r="V80" s="205" t="str">
        <f>IF(ROUND(IS!V42,0)-ROUND(SUM(IS!V45:V46),0)=ROUND(IS!V47,0),"OK","ERROR")</f>
        <v>OK</v>
      </c>
      <c r="W80" s="205" t="str">
        <f>IF(ROUND(IS!W42,0)-ROUND(SUM(IS!W45:W46),0)=ROUND(IS!W47,0),"OK","ERROR")</f>
        <v>OK</v>
      </c>
      <c r="X80" s="205" t="str">
        <f>IF(ROUND(IS!X42,0)-ROUND(SUM(IS!X45:X46),0)=ROUND(IS!X47,0),"OK","ERROR")</f>
        <v>OK</v>
      </c>
      <c r="Y80" s="205" t="str">
        <f>IF(ROUND(IS!Y42,0)-ROUND(SUM(IS!Y45:Y46),0)=ROUND(IS!Y47,0),"OK","ERROR")</f>
        <v>OK</v>
      </c>
      <c r="Z80" s="234" t="str">
        <f>IF(ROUND(IS!Z42,0)-ROUND(SUM(IS!Z45:Z46),0)=ROUND(IS!Z47,0),"OK","ERROR")</f>
        <v>OK</v>
      </c>
      <c r="AA80" s="210"/>
      <c r="AB80" s="205" t="str">
        <f>IF(ROUND(IS!AB42,0)-ROUND(SUM(IS!AB45:AB46),0)=ROUND(IS!AB47,0),"OK","ERROR")</f>
        <v>OK</v>
      </c>
      <c r="AC80" s="205" t="str">
        <f>IF(ROUND(IS!AC42,0)-ROUND(SUM(IS!AC45:AC46),0)=ROUND(IS!AC47,0),"OK","ERROR")</f>
        <v>OK</v>
      </c>
      <c r="AD80" s="205" t="str">
        <f>IF(ROUND(IS!AD42,0)-ROUND(SUM(IS!AD45:AD46),0)=ROUND(IS!AD47,0),"OK","ERROR")</f>
        <v>OK</v>
      </c>
      <c r="AE80" s="205" t="str">
        <f>IF(ROUND(IS!AE42,0)-ROUND(SUM(IS!AE45:AE46),0)=ROUND(IS!AE47,0),"OK","ERROR")</f>
        <v>OK</v>
      </c>
      <c r="AF80" s="234" t="str">
        <f>IF(ROUND(IS!AF42,0)-ROUND(SUM(IS!AF45:AF46),0)=ROUND(IS!AF47,0),"OK","ERROR")</f>
        <v>OK</v>
      </c>
      <c r="AG80" s="208"/>
      <c r="AH80" s="205" t="str">
        <f>IF(ROUND(IS!AH42,0)-ROUND(SUM(IS!AH45:AH46),0)=ROUND(IS!AH47,0),"OK","ERROR")</f>
        <v>OK</v>
      </c>
      <c r="AI80" s="205" t="str">
        <f>IF(ROUND(IS!AI42,0)-ROUND(SUM(IS!AI45:AI46),0)=ROUND(IS!AI47,0),"OK","ERROR")</f>
        <v>OK</v>
      </c>
      <c r="AJ80" s="205" t="str">
        <f>IF(ROUND(IS!AJ42,0)-ROUND(SUM(IS!AJ45:AJ46),0)=ROUND(IS!AJ47,0),"OK","ERROR")</f>
        <v>OK</v>
      </c>
      <c r="AK80" s="205" t="str">
        <f>IF(ROUND(IS!AK42,0)-ROUND(SUM(IS!AK45:AK46),0)=ROUND(IS!AK47,0),"OK","ERROR")</f>
        <v>OK</v>
      </c>
      <c r="AL80" s="234" t="str">
        <f>IF(ROUND(IS!AL42,0)-ROUND(SUM(IS!AL45:AL46),0)=ROUND(IS!AL47,0),"OK","ERROR")</f>
        <v>OK</v>
      </c>
      <c r="AM80" s="233"/>
      <c r="AN80" s="205" t="str">
        <f>IF(ROUND(IS!AN42,0)-ROUND(SUM(IS!AN45:AN46),0)=ROUND(IS!AN47,0),"OK","ERROR")</f>
        <v>OK</v>
      </c>
      <c r="AO80" s="205" t="str">
        <f>IF(ROUND(IS!AO42,0)-ROUND(SUM(IS!AO45:AO46),0)=ROUND(IS!AO47,0),"OK","ERROR")</f>
        <v>OK</v>
      </c>
      <c r="AP80" s="205" t="str">
        <f>IF(ROUND(IS!AP42,0)-ROUND(SUM(IS!AP45:AP46),0)=ROUND(IS!AP47,0),"OK","ERROR")</f>
        <v>OK</v>
      </c>
      <c r="AQ80" s="205" t="str">
        <f>IF(ROUND(IS!AQ42,0)-ROUND(SUM(IS!AQ45:AQ46),0)=ROUND(IS!AQ47,0),"OK","ERROR")</f>
        <v>OK</v>
      </c>
      <c r="AR80" s="234" t="str">
        <f>IF(ROUND(IS!AR42,0)-ROUND(SUM(IS!AR45:AR46),0)=ROUND(IS!AR47,0),"OK","ERROR")</f>
        <v>OK</v>
      </c>
      <c r="AS80" s="210"/>
      <c r="AT80" s="234" t="str">
        <f>IF(ROUND(IS!AT42,0)-ROUND(SUM(IS!AT45:AT46),0)=ROUND(IS!AT47,0),"OK","ERROR")</f>
        <v>OK</v>
      </c>
      <c r="AU80" s="212"/>
      <c r="AV80" s="234" t="str">
        <f>IF(ROUND(IS!AV42,0)-ROUND(SUM(IS!AV45:AV46),0)=ROUND(IS!AV47,0),"OK","ERROR")</f>
        <v>OK</v>
      </c>
      <c r="AW80" s="212"/>
      <c r="AX80" s="234" t="str">
        <f>IF(ROUND(IS!AX42,0)-ROUND(SUM(IS!AX45:AX46),0)=ROUND(IS!AX47,0),"OK","ERROR")</f>
        <v>OK</v>
      </c>
    </row>
    <row r="82" spans="1:50" ht="14.25" customHeight="1" x14ac:dyDescent="0.3">
      <c r="A82" s="41" t="s">
        <v>39</v>
      </c>
      <c r="B82" s="62" t="s">
        <v>967</v>
      </c>
      <c r="D82" s="205"/>
      <c r="E82" s="205"/>
      <c r="F82" s="205"/>
      <c r="G82" s="205"/>
      <c r="H82" s="217"/>
      <c r="I82" s="207"/>
      <c r="J82" s="205"/>
      <c r="K82" s="205"/>
      <c r="L82" s="205"/>
      <c r="M82" s="205"/>
      <c r="N82" s="217"/>
      <c r="O82" s="207"/>
      <c r="P82" s="205"/>
      <c r="Q82" s="205"/>
      <c r="R82" s="205"/>
      <c r="S82" s="205"/>
      <c r="T82" s="217"/>
      <c r="U82" s="207"/>
      <c r="V82" s="205"/>
      <c r="W82" s="205"/>
      <c r="X82" s="205"/>
      <c r="Y82" s="205"/>
      <c r="Z82" s="217"/>
      <c r="AA82" s="207"/>
      <c r="AB82" s="205"/>
      <c r="AC82" s="205"/>
      <c r="AD82" s="205"/>
      <c r="AE82" s="205"/>
      <c r="AF82" s="217"/>
      <c r="AG82" s="235"/>
      <c r="AH82" s="205"/>
      <c r="AI82" s="205"/>
      <c r="AJ82" s="205"/>
      <c r="AK82" s="205"/>
      <c r="AL82" s="217"/>
      <c r="AM82" s="207"/>
      <c r="AN82" s="205"/>
      <c r="AO82" s="205"/>
      <c r="AP82" s="205"/>
      <c r="AQ82" s="205"/>
      <c r="AR82" s="217"/>
      <c r="AS82" s="207"/>
      <c r="AT82" s="217"/>
      <c r="AU82" s="236"/>
      <c r="AV82" s="217"/>
      <c r="AW82" s="236"/>
      <c r="AX82" s="217"/>
    </row>
    <row r="83" spans="1:50" ht="14.25" customHeight="1" thickBot="1" x14ac:dyDescent="0.35">
      <c r="A83" s="70"/>
      <c r="B83" s="73" t="s">
        <v>970</v>
      </c>
      <c r="D83" s="205" t="str">
        <f>IF(ROUND(IS!D47,0)-ROUND(SUM(IS!D50:D51),0)=ROUND(IS!D52,0),"OK","ERROR")</f>
        <v>OK</v>
      </c>
      <c r="E83" s="205" t="str">
        <f>IF(ROUND(IS!E47,0)-ROUND(SUM(IS!E50:E51),0)=ROUND(IS!E52,0),"OK","ERROR")</f>
        <v>OK</v>
      </c>
      <c r="F83" s="205" t="str">
        <f>IF(ROUND(IS!F47,0)-ROUND(SUM(IS!F50:F51),0)=ROUND(IS!F52,0),"OK","ERROR")</f>
        <v>OK</v>
      </c>
      <c r="G83" s="205" t="str">
        <f>IF(ROUND(IS!G47,0)-ROUND(SUM(IS!G50:G51),0)=ROUND(IS!G52,0),"OK","ERROR")</f>
        <v>OK</v>
      </c>
      <c r="H83" s="234" t="str">
        <f>IF(ROUND(IS!H47,0)-ROUND(SUM(IS!H50:H51),0)=ROUND(IS!H52,0),"OK","ERROR")</f>
        <v>OK</v>
      </c>
      <c r="I83" s="207"/>
      <c r="J83" s="205" t="str">
        <f>IF(ROUND(IS!J47,0)-ROUND(SUM(IS!J50:J51),0)=ROUND(IS!J52,0),"OK","ERROR")</f>
        <v>OK</v>
      </c>
      <c r="K83" s="205" t="str">
        <f>IF(ROUND(IS!K47,0)-ROUND(SUM(IS!K50:K51),0)=ROUND(IS!K52,0),"OK","ERROR")</f>
        <v>OK</v>
      </c>
      <c r="L83" s="205" t="str">
        <f>IF(ROUND(IS!L47,0)-ROUND(SUM(IS!L50:L51),0)=ROUND(IS!L52,0),"OK","ERROR")</f>
        <v>OK</v>
      </c>
      <c r="M83" s="205" t="str">
        <f>IF(ROUND(IS!M47,0)-ROUND(SUM(IS!M50:M51),0)=ROUND(IS!M52,0),"OK","ERROR")</f>
        <v>OK</v>
      </c>
      <c r="N83" s="234" t="str">
        <f>IF(ROUND(IS!N47,0)-ROUND(SUM(IS!N50:N51),0)=ROUND(IS!N52,0),"OK","ERROR")</f>
        <v>OK</v>
      </c>
      <c r="O83" s="207"/>
      <c r="P83" s="205" t="str">
        <f>IF(ROUND(IS!P47,0)-ROUND(SUM(IS!P50:P51),0)=ROUND(IS!P52,0),"OK","ERROR")</f>
        <v>OK</v>
      </c>
      <c r="Q83" s="205" t="str">
        <f>IF(ROUND(IS!Q47,0)-ROUND(SUM(IS!Q50:Q51),0)=ROUND(IS!Q52,0),"OK","ERROR")</f>
        <v>OK</v>
      </c>
      <c r="R83" s="205" t="str">
        <f>IF(ROUND(IS!R47,0)-ROUND(SUM(IS!R50:R51),0)=ROUND(IS!R52,0),"OK","ERROR")</f>
        <v>OK</v>
      </c>
      <c r="S83" s="205" t="str">
        <f>IF(ROUND(IS!S47,0)-ROUND(SUM(IS!S50:S51),0)=ROUND(IS!S52,0),"OK","ERROR")</f>
        <v>OK</v>
      </c>
      <c r="T83" s="234" t="str">
        <f>IF(ROUND(IS!T47,0)-ROUND(SUM(IS!T50:T51),0)=ROUND(IS!T52,0),"OK","ERROR")</f>
        <v>OK</v>
      </c>
      <c r="U83" s="207"/>
      <c r="V83" s="205" t="str">
        <f>IF(ROUND(IS!V47,0)-ROUND(SUM(IS!V50:V51),0)=ROUND(IS!V52,0),"OK","ERROR")</f>
        <v>OK</v>
      </c>
      <c r="W83" s="205" t="str">
        <f>IF(ROUND(IS!W47,0)-ROUND(SUM(IS!W50:W51),0)=ROUND(IS!W52,0),"OK","ERROR")</f>
        <v>OK</v>
      </c>
      <c r="X83" s="205" t="str">
        <f>IF(ROUND(IS!X47,0)-ROUND(SUM(IS!X50:X51),0)=ROUND(IS!X52,0),"OK","ERROR")</f>
        <v>OK</v>
      </c>
      <c r="Y83" s="205" t="str">
        <f>IF(ROUND(IS!Y47,0)-ROUND(SUM(IS!Y50:Y51),0)=ROUND(IS!Y52,0),"OK","ERROR")</f>
        <v>OK</v>
      </c>
      <c r="Z83" s="234" t="str">
        <f>IF(ROUND(IS!Z47,0)-ROUND(SUM(IS!Z50:Z51),0)=ROUND(IS!Z52,0),"OK","ERROR")</f>
        <v>OK</v>
      </c>
      <c r="AA83" s="207"/>
      <c r="AB83" s="205" t="str">
        <f>IF(ROUND(IS!AB47,0)-ROUND(SUM(IS!AB50:AB51),0)=ROUND(IS!AB52,0),"OK","ERROR")</f>
        <v>OK</v>
      </c>
      <c r="AC83" s="205" t="str">
        <f>IF(ROUND(IS!AC47,0)-ROUND(SUM(IS!AC50:AC51),0)=ROUND(IS!AC52,0),"OK","ERROR")</f>
        <v>OK</v>
      </c>
      <c r="AD83" s="205" t="str">
        <f>IF(ROUND(IS!AD47,0)-ROUND(SUM(IS!AD50:AD51),0)=ROUND(IS!AD52,0),"OK","ERROR")</f>
        <v>OK</v>
      </c>
      <c r="AE83" s="205" t="str">
        <f>IF(ROUND(IS!AE47,0)-ROUND(SUM(IS!AE50:AE51),0)=ROUND(IS!AE52,0),"OK","ERROR")</f>
        <v>OK</v>
      </c>
      <c r="AF83" s="234" t="str">
        <f>IF(ROUND(IS!AF47,0)-ROUND(SUM(IS!AF50:AF51),0)=ROUND(IS!AF52,0),"OK","ERROR")</f>
        <v>OK</v>
      </c>
      <c r="AG83" s="235"/>
      <c r="AH83" s="205" t="str">
        <f>IF(ROUND(IS!AH47,0)-ROUND(SUM(IS!AH50:AH51),0)=ROUND(IS!AH52,0),"OK","ERROR")</f>
        <v>OK</v>
      </c>
      <c r="AI83" s="205" t="str">
        <f>IF(ROUND(IS!AI47,0)-ROUND(SUM(IS!AI50:AI51),0)=ROUND(IS!AI52,0),"OK","ERROR")</f>
        <v>OK</v>
      </c>
      <c r="AJ83" s="205" t="str">
        <f>IF(ROUND(IS!AJ47,0)-ROUND(SUM(IS!AJ50:AJ51),0)=ROUND(IS!AJ52,0),"OK","ERROR")</f>
        <v>OK</v>
      </c>
      <c r="AK83" s="205" t="str">
        <f>IF(ROUND(IS!AK47,0)-ROUND(SUM(IS!AK50:AK51),0)=ROUND(IS!AK52,0),"OK","ERROR")</f>
        <v>OK</v>
      </c>
      <c r="AL83" s="234" t="str">
        <f>IF(ROUND(IS!AL47,0)-ROUND(SUM(IS!AL50:AL51),0)=ROUND(IS!AL52,0),"OK","ERROR")</f>
        <v>OK</v>
      </c>
      <c r="AM83" s="207"/>
      <c r="AN83" s="205" t="str">
        <f>IF(ROUND(IS!AN47,0)-ROUND(SUM(IS!AN50:AN51),0)=ROUND(IS!AN52,0),"OK","ERROR")</f>
        <v>OK</v>
      </c>
      <c r="AO83" s="205" t="str">
        <f>IF(ROUND(IS!AO47,0)-ROUND(SUM(IS!AO50:AO51),0)=ROUND(IS!AO52,0),"OK","ERROR")</f>
        <v>OK</v>
      </c>
      <c r="AP83" s="205" t="str">
        <f>IF(ROUND(IS!AP47,0)-ROUND(SUM(IS!AP50:AP51),0)=ROUND(IS!AP52,0),"OK","ERROR")</f>
        <v>OK</v>
      </c>
      <c r="AQ83" s="205" t="str">
        <f>IF(ROUND(IS!AQ47,0)-ROUND(SUM(IS!AQ50:AQ51),0)=ROUND(IS!AQ52,0),"OK","ERROR")</f>
        <v>OK</v>
      </c>
      <c r="AR83" s="234" t="str">
        <f>IF(ROUND(IS!AR47,0)-ROUND(SUM(IS!AR50:AR51),0)=ROUND(IS!AR52,0),"OK","ERROR")</f>
        <v>OK</v>
      </c>
      <c r="AS83" s="207"/>
      <c r="AT83" s="234" t="str">
        <f>IF(ROUND(IS!AT47,0)-ROUND(SUM(IS!AT50:AT51),0)=ROUND(IS!AT52,0),"OK","ERROR")</f>
        <v>OK</v>
      </c>
      <c r="AU83" s="236"/>
      <c r="AV83" s="234" t="str">
        <f>IF(ROUND(IS!AV47,0)-ROUND(SUM(IS!AV50:AV51),0)=ROUND(IS!AV52,0),"OK","ERROR")</f>
        <v>OK</v>
      </c>
      <c r="AW83" s="236"/>
      <c r="AX83" s="234" t="str">
        <f>IF(ROUND(IS!AX47,0)-ROUND(SUM(IS!AX50:AX51),0)=ROUND(IS!AX52,0),"OK","ERROR")</f>
        <v>OK</v>
      </c>
    </row>
    <row r="84" spans="1:50" ht="14.25" customHeight="1" thickTop="1" x14ac:dyDescent="0.3">
      <c r="A84" s="52"/>
      <c r="D84" s="205"/>
      <c r="E84" s="205"/>
      <c r="F84" s="205"/>
      <c r="G84" s="205"/>
      <c r="H84" s="217"/>
      <c r="I84" s="207"/>
      <c r="J84" s="205"/>
      <c r="K84" s="205"/>
      <c r="L84" s="205"/>
      <c r="M84" s="205"/>
      <c r="N84" s="217"/>
      <c r="O84" s="207"/>
      <c r="P84" s="205"/>
      <c r="Q84" s="205"/>
      <c r="R84" s="205"/>
      <c r="S84" s="205"/>
      <c r="T84" s="217"/>
      <c r="U84" s="207"/>
      <c r="V84" s="205"/>
      <c r="W84" s="205"/>
      <c r="X84" s="205"/>
      <c r="Y84" s="205"/>
      <c r="Z84" s="217"/>
      <c r="AA84" s="207"/>
      <c r="AB84" s="205"/>
      <c r="AC84" s="205"/>
      <c r="AD84" s="205"/>
      <c r="AE84" s="205"/>
      <c r="AF84" s="217"/>
      <c r="AG84" s="235"/>
      <c r="AH84" s="205"/>
      <c r="AI84" s="205"/>
      <c r="AJ84" s="205"/>
      <c r="AK84" s="205"/>
      <c r="AL84" s="217"/>
      <c r="AM84" s="207"/>
      <c r="AN84" s="205"/>
      <c r="AO84" s="205"/>
      <c r="AP84" s="205"/>
      <c r="AQ84" s="205"/>
      <c r="AR84" s="217"/>
      <c r="AS84" s="207"/>
      <c r="AT84" s="217"/>
      <c r="AU84" s="236"/>
      <c r="AV84" s="217"/>
      <c r="AW84" s="236"/>
      <c r="AX84" s="217"/>
    </row>
    <row r="85" spans="1:50" ht="14.25" customHeight="1" x14ac:dyDescent="0.3">
      <c r="A85" s="41" t="s">
        <v>39</v>
      </c>
      <c r="B85" s="62" t="s">
        <v>971</v>
      </c>
      <c r="D85" s="205"/>
      <c r="E85" s="205"/>
      <c r="F85" s="205"/>
      <c r="G85" s="205"/>
      <c r="H85" s="217"/>
      <c r="I85" s="207"/>
      <c r="J85" s="205"/>
      <c r="K85" s="205"/>
      <c r="L85" s="205"/>
      <c r="M85" s="205"/>
      <c r="N85" s="217"/>
      <c r="O85" s="207"/>
      <c r="P85" s="205"/>
      <c r="Q85" s="205"/>
      <c r="R85" s="205"/>
      <c r="S85" s="205"/>
      <c r="T85" s="217"/>
      <c r="U85" s="207"/>
      <c r="V85" s="205"/>
      <c r="W85" s="205"/>
      <c r="X85" s="205"/>
      <c r="Y85" s="205"/>
      <c r="Z85" s="217"/>
      <c r="AA85" s="207"/>
      <c r="AB85" s="205"/>
      <c r="AC85" s="205"/>
      <c r="AD85" s="205"/>
      <c r="AE85" s="205"/>
      <c r="AF85" s="217"/>
      <c r="AG85" s="235"/>
      <c r="AH85" s="205"/>
      <c r="AI85" s="205"/>
      <c r="AJ85" s="205"/>
      <c r="AK85" s="205"/>
      <c r="AL85" s="217"/>
      <c r="AM85" s="207"/>
      <c r="AN85" s="205"/>
      <c r="AO85" s="205"/>
      <c r="AP85" s="205"/>
      <c r="AQ85" s="205"/>
      <c r="AR85" s="217"/>
      <c r="AS85" s="207"/>
      <c r="AT85" s="217"/>
      <c r="AU85" s="236"/>
      <c r="AV85" s="217"/>
      <c r="AW85" s="236"/>
      <c r="AX85" s="217"/>
    </row>
    <row r="86" spans="1:50" ht="14.25" customHeight="1" x14ac:dyDescent="0.3">
      <c r="A86" s="52"/>
      <c r="B86" s="73" t="s">
        <v>972</v>
      </c>
      <c r="D86" s="237" t="str">
        <f>IF(ROUND(IS!D52/IS!D59,1)=ROUND(IS!D55,1),"OK","ERROR")</f>
        <v>OK</v>
      </c>
      <c r="E86" s="237" t="str">
        <f>IF(ROUND(IS!E52/IS!E59,1)=ROUND(IS!E55,1),"OK","ERROR")</f>
        <v>OK</v>
      </c>
      <c r="F86" s="237" t="str">
        <f>IF(ROUND(IS!F52/IS!F59,1)=ROUND(IS!F55,1),"OK","ERROR")</f>
        <v>OK</v>
      </c>
      <c r="G86" s="237" t="str">
        <f>IF(ROUND(IS!G52/IS!G59,1)=ROUND(IS!G55,1),"OK","ERROR")</f>
        <v>OK</v>
      </c>
      <c r="H86" s="238" t="str">
        <f>IF(ROUND(IS!H52/IS!H59,1)=ROUND(IS!H55,1),"OK","ERROR")</f>
        <v>OK</v>
      </c>
      <c r="I86" s="239"/>
      <c r="J86" s="237" t="str">
        <f>IF(ROUND(IS!J52/IS!J59,1)=ROUND(IS!J55,1),"OK","ERROR")</f>
        <v>OK</v>
      </c>
      <c r="K86" s="237" t="str">
        <f>IF(ROUND(IS!K52/IS!K59,1)=ROUND(IS!K55,1),"OK","ERROR")</f>
        <v>OK</v>
      </c>
      <c r="L86" s="237" t="str">
        <f>IF(ROUND(IS!L52/IS!L59,1)=ROUND(IS!L55,1),"OK","ERROR")</f>
        <v>OK</v>
      </c>
      <c r="M86" s="237" t="str">
        <f>IF(ROUND(IS!M52/IS!M59,1)=ROUND(IS!M55,1),"OK","ERROR")</f>
        <v>OK</v>
      </c>
      <c r="N86" s="238" t="str">
        <f>IF(ROUND(IS!N52/IS!N59,1)=ROUND(IS!N55,1),"OK","ERROR")</f>
        <v>OK</v>
      </c>
      <c r="O86" s="239"/>
      <c r="P86" s="237" t="str">
        <f>IF(ROUND(IS!P52/IS!P59,1)=ROUND(IS!P55,1),"OK","ERROR")</f>
        <v>OK</v>
      </c>
      <c r="Q86" s="237" t="str">
        <f>IF(ROUND(IS!Q52/IS!Q59,1)=ROUND(IS!Q55,1),"OK","ERROR")</f>
        <v>OK</v>
      </c>
      <c r="R86" s="237" t="str">
        <f>IF(ROUND(IS!R52/IS!R59,1)=ROUND(IS!R55,1),"OK","ERROR")</f>
        <v>OK</v>
      </c>
      <c r="S86" s="237" t="str">
        <f>IF(ROUND(IS!S52/IS!S59,1)=ROUND(IS!S55,1),"OK","ERROR")</f>
        <v>OK</v>
      </c>
      <c r="T86" s="238" t="str">
        <f>IF(ROUND(IS!T52/IS!T59,1)=ROUND(IS!T55,1),"OK","ERROR")</f>
        <v>OK</v>
      </c>
      <c r="U86" s="239"/>
      <c r="V86" s="237" t="str">
        <f>IF(ROUND(IS!V52/IS!V59,1)=ROUND(IS!V55,1),"OK","ERROR")</f>
        <v>OK</v>
      </c>
      <c r="W86" s="237" t="str">
        <f>IF(ROUND(IS!W52/IS!W59,1)=ROUND(IS!W55,1),"OK","ERROR")</f>
        <v>OK</v>
      </c>
      <c r="X86" s="237" t="str">
        <f>IF(ROUND(IS!X52/IS!X59,1)=ROUND(IS!X55,1),"OK","ERROR")</f>
        <v>OK</v>
      </c>
      <c r="Y86" s="237" t="str">
        <f>IF(ROUND(IS!Y52/IS!Y59,1)=ROUND(IS!Y55,1),"OK","ERROR")</f>
        <v>OK</v>
      </c>
      <c r="Z86" s="238" t="str">
        <f>IF(ROUND(IS!Z52/IS!Z59,1)=ROUND(IS!Z55,1),"OK","ERROR")</f>
        <v>OK</v>
      </c>
      <c r="AA86" s="239"/>
      <c r="AB86" s="237" t="str">
        <f>IF(ROUND(IS!AB52/IS!AB59,1)=ROUND(IS!AB55,1),"OK","ERROR")</f>
        <v>OK</v>
      </c>
      <c r="AC86" s="237" t="str">
        <f>IF(ROUND(IS!AC52/IS!AC59,1)=ROUND(IS!AC55,1),"OK","ERROR")</f>
        <v>ERROR</v>
      </c>
      <c r="AD86" s="237" t="str">
        <f>IF(ROUND(IS!AD52/IS!AD59,1)=ROUND(IS!AD55,1),"OK","ERROR")</f>
        <v>OK</v>
      </c>
      <c r="AE86" s="237" t="str">
        <f>IF(ROUND(IS!AE52/IS!AE59,1)=ROUND(IS!AE55,1),"OK","ERROR")</f>
        <v>OK</v>
      </c>
      <c r="AF86" s="238" t="str">
        <f>IF(ROUND(IS!AF52/IS!AF59,1)=ROUND(IS!AF55,1),"OK","ERROR")</f>
        <v>OK</v>
      </c>
      <c r="AG86" s="240"/>
      <c r="AH86" s="237" t="str">
        <f>IF(ROUND(IS!AH52/IS!AH59,1)=ROUND(IS!AH55,1),"OK","ERROR")</f>
        <v>OK</v>
      </c>
      <c r="AI86" s="237" t="str">
        <f>IF(ROUND(IS!AI52/IS!AI59,1)=ROUND(IS!AI55,1),"OK","ERROR")</f>
        <v>OK</v>
      </c>
      <c r="AJ86" s="237" t="e">
        <f>IF(ROUND(IS!AJ52/IS!AJ59,1)=ROUND(IS!AJ55,1),"OK","ERROR")</f>
        <v>#DIV/0!</v>
      </c>
      <c r="AK86" s="237" t="e">
        <f>IF(ROUND(IS!AK52/IS!AK59,1)=ROUND(IS!AK55,1),"OK","ERROR")</f>
        <v>#DIV/0!</v>
      </c>
      <c r="AL86" s="238" t="e">
        <f>IF(ROUND(IS!AL52/IS!AL59,1)=ROUND(IS!AL55,1),"OK","ERROR")</f>
        <v>#DIV/0!</v>
      </c>
      <c r="AM86" s="239"/>
      <c r="AN86" s="237" t="e">
        <f>IF(ROUND(IS!AN52/IS!AN59,1)=ROUND(IS!AN55,1),"OK","ERROR")</f>
        <v>#DIV/0!</v>
      </c>
      <c r="AO86" s="237" t="e">
        <f>IF(ROUND(IS!AO52/IS!AO59,1)=ROUND(IS!AO55,1),"OK","ERROR")</f>
        <v>#DIV/0!</v>
      </c>
      <c r="AP86" s="237" t="e">
        <f>IF(ROUND(IS!AP52/IS!AP59,1)=ROUND(IS!AP55,1),"OK","ERROR")</f>
        <v>#DIV/0!</v>
      </c>
      <c r="AQ86" s="237" t="e">
        <f>IF(ROUND(IS!AQ52/IS!AQ59,1)=ROUND(IS!AQ55,1),"OK","ERROR")</f>
        <v>#DIV/0!</v>
      </c>
      <c r="AR86" s="238" t="e">
        <f>IF(ROUND(IS!AR52/IS!AR59,1)=ROUND(IS!AR55,1),"OK","ERROR")</f>
        <v>#DIV/0!</v>
      </c>
      <c r="AS86" s="239"/>
      <c r="AT86" s="238" t="e">
        <f>IF(ROUND(IS!AT52/IS!AT59,1)=ROUND(IS!AT55,1),"OK","ERROR")</f>
        <v>#DIV/0!</v>
      </c>
      <c r="AU86" s="242"/>
      <c r="AV86" s="238" t="e">
        <f>IF(ROUND(IS!AV52/IS!AV59,1)=ROUND(IS!AV55,1),"OK","ERROR")</f>
        <v>#DIV/0!</v>
      </c>
      <c r="AW86" s="242"/>
      <c r="AX86" s="238" t="e">
        <f>IF(ROUND(IS!AX52/IS!AX59,1)=ROUND(IS!AX55,1),"OK","ERROR")</f>
        <v>#DIV/0!</v>
      </c>
    </row>
    <row r="87" spans="1:50" ht="14.25" customHeight="1" x14ac:dyDescent="0.3">
      <c r="A87" s="70"/>
      <c r="B87" s="73" t="s">
        <v>973</v>
      </c>
      <c r="D87" s="237" t="str">
        <f>IF(ROUND(IS!D52/IS!D60,1)=ROUND(IS!D56,1),"OK","ERROR")</f>
        <v>OK</v>
      </c>
      <c r="E87" s="237" t="str">
        <f>IF(ROUND(IS!E52/IS!E60,1)=ROUND(IS!E56,1),"OK","ERROR")</f>
        <v>OK</v>
      </c>
      <c r="F87" s="237" t="str">
        <f>IF(ROUND(IS!F52/IS!F60,1)=ROUND(IS!F56,1),"OK","ERROR")</f>
        <v>OK</v>
      </c>
      <c r="G87" s="237" t="str">
        <f>IF(ROUND(IS!G52/IS!G60,1)=ROUND(IS!G56,1),"OK","ERROR")</f>
        <v>OK</v>
      </c>
      <c r="H87" s="238" t="str">
        <f>IF(ROUND(IS!H52/IS!H60,1)=ROUND(IS!H56,1),"OK","ERROR")</f>
        <v>OK</v>
      </c>
      <c r="I87" s="239"/>
      <c r="J87" s="237" t="str">
        <f>IF(ROUND(IS!J52/IS!J60,1)=ROUND(IS!J56,1),"OK","ERROR")</f>
        <v>OK</v>
      </c>
      <c r="K87" s="237" t="str">
        <f>IF(ROUND(IS!K52/IS!K60,1)=ROUND(IS!K56,1),"OK","ERROR")</f>
        <v>OK</v>
      </c>
      <c r="L87" s="237" t="str">
        <f>IF(ROUND(IS!L52/IS!L60,1)=ROUND(IS!L56,1),"OK","ERROR")</f>
        <v>OK</v>
      </c>
      <c r="M87" s="237" t="str">
        <f>IF(ROUND(IS!M52/IS!M60,1)=ROUND(IS!M56,1),"OK","ERROR")</f>
        <v>OK</v>
      </c>
      <c r="N87" s="238" t="str">
        <f>IF(ROUND(IS!N52/IS!N60,1)=ROUND(IS!N56,1),"OK","ERROR")</f>
        <v>OK</v>
      </c>
      <c r="O87" s="239"/>
      <c r="P87" s="237" t="str">
        <f>IF(ROUND(IS!P52/IS!P60,1)=ROUND(IS!P56,1),"OK","ERROR")</f>
        <v>OK</v>
      </c>
      <c r="Q87" s="237" t="str">
        <f>IF(ROUND(IS!Q52/IS!Q60,1)=ROUND(IS!Q56,1),"OK","ERROR")</f>
        <v>OK</v>
      </c>
      <c r="R87" s="237" t="str">
        <f>IF(ROUND(IS!R52/IS!R60,1)=ROUND(IS!R56,1),"OK","ERROR")</f>
        <v>OK</v>
      </c>
      <c r="S87" s="237" t="str">
        <f>IF(ROUND(IS!S52/IS!S60,1)=ROUND(IS!S56,1),"OK","ERROR")</f>
        <v>OK</v>
      </c>
      <c r="T87" s="238" t="str">
        <f>IF(ROUND(IS!T52/IS!T60,1)=ROUND(IS!T56,1),"OK","ERROR")</f>
        <v>OK</v>
      </c>
      <c r="U87" s="239"/>
      <c r="V87" s="237" t="str">
        <f>IF(ROUND(IS!V52/IS!V60,1)=ROUND(IS!V56,1),"OK","ERROR")</f>
        <v>OK</v>
      </c>
      <c r="W87" s="237" t="str">
        <f>IF(ROUND(IS!W52/IS!W60,1)=ROUND(IS!W56,1),"OK","ERROR")</f>
        <v>OK</v>
      </c>
      <c r="X87" s="237" t="str">
        <f>IF(ROUND(IS!X52/IS!X60,1)=ROUND(IS!X56,1),"OK","ERROR")</f>
        <v>OK</v>
      </c>
      <c r="Y87" s="237" t="str">
        <f>IF(ROUND(IS!Y52/IS!Y60,1)=ROUND(IS!Y56,1),"OK","ERROR")</f>
        <v>OK</v>
      </c>
      <c r="Z87" s="238" t="str">
        <f>IF(ROUND(IS!Z52/IS!Z60,1)=ROUND(IS!Z56,1),"OK","ERROR")</f>
        <v>OK</v>
      </c>
      <c r="AA87" s="239"/>
      <c r="AB87" s="237" t="str">
        <f>IF(ROUND(IS!AB52/IS!AB60,1)=ROUND(IS!AB56,1),"OK","ERROR")</f>
        <v>OK</v>
      </c>
      <c r="AC87" s="237" t="str">
        <f>IF(ROUND(IS!AC52/IS!AC60,1)=ROUND(IS!AC56,1),"OK","ERROR")</f>
        <v>OK</v>
      </c>
      <c r="AD87" s="237" t="str">
        <f>IF(ROUND(IS!AD52/IS!AD60,1)=ROUND(IS!AD56,1),"OK","ERROR")</f>
        <v>ERROR</v>
      </c>
      <c r="AE87" s="237" t="str">
        <f>IF(ROUND(IS!AE52/IS!AE60,1)=ROUND(IS!AE56,1),"OK","ERROR")</f>
        <v>OK</v>
      </c>
      <c r="AF87" s="238" t="str">
        <f>IF(ROUND(IS!AF52/IS!AF60,1)=ROUND(IS!AF56,1),"OK","ERROR")</f>
        <v>OK</v>
      </c>
      <c r="AG87" s="240"/>
      <c r="AH87" s="237" t="str">
        <f>IF(ROUND(IS!AH52/IS!AH60,1)=ROUND(IS!AH56,1),"OK","ERROR")</f>
        <v>OK</v>
      </c>
      <c r="AI87" s="237" t="str">
        <f>IF(ROUND(IS!AI52/IS!AI60,1)=ROUND(IS!AI56,1),"OK","ERROR")</f>
        <v>OK</v>
      </c>
      <c r="AJ87" s="237" t="e">
        <f>IF(ROUND(IS!AJ52/IS!AJ60,1)=ROUND(IS!AJ56,1),"OK","ERROR")</f>
        <v>#DIV/0!</v>
      </c>
      <c r="AK87" s="237" t="e">
        <f>IF(ROUND(IS!AK52/IS!AK60,1)=ROUND(IS!AK56,1),"OK","ERROR")</f>
        <v>#DIV/0!</v>
      </c>
      <c r="AL87" s="238" t="e">
        <f>IF(ROUND(IS!AL52/IS!AL60,1)=ROUND(IS!AL56,1),"OK","ERROR")</f>
        <v>#DIV/0!</v>
      </c>
      <c r="AM87" s="239"/>
      <c r="AN87" s="237" t="e">
        <f>IF(ROUND(IS!AN52/IS!AN60,1)=ROUND(IS!AN56,1),"OK","ERROR")</f>
        <v>#DIV/0!</v>
      </c>
      <c r="AO87" s="237" t="e">
        <f>IF(ROUND(IS!AO52/IS!AO60,1)=ROUND(IS!AO56,1),"OK","ERROR")</f>
        <v>#DIV/0!</v>
      </c>
      <c r="AP87" s="237" t="e">
        <f>IF(ROUND(IS!AP52/IS!AP60,1)=ROUND(IS!AP56,1),"OK","ERROR")</f>
        <v>#DIV/0!</v>
      </c>
      <c r="AQ87" s="237" t="e">
        <f>IF(ROUND(IS!AQ52/IS!AQ60,1)=ROUND(IS!AQ56,1),"OK","ERROR")</f>
        <v>#DIV/0!</v>
      </c>
      <c r="AR87" s="238" t="e">
        <f>IF(ROUND(IS!AR52/IS!AR60,1)=ROUND(IS!AR56,1),"OK","ERROR")</f>
        <v>#DIV/0!</v>
      </c>
      <c r="AS87" s="239"/>
      <c r="AT87" s="238" t="e">
        <f>IF(ROUND(IS!AT52/IS!AT60,1)=ROUND(IS!AT56,1),"OK","ERROR")</f>
        <v>#DIV/0!</v>
      </c>
      <c r="AU87" s="242"/>
      <c r="AV87" s="238" t="e">
        <f>IF(ROUND(IS!AV52/IS!AV60,1)=ROUND(IS!AV56,1),"OK","ERROR")</f>
        <v>#DIV/0!</v>
      </c>
      <c r="AW87" s="242"/>
      <c r="AX87" s="238" t="e">
        <f>IF(ROUND(IS!AX52/IS!AX60,1)=ROUND(IS!AX56,1),"OK","ERROR")</f>
        <v>#DIV/0!</v>
      </c>
    </row>
    <row r="89" spans="1:50" s="38" customFormat="1" ht="15" customHeight="1" x14ac:dyDescent="0.3">
      <c r="B89" s="158" t="s">
        <v>1046</v>
      </c>
      <c r="C89" s="16"/>
      <c r="D89" s="199">
        <f>F89</f>
        <v>2020</v>
      </c>
      <c r="E89" s="199">
        <f>F89</f>
        <v>2020</v>
      </c>
      <c r="F89" s="199">
        <v>2020</v>
      </c>
      <c r="G89" s="199">
        <f>F89</f>
        <v>2020</v>
      </c>
      <c r="H89" s="199">
        <f>F89</f>
        <v>2020</v>
      </c>
      <c r="I89" s="16"/>
      <c r="J89" s="199">
        <f>L89</f>
        <v>2021</v>
      </c>
      <c r="K89" s="199">
        <f>L89</f>
        <v>2021</v>
      </c>
      <c r="L89" s="199">
        <v>2021</v>
      </c>
      <c r="M89" s="199">
        <f>L89</f>
        <v>2021</v>
      </c>
      <c r="N89" s="199">
        <f>L89</f>
        <v>2021</v>
      </c>
      <c r="O89" s="166"/>
      <c r="P89" s="199">
        <f>R89</f>
        <v>2022</v>
      </c>
      <c r="Q89" s="199">
        <f>R89</f>
        <v>2022</v>
      </c>
      <c r="R89" s="199">
        <v>2022</v>
      </c>
      <c r="S89" s="199">
        <f>R89</f>
        <v>2022</v>
      </c>
      <c r="T89" s="199">
        <f>R89</f>
        <v>2022</v>
      </c>
      <c r="U89" s="166"/>
      <c r="V89" s="199">
        <f>X89</f>
        <v>2023</v>
      </c>
      <c r="W89" s="199">
        <f>X89</f>
        <v>2023</v>
      </c>
      <c r="X89" s="199">
        <v>2023</v>
      </c>
      <c r="Y89" s="199">
        <f>X89</f>
        <v>2023</v>
      </c>
      <c r="Z89" s="199">
        <f>X89</f>
        <v>2023</v>
      </c>
      <c r="AA89" s="167"/>
      <c r="AB89" s="199">
        <f>AD89</f>
        <v>2024</v>
      </c>
      <c r="AC89" s="199">
        <f>AD89</f>
        <v>2024</v>
      </c>
      <c r="AD89" s="199">
        <v>2024</v>
      </c>
      <c r="AE89" s="199">
        <f>AD89</f>
        <v>2024</v>
      </c>
      <c r="AF89" s="199">
        <f>AD89</f>
        <v>2024</v>
      </c>
      <c r="AG89" s="167"/>
      <c r="AH89" s="199">
        <f>AJ89</f>
        <v>2025</v>
      </c>
      <c r="AI89" s="199">
        <f>AJ89</f>
        <v>2025</v>
      </c>
      <c r="AJ89" s="200">
        <v>2025</v>
      </c>
      <c r="AK89" s="199">
        <f>AJ89</f>
        <v>2025</v>
      </c>
      <c r="AL89" s="199">
        <f>AJ89</f>
        <v>2025</v>
      </c>
      <c r="AM89" s="168"/>
      <c r="AN89" s="199">
        <f>AP89</f>
        <v>2025</v>
      </c>
      <c r="AO89" s="199">
        <f>AP89</f>
        <v>2025</v>
      </c>
      <c r="AP89" s="200">
        <v>2025</v>
      </c>
      <c r="AQ89" s="199">
        <f>AP89</f>
        <v>2025</v>
      </c>
      <c r="AR89" s="199">
        <f>AP89</f>
        <v>2025</v>
      </c>
      <c r="AS89" s="16"/>
      <c r="AT89" s="159"/>
      <c r="AU89" s="16"/>
      <c r="AV89" s="160"/>
      <c r="AW89" s="16"/>
      <c r="AX89" s="160"/>
    </row>
    <row r="90" spans="1:50" s="38" customFormat="1" ht="15" customHeight="1" x14ac:dyDescent="0.3">
      <c r="B90" s="161"/>
      <c r="C90" s="16"/>
      <c r="D90" s="1244">
        <v>2020</v>
      </c>
      <c r="E90" s="1244"/>
      <c r="F90" s="1244"/>
      <c r="G90" s="1244"/>
      <c r="H90" s="1244"/>
      <c r="I90" s="166"/>
      <c r="J90" s="1244">
        <f>D90+1</f>
        <v>2021</v>
      </c>
      <c r="K90" s="1244"/>
      <c r="L90" s="1244"/>
      <c r="M90" s="1244"/>
      <c r="N90" s="1244"/>
      <c r="O90" s="166"/>
      <c r="P90" s="1244">
        <f>J90+1</f>
        <v>2022</v>
      </c>
      <c r="Q90" s="1244"/>
      <c r="R90" s="1244"/>
      <c r="S90" s="1244"/>
      <c r="T90" s="1244"/>
      <c r="U90" s="166"/>
      <c r="V90" s="1244">
        <f>P90+1</f>
        <v>2023</v>
      </c>
      <c r="W90" s="1244"/>
      <c r="X90" s="1244"/>
      <c r="Y90" s="1244"/>
      <c r="Z90" s="1244"/>
      <c r="AA90" s="166"/>
      <c r="AB90" s="1244">
        <f>V90+1</f>
        <v>2024</v>
      </c>
      <c r="AC90" s="1244"/>
      <c r="AD90" s="1244"/>
      <c r="AE90" s="1244"/>
      <c r="AF90" s="1244"/>
      <c r="AG90" s="166"/>
      <c r="AH90" s="1243">
        <f>AB90+1</f>
        <v>2025</v>
      </c>
      <c r="AI90" s="1243"/>
      <c r="AJ90" s="1243"/>
      <c r="AK90" s="1243"/>
      <c r="AL90" s="1243"/>
      <c r="AM90" s="166"/>
      <c r="AN90" s="1243">
        <f>AH90+1</f>
        <v>2026</v>
      </c>
      <c r="AO90" s="1243"/>
      <c r="AP90" s="1243"/>
      <c r="AQ90" s="1243"/>
      <c r="AR90" s="1243"/>
      <c r="AS90" s="168"/>
      <c r="AT90" s="163">
        <f>AN90+1</f>
        <v>2027</v>
      </c>
      <c r="AU90" s="164"/>
      <c r="AV90" s="163">
        <f>+AT90+1</f>
        <v>2028</v>
      </c>
      <c r="AW90" s="164"/>
      <c r="AX90" s="163">
        <f>+AV90+1</f>
        <v>2029</v>
      </c>
    </row>
    <row r="91" spans="1:50" s="38" customFormat="1" ht="15" customHeight="1" x14ac:dyDescent="0.3">
      <c r="B91" s="161"/>
      <c r="C91" s="16"/>
      <c r="D91" s="165" t="s">
        <v>217</v>
      </c>
      <c r="E91" s="165" t="s">
        <v>218</v>
      </c>
      <c r="F91" s="165" t="s">
        <v>219</v>
      </c>
      <c r="G91" s="165" t="s">
        <v>220</v>
      </c>
      <c r="H91" s="165" t="s">
        <v>221</v>
      </c>
      <c r="I91" s="16"/>
      <c r="J91" s="165" t="s">
        <v>217</v>
      </c>
      <c r="K91" s="165" t="s">
        <v>218</v>
      </c>
      <c r="L91" s="165" t="s">
        <v>219</v>
      </c>
      <c r="M91" s="165" t="s">
        <v>220</v>
      </c>
      <c r="N91" s="165" t="s">
        <v>221</v>
      </c>
      <c r="O91" s="162"/>
      <c r="P91" s="165" t="s">
        <v>217</v>
      </c>
      <c r="Q91" s="165" t="s">
        <v>218</v>
      </c>
      <c r="R91" s="165" t="s">
        <v>219</v>
      </c>
      <c r="S91" s="165" t="s">
        <v>220</v>
      </c>
      <c r="T91" s="165" t="s">
        <v>221</v>
      </c>
      <c r="U91" s="162"/>
      <c r="V91" s="165" t="s">
        <v>217</v>
      </c>
      <c r="W91" s="165" t="s">
        <v>218</v>
      </c>
      <c r="X91" s="165" t="s">
        <v>219</v>
      </c>
      <c r="Y91" s="165" t="s">
        <v>220</v>
      </c>
      <c r="Z91" s="165" t="s">
        <v>221</v>
      </c>
      <c r="AA91" s="162"/>
      <c r="AB91" s="165" t="s">
        <v>217</v>
      </c>
      <c r="AC91" s="165" t="s">
        <v>218</v>
      </c>
      <c r="AD91" s="165" t="s">
        <v>219</v>
      </c>
      <c r="AE91" s="165" t="s">
        <v>220</v>
      </c>
      <c r="AF91" s="165" t="s">
        <v>221</v>
      </c>
      <c r="AG91" s="162"/>
      <c r="AH91" s="165" t="s">
        <v>217</v>
      </c>
      <c r="AI91" s="165" t="s">
        <v>218</v>
      </c>
      <c r="AJ91" s="165" t="s">
        <v>219</v>
      </c>
      <c r="AK91" s="165" t="s">
        <v>220</v>
      </c>
      <c r="AL91" s="165" t="s">
        <v>221</v>
      </c>
      <c r="AM91" s="162"/>
      <c r="AN91" s="165" t="s">
        <v>217</v>
      </c>
      <c r="AO91" s="165" t="s">
        <v>218</v>
      </c>
      <c r="AP91" s="165" t="s">
        <v>219</v>
      </c>
      <c r="AQ91" s="165" t="s">
        <v>220</v>
      </c>
      <c r="AR91" s="165" t="s">
        <v>221</v>
      </c>
      <c r="AS91" s="162"/>
      <c r="AT91" s="165" t="s">
        <v>221</v>
      </c>
      <c r="AU91" s="162"/>
      <c r="AV91" s="165" t="s">
        <v>221</v>
      </c>
      <c r="AW91" s="162"/>
      <c r="AX91" s="165" t="s">
        <v>221</v>
      </c>
    </row>
    <row r="92" spans="1:50" s="38" customFormat="1" ht="4" customHeight="1" x14ac:dyDescent="0.3">
      <c r="A92" s="40"/>
      <c r="B92" s="173"/>
      <c r="C92" s="33"/>
      <c r="D92" s="174"/>
      <c r="E92" s="174"/>
      <c r="F92" s="174"/>
      <c r="G92" s="174"/>
      <c r="H92" s="174"/>
      <c r="I92" s="33"/>
      <c r="J92" s="174"/>
      <c r="K92" s="174"/>
      <c r="L92" s="174"/>
      <c r="M92" s="174"/>
      <c r="N92" s="174"/>
      <c r="O92" s="175"/>
      <c r="P92" s="174"/>
      <c r="Q92" s="174"/>
      <c r="R92" s="174"/>
      <c r="S92" s="174"/>
      <c r="T92" s="174"/>
      <c r="U92" s="175"/>
      <c r="V92" s="174"/>
      <c r="W92" s="174"/>
      <c r="X92" s="174"/>
      <c r="Y92" s="174"/>
      <c r="Z92" s="174"/>
      <c r="AA92" s="175"/>
      <c r="AB92" s="174"/>
      <c r="AC92" s="174"/>
      <c r="AD92" s="174"/>
      <c r="AE92" s="174"/>
      <c r="AF92" s="174"/>
      <c r="AG92" s="175"/>
      <c r="AH92" s="174"/>
      <c r="AI92" s="174"/>
      <c r="AJ92" s="174"/>
      <c r="AK92" s="174"/>
      <c r="AL92" s="176"/>
      <c r="AM92" s="177"/>
      <c r="AN92" s="176"/>
      <c r="AO92" s="176"/>
      <c r="AP92" s="176"/>
      <c r="AQ92" s="176"/>
      <c r="AR92" s="176"/>
      <c r="AS92" s="177"/>
      <c r="AT92" s="176"/>
      <c r="AU92" s="177"/>
      <c r="AV92" s="176"/>
      <c r="AW92" s="177"/>
      <c r="AX92" s="176"/>
    </row>
    <row r="93" spans="1:50" s="38" customFormat="1" ht="4" customHeight="1" x14ac:dyDescent="0.3">
      <c r="A93" s="40"/>
      <c r="B93" s="169"/>
      <c r="C93" s="17"/>
      <c r="D93" s="170"/>
      <c r="E93" s="170"/>
      <c r="F93" s="170"/>
      <c r="G93" s="170"/>
      <c r="H93" s="170"/>
      <c r="I93" s="17"/>
      <c r="J93" s="170"/>
      <c r="K93" s="170"/>
      <c r="L93" s="170"/>
      <c r="M93" s="170"/>
      <c r="N93" s="170"/>
      <c r="O93" s="171"/>
      <c r="P93" s="170"/>
      <c r="Q93" s="170"/>
      <c r="R93" s="170"/>
      <c r="S93" s="170"/>
      <c r="T93" s="170"/>
      <c r="U93" s="171"/>
      <c r="V93" s="170"/>
      <c r="W93" s="170"/>
      <c r="X93" s="170"/>
      <c r="Y93" s="170"/>
      <c r="Z93" s="170"/>
      <c r="AA93" s="171"/>
      <c r="AB93" s="170"/>
      <c r="AC93" s="170"/>
      <c r="AD93" s="170"/>
      <c r="AE93" s="170"/>
      <c r="AF93" s="170"/>
      <c r="AG93" s="201"/>
      <c r="AH93" s="170"/>
      <c r="AI93" s="170"/>
      <c r="AJ93" s="170"/>
      <c r="AK93" s="170"/>
      <c r="AL93" s="172"/>
      <c r="AM93" s="32"/>
      <c r="AN93" s="172"/>
      <c r="AO93" s="172"/>
      <c r="AP93" s="172"/>
      <c r="AQ93" s="172"/>
      <c r="AR93" s="172"/>
      <c r="AS93" s="32"/>
      <c r="AT93" s="172"/>
      <c r="AU93" s="32"/>
      <c r="AV93" s="172"/>
      <c r="AW93" s="32"/>
      <c r="AX93" s="172"/>
    </row>
    <row r="94" spans="1:50" s="38" customFormat="1" ht="15" customHeight="1" x14ac:dyDescent="0.3">
      <c r="A94" s="41"/>
      <c r="B94" s="103" t="s">
        <v>980</v>
      </c>
      <c r="C94" s="15"/>
      <c r="D94" s="205"/>
      <c r="E94" s="205"/>
      <c r="F94" s="205"/>
      <c r="G94" s="205"/>
      <c r="H94" s="213"/>
      <c r="I94" s="245"/>
      <c r="J94" s="246"/>
      <c r="K94" s="246"/>
      <c r="L94" s="246"/>
      <c r="M94" s="246"/>
      <c r="N94" s="247"/>
      <c r="O94" s="247"/>
      <c r="P94" s="246"/>
      <c r="Q94" s="246"/>
      <c r="R94" s="246"/>
      <c r="S94" s="246"/>
      <c r="T94" s="247"/>
      <c r="U94" s="247"/>
      <c r="V94" s="246"/>
      <c r="W94" s="246"/>
      <c r="X94" s="246"/>
      <c r="Y94" s="246"/>
      <c r="Z94" s="247"/>
      <c r="AA94" s="247"/>
      <c r="AB94" s="248"/>
      <c r="AC94" s="248"/>
      <c r="AD94" s="248"/>
      <c r="AE94" s="248"/>
      <c r="AF94" s="247"/>
      <c r="AG94" s="249"/>
      <c r="AH94" s="250"/>
      <c r="AI94" s="250"/>
      <c r="AJ94" s="250"/>
      <c r="AK94" s="250"/>
      <c r="AL94" s="247"/>
      <c r="AM94" s="251"/>
      <c r="AN94" s="250"/>
      <c r="AO94" s="250"/>
      <c r="AP94" s="250"/>
      <c r="AQ94" s="250"/>
      <c r="AR94" s="247"/>
      <c r="AS94" s="251"/>
      <c r="AT94" s="247"/>
      <c r="AU94" s="251"/>
      <c r="AV94" s="247"/>
      <c r="AW94" s="252"/>
      <c r="AX94" s="252"/>
    </row>
    <row r="95" spans="1:50" s="110" customFormat="1" ht="15" customHeight="1" x14ac:dyDescent="0.3">
      <c r="B95" s="111"/>
      <c r="C95" s="112"/>
      <c r="D95" s="205"/>
      <c r="E95" s="205"/>
      <c r="F95" s="205"/>
      <c r="G95" s="205"/>
      <c r="H95" s="213"/>
      <c r="I95" s="253"/>
      <c r="J95" s="246"/>
      <c r="K95" s="246"/>
      <c r="L95" s="246"/>
      <c r="M95" s="246"/>
      <c r="N95" s="247"/>
      <c r="O95" s="253"/>
      <c r="P95" s="246"/>
      <c r="Q95" s="246"/>
      <c r="R95" s="246"/>
      <c r="S95" s="246"/>
      <c r="T95" s="247"/>
      <c r="U95" s="253"/>
      <c r="V95" s="246"/>
      <c r="W95" s="246"/>
      <c r="X95" s="246"/>
      <c r="Y95" s="246"/>
      <c r="Z95" s="247"/>
      <c r="AA95" s="254"/>
      <c r="AB95" s="248"/>
      <c r="AC95" s="248"/>
      <c r="AD95" s="248"/>
      <c r="AE95" s="248"/>
      <c r="AF95" s="247"/>
      <c r="AG95" s="255"/>
      <c r="AH95" s="256"/>
      <c r="AI95" s="256"/>
      <c r="AJ95" s="256"/>
      <c r="AK95" s="256"/>
      <c r="AL95" s="247"/>
      <c r="AM95" s="257"/>
      <c r="AN95" s="256"/>
      <c r="AO95" s="256"/>
      <c r="AP95" s="256"/>
      <c r="AQ95" s="256"/>
      <c r="AR95" s="247"/>
      <c r="AS95" s="257"/>
      <c r="AT95" s="247"/>
      <c r="AU95" s="257"/>
      <c r="AV95" s="247"/>
      <c r="AW95" s="258"/>
      <c r="AX95" s="258"/>
    </row>
    <row r="96" spans="1:50" s="38" customFormat="1" ht="15" customHeight="1" x14ac:dyDescent="0.3">
      <c r="A96" s="41" t="s">
        <v>39</v>
      </c>
      <c r="B96" s="111" t="s">
        <v>981</v>
      </c>
      <c r="C96" s="15"/>
      <c r="D96" s="205"/>
      <c r="E96" s="205"/>
      <c r="F96" s="205"/>
      <c r="G96" s="205"/>
      <c r="H96" s="217"/>
      <c r="I96" s="245"/>
      <c r="J96" s="259"/>
      <c r="K96" s="259"/>
      <c r="L96" s="259"/>
      <c r="M96" s="259"/>
      <c r="N96" s="247"/>
      <c r="O96" s="245"/>
      <c r="P96" s="259"/>
      <c r="Q96" s="259"/>
      <c r="R96" s="259"/>
      <c r="S96" s="259"/>
      <c r="T96" s="247"/>
      <c r="U96" s="245"/>
      <c r="V96" s="259"/>
      <c r="W96" s="259"/>
      <c r="X96" s="259"/>
      <c r="Y96" s="259"/>
      <c r="Z96" s="247"/>
      <c r="AA96" s="260"/>
      <c r="AB96" s="261"/>
      <c r="AC96" s="261"/>
      <c r="AD96" s="261"/>
      <c r="AE96" s="261"/>
      <c r="AF96" s="247"/>
      <c r="AG96" s="262"/>
      <c r="AH96" s="263"/>
      <c r="AI96" s="263"/>
      <c r="AJ96" s="263"/>
      <c r="AK96" s="263"/>
      <c r="AL96" s="247"/>
      <c r="AM96" s="264"/>
      <c r="AN96" s="263"/>
      <c r="AO96" s="263"/>
      <c r="AP96" s="263"/>
      <c r="AQ96" s="263"/>
      <c r="AR96" s="247"/>
      <c r="AS96" s="264"/>
      <c r="AT96" s="247"/>
      <c r="AU96" s="264"/>
      <c r="AV96" s="247"/>
      <c r="AW96" s="252"/>
      <c r="AX96" s="252"/>
    </row>
    <row r="97" spans="1:50" s="38" customFormat="1" ht="15" customHeight="1" x14ac:dyDescent="0.3">
      <c r="A97" s="41"/>
      <c r="B97" s="124" t="s">
        <v>982</v>
      </c>
      <c r="C97" s="15"/>
      <c r="D97" s="205" t="str">
        <f>IF(ROUND(BS!D15,0)=ROUND(SUM(BS!D16:D17),0),"OK","ERROR")</f>
        <v>OK</v>
      </c>
      <c r="E97" s="205" t="str">
        <f>IF(ROUND(BS!E15,0)=ROUND(SUM(BS!E16:E17),0),"OK","ERROR")</f>
        <v>OK</v>
      </c>
      <c r="F97" s="205" t="str">
        <f>IF(ROUND(BS!F15,0)=ROUND(SUM(BS!F16:F17),0),"OK","ERROR")</f>
        <v>OK</v>
      </c>
      <c r="G97" s="205" t="str">
        <f>IF(ROUND(BS!G15,0)=ROUND(SUM(BS!G16:G17),0),"OK","ERROR")</f>
        <v>OK</v>
      </c>
      <c r="H97" s="217" t="str">
        <f>IF(ROUND(BS!H15,0)=ROUND(SUM(BS!H16:H17),0),"OK","ERROR")</f>
        <v>OK</v>
      </c>
      <c r="I97" s="245"/>
      <c r="J97" s="205" t="str">
        <f>IF(ROUND(BS!J15,0)=ROUND(SUM(BS!J16:J17),0),"OK","ERROR")</f>
        <v>OK</v>
      </c>
      <c r="K97" s="205" t="str">
        <f>IF(ROUND(BS!K15,0)=ROUND(SUM(BS!K16:K17),0),"OK","ERROR")</f>
        <v>OK</v>
      </c>
      <c r="L97" s="205" t="str">
        <f>IF(ROUND(BS!L15,0)=ROUND(SUM(BS!L16:L17),0),"OK","ERROR")</f>
        <v>OK</v>
      </c>
      <c r="M97" s="205" t="str">
        <f>IF(ROUND(BS!M15,0)=ROUND(SUM(BS!M16:M17),0),"OK","ERROR")</f>
        <v>OK</v>
      </c>
      <c r="N97" s="217" t="str">
        <f>IF(ROUND(BS!N15,0)=ROUND(SUM(BS!N16:N17),0),"OK","ERROR")</f>
        <v>OK</v>
      </c>
      <c r="O97" s="245"/>
      <c r="P97" s="205" t="str">
        <f>IF(ROUND(BS!P15,0)=ROUND(SUM(BS!P16:P17),0),"OK","ERROR")</f>
        <v>OK</v>
      </c>
      <c r="Q97" s="205" t="str">
        <f>IF(ROUND(BS!Q15,0)=ROUND(SUM(BS!Q16:Q17),0),"OK","ERROR")</f>
        <v>OK</v>
      </c>
      <c r="R97" s="205" t="str">
        <f>IF(ROUND(BS!R15,0)=ROUND(SUM(BS!R16:R17),0),"OK","ERROR")</f>
        <v>OK</v>
      </c>
      <c r="S97" s="205" t="str">
        <f>IF(ROUND(BS!S15,0)=ROUND(SUM(BS!S16:S17),0),"OK","ERROR")</f>
        <v>OK</v>
      </c>
      <c r="T97" s="217" t="str">
        <f>IF(ROUND(BS!T15,0)=ROUND(SUM(BS!T16:T17),0),"OK","ERROR")</f>
        <v>OK</v>
      </c>
      <c r="U97" s="245"/>
      <c r="V97" s="205" t="str">
        <f>IF(ROUND(BS!V15,0)=ROUND(SUM(BS!V16:V17),0),"OK","ERROR")</f>
        <v>OK</v>
      </c>
      <c r="W97" s="205" t="str">
        <f>IF(ROUND(BS!W15,0)=ROUND(SUM(BS!W16:W17),0),"OK","ERROR")</f>
        <v>OK</v>
      </c>
      <c r="X97" s="205" t="str">
        <f>IF(ROUND(BS!X15,0)=ROUND(SUM(BS!X16:X17),0),"OK","ERROR")</f>
        <v>OK</v>
      </c>
      <c r="Y97" s="205" t="str">
        <f>IF(ROUND(BS!Y15,0)=ROUND(SUM(BS!Y16:Y17),0),"OK","ERROR")</f>
        <v>OK</v>
      </c>
      <c r="Z97" s="217" t="str">
        <f>IF(ROUND(BS!Z15,0)=ROUND(SUM(BS!Z16:Z17),0),"OK","ERROR")</f>
        <v>OK</v>
      </c>
      <c r="AA97" s="260"/>
      <c r="AB97" s="205" t="str">
        <f>IF(ROUND(BS!AB15,0)=ROUND(SUM(BS!AB16:AB17),0),"OK","ERROR")</f>
        <v>OK</v>
      </c>
      <c r="AC97" s="205" t="str">
        <f>IF(ROUND(BS!AC15,0)=ROUND(SUM(BS!AC16:AC17),0),"OK","ERROR")</f>
        <v>OK</v>
      </c>
      <c r="AD97" s="205" t="str">
        <f>IF(ROUND(BS!AD15,0)=ROUND(SUM(BS!AD16:AD17),0),"OK","ERROR")</f>
        <v>OK</v>
      </c>
      <c r="AE97" s="205" t="str">
        <f>IF(ROUND(BS!AE15,0)=ROUND(SUM(BS!AE16:AE17),0),"OK","ERROR")</f>
        <v>OK</v>
      </c>
      <c r="AF97" s="217" t="str">
        <f>IF(ROUND(BS!AF15,0)=ROUND(SUM(BS!AF16:AF17),0),"OK","ERROR")</f>
        <v>OK</v>
      </c>
      <c r="AG97" s="262"/>
      <c r="AH97" s="205" t="str">
        <f>IF(ROUND(BS!AH15,0)=ROUND(SUM(BS!AH16:AH17),0),"OK","ERROR")</f>
        <v>OK</v>
      </c>
      <c r="AI97" s="205" t="str">
        <f>IF(ROUND(BS!AI15,0)=ROUND(SUM(BS!AI16:AI17),0),"OK","ERROR")</f>
        <v>OK</v>
      </c>
      <c r="AJ97" s="205" t="str">
        <f>IF(ROUND(BS!AJ15,0)=ROUND(SUM(BS!AJ16:AJ17),0),"OK","ERROR")</f>
        <v>OK</v>
      </c>
      <c r="AK97" s="205" t="str">
        <f>IF(ROUND(BS!AK15,0)=ROUND(SUM(BS!AK16:AK17),0),"OK","ERROR")</f>
        <v>OK</v>
      </c>
      <c r="AL97" s="217" t="str">
        <f>IF(ROUND(BS!AL15,0)=ROUND(SUM(BS!AL16:AL17),0),"OK","ERROR")</f>
        <v>OK</v>
      </c>
      <c r="AM97" s="264"/>
      <c r="AN97" s="205" t="str">
        <f>IF(ROUND(BS!AN15,0)=ROUND(SUM(BS!AN16:AN17),0),"OK","ERROR")</f>
        <v>OK</v>
      </c>
      <c r="AO97" s="205" t="str">
        <f>IF(ROUND(BS!AO15,0)=ROUND(SUM(BS!AO16:AO17),0),"OK","ERROR")</f>
        <v>OK</v>
      </c>
      <c r="AP97" s="205" t="str">
        <f>IF(ROUND(BS!AP15,0)=ROUND(SUM(BS!AP16:AP17),0),"OK","ERROR")</f>
        <v>OK</v>
      </c>
      <c r="AQ97" s="205" t="str">
        <f>IF(ROUND(BS!AQ15,0)=ROUND(SUM(BS!AQ16:AQ17),0),"OK","ERROR")</f>
        <v>OK</v>
      </c>
      <c r="AR97" s="217" t="str">
        <f>IF(ROUND(BS!AR15,0)=ROUND(SUM(BS!AR16:AR17),0),"OK","ERROR")</f>
        <v>OK</v>
      </c>
      <c r="AS97" s="264"/>
      <c r="AT97" s="217" t="str">
        <f>IF(ROUND(BS!AT15,0)=ROUND(SUM(BS!AT16:AT17),0),"OK","ERROR")</f>
        <v>OK</v>
      </c>
      <c r="AU97" s="264"/>
      <c r="AV97" s="217" t="str">
        <f>IF(ROUND(BS!AV15,0)=ROUND(SUM(BS!AV16:AV17),0),"OK","ERROR")</f>
        <v>OK</v>
      </c>
      <c r="AW97" s="252"/>
      <c r="AX97" s="217" t="str">
        <f>IF(ROUND(BS!AX15,0)=ROUND(SUM(BS!AX16:AX17),0),"OK","ERROR")</f>
        <v>OK</v>
      </c>
    </row>
    <row r="98" spans="1:50" s="132" customFormat="1" ht="15" customHeight="1" x14ac:dyDescent="0.3">
      <c r="A98" s="81"/>
      <c r="B98" s="56" t="s">
        <v>987</v>
      </c>
      <c r="C98" s="24"/>
      <c r="D98" s="214" t="str">
        <f>IF(ROUND(BS!D21,0)=ROUND(SUM(BS!D16:D20),0),"OK","ERROR")</f>
        <v>OK</v>
      </c>
      <c r="E98" s="214" t="str">
        <f>IF(ROUND(BS!E21,0)=ROUND(SUM(BS!E16:E20),0),"OK","ERROR")</f>
        <v>OK</v>
      </c>
      <c r="F98" s="214" t="str">
        <f>IF(ROUND(BS!F21,0)=ROUND(SUM(BS!F16:F20),0),"OK","ERROR")</f>
        <v>OK</v>
      </c>
      <c r="G98" s="214" t="str">
        <f>IF(ROUND(BS!G21,0)=ROUND(SUM(BS!G16:G20),0),"OK","ERROR")</f>
        <v>OK</v>
      </c>
      <c r="H98" s="224" t="str">
        <f>IF(ROUND(BS!H21,0)=ROUND(SUM(BS!H16:H20),0),"OK","ERROR")</f>
        <v>OK</v>
      </c>
      <c r="I98" s="265"/>
      <c r="J98" s="214" t="str">
        <f>IF(ROUND(BS!J21,0)=ROUND(SUM(BS!J16:J20),0),"OK","ERROR")</f>
        <v>OK</v>
      </c>
      <c r="K98" s="214" t="str">
        <f>IF(ROUND(BS!K21,0)=ROUND(SUM(BS!K16:K20),0),"OK","ERROR")</f>
        <v>OK</v>
      </c>
      <c r="L98" s="214" t="str">
        <f>IF(ROUND(BS!L21,0)=ROUND(SUM(BS!L16:L20),0),"OK","ERROR")</f>
        <v>OK</v>
      </c>
      <c r="M98" s="214" t="str">
        <f>IF(ROUND(BS!M21,0)=ROUND(SUM(BS!M16:M20),0),"OK","ERROR")</f>
        <v>OK</v>
      </c>
      <c r="N98" s="224" t="str">
        <f>IF(ROUND(BS!N21,0)=ROUND(SUM(BS!N16:N20),0),"OK","ERROR")</f>
        <v>OK</v>
      </c>
      <c r="O98" s="265"/>
      <c r="P98" s="214" t="str">
        <f>IF(ROUND(BS!P21,0)=ROUND(SUM(BS!P16:P20),0),"OK","ERROR")</f>
        <v>OK</v>
      </c>
      <c r="Q98" s="214" t="str">
        <f>IF(ROUND(BS!Q21,0)=ROUND(SUM(BS!Q16:Q20),0),"OK","ERROR")</f>
        <v>OK</v>
      </c>
      <c r="R98" s="214" t="str">
        <f>IF(ROUND(BS!R21,0)=ROUND(SUM(BS!R16:R20),0),"OK","ERROR")</f>
        <v>OK</v>
      </c>
      <c r="S98" s="214" t="str">
        <f>IF(ROUND(BS!S21,0)=ROUND(SUM(BS!S16:S20),0),"OK","ERROR")</f>
        <v>OK</v>
      </c>
      <c r="T98" s="224" t="str">
        <f>IF(ROUND(BS!T21,0)=ROUND(SUM(BS!T16:T20),0),"OK","ERROR")</f>
        <v>OK</v>
      </c>
      <c r="U98" s="265"/>
      <c r="V98" s="214" t="str">
        <f>IF(ROUND(BS!V21,0)=ROUND(SUM(BS!V16:V20),0),"OK","ERROR")</f>
        <v>OK</v>
      </c>
      <c r="W98" s="214" t="str">
        <f>IF(ROUND(BS!W21,0)=ROUND(SUM(BS!W16:W20),0),"OK","ERROR")</f>
        <v>OK</v>
      </c>
      <c r="X98" s="214" t="str">
        <f>IF(ROUND(BS!X21,0)=ROUND(SUM(BS!X16:X20),0),"OK","ERROR")</f>
        <v>OK</v>
      </c>
      <c r="Y98" s="214" t="str">
        <f>IF(ROUND(BS!Y21,0)=ROUND(SUM(BS!Y16:Y20),0),"OK","ERROR")</f>
        <v>OK</v>
      </c>
      <c r="Z98" s="224" t="str">
        <f>IF(ROUND(BS!Z21,0)=ROUND(SUM(BS!Z16:Z20),0),"OK","ERROR")</f>
        <v>OK</v>
      </c>
      <c r="AA98" s="266"/>
      <c r="AB98" s="214" t="str">
        <f>IF(ROUND(BS!AB21,0)=ROUND(SUM(BS!AB16:AB20),0),"OK","ERROR")</f>
        <v>OK</v>
      </c>
      <c r="AC98" s="214" t="str">
        <f>IF(ROUND(BS!AC21,0)=ROUND(SUM(BS!AC16:AC20),0),"OK","ERROR")</f>
        <v>OK</v>
      </c>
      <c r="AD98" s="214" t="str">
        <f>IF(ROUND(BS!AD21,0)=ROUND(SUM(BS!AD16:AD20),0),"OK","ERROR")</f>
        <v>OK</v>
      </c>
      <c r="AE98" s="214" t="str">
        <f>IF(ROUND(BS!AE21,0)=ROUND(SUM(BS!AE16:AE20),0),"OK","ERROR")</f>
        <v>OK</v>
      </c>
      <c r="AF98" s="224" t="str">
        <f>IF(ROUND(BS!AF21,0)=ROUND(SUM(BS!AF16:AF20),0),"OK","ERROR")</f>
        <v>OK</v>
      </c>
      <c r="AG98" s="267"/>
      <c r="AH98" s="214" t="str">
        <f>IF(ROUND(BS!AH21,0)=ROUND(SUM(BS!AH16:AH20),0),"OK","ERROR")</f>
        <v>OK</v>
      </c>
      <c r="AI98" s="214" t="str">
        <f>IF(ROUND(BS!AI21,0)=ROUND(SUM(BS!AI16:AI20),0),"OK","ERROR")</f>
        <v>OK</v>
      </c>
      <c r="AJ98" s="214" t="str">
        <f>IF(ROUND(BS!AJ21,0)=ROUND(SUM(BS!AJ16:AJ20),0),"OK","ERROR")</f>
        <v>OK</v>
      </c>
      <c r="AK98" s="214" t="str">
        <f>IF(ROUND(BS!AK21,0)=ROUND(SUM(BS!AK16:AK20),0),"OK","ERROR")</f>
        <v>OK</v>
      </c>
      <c r="AL98" s="224" t="str">
        <f>IF(ROUND(BS!AL21,0)=ROUND(SUM(BS!AL16:AL20),0),"OK","ERROR")</f>
        <v>OK</v>
      </c>
      <c r="AM98" s="268"/>
      <c r="AN98" s="214" t="str">
        <f>IF(ROUND(BS!AN21,0)=ROUND(SUM(BS!AN16:AN20),0),"OK","ERROR")</f>
        <v>OK</v>
      </c>
      <c r="AO98" s="214" t="str">
        <f>IF(ROUND(BS!AO21,0)=ROUND(SUM(BS!AO16:AO20),0),"OK","ERROR")</f>
        <v>OK</v>
      </c>
      <c r="AP98" s="214" t="str">
        <f>IF(ROUND(BS!AP21,0)=ROUND(SUM(BS!AP16:AP20),0),"OK","ERROR")</f>
        <v>OK</v>
      </c>
      <c r="AQ98" s="214" t="str">
        <f>IF(ROUND(BS!AQ21,0)=ROUND(SUM(BS!AQ16:AQ20),0),"OK","ERROR")</f>
        <v>OK</v>
      </c>
      <c r="AR98" s="224" t="str">
        <f>IF(ROUND(BS!AR21,0)=ROUND(SUM(BS!AR16:AR20),0),"OK","ERROR")</f>
        <v>OK</v>
      </c>
      <c r="AS98" s="268"/>
      <c r="AT98" s="224" t="str">
        <f>IF(ROUND(BS!AT21,0)=ROUND(SUM(BS!AT16:AT20),0),"OK","ERROR")</f>
        <v>OK</v>
      </c>
      <c r="AU98" s="268"/>
      <c r="AV98" s="224" t="str">
        <f>IF(ROUND(BS!AV21,0)=ROUND(SUM(BS!AV16:AV20),0),"OK","ERROR")</f>
        <v>OK</v>
      </c>
      <c r="AW98" s="269"/>
      <c r="AX98" s="224" t="str">
        <f>IF(ROUND(BS!AX21,0)=ROUND(SUM(BS!AX16:AX20),0),"OK","ERROR")</f>
        <v>OK</v>
      </c>
    </row>
    <row r="99" spans="1:50" s="38" customFormat="1" ht="15" customHeight="1" x14ac:dyDescent="0.3">
      <c r="A99" s="40"/>
      <c r="B99" s="133"/>
      <c r="C99" s="15"/>
      <c r="D99" s="205"/>
      <c r="E99" s="205"/>
      <c r="F99" s="205"/>
      <c r="G99" s="205"/>
      <c r="H99" s="217"/>
      <c r="I99" s="245"/>
      <c r="J99" s="205"/>
      <c r="K99" s="205"/>
      <c r="L99" s="205"/>
      <c r="M99" s="205"/>
      <c r="N99" s="217"/>
      <c r="O99" s="245"/>
      <c r="P99" s="205"/>
      <c r="Q99" s="205"/>
      <c r="R99" s="205"/>
      <c r="S99" s="205"/>
      <c r="T99" s="217"/>
      <c r="U99" s="245"/>
      <c r="V99" s="205"/>
      <c r="W99" s="205"/>
      <c r="X99" s="205"/>
      <c r="Y99" s="205"/>
      <c r="Z99" s="217"/>
      <c r="AA99" s="260"/>
      <c r="AB99" s="205"/>
      <c r="AC99" s="205"/>
      <c r="AD99" s="205"/>
      <c r="AE99" s="205"/>
      <c r="AF99" s="217"/>
      <c r="AG99" s="262"/>
      <c r="AH99" s="205"/>
      <c r="AI99" s="205"/>
      <c r="AJ99" s="205"/>
      <c r="AK99" s="205"/>
      <c r="AL99" s="217"/>
      <c r="AM99" s="264"/>
      <c r="AN99" s="205"/>
      <c r="AO99" s="205"/>
      <c r="AP99" s="205"/>
      <c r="AQ99" s="205"/>
      <c r="AR99" s="217"/>
      <c r="AS99" s="264"/>
      <c r="AT99" s="217"/>
      <c r="AU99" s="264"/>
      <c r="AV99" s="217"/>
      <c r="AW99" s="252"/>
      <c r="AX99" s="217"/>
    </row>
    <row r="100" spans="1:50" s="110" customFormat="1" ht="15" customHeight="1" x14ac:dyDescent="0.3">
      <c r="A100" s="41" t="s">
        <v>39</v>
      </c>
      <c r="B100" s="42" t="s">
        <v>988</v>
      </c>
      <c r="C100" s="112"/>
      <c r="D100" s="205"/>
      <c r="E100" s="205"/>
      <c r="F100" s="205"/>
      <c r="G100" s="205"/>
      <c r="H100" s="217"/>
      <c r="I100" s="253"/>
      <c r="J100" s="205"/>
      <c r="K100" s="205"/>
      <c r="L100" s="205"/>
      <c r="M100" s="205"/>
      <c r="N100" s="217"/>
      <c r="O100" s="253"/>
      <c r="P100" s="205"/>
      <c r="Q100" s="205"/>
      <c r="R100" s="205"/>
      <c r="S100" s="205"/>
      <c r="T100" s="217"/>
      <c r="U100" s="253"/>
      <c r="V100" s="205"/>
      <c r="W100" s="205"/>
      <c r="X100" s="205"/>
      <c r="Y100" s="205"/>
      <c r="Z100" s="217"/>
      <c r="AA100" s="270"/>
      <c r="AB100" s="205"/>
      <c r="AC100" s="205"/>
      <c r="AD100" s="205"/>
      <c r="AE100" s="205"/>
      <c r="AF100" s="217"/>
      <c r="AG100" s="271"/>
      <c r="AH100" s="205"/>
      <c r="AI100" s="205"/>
      <c r="AJ100" s="205"/>
      <c r="AK100" s="205"/>
      <c r="AL100" s="217"/>
      <c r="AM100" s="270"/>
      <c r="AN100" s="205"/>
      <c r="AO100" s="205"/>
      <c r="AP100" s="205"/>
      <c r="AQ100" s="205"/>
      <c r="AR100" s="217"/>
      <c r="AS100" s="270"/>
      <c r="AT100" s="217"/>
      <c r="AU100" s="270"/>
      <c r="AV100" s="217"/>
      <c r="AW100" s="258"/>
      <c r="AX100" s="217"/>
    </row>
    <row r="101" spans="1:50" s="110" customFormat="1" ht="15" customHeight="1" x14ac:dyDescent="0.3">
      <c r="A101" s="41"/>
      <c r="B101" s="124" t="s">
        <v>758</v>
      </c>
      <c r="C101" s="112"/>
      <c r="D101" s="205" t="str">
        <f>IF(ROUND(BS!D24,0)=ROUND(BS!D25-BS!D26,0),"OK","ERROR")</f>
        <v>OK</v>
      </c>
      <c r="E101" s="205" t="str">
        <f>IF(ROUND(BS!E24,0)=ROUND(BS!E25-BS!E26,0),"OK","ERROR")</f>
        <v>OK</v>
      </c>
      <c r="F101" s="205" t="str">
        <f>IF(ROUND(BS!F24,0)=ROUND(BS!F25-BS!F26,0),"OK","ERROR")</f>
        <v>OK</v>
      </c>
      <c r="G101" s="205" t="str">
        <f>IF(ROUND(BS!G24,0)=ROUND(BS!G25-BS!G26,0),"OK","ERROR")</f>
        <v>OK</v>
      </c>
      <c r="H101" s="217" t="str">
        <f>IF(ROUND(BS!H24,0)=ROUND(BS!H25-BS!H26,0),"OK","ERROR")</f>
        <v>OK</v>
      </c>
      <c r="I101" s="253"/>
      <c r="J101" s="205" t="str">
        <f>IF(ROUND(BS!J24,0)=ROUND(BS!J25-BS!J26,0),"OK","ERROR")</f>
        <v>OK</v>
      </c>
      <c r="K101" s="205" t="str">
        <f>IF(ROUND(BS!K24,0)=ROUND(BS!K25-BS!K26,0),"OK","ERROR")</f>
        <v>OK</v>
      </c>
      <c r="L101" s="205" t="str">
        <f>IF(ROUND(BS!L24,0)=ROUND(BS!L25-BS!L26,0),"OK","ERROR")</f>
        <v>OK</v>
      </c>
      <c r="M101" s="205" t="str">
        <f>IF(ROUND(BS!M24,0)=ROUND(BS!M25-BS!M26,0),"OK","ERROR")</f>
        <v>OK</v>
      </c>
      <c r="N101" s="217" t="str">
        <f>IF(ROUND(BS!N24,0)=ROUND(BS!N25-BS!N26,0),"OK","ERROR")</f>
        <v>OK</v>
      </c>
      <c r="O101" s="253"/>
      <c r="P101" s="205" t="str">
        <f>IF(ROUND(BS!P24,0)=ROUND(BS!P25-BS!P26,0),"OK","ERROR")</f>
        <v>OK</v>
      </c>
      <c r="Q101" s="205" t="str">
        <f>IF(ROUND(BS!Q24,0)=ROUND(BS!Q25-BS!Q26,0),"OK","ERROR")</f>
        <v>OK</v>
      </c>
      <c r="R101" s="205" t="str">
        <f>IF(ROUND(BS!R24,0)=ROUND(BS!R25-BS!R26,0),"OK","ERROR")</f>
        <v>OK</v>
      </c>
      <c r="S101" s="205" t="str">
        <f>IF(ROUND(BS!S24,0)=ROUND(BS!S25-BS!S26,0),"OK","ERROR")</f>
        <v>OK</v>
      </c>
      <c r="T101" s="217" t="str">
        <f>IF(ROUND(BS!T24,0)=ROUND(BS!T25-BS!T26,0),"OK","ERROR")</f>
        <v>OK</v>
      </c>
      <c r="U101" s="253"/>
      <c r="V101" s="205" t="str">
        <f>IF(ROUND(BS!V24,0)=ROUND(BS!V25-BS!V26,0),"OK","ERROR")</f>
        <v>OK</v>
      </c>
      <c r="W101" s="205" t="str">
        <f>IF(ROUND(BS!W24,0)=ROUND(BS!W25-BS!W26,0),"OK","ERROR")</f>
        <v>OK</v>
      </c>
      <c r="X101" s="205" t="str">
        <f>IF(ROUND(BS!X24,0)=ROUND(BS!X25-BS!X26,0),"OK","ERROR")</f>
        <v>OK</v>
      </c>
      <c r="Y101" s="205" t="str">
        <f>IF(ROUND(BS!Y24,0)=ROUND(BS!Y25-BS!Y26,0),"OK","ERROR")</f>
        <v>OK</v>
      </c>
      <c r="Z101" s="217" t="str">
        <f>IF(ROUND(BS!Z24,0)=ROUND(BS!Z25-BS!Z26,0),"OK","ERROR")</f>
        <v>OK</v>
      </c>
      <c r="AA101" s="270"/>
      <c r="AB101" s="205" t="str">
        <f>IF(ROUND(BS!AB24,0)=ROUND(BS!AB25-BS!AB26,0),"OK","ERROR")</f>
        <v>OK</v>
      </c>
      <c r="AC101" s="205" t="str">
        <f>IF(ROUND(BS!AC24,0)=ROUND(BS!AC25-BS!AC26,0),"OK","ERROR")</f>
        <v>OK</v>
      </c>
      <c r="AD101" s="205" t="str">
        <f>IF(ROUND(BS!AD24,0)=ROUND(BS!AD25-BS!AD26,0),"OK","ERROR")</f>
        <v>OK</v>
      </c>
      <c r="AE101" s="205" t="str">
        <f>IF(ROUND(BS!AE24,0)=ROUND(BS!AE25-BS!AE26,0),"OK","ERROR")</f>
        <v>OK</v>
      </c>
      <c r="AF101" s="217" t="str">
        <f>IF(ROUND(BS!AF24,0)=ROUND(BS!AF25-BS!AF26,0),"OK","ERROR")</f>
        <v>OK</v>
      </c>
      <c r="AG101" s="271"/>
      <c r="AH101" s="205" t="str">
        <f>IF(ROUND(BS!AH24,0)=ROUND(BS!AH25-BS!AH26,0),"OK","ERROR")</f>
        <v>OK</v>
      </c>
      <c r="AI101" s="205" t="str">
        <f>IF(ROUND(BS!AI24,0)=ROUND(BS!AI25-BS!AI26,0),"OK","ERROR")</f>
        <v>OK</v>
      </c>
      <c r="AJ101" s="205" t="str">
        <f>IF(ROUND(BS!AJ24,0)=ROUND(BS!AJ25-BS!AJ26,0),"OK","ERROR")</f>
        <v>OK</v>
      </c>
      <c r="AK101" s="205" t="str">
        <f>IF(ROUND(BS!AK24,0)=ROUND(BS!AK25-BS!AK26,0),"OK","ERROR")</f>
        <v>OK</v>
      </c>
      <c r="AL101" s="217" t="str">
        <f>IF(ROUND(BS!AL24,0)=ROUND(BS!AL25-BS!AL26,0),"OK","ERROR")</f>
        <v>OK</v>
      </c>
      <c r="AM101" s="270"/>
      <c r="AN101" s="205" t="str">
        <f>IF(ROUND(BS!AN24,0)=ROUND(BS!AN25-BS!AN26,0),"OK","ERROR")</f>
        <v>OK</v>
      </c>
      <c r="AO101" s="205" t="str">
        <f>IF(ROUND(BS!AO24,0)=ROUND(BS!AO25-BS!AO26,0),"OK","ERROR")</f>
        <v>OK</v>
      </c>
      <c r="AP101" s="205" t="str">
        <f>IF(ROUND(BS!AP24,0)=ROUND(BS!AP25-BS!AP26,0),"OK","ERROR")</f>
        <v>OK</v>
      </c>
      <c r="AQ101" s="205" t="str">
        <f>IF(ROUND(BS!AQ24,0)=ROUND(BS!AQ25-BS!AQ26,0),"OK","ERROR")</f>
        <v>OK</v>
      </c>
      <c r="AR101" s="217" t="str">
        <f>IF(ROUND(BS!AR24,0)=ROUND(BS!AR25-BS!AR26,0),"OK","ERROR")</f>
        <v>OK</v>
      </c>
      <c r="AS101" s="270"/>
      <c r="AT101" s="217" t="str">
        <f>IF(ROUND(BS!AT24,0)=ROUND(BS!AT25-BS!AT26,0),"OK","ERROR")</f>
        <v>OK</v>
      </c>
      <c r="AU101" s="270"/>
      <c r="AV101" s="217" t="str">
        <f>IF(ROUND(BS!AV24,0)=ROUND(BS!AV25-BS!AV26,0),"OK","ERROR")</f>
        <v>OK</v>
      </c>
      <c r="AW101" s="258"/>
      <c r="AX101" s="217" t="str">
        <f>IF(ROUND(BS!AX24,0)=ROUND(BS!AX25-BS!AX26,0),"OK","ERROR")</f>
        <v>OK</v>
      </c>
    </row>
    <row r="102" spans="1:50" s="110" customFormat="1" ht="15" customHeight="1" x14ac:dyDescent="0.3">
      <c r="A102" s="41"/>
      <c r="B102" s="124" t="s">
        <v>760</v>
      </c>
      <c r="C102" s="112"/>
      <c r="D102" s="205" t="str">
        <f>IF(ROUND(BS!D27,0)=ROUND(SUM(BS!D27:D29),0),"OK","ERROR")</f>
        <v>OK</v>
      </c>
      <c r="E102" s="205" t="str">
        <f>IF(ROUND(BS!E27,0)=ROUND(SUM(BS!E27:E29),0),"OK","ERROR")</f>
        <v>OK</v>
      </c>
      <c r="F102" s="205" t="str">
        <f>IF(ROUND(BS!F27,0)=ROUND(SUM(BS!F27:F29),0),"OK","ERROR")</f>
        <v>OK</v>
      </c>
      <c r="G102" s="205" t="str">
        <f>IF(ROUND(BS!G27,0)=ROUND(SUM(BS!G27:G29),0),"OK","ERROR")</f>
        <v>OK</v>
      </c>
      <c r="H102" s="217" t="str">
        <f>IF(ROUND(BS!H27,0)=ROUND(SUM(BS!H27:H29),0),"OK","ERROR")</f>
        <v>OK</v>
      </c>
      <c r="I102" s="253"/>
      <c r="J102" s="205" t="str">
        <f>IF(ROUND(BS!J27,0)=ROUND(SUM(BS!J27:J29),0),"OK","ERROR")</f>
        <v>OK</v>
      </c>
      <c r="K102" s="205" t="str">
        <f>IF(ROUND(BS!K27,0)=ROUND(SUM(BS!K27:K29),0),"OK","ERROR")</f>
        <v>OK</v>
      </c>
      <c r="L102" s="205" t="str">
        <f>IF(ROUND(BS!L27,0)=ROUND(SUM(BS!L27:L29),0),"OK","ERROR")</f>
        <v>OK</v>
      </c>
      <c r="M102" s="205" t="str">
        <f>IF(ROUND(BS!M27,0)=ROUND(SUM(BS!M27:M29),0),"OK","ERROR")</f>
        <v>OK</v>
      </c>
      <c r="N102" s="217" t="str">
        <f>IF(ROUND(BS!N27,0)=ROUND(SUM(BS!N27:N29),0),"OK","ERROR")</f>
        <v>OK</v>
      </c>
      <c r="O102" s="253"/>
      <c r="P102" s="205" t="str">
        <f>IF(ROUND(BS!P27,0)=ROUND(SUM(BS!P27:P29),0),"OK","ERROR")</f>
        <v>OK</v>
      </c>
      <c r="Q102" s="205" t="str">
        <f>IF(ROUND(BS!Q27,0)=ROUND(SUM(BS!Q27:Q29),0),"OK","ERROR")</f>
        <v>OK</v>
      </c>
      <c r="R102" s="205" t="str">
        <f>IF(ROUND(BS!R27,0)=ROUND(SUM(BS!R27:R29),0),"OK","ERROR")</f>
        <v>OK</v>
      </c>
      <c r="S102" s="205" t="str">
        <f>IF(ROUND(BS!S27,0)=ROUND(SUM(BS!S27:S29),0),"OK","ERROR")</f>
        <v>OK</v>
      </c>
      <c r="T102" s="217" t="str">
        <f>IF(ROUND(BS!T27,0)=ROUND(SUM(BS!T27:T29),0),"OK","ERROR")</f>
        <v>OK</v>
      </c>
      <c r="U102" s="253"/>
      <c r="V102" s="205" t="str">
        <f>IF(ROUND(BS!V27,0)=ROUND(SUM(BS!V27:V29),0),"OK","ERROR")</f>
        <v>OK</v>
      </c>
      <c r="W102" s="205" t="str">
        <f>IF(ROUND(BS!W27,0)=ROUND(SUM(BS!W27:W29),0),"OK","ERROR")</f>
        <v>OK</v>
      </c>
      <c r="X102" s="205" t="str">
        <f>IF(ROUND(BS!X27,0)=ROUND(SUM(BS!X27:X29),0),"OK","ERROR")</f>
        <v>OK</v>
      </c>
      <c r="Y102" s="205" t="str">
        <f>IF(ROUND(BS!Y27,0)=ROUND(SUM(BS!Y27:Y29),0),"OK","ERROR")</f>
        <v>OK</v>
      </c>
      <c r="Z102" s="217" t="str">
        <f>IF(ROUND(BS!Z27,0)=ROUND(SUM(BS!Z27:Z29),0),"OK","ERROR")</f>
        <v>OK</v>
      </c>
      <c r="AA102" s="270"/>
      <c r="AB102" s="205" t="str">
        <f>IF(ROUND(BS!AB27,0)=ROUND(SUM(BS!AB27:AB29),0),"OK","ERROR")</f>
        <v>OK</v>
      </c>
      <c r="AC102" s="205" t="str">
        <f>IF(ROUND(BS!AC27,0)=ROUND(SUM(BS!AC27:AC29),0),"OK","ERROR")</f>
        <v>OK</v>
      </c>
      <c r="AD102" s="205" t="str">
        <f>IF(ROUND(BS!AD27,0)=ROUND(SUM(BS!AD27:AD29),0),"OK","ERROR")</f>
        <v>OK</v>
      </c>
      <c r="AE102" s="205" t="str">
        <f>IF(ROUND(BS!AE27,0)=ROUND(SUM(BS!AE27:AE29),0),"OK","ERROR")</f>
        <v>OK</v>
      </c>
      <c r="AF102" s="217" t="str">
        <f>IF(ROUND(BS!AF27,0)=ROUND(SUM(BS!AF27:AF29),0),"OK","ERROR")</f>
        <v>OK</v>
      </c>
      <c r="AG102" s="271"/>
      <c r="AH102" s="205" t="str">
        <f>IF(ROUND(BS!AH27,0)=ROUND(SUM(BS!AH27:AH29),0),"OK","ERROR")</f>
        <v>OK</v>
      </c>
      <c r="AI102" s="205" t="str">
        <f>IF(ROUND(BS!AI27,0)=ROUND(SUM(BS!AI27:AI29),0),"OK","ERROR")</f>
        <v>OK</v>
      </c>
      <c r="AJ102" s="205" t="str">
        <f>IF(ROUND(BS!AJ27,0)=ROUND(SUM(BS!AJ27:AJ29),0),"OK","ERROR")</f>
        <v>OK</v>
      </c>
      <c r="AK102" s="205" t="str">
        <f>IF(ROUND(BS!AK27,0)=ROUND(SUM(BS!AK27:AK29),0),"OK","ERROR")</f>
        <v>OK</v>
      </c>
      <c r="AL102" s="217" t="str">
        <f>IF(ROUND(BS!AL27,0)=ROUND(SUM(BS!AL27:AL29),0),"OK","ERROR")</f>
        <v>OK</v>
      </c>
      <c r="AM102" s="270"/>
      <c r="AN102" s="205" t="str">
        <f>IF(ROUND(BS!AN27,0)=ROUND(SUM(BS!AN27:AN29),0),"OK","ERROR")</f>
        <v>OK</v>
      </c>
      <c r="AO102" s="205" t="str">
        <f>IF(ROUND(BS!AO27,0)=ROUND(SUM(BS!AO27:AO29),0),"OK","ERROR")</f>
        <v>OK</v>
      </c>
      <c r="AP102" s="205" t="str">
        <f>IF(ROUND(BS!AP27,0)=ROUND(SUM(BS!AP27:AP29),0),"OK","ERROR")</f>
        <v>OK</v>
      </c>
      <c r="AQ102" s="205" t="str">
        <f>IF(ROUND(BS!AQ27,0)=ROUND(SUM(BS!AQ27:AQ29),0),"OK","ERROR")</f>
        <v>OK</v>
      </c>
      <c r="AR102" s="217" t="str">
        <f>IF(ROUND(BS!AR27,0)=ROUND(SUM(BS!AR27:AR29),0),"OK","ERROR")</f>
        <v>OK</v>
      </c>
      <c r="AS102" s="270"/>
      <c r="AT102" s="217" t="str">
        <f>IF(ROUND(BS!AT27,0)=ROUND(SUM(BS!AT27:AT29),0),"OK","ERROR")</f>
        <v>OK</v>
      </c>
      <c r="AU102" s="270"/>
      <c r="AV102" s="217" t="str">
        <f>IF(ROUND(BS!AV27,0)=ROUND(SUM(BS!AV27:AV29),0),"OK","ERROR")</f>
        <v>OK</v>
      </c>
      <c r="AW102" s="258"/>
      <c r="AX102" s="217" t="str">
        <f>IF(ROUND(BS!AX27,0)=ROUND(SUM(BS!AX27:AX29),0),"OK","ERROR")</f>
        <v>OK</v>
      </c>
    </row>
    <row r="103" spans="1:50" s="38" customFormat="1" ht="15" customHeight="1" x14ac:dyDescent="0.3">
      <c r="A103" s="40"/>
      <c r="B103" s="135" t="s">
        <v>993</v>
      </c>
      <c r="C103" s="15"/>
      <c r="D103" s="214" t="str">
        <f>IF(ROUND(BS!D31,0)=ROUND(SUM(BS!D24,BS!D27,BS!D30),0),"OK","ERROR")</f>
        <v>OK</v>
      </c>
      <c r="E103" s="214" t="str">
        <f>IF(ROUND(BS!E31,0)=ROUND(SUM(BS!E24,BS!E27,BS!E30),0),"OK","ERROR")</f>
        <v>OK</v>
      </c>
      <c r="F103" s="214" t="str">
        <f>IF(ROUND(BS!F31,0)=ROUND(SUM(BS!F24,BS!F27,BS!F30),0),"OK","ERROR")</f>
        <v>OK</v>
      </c>
      <c r="G103" s="214" t="str">
        <f>IF(ROUND(BS!G31,0)=ROUND(SUM(BS!G24,BS!G27,BS!G30),0),"OK","ERROR")</f>
        <v>OK</v>
      </c>
      <c r="H103" s="223" t="str">
        <f>IF(ROUND(BS!H31,0)=ROUND(SUM(BS!H24,BS!H27,BS!H30),0),"OK","ERROR")</f>
        <v>OK</v>
      </c>
      <c r="I103" s="245"/>
      <c r="J103" s="214" t="str">
        <f>IF(ROUND(BS!J31,0)=ROUND(SUM(BS!J24,BS!J27,BS!J30),0),"OK","ERROR")</f>
        <v>OK</v>
      </c>
      <c r="K103" s="214" t="str">
        <f>IF(ROUND(BS!K31,0)=ROUND(SUM(BS!K24,BS!K27,BS!K30),0),"OK","ERROR")</f>
        <v>OK</v>
      </c>
      <c r="L103" s="214" t="str">
        <f>IF(ROUND(BS!L31,0)=ROUND(SUM(BS!L24,BS!L27,BS!L30),0),"OK","ERROR")</f>
        <v>OK</v>
      </c>
      <c r="M103" s="214" t="str">
        <f>IF(ROUND(BS!M31,0)=ROUND(SUM(BS!M24,BS!M27,BS!M30),0),"OK","ERROR")</f>
        <v>OK</v>
      </c>
      <c r="N103" s="223" t="str">
        <f>IF(ROUND(BS!N31,0)=ROUND(SUM(BS!N24,BS!N27,BS!N30),0),"OK","ERROR")</f>
        <v>OK</v>
      </c>
      <c r="O103" s="245"/>
      <c r="P103" s="214" t="str">
        <f>IF(ROUND(BS!P31,0)=ROUND(SUM(BS!P24,BS!P27,BS!P30),0),"OK","ERROR")</f>
        <v>OK</v>
      </c>
      <c r="Q103" s="214" t="str">
        <f>IF(ROUND(BS!Q31,0)=ROUND(SUM(BS!Q24,BS!Q27,BS!Q30),0),"OK","ERROR")</f>
        <v>OK</v>
      </c>
      <c r="R103" s="214" t="str">
        <f>IF(ROUND(BS!R31,0)=ROUND(SUM(BS!R24,BS!R27,BS!R30),0),"OK","ERROR")</f>
        <v>OK</v>
      </c>
      <c r="S103" s="214" t="str">
        <f>IF(ROUND(BS!S31,0)=ROUND(SUM(BS!S24,BS!S27,BS!S30),0),"OK","ERROR")</f>
        <v>OK</v>
      </c>
      <c r="T103" s="223" t="str">
        <f>IF(ROUND(BS!T31,0)=ROUND(SUM(BS!T24,BS!T27,BS!T30),0),"OK","ERROR")</f>
        <v>OK</v>
      </c>
      <c r="U103" s="245"/>
      <c r="V103" s="214" t="str">
        <f>IF(ROUND(BS!V31,0)=ROUND(SUM(BS!V24,BS!V27,BS!V30),0),"OK","ERROR")</f>
        <v>OK</v>
      </c>
      <c r="W103" s="214" t="str">
        <f>IF(ROUND(BS!W31,0)=ROUND(SUM(BS!W24,BS!W27,BS!W30),0),"OK","ERROR")</f>
        <v>OK</v>
      </c>
      <c r="X103" s="214" t="str">
        <f>IF(ROUND(BS!X31,0)=ROUND(SUM(BS!X24,BS!X27,BS!X30),0),"OK","ERROR")</f>
        <v>OK</v>
      </c>
      <c r="Y103" s="214" t="str">
        <f>IF(ROUND(BS!Y31,0)=ROUND(SUM(BS!Y24,BS!Y27,BS!Y30),0),"OK","ERROR")</f>
        <v>OK</v>
      </c>
      <c r="Z103" s="223" t="str">
        <f>IF(ROUND(BS!Z31,0)=ROUND(SUM(BS!Z24,BS!Z27,BS!Z30),0),"OK","ERROR")</f>
        <v>OK</v>
      </c>
      <c r="AA103" s="260"/>
      <c r="AB103" s="214" t="str">
        <f>IF(ROUND(BS!AB31,0)=ROUND(SUM(BS!AB24,BS!AB27,BS!AB30),0),"OK","ERROR")</f>
        <v>OK</v>
      </c>
      <c r="AC103" s="214" t="str">
        <f>IF(ROUND(BS!AC31,0)=ROUND(SUM(BS!AC24,BS!AC27,BS!AC30),0),"OK","ERROR")</f>
        <v>OK</v>
      </c>
      <c r="AD103" s="214" t="str">
        <f>IF(ROUND(BS!AD31,0)=ROUND(SUM(BS!AD24,BS!AD27,BS!AD30),0),"OK","ERROR")</f>
        <v>OK</v>
      </c>
      <c r="AE103" s="214" t="str">
        <f>IF(ROUND(BS!AE31,0)=ROUND(SUM(BS!AE24,BS!AE27,BS!AE30),0),"OK","ERROR")</f>
        <v>OK</v>
      </c>
      <c r="AF103" s="223" t="str">
        <f>IF(ROUND(BS!AF31,0)=ROUND(SUM(BS!AF24,BS!AF27,BS!AF30),0),"OK","ERROR")</f>
        <v>OK</v>
      </c>
      <c r="AG103" s="262"/>
      <c r="AH103" s="214" t="str">
        <f>IF(ROUND(BS!AH31,0)=ROUND(SUM(BS!AH24,BS!AH27,BS!AH30),0),"OK","ERROR")</f>
        <v>OK</v>
      </c>
      <c r="AI103" s="214" t="str">
        <f>IF(ROUND(BS!AI31,0)=ROUND(SUM(BS!AI24,BS!AI27,BS!AI30),0),"OK","ERROR")</f>
        <v>OK</v>
      </c>
      <c r="AJ103" s="214" t="str">
        <f>IF(ROUND(BS!AJ31,0)=ROUND(SUM(BS!AJ24,BS!AJ27,BS!AJ30),0),"OK","ERROR")</f>
        <v>OK</v>
      </c>
      <c r="AK103" s="214" t="str">
        <f>IF(ROUND(BS!AK31,0)=ROUND(SUM(BS!AK24,BS!AK27,BS!AK30),0),"OK","ERROR")</f>
        <v>OK</v>
      </c>
      <c r="AL103" s="223" t="str">
        <f>IF(ROUND(BS!AL31,0)=ROUND(SUM(BS!AL24,BS!AL27,BS!AL30),0),"OK","ERROR")</f>
        <v>OK</v>
      </c>
      <c r="AM103" s="272"/>
      <c r="AN103" s="214" t="str">
        <f>IF(ROUND(BS!AN31,0)=ROUND(SUM(BS!AN24,BS!AN27,BS!AN30),0),"OK","ERROR")</f>
        <v>OK</v>
      </c>
      <c r="AO103" s="214" t="str">
        <f>IF(ROUND(BS!AO31,0)=ROUND(SUM(BS!AO24,BS!AO27,BS!AO30),0),"OK","ERROR")</f>
        <v>OK</v>
      </c>
      <c r="AP103" s="214" t="str">
        <f>IF(ROUND(BS!AP31,0)=ROUND(SUM(BS!AP24,BS!AP27,BS!AP30),0),"OK","ERROR")</f>
        <v>OK</v>
      </c>
      <c r="AQ103" s="214" t="str">
        <f>IF(ROUND(BS!AQ31,0)=ROUND(SUM(BS!AQ24,BS!AQ27,BS!AQ30),0),"OK","ERROR")</f>
        <v>OK</v>
      </c>
      <c r="AR103" s="223" t="str">
        <f>IF(ROUND(BS!AR31,0)=ROUND(SUM(BS!AR24,BS!AR27,BS!AR30),0),"OK","ERROR")</f>
        <v>OK</v>
      </c>
      <c r="AS103" s="272"/>
      <c r="AT103" s="223" t="str">
        <f>IF(ROUND(BS!AT31,0)=ROUND(SUM(BS!AT24,BS!AT27,BS!AT30),0),"OK","ERROR")</f>
        <v>OK</v>
      </c>
      <c r="AU103" s="272"/>
      <c r="AV103" s="223" t="str">
        <f>IF(ROUND(BS!AV31,0)=ROUND(SUM(BS!AV24,BS!AV27,BS!AV30),0),"OK","ERROR")</f>
        <v>OK</v>
      </c>
      <c r="AW103" s="252"/>
      <c r="AX103" s="223" t="str">
        <f>IF(ROUND(BS!AX31,0)=ROUND(SUM(BS!AX24,BS!AX27,BS!AX30),0),"OK","ERROR")</f>
        <v>OK</v>
      </c>
    </row>
    <row r="104" spans="1:50" s="110" customFormat="1" ht="15" customHeight="1" thickBot="1" x14ac:dyDescent="0.35">
      <c r="B104" s="137" t="s">
        <v>994</v>
      </c>
      <c r="C104" s="112"/>
      <c r="D104" s="214" t="str">
        <f>IF(ROUND(SUM(BS!D21,BS!D31),0)=ROUND(BS!D32,0),"OK","ERROR")</f>
        <v>OK</v>
      </c>
      <c r="E104" s="214" t="str">
        <f>IF(ROUND(SUM(BS!E21,BS!E31),0)=ROUND(BS!E32,0),"OK","ERROR")</f>
        <v>OK</v>
      </c>
      <c r="F104" s="214" t="str">
        <f>IF(ROUND(SUM(BS!F21,BS!F31),0)=ROUND(BS!F32,0),"OK","ERROR")</f>
        <v>OK</v>
      </c>
      <c r="G104" s="214" t="str">
        <f>IF(ROUND(SUM(BS!G21,BS!G31),0)=ROUND(BS!G32,0),"OK","ERROR")</f>
        <v>OK</v>
      </c>
      <c r="H104" s="234" t="str">
        <f>IF(ROUND(SUM(BS!H21,BS!H31),0)=ROUND(BS!H32,0),"OK","ERROR")</f>
        <v>OK</v>
      </c>
      <c r="I104" s="253"/>
      <c r="J104" s="214" t="str">
        <f>IF(ROUND(SUM(BS!J21,BS!J31),0)=ROUND(BS!J32,0),"OK","ERROR")</f>
        <v>OK</v>
      </c>
      <c r="K104" s="214" t="str">
        <f>IF(ROUND(SUM(BS!K21,BS!K31),0)=ROUND(BS!K32,0),"OK","ERROR")</f>
        <v>OK</v>
      </c>
      <c r="L104" s="214" t="str">
        <f>IF(ROUND(SUM(BS!L21,BS!L31),0)=ROUND(BS!L32,0),"OK","ERROR")</f>
        <v>OK</v>
      </c>
      <c r="M104" s="214" t="str">
        <f>IF(ROUND(SUM(BS!M21,BS!M31),0)=ROUND(BS!M32,0),"OK","ERROR")</f>
        <v>OK</v>
      </c>
      <c r="N104" s="234" t="str">
        <f>IF(ROUND(SUM(BS!N21,BS!N31),0)=ROUND(BS!N32,0),"OK","ERROR")</f>
        <v>OK</v>
      </c>
      <c r="O104" s="253"/>
      <c r="P104" s="214" t="str">
        <f>IF(ROUND(SUM(BS!P21,BS!P31),0)=ROUND(BS!P32,0),"OK","ERROR")</f>
        <v>OK</v>
      </c>
      <c r="Q104" s="214" t="str">
        <f>IF(ROUND(SUM(BS!Q21,BS!Q31),0)=ROUND(BS!Q32,0),"OK","ERROR")</f>
        <v>OK</v>
      </c>
      <c r="R104" s="214" t="str">
        <f>IF(ROUND(SUM(BS!R21,BS!R31),0)=ROUND(BS!R32,0),"OK","ERROR")</f>
        <v>OK</v>
      </c>
      <c r="S104" s="214" t="str">
        <f>IF(ROUND(SUM(BS!S21,BS!S31),0)=ROUND(BS!S32,0),"OK","ERROR")</f>
        <v>OK</v>
      </c>
      <c r="T104" s="234" t="str">
        <f>IF(ROUND(SUM(BS!T21,BS!T31),0)=ROUND(BS!T32,0),"OK","ERROR")</f>
        <v>OK</v>
      </c>
      <c r="U104" s="253"/>
      <c r="V104" s="214" t="str">
        <f>IF(ROUND(SUM(BS!V21,BS!V31),0)=ROUND(BS!V32,0),"OK","ERROR")</f>
        <v>OK</v>
      </c>
      <c r="W104" s="214" t="str">
        <f>IF(ROUND(SUM(BS!W21,BS!W31),0)=ROUND(BS!W32,0),"OK","ERROR")</f>
        <v>OK</v>
      </c>
      <c r="X104" s="214" t="str">
        <f>IF(ROUND(SUM(BS!X21,BS!X31),0)=ROUND(BS!X32,0),"OK","ERROR")</f>
        <v>OK</v>
      </c>
      <c r="Y104" s="214" t="str">
        <f>IF(ROUND(SUM(BS!Y21,BS!Y31),0)=ROUND(BS!Y32,0),"OK","ERROR")</f>
        <v>OK</v>
      </c>
      <c r="Z104" s="234" t="str">
        <f>IF(ROUND(SUM(BS!Z21,BS!Z31),0)=ROUND(BS!Z32,0),"OK","ERROR")</f>
        <v>OK</v>
      </c>
      <c r="AA104" s="273"/>
      <c r="AB104" s="214" t="str">
        <f>IF(ROUND(SUM(BS!AB21,BS!AB31),0)=ROUND(BS!AB32,0),"OK","ERROR")</f>
        <v>OK</v>
      </c>
      <c r="AC104" s="214" t="str">
        <f>IF(ROUND(SUM(BS!AC21,BS!AC31),0)=ROUND(BS!AC32,0),"OK","ERROR")</f>
        <v>OK</v>
      </c>
      <c r="AD104" s="214" t="str">
        <f>IF(ROUND(SUM(BS!AD21,BS!AD31),0)=ROUND(BS!AD32,0),"OK","ERROR")</f>
        <v>OK</v>
      </c>
      <c r="AE104" s="214" t="str">
        <f>IF(ROUND(SUM(BS!AE21,BS!AE31),0)=ROUND(BS!AE32,0),"OK","ERROR")</f>
        <v>OK</v>
      </c>
      <c r="AF104" s="234" t="str">
        <f>IF(ROUND(SUM(BS!AF21,BS!AF31),0)=ROUND(BS!AF32,0),"OK","ERROR")</f>
        <v>OK</v>
      </c>
      <c r="AG104" s="271"/>
      <c r="AH104" s="214" t="str">
        <f>IF(ROUND(SUM(BS!AH21,BS!AH31),0)=ROUND(BS!AH32,0),"OK","ERROR")</f>
        <v>OK</v>
      </c>
      <c r="AI104" s="214" t="str">
        <f>IF(ROUND(SUM(BS!AI21,BS!AI31),0)=ROUND(BS!AI32,0),"OK","ERROR")</f>
        <v>OK</v>
      </c>
      <c r="AJ104" s="214" t="str">
        <f>IF(ROUND(SUM(BS!AJ21,BS!AJ31),0)=ROUND(BS!AJ32,0),"OK","ERROR")</f>
        <v>OK</v>
      </c>
      <c r="AK104" s="214" t="str">
        <f>IF(ROUND(SUM(BS!AK21,BS!AK31),0)=ROUND(BS!AK32,0),"OK","ERROR")</f>
        <v>OK</v>
      </c>
      <c r="AL104" s="234" t="str">
        <f>IF(ROUND(SUM(BS!AL21,BS!AL31),0)=ROUND(BS!AL32,0),"OK","ERROR")</f>
        <v>OK</v>
      </c>
      <c r="AM104" s="270"/>
      <c r="AN104" s="214" t="str">
        <f>IF(ROUND(SUM(BS!AN21,BS!AN31),0)=ROUND(BS!AN32,0),"OK","ERROR")</f>
        <v>OK</v>
      </c>
      <c r="AO104" s="214" t="str">
        <f>IF(ROUND(SUM(BS!AO21,BS!AO31),0)=ROUND(BS!AO32,0),"OK","ERROR")</f>
        <v>OK</v>
      </c>
      <c r="AP104" s="214" t="str">
        <f>IF(ROUND(SUM(BS!AP21,BS!AP31),0)=ROUND(BS!AP32,0),"OK","ERROR")</f>
        <v>OK</v>
      </c>
      <c r="AQ104" s="214" t="str">
        <f>IF(ROUND(SUM(BS!AQ21,BS!AQ31),0)=ROUND(BS!AQ32,0),"OK","ERROR")</f>
        <v>OK</v>
      </c>
      <c r="AR104" s="234" t="str">
        <f>IF(ROUND(SUM(BS!AR21,BS!AR31),0)=ROUND(BS!AR32,0),"OK","ERROR")</f>
        <v>OK</v>
      </c>
      <c r="AS104" s="270"/>
      <c r="AT104" s="234" t="str">
        <f>IF(ROUND(SUM(BS!AT21,BS!AT31),0)=ROUND(BS!AT32,0),"OK","ERROR")</f>
        <v>OK</v>
      </c>
      <c r="AU104" s="270"/>
      <c r="AV104" s="234" t="str">
        <f>IF(ROUND(SUM(BS!AV21,BS!AV31),0)=ROUND(BS!AV32,0),"OK","ERROR")</f>
        <v>OK</v>
      </c>
      <c r="AW104" s="258"/>
      <c r="AX104" s="234" t="str">
        <f>IF(ROUND(SUM(BS!AX21,BS!AX31),0)=ROUND(BS!AX32,0),"OK","ERROR")</f>
        <v>OK</v>
      </c>
    </row>
    <row r="105" spans="1:50" s="144" customFormat="1" ht="15" customHeight="1" thickTop="1" x14ac:dyDescent="0.3">
      <c r="A105" s="139"/>
      <c r="B105" s="140"/>
      <c r="C105" s="25"/>
      <c r="D105" s="205"/>
      <c r="E105" s="205"/>
      <c r="F105" s="205"/>
      <c r="G105" s="205"/>
      <c r="H105" s="217"/>
      <c r="I105" s="274"/>
      <c r="J105" s="205"/>
      <c r="K105" s="205"/>
      <c r="L105" s="205"/>
      <c r="M105" s="205"/>
      <c r="N105" s="217"/>
      <c r="O105" s="274"/>
      <c r="P105" s="205"/>
      <c r="Q105" s="205"/>
      <c r="R105" s="205"/>
      <c r="S105" s="205"/>
      <c r="T105" s="217"/>
      <c r="U105" s="274"/>
      <c r="V105" s="205"/>
      <c r="W105" s="205"/>
      <c r="X105" s="205"/>
      <c r="Y105" s="205"/>
      <c r="Z105" s="217"/>
      <c r="AA105" s="275"/>
      <c r="AB105" s="205"/>
      <c r="AC105" s="205"/>
      <c r="AD105" s="205"/>
      <c r="AE105" s="205"/>
      <c r="AF105" s="217"/>
      <c r="AG105" s="276"/>
      <c r="AH105" s="205"/>
      <c r="AI105" s="205"/>
      <c r="AJ105" s="205"/>
      <c r="AK105" s="205"/>
      <c r="AL105" s="217"/>
      <c r="AM105" s="277"/>
      <c r="AN105" s="205"/>
      <c r="AO105" s="205"/>
      <c r="AP105" s="205"/>
      <c r="AQ105" s="205"/>
      <c r="AR105" s="217"/>
      <c r="AS105" s="277"/>
      <c r="AT105" s="217"/>
      <c r="AU105" s="277"/>
      <c r="AV105" s="217"/>
      <c r="AW105" s="278"/>
      <c r="AX105" s="217"/>
    </row>
    <row r="106" spans="1:50" s="110" customFormat="1" ht="15" customHeight="1" x14ac:dyDescent="0.3">
      <c r="A106" s="41"/>
      <c r="B106" s="61" t="s">
        <v>995</v>
      </c>
      <c r="C106" s="112"/>
      <c r="D106" s="205"/>
      <c r="E106" s="205"/>
      <c r="F106" s="205"/>
      <c r="G106" s="205"/>
      <c r="H106" s="217"/>
      <c r="I106" s="253"/>
      <c r="J106" s="205"/>
      <c r="K106" s="205"/>
      <c r="L106" s="205"/>
      <c r="M106" s="205"/>
      <c r="N106" s="217"/>
      <c r="O106" s="253"/>
      <c r="P106" s="205"/>
      <c r="Q106" s="205"/>
      <c r="R106" s="205"/>
      <c r="S106" s="205"/>
      <c r="T106" s="217"/>
      <c r="U106" s="253"/>
      <c r="V106" s="205"/>
      <c r="W106" s="205"/>
      <c r="X106" s="205"/>
      <c r="Y106" s="205"/>
      <c r="Z106" s="217"/>
      <c r="AA106" s="254"/>
      <c r="AB106" s="205"/>
      <c r="AC106" s="205"/>
      <c r="AD106" s="205"/>
      <c r="AE106" s="205"/>
      <c r="AF106" s="217"/>
      <c r="AG106" s="255"/>
      <c r="AH106" s="205"/>
      <c r="AI106" s="205"/>
      <c r="AJ106" s="205"/>
      <c r="AK106" s="205"/>
      <c r="AL106" s="217"/>
      <c r="AM106" s="254"/>
      <c r="AN106" s="205"/>
      <c r="AO106" s="205"/>
      <c r="AP106" s="205"/>
      <c r="AQ106" s="205"/>
      <c r="AR106" s="217"/>
      <c r="AS106" s="254"/>
      <c r="AT106" s="217"/>
      <c r="AU106" s="254"/>
      <c r="AV106" s="217"/>
      <c r="AW106" s="258"/>
      <c r="AX106" s="217"/>
    </row>
    <row r="107" spans="1:50" s="144" customFormat="1" ht="15" customHeight="1" x14ac:dyDescent="0.3">
      <c r="A107" s="139"/>
      <c r="B107" s="140"/>
      <c r="C107" s="25"/>
      <c r="D107" s="205"/>
      <c r="E107" s="205"/>
      <c r="F107" s="205"/>
      <c r="G107" s="205"/>
      <c r="H107" s="217"/>
      <c r="I107" s="274"/>
      <c r="J107" s="205"/>
      <c r="K107" s="205"/>
      <c r="L107" s="205"/>
      <c r="M107" s="205"/>
      <c r="N107" s="217"/>
      <c r="O107" s="274"/>
      <c r="P107" s="205"/>
      <c r="Q107" s="205"/>
      <c r="R107" s="205"/>
      <c r="S107" s="205"/>
      <c r="T107" s="217"/>
      <c r="U107" s="274"/>
      <c r="V107" s="205"/>
      <c r="W107" s="205"/>
      <c r="X107" s="205"/>
      <c r="Y107" s="205"/>
      <c r="Z107" s="217"/>
      <c r="AA107" s="275"/>
      <c r="AB107" s="205"/>
      <c r="AC107" s="205"/>
      <c r="AD107" s="205"/>
      <c r="AE107" s="205"/>
      <c r="AF107" s="217"/>
      <c r="AG107" s="276"/>
      <c r="AH107" s="205"/>
      <c r="AI107" s="205"/>
      <c r="AJ107" s="205"/>
      <c r="AK107" s="205"/>
      <c r="AL107" s="217"/>
      <c r="AM107" s="279"/>
      <c r="AN107" s="205"/>
      <c r="AO107" s="205"/>
      <c r="AP107" s="205"/>
      <c r="AQ107" s="205"/>
      <c r="AR107" s="217"/>
      <c r="AS107" s="272"/>
      <c r="AT107" s="217"/>
      <c r="AU107" s="272"/>
      <c r="AV107" s="217"/>
      <c r="AW107" s="278"/>
      <c r="AX107" s="217"/>
    </row>
    <row r="108" spans="1:50" s="110" customFormat="1" ht="15" customHeight="1" x14ac:dyDescent="0.3">
      <c r="A108" s="41" t="s">
        <v>39</v>
      </c>
      <c r="B108" s="111" t="s">
        <v>996</v>
      </c>
      <c r="C108" s="112"/>
      <c r="D108" s="205"/>
      <c r="E108" s="205"/>
      <c r="F108" s="205"/>
      <c r="G108" s="205"/>
      <c r="H108" s="217"/>
      <c r="I108" s="253"/>
      <c r="J108" s="205"/>
      <c r="K108" s="205"/>
      <c r="L108" s="205"/>
      <c r="M108" s="205"/>
      <c r="N108" s="217"/>
      <c r="O108" s="253"/>
      <c r="P108" s="205"/>
      <c r="Q108" s="205"/>
      <c r="R108" s="205"/>
      <c r="S108" s="205"/>
      <c r="T108" s="217"/>
      <c r="U108" s="253"/>
      <c r="V108" s="205"/>
      <c r="W108" s="205"/>
      <c r="X108" s="205"/>
      <c r="Y108" s="205"/>
      <c r="Z108" s="217"/>
      <c r="AA108" s="254"/>
      <c r="AB108" s="205"/>
      <c r="AC108" s="205"/>
      <c r="AD108" s="205"/>
      <c r="AE108" s="205"/>
      <c r="AF108" s="217"/>
      <c r="AG108" s="255"/>
      <c r="AH108" s="205"/>
      <c r="AI108" s="205"/>
      <c r="AJ108" s="205"/>
      <c r="AK108" s="205"/>
      <c r="AL108" s="217"/>
      <c r="AM108" s="280"/>
      <c r="AN108" s="205"/>
      <c r="AO108" s="205"/>
      <c r="AP108" s="205"/>
      <c r="AQ108" s="205"/>
      <c r="AR108" s="217"/>
      <c r="AS108" s="254"/>
      <c r="AT108" s="217"/>
      <c r="AU108" s="254"/>
      <c r="AV108" s="217"/>
      <c r="AW108" s="258"/>
      <c r="AX108" s="217"/>
    </row>
    <row r="109" spans="1:50" s="110" customFormat="1" ht="15" customHeight="1" x14ac:dyDescent="0.3">
      <c r="B109" s="135" t="s">
        <v>1001</v>
      </c>
      <c r="C109" s="112"/>
      <c r="D109" s="214" t="str">
        <f>IF(ROUND(BS!D41,0)=ROUND(SUM(BS!D37:D40),0),"OK","ERROR")</f>
        <v>OK</v>
      </c>
      <c r="E109" s="214" t="str">
        <f>IF(ROUND(BS!E41,0)=ROUND(SUM(BS!E37:E40),0),"OK","ERROR")</f>
        <v>OK</v>
      </c>
      <c r="F109" s="214" t="str">
        <f>IF(ROUND(BS!F41,0)=ROUND(SUM(BS!F37:F40),0),"OK","ERROR")</f>
        <v>OK</v>
      </c>
      <c r="G109" s="214" t="str">
        <f>IF(ROUND(BS!G41,0)=ROUND(SUM(BS!G37:G40),0),"OK","ERROR")</f>
        <v>OK</v>
      </c>
      <c r="H109" s="224" t="str">
        <f>IF(ROUND(BS!H41,0)=ROUND(SUM(BS!H37:H40),0),"OK","ERROR")</f>
        <v>OK</v>
      </c>
      <c r="I109" s="253"/>
      <c r="J109" s="214" t="str">
        <f>IF(ROUND(BS!J41,0)=ROUND(SUM(BS!J37:J40),0),"OK","ERROR")</f>
        <v>OK</v>
      </c>
      <c r="K109" s="214" t="str">
        <f>IF(ROUND(BS!K41,0)=ROUND(SUM(BS!K37:K40),0),"OK","ERROR")</f>
        <v>OK</v>
      </c>
      <c r="L109" s="214" t="str">
        <f>IF(ROUND(BS!L41,0)=ROUND(SUM(BS!L37:L40),0),"OK","ERROR")</f>
        <v>OK</v>
      </c>
      <c r="M109" s="214" t="str">
        <f>IF(ROUND(BS!M41,0)=ROUND(SUM(BS!M37:M40),0),"OK","ERROR")</f>
        <v>OK</v>
      </c>
      <c r="N109" s="224" t="str">
        <f>IF(ROUND(BS!N41,0)=ROUND(SUM(BS!N37:N40),0),"OK","ERROR")</f>
        <v>OK</v>
      </c>
      <c r="O109" s="253"/>
      <c r="P109" s="214" t="str">
        <f>IF(ROUND(BS!P41,0)=ROUND(SUM(BS!P37:P40),0),"OK","ERROR")</f>
        <v>OK</v>
      </c>
      <c r="Q109" s="214" t="str">
        <f>IF(ROUND(BS!Q41,0)=ROUND(SUM(BS!Q37:Q40),0),"OK","ERROR")</f>
        <v>OK</v>
      </c>
      <c r="R109" s="214" t="str">
        <f>IF(ROUND(BS!R41,0)=ROUND(SUM(BS!R37:R40),0),"OK","ERROR")</f>
        <v>OK</v>
      </c>
      <c r="S109" s="214" t="str">
        <f>IF(ROUND(BS!S41,0)=ROUND(SUM(BS!S37:S40),0),"OK","ERROR")</f>
        <v>OK</v>
      </c>
      <c r="T109" s="224" t="str">
        <f>IF(ROUND(BS!T41,0)=ROUND(SUM(BS!T37:T40),0),"OK","ERROR")</f>
        <v>OK</v>
      </c>
      <c r="U109" s="253"/>
      <c r="V109" s="214" t="str">
        <f>IF(ROUND(BS!V41,0)=ROUND(SUM(BS!V37:V40),0),"OK","ERROR")</f>
        <v>OK</v>
      </c>
      <c r="W109" s="214" t="str">
        <f>IF(ROUND(BS!W41,0)=ROUND(SUM(BS!W37:W40),0),"OK","ERROR")</f>
        <v>OK</v>
      </c>
      <c r="X109" s="214" t="str">
        <f>IF(ROUND(BS!X41,0)=ROUND(SUM(BS!X37:X40),0),"OK","ERROR")</f>
        <v>OK</v>
      </c>
      <c r="Y109" s="214" t="str">
        <f>IF(ROUND(BS!Y41,0)=ROUND(SUM(BS!Y37:Y40),0),"OK","ERROR")</f>
        <v>OK</v>
      </c>
      <c r="Z109" s="224" t="str">
        <f>IF(ROUND(BS!Z41,0)=ROUND(SUM(BS!Z37:Z40),0),"OK","ERROR")</f>
        <v>OK</v>
      </c>
      <c r="AA109" s="270"/>
      <c r="AB109" s="214" t="str">
        <f>IF(ROUND(BS!AB41,0)=ROUND(SUM(BS!AB37:AB40),0),"OK","ERROR")</f>
        <v>OK</v>
      </c>
      <c r="AC109" s="214" t="str">
        <f>IF(ROUND(BS!AC41,0)=ROUND(SUM(BS!AC37:AC40),0),"OK","ERROR")</f>
        <v>OK</v>
      </c>
      <c r="AD109" s="214" t="str">
        <f>IF(ROUND(BS!AD41,0)=ROUND(SUM(BS!AD37:AD40),0),"OK","ERROR")</f>
        <v>OK</v>
      </c>
      <c r="AE109" s="214" t="str">
        <f>IF(ROUND(BS!AE41,0)=ROUND(SUM(BS!AE37:AE40),0),"OK","ERROR")</f>
        <v>OK</v>
      </c>
      <c r="AF109" s="224" t="str">
        <f>IF(ROUND(BS!AF41,0)=ROUND(SUM(BS!AF37:AF40),0),"OK","ERROR")</f>
        <v>OK</v>
      </c>
      <c r="AG109" s="271"/>
      <c r="AH109" s="214" t="str">
        <f>IF(ROUND(BS!AH41,0)=ROUND(SUM(BS!AH37:AH40),0),"OK","ERROR")</f>
        <v>OK</v>
      </c>
      <c r="AI109" s="214" t="str">
        <f>IF(ROUND(BS!AI41,0)=ROUND(SUM(BS!AI37:AI40),0),"OK","ERROR")</f>
        <v>OK</v>
      </c>
      <c r="AJ109" s="214" t="str">
        <f>IF(ROUND(BS!AJ41,0)=ROUND(SUM(BS!AJ37:AJ40),0),"OK","ERROR")</f>
        <v>OK</v>
      </c>
      <c r="AK109" s="214" t="str">
        <f>IF(ROUND(BS!AK41,0)=ROUND(SUM(BS!AK37:AK40),0),"OK","ERROR")</f>
        <v>OK</v>
      </c>
      <c r="AL109" s="224" t="str">
        <f>IF(ROUND(BS!AL41,0)=ROUND(SUM(BS!AL37:AL40),0),"OK","ERROR")</f>
        <v>OK</v>
      </c>
      <c r="AM109" s="270"/>
      <c r="AN109" s="214" t="str">
        <f>IF(ROUND(BS!AN41,0)=ROUND(SUM(BS!AN37:AN40),0),"OK","ERROR")</f>
        <v>OK</v>
      </c>
      <c r="AO109" s="214" t="str">
        <f>IF(ROUND(BS!AO41,0)=ROUND(SUM(BS!AO37:AO40),0),"OK","ERROR")</f>
        <v>OK</v>
      </c>
      <c r="AP109" s="214" t="str">
        <f>IF(ROUND(BS!AP41,0)=ROUND(SUM(BS!AP37:AP40),0),"OK","ERROR")</f>
        <v>OK</v>
      </c>
      <c r="AQ109" s="214" t="str">
        <f>IF(ROUND(BS!AQ41,0)=ROUND(SUM(BS!AQ37:AQ40),0),"OK","ERROR")</f>
        <v>OK</v>
      </c>
      <c r="AR109" s="224" t="str">
        <f>IF(ROUND(BS!AR41,0)=ROUND(SUM(BS!AR37:AR40),0),"OK","ERROR")</f>
        <v>OK</v>
      </c>
      <c r="AS109" s="270"/>
      <c r="AT109" s="224" t="str">
        <f>IF(ROUND(BS!AT41,0)=ROUND(SUM(BS!AT37:AT40),0),"OK","ERROR")</f>
        <v>OK</v>
      </c>
      <c r="AU109" s="270"/>
      <c r="AV109" s="224" t="str">
        <f>IF(ROUND(BS!AV41,0)=ROUND(SUM(BS!AV37:AV40),0),"OK","ERROR")</f>
        <v>OK</v>
      </c>
      <c r="AW109" s="258"/>
      <c r="AX109" s="224" t="str">
        <f>IF(ROUND(BS!AX41,0)=ROUND(SUM(BS!AX37:AX40),0),"OK","ERROR")</f>
        <v>OK</v>
      </c>
    </row>
    <row r="110" spans="1:50" s="38" customFormat="1" ht="15" customHeight="1" x14ac:dyDescent="0.3">
      <c r="A110" s="40"/>
      <c r="B110" s="149"/>
      <c r="C110" s="15"/>
      <c r="D110" s="205"/>
      <c r="E110" s="205"/>
      <c r="F110" s="205"/>
      <c r="G110" s="205"/>
      <c r="H110" s="217"/>
      <c r="I110" s="245"/>
      <c r="J110" s="205"/>
      <c r="K110" s="205"/>
      <c r="L110" s="205"/>
      <c r="M110" s="205"/>
      <c r="N110" s="217"/>
      <c r="O110" s="245"/>
      <c r="P110" s="205"/>
      <c r="Q110" s="205"/>
      <c r="R110" s="205"/>
      <c r="S110" s="205"/>
      <c r="T110" s="217"/>
      <c r="U110" s="245"/>
      <c r="V110" s="205"/>
      <c r="W110" s="205"/>
      <c r="X110" s="205"/>
      <c r="Y110" s="205"/>
      <c r="Z110" s="217"/>
      <c r="AA110" s="245"/>
      <c r="AB110" s="205"/>
      <c r="AC110" s="205"/>
      <c r="AD110" s="205"/>
      <c r="AE110" s="205"/>
      <c r="AF110" s="217"/>
      <c r="AG110" s="281"/>
      <c r="AH110" s="205"/>
      <c r="AI110" s="205"/>
      <c r="AJ110" s="205"/>
      <c r="AK110" s="205"/>
      <c r="AL110" s="217"/>
      <c r="AM110" s="245"/>
      <c r="AN110" s="205"/>
      <c r="AO110" s="205"/>
      <c r="AP110" s="205"/>
      <c r="AQ110" s="205"/>
      <c r="AR110" s="217"/>
      <c r="AS110" s="245"/>
      <c r="AT110" s="217"/>
      <c r="AU110" s="245"/>
      <c r="AV110" s="217"/>
      <c r="AW110" s="252"/>
      <c r="AX110" s="217"/>
    </row>
    <row r="111" spans="1:50" s="110" customFormat="1" ht="15" customHeight="1" x14ac:dyDescent="0.3">
      <c r="A111" s="41" t="s">
        <v>39</v>
      </c>
      <c r="B111" s="111" t="s">
        <v>1002</v>
      </c>
      <c r="C111" s="112"/>
      <c r="D111" s="205"/>
      <c r="E111" s="205"/>
      <c r="F111" s="205"/>
      <c r="G111" s="205"/>
      <c r="H111" s="217"/>
      <c r="I111" s="253"/>
      <c r="J111" s="205"/>
      <c r="K111" s="205"/>
      <c r="L111" s="205"/>
      <c r="M111" s="205"/>
      <c r="N111" s="217"/>
      <c r="O111" s="253"/>
      <c r="P111" s="205"/>
      <c r="Q111" s="205"/>
      <c r="R111" s="205"/>
      <c r="S111" s="205"/>
      <c r="T111" s="217"/>
      <c r="U111" s="253"/>
      <c r="V111" s="205"/>
      <c r="W111" s="205"/>
      <c r="X111" s="205"/>
      <c r="Y111" s="205"/>
      <c r="Z111" s="217"/>
      <c r="AA111" s="253"/>
      <c r="AB111" s="205"/>
      <c r="AC111" s="205"/>
      <c r="AD111" s="205"/>
      <c r="AE111" s="205"/>
      <c r="AF111" s="217"/>
      <c r="AG111" s="282"/>
      <c r="AH111" s="205"/>
      <c r="AI111" s="205"/>
      <c r="AJ111" s="205"/>
      <c r="AK111" s="205"/>
      <c r="AL111" s="217"/>
      <c r="AM111" s="253"/>
      <c r="AN111" s="205"/>
      <c r="AO111" s="205"/>
      <c r="AP111" s="205"/>
      <c r="AQ111" s="205"/>
      <c r="AR111" s="217"/>
      <c r="AS111" s="253"/>
      <c r="AT111" s="217"/>
      <c r="AU111" s="253"/>
      <c r="AV111" s="217"/>
      <c r="AW111" s="258"/>
      <c r="AX111" s="217"/>
    </row>
    <row r="112" spans="1:50" s="110" customFormat="1" ht="15" customHeight="1" x14ac:dyDescent="0.3">
      <c r="B112" s="135" t="s">
        <v>1006</v>
      </c>
      <c r="C112" s="112"/>
      <c r="D112" s="214" t="str">
        <f>IF(ROUND(BS!D47,0)=ROUND(SUM(BS!D44:D46),0),"OK","ERROR")</f>
        <v>OK</v>
      </c>
      <c r="E112" s="214" t="str">
        <f>IF(ROUND(BS!E47,0)=ROUND(SUM(BS!E44:E46),0),"OK","ERROR")</f>
        <v>OK</v>
      </c>
      <c r="F112" s="214" t="str">
        <f>IF(ROUND(BS!F47,0)=ROUND(SUM(BS!F44:F46),0),"OK","ERROR")</f>
        <v>OK</v>
      </c>
      <c r="G112" s="214" t="str">
        <f>IF(ROUND(BS!G47,0)=ROUND(SUM(BS!G44:G46),0),"OK","ERROR")</f>
        <v>OK</v>
      </c>
      <c r="H112" s="217" t="str">
        <f>IF(ROUND(BS!H47,0)=ROUND(SUM(BS!H44:H46),0),"OK","ERROR")</f>
        <v>OK</v>
      </c>
      <c r="I112" s="253"/>
      <c r="J112" s="214" t="str">
        <f>IF(ROUND(BS!J47,0)=ROUND(SUM(BS!J44:J46),0),"OK","ERROR")</f>
        <v>OK</v>
      </c>
      <c r="K112" s="214" t="str">
        <f>IF(ROUND(BS!K47,0)=ROUND(SUM(BS!K44:K46),0),"OK","ERROR")</f>
        <v>OK</v>
      </c>
      <c r="L112" s="214" t="str">
        <f>IF(ROUND(BS!L47,0)=ROUND(SUM(BS!L44:L46),0),"OK","ERROR")</f>
        <v>OK</v>
      </c>
      <c r="M112" s="214" t="str">
        <f>IF(ROUND(BS!M47,0)=ROUND(SUM(BS!M44:M46),0),"OK","ERROR")</f>
        <v>OK</v>
      </c>
      <c r="N112" s="217" t="str">
        <f>IF(ROUND(BS!N47,0)=ROUND(SUM(BS!N44:N46),0),"OK","ERROR")</f>
        <v>OK</v>
      </c>
      <c r="O112" s="253"/>
      <c r="P112" s="214" t="str">
        <f>IF(ROUND(BS!P47,0)=ROUND(SUM(BS!P44:P46),0),"OK","ERROR")</f>
        <v>OK</v>
      </c>
      <c r="Q112" s="214" t="str">
        <f>IF(ROUND(BS!Q47,0)=ROUND(SUM(BS!Q44:Q46),0),"OK","ERROR")</f>
        <v>OK</v>
      </c>
      <c r="R112" s="214" t="str">
        <f>IF(ROUND(BS!R47,0)=ROUND(SUM(BS!R44:R46),0),"OK","ERROR")</f>
        <v>OK</v>
      </c>
      <c r="S112" s="214" t="str">
        <f>IF(ROUND(BS!S47,0)=ROUND(SUM(BS!S44:S46),0),"OK","ERROR")</f>
        <v>OK</v>
      </c>
      <c r="T112" s="217" t="str">
        <f>IF(ROUND(BS!T47,0)=ROUND(SUM(BS!T44:T46),0),"OK","ERROR")</f>
        <v>OK</v>
      </c>
      <c r="U112" s="253"/>
      <c r="V112" s="214" t="str">
        <f>IF(ROUND(BS!V47,0)=ROUND(SUM(BS!V44:V46),0),"OK","ERROR")</f>
        <v>OK</v>
      </c>
      <c r="W112" s="214" t="str">
        <f>IF(ROUND(BS!W47,0)=ROUND(SUM(BS!W44:W46),0),"OK","ERROR")</f>
        <v>OK</v>
      </c>
      <c r="X112" s="214" t="str">
        <f>IF(ROUND(BS!X47,0)=ROUND(SUM(BS!X44:X46),0),"OK","ERROR")</f>
        <v>OK</v>
      </c>
      <c r="Y112" s="214" t="str">
        <f>IF(ROUND(BS!Y47,0)=ROUND(SUM(BS!Y44:Y46),0),"OK","ERROR")</f>
        <v>OK</v>
      </c>
      <c r="Z112" s="217" t="str">
        <f>IF(ROUND(BS!Z47,0)=ROUND(SUM(BS!Z44:Z46),0),"OK","ERROR")</f>
        <v>OK</v>
      </c>
      <c r="AA112" s="253"/>
      <c r="AB112" s="214" t="str">
        <f>IF(ROUND(BS!AB47,0)=ROUND(SUM(BS!AB44:AB46),0),"OK","ERROR")</f>
        <v>OK</v>
      </c>
      <c r="AC112" s="214" t="str">
        <f>IF(ROUND(BS!AC47,0)=ROUND(SUM(BS!AC44:AC46),0),"OK","ERROR")</f>
        <v>OK</v>
      </c>
      <c r="AD112" s="214" t="str">
        <f>IF(ROUND(BS!AD47,0)=ROUND(SUM(BS!AD44:AD46),0),"OK","ERROR")</f>
        <v>OK</v>
      </c>
      <c r="AE112" s="214" t="str">
        <f>IF(ROUND(BS!AE47,0)=ROUND(SUM(BS!AE44:AE46),0),"OK","ERROR")</f>
        <v>OK</v>
      </c>
      <c r="AF112" s="217" t="str">
        <f>IF(ROUND(BS!AF47,0)=ROUND(SUM(BS!AF44:AF46),0),"OK","ERROR")</f>
        <v>OK</v>
      </c>
      <c r="AG112" s="282"/>
      <c r="AH112" s="214" t="str">
        <f>IF(ROUND(BS!AH47,0)=ROUND(SUM(BS!AH44:AH46),0),"OK","ERROR")</f>
        <v>OK</v>
      </c>
      <c r="AI112" s="214" t="str">
        <f>IF(ROUND(BS!AI47,0)=ROUND(SUM(BS!AI44:AI46),0),"OK","ERROR")</f>
        <v>OK</v>
      </c>
      <c r="AJ112" s="214" t="str">
        <f>IF(ROUND(BS!AJ47,0)=ROUND(SUM(BS!AJ44:AJ46),0),"OK","ERROR")</f>
        <v>OK</v>
      </c>
      <c r="AK112" s="214" t="str">
        <f>IF(ROUND(BS!AK47,0)=ROUND(SUM(BS!AK44:AK46),0),"OK","ERROR")</f>
        <v>OK</v>
      </c>
      <c r="AL112" s="217" t="str">
        <f>IF(ROUND(BS!AL47,0)=ROUND(SUM(BS!AL44:AL46),0),"OK","ERROR")</f>
        <v>OK</v>
      </c>
      <c r="AM112" s="253"/>
      <c r="AN112" s="214" t="str">
        <f>IF(ROUND(BS!AN47,0)=ROUND(SUM(BS!AN44:AN46),0),"OK","ERROR")</f>
        <v>OK</v>
      </c>
      <c r="AO112" s="214" t="str">
        <f>IF(ROUND(BS!AO47,0)=ROUND(SUM(BS!AO44:AO46),0),"OK","ERROR")</f>
        <v>OK</v>
      </c>
      <c r="AP112" s="214" t="str">
        <f>IF(ROUND(BS!AP47,0)=ROUND(SUM(BS!AP44:AP46),0),"OK","ERROR")</f>
        <v>OK</v>
      </c>
      <c r="AQ112" s="214" t="str">
        <f>IF(ROUND(BS!AQ47,0)=ROUND(SUM(BS!AQ44:AQ46),0),"OK","ERROR")</f>
        <v>OK</v>
      </c>
      <c r="AR112" s="217" t="str">
        <f>IF(ROUND(BS!AR47,0)=ROUND(SUM(BS!AR44:AR46),0),"OK","ERROR")</f>
        <v>OK</v>
      </c>
      <c r="AS112" s="253"/>
      <c r="AT112" s="217" t="str">
        <f>IF(ROUND(BS!AT47,0)=ROUND(SUM(BS!AT44:AT46),0),"OK","ERROR")</f>
        <v>OK</v>
      </c>
      <c r="AU112" s="253"/>
      <c r="AV112" s="217" t="str">
        <f>IF(ROUND(BS!AV47,0)=ROUND(SUM(BS!AV44:AV46),0),"OK","ERROR")</f>
        <v>OK</v>
      </c>
      <c r="AW112" s="258"/>
      <c r="AX112" s="217" t="str">
        <f>IF(ROUND(BS!AX47,0)=ROUND(SUM(BS!AX44:AX46),0),"OK","ERROR")</f>
        <v>OK</v>
      </c>
    </row>
    <row r="113" spans="1:50" s="38" customFormat="1" ht="15" customHeight="1" x14ac:dyDescent="0.3">
      <c r="A113" s="40"/>
      <c r="B113" s="137" t="s">
        <v>1007</v>
      </c>
      <c r="C113" s="15"/>
      <c r="D113" s="214" t="str">
        <f>IF(ROUND(BS!D48,0)=ROUND(SUM(BS!D41,BS!D47),0),"OK","ERROR")</f>
        <v>OK</v>
      </c>
      <c r="E113" s="214" t="str">
        <f>IF(ROUND(BS!E48,0)=ROUND(SUM(BS!E41,BS!E47),0),"OK","ERROR")</f>
        <v>OK</v>
      </c>
      <c r="F113" s="214" t="str">
        <f>IF(ROUND(BS!F48,0)=ROUND(SUM(BS!F41,BS!F47),0),"OK","ERROR")</f>
        <v>OK</v>
      </c>
      <c r="G113" s="214" t="str">
        <f>IF(ROUND(BS!G48,0)=ROUND(SUM(BS!G41,BS!G47),0),"OK","ERROR")</f>
        <v>OK</v>
      </c>
      <c r="H113" s="224" t="str">
        <f>IF(ROUND(BS!H48,0)=ROUND(SUM(BS!H41,BS!H47),0),"OK","ERROR")</f>
        <v>OK</v>
      </c>
      <c r="I113" s="245"/>
      <c r="J113" s="214" t="str">
        <f>IF(ROUND(BS!J48,0)=ROUND(SUM(BS!J41,BS!J47),0),"OK","ERROR")</f>
        <v>OK</v>
      </c>
      <c r="K113" s="214" t="str">
        <f>IF(ROUND(BS!K48,0)=ROUND(SUM(BS!K41,BS!K47),0),"OK","ERROR")</f>
        <v>OK</v>
      </c>
      <c r="L113" s="214" t="str">
        <f>IF(ROUND(BS!L48,0)=ROUND(SUM(BS!L41,BS!L47),0),"OK","ERROR")</f>
        <v>OK</v>
      </c>
      <c r="M113" s="214" t="str">
        <f>IF(ROUND(BS!M48,0)=ROUND(SUM(BS!M41,BS!M47),0),"OK","ERROR")</f>
        <v>OK</v>
      </c>
      <c r="N113" s="224" t="str">
        <f>IF(ROUND(BS!N48,0)=ROUND(SUM(BS!N41,BS!N47),0),"OK","ERROR")</f>
        <v>OK</v>
      </c>
      <c r="O113" s="245"/>
      <c r="P113" s="214" t="str">
        <f>IF(ROUND(BS!P48,0)=ROUND(SUM(BS!P41,BS!P47),0),"OK","ERROR")</f>
        <v>OK</v>
      </c>
      <c r="Q113" s="214" t="str">
        <f>IF(ROUND(BS!Q48,0)=ROUND(SUM(BS!Q41,BS!Q47),0),"OK","ERROR")</f>
        <v>OK</v>
      </c>
      <c r="R113" s="214" t="str">
        <f>IF(ROUND(BS!R48,0)=ROUND(SUM(BS!R41,BS!R47),0),"OK","ERROR")</f>
        <v>OK</v>
      </c>
      <c r="S113" s="214" t="str">
        <f>IF(ROUND(BS!S48,0)=ROUND(SUM(BS!S41,BS!S47),0),"OK","ERROR")</f>
        <v>OK</v>
      </c>
      <c r="T113" s="224" t="str">
        <f>IF(ROUND(BS!T48,0)=ROUND(SUM(BS!T41,BS!T47),0),"OK","ERROR")</f>
        <v>OK</v>
      </c>
      <c r="U113" s="245"/>
      <c r="V113" s="214" t="str">
        <f>IF(ROUND(BS!V48,0)=ROUND(SUM(BS!V41,BS!V47),0),"OK","ERROR")</f>
        <v>OK</v>
      </c>
      <c r="W113" s="214" t="str">
        <f>IF(ROUND(BS!W48,0)=ROUND(SUM(BS!W41,BS!W47),0),"OK","ERROR")</f>
        <v>OK</v>
      </c>
      <c r="X113" s="214" t="str">
        <f>IF(ROUND(BS!X48,0)=ROUND(SUM(BS!X41,BS!X47),0),"OK","ERROR")</f>
        <v>OK</v>
      </c>
      <c r="Y113" s="214" t="str">
        <f>IF(ROUND(BS!Y48,0)=ROUND(SUM(BS!Y41,BS!Y47),0),"OK","ERROR")</f>
        <v>OK</v>
      </c>
      <c r="Z113" s="224" t="str">
        <f>IF(ROUND(BS!Z48,0)=ROUND(SUM(BS!Z41,BS!Z47),0),"OK","ERROR")</f>
        <v>OK</v>
      </c>
      <c r="AA113" s="245"/>
      <c r="AB113" s="214" t="str">
        <f>IF(ROUND(BS!AB48,0)=ROUND(SUM(BS!AB41,BS!AB47),0),"OK","ERROR")</f>
        <v>OK</v>
      </c>
      <c r="AC113" s="214" t="str">
        <f>IF(ROUND(BS!AC48,0)=ROUND(SUM(BS!AC41,BS!AC47),0),"OK","ERROR")</f>
        <v>OK</v>
      </c>
      <c r="AD113" s="214" t="str">
        <f>IF(ROUND(BS!AD48,0)=ROUND(SUM(BS!AD41,BS!AD47),0),"OK","ERROR")</f>
        <v>OK</v>
      </c>
      <c r="AE113" s="214" t="str">
        <f>IF(ROUND(BS!AE48,0)=ROUND(SUM(BS!AE41,BS!AE47),0),"OK","ERROR")</f>
        <v>OK</v>
      </c>
      <c r="AF113" s="224" t="str">
        <f>IF(ROUND(BS!AF48,0)=ROUND(SUM(BS!AF41,BS!AF47),0),"OK","ERROR")</f>
        <v>OK</v>
      </c>
      <c r="AG113" s="281"/>
      <c r="AH113" s="214" t="str">
        <f>IF(ROUND(BS!AH48,0)=ROUND(SUM(BS!AH41,BS!AH47),0),"OK","ERROR")</f>
        <v>OK</v>
      </c>
      <c r="AI113" s="214" t="str">
        <f>IF(ROUND(BS!AI48,0)=ROUND(SUM(BS!AI41,BS!AI47),0),"OK","ERROR")</f>
        <v>OK</v>
      </c>
      <c r="AJ113" s="214" t="str">
        <f>IF(ROUND(BS!AJ48,0)=ROUND(SUM(BS!AJ41,BS!AJ47),0),"OK","ERROR")</f>
        <v>OK</v>
      </c>
      <c r="AK113" s="214" t="str">
        <f>IF(ROUND(BS!AK48,0)=ROUND(SUM(BS!AK41,BS!AK47),0),"OK","ERROR")</f>
        <v>OK</v>
      </c>
      <c r="AL113" s="224" t="str">
        <f>IF(ROUND(BS!AL48,0)=ROUND(SUM(BS!AL41,BS!AL47),0),"OK","ERROR")</f>
        <v>OK</v>
      </c>
      <c r="AM113" s="245"/>
      <c r="AN113" s="214" t="str">
        <f>IF(ROUND(BS!AN48,0)=ROUND(SUM(BS!AN41,BS!AN47),0),"OK","ERROR")</f>
        <v>OK</v>
      </c>
      <c r="AO113" s="214" t="str">
        <f>IF(ROUND(BS!AO48,0)=ROUND(SUM(BS!AO41,BS!AO47),0),"OK","ERROR")</f>
        <v>OK</v>
      </c>
      <c r="AP113" s="214" t="str">
        <f>IF(ROUND(BS!AP48,0)=ROUND(SUM(BS!AP41,BS!AP47),0),"OK","ERROR")</f>
        <v>OK</v>
      </c>
      <c r="AQ113" s="214" t="str">
        <f>IF(ROUND(BS!AQ48,0)=ROUND(SUM(BS!AQ41,BS!AQ47),0),"OK","ERROR")</f>
        <v>OK</v>
      </c>
      <c r="AR113" s="224" t="str">
        <f>IF(ROUND(BS!AR48,0)=ROUND(SUM(BS!AR41,BS!AR47),0),"OK","ERROR")</f>
        <v>OK</v>
      </c>
      <c r="AS113" s="245"/>
      <c r="AT113" s="224" t="str">
        <f>IF(ROUND(BS!AT48,0)=ROUND(SUM(BS!AT41,BS!AT47),0),"OK","ERROR")</f>
        <v>OK</v>
      </c>
      <c r="AU113" s="245"/>
      <c r="AV113" s="224" t="str">
        <f>IF(ROUND(BS!AV48,0)=ROUND(SUM(BS!AV41,BS!AV47),0),"OK","ERROR")</f>
        <v>OK</v>
      </c>
      <c r="AW113" s="252"/>
      <c r="AX113" s="224" t="str">
        <f>IF(ROUND(BS!AX48,0)=ROUND(SUM(BS!AX41,BS!AX47),0),"OK","ERROR")</f>
        <v>OK</v>
      </c>
    </row>
    <row r="114" spans="1:50" s="110" customFormat="1" ht="15" customHeight="1" x14ac:dyDescent="0.3">
      <c r="B114" s="140"/>
      <c r="C114" s="112"/>
      <c r="D114" s="205"/>
      <c r="E114" s="205"/>
      <c r="F114" s="205"/>
      <c r="G114" s="205"/>
      <c r="H114" s="217"/>
      <c r="I114" s="253"/>
      <c r="J114" s="205"/>
      <c r="K114" s="205"/>
      <c r="L114" s="205"/>
      <c r="M114" s="205"/>
      <c r="N114" s="217"/>
      <c r="O114" s="253"/>
      <c r="P114" s="205"/>
      <c r="Q114" s="205"/>
      <c r="R114" s="205"/>
      <c r="S114" s="205"/>
      <c r="T114" s="217"/>
      <c r="U114" s="253"/>
      <c r="V114" s="205"/>
      <c r="W114" s="205"/>
      <c r="X114" s="205"/>
      <c r="Y114" s="205"/>
      <c r="Z114" s="217"/>
      <c r="AA114" s="253"/>
      <c r="AB114" s="205"/>
      <c r="AC114" s="205"/>
      <c r="AD114" s="205"/>
      <c r="AE114" s="205"/>
      <c r="AF114" s="217"/>
      <c r="AG114" s="282"/>
      <c r="AH114" s="205"/>
      <c r="AI114" s="205"/>
      <c r="AJ114" s="205"/>
      <c r="AK114" s="205"/>
      <c r="AL114" s="217"/>
      <c r="AM114" s="253"/>
      <c r="AN114" s="205"/>
      <c r="AO114" s="205"/>
      <c r="AP114" s="205"/>
      <c r="AQ114" s="205"/>
      <c r="AR114" s="217"/>
      <c r="AS114" s="253"/>
      <c r="AT114" s="217"/>
      <c r="AU114" s="253"/>
      <c r="AV114" s="217"/>
      <c r="AW114" s="258"/>
      <c r="AX114" s="217"/>
    </row>
    <row r="115" spans="1:50" s="38" customFormat="1" ht="15" customHeight="1" x14ac:dyDescent="0.3">
      <c r="A115" s="41" t="s">
        <v>39</v>
      </c>
      <c r="B115" s="111" t="s">
        <v>1008</v>
      </c>
      <c r="C115" s="15"/>
      <c r="D115" s="205"/>
      <c r="E115" s="205"/>
      <c r="F115" s="205"/>
      <c r="G115" s="205"/>
      <c r="H115" s="217"/>
      <c r="I115" s="245"/>
      <c r="J115" s="205"/>
      <c r="K115" s="205"/>
      <c r="L115" s="205"/>
      <c r="M115" s="205"/>
      <c r="N115" s="217"/>
      <c r="O115" s="245"/>
      <c r="P115" s="205"/>
      <c r="Q115" s="205"/>
      <c r="R115" s="205"/>
      <c r="S115" s="205"/>
      <c r="T115" s="217"/>
      <c r="U115" s="245"/>
      <c r="V115" s="205"/>
      <c r="W115" s="205"/>
      <c r="X115" s="205"/>
      <c r="Y115" s="205"/>
      <c r="Z115" s="217"/>
      <c r="AA115" s="245"/>
      <c r="AB115" s="205"/>
      <c r="AC115" s="205"/>
      <c r="AD115" s="205"/>
      <c r="AE115" s="205"/>
      <c r="AF115" s="217"/>
      <c r="AG115" s="281"/>
      <c r="AH115" s="205"/>
      <c r="AI115" s="205"/>
      <c r="AJ115" s="205"/>
      <c r="AK115" s="205"/>
      <c r="AL115" s="217"/>
      <c r="AM115" s="245"/>
      <c r="AN115" s="205"/>
      <c r="AO115" s="205"/>
      <c r="AP115" s="205"/>
      <c r="AQ115" s="205"/>
      <c r="AR115" s="217"/>
      <c r="AS115" s="245"/>
      <c r="AT115" s="217"/>
      <c r="AU115" s="245"/>
      <c r="AV115" s="217"/>
      <c r="AW115" s="252"/>
      <c r="AX115" s="217"/>
    </row>
    <row r="116" spans="1:50" s="110" customFormat="1" ht="15" customHeight="1" x14ac:dyDescent="0.3">
      <c r="B116" s="135" t="s">
        <v>1012</v>
      </c>
      <c r="C116" s="112"/>
      <c r="D116" s="214" t="str">
        <f>IF(ROUND(BS!D54,0)=ROUND(SUM(BS!D51:D53),0),"OK","ERROR")</f>
        <v>OK</v>
      </c>
      <c r="E116" s="214" t="str">
        <f>IF(ROUND(BS!E54,0)=ROUND(SUM(BS!E51:E53),0),"OK","ERROR")</f>
        <v>OK</v>
      </c>
      <c r="F116" s="214" t="str">
        <f>IF(ROUND(BS!F54,0)=ROUND(SUM(BS!F51:F53),0),"OK","ERROR")</f>
        <v>OK</v>
      </c>
      <c r="G116" s="214" t="str">
        <f>IF(ROUND(BS!G54,0)=ROUND(SUM(BS!G51:G53),0),"OK","ERROR")</f>
        <v>OK</v>
      </c>
      <c r="H116" s="224" t="str">
        <f>IF(ROUND(BS!H54,0)=ROUND(SUM(BS!H51:H53),0),"OK","ERROR")</f>
        <v>OK</v>
      </c>
      <c r="I116" s="253"/>
      <c r="J116" s="214" t="str">
        <f>IF(ROUND(BS!J54,0)=ROUND(SUM(BS!J51:J53),0),"OK","ERROR")</f>
        <v>OK</v>
      </c>
      <c r="K116" s="214" t="str">
        <f>IF(ROUND(BS!K54,0)=ROUND(SUM(BS!K51:K53),0),"OK","ERROR")</f>
        <v>OK</v>
      </c>
      <c r="L116" s="214" t="str">
        <f>IF(ROUND(BS!L54,0)=ROUND(SUM(BS!L51:L53),0),"OK","ERROR")</f>
        <v>OK</v>
      </c>
      <c r="M116" s="214" t="str">
        <f>IF(ROUND(BS!M54,0)=ROUND(SUM(BS!M51:M53),0),"OK","ERROR")</f>
        <v>OK</v>
      </c>
      <c r="N116" s="224" t="str">
        <f>IF(ROUND(BS!N54,0)=ROUND(SUM(BS!N51:N53),0),"OK","ERROR")</f>
        <v>OK</v>
      </c>
      <c r="O116" s="253"/>
      <c r="P116" s="214" t="str">
        <f>IF(ROUND(BS!P54,0)=ROUND(SUM(BS!P51:P53),0),"OK","ERROR")</f>
        <v>OK</v>
      </c>
      <c r="Q116" s="214" t="str">
        <f>IF(ROUND(BS!Q54,0)=ROUND(SUM(BS!Q51:Q53),0),"OK","ERROR")</f>
        <v>OK</v>
      </c>
      <c r="R116" s="214" t="str">
        <f>IF(ROUND(BS!R54,0)=ROUND(SUM(BS!R51:R53),0),"OK","ERROR")</f>
        <v>OK</v>
      </c>
      <c r="S116" s="214" t="str">
        <f>IF(ROUND(BS!S54,0)=ROUND(SUM(BS!S51:S53),0),"OK","ERROR")</f>
        <v>OK</v>
      </c>
      <c r="T116" s="224" t="str">
        <f>IF(ROUND(BS!T54,0)=ROUND(SUM(BS!T51:T53),0),"OK","ERROR")</f>
        <v>OK</v>
      </c>
      <c r="U116" s="253"/>
      <c r="V116" s="214" t="str">
        <f>IF(ROUND(BS!V54,0)=ROUND(SUM(BS!V51:V53),0),"OK","ERROR")</f>
        <v>OK</v>
      </c>
      <c r="W116" s="214" t="str">
        <f>IF(ROUND(BS!W54,0)=ROUND(SUM(BS!W51:W53),0),"OK","ERROR")</f>
        <v>OK</v>
      </c>
      <c r="X116" s="214" t="str">
        <f>IF(ROUND(BS!X54,0)=ROUND(SUM(BS!X51:X53),0),"OK","ERROR")</f>
        <v>OK</v>
      </c>
      <c r="Y116" s="214" t="str">
        <f>IF(ROUND(BS!Y54,0)=ROUND(SUM(BS!Y51:Y53),0),"OK","ERROR")</f>
        <v>OK</v>
      </c>
      <c r="Z116" s="224" t="str">
        <f>IF(ROUND(BS!Z54,0)=ROUND(SUM(BS!Z51:Z53),0),"OK","ERROR")</f>
        <v>OK</v>
      </c>
      <c r="AA116" s="253"/>
      <c r="AB116" s="214" t="str">
        <f>IF(ROUND(BS!AB54,0)=ROUND(SUM(BS!AB51:AB53),0),"OK","ERROR")</f>
        <v>OK</v>
      </c>
      <c r="AC116" s="214" t="str">
        <f>IF(ROUND(BS!AC54,0)=ROUND(SUM(BS!AC51:AC53),0),"OK","ERROR")</f>
        <v>OK</v>
      </c>
      <c r="AD116" s="214" t="str">
        <f>IF(ROUND(BS!AD54,0)=ROUND(SUM(BS!AD51:AD53),0),"OK","ERROR")</f>
        <v>OK</v>
      </c>
      <c r="AE116" s="214" t="str">
        <f>IF(ROUND(BS!AE54,0)=ROUND(SUM(BS!AE51:AE53),0),"OK","ERROR")</f>
        <v>OK</v>
      </c>
      <c r="AF116" s="224" t="str">
        <f>IF(ROUND(BS!AF54,0)=ROUND(SUM(BS!AF51:AF53),0),"OK","ERROR")</f>
        <v>OK</v>
      </c>
      <c r="AG116" s="282"/>
      <c r="AH116" s="214" t="str">
        <f>IF(ROUND(BS!AH54,0)=ROUND(SUM(BS!AH51:AH53),0),"OK","ERROR")</f>
        <v>OK</v>
      </c>
      <c r="AI116" s="214" t="str">
        <f>IF(ROUND(BS!AI54,0)=ROUND(SUM(BS!AI51:AI53),0),"OK","ERROR")</f>
        <v>OK</v>
      </c>
      <c r="AJ116" s="214" t="str">
        <f>IF(ROUND(BS!AJ54,0)=ROUND(SUM(BS!AJ51:AJ53),0),"OK","ERROR")</f>
        <v>OK</v>
      </c>
      <c r="AK116" s="214" t="str">
        <f>IF(ROUND(BS!AK54,0)=ROUND(SUM(BS!AK51:AK53),0),"OK","ERROR")</f>
        <v>OK</v>
      </c>
      <c r="AL116" s="224" t="str">
        <f>IF(ROUND(BS!AL54,0)=ROUND(SUM(BS!AL51:AL53),0),"OK","ERROR")</f>
        <v>OK</v>
      </c>
      <c r="AM116" s="253"/>
      <c r="AN116" s="214" t="str">
        <f>IF(ROUND(BS!AN54,0)=ROUND(SUM(BS!AN51:AN53),0),"OK","ERROR")</f>
        <v>OK</v>
      </c>
      <c r="AO116" s="214" t="str">
        <f>IF(ROUND(BS!AO54,0)=ROUND(SUM(BS!AO51:AO53),0),"OK","ERROR")</f>
        <v>OK</v>
      </c>
      <c r="AP116" s="214" t="str">
        <f>IF(ROUND(BS!AP54,0)=ROUND(SUM(BS!AP51:AP53),0),"OK","ERROR")</f>
        <v>OK</v>
      </c>
      <c r="AQ116" s="214" t="str">
        <f>IF(ROUND(BS!AQ54,0)=ROUND(SUM(BS!AQ51:AQ53),0),"OK","ERROR")</f>
        <v>OK</v>
      </c>
      <c r="AR116" s="224" t="str">
        <f>IF(ROUND(BS!AR54,0)=ROUND(SUM(BS!AR51:AR53),0),"OK","ERROR")</f>
        <v>OK</v>
      </c>
      <c r="AS116" s="253"/>
      <c r="AT116" s="224" t="str">
        <f>IF(ROUND(BS!AT54,0)=ROUND(SUM(BS!AT51:AT53),0),"OK","ERROR")</f>
        <v>OK</v>
      </c>
      <c r="AU116" s="253"/>
      <c r="AV116" s="224" t="str">
        <f>IF(ROUND(BS!AV54,0)=ROUND(SUM(BS!AV51:AV53),0),"OK","ERROR")</f>
        <v>OK</v>
      </c>
      <c r="AW116" s="258"/>
      <c r="AX116" s="224" t="str">
        <f>IF(ROUND(BS!AX54,0)=ROUND(SUM(BS!AX51:AX53),0),"OK","ERROR")</f>
        <v>OK</v>
      </c>
    </row>
    <row r="117" spans="1:50" s="38" customFormat="1" ht="15" customHeight="1" thickBot="1" x14ac:dyDescent="0.35">
      <c r="A117" s="40"/>
      <c r="B117" s="137" t="s">
        <v>1013</v>
      </c>
      <c r="C117" s="15"/>
      <c r="D117" s="214" t="str">
        <f>IF(ROUND(BS!D55,0)=ROUND(SUM(BS!D54,BS!D48),0),"OK","ERROR")</f>
        <v>OK</v>
      </c>
      <c r="E117" s="214" t="str">
        <f>IF(ROUND(BS!E55,0)=ROUND(SUM(BS!E54,BS!E48),0),"OK","ERROR")</f>
        <v>OK</v>
      </c>
      <c r="F117" s="214" t="str">
        <f>IF(ROUND(BS!F55,0)=ROUND(SUM(BS!F54,BS!F48),0),"OK","ERROR")</f>
        <v>OK</v>
      </c>
      <c r="G117" s="214" t="str">
        <f>IF(ROUND(BS!G55,0)=ROUND(SUM(BS!G54,BS!G48),0),"OK","ERROR")</f>
        <v>OK</v>
      </c>
      <c r="H117" s="234" t="str">
        <f>IF(ROUND(BS!H55,0)=ROUND(SUM(BS!H54,BS!H48),0),"OK","ERROR")</f>
        <v>OK</v>
      </c>
      <c r="I117" s="245"/>
      <c r="J117" s="214" t="str">
        <f>IF(ROUND(BS!J55,0)=ROUND(SUM(BS!J54,BS!J48),0),"OK","ERROR")</f>
        <v>OK</v>
      </c>
      <c r="K117" s="214" t="str">
        <f>IF(ROUND(BS!K55,0)=ROUND(SUM(BS!K54,BS!K48),0),"OK","ERROR")</f>
        <v>OK</v>
      </c>
      <c r="L117" s="214" t="str">
        <f>IF(ROUND(BS!L55,0)=ROUND(SUM(BS!L54,BS!L48),0),"OK","ERROR")</f>
        <v>OK</v>
      </c>
      <c r="M117" s="214" t="str">
        <f>IF(ROUND(BS!M55,0)=ROUND(SUM(BS!M54,BS!M48),0),"OK","ERROR")</f>
        <v>OK</v>
      </c>
      <c r="N117" s="234" t="str">
        <f>IF(ROUND(BS!N55,0)=ROUND(SUM(BS!N54,BS!N48),0),"OK","ERROR")</f>
        <v>OK</v>
      </c>
      <c r="O117" s="245"/>
      <c r="P117" s="214" t="str">
        <f>IF(ROUND(BS!P55,0)=ROUND(SUM(BS!P54,BS!P48),0),"OK","ERROR")</f>
        <v>OK</v>
      </c>
      <c r="Q117" s="214" t="str">
        <f>IF(ROUND(BS!Q55,0)=ROUND(SUM(BS!Q54,BS!Q48),0),"OK","ERROR")</f>
        <v>OK</v>
      </c>
      <c r="R117" s="214" t="str">
        <f>IF(ROUND(BS!R55,0)=ROUND(SUM(BS!R54,BS!R48),0),"OK","ERROR")</f>
        <v>OK</v>
      </c>
      <c r="S117" s="214" t="str">
        <f>IF(ROUND(BS!S55,0)=ROUND(SUM(BS!S54,BS!S48),0),"OK","ERROR")</f>
        <v>OK</v>
      </c>
      <c r="T117" s="234" t="str">
        <f>IF(ROUND(BS!T55,0)=ROUND(SUM(BS!T54,BS!T48),0),"OK","ERROR")</f>
        <v>OK</v>
      </c>
      <c r="U117" s="245"/>
      <c r="V117" s="214" t="str">
        <f>IF(ROUND(BS!V55,0)=ROUND(SUM(BS!V54,BS!V48),0),"OK","ERROR")</f>
        <v>OK</v>
      </c>
      <c r="W117" s="214" t="str">
        <f>IF(ROUND(BS!W55,0)=ROUND(SUM(BS!W54,BS!W48),0),"OK","ERROR")</f>
        <v>OK</v>
      </c>
      <c r="X117" s="214" t="str">
        <f>IF(ROUND(BS!X55,0)=ROUND(SUM(BS!X54,BS!X48),0),"OK","ERROR")</f>
        <v>OK</v>
      </c>
      <c r="Y117" s="214" t="str">
        <f>IF(ROUND(BS!Y55,0)=ROUND(SUM(BS!Y54,BS!Y48),0),"OK","ERROR")</f>
        <v>OK</v>
      </c>
      <c r="Z117" s="234" t="str">
        <f>IF(ROUND(BS!Z55,0)=ROUND(SUM(BS!Z54,BS!Z48),0),"OK","ERROR")</f>
        <v>OK</v>
      </c>
      <c r="AA117" s="245"/>
      <c r="AB117" s="214" t="str">
        <f>IF(ROUND(BS!AB55,0)=ROUND(SUM(BS!AB54,BS!AB48),0),"OK","ERROR")</f>
        <v>OK</v>
      </c>
      <c r="AC117" s="214" t="str">
        <f>IF(ROUND(BS!AC55,0)=ROUND(SUM(BS!AC54,BS!AC48),0),"OK","ERROR")</f>
        <v>OK</v>
      </c>
      <c r="AD117" s="214" t="str">
        <f>IF(ROUND(BS!AD55,0)=ROUND(SUM(BS!AD54,BS!AD48),0),"OK","ERROR")</f>
        <v>OK</v>
      </c>
      <c r="AE117" s="214" t="str">
        <f>IF(ROUND(BS!AE55,0)=ROUND(SUM(BS!AE54,BS!AE48),0),"OK","ERROR")</f>
        <v>OK</v>
      </c>
      <c r="AF117" s="234" t="str">
        <f>IF(ROUND(BS!AF55,0)=ROUND(SUM(BS!AF54,BS!AF48),0),"OK","ERROR")</f>
        <v>OK</v>
      </c>
      <c r="AG117" s="281"/>
      <c r="AH117" s="214" t="str">
        <f>IF(ROUND(BS!AH55,0)=ROUND(SUM(BS!AH54,BS!AH48),0),"OK","ERROR")</f>
        <v>OK</v>
      </c>
      <c r="AI117" s="214" t="str">
        <f>IF(ROUND(BS!AI55,0)=ROUND(SUM(BS!AI54,BS!AI48),0),"OK","ERROR")</f>
        <v>OK</v>
      </c>
      <c r="AJ117" s="214" t="str">
        <f>IF(ROUND(BS!AJ55,0)=ROUND(SUM(BS!AJ54,BS!AJ48),0),"OK","ERROR")</f>
        <v>OK</v>
      </c>
      <c r="AK117" s="214" t="str">
        <f>IF(ROUND(BS!AK55,0)=ROUND(SUM(BS!AK54,BS!AK48),0),"OK","ERROR")</f>
        <v>OK</v>
      </c>
      <c r="AL117" s="234" t="str">
        <f>IF(ROUND(BS!AL55,0)=ROUND(SUM(BS!AL54,BS!AL48),0),"OK","ERROR")</f>
        <v>OK</v>
      </c>
      <c r="AM117" s="245"/>
      <c r="AN117" s="214" t="str">
        <f>IF(ROUND(BS!AN55,0)=ROUND(SUM(BS!AN54,BS!AN48),0),"OK","ERROR")</f>
        <v>OK</v>
      </c>
      <c r="AO117" s="214" t="str">
        <f>IF(ROUND(BS!AO55,0)=ROUND(SUM(BS!AO54,BS!AO48),0),"OK","ERROR")</f>
        <v>OK</v>
      </c>
      <c r="AP117" s="214" t="str">
        <f>IF(ROUND(BS!AP55,0)=ROUND(SUM(BS!AP54,BS!AP48),0),"OK","ERROR")</f>
        <v>OK</v>
      </c>
      <c r="AQ117" s="214" t="str">
        <f>IF(ROUND(BS!AQ55,0)=ROUND(SUM(BS!AQ54,BS!AQ48),0),"OK","ERROR")</f>
        <v>OK</v>
      </c>
      <c r="AR117" s="234" t="str">
        <f>IF(ROUND(BS!AR55,0)=ROUND(SUM(BS!AR54,BS!AR48),0),"OK","ERROR")</f>
        <v>OK</v>
      </c>
      <c r="AS117" s="245"/>
      <c r="AT117" s="234" t="str">
        <f>IF(ROUND(BS!AT55,0)=ROUND(SUM(BS!AT54,BS!AT48),0),"OK","ERROR")</f>
        <v>OK</v>
      </c>
      <c r="AU117" s="245"/>
      <c r="AV117" s="234" t="str">
        <f>IF(ROUND(BS!AV55,0)=ROUND(SUM(BS!AV54,BS!AV48),0),"OK","ERROR")</f>
        <v>OK</v>
      </c>
      <c r="AW117" s="252"/>
      <c r="AX117" s="234" t="str">
        <f>IF(ROUND(BS!AX55,0)=ROUND(SUM(BS!AX54,BS!AX48),0),"OK","ERROR")</f>
        <v>OK</v>
      </c>
    </row>
    <row r="118" spans="1:50" ht="14.25" customHeight="1" thickTop="1" x14ac:dyDescent="0.3"/>
    <row r="119" spans="1:50" s="38" customFormat="1" ht="15" customHeight="1" x14ac:dyDescent="0.3">
      <c r="A119" s="41" t="s">
        <v>39</v>
      </c>
      <c r="B119" s="158" t="s">
        <v>1047</v>
      </c>
      <c r="C119" s="16"/>
      <c r="D119" s="199">
        <f>F119</f>
        <v>2020</v>
      </c>
      <c r="E119" s="199">
        <f>F119</f>
        <v>2020</v>
      </c>
      <c r="F119" s="199">
        <v>2020</v>
      </c>
      <c r="G119" s="199">
        <f>F119</f>
        <v>2020</v>
      </c>
      <c r="H119" s="199">
        <f>F119</f>
        <v>2020</v>
      </c>
      <c r="I119" s="16"/>
      <c r="J119" s="199">
        <f>L119</f>
        <v>2021</v>
      </c>
      <c r="K119" s="199">
        <f>L119</f>
        <v>2021</v>
      </c>
      <c r="L119" s="199">
        <v>2021</v>
      </c>
      <c r="M119" s="199">
        <f>L119</f>
        <v>2021</v>
      </c>
      <c r="N119" s="199">
        <f>L119</f>
        <v>2021</v>
      </c>
      <c r="O119" s="166"/>
      <c r="P119" s="199">
        <f>R119</f>
        <v>2022</v>
      </c>
      <c r="Q119" s="199">
        <f>R119</f>
        <v>2022</v>
      </c>
      <c r="R119" s="199">
        <v>2022</v>
      </c>
      <c r="S119" s="199">
        <f>R119</f>
        <v>2022</v>
      </c>
      <c r="T119" s="199">
        <f>R119</f>
        <v>2022</v>
      </c>
      <c r="U119" s="166"/>
      <c r="V119" s="199">
        <f>X119</f>
        <v>2023</v>
      </c>
      <c r="W119" s="199">
        <f>X119</f>
        <v>2023</v>
      </c>
      <c r="X119" s="199">
        <v>2023</v>
      </c>
      <c r="Y119" s="199">
        <f>X119</f>
        <v>2023</v>
      </c>
      <c r="Z119" s="199">
        <f>X119</f>
        <v>2023</v>
      </c>
      <c r="AA119" s="167"/>
      <c r="AB119" s="199">
        <f>AD119</f>
        <v>2024</v>
      </c>
      <c r="AC119" s="199">
        <f>AD119</f>
        <v>2024</v>
      </c>
      <c r="AD119" s="199">
        <v>2024</v>
      </c>
      <c r="AE119" s="199">
        <f>AD119</f>
        <v>2024</v>
      </c>
      <c r="AF119" s="199">
        <f>AD119</f>
        <v>2024</v>
      </c>
      <c r="AG119" s="167"/>
      <c r="AH119" s="199">
        <f>AJ119</f>
        <v>2025</v>
      </c>
      <c r="AI119" s="199">
        <f>AJ119</f>
        <v>2025</v>
      </c>
      <c r="AJ119" s="200">
        <v>2025</v>
      </c>
      <c r="AK119" s="199">
        <f>AJ119</f>
        <v>2025</v>
      </c>
      <c r="AL119" s="199">
        <f>AJ119</f>
        <v>2025</v>
      </c>
      <c r="AM119" s="168"/>
      <c r="AN119" s="199">
        <f>AP119</f>
        <v>2025</v>
      </c>
      <c r="AO119" s="199">
        <f>AP119</f>
        <v>2025</v>
      </c>
      <c r="AP119" s="200">
        <v>2025</v>
      </c>
      <c r="AQ119" s="199">
        <f>AP119</f>
        <v>2025</v>
      </c>
      <c r="AR119" s="199">
        <f>AP119</f>
        <v>2025</v>
      </c>
      <c r="AS119" s="16"/>
      <c r="AT119" s="159"/>
      <c r="AU119" s="16"/>
      <c r="AV119" s="160"/>
      <c r="AW119" s="16"/>
      <c r="AX119" s="160"/>
    </row>
    <row r="120" spans="1:50" s="38" customFormat="1" ht="15" customHeight="1" x14ac:dyDescent="0.3">
      <c r="B120" s="161"/>
      <c r="C120" s="16"/>
      <c r="D120" s="1244">
        <v>2020</v>
      </c>
      <c r="E120" s="1244"/>
      <c r="F120" s="1244"/>
      <c r="G120" s="1244"/>
      <c r="H120" s="1244"/>
      <c r="I120" s="166"/>
      <c r="J120" s="1244">
        <f>D120+1</f>
        <v>2021</v>
      </c>
      <c r="K120" s="1244"/>
      <c r="L120" s="1244"/>
      <c r="M120" s="1244"/>
      <c r="N120" s="1244"/>
      <c r="O120" s="166"/>
      <c r="P120" s="1244">
        <f>J120+1</f>
        <v>2022</v>
      </c>
      <c r="Q120" s="1244"/>
      <c r="R120" s="1244"/>
      <c r="S120" s="1244"/>
      <c r="T120" s="1244"/>
      <c r="U120" s="166"/>
      <c r="V120" s="1244">
        <f>P120+1</f>
        <v>2023</v>
      </c>
      <c r="W120" s="1244"/>
      <c r="X120" s="1244"/>
      <c r="Y120" s="1244"/>
      <c r="Z120" s="1244"/>
      <c r="AA120" s="166"/>
      <c r="AB120" s="1244">
        <f>V120+1</f>
        <v>2024</v>
      </c>
      <c r="AC120" s="1244"/>
      <c r="AD120" s="1244"/>
      <c r="AE120" s="1244"/>
      <c r="AF120" s="1244"/>
      <c r="AG120" s="166"/>
      <c r="AH120" s="1243">
        <f>AB120+1</f>
        <v>2025</v>
      </c>
      <c r="AI120" s="1243"/>
      <c r="AJ120" s="1243"/>
      <c r="AK120" s="1243"/>
      <c r="AL120" s="1243"/>
      <c r="AM120" s="166"/>
      <c r="AN120" s="1243">
        <f>AH120+1</f>
        <v>2026</v>
      </c>
      <c r="AO120" s="1243"/>
      <c r="AP120" s="1243"/>
      <c r="AQ120" s="1243"/>
      <c r="AR120" s="1243"/>
      <c r="AS120" s="168"/>
      <c r="AT120" s="163">
        <f>AN120+1</f>
        <v>2027</v>
      </c>
      <c r="AU120" s="164"/>
      <c r="AV120" s="163">
        <f>+AT120+1</f>
        <v>2028</v>
      </c>
      <c r="AW120" s="164"/>
      <c r="AX120" s="163">
        <f>+AV120+1</f>
        <v>2029</v>
      </c>
    </row>
    <row r="121" spans="1:50" s="38" customFormat="1" ht="15" customHeight="1" x14ac:dyDescent="0.3">
      <c r="B121" s="161"/>
      <c r="C121" s="16"/>
      <c r="D121" s="165" t="s">
        <v>217</v>
      </c>
      <c r="E121" s="165" t="s">
        <v>218</v>
      </c>
      <c r="F121" s="165" t="s">
        <v>219</v>
      </c>
      <c r="G121" s="165" t="s">
        <v>220</v>
      </c>
      <c r="H121" s="165" t="s">
        <v>221</v>
      </c>
      <c r="I121" s="16"/>
      <c r="J121" s="165" t="s">
        <v>217</v>
      </c>
      <c r="K121" s="165" t="s">
        <v>218</v>
      </c>
      <c r="L121" s="165" t="s">
        <v>219</v>
      </c>
      <c r="M121" s="165" t="s">
        <v>220</v>
      </c>
      <c r="N121" s="165" t="s">
        <v>221</v>
      </c>
      <c r="O121" s="162"/>
      <c r="P121" s="165" t="s">
        <v>217</v>
      </c>
      <c r="Q121" s="165" t="s">
        <v>218</v>
      </c>
      <c r="R121" s="165" t="s">
        <v>219</v>
      </c>
      <c r="S121" s="165" t="s">
        <v>220</v>
      </c>
      <c r="T121" s="165" t="s">
        <v>221</v>
      </c>
      <c r="U121" s="162"/>
      <c r="V121" s="165" t="s">
        <v>217</v>
      </c>
      <c r="W121" s="165" t="s">
        <v>218</v>
      </c>
      <c r="X121" s="165" t="s">
        <v>219</v>
      </c>
      <c r="Y121" s="165" t="s">
        <v>220</v>
      </c>
      <c r="Z121" s="165" t="s">
        <v>221</v>
      </c>
      <c r="AA121" s="162"/>
      <c r="AB121" s="165" t="s">
        <v>217</v>
      </c>
      <c r="AC121" s="165" t="s">
        <v>218</v>
      </c>
      <c r="AD121" s="165" t="s">
        <v>219</v>
      </c>
      <c r="AE121" s="165" t="s">
        <v>220</v>
      </c>
      <c r="AF121" s="165" t="s">
        <v>221</v>
      </c>
      <c r="AG121" s="162"/>
      <c r="AH121" s="165" t="s">
        <v>217</v>
      </c>
      <c r="AI121" s="165" t="s">
        <v>218</v>
      </c>
      <c r="AJ121" s="165" t="s">
        <v>219</v>
      </c>
      <c r="AK121" s="165" t="s">
        <v>220</v>
      </c>
      <c r="AL121" s="165" t="s">
        <v>221</v>
      </c>
      <c r="AM121" s="162"/>
      <c r="AN121" s="165" t="s">
        <v>217</v>
      </c>
      <c r="AO121" s="165" t="s">
        <v>218</v>
      </c>
      <c r="AP121" s="165" t="s">
        <v>219</v>
      </c>
      <c r="AQ121" s="165" t="s">
        <v>220</v>
      </c>
      <c r="AR121" s="165" t="s">
        <v>221</v>
      </c>
      <c r="AS121" s="162"/>
      <c r="AT121" s="165" t="s">
        <v>221</v>
      </c>
      <c r="AU121" s="162"/>
      <c r="AV121" s="165" t="s">
        <v>221</v>
      </c>
      <c r="AW121" s="162"/>
      <c r="AX121" s="165" t="s">
        <v>221</v>
      </c>
    </row>
    <row r="122" spans="1:50" s="38" customFormat="1" ht="4" customHeight="1" x14ac:dyDescent="0.3">
      <c r="A122" s="40"/>
      <c r="B122" s="173"/>
      <c r="C122" s="33"/>
      <c r="D122" s="174"/>
      <c r="E122" s="174"/>
      <c r="F122" s="174"/>
      <c r="G122" s="174"/>
      <c r="H122" s="174"/>
      <c r="I122" s="33"/>
      <c r="J122" s="174"/>
      <c r="K122" s="174"/>
      <c r="L122" s="174"/>
      <c r="M122" s="174"/>
      <c r="N122" s="174"/>
      <c r="O122" s="175"/>
      <c r="P122" s="174"/>
      <c r="Q122" s="174"/>
      <c r="R122" s="174"/>
      <c r="S122" s="174"/>
      <c r="T122" s="174"/>
      <c r="U122" s="175"/>
      <c r="V122" s="174"/>
      <c r="W122" s="174"/>
      <c r="X122" s="174"/>
      <c r="Y122" s="174"/>
      <c r="Z122" s="174"/>
      <c r="AA122" s="175"/>
      <c r="AB122" s="174"/>
      <c r="AC122" s="174"/>
      <c r="AD122" s="174"/>
      <c r="AE122" s="174"/>
      <c r="AF122" s="174"/>
      <c r="AG122" s="175"/>
      <c r="AH122" s="174"/>
      <c r="AI122" s="174"/>
      <c r="AJ122" s="174"/>
      <c r="AK122" s="174"/>
      <c r="AL122" s="176"/>
      <c r="AM122" s="177"/>
      <c r="AN122" s="176"/>
      <c r="AO122" s="176"/>
      <c r="AP122" s="176"/>
      <c r="AQ122" s="176"/>
      <c r="AR122" s="176"/>
      <c r="AS122" s="177"/>
      <c r="AT122" s="176"/>
      <c r="AU122" s="177"/>
      <c r="AV122" s="176"/>
      <c r="AW122" s="177"/>
      <c r="AX122" s="176"/>
    </row>
    <row r="123" spans="1:50" s="38" customFormat="1" ht="4" customHeight="1" x14ac:dyDescent="0.3">
      <c r="A123" s="40"/>
      <c r="B123" s="169"/>
      <c r="C123" s="17"/>
      <c r="D123" s="170"/>
      <c r="E123" s="170"/>
      <c r="F123" s="170"/>
      <c r="G123" s="170"/>
      <c r="H123" s="170"/>
      <c r="I123" s="17"/>
      <c r="J123" s="170"/>
      <c r="K123" s="170"/>
      <c r="L123" s="170"/>
      <c r="M123" s="170"/>
      <c r="N123" s="170"/>
      <c r="O123" s="171"/>
      <c r="P123" s="170"/>
      <c r="Q123" s="170"/>
      <c r="R123" s="170"/>
      <c r="S123" s="170"/>
      <c r="T123" s="170"/>
      <c r="U123" s="171"/>
      <c r="V123" s="170"/>
      <c r="W123" s="170"/>
      <c r="X123" s="170"/>
      <c r="Y123" s="170"/>
      <c r="Z123" s="170"/>
      <c r="AA123" s="171"/>
      <c r="AB123" s="170"/>
      <c r="AC123" s="170"/>
      <c r="AD123" s="170"/>
      <c r="AE123" s="170"/>
      <c r="AF123" s="170"/>
      <c r="AG123" s="201"/>
      <c r="AH123" s="170"/>
      <c r="AI123" s="170"/>
      <c r="AJ123" s="170"/>
      <c r="AK123" s="170"/>
      <c r="AL123" s="172"/>
      <c r="AM123" s="32"/>
      <c r="AN123" s="172"/>
      <c r="AO123" s="172"/>
      <c r="AP123" s="172"/>
      <c r="AQ123" s="172"/>
      <c r="AR123" s="172"/>
      <c r="AS123" s="32"/>
      <c r="AT123" s="172"/>
      <c r="AU123" s="32"/>
      <c r="AV123" s="172"/>
      <c r="AW123" s="32"/>
      <c r="AX123" s="172"/>
    </row>
    <row r="124" spans="1:50" s="51" customFormat="1" ht="15" customHeight="1" x14ac:dyDescent="0.3">
      <c r="A124" s="41" t="s">
        <v>39</v>
      </c>
      <c r="B124" s="151" t="s">
        <v>1016</v>
      </c>
      <c r="C124" s="15"/>
      <c r="D124" s="205"/>
      <c r="E124" s="205"/>
      <c r="F124" s="205"/>
      <c r="G124" s="205"/>
      <c r="H124" s="217"/>
      <c r="I124" s="207"/>
      <c r="J124" s="205"/>
      <c r="K124" s="205"/>
      <c r="L124" s="205"/>
      <c r="M124" s="205"/>
      <c r="N124" s="217"/>
      <c r="O124" s="206"/>
      <c r="P124" s="205"/>
      <c r="Q124" s="205"/>
      <c r="R124" s="205"/>
      <c r="S124" s="205"/>
      <c r="T124" s="217"/>
      <c r="U124" s="206"/>
      <c r="V124" s="205"/>
      <c r="W124" s="205"/>
      <c r="X124" s="205"/>
      <c r="Y124" s="205"/>
      <c r="Z124" s="217"/>
      <c r="AA124" s="206"/>
      <c r="AB124" s="205"/>
      <c r="AC124" s="205"/>
      <c r="AD124" s="205"/>
      <c r="AE124" s="205"/>
      <c r="AF124" s="217"/>
      <c r="AG124" s="208"/>
      <c r="AH124" s="205"/>
      <c r="AI124" s="205"/>
      <c r="AJ124" s="209"/>
      <c r="AK124" s="209"/>
      <c r="AL124" s="219"/>
      <c r="AM124" s="212"/>
      <c r="AN124" s="209"/>
      <c r="AO124" s="209"/>
      <c r="AP124" s="209"/>
      <c r="AQ124" s="209"/>
      <c r="AR124" s="219"/>
      <c r="AS124" s="212"/>
      <c r="AT124" s="219"/>
      <c r="AU124" s="212"/>
      <c r="AV124" s="219"/>
      <c r="AW124" s="243"/>
      <c r="AX124" s="243"/>
    </row>
    <row r="125" spans="1:50" s="51" customFormat="1" ht="15" customHeight="1" x14ac:dyDescent="0.3">
      <c r="A125" s="40"/>
      <c r="B125" s="152" t="s">
        <v>882</v>
      </c>
      <c r="C125" s="15"/>
      <c r="D125" s="214"/>
      <c r="E125" s="214"/>
      <c r="F125" s="214"/>
      <c r="G125" s="214"/>
      <c r="H125" s="213" t="str">
        <f>IF(ROUND(CF!H15,0)=ROUND(SUM(CF!D15:G15),0),"OK","ERROR")</f>
        <v>OK</v>
      </c>
      <c r="I125" s="207"/>
      <c r="J125" s="214"/>
      <c r="K125" s="214"/>
      <c r="L125" s="214"/>
      <c r="M125" s="214"/>
      <c r="N125" s="213" t="str">
        <f>IF(ROUND(CF!N15,0)=ROUND(SUM(CF!J15:M15),0),"OK","ERROR")</f>
        <v>OK</v>
      </c>
      <c r="O125" s="206"/>
      <c r="P125" s="214"/>
      <c r="Q125" s="214"/>
      <c r="R125" s="214"/>
      <c r="S125" s="214"/>
      <c r="T125" s="213" t="str">
        <f>IF(ROUND(CF!T15,0)=ROUND(SUM(CF!P15:S15),0),"OK","ERROR")</f>
        <v>OK</v>
      </c>
      <c r="U125" s="206"/>
      <c r="V125" s="214"/>
      <c r="W125" s="214"/>
      <c r="X125" s="214"/>
      <c r="Y125" s="214"/>
      <c r="Z125" s="213" t="str">
        <f>IF(ROUND(CF!Z15,0)=ROUND(SUM(CF!V15:Y15),0),"OK","ERROR")</f>
        <v>OK</v>
      </c>
      <c r="AA125" s="206"/>
      <c r="AB125" s="214"/>
      <c r="AC125" s="214"/>
      <c r="AD125" s="214"/>
      <c r="AE125" s="214"/>
      <c r="AF125" s="213" t="str">
        <f>IF(ROUND(CF!AF15,0)=ROUND(SUM(CF!AB15:AE15),0),"OK","ERROR")</f>
        <v>OK</v>
      </c>
      <c r="AG125" s="208"/>
      <c r="AH125" s="214"/>
      <c r="AI125" s="214"/>
      <c r="AJ125" s="209"/>
      <c r="AK125" s="209"/>
      <c r="AL125" s="213" t="str">
        <f>IF(ROUND(CF!AL15,0)=ROUND(SUM(CF!AH15:AK15),0),"OK","ERROR")</f>
        <v>ERROR</v>
      </c>
      <c r="AM125" s="212"/>
      <c r="AN125" s="209"/>
      <c r="AO125" s="209"/>
      <c r="AP125" s="209"/>
      <c r="AQ125" s="209"/>
      <c r="AR125" s="213" t="str">
        <f>IF(ROUND(CF!AR15,0)=ROUND(SUM(CF!AN15:AQ15),0),"OK","ERROR")</f>
        <v>OK</v>
      </c>
      <c r="AS125" s="212"/>
      <c r="AT125" s="213" t="str">
        <f>IF(ROUND(CF!AT15,0)=ROUND(SUM(CF!AP15:AS15),0),"OK","ERROR")</f>
        <v>OK</v>
      </c>
      <c r="AU125" s="212"/>
      <c r="AV125" s="213" t="str">
        <f>IF(ROUND(CF!AV15,0)=ROUND(SUM(CF!AR15:AU15),0),"OK","ERROR")</f>
        <v>OK</v>
      </c>
      <c r="AW125" s="243"/>
      <c r="AX125" s="213" t="str">
        <f>IF(ROUND(CF!AX15,0)=ROUND(SUM(CF!AT15:AW15),0),"OK","ERROR")</f>
        <v>OK</v>
      </c>
    </row>
    <row r="126" spans="1:50" s="51" customFormat="1" ht="15" customHeight="1" x14ac:dyDescent="0.3">
      <c r="A126" s="40"/>
      <c r="B126" s="152" t="s">
        <v>1017</v>
      </c>
      <c r="C126" s="15"/>
      <c r="D126" s="205"/>
      <c r="E126" s="205"/>
      <c r="F126" s="205"/>
      <c r="G126" s="205"/>
      <c r="H126" s="213"/>
      <c r="I126" s="207"/>
      <c r="J126" s="205"/>
      <c r="K126" s="205"/>
      <c r="L126" s="205"/>
      <c r="M126" s="205"/>
      <c r="N126" s="213"/>
      <c r="O126" s="213"/>
      <c r="P126" s="205"/>
      <c r="Q126" s="205"/>
      <c r="R126" s="205"/>
      <c r="S126" s="205"/>
      <c r="T126" s="213"/>
      <c r="U126" s="213"/>
      <c r="V126" s="205"/>
      <c r="W126" s="205"/>
      <c r="X126" s="205"/>
      <c r="Y126" s="205"/>
      <c r="Z126" s="213"/>
      <c r="AA126" s="213"/>
      <c r="AB126" s="205"/>
      <c r="AC126" s="205"/>
      <c r="AD126" s="205"/>
      <c r="AE126" s="205"/>
      <c r="AF126" s="213"/>
      <c r="AG126" s="208"/>
      <c r="AH126" s="205"/>
      <c r="AI126" s="205"/>
      <c r="AJ126" s="209"/>
      <c r="AK126" s="209"/>
      <c r="AL126" s="213"/>
      <c r="AM126" s="212"/>
      <c r="AN126" s="209"/>
      <c r="AO126" s="209"/>
      <c r="AP126" s="209"/>
      <c r="AQ126" s="209"/>
      <c r="AR126" s="213"/>
      <c r="AS126" s="212"/>
      <c r="AT126" s="213"/>
      <c r="AU126" s="212"/>
      <c r="AV126" s="213"/>
      <c r="AW126" s="243"/>
      <c r="AX126" s="213"/>
    </row>
    <row r="127" spans="1:50" s="51" customFormat="1" ht="15" customHeight="1" x14ac:dyDescent="0.3">
      <c r="A127" s="40"/>
      <c r="B127" s="153" t="s">
        <v>951</v>
      </c>
      <c r="C127" s="15"/>
      <c r="D127" s="214"/>
      <c r="E127" s="214"/>
      <c r="F127" s="214"/>
      <c r="G127" s="214"/>
      <c r="H127" s="213" t="str">
        <f>IF(ROUND(CF!H17,0)=ROUND(SUM(CF!D17:G17),0),"OK","ERROR")</f>
        <v>OK</v>
      </c>
      <c r="I127" s="207"/>
      <c r="J127" s="214"/>
      <c r="K127" s="214"/>
      <c r="L127" s="214"/>
      <c r="M127" s="214"/>
      <c r="N127" s="213" t="str">
        <f>IF(ROUND(CF!N17,0)=ROUND(SUM(CF!J17:M17),0),"OK","ERROR")</f>
        <v>OK</v>
      </c>
      <c r="O127" s="206"/>
      <c r="P127" s="214"/>
      <c r="Q127" s="214"/>
      <c r="R127" s="214"/>
      <c r="S127" s="214"/>
      <c r="T127" s="213" t="str">
        <f>IF(ROUND(CF!T17,0)=ROUND(SUM(CF!P17:S17),0),"OK","ERROR")</f>
        <v>OK</v>
      </c>
      <c r="U127" s="206"/>
      <c r="V127" s="214"/>
      <c r="W127" s="214"/>
      <c r="X127" s="214"/>
      <c r="Y127" s="214"/>
      <c r="Z127" s="213" t="str">
        <f>IF(ROUND(CF!Z17,0)=ROUND(SUM(CF!V17:Y17),0),"OK","ERROR")</f>
        <v>OK</v>
      </c>
      <c r="AA127" s="206"/>
      <c r="AB127" s="214"/>
      <c r="AC127" s="214"/>
      <c r="AD127" s="214"/>
      <c r="AE127" s="214"/>
      <c r="AF127" s="213" t="str">
        <f>IF(ROUND(CF!AF17,0)=ROUND(SUM(CF!AB17:AE17),0),"OK","ERROR")</f>
        <v>OK</v>
      </c>
      <c r="AG127" s="208"/>
      <c r="AH127" s="214"/>
      <c r="AI127" s="214"/>
      <c r="AJ127" s="209"/>
      <c r="AK127" s="209"/>
      <c r="AL127" s="213" t="str">
        <f>IF(ROUND(CF!AL17,0)=ROUND(SUM(CF!AH17:AK17),0),"OK","ERROR")</f>
        <v>ERROR</v>
      </c>
      <c r="AM127" s="212"/>
      <c r="AN127" s="209"/>
      <c r="AO127" s="209"/>
      <c r="AP127" s="209"/>
      <c r="AQ127" s="209"/>
      <c r="AR127" s="213" t="str">
        <f>IF(ROUND(CF!AR17,0)=ROUND(SUM(CF!AN17:AQ17),0),"OK","ERROR")</f>
        <v>OK</v>
      </c>
      <c r="AS127" s="212"/>
      <c r="AT127" s="213" t="str">
        <f>IF(ROUND(CF!AT17,0)=ROUND(SUM(CF!AP17:AS17),0),"OK","ERROR")</f>
        <v>OK</v>
      </c>
      <c r="AU127" s="212"/>
      <c r="AV127" s="213" t="str">
        <f>IF(ROUND(CF!AV17,0)=ROUND(SUM(CF!AR17:AU17),0),"OK","ERROR")</f>
        <v>OK</v>
      </c>
      <c r="AW127" s="243"/>
      <c r="AX127" s="213" t="str">
        <f>IF(ROUND(CF!AX17,0)=ROUND(SUM(CF!AT17:AW17),0),"OK","ERROR")</f>
        <v>OK</v>
      </c>
    </row>
    <row r="128" spans="1:50" s="51" customFormat="1" ht="15" customHeight="1" x14ac:dyDescent="0.3">
      <c r="A128" s="40"/>
      <c r="B128" s="153" t="s">
        <v>1048</v>
      </c>
      <c r="C128" s="15"/>
      <c r="D128" s="214"/>
      <c r="E128" s="214"/>
      <c r="F128" s="214"/>
      <c r="G128" s="214"/>
      <c r="H128" s="213" t="str">
        <f>IF(ROUND(CF!H18,0)=ROUND(SUM(CF!D18:G18),0),"OK","ERROR")</f>
        <v>OK</v>
      </c>
      <c r="I128" s="207"/>
      <c r="J128" s="214"/>
      <c r="K128" s="214"/>
      <c r="L128" s="214"/>
      <c r="M128" s="214"/>
      <c r="N128" s="213" t="str">
        <f>IF(ROUND(CF!N18,0)=ROUND(SUM(CF!J18:M18),0),"OK","ERROR")</f>
        <v>OK</v>
      </c>
      <c r="O128" s="206"/>
      <c r="P128" s="214"/>
      <c r="Q128" s="214"/>
      <c r="R128" s="214"/>
      <c r="S128" s="214"/>
      <c r="T128" s="213" t="str">
        <f>IF(ROUND(CF!T18,0)=ROUND(SUM(CF!P18:S18),0),"OK","ERROR")</f>
        <v>OK</v>
      </c>
      <c r="U128" s="206"/>
      <c r="V128" s="214"/>
      <c r="W128" s="214"/>
      <c r="X128" s="214"/>
      <c r="Y128" s="214"/>
      <c r="Z128" s="213" t="str">
        <f>IF(ROUND(CF!Z18,0)=ROUND(SUM(CF!V18:Y18),0),"OK","ERROR")</f>
        <v>OK</v>
      </c>
      <c r="AA128" s="206"/>
      <c r="AB128" s="214"/>
      <c r="AC128" s="214"/>
      <c r="AD128" s="214"/>
      <c r="AE128" s="214"/>
      <c r="AF128" s="213" t="str">
        <f>IF(ROUND(CF!AF18,0)=ROUND(SUM(CF!AB18:AE18),0),"OK","ERROR")</f>
        <v>OK</v>
      </c>
      <c r="AG128" s="208"/>
      <c r="AH128" s="214"/>
      <c r="AI128" s="214"/>
      <c r="AJ128" s="209"/>
      <c r="AK128" s="209"/>
      <c r="AL128" s="213" t="str">
        <f>IF(ROUND(CF!AL18,0)=ROUND(SUM(CF!AH18:AK18),0),"OK","ERROR")</f>
        <v>OK</v>
      </c>
      <c r="AM128" s="212"/>
      <c r="AN128" s="209"/>
      <c r="AO128" s="209"/>
      <c r="AP128" s="209"/>
      <c r="AQ128" s="209"/>
      <c r="AR128" s="213" t="str">
        <f>IF(ROUND(CF!AR18,0)=ROUND(SUM(CF!AN18:AQ18),0),"OK","ERROR")</f>
        <v>OK</v>
      </c>
      <c r="AS128" s="212"/>
      <c r="AT128" s="213" t="str">
        <f>IF(ROUND(CF!AT18,0)=ROUND(SUM(CF!AP18:AS18),0),"OK","ERROR")</f>
        <v>OK</v>
      </c>
      <c r="AU128" s="212"/>
      <c r="AV128" s="213" t="str">
        <f>IF(ROUND(CF!AV18,0)=ROUND(SUM(CF!AR18:AU18),0),"OK","ERROR")</f>
        <v>OK</v>
      </c>
      <c r="AW128" s="243"/>
      <c r="AX128" s="213" t="str">
        <f>IF(ROUND(CF!AX18,0)=ROUND(SUM(CF!AT18:AW18),0),"OK","ERROR")</f>
        <v>OK</v>
      </c>
    </row>
    <row r="129" spans="1:50" s="51" customFormat="1" ht="15" customHeight="1" x14ac:dyDescent="0.3">
      <c r="A129" s="110"/>
      <c r="B129" s="153" t="s">
        <v>87</v>
      </c>
      <c r="C129" s="112"/>
      <c r="D129" s="214"/>
      <c r="E129" s="214"/>
      <c r="F129" s="214"/>
      <c r="G129" s="214"/>
      <c r="H129" s="213" t="str">
        <f>IF(ROUND(CF!H19,0)=ROUND(SUM(CF!D19:G19),0),"OK","ERROR")</f>
        <v>OK</v>
      </c>
      <c r="I129" s="207"/>
      <c r="J129" s="214"/>
      <c r="K129" s="214"/>
      <c r="L129" s="214"/>
      <c r="M129" s="214"/>
      <c r="N129" s="213" t="str">
        <f>IF(ROUND(CF!N19,0)=ROUND(SUM(CF!J19:M19),0),"OK","ERROR")</f>
        <v>OK</v>
      </c>
      <c r="O129" s="207"/>
      <c r="P129" s="214"/>
      <c r="Q129" s="214"/>
      <c r="R129" s="214"/>
      <c r="S129" s="214"/>
      <c r="T129" s="213" t="str">
        <f>IF(ROUND(CF!T19,0)=ROUND(SUM(CF!P19:S19),0),"OK","ERROR")</f>
        <v>OK</v>
      </c>
      <c r="U129" s="207"/>
      <c r="V129" s="214"/>
      <c r="W129" s="214"/>
      <c r="X129" s="214"/>
      <c r="Y129" s="214"/>
      <c r="Z129" s="213" t="str">
        <f>IF(ROUND(CF!Z19,0)=ROUND(SUM(CF!V19:Y19),0),"OK","ERROR")</f>
        <v>OK</v>
      </c>
      <c r="AA129" s="210"/>
      <c r="AB129" s="214"/>
      <c r="AC129" s="214"/>
      <c r="AD129" s="214"/>
      <c r="AE129" s="214"/>
      <c r="AF129" s="213" t="str">
        <f>IF(ROUND(CF!AF19,0)=ROUND(SUM(CF!AB19:AE19),0),"OK","ERROR")</f>
        <v>OK</v>
      </c>
      <c r="AG129" s="208"/>
      <c r="AH129" s="214"/>
      <c r="AI129" s="214"/>
      <c r="AJ129" s="209"/>
      <c r="AK129" s="209"/>
      <c r="AL129" s="213" t="str">
        <f>IF(ROUND(CF!AL19,0)=ROUND(SUM(CF!AH19:AK19),0),"OK","ERROR")</f>
        <v>ERROR</v>
      </c>
      <c r="AM129" s="220"/>
      <c r="AN129" s="209"/>
      <c r="AO129" s="209"/>
      <c r="AP129" s="209"/>
      <c r="AQ129" s="209"/>
      <c r="AR129" s="213" t="str">
        <f>IF(ROUND(CF!AR19,0)=ROUND(SUM(CF!AN19:AQ19),0),"OK","ERROR")</f>
        <v>OK</v>
      </c>
      <c r="AS129" s="220"/>
      <c r="AT129" s="213" t="str">
        <f>IF(ROUND(CF!AT19,0)=ROUND(SUM(CF!AP19:AS19),0),"OK","ERROR")</f>
        <v>OK</v>
      </c>
      <c r="AU129" s="220"/>
      <c r="AV129" s="213" t="str">
        <f>IF(ROUND(CF!AV19,0)=ROUND(SUM(CF!AR19:AU19),0),"OK","ERROR")</f>
        <v>OK</v>
      </c>
      <c r="AW129" s="243"/>
      <c r="AX129" s="213" t="str">
        <f>IF(ROUND(CF!AX19,0)=ROUND(SUM(CF!AT19:AW19),0),"OK","ERROR")</f>
        <v>OK</v>
      </c>
    </row>
    <row r="130" spans="1:50" s="51" customFormat="1" ht="15" customHeight="1" x14ac:dyDescent="0.3">
      <c r="A130" s="40"/>
      <c r="B130" s="152" t="s">
        <v>1019</v>
      </c>
      <c r="C130" s="15"/>
      <c r="D130" s="205"/>
      <c r="E130" s="205"/>
      <c r="F130" s="205"/>
      <c r="G130" s="205"/>
      <c r="H130" s="217"/>
      <c r="I130" s="207"/>
      <c r="J130" s="205"/>
      <c r="K130" s="205"/>
      <c r="L130" s="205"/>
      <c r="M130" s="205"/>
      <c r="N130" s="217"/>
      <c r="O130" s="207"/>
      <c r="P130" s="205"/>
      <c r="Q130" s="205"/>
      <c r="R130" s="205"/>
      <c r="S130" s="205"/>
      <c r="T130" s="217"/>
      <c r="U130" s="207"/>
      <c r="V130" s="205"/>
      <c r="W130" s="205"/>
      <c r="X130" s="205"/>
      <c r="Y130" s="205"/>
      <c r="Z130" s="217"/>
      <c r="AA130" s="210"/>
      <c r="AB130" s="205"/>
      <c r="AC130" s="205"/>
      <c r="AD130" s="205"/>
      <c r="AE130" s="205"/>
      <c r="AF130" s="217"/>
      <c r="AG130" s="208"/>
      <c r="AH130" s="205"/>
      <c r="AI130" s="205"/>
      <c r="AJ130" s="209"/>
      <c r="AK130" s="209"/>
      <c r="AL130" s="217"/>
      <c r="AM130" s="222"/>
      <c r="AN130" s="209"/>
      <c r="AO130" s="209"/>
      <c r="AP130" s="209"/>
      <c r="AQ130" s="209"/>
      <c r="AR130" s="217"/>
      <c r="AS130" s="222"/>
      <c r="AT130" s="217"/>
      <c r="AU130" s="222"/>
      <c r="AV130" s="217"/>
      <c r="AW130" s="243"/>
      <c r="AX130" s="217"/>
    </row>
    <row r="131" spans="1:50" s="51" customFormat="1" ht="15" customHeight="1" x14ac:dyDescent="0.3">
      <c r="A131" s="110"/>
      <c r="B131" s="153" t="s">
        <v>985</v>
      </c>
      <c r="C131" s="112"/>
      <c r="D131" s="214"/>
      <c r="E131" s="214"/>
      <c r="F131" s="214"/>
      <c r="G131" s="214"/>
      <c r="H131" s="217" t="str">
        <f>IF(ROUND(CF!H21,0)=ROUND(SUM(CF!D21:G21),0),"OK","ERROR")</f>
        <v>OK</v>
      </c>
      <c r="I131" s="207"/>
      <c r="J131" s="214"/>
      <c r="K131" s="214"/>
      <c r="L131" s="214"/>
      <c r="M131" s="214"/>
      <c r="N131" s="217" t="str">
        <f>IF(ROUND(CF!N21,0)=ROUND(SUM(CF!J21:M21),0),"OK","ERROR")</f>
        <v>OK</v>
      </c>
      <c r="O131" s="207"/>
      <c r="P131" s="214"/>
      <c r="Q131" s="214"/>
      <c r="R131" s="214"/>
      <c r="S131" s="214"/>
      <c r="T131" s="217" t="str">
        <f>IF(ROUND(CF!T21,0)=ROUND(SUM(CF!P21:S21),0),"OK","ERROR")</f>
        <v>OK</v>
      </c>
      <c r="U131" s="207"/>
      <c r="V131" s="214"/>
      <c r="W131" s="214"/>
      <c r="X131" s="214"/>
      <c r="Y131" s="214"/>
      <c r="Z131" s="217" t="str">
        <f>IF(ROUND(CF!Z21,0)=ROUND(SUM(CF!V21:Y21),0),"OK","ERROR")</f>
        <v>OK</v>
      </c>
      <c r="AA131" s="210"/>
      <c r="AB131" s="214"/>
      <c r="AC131" s="214"/>
      <c r="AD131" s="214"/>
      <c r="AE131" s="214"/>
      <c r="AF131" s="217" t="str">
        <f>IF(ROUND(CF!AF21,0)=ROUND(SUM(CF!AB21:AE21),0),"OK","ERROR")</f>
        <v>OK</v>
      </c>
      <c r="AG131" s="208"/>
      <c r="AH131" s="214"/>
      <c r="AI131" s="214"/>
      <c r="AJ131" s="209"/>
      <c r="AK131" s="209"/>
      <c r="AL131" s="217" t="str">
        <f>IF(ROUND(CF!AL21,0)=ROUND(SUM(CF!AH21:AK21),0),"OK","ERROR")</f>
        <v>ERROR</v>
      </c>
      <c r="AM131" s="222"/>
      <c r="AN131" s="209"/>
      <c r="AO131" s="209"/>
      <c r="AP131" s="209"/>
      <c r="AQ131" s="209"/>
      <c r="AR131" s="217" t="str">
        <f>IF(ROUND(CF!AR21,0)=ROUND(SUM(CF!AN21:AQ21),0),"OK","ERROR")</f>
        <v>OK</v>
      </c>
      <c r="AS131" s="222"/>
      <c r="AT131" s="217" t="str">
        <f>IF(ROUND(CF!AT21,0)=ROUND(SUM(CF!AP21:AS21),0),"OK","ERROR")</f>
        <v>OK</v>
      </c>
      <c r="AU131" s="222"/>
      <c r="AV131" s="217" t="str">
        <f>IF(ROUND(CF!AV21,0)=ROUND(SUM(CF!AR21:AU21),0),"OK","ERROR")</f>
        <v>OK</v>
      </c>
      <c r="AW131" s="243"/>
      <c r="AX131" s="217" t="str">
        <f>IF(ROUND(CF!AX21,0)=ROUND(SUM(CF!AT21:AW21),0),"OK","ERROR")</f>
        <v>OK</v>
      </c>
    </row>
    <row r="132" spans="1:50" s="51" customFormat="1" ht="15" customHeight="1" x14ac:dyDescent="0.3">
      <c r="A132" s="40"/>
      <c r="B132" s="153" t="s">
        <v>1020</v>
      </c>
      <c r="C132" s="15"/>
      <c r="D132" s="214"/>
      <c r="E132" s="214"/>
      <c r="F132" s="214"/>
      <c r="G132" s="214"/>
      <c r="H132" s="217" t="str">
        <f>IF(ROUND(CF!H22,0)=ROUND(SUM(CF!D22:G22),0),"OK","ERROR")</f>
        <v>OK</v>
      </c>
      <c r="I132" s="207"/>
      <c r="J132" s="214"/>
      <c r="K132" s="214"/>
      <c r="L132" s="214"/>
      <c r="M132" s="214"/>
      <c r="N132" s="217" t="str">
        <f>IF(ROUND(CF!N22,0)=ROUND(SUM(CF!J22:M22),0),"OK","ERROR")</f>
        <v>OK</v>
      </c>
      <c r="O132" s="207"/>
      <c r="P132" s="214"/>
      <c r="Q132" s="214"/>
      <c r="R132" s="214"/>
      <c r="S132" s="214"/>
      <c r="T132" s="217" t="str">
        <f>IF(ROUND(CF!T22,0)=ROUND(SUM(CF!P22:S22),0),"OK","ERROR")</f>
        <v>OK</v>
      </c>
      <c r="U132" s="207"/>
      <c r="V132" s="214"/>
      <c r="W132" s="214"/>
      <c r="X132" s="214"/>
      <c r="Y132" s="214"/>
      <c r="Z132" s="217" t="str">
        <f>IF(ROUND(CF!Z22,0)=ROUND(SUM(CF!V22:Y22),0),"OK","ERROR")</f>
        <v>OK</v>
      </c>
      <c r="AA132" s="210"/>
      <c r="AB132" s="214"/>
      <c r="AC132" s="214"/>
      <c r="AD132" s="214"/>
      <c r="AE132" s="214"/>
      <c r="AF132" s="217" t="str">
        <f>IF(ROUND(CF!AF22,0)=ROUND(SUM(CF!AB22:AE22),0),"OK","ERROR")</f>
        <v>OK</v>
      </c>
      <c r="AG132" s="208"/>
      <c r="AH132" s="214"/>
      <c r="AI132" s="214"/>
      <c r="AJ132" s="209"/>
      <c r="AK132" s="209"/>
      <c r="AL132" s="217" t="str">
        <f>IF(ROUND(CF!AL22,0)=ROUND(SUM(CF!AH22:AK22),0),"OK","ERROR")</f>
        <v>ERROR</v>
      </c>
      <c r="AM132" s="222"/>
      <c r="AN132" s="209"/>
      <c r="AO132" s="209"/>
      <c r="AP132" s="209"/>
      <c r="AQ132" s="209"/>
      <c r="AR132" s="217" t="str">
        <f>IF(ROUND(CF!AR22,0)=ROUND(SUM(CF!AN22:AQ22),0),"OK","ERROR")</f>
        <v>OK</v>
      </c>
      <c r="AS132" s="222"/>
      <c r="AT132" s="217" t="str">
        <f>IF(ROUND(CF!AT22,0)=ROUND(SUM(CF!AP22:AS22),0),"OK","ERROR")</f>
        <v>OK</v>
      </c>
      <c r="AU132" s="222"/>
      <c r="AV132" s="217" t="str">
        <f>IF(ROUND(CF!AV22,0)=ROUND(SUM(CF!AR22:AU22),0),"OK","ERROR")</f>
        <v>OK</v>
      </c>
      <c r="AW132" s="243"/>
      <c r="AX132" s="217" t="str">
        <f>IF(ROUND(CF!AX22,0)=ROUND(SUM(CF!AT22:AW22),0),"OK","ERROR")</f>
        <v>OK</v>
      </c>
    </row>
    <row r="133" spans="1:50" s="51" customFormat="1" ht="15" customHeight="1" x14ac:dyDescent="0.3">
      <c r="A133" s="110"/>
      <c r="B133" s="153" t="s">
        <v>997</v>
      </c>
      <c r="C133" s="112"/>
      <c r="D133" s="214"/>
      <c r="E133" s="214"/>
      <c r="F133" s="214"/>
      <c r="G133" s="214"/>
      <c r="H133" s="217" t="str">
        <f>IF(ROUND(CF!H23,0)=ROUND(SUM(CF!D23:G23),0),"OK","ERROR")</f>
        <v>OK</v>
      </c>
      <c r="I133" s="207"/>
      <c r="J133" s="214"/>
      <c r="K133" s="214"/>
      <c r="L133" s="214"/>
      <c r="M133" s="214"/>
      <c r="N133" s="217" t="str">
        <f>IF(ROUND(CF!N23,0)=ROUND(SUM(CF!J23:M23),0),"OK","ERROR")</f>
        <v>OK</v>
      </c>
      <c r="O133" s="207"/>
      <c r="P133" s="214"/>
      <c r="Q133" s="214"/>
      <c r="R133" s="214"/>
      <c r="S133" s="214"/>
      <c r="T133" s="217" t="str">
        <f>IF(ROUND(CF!T23,0)=ROUND(SUM(CF!P23:S23),0),"OK","ERROR")</f>
        <v>OK</v>
      </c>
      <c r="U133" s="207"/>
      <c r="V133" s="214"/>
      <c r="W133" s="214"/>
      <c r="X133" s="214"/>
      <c r="Y133" s="214"/>
      <c r="Z133" s="217" t="str">
        <f>IF(ROUND(CF!Z23,0)=ROUND(SUM(CF!V23:Y23),0),"OK","ERROR")</f>
        <v>OK</v>
      </c>
      <c r="AA133" s="210"/>
      <c r="AB133" s="214"/>
      <c r="AC133" s="214"/>
      <c r="AD133" s="214"/>
      <c r="AE133" s="214"/>
      <c r="AF133" s="217" t="str">
        <f>IF(ROUND(CF!AF23,0)=ROUND(SUM(CF!AB23:AE23),0),"OK","ERROR")</f>
        <v>OK</v>
      </c>
      <c r="AG133" s="208"/>
      <c r="AH133" s="214"/>
      <c r="AI133" s="214"/>
      <c r="AJ133" s="209"/>
      <c r="AK133" s="209"/>
      <c r="AL133" s="217" t="str">
        <f>IF(ROUND(CF!AL23,0)=ROUND(SUM(CF!AH23:AK23),0),"OK","ERROR")</f>
        <v>OK</v>
      </c>
      <c r="AM133" s="222"/>
      <c r="AN133" s="209"/>
      <c r="AO133" s="209"/>
      <c r="AP133" s="209"/>
      <c r="AQ133" s="209"/>
      <c r="AR133" s="217" t="str">
        <f>IF(ROUND(CF!AR23,0)=ROUND(SUM(CF!AN23:AQ23),0),"OK","ERROR")</f>
        <v>OK</v>
      </c>
      <c r="AS133" s="222"/>
      <c r="AT133" s="217" t="str">
        <f>IF(ROUND(CF!AT23,0)=ROUND(SUM(CF!AP23:AS23),0),"OK","ERROR")</f>
        <v>OK</v>
      </c>
      <c r="AU133" s="222"/>
      <c r="AV133" s="217" t="str">
        <f>IF(ROUND(CF!AV23,0)=ROUND(SUM(CF!AR23:AU23),0),"OK","ERROR")</f>
        <v>OK</v>
      </c>
      <c r="AW133" s="243"/>
      <c r="AX133" s="217" t="str">
        <f>IF(ROUND(CF!AX23,0)=ROUND(SUM(CF!AT23:AW23),0),"OK","ERROR")</f>
        <v>OK</v>
      </c>
    </row>
    <row r="134" spans="1:50" s="51" customFormat="1" ht="15" customHeight="1" x14ac:dyDescent="0.3">
      <c r="A134" s="110"/>
      <c r="B134" s="153" t="s">
        <v>87</v>
      </c>
      <c r="C134" s="112"/>
      <c r="D134" s="214"/>
      <c r="E134" s="214"/>
      <c r="F134" s="214"/>
      <c r="G134" s="214"/>
      <c r="H134" s="223" t="str">
        <f>IF(ROUND(CF!H24,0)=ROUND(SUM(CF!D24:G24),0),"OK","ERROR")</f>
        <v>OK</v>
      </c>
      <c r="I134" s="207"/>
      <c r="J134" s="214"/>
      <c r="K134" s="214"/>
      <c r="L134" s="214"/>
      <c r="M134" s="214"/>
      <c r="N134" s="223" t="str">
        <f>IF(ROUND(CF!N24,0)=ROUND(SUM(CF!J24:M24),0),"OK","ERROR")</f>
        <v>OK</v>
      </c>
      <c r="O134" s="207"/>
      <c r="P134" s="214"/>
      <c r="Q134" s="214"/>
      <c r="R134" s="214"/>
      <c r="S134" s="214"/>
      <c r="T134" s="223" t="str">
        <f>IF(ROUND(CF!T24,0)=ROUND(SUM(CF!P24:S24),0),"OK","ERROR")</f>
        <v>OK</v>
      </c>
      <c r="U134" s="207"/>
      <c r="V134" s="214"/>
      <c r="W134" s="214"/>
      <c r="X134" s="214"/>
      <c r="Y134" s="214"/>
      <c r="Z134" s="223" t="str">
        <f>IF(ROUND(CF!Z24,0)=ROUND(SUM(CF!V24:Y24),0),"OK","ERROR")</f>
        <v>OK</v>
      </c>
      <c r="AA134" s="225"/>
      <c r="AB134" s="214"/>
      <c r="AC134" s="214"/>
      <c r="AD134" s="214"/>
      <c r="AE134" s="214"/>
      <c r="AF134" s="223" t="str">
        <f>IF(ROUND(CF!AF24,0)=ROUND(SUM(CF!AB24:AE24),0),"OK","ERROR")</f>
        <v>OK</v>
      </c>
      <c r="AG134" s="226"/>
      <c r="AH134" s="214"/>
      <c r="AI134" s="214"/>
      <c r="AJ134" s="209"/>
      <c r="AK134" s="209"/>
      <c r="AL134" s="223" t="str">
        <f>IF(ROUND(CF!AL24,0)=ROUND(SUM(CF!AH24:AK24),0),"OK","ERROR")</f>
        <v>ERROR</v>
      </c>
      <c r="AM134" s="227"/>
      <c r="AN134" s="209"/>
      <c r="AO134" s="209"/>
      <c r="AP134" s="209"/>
      <c r="AQ134" s="209"/>
      <c r="AR134" s="223" t="str">
        <f>IF(ROUND(CF!AR24,0)=ROUND(SUM(CF!AN24:AQ24),0),"OK","ERROR")</f>
        <v>OK</v>
      </c>
      <c r="AS134" s="227"/>
      <c r="AT134" s="223" t="str">
        <f>IF(ROUND(CF!AT24,0)=ROUND(SUM(CF!AP24:AS24),0),"OK","ERROR")</f>
        <v>OK</v>
      </c>
      <c r="AU134" s="227"/>
      <c r="AV134" s="223" t="str">
        <f>IF(ROUND(CF!AV24,0)=ROUND(SUM(CF!AR24:AU24),0),"OK","ERROR")</f>
        <v>OK</v>
      </c>
      <c r="AW134" s="243"/>
      <c r="AX134" s="223" t="str">
        <f>IF(ROUND(CF!AX24,0)=ROUND(SUM(CF!AT24:AW24),0),"OK","ERROR")</f>
        <v>OK</v>
      </c>
    </row>
    <row r="135" spans="1:50" s="51" customFormat="1" ht="15" customHeight="1" thickBot="1" x14ac:dyDescent="0.35">
      <c r="A135" s="81"/>
      <c r="B135" s="154" t="s">
        <v>1021</v>
      </c>
      <c r="C135" s="24"/>
      <c r="D135" s="214"/>
      <c r="E135" s="214"/>
      <c r="F135" s="214"/>
      <c r="G135" s="214"/>
      <c r="H135" s="234" t="str">
        <f>IF(ROUND(CF!H25,0)=ROUND(SUM(CF!D25:G25),0),"OK","ERROR")</f>
        <v>OK</v>
      </c>
      <c r="I135" s="207"/>
      <c r="J135" s="214"/>
      <c r="K135" s="214"/>
      <c r="L135" s="214"/>
      <c r="M135" s="214"/>
      <c r="N135" s="234" t="str">
        <f>IF(ROUND(CF!N25,0)=ROUND(SUM(CF!J25:M25),0),"OK","ERROR")</f>
        <v>OK</v>
      </c>
      <c r="O135" s="207"/>
      <c r="P135" s="214"/>
      <c r="Q135" s="214"/>
      <c r="R135" s="214"/>
      <c r="S135" s="214"/>
      <c r="T135" s="234" t="str">
        <f>IF(ROUND(CF!T25,0)=ROUND(SUM(CF!P25:S25),0),"OK","ERROR")</f>
        <v>OK</v>
      </c>
      <c r="U135" s="207"/>
      <c r="V135" s="214"/>
      <c r="W135" s="214"/>
      <c r="X135" s="214"/>
      <c r="Y135" s="214"/>
      <c r="Z135" s="234" t="str">
        <f>IF(ROUND(CF!Z25,0)=ROUND(SUM(CF!V25:Y25),0),"OK","ERROR")</f>
        <v>OK</v>
      </c>
      <c r="AA135" s="225"/>
      <c r="AB135" s="214"/>
      <c r="AC135" s="214"/>
      <c r="AD135" s="214"/>
      <c r="AE135" s="214"/>
      <c r="AF135" s="234" t="str">
        <f>IF(ROUND(CF!AF25,0)=ROUND(SUM(CF!AB25:AE25),0),"OK","ERROR")</f>
        <v>OK</v>
      </c>
      <c r="AG135" s="226"/>
      <c r="AH135" s="214"/>
      <c r="AI135" s="214"/>
      <c r="AJ135" s="209"/>
      <c r="AK135" s="209"/>
      <c r="AL135" s="234" t="str">
        <f>IF(ROUND(CF!AL25,0)=ROUND(SUM(CF!AH25:AK25),0),"OK","ERROR")</f>
        <v>ERROR</v>
      </c>
      <c r="AM135" s="227"/>
      <c r="AN135" s="209"/>
      <c r="AO135" s="209"/>
      <c r="AP135" s="209"/>
      <c r="AQ135" s="209"/>
      <c r="AR135" s="234" t="str">
        <f>IF(ROUND(CF!AR25,0)=ROUND(SUM(CF!AN25:AQ25),0),"OK","ERROR")</f>
        <v>OK</v>
      </c>
      <c r="AS135" s="227"/>
      <c r="AT135" s="234" t="str">
        <f>IF(ROUND(CF!AT25,0)=ROUND(SUM(CF!AP25:AS25),0),"OK","ERROR")</f>
        <v>OK</v>
      </c>
      <c r="AU135" s="227"/>
      <c r="AV135" s="234" t="str">
        <f>IF(ROUND(CF!AV25,0)=ROUND(SUM(CF!AR25:AU25),0),"OK","ERROR")</f>
        <v>OK</v>
      </c>
      <c r="AW135" s="243"/>
      <c r="AX135" s="234" t="str">
        <f>IF(ROUND(CF!AX25,0)=ROUND(SUM(CF!AT25:AW25),0),"OK","ERROR")</f>
        <v>OK</v>
      </c>
    </row>
    <row r="136" spans="1:50" s="51" customFormat="1" ht="15" customHeight="1" thickTop="1" x14ac:dyDescent="0.3">
      <c r="A136" s="40"/>
      <c r="B136" s="151"/>
      <c r="C136" s="15"/>
      <c r="D136" s="205"/>
      <c r="E136" s="205"/>
      <c r="F136" s="205"/>
      <c r="G136" s="205"/>
      <c r="H136" s="217"/>
      <c r="I136" s="207"/>
      <c r="J136" s="205"/>
      <c r="K136" s="205"/>
      <c r="L136" s="205"/>
      <c r="M136" s="205"/>
      <c r="N136" s="217"/>
      <c r="O136" s="207"/>
      <c r="P136" s="205"/>
      <c r="Q136" s="205"/>
      <c r="R136" s="205"/>
      <c r="S136" s="205"/>
      <c r="T136" s="217"/>
      <c r="U136" s="207"/>
      <c r="V136" s="205"/>
      <c r="W136" s="205"/>
      <c r="X136" s="205"/>
      <c r="Y136" s="205"/>
      <c r="Z136" s="217"/>
      <c r="AA136" s="210"/>
      <c r="AB136" s="205"/>
      <c r="AC136" s="205"/>
      <c r="AD136" s="205"/>
      <c r="AE136" s="205"/>
      <c r="AF136" s="217"/>
      <c r="AG136" s="208"/>
      <c r="AH136" s="205"/>
      <c r="AI136" s="205"/>
      <c r="AJ136" s="209"/>
      <c r="AK136" s="209"/>
      <c r="AL136" s="217"/>
      <c r="AM136" s="222"/>
      <c r="AN136" s="209"/>
      <c r="AO136" s="209"/>
      <c r="AP136" s="209"/>
      <c r="AQ136" s="209"/>
      <c r="AR136" s="217"/>
      <c r="AS136" s="222"/>
      <c r="AT136" s="217"/>
      <c r="AU136" s="222"/>
      <c r="AV136" s="217"/>
      <c r="AW136" s="243"/>
      <c r="AX136" s="217"/>
    </row>
    <row r="137" spans="1:50" s="51" customFormat="1" ht="15" customHeight="1" x14ac:dyDescent="0.3">
      <c r="A137" s="41" t="s">
        <v>39</v>
      </c>
      <c r="B137" s="155" t="s">
        <v>1022</v>
      </c>
      <c r="C137" s="112"/>
      <c r="D137" s="205"/>
      <c r="E137" s="205"/>
      <c r="F137" s="205"/>
      <c r="G137" s="205"/>
      <c r="H137" s="217"/>
      <c r="I137" s="207"/>
      <c r="J137" s="205"/>
      <c r="K137" s="205"/>
      <c r="L137" s="205"/>
      <c r="M137" s="205"/>
      <c r="N137" s="217"/>
      <c r="O137" s="207"/>
      <c r="P137" s="205"/>
      <c r="Q137" s="205"/>
      <c r="R137" s="205"/>
      <c r="S137" s="205"/>
      <c r="T137" s="217"/>
      <c r="U137" s="207"/>
      <c r="V137" s="205"/>
      <c r="W137" s="205"/>
      <c r="X137" s="205"/>
      <c r="Y137" s="205"/>
      <c r="Z137" s="217"/>
      <c r="AA137" s="225"/>
      <c r="AB137" s="205"/>
      <c r="AC137" s="205"/>
      <c r="AD137" s="205"/>
      <c r="AE137" s="205"/>
      <c r="AF137" s="217"/>
      <c r="AG137" s="226"/>
      <c r="AH137" s="205"/>
      <c r="AI137" s="205"/>
      <c r="AJ137" s="209"/>
      <c r="AK137" s="209"/>
      <c r="AL137" s="217"/>
      <c r="AM137" s="227"/>
      <c r="AN137" s="209"/>
      <c r="AO137" s="209"/>
      <c r="AP137" s="209"/>
      <c r="AQ137" s="209"/>
      <c r="AR137" s="217"/>
      <c r="AS137" s="227"/>
      <c r="AT137" s="217"/>
      <c r="AU137" s="227"/>
      <c r="AV137" s="217"/>
      <c r="AW137" s="243"/>
      <c r="AX137" s="217"/>
    </row>
    <row r="138" spans="1:50" s="51" customFormat="1" ht="15" customHeight="1" x14ac:dyDescent="0.3">
      <c r="A138" s="40"/>
      <c r="B138" s="156" t="s">
        <v>1023</v>
      </c>
      <c r="C138" s="15"/>
      <c r="D138" s="214"/>
      <c r="E138" s="214"/>
      <c r="F138" s="214"/>
      <c r="G138" s="214"/>
      <c r="H138" s="217" t="str">
        <f>IF(ROUND(CF!H28,0)=ROUND(SUM(CF!D28:G28),0),"OK","ERROR")</f>
        <v>OK</v>
      </c>
      <c r="I138" s="207"/>
      <c r="J138" s="214"/>
      <c r="K138" s="214"/>
      <c r="L138" s="214"/>
      <c r="M138" s="214"/>
      <c r="N138" s="217" t="str">
        <f>IF(ROUND(CF!N28,0)=ROUND(SUM(CF!J28:M28),0),"OK","ERROR")</f>
        <v>OK</v>
      </c>
      <c r="O138" s="207"/>
      <c r="P138" s="214"/>
      <c r="Q138" s="214"/>
      <c r="R138" s="214"/>
      <c r="S138" s="214"/>
      <c r="T138" s="217" t="str">
        <f>IF(ROUND(CF!T28,0)=ROUND(SUM(CF!P28:S28),0),"OK","ERROR")</f>
        <v>OK</v>
      </c>
      <c r="U138" s="207"/>
      <c r="V138" s="214"/>
      <c r="W138" s="214"/>
      <c r="X138" s="214"/>
      <c r="Y138" s="214"/>
      <c r="Z138" s="217" t="str">
        <f>IF(ROUND(CF!Z28,0)=ROUND(SUM(CF!V28:Y28),0),"OK","ERROR")</f>
        <v>ERROR</v>
      </c>
      <c r="AA138" s="210"/>
      <c r="AB138" s="214"/>
      <c r="AC138" s="214"/>
      <c r="AD138" s="214"/>
      <c r="AE138" s="214"/>
      <c r="AF138" s="217" t="str">
        <f>IF(ROUND(CF!AF28,0)=ROUND(SUM(CF!AB28:AE28),0),"OK","ERROR")</f>
        <v>OK</v>
      </c>
      <c r="AG138" s="208"/>
      <c r="AH138" s="214"/>
      <c r="AI138" s="214"/>
      <c r="AJ138" s="209"/>
      <c r="AK138" s="209"/>
      <c r="AL138" s="217" t="str">
        <f>IF(ROUND(CF!AL28,0)=ROUND(SUM(CF!AH28:AK28),0),"OK","ERROR")</f>
        <v>ERROR</v>
      </c>
      <c r="AM138" s="222"/>
      <c r="AN138" s="209"/>
      <c r="AO138" s="209"/>
      <c r="AP138" s="209"/>
      <c r="AQ138" s="209"/>
      <c r="AR138" s="217" t="str">
        <f>IF(ROUND(CF!AR28,0)=ROUND(SUM(CF!AN28:AQ28),0),"OK","ERROR")</f>
        <v>OK</v>
      </c>
      <c r="AS138" s="222"/>
      <c r="AT138" s="217" t="str">
        <f>IF(ROUND(CF!AT28,0)=ROUND(SUM(CF!AP28:AS28),0),"OK","ERROR")</f>
        <v>OK</v>
      </c>
      <c r="AU138" s="222"/>
      <c r="AV138" s="217" t="str">
        <f>IF(ROUND(CF!AV28,0)=ROUND(SUM(CF!AR28:AU28),0),"OK","ERROR")</f>
        <v>OK</v>
      </c>
      <c r="AW138" s="243"/>
      <c r="AX138" s="217" t="str">
        <f>IF(ROUND(CF!AX28,0)=ROUND(SUM(CF!AT28:AW28),0),"OK","ERROR")</f>
        <v>OK</v>
      </c>
    </row>
    <row r="139" spans="1:50" s="51" customFormat="1" ht="15" customHeight="1" x14ac:dyDescent="0.3">
      <c r="A139" s="110"/>
      <c r="B139" s="156" t="s">
        <v>1024</v>
      </c>
      <c r="C139" s="112"/>
      <c r="D139" s="214"/>
      <c r="E139" s="214"/>
      <c r="F139" s="214"/>
      <c r="G139" s="214"/>
      <c r="H139" s="217" t="str">
        <f>IF(ROUND(CF!H29,0)=ROUND(SUM(CF!D29:G29),0),"OK","ERROR")</f>
        <v>OK</v>
      </c>
      <c r="I139" s="207"/>
      <c r="J139" s="214"/>
      <c r="K139" s="214"/>
      <c r="L139" s="214"/>
      <c r="M139" s="214"/>
      <c r="N139" s="217" t="str">
        <f>IF(ROUND(CF!N29,0)=ROUND(SUM(CF!J29:M29),0),"OK","ERROR")</f>
        <v>OK</v>
      </c>
      <c r="O139" s="207"/>
      <c r="P139" s="214"/>
      <c r="Q139" s="214"/>
      <c r="R139" s="214"/>
      <c r="S139" s="214"/>
      <c r="T139" s="217" t="str">
        <f>IF(ROUND(CF!T29,0)=ROUND(SUM(CF!P29:S29),0),"OK","ERROR")</f>
        <v>OK</v>
      </c>
      <c r="U139" s="207"/>
      <c r="V139" s="214"/>
      <c r="W139" s="214"/>
      <c r="X139" s="214"/>
      <c r="Y139" s="214"/>
      <c r="Z139" s="217" t="str">
        <f>IF(ROUND(CF!Z29,0)=ROUND(SUM(CF!V29:Y29),0),"OK","ERROR")</f>
        <v>ERROR</v>
      </c>
      <c r="AA139" s="225"/>
      <c r="AB139" s="214"/>
      <c r="AC139" s="214"/>
      <c r="AD139" s="214"/>
      <c r="AE139" s="214"/>
      <c r="AF139" s="217" t="str">
        <f>IF(ROUND(CF!AF29,0)=ROUND(SUM(CF!AB29:AE29),0),"OK","ERROR")</f>
        <v>OK</v>
      </c>
      <c r="AG139" s="226"/>
      <c r="AH139" s="214"/>
      <c r="AI139" s="214"/>
      <c r="AJ139" s="209"/>
      <c r="AK139" s="209"/>
      <c r="AL139" s="217" t="str">
        <f>IF(ROUND(CF!AL29,0)=ROUND(SUM(CF!AH29:AK29),0),"OK","ERROR")</f>
        <v>OK</v>
      </c>
      <c r="AM139" s="227"/>
      <c r="AN139" s="209"/>
      <c r="AO139" s="209"/>
      <c r="AP139" s="209"/>
      <c r="AQ139" s="209"/>
      <c r="AR139" s="217" t="str">
        <f>IF(ROUND(CF!AR29,0)=ROUND(SUM(CF!AN29:AQ29),0),"OK","ERROR")</f>
        <v>OK</v>
      </c>
      <c r="AS139" s="227"/>
      <c r="AT139" s="217" t="str">
        <f>IF(ROUND(CF!AT29,0)=ROUND(SUM(CF!AP29:AS29),0),"OK","ERROR")</f>
        <v>OK</v>
      </c>
      <c r="AU139" s="227"/>
      <c r="AV139" s="217" t="str">
        <f>IF(ROUND(CF!AV29,0)=ROUND(SUM(CF!AR29:AU29),0),"OK","ERROR")</f>
        <v>OK</v>
      </c>
      <c r="AW139" s="243"/>
      <c r="AX139" s="217" t="str">
        <f>IF(ROUND(CF!AX29,0)=ROUND(SUM(CF!AT29:AW29),0),"OK","ERROR")</f>
        <v>OK</v>
      </c>
    </row>
    <row r="140" spans="1:50" s="51" customFormat="1" ht="15" customHeight="1" x14ac:dyDescent="0.3">
      <c r="A140" s="40"/>
      <c r="B140" s="156" t="s">
        <v>1025</v>
      </c>
      <c r="C140" s="15"/>
      <c r="D140" s="214"/>
      <c r="E140" s="214"/>
      <c r="F140" s="214"/>
      <c r="G140" s="214"/>
      <c r="H140" s="217" t="str">
        <f>IF(ROUND(CF!H30,0)=ROUND(SUM(CF!D30:G30),0),"OK","ERROR")</f>
        <v>OK</v>
      </c>
      <c r="I140" s="207"/>
      <c r="J140" s="214"/>
      <c r="K140" s="214"/>
      <c r="L140" s="214"/>
      <c r="M140" s="214"/>
      <c r="N140" s="217" t="str">
        <f>IF(ROUND(CF!N30,0)=ROUND(SUM(CF!J30:M30),0),"OK","ERROR")</f>
        <v>OK</v>
      </c>
      <c r="O140" s="207"/>
      <c r="P140" s="214"/>
      <c r="Q140" s="214"/>
      <c r="R140" s="214"/>
      <c r="S140" s="214"/>
      <c r="T140" s="217" t="str">
        <f>IF(ROUND(CF!T30,0)=ROUND(SUM(CF!P30:S30),0),"OK","ERROR")</f>
        <v>OK</v>
      </c>
      <c r="U140" s="207"/>
      <c r="V140" s="214"/>
      <c r="W140" s="214"/>
      <c r="X140" s="214"/>
      <c r="Y140" s="214"/>
      <c r="Z140" s="217" t="str">
        <f>IF(ROUND(CF!Z30,0)=ROUND(SUM(CF!V30:Y30),0),"OK","ERROR")</f>
        <v>OK</v>
      </c>
      <c r="AA140" s="210"/>
      <c r="AB140" s="214"/>
      <c r="AC140" s="214"/>
      <c r="AD140" s="214"/>
      <c r="AE140" s="214"/>
      <c r="AF140" s="217" t="str">
        <f>IF(ROUND(CF!AF30,0)=ROUND(SUM(CF!AB30:AE30),0),"OK","ERROR")</f>
        <v>OK</v>
      </c>
      <c r="AG140" s="208"/>
      <c r="AH140" s="214"/>
      <c r="AI140" s="214"/>
      <c r="AJ140" s="209"/>
      <c r="AK140" s="209"/>
      <c r="AL140" s="217" t="str">
        <f>IF(ROUND(CF!AL30,0)=ROUND(SUM(CF!AH30:AK30),0),"OK","ERROR")</f>
        <v>OK</v>
      </c>
      <c r="AM140" s="222"/>
      <c r="AN140" s="209"/>
      <c r="AO140" s="209"/>
      <c r="AP140" s="209"/>
      <c r="AQ140" s="209"/>
      <c r="AR140" s="217" t="str">
        <f>IF(ROUND(CF!AR30,0)=ROUND(SUM(CF!AN30:AQ30),0),"OK","ERROR")</f>
        <v>OK</v>
      </c>
      <c r="AS140" s="222"/>
      <c r="AT140" s="217" t="str">
        <f>IF(ROUND(CF!AT30,0)=ROUND(SUM(CF!AP30:AS30),0),"OK","ERROR")</f>
        <v>OK</v>
      </c>
      <c r="AU140" s="222"/>
      <c r="AV140" s="217" t="str">
        <f>IF(ROUND(CF!AV30,0)=ROUND(SUM(CF!AR30:AU30),0),"OK","ERROR")</f>
        <v>OK</v>
      </c>
      <c r="AW140" s="243"/>
      <c r="AX140" s="217" t="str">
        <f>IF(ROUND(CF!AX30,0)=ROUND(SUM(CF!AT30:AW30),0),"OK","ERROR")</f>
        <v>OK</v>
      </c>
    </row>
    <row r="141" spans="1:50" s="51" customFormat="1" ht="15" customHeight="1" x14ac:dyDescent="0.3">
      <c r="A141" s="110"/>
      <c r="B141" s="156" t="s">
        <v>1026</v>
      </c>
      <c r="C141" s="112"/>
      <c r="D141" s="214"/>
      <c r="E141" s="214"/>
      <c r="F141" s="214"/>
      <c r="G141" s="214"/>
      <c r="H141" s="217" t="str">
        <f>IF(ROUND(CF!H31,0)=ROUND(SUM(CF!D31:G31),0),"OK","ERROR")</f>
        <v>OK</v>
      </c>
      <c r="I141" s="207"/>
      <c r="J141" s="214"/>
      <c r="K141" s="214"/>
      <c r="L141" s="214"/>
      <c r="M141" s="214"/>
      <c r="N141" s="217" t="str">
        <f>IF(ROUND(CF!N31,0)=ROUND(SUM(CF!J31:M31),0),"OK","ERROR")</f>
        <v>OK</v>
      </c>
      <c r="O141" s="207"/>
      <c r="P141" s="214"/>
      <c r="Q141" s="214"/>
      <c r="R141" s="214"/>
      <c r="S141" s="214"/>
      <c r="T141" s="217" t="str">
        <f>IF(ROUND(CF!T31,0)=ROUND(SUM(CF!P31:S31),0),"OK","ERROR")</f>
        <v>OK</v>
      </c>
      <c r="U141" s="207"/>
      <c r="V141" s="214"/>
      <c r="W141" s="214"/>
      <c r="X141" s="214"/>
      <c r="Y141" s="214"/>
      <c r="Z141" s="217" t="str">
        <f>IF(ROUND(CF!Z31,0)=ROUND(SUM(CF!V31:Y31),0),"OK","ERROR")</f>
        <v>OK</v>
      </c>
      <c r="AA141" s="225"/>
      <c r="AB141" s="214"/>
      <c r="AC141" s="214"/>
      <c r="AD141" s="214"/>
      <c r="AE141" s="214"/>
      <c r="AF141" s="217" t="str">
        <f>IF(ROUND(CF!AF31,0)=ROUND(SUM(CF!AB31:AE31),0),"OK","ERROR")</f>
        <v>OK</v>
      </c>
      <c r="AG141" s="226"/>
      <c r="AH141" s="214"/>
      <c r="AI141" s="214"/>
      <c r="AJ141" s="209"/>
      <c r="AK141" s="209"/>
      <c r="AL141" s="217" t="str">
        <f>IF(ROUND(CF!AL31,0)=ROUND(SUM(CF!AH31:AK31),0),"OK","ERROR")</f>
        <v>OK</v>
      </c>
      <c r="AM141" s="231"/>
      <c r="AN141" s="209"/>
      <c r="AO141" s="209"/>
      <c r="AP141" s="209"/>
      <c r="AQ141" s="209"/>
      <c r="AR141" s="217" t="str">
        <f>IF(ROUND(CF!AR31,0)=ROUND(SUM(CF!AN31:AQ31),0),"OK","ERROR")</f>
        <v>OK</v>
      </c>
      <c r="AS141" s="231"/>
      <c r="AT141" s="217" t="str">
        <f>IF(ROUND(CF!AT31,0)=ROUND(SUM(CF!AP31:AS31),0),"OK","ERROR")</f>
        <v>OK</v>
      </c>
      <c r="AU141" s="231"/>
      <c r="AV141" s="217" t="str">
        <f>IF(ROUND(CF!AV31,0)=ROUND(SUM(CF!AR31:AU31),0),"OK","ERROR")</f>
        <v>OK</v>
      </c>
      <c r="AW141" s="243"/>
      <c r="AX141" s="217" t="str">
        <f>IF(ROUND(CF!AX31,0)=ROUND(SUM(CF!AT31:AW31),0),"OK","ERROR")</f>
        <v>OK</v>
      </c>
    </row>
    <row r="142" spans="1:50" s="51" customFormat="1" ht="15" customHeight="1" x14ac:dyDescent="0.3">
      <c r="A142" s="110"/>
      <c r="B142" s="156" t="s">
        <v>1027</v>
      </c>
      <c r="C142" s="112"/>
      <c r="D142" s="214"/>
      <c r="E142" s="214"/>
      <c r="F142" s="214"/>
      <c r="G142" s="214"/>
      <c r="H142" s="217" t="str">
        <f>IF(ROUND(CF!H32,0)=ROUND(SUM(CF!D32:G32),0),"OK","ERROR")</f>
        <v>OK</v>
      </c>
      <c r="I142" s="207"/>
      <c r="J142" s="214"/>
      <c r="K142" s="214"/>
      <c r="L142" s="214"/>
      <c r="M142" s="214"/>
      <c r="N142" s="217" t="str">
        <f>IF(ROUND(CF!N32,0)=ROUND(SUM(CF!J32:M32),0),"OK","ERROR")</f>
        <v>OK</v>
      </c>
      <c r="O142" s="207"/>
      <c r="P142" s="214"/>
      <c r="Q142" s="214"/>
      <c r="R142" s="214"/>
      <c r="S142" s="214"/>
      <c r="T142" s="217" t="str">
        <f>IF(ROUND(CF!T32,0)=ROUND(SUM(CF!P32:S32),0),"OK","ERROR")</f>
        <v>OK</v>
      </c>
      <c r="U142" s="207"/>
      <c r="V142" s="214"/>
      <c r="W142" s="214"/>
      <c r="X142" s="214"/>
      <c r="Y142" s="214"/>
      <c r="Z142" s="217" t="str">
        <f>IF(ROUND(CF!Z32,0)=ROUND(SUM(CF!V32:Y32),0),"OK","ERROR")</f>
        <v>OK</v>
      </c>
      <c r="AA142" s="225"/>
      <c r="AB142" s="214"/>
      <c r="AC142" s="214"/>
      <c r="AD142" s="214"/>
      <c r="AE142" s="214"/>
      <c r="AF142" s="217" t="str">
        <f>IF(ROUND(CF!AF32,0)=ROUND(SUM(CF!AB32:AE32),0),"OK","ERROR")</f>
        <v>OK</v>
      </c>
      <c r="AG142" s="226"/>
      <c r="AH142" s="214"/>
      <c r="AI142" s="214"/>
      <c r="AJ142" s="209"/>
      <c r="AK142" s="209"/>
      <c r="AL142" s="217" t="str">
        <f>IF(ROUND(CF!AL32,0)=ROUND(SUM(CF!AH32:AK32),0),"OK","ERROR")</f>
        <v>OK</v>
      </c>
      <c r="AM142" s="231"/>
      <c r="AN142" s="209"/>
      <c r="AO142" s="209"/>
      <c r="AP142" s="209"/>
      <c r="AQ142" s="209"/>
      <c r="AR142" s="217" t="str">
        <f>IF(ROUND(CF!AR32,0)=ROUND(SUM(CF!AN32:AQ32),0),"OK","ERROR")</f>
        <v>OK</v>
      </c>
      <c r="AS142" s="231"/>
      <c r="AT142" s="217" t="str">
        <f>IF(ROUND(CF!AT32,0)=ROUND(SUM(CF!AP32:AS32),0),"OK","ERROR")</f>
        <v>OK</v>
      </c>
      <c r="AU142" s="231"/>
      <c r="AV142" s="217" t="str">
        <f>IF(ROUND(CF!AV32,0)=ROUND(SUM(CF!AR32:AU32),0),"OK","ERROR")</f>
        <v>OK</v>
      </c>
      <c r="AW142" s="243"/>
      <c r="AX142" s="217" t="str">
        <f>IF(ROUND(CF!AX32,0)=ROUND(SUM(CF!AT32:AW32),0),"OK","ERROR")</f>
        <v>OK</v>
      </c>
    </row>
    <row r="143" spans="1:50" s="51" customFormat="1" ht="15" customHeight="1" x14ac:dyDescent="0.3">
      <c r="A143" s="110"/>
      <c r="B143" s="156" t="s">
        <v>1028</v>
      </c>
      <c r="C143" s="15"/>
      <c r="D143" s="214"/>
      <c r="E143" s="214"/>
      <c r="F143" s="214"/>
      <c r="G143" s="214"/>
      <c r="H143" s="217" t="str">
        <f>IF(ROUND(CF!H33,0)=ROUND(SUM(CF!D33:G33),0),"OK","ERROR")</f>
        <v>OK</v>
      </c>
      <c r="I143" s="207"/>
      <c r="J143" s="214"/>
      <c r="K143" s="214"/>
      <c r="L143" s="214"/>
      <c r="M143" s="214"/>
      <c r="N143" s="217" t="str">
        <f>IF(ROUND(CF!N33,0)=ROUND(SUM(CF!J33:M33),0),"OK","ERROR")</f>
        <v>OK</v>
      </c>
      <c r="O143" s="207"/>
      <c r="P143" s="214"/>
      <c r="Q143" s="214"/>
      <c r="R143" s="214"/>
      <c r="S143" s="214"/>
      <c r="T143" s="217" t="str">
        <f>IF(ROUND(CF!T33,0)=ROUND(SUM(CF!P33:S33),0),"OK","ERROR")</f>
        <v>OK</v>
      </c>
      <c r="U143" s="207"/>
      <c r="V143" s="214"/>
      <c r="W143" s="214"/>
      <c r="X143" s="214"/>
      <c r="Y143" s="214"/>
      <c r="Z143" s="217" t="str">
        <f>IF(ROUND(CF!Z33,0)=ROUND(SUM(CF!V33:Y33),0),"OK","ERROR")</f>
        <v>OK</v>
      </c>
      <c r="AA143" s="210"/>
      <c r="AB143" s="214"/>
      <c r="AC143" s="214"/>
      <c r="AD143" s="214"/>
      <c r="AE143" s="214"/>
      <c r="AF143" s="217" t="str">
        <f>IF(ROUND(CF!AF33,0)=ROUND(SUM(CF!AB33:AE33),0),"OK","ERROR")</f>
        <v>OK</v>
      </c>
      <c r="AG143" s="208"/>
      <c r="AH143" s="214"/>
      <c r="AI143" s="214"/>
      <c r="AJ143" s="209"/>
      <c r="AK143" s="209"/>
      <c r="AL143" s="217" t="str">
        <f>IF(ROUND(CF!AL33,0)=ROUND(SUM(CF!AH33:AK33),0),"OK","ERROR")</f>
        <v>OK</v>
      </c>
      <c r="AM143" s="222"/>
      <c r="AN143" s="209"/>
      <c r="AO143" s="209"/>
      <c r="AP143" s="209"/>
      <c r="AQ143" s="209"/>
      <c r="AR143" s="217" t="str">
        <f>IF(ROUND(CF!AR33,0)=ROUND(SUM(CF!AN33:AQ33),0),"OK","ERROR")</f>
        <v>OK</v>
      </c>
      <c r="AS143" s="222"/>
      <c r="AT143" s="217" t="str">
        <f>IF(ROUND(CF!AT33,0)=ROUND(SUM(CF!AP33:AS33),0),"OK","ERROR")</f>
        <v>OK</v>
      </c>
      <c r="AU143" s="222"/>
      <c r="AV143" s="217" t="str">
        <f>IF(ROUND(CF!AV33,0)=ROUND(SUM(CF!AR33:AU33),0),"OK","ERROR")</f>
        <v>OK</v>
      </c>
      <c r="AW143" s="243"/>
      <c r="AX143" s="217" t="str">
        <f>IF(ROUND(CF!AX33,0)=ROUND(SUM(CF!AT33:AW33),0),"OK","ERROR")</f>
        <v>OK</v>
      </c>
    </row>
    <row r="144" spans="1:50" s="51" customFormat="1" ht="15" customHeight="1" x14ac:dyDescent="0.3">
      <c r="A144" s="40"/>
      <c r="B144" s="156" t="s">
        <v>1029</v>
      </c>
      <c r="C144" s="15"/>
      <c r="D144" s="214"/>
      <c r="E144" s="214"/>
      <c r="F144" s="214"/>
      <c r="G144" s="214"/>
      <c r="H144" s="217" t="str">
        <f>IF(ROUND(CF!H34,0)=ROUND(SUM(CF!D34:G34),0),"OK","ERROR")</f>
        <v>OK</v>
      </c>
      <c r="I144" s="207"/>
      <c r="J144" s="214"/>
      <c r="K144" s="214"/>
      <c r="L144" s="214"/>
      <c r="M144" s="214"/>
      <c r="N144" s="217" t="str">
        <f>IF(ROUND(CF!N34,0)=ROUND(SUM(CF!J34:M34),0),"OK","ERROR")</f>
        <v>OK</v>
      </c>
      <c r="O144" s="207"/>
      <c r="P144" s="214"/>
      <c r="Q144" s="214"/>
      <c r="R144" s="214"/>
      <c r="S144" s="214"/>
      <c r="T144" s="217" t="str">
        <f>IF(ROUND(CF!T34,0)=ROUND(SUM(CF!P34:S34),0),"OK","ERROR")</f>
        <v>OK</v>
      </c>
      <c r="U144" s="207"/>
      <c r="V144" s="214"/>
      <c r="W144" s="214"/>
      <c r="X144" s="214"/>
      <c r="Y144" s="214"/>
      <c r="Z144" s="217" t="str">
        <f>IF(ROUND(CF!Z34,0)=ROUND(SUM(CF!V34:Y34),0),"OK","ERROR")</f>
        <v>OK</v>
      </c>
      <c r="AA144" s="210"/>
      <c r="AB144" s="214"/>
      <c r="AC144" s="214"/>
      <c r="AD144" s="214"/>
      <c r="AE144" s="214"/>
      <c r="AF144" s="217" t="str">
        <f>IF(ROUND(CF!AF34,0)=ROUND(SUM(CF!AB34:AE34),0),"OK","ERROR")</f>
        <v>OK</v>
      </c>
      <c r="AG144" s="208"/>
      <c r="AH144" s="214"/>
      <c r="AI144" s="214"/>
      <c r="AJ144" s="209"/>
      <c r="AK144" s="209"/>
      <c r="AL144" s="217" t="str">
        <f>IF(ROUND(CF!AL34,0)=ROUND(SUM(CF!AH34:AK34),0),"OK","ERROR")</f>
        <v>OK</v>
      </c>
      <c r="AM144" s="222"/>
      <c r="AN144" s="209"/>
      <c r="AO144" s="209"/>
      <c r="AP144" s="209"/>
      <c r="AQ144" s="209"/>
      <c r="AR144" s="217" t="str">
        <f>IF(ROUND(CF!AR34,0)=ROUND(SUM(CF!AN34:AQ34),0),"OK","ERROR")</f>
        <v>OK</v>
      </c>
      <c r="AS144" s="222"/>
      <c r="AT144" s="217" t="str">
        <f>IF(ROUND(CF!AT34,0)=ROUND(SUM(CF!AP34:AS34),0),"OK","ERROR")</f>
        <v>OK</v>
      </c>
      <c r="AU144" s="222"/>
      <c r="AV144" s="217" t="str">
        <f>IF(ROUND(CF!AV34,0)=ROUND(SUM(CF!AR34:AU34),0),"OK","ERROR")</f>
        <v>OK</v>
      </c>
      <c r="AW144" s="243"/>
      <c r="AX144" s="217" t="str">
        <f>IF(ROUND(CF!AX34,0)=ROUND(SUM(CF!AT34:AW34),0),"OK","ERROR")</f>
        <v>OK</v>
      </c>
    </row>
    <row r="145" spans="1:50" s="51" customFormat="1" ht="15" customHeight="1" x14ac:dyDescent="0.3">
      <c r="B145" s="156" t="s">
        <v>1030</v>
      </c>
      <c r="C145" s="112"/>
      <c r="D145" s="214"/>
      <c r="E145" s="214"/>
      <c r="F145" s="214"/>
      <c r="G145" s="214"/>
      <c r="H145" s="223" t="str">
        <f>IF(ROUND(CF!H35,0)=ROUND(SUM(CF!D35:G35),0),"OK","ERROR")</f>
        <v>OK</v>
      </c>
      <c r="I145" s="207"/>
      <c r="J145" s="214"/>
      <c r="K145" s="214"/>
      <c r="L145" s="214"/>
      <c r="M145" s="214"/>
      <c r="N145" s="223" t="str">
        <f>IF(ROUND(CF!N35,0)=ROUND(SUM(CF!J35:M35),0),"OK","ERROR")</f>
        <v>OK</v>
      </c>
      <c r="O145" s="207"/>
      <c r="P145" s="214"/>
      <c r="Q145" s="214"/>
      <c r="R145" s="214"/>
      <c r="S145" s="214"/>
      <c r="T145" s="223" t="str">
        <f>IF(ROUND(CF!T35,0)=ROUND(SUM(CF!P35:S35),0),"OK","ERROR")</f>
        <v>OK</v>
      </c>
      <c r="U145" s="207"/>
      <c r="V145" s="214"/>
      <c r="W145" s="214"/>
      <c r="X145" s="214"/>
      <c r="Y145" s="214"/>
      <c r="Z145" s="223" t="str">
        <f>IF(ROUND(CF!Z35,0)=ROUND(SUM(CF!V35:Y35),0),"OK","ERROR")</f>
        <v>OK</v>
      </c>
      <c r="AA145" s="225"/>
      <c r="AB145" s="214"/>
      <c r="AC145" s="214"/>
      <c r="AD145" s="214"/>
      <c r="AE145" s="214"/>
      <c r="AF145" s="223" t="str">
        <f>IF(ROUND(CF!AF35,0)=ROUND(SUM(CF!AB35:AE35),0),"OK","ERROR")</f>
        <v>OK</v>
      </c>
      <c r="AG145" s="226"/>
      <c r="AH145" s="214"/>
      <c r="AI145" s="214"/>
      <c r="AJ145" s="209"/>
      <c r="AK145" s="209"/>
      <c r="AL145" s="223" t="str">
        <f>IF(ROUND(CF!AL35,0)=ROUND(SUM(CF!AH35:AK35),0),"OK","ERROR")</f>
        <v>ERROR</v>
      </c>
      <c r="AM145" s="227"/>
      <c r="AN145" s="209"/>
      <c r="AO145" s="209"/>
      <c r="AP145" s="209"/>
      <c r="AQ145" s="209"/>
      <c r="AR145" s="223" t="str">
        <f>IF(ROUND(CF!AR35,0)=ROUND(SUM(CF!AN35:AQ35),0),"OK","ERROR")</f>
        <v>OK</v>
      </c>
      <c r="AS145" s="227"/>
      <c r="AT145" s="223" t="str">
        <f>IF(ROUND(CF!AT35,0)=ROUND(SUM(CF!AP35:AS35),0),"OK","ERROR")</f>
        <v>OK</v>
      </c>
      <c r="AU145" s="227"/>
      <c r="AV145" s="223" t="str">
        <f>IF(ROUND(CF!AV35,0)=ROUND(SUM(CF!AR35:AU35),0),"OK","ERROR")</f>
        <v>OK</v>
      </c>
      <c r="AW145" s="243"/>
      <c r="AX145" s="223" t="str">
        <f>IF(ROUND(CF!AX35,0)=ROUND(SUM(CF!AT35:AW35),0),"OK","ERROR")</f>
        <v>OK</v>
      </c>
    </row>
    <row r="146" spans="1:50" s="51" customFormat="1" ht="15" customHeight="1" thickBot="1" x14ac:dyDescent="0.35">
      <c r="A146" s="110"/>
      <c r="B146" s="157" t="s">
        <v>1031</v>
      </c>
      <c r="C146" s="15"/>
      <c r="D146" s="214"/>
      <c r="E146" s="214"/>
      <c r="F146" s="214"/>
      <c r="G146" s="214"/>
      <c r="H146" s="234" t="str">
        <f>IF(ROUND(CF!H36,0)=ROUND(SUM(CF!D36:G36),0),"OK","ERROR")</f>
        <v>OK</v>
      </c>
      <c r="I146" s="207"/>
      <c r="J146" s="214"/>
      <c r="K146" s="214"/>
      <c r="L146" s="214"/>
      <c r="M146" s="214"/>
      <c r="N146" s="234" t="str">
        <f>IF(ROUND(CF!N36,0)=ROUND(SUM(CF!J36:M36),0),"OK","ERROR")</f>
        <v>OK</v>
      </c>
      <c r="O146" s="207"/>
      <c r="P146" s="214"/>
      <c r="Q146" s="214"/>
      <c r="R146" s="214"/>
      <c r="S146" s="214"/>
      <c r="T146" s="234" t="str">
        <f>IF(ROUND(CF!T36,0)=ROUND(SUM(CF!P36:S36),0),"OK","ERROR")</f>
        <v>OK</v>
      </c>
      <c r="U146" s="207"/>
      <c r="V146" s="214"/>
      <c r="W146" s="214"/>
      <c r="X146" s="214"/>
      <c r="Y146" s="214"/>
      <c r="Z146" s="234" t="str">
        <f>IF(ROUND(CF!Z36,0)=ROUND(SUM(CF!V36:Y36),0),"OK","ERROR")</f>
        <v>OK</v>
      </c>
      <c r="AA146" s="210"/>
      <c r="AB146" s="214"/>
      <c r="AC146" s="214"/>
      <c r="AD146" s="214"/>
      <c r="AE146" s="214"/>
      <c r="AF146" s="234" t="str">
        <f>IF(ROUND(CF!AF36,0)=ROUND(SUM(CF!AB36:AE36),0),"OK","ERROR")</f>
        <v>OK</v>
      </c>
      <c r="AG146" s="208"/>
      <c r="AH146" s="214"/>
      <c r="AI146" s="214"/>
      <c r="AJ146" s="209"/>
      <c r="AK146" s="209"/>
      <c r="AL146" s="234" t="str">
        <f>IF(ROUND(CF!AL36,0)=ROUND(SUM(CF!AH36:AK36),0),"OK","ERROR")</f>
        <v>ERROR</v>
      </c>
      <c r="AM146" s="212"/>
      <c r="AN146" s="209"/>
      <c r="AO146" s="209"/>
      <c r="AP146" s="209"/>
      <c r="AQ146" s="209"/>
      <c r="AR146" s="234" t="str">
        <f>IF(ROUND(CF!AR36,0)=ROUND(SUM(CF!AN36:AQ36),0),"OK","ERROR")</f>
        <v>OK</v>
      </c>
      <c r="AS146" s="212"/>
      <c r="AT146" s="234" t="str">
        <f>IF(ROUND(CF!AT36,0)=ROUND(SUM(CF!AP36:AS36),0),"OK","ERROR")</f>
        <v>OK</v>
      </c>
      <c r="AU146" s="212"/>
      <c r="AV146" s="234" t="str">
        <f>IF(ROUND(CF!AV36,0)=ROUND(SUM(CF!AR36:AU36),0),"OK","ERROR")</f>
        <v>OK</v>
      </c>
      <c r="AW146" s="243"/>
      <c r="AX146" s="234" t="str">
        <f>IF(ROUND(CF!AX36,0)=ROUND(SUM(CF!AT36:AW36),0),"OK","ERROR")</f>
        <v>OK</v>
      </c>
    </row>
    <row r="147" spans="1:50" s="51" customFormat="1" ht="15" customHeight="1" thickTop="1" x14ac:dyDescent="0.3">
      <c r="A147" s="40"/>
      <c r="B147" s="151"/>
      <c r="C147" s="112"/>
      <c r="D147" s="205"/>
      <c r="E147" s="205"/>
      <c r="F147" s="205"/>
      <c r="G147" s="205"/>
      <c r="H147" s="217"/>
      <c r="I147" s="207"/>
      <c r="J147" s="205"/>
      <c r="K147" s="205"/>
      <c r="L147" s="205"/>
      <c r="M147" s="205"/>
      <c r="N147" s="217"/>
      <c r="O147" s="207"/>
      <c r="P147" s="205"/>
      <c r="Q147" s="205"/>
      <c r="R147" s="205"/>
      <c r="S147" s="205"/>
      <c r="T147" s="217"/>
      <c r="U147" s="207"/>
      <c r="V147" s="205"/>
      <c r="W147" s="205"/>
      <c r="X147" s="205"/>
      <c r="Y147" s="205"/>
      <c r="Z147" s="217"/>
      <c r="AA147" s="229"/>
      <c r="AB147" s="205"/>
      <c r="AC147" s="205"/>
      <c r="AD147" s="205"/>
      <c r="AE147" s="205"/>
      <c r="AF147" s="217"/>
      <c r="AG147" s="226"/>
      <c r="AH147" s="205"/>
      <c r="AI147" s="205"/>
      <c r="AJ147" s="209"/>
      <c r="AK147" s="209"/>
      <c r="AL147" s="217"/>
      <c r="AM147" s="227"/>
      <c r="AN147" s="209"/>
      <c r="AO147" s="209"/>
      <c r="AP147" s="209"/>
      <c r="AQ147" s="209"/>
      <c r="AR147" s="217"/>
      <c r="AS147" s="227"/>
      <c r="AT147" s="217"/>
      <c r="AU147" s="227"/>
      <c r="AV147" s="217"/>
      <c r="AW147" s="243"/>
      <c r="AX147" s="217"/>
    </row>
    <row r="148" spans="1:50" s="51" customFormat="1" ht="15" customHeight="1" x14ac:dyDescent="0.3">
      <c r="A148" s="41" t="s">
        <v>39</v>
      </c>
      <c r="B148" s="155" t="s">
        <v>1032</v>
      </c>
      <c r="C148" s="25"/>
      <c r="D148" s="205"/>
      <c r="E148" s="205"/>
      <c r="F148" s="205"/>
      <c r="G148" s="205"/>
      <c r="H148" s="217"/>
      <c r="I148" s="207"/>
      <c r="J148" s="205"/>
      <c r="K148" s="205"/>
      <c r="L148" s="205"/>
      <c r="M148" s="205"/>
      <c r="N148" s="217"/>
      <c r="O148" s="207"/>
      <c r="P148" s="205"/>
      <c r="Q148" s="205"/>
      <c r="R148" s="205"/>
      <c r="S148" s="205"/>
      <c r="T148" s="217"/>
      <c r="U148" s="207"/>
      <c r="V148" s="205"/>
      <c r="W148" s="205"/>
      <c r="X148" s="205"/>
      <c r="Y148" s="205"/>
      <c r="Z148" s="217"/>
      <c r="AA148" s="210"/>
      <c r="AB148" s="205"/>
      <c r="AC148" s="205"/>
      <c r="AD148" s="205"/>
      <c r="AE148" s="205"/>
      <c r="AF148" s="217"/>
      <c r="AG148" s="208"/>
      <c r="AH148" s="205"/>
      <c r="AI148" s="205"/>
      <c r="AJ148" s="209"/>
      <c r="AK148" s="209"/>
      <c r="AL148" s="217"/>
      <c r="AM148" s="212"/>
      <c r="AN148" s="209"/>
      <c r="AO148" s="209"/>
      <c r="AP148" s="209"/>
      <c r="AQ148" s="209"/>
      <c r="AR148" s="217"/>
      <c r="AS148" s="212"/>
      <c r="AT148" s="217"/>
      <c r="AU148" s="212"/>
      <c r="AV148" s="217"/>
      <c r="AW148" s="243"/>
      <c r="AX148" s="217"/>
    </row>
    <row r="149" spans="1:50" s="51" customFormat="1" ht="15" customHeight="1" x14ac:dyDescent="0.3">
      <c r="A149" s="110"/>
      <c r="B149" s="156" t="s">
        <v>1033</v>
      </c>
      <c r="C149" s="112"/>
      <c r="D149" s="214"/>
      <c r="E149" s="214"/>
      <c r="F149" s="214"/>
      <c r="G149" s="214"/>
      <c r="H149" s="217" t="str">
        <f>IF(ROUND(CF!H39,0)=ROUND(SUM(CF!D39:G39),0),"OK","ERROR")</f>
        <v>OK</v>
      </c>
      <c r="I149" s="207"/>
      <c r="J149" s="214"/>
      <c r="K149" s="214"/>
      <c r="L149" s="214"/>
      <c r="M149" s="214"/>
      <c r="N149" s="217" t="str">
        <f>IF(ROUND(CF!N39,0)=ROUND(SUM(CF!J39:M39),0),"OK","ERROR")</f>
        <v>OK</v>
      </c>
      <c r="O149" s="207"/>
      <c r="P149" s="214"/>
      <c r="Q149" s="214"/>
      <c r="R149" s="214"/>
      <c r="S149" s="214"/>
      <c r="T149" s="217" t="str">
        <f>IF(ROUND(CF!T39,0)=ROUND(SUM(CF!P39:S39),0),"OK","ERROR")</f>
        <v>OK</v>
      </c>
      <c r="U149" s="207"/>
      <c r="V149" s="214"/>
      <c r="W149" s="214"/>
      <c r="X149" s="214"/>
      <c r="Y149" s="214"/>
      <c r="Z149" s="217" t="str">
        <f>IF(ROUND(CF!Z39,0)=ROUND(SUM(CF!V39:Y39),0),"OK","ERROR")</f>
        <v>OK</v>
      </c>
      <c r="AA149" s="210"/>
      <c r="AB149" s="214"/>
      <c r="AC149" s="214"/>
      <c r="AD149" s="214"/>
      <c r="AE149" s="214"/>
      <c r="AF149" s="217" t="str">
        <f>IF(ROUND(CF!AF39,0)=ROUND(SUM(CF!AB39:AE39),0),"OK","ERROR")</f>
        <v>OK</v>
      </c>
      <c r="AG149" s="208"/>
      <c r="AH149" s="214"/>
      <c r="AI149" s="214"/>
      <c r="AJ149" s="209"/>
      <c r="AK149" s="209"/>
      <c r="AL149" s="217" t="str">
        <f>IF(ROUND(CF!AL39,0)=ROUND(SUM(CF!AH39:AK39),0),"OK","ERROR")</f>
        <v>ERROR</v>
      </c>
      <c r="AM149" s="212"/>
      <c r="AN149" s="209"/>
      <c r="AO149" s="209"/>
      <c r="AP149" s="209"/>
      <c r="AQ149" s="209"/>
      <c r="AR149" s="217" t="str">
        <f>IF(ROUND(CF!AR39,0)=ROUND(SUM(CF!AN39:AQ39),0),"OK","ERROR")</f>
        <v>OK</v>
      </c>
      <c r="AS149" s="212"/>
      <c r="AT149" s="217" t="str">
        <f>IF(ROUND(CF!AT39,0)=ROUND(SUM(CF!AP39:AS39),0),"OK","ERROR")</f>
        <v>OK</v>
      </c>
      <c r="AU149" s="212"/>
      <c r="AV149" s="217" t="str">
        <f>IF(ROUND(CF!AV39,0)=ROUND(SUM(CF!AR39:AU39),0),"OK","ERROR")</f>
        <v>OK</v>
      </c>
      <c r="AW149" s="243"/>
      <c r="AX149" s="217" t="str">
        <f>IF(ROUND(CF!AX39,0)=ROUND(SUM(CF!AT39:AW39),0),"OK","ERROR")</f>
        <v>OK</v>
      </c>
    </row>
    <row r="150" spans="1:50" s="51" customFormat="1" ht="15" customHeight="1" x14ac:dyDescent="0.3">
      <c r="A150" s="110"/>
      <c r="B150" s="156" t="s">
        <v>1034</v>
      </c>
      <c r="C150" s="112"/>
      <c r="D150" s="214"/>
      <c r="E150" s="214"/>
      <c r="F150" s="214"/>
      <c r="G150" s="214"/>
      <c r="H150" s="217" t="str">
        <f>IF(ROUND(CF!H40,0)=ROUND(SUM(CF!D40:G40),0),"OK","ERROR")</f>
        <v>OK</v>
      </c>
      <c r="I150" s="207"/>
      <c r="J150" s="214"/>
      <c r="K150" s="214"/>
      <c r="L150" s="214"/>
      <c r="M150" s="214"/>
      <c r="N150" s="217" t="str">
        <f>IF(ROUND(CF!N40,0)=ROUND(SUM(CF!J40:M40),0),"OK","ERROR")</f>
        <v>OK</v>
      </c>
      <c r="O150" s="207"/>
      <c r="P150" s="214"/>
      <c r="Q150" s="214"/>
      <c r="R150" s="214"/>
      <c r="S150" s="214"/>
      <c r="T150" s="217" t="str">
        <f>IF(ROUND(CF!T40,0)=ROUND(SUM(CF!P40:S40),0),"OK","ERROR")</f>
        <v>OK</v>
      </c>
      <c r="U150" s="207"/>
      <c r="V150" s="214"/>
      <c r="W150" s="214"/>
      <c r="X150" s="214"/>
      <c r="Y150" s="214"/>
      <c r="Z150" s="217" t="str">
        <f>IF(ROUND(CF!Z40,0)=ROUND(SUM(CF!V40:Y40),0),"OK","ERROR")</f>
        <v>OK</v>
      </c>
      <c r="AA150" s="210"/>
      <c r="AB150" s="214"/>
      <c r="AC150" s="214"/>
      <c r="AD150" s="214"/>
      <c r="AE150" s="214"/>
      <c r="AF150" s="217" t="str">
        <f>IF(ROUND(CF!AF40,0)=ROUND(SUM(CF!AB40:AE40),0),"OK","ERROR")</f>
        <v>OK</v>
      </c>
      <c r="AG150" s="208"/>
      <c r="AH150" s="214"/>
      <c r="AI150" s="214"/>
      <c r="AJ150" s="209"/>
      <c r="AK150" s="209"/>
      <c r="AL150" s="217" t="str">
        <f>IF(ROUND(CF!AL40,0)=ROUND(SUM(CF!AH40:AK40),0),"OK","ERROR")</f>
        <v>ERROR</v>
      </c>
      <c r="AM150" s="212"/>
      <c r="AN150" s="209"/>
      <c r="AO150" s="209"/>
      <c r="AP150" s="209"/>
      <c r="AQ150" s="209"/>
      <c r="AR150" s="217" t="str">
        <f>IF(ROUND(CF!AR40,0)=ROUND(SUM(CF!AN40:AQ40),0),"OK","ERROR")</f>
        <v>OK</v>
      </c>
      <c r="AS150" s="212"/>
      <c r="AT150" s="217" t="str">
        <f>IF(ROUND(CF!AT40,0)=ROUND(SUM(CF!AP40:AS40),0),"OK","ERROR")</f>
        <v>OK</v>
      </c>
      <c r="AU150" s="212"/>
      <c r="AV150" s="217" t="str">
        <f>IF(ROUND(CF!AV40,0)=ROUND(SUM(CF!AR40:AU40),0),"OK","ERROR")</f>
        <v>OK</v>
      </c>
      <c r="AW150" s="243"/>
      <c r="AX150" s="217" t="str">
        <f>IF(ROUND(CF!AX40,0)=ROUND(SUM(CF!AT40:AW40),0),"OK","ERROR")</f>
        <v>OK</v>
      </c>
    </row>
    <row r="151" spans="1:50" s="51" customFormat="1" ht="15" customHeight="1" x14ac:dyDescent="0.3">
      <c r="A151" s="110"/>
      <c r="B151" s="156" t="s">
        <v>1035</v>
      </c>
      <c r="C151" s="112"/>
      <c r="D151" s="214"/>
      <c r="E151" s="214"/>
      <c r="F151" s="214"/>
      <c r="G151" s="214"/>
      <c r="H151" s="217" t="str">
        <f>IF(ROUND(CF!H41,0)=ROUND(SUM(CF!D41:G41),0),"OK","ERROR")</f>
        <v>OK</v>
      </c>
      <c r="I151" s="207"/>
      <c r="J151" s="214"/>
      <c r="K151" s="214"/>
      <c r="L151" s="214"/>
      <c r="M151" s="214"/>
      <c r="N151" s="217" t="str">
        <f>IF(ROUND(CF!N41,0)=ROUND(SUM(CF!J41:M41),0),"OK","ERROR")</f>
        <v>OK</v>
      </c>
      <c r="O151" s="207"/>
      <c r="P151" s="214"/>
      <c r="Q151" s="214"/>
      <c r="R151" s="214"/>
      <c r="S151" s="214"/>
      <c r="T151" s="217" t="str">
        <f>IF(ROUND(CF!T41,0)=ROUND(SUM(CF!P41:S41),0),"OK","ERROR")</f>
        <v>OK</v>
      </c>
      <c r="U151" s="207"/>
      <c r="V151" s="214"/>
      <c r="W151" s="214"/>
      <c r="X151" s="214"/>
      <c r="Y151" s="214"/>
      <c r="Z151" s="217" t="str">
        <f>IF(ROUND(CF!Z41,0)=ROUND(SUM(CF!V41:Y41),0),"OK","ERROR")</f>
        <v>OK</v>
      </c>
      <c r="AA151" s="210"/>
      <c r="AB151" s="214"/>
      <c r="AC151" s="214"/>
      <c r="AD151" s="214"/>
      <c r="AE151" s="214"/>
      <c r="AF151" s="217" t="str">
        <f>IF(ROUND(CF!AF41,0)=ROUND(SUM(CF!AB41:AE41),0),"OK","ERROR")</f>
        <v>OK</v>
      </c>
      <c r="AG151" s="208"/>
      <c r="AH151" s="214"/>
      <c r="AI151" s="214"/>
      <c r="AJ151" s="209"/>
      <c r="AK151" s="209"/>
      <c r="AL151" s="217" t="str">
        <f>IF(ROUND(CF!AL41,0)=ROUND(SUM(CF!AH41:AK41),0),"OK","ERROR")</f>
        <v>OK</v>
      </c>
      <c r="AM151" s="212"/>
      <c r="AN151" s="209"/>
      <c r="AO151" s="209"/>
      <c r="AP151" s="209"/>
      <c r="AQ151" s="209"/>
      <c r="AR151" s="217" t="str">
        <f>IF(ROUND(CF!AR41,0)=ROUND(SUM(CF!AN41:AQ41),0),"OK","ERROR")</f>
        <v>OK</v>
      </c>
      <c r="AS151" s="212"/>
      <c r="AT151" s="217" t="str">
        <f>IF(ROUND(CF!AT41,0)=ROUND(SUM(CF!AP41:AS41),0),"OK","ERROR")</f>
        <v>OK</v>
      </c>
      <c r="AU151" s="212"/>
      <c r="AV151" s="217" t="str">
        <f>IF(ROUND(CF!AV41,0)=ROUND(SUM(CF!AR41:AU41),0),"OK","ERROR")</f>
        <v>OK</v>
      </c>
      <c r="AW151" s="243"/>
      <c r="AX151" s="217" t="str">
        <f>IF(ROUND(CF!AX41,0)=ROUND(SUM(CF!AT41:AW41),0),"OK","ERROR")</f>
        <v>OK</v>
      </c>
    </row>
    <row r="152" spans="1:50" s="51" customFormat="1" ht="15" customHeight="1" x14ac:dyDescent="0.3">
      <c r="A152" s="139"/>
      <c r="B152" s="156" t="s">
        <v>1036</v>
      </c>
      <c r="C152" s="25"/>
      <c r="D152" s="214"/>
      <c r="E152" s="214"/>
      <c r="F152" s="214"/>
      <c r="G152" s="214"/>
      <c r="H152" s="217" t="str">
        <f>IF(ROUND(CF!H42,0)=ROUND(SUM(CF!D42:G42),0),"OK","ERROR")</f>
        <v>OK</v>
      </c>
      <c r="I152" s="207"/>
      <c r="J152" s="214"/>
      <c r="K152" s="214"/>
      <c r="L152" s="214"/>
      <c r="M152" s="214"/>
      <c r="N152" s="217" t="str">
        <f>IF(ROUND(CF!N42,0)=ROUND(SUM(CF!J42:M42),0),"OK","ERROR")</f>
        <v>OK</v>
      </c>
      <c r="O152" s="207"/>
      <c r="P152" s="214"/>
      <c r="Q152" s="214"/>
      <c r="R152" s="214"/>
      <c r="S152" s="214"/>
      <c r="T152" s="217" t="str">
        <f>IF(ROUND(CF!T42,0)=ROUND(SUM(CF!P42:S42),0),"OK","ERROR")</f>
        <v>OK</v>
      </c>
      <c r="U152" s="207"/>
      <c r="V152" s="214"/>
      <c r="W152" s="214"/>
      <c r="X152" s="214"/>
      <c r="Y152" s="214"/>
      <c r="Z152" s="217" t="str">
        <f>IF(ROUND(CF!Z42,0)=ROUND(SUM(CF!V42:Y42),0),"OK","ERROR")</f>
        <v>OK</v>
      </c>
      <c r="AA152" s="210"/>
      <c r="AB152" s="214"/>
      <c r="AC152" s="214"/>
      <c r="AD152" s="214"/>
      <c r="AE152" s="214"/>
      <c r="AF152" s="217" t="str">
        <f>IF(ROUND(CF!AF42,0)=ROUND(SUM(CF!AB42:AE42),0),"OK","ERROR")</f>
        <v>OK</v>
      </c>
      <c r="AG152" s="208"/>
      <c r="AH152" s="214"/>
      <c r="AI152" s="214"/>
      <c r="AJ152" s="209"/>
      <c r="AK152" s="209"/>
      <c r="AL152" s="217" t="str">
        <f>IF(ROUND(CF!AL42,0)=ROUND(SUM(CF!AH42:AK42),0),"OK","ERROR")</f>
        <v>OK</v>
      </c>
      <c r="AM152" s="244"/>
      <c r="AN152" s="209"/>
      <c r="AO152" s="209"/>
      <c r="AP152" s="209"/>
      <c r="AQ152" s="209"/>
      <c r="AR152" s="217" t="str">
        <f>IF(ROUND(CF!AR42,0)=ROUND(SUM(CF!AN42:AQ42),0),"OK","ERROR")</f>
        <v>OK</v>
      </c>
      <c r="AS152" s="212"/>
      <c r="AT152" s="217" t="str">
        <f>IF(ROUND(CF!AT42,0)=ROUND(SUM(CF!AP42:AS42),0),"OK","ERROR")</f>
        <v>OK</v>
      </c>
      <c r="AU152" s="212"/>
      <c r="AV152" s="217" t="str">
        <f>IF(ROUND(CF!AV42,0)=ROUND(SUM(CF!AR42:AU42),0),"OK","ERROR")</f>
        <v>OK</v>
      </c>
      <c r="AW152" s="243"/>
      <c r="AX152" s="217" t="str">
        <f>IF(ROUND(CF!AX42,0)=ROUND(SUM(CF!AT42:AW42),0),"OK","ERROR")</f>
        <v>OK</v>
      </c>
    </row>
    <row r="153" spans="1:50" s="51" customFormat="1" ht="15" customHeight="1" x14ac:dyDescent="0.3">
      <c r="A153" s="110"/>
      <c r="B153" s="156" t="s">
        <v>1037</v>
      </c>
      <c r="C153" s="112"/>
      <c r="D153" s="214"/>
      <c r="E153" s="214"/>
      <c r="F153" s="214"/>
      <c r="G153" s="214"/>
      <c r="H153" s="217" t="str">
        <f>IF(ROUND(CF!H43,0)=ROUND(SUM(CF!D43:G43),0),"OK","ERROR")</f>
        <v>OK</v>
      </c>
      <c r="I153" s="207"/>
      <c r="J153" s="214"/>
      <c r="K153" s="214"/>
      <c r="L153" s="214"/>
      <c r="M153" s="214"/>
      <c r="N153" s="217" t="str">
        <f>IF(ROUND(CF!N43,0)=ROUND(SUM(CF!J43:M43),0),"OK","ERROR")</f>
        <v>OK</v>
      </c>
      <c r="O153" s="207"/>
      <c r="P153" s="214"/>
      <c r="Q153" s="214"/>
      <c r="R153" s="214"/>
      <c r="S153" s="214"/>
      <c r="T153" s="217" t="str">
        <f>IF(ROUND(CF!T43,0)=ROUND(SUM(CF!P43:S43),0),"OK","ERROR")</f>
        <v>OK</v>
      </c>
      <c r="U153" s="207"/>
      <c r="V153" s="214"/>
      <c r="W153" s="214"/>
      <c r="X153" s="214"/>
      <c r="Y153" s="214"/>
      <c r="Z153" s="217" t="str">
        <f>IF(ROUND(CF!Z43,0)=ROUND(SUM(CF!V43:Y43),0),"OK","ERROR")</f>
        <v>OK</v>
      </c>
      <c r="AA153" s="210"/>
      <c r="AB153" s="214"/>
      <c r="AC153" s="214"/>
      <c r="AD153" s="214"/>
      <c r="AE153" s="214"/>
      <c r="AF153" s="217" t="str">
        <f>IF(ROUND(CF!AF43,0)=ROUND(SUM(CF!AB43:AE43),0),"OK","ERROR")</f>
        <v>OK</v>
      </c>
      <c r="AG153" s="208"/>
      <c r="AH153" s="214"/>
      <c r="AI153" s="214"/>
      <c r="AJ153" s="209"/>
      <c r="AK153" s="209"/>
      <c r="AL153" s="217" t="str">
        <f>IF(ROUND(CF!AL43,0)=ROUND(SUM(CF!AH43:AK43),0),"OK","ERROR")</f>
        <v>OK</v>
      </c>
      <c r="AM153" s="244"/>
      <c r="AN153" s="209"/>
      <c r="AO153" s="209"/>
      <c r="AP153" s="209"/>
      <c r="AQ153" s="209"/>
      <c r="AR153" s="217" t="str">
        <f>IF(ROUND(CF!AR43,0)=ROUND(SUM(CF!AN43:AQ43),0),"OK","ERROR")</f>
        <v>OK</v>
      </c>
      <c r="AS153" s="212"/>
      <c r="AT153" s="217" t="str">
        <f>IF(ROUND(CF!AT43,0)=ROUND(SUM(CF!AP43:AS43),0),"OK","ERROR")</f>
        <v>OK</v>
      </c>
      <c r="AU153" s="212"/>
      <c r="AV153" s="217" t="str">
        <f>IF(ROUND(CF!AV43,0)=ROUND(SUM(CF!AR43:AU43),0),"OK","ERROR")</f>
        <v>OK</v>
      </c>
      <c r="AW153" s="243"/>
      <c r="AX153" s="217" t="str">
        <f>IF(ROUND(CF!AX43,0)=ROUND(SUM(CF!AT43:AW43),0),"OK","ERROR")</f>
        <v>OK</v>
      </c>
    </row>
    <row r="154" spans="1:50" s="51" customFormat="1" ht="15" customHeight="1" x14ac:dyDescent="0.3">
      <c r="A154" s="110"/>
      <c r="B154" s="156" t="s">
        <v>1038</v>
      </c>
      <c r="C154" s="112"/>
      <c r="D154" s="214"/>
      <c r="E154" s="214"/>
      <c r="F154" s="214"/>
      <c r="G154" s="214"/>
      <c r="H154" s="223" t="str">
        <f>IF(ROUND(CF!H44,0)=ROUND(SUM(CF!D44:G44),0),"OK","ERROR")</f>
        <v>OK</v>
      </c>
      <c r="I154" s="207"/>
      <c r="J154" s="214"/>
      <c r="K154" s="214"/>
      <c r="L154" s="214"/>
      <c r="M154" s="214"/>
      <c r="N154" s="223" t="str">
        <f>IF(ROUND(CF!N44,0)=ROUND(SUM(CF!J44:M44),0),"OK","ERROR")</f>
        <v>OK</v>
      </c>
      <c r="O154" s="207"/>
      <c r="P154" s="214"/>
      <c r="Q154" s="214"/>
      <c r="R154" s="214"/>
      <c r="S154" s="214"/>
      <c r="T154" s="223" t="str">
        <f>IF(ROUND(CF!T44,0)=ROUND(SUM(CF!P44:S44),0),"OK","ERROR")</f>
        <v>OK</v>
      </c>
      <c r="U154" s="207"/>
      <c r="V154" s="214"/>
      <c r="W154" s="214"/>
      <c r="X154" s="214"/>
      <c r="Y154" s="214"/>
      <c r="Z154" s="223" t="str">
        <f>IF(ROUND(CF!Z44,0)=ROUND(SUM(CF!V44:Y44),0),"OK","ERROR")</f>
        <v>OK</v>
      </c>
      <c r="AA154" s="225"/>
      <c r="AB154" s="214"/>
      <c r="AC154" s="214"/>
      <c r="AD154" s="214"/>
      <c r="AE154" s="214"/>
      <c r="AF154" s="223" t="str">
        <f>IF(ROUND(CF!AF44,0)=ROUND(SUM(CF!AB44:AE44),0),"OK","ERROR")</f>
        <v>OK</v>
      </c>
      <c r="AG154" s="226"/>
      <c r="AH154" s="214"/>
      <c r="AI154" s="214"/>
      <c r="AJ154" s="209"/>
      <c r="AK154" s="209"/>
      <c r="AL154" s="223" t="str">
        <f>IF(ROUND(CF!AL44,0)=ROUND(SUM(CF!AH44:AK44),0),"OK","ERROR")</f>
        <v>ERROR</v>
      </c>
      <c r="AM154" s="227"/>
      <c r="AN154" s="209"/>
      <c r="AO154" s="209"/>
      <c r="AP154" s="209"/>
      <c r="AQ154" s="209"/>
      <c r="AR154" s="223" t="str">
        <f>IF(ROUND(CF!AR44,0)=ROUND(SUM(CF!AN44:AQ44),0),"OK","ERROR")</f>
        <v>OK</v>
      </c>
      <c r="AS154" s="227"/>
      <c r="AT154" s="223" t="str">
        <f>IF(ROUND(CF!AT44,0)=ROUND(SUM(CF!AP44:AS44),0),"OK","ERROR")</f>
        <v>OK</v>
      </c>
      <c r="AU154" s="227"/>
      <c r="AV154" s="223" t="str">
        <f>IF(ROUND(CF!AV44,0)=ROUND(SUM(CF!AR44:AU44),0),"OK","ERROR")</f>
        <v>OK</v>
      </c>
      <c r="AW154" s="243"/>
      <c r="AX154" s="223" t="str">
        <f>IF(ROUND(CF!AX44,0)=ROUND(SUM(CF!AT44:AW44),0),"OK","ERROR")</f>
        <v>OK</v>
      </c>
    </row>
    <row r="155" spans="1:50" s="51" customFormat="1" ht="15" customHeight="1" thickBot="1" x14ac:dyDescent="0.35">
      <c r="A155" s="110"/>
      <c r="B155" s="157" t="s">
        <v>1039</v>
      </c>
      <c r="C155" s="15"/>
      <c r="D155" s="214"/>
      <c r="E155" s="214"/>
      <c r="F155" s="214"/>
      <c r="G155" s="214"/>
      <c r="H155" s="234" t="str">
        <f>IF(ROUND(CF!H45,0)=ROUND(SUM(CF!D45:G45),0),"OK","ERROR")</f>
        <v>OK</v>
      </c>
      <c r="I155" s="207"/>
      <c r="J155" s="214"/>
      <c r="K155" s="214"/>
      <c r="L155" s="214"/>
      <c r="M155" s="214"/>
      <c r="N155" s="234" t="str">
        <f>IF(ROUND(CF!N45,0)=ROUND(SUM(CF!J45:M45),0),"OK","ERROR")</f>
        <v>OK</v>
      </c>
      <c r="O155" s="207"/>
      <c r="P155" s="214"/>
      <c r="Q155" s="214"/>
      <c r="R155" s="214"/>
      <c r="S155" s="214"/>
      <c r="T155" s="234" t="str">
        <f>IF(ROUND(CF!T45,0)=ROUND(SUM(CF!P45:S45),0),"OK","ERROR")</f>
        <v>OK</v>
      </c>
      <c r="U155" s="207"/>
      <c r="V155" s="214"/>
      <c r="W155" s="214"/>
      <c r="X155" s="214"/>
      <c r="Y155" s="214"/>
      <c r="Z155" s="234" t="str">
        <f>IF(ROUND(CF!Z45,0)=ROUND(SUM(CF!V45:Y45),0),"OK","ERROR")</f>
        <v>OK</v>
      </c>
      <c r="AA155" s="207"/>
      <c r="AB155" s="214"/>
      <c r="AC155" s="214"/>
      <c r="AD155" s="214"/>
      <c r="AE155" s="214"/>
      <c r="AF155" s="234" t="str">
        <f>IF(ROUND(CF!AF45,0)=ROUND(SUM(CF!AB45:AE45),0),"OK","ERROR")</f>
        <v>OK</v>
      </c>
      <c r="AG155" s="235"/>
      <c r="AH155" s="214"/>
      <c r="AI155" s="214"/>
      <c r="AJ155" s="209"/>
      <c r="AK155" s="209"/>
      <c r="AL155" s="234" t="str">
        <f>IF(ROUND(CF!AL45,0)=ROUND(SUM(CF!AH45:AK45),0),"OK","ERROR")</f>
        <v>ERROR</v>
      </c>
      <c r="AM155" s="236"/>
      <c r="AN155" s="209"/>
      <c r="AO155" s="209"/>
      <c r="AP155" s="209"/>
      <c r="AQ155" s="209"/>
      <c r="AR155" s="234" t="str">
        <f>IF(ROUND(CF!AR45,0)=ROUND(SUM(CF!AN45:AQ45),0),"OK","ERROR")</f>
        <v>OK</v>
      </c>
      <c r="AS155" s="236"/>
      <c r="AT155" s="234" t="str">
        <f>IF(ROUND(CF!AT45,0)=ROUND(SUM(CF!AP45:AS45),0),"OK","ERROR")</f>
        <v>OK</v>
      </c>
      <c r="AU155" s="236"/>
      <c r="AV155" s="234" t="str">
        <f>IF(ROUND(CF!AV45,0)=ROUND(SUM(CF!AR45:AU45),0),"OK","ERROR")</f>
        <v>OK</v>
      </c>
      <c r="AW155" s="243"/>
      <c r="AX155" s="234" t="str">
        <f>IF(ROUND(CF!AX45,0)=ROUND(SUM(CF!AT45:AW45),0),"OK","ERROR")</f>
        <v>OK</v>
      </c>
    </row>
    <row r="156" spans="1:50" s="51" customFormat="1" ht="15" customHeight="1" thickTop="1" x14ac:dyDescent="0.35">
      <c r="A156" s="110"/>
      <c r="B156" s="9"/>
      <c r="C156" s="112"/>
      <c r="D156" s="205"/>
      <c r="E156" s="205"/>
      <c r="F156" s="205"/>
      <c r="G156" s="205"/>
      <c r="H156" s="217"/>
      <c r="I156" s="207"/>
      <c r="J156" s="205"/>
      <c r="K156" s="205"/>
      <c r="L156" s="205"/>
      <c r="M156" s="205"/>
      <c r="N156" s="217"/>
      <c r="O156" s="207"/>
      <c r="P156" s="205"/>
      <c r="Q156" s="205"/>
      <c r="R156" s="205"/>
      <c r="S156" s="205"/>
      <c r="T156" s="217"/>
      <c r="U156" s="207"/>
      <c r="V156" s="205"/>
      <c r="W156" s="205"/>
      <c r="X156" s="205"/>
      <c r="Y156" s="205"/>
      <c r="Z156" s="217"/>
      <c r="AA156" s="225"/>
      <c r="AB156" s="205"/>
      <c r="AC156" s="205"/>
      <c r="AD156" s="205"/>
      <c r="AE156" s="205"/>
      <c r="AF156" s="217"/>
      <c r="AG156" s="226"/>
      <c r="AH156" s="205"/>
      <c r="AI156" s="205"/>
      <c r="AJ156" s="209"/>
      <c r="AK156" s="209"/>
      <c r="AL156" s="217"/>
      <c r="AM156" s="227"/>
      <c r="AN156" s="209"/>
      <c r="AO156" s="209"/>
      <c r="AP156" s="209"/>
      <c r="AQ156" s="209"/>
      <c r="AR156" s="217"/>
      <c r="AS156" s="227"/>
      <c r="AT156" s="217"/>
      <c r="AU156" s="227"/>
      <c r="AV156" s="217"/>
      <c r="AW156" s="243"/>
      <c r="AX156" s="217"/>
    </row>
    <row r="157" spans="1:50" s="51" customFormat="1" ht="15" customHeight="1" x14ac:dyDescent="0.3">
      <c r="A157" s="41" t="s">
        <v>39</v>
      </c>
      <c r="B157" s="155" t="s">
        <v>1040</v>
      </c>
      <c r="C157" s="15"/>
      <c r="D157" s="214"/>
      <c r="E157" s="214"/>
      <c r="F157" s="214"/>
      <c r="G157" s="214"/>
      <c r="H157" s="217" t="str">
        <f>IF(ROUND(CF!H47,0)=ROUND(SUM(CF!D47:G47),0),"OK","ERROR")</f>
        <v>OK</v>
      </c>
      <c r="I157" s="207"/>
      <c r="J157" s="214"/>
      <c r="K157" s="214"/>
      <c r="L157" s="214"/>
      <c r="M157" s="214"/>
      <c r="N157" s="217" t="str">
        <f>IF(ROUND(CF!N47,0)=ROUND(SUM(CF!J47:M47),0),"OK","ERROR")</f>
        <v>OK</v>
      </c>
      <c r="O157" s="207"/>
      <c r="P157" s="214"/>
      <c r="Q157" s="214"/>
      <c r="R157" s="214"/>
      <c r="S157" s="214"/>
      <c r="T157" s="217" t="str">
        <f>IF(ROUND(CF!T47,0)=ROUND(SUM(CF!P47:S47),0),"OK","ERROR")</f>
        <v>OK</v>
      </c>
      <c r="U157" s="207"/>
      <c r="V157" s="214"/>
      <c r="W157" s="214"/>
      <c r="X157" s="214"/>
      <c r="Y157" s="214"/>
      <c r="Z157" s="217" t="str">
        <f>IF(ROUND(CF!Z47,0)=ROUND(SUM(CF!V47:Y47),0),"OK","ERROR")</f>
        <v>OK</v>
      </c>
      <c r="AA157" s="207"/>
      <c r="AB157" s="214"/>
      <c r="AC157" s="214"/>
      <c r="AD157" s="214"/>
      <c r="AE157" s="214"/>
      <c r="AF157" s="217" t="str">
        <f>IF(ROUND(CF!AF47,0)=ROUND(SUM(CF!AB47:AE47),0),"OK","ERROR")</f>
        <v>OK</v>
      </c>
      <c r="AG157" s="235"/>
      <c r="AH157" s="214"/>
      <c r="AI157" s="214"/>
      <c r="AJ157" s="209"/>
      <c r="AK157" s="209"/>
      <c r="AL157" s="217" t="str">
        <f>IF(ROUND(CF!AL47,0)=ROUND(SUM(CF!AH47:AK47),0),"OK","ERROR")</f>
        <v>OK</v>
      </c>
      <c r="AM157" s="222"/>
      <c r="AN157" s="209"/>
      <c r="AO157" s="209"/>
      <c r="AP157" s="209"/>
      <c r="AQ157" s="209"/>
      <c r="AR157" s="217" t="str">
        <f>IF(ROUND(CF!AR47,0)=ROUND(SUM(CF!AN47:AQ47),0),"OK","ERROR")</f>
        <v>OK</v>
      </c>
      <c r="AS157" s="222"/>
      <c r="AT157" s="217" t="str">
        <f>IF(ROUND(CF!AT47,0)=ROUND(SUM(CF!AP47:AS47),0),"OK","ERROR")</f>
        <v>OK</v>
      </c>
      <c r="AU157" s="222"/>
      <c r="AV157" s="217" t="str">
        <f>IF(ROUND(CF!AV47,0)=ROUND(SUM(CF!AR47:AU47),0),"OK","ERROR")</f>
        <v>OK</v>
      </c>
      <c r="AW157" s="243"/>
      <c r="AX157" s="217" t="str">
        <f>IF(ROUND(CF!AX47,0)=ROUND(SUM(CF!AT47:AW47),0),"OK","ERROR")</f>
        <v>OK</v>
      </c>
    </row>
    <row r="158" spans="1:50" s="51" customFormat="1" ht="15" customHeight="1" x14ac:dyDescent="0.3">
      <c r="A158" s="110"/>
      <c r="C158" s="112"/>
      <c r="D158" s="205"/>
      <c r="E158" s="205"/>
      <c r="F158" s="205"/>
      <c r="G158" s="205"/>
      <c r="H158" s="217"/>
      <c r="I158" s="207"/>
      <c r="J158" s="205"/>
      <c r="K158" s="205"/>
      <c r="L158" s="205"/>
      <c r="M158" s="205"/>
      <c r="N158" s="217"/>
      <c r="O158" s="207"/>
      <c r="P158" s="205"/>
      <c r="Q158" s="205"/>
      <c r="R158" s="205"/>
      <c r="S158" s="205"/>
      <c r="T158" s="217"/>
      <c r="U158" s="207"/>
      <c r="V158" s="205"/>
      <c r="W158" s="205"/>
      <c r="X158" s="205"/>
      <c r="Y158" s="205"/>
      <c r="Z158" s="217"/>
      <c r="AA158" s="207"/>
      <c r="AB158" s="205"/>
      <c r="AC158" s="205"/>
      <c r="AD158" s="205"/>
      <c r="AE158" s="205"/>
      <c r="AF158" s="217"/>
      <c r="AG158" s="235"/>
      <c r="AH158" s="205"/>
      <c r="AI158" s="205"/>
      <c r="AJ158" s="209"/>
      <c r="AK158" s="209"/>
      <c r="AL158" s="217"/>
      <c r="AM158" s="236"/>
      <c r="AN158" s="209"/>
      <c r="AO158" s="209"/>
      <c r="AP158" s="209"/>
      <c r="AQ158" s="209"/>
      <c r="AR158" s="217"/>
      <c r="AS158" s="236"/>
      <c r="AT158" s="217"/>
      <c r="AU158" s="236"/>
      <c r="AV158" s="217"/>
      <c r="AW158" s="243"/>
      <c r="AX158" s="217"/>
    </row>
    <row r="159" spans="1:50" s="51" customFormat="1" ht="15" customHeight="1" x14ac:dyDescent="0.3">
      <c r="A159" s="41" t="s">
        <v>39</v>
      </c>
      <c r="B159" s="155" t="s">
        <v>1041</v>
      </c>
      <c r="C159" s="15"/>
      <c r="D159" s="214"/>
      <c r="E159" s="214"/>
      <c r="F159" s="214"/>
      <c r="G159" s="214"/>
      <c r="H159" s="223" t="str">
        <f>IF(ROUND(CF!H49,0)=ROUND(SUM(CF!D49:G49),0),"OK","ERROR")</f>
        <v>OK</v>
      </c>
      <c r="I159" s="207"/>
      <c r="J159" s="214"/>
      <c r="K159" s="214"/>
      <c r="L159" s="214"/>
      <c r="M159" s="214"/>
      <c r="N159" s="223" t="str">
        <f>IF(ROUND(CF!N49,0)=ROUND(SUM(CF!J49:M49),0),"OK","ERROR")</f>
        <v>OK</v>
      </c>
      <c r="O159" s="207"/>
      <c r="P159" s="214"/>
      <c r="Q159" s="214"/>
      <c r="R159" s="214"/>
      <c r="S159" s="214"/>
      <c r="T159" s="223" t="str">
        <f>IF(ROUND(CF!T49,0)=ROUND(SUM(CF!P49:S49),0),"OK","ERROR")</f>
        <v>OK</v>
      </c>
      <c r="U159" s="207"/>
      <c r="V159" s="214"/>
      <c r="W159" s="214"/>
      <c r="X159" s="214"/>
      <c r="Y159" s="214"/>
      <c r="Z159" s="223" t="str">
        <f>IF(ROUND(CF!Z49,0)=ROUND(SUM(CF!V49:Y49),0),"OK","ERROR")</f>
        <v>OK</v>
      </c>
      <c r="AA159" s="207"/>
      <c r="AB159" s="214"/>
      <c r="AC159" s="214"/>
      <c r="AD159" s="214"/>
      <c r="AE159" s="214"/>
      <c r="AF159" s="223" t="str">
        <f>IF(ROUND(CF!AF49,0)=ROUND(SUM(CF!AB49:AE49),0),"OK","ERROR")</f>
        <v>OK</v>
      </c>
      <c r="AG159" s="235"/>
      <c r="AH159" s="214"/>
      <c r="AI159" s="214"/>
      <c r="AJ159" s="209"/>
      <c r="AK159" s="209"/>
      <c r="AL159" s="223" t="str">
        <f>IF(ROUND(CF!AL49,0)=ROUND(SUM(CF!AH49:AK49),0),"OK","ERROR")</f>
        <v>ERROR</v>
      </c>
      <c r="AM159" s="236"/>
      <c r="AN159" s="209"/>
      <c r="AO159" s="209"/>
      <c r="AP159" s="209"/>
      <c r="AQ159" s="209"/>
      <c r="AR159" s="223" t="str">
        <f>IF(ROUND(CF!AR49,0)=ROUND(SUM(CF!AN49:AQ49),0),"OK","ERROR")</f>
        <v>OK</v>
      </c>
      <c r="AS159" s="236"/>
      <c r="AT159" s="223" t="str">
        <f>IF(ROUND(CF!AT49,0)=ROUND(SUM(CF!AP49:AS49),0),"OK","ERROR")</f>
        <v>OK</v>
      </c>
      <c r="AU159" s="236"/>
      <c r="AV159" s="223" t="str">
        <f>IF(ROUND(CF!AV49,0)=ROUND(SUM(CF!AR49:AU49),0),"OK","ERROR")</f>
        <v>OK</v>
      </c>
      <c r="AW159" s="243"/>
      <c r="AX159" s="223" t="str">
        <f>IF(ROUND(CF!AX49,0)=ROUND(SUM(CF!AT49:AW49),0),"OK","ERROR")</f>
        <v>OK</v>
      </c>
    </row>
    <row r="161" spans="1:50" s="38" customFormat="1" ht="15" customHeight="1" x14ac:dyDescent="0.3">
      <c r="A161" s="41" t="s">
        <v>39</v>
      </c>
      <c r="B161" s="158" t="s">
        <v>1049</v>
      </c>
      <c r="C161" s="16"/>
      <c r="D161" s="199"/>
      <c r="E161" s="199">
        <f>F161</f>
        <v>2020</v>
      </c>
      <c r="F161" s="199">
        <v>2020</v>
      </c>
      <c r="G161" s="199">
        <f>F161</f>
        <v>2020</v>
      </c>
      <c r="H161" s="199">
        <f>F161</f>
        <v>2020</v>
      </c>
      <c r="I161" s="16"/>
      <c r="J161" s="199">
        <f>L161</f>
        <v>2021</v>
      </c>
      <c r="K161" s="199">
        <f>L161</f>
        <v>2021</v>
      </c>
      <c r="L161" s="199">
        <v>2021</v>
      </c>
      <c r="M161" s="199">
        <f>L161</f>
        <v>2021</v>
      </c>
      <c r="N161" s="199">
        <f>L161</f>
        <v>2021</v>
      </c>
      <c r="O161" s="166"/>
      <c r="P161" s="199">
        <f>R161</f>
        <v>2022</v>
      </c>
      <c r="Q161" s="199">
        <f>R161</f>
        <v>2022</v>
      </c>
      <c r="R161" s="199">
        <v>2022</v>
      </c>
      <c r="S161" s="199">
        <f>R161</f>
        <v>2022</v>
      </c>
      <c r="T161" s="199">
        <f>R161</f>
        <v>2022</v>
      </c>
      <c r="U161" s="166"/>
      <c r="V161" s="199">
        <f>X161</f>
        <v>2023</v>
      </c>
      <c r="W161" s="199">
        <f>X161</f>
        <v>2023</v>
      </c>
      <c r="X161" s="199">
        <v>2023</v>
      </c>
      <c r="Y161" s="199">
        <f>X161</f>
        <v>2023</v>
      </c>
      <c r="Z161" s="199">
        <f>X161</f>
        <v>2023</v>
      </c>
      <c r="AA161" s="167"/>
      <c r="AB161" s="199">
        <f>AD161</f>
        <v>2024</v>
      </c>
      <c r="AC161" s="199">
        <f>AD161</f>
        <v>2024</v>
      </c>
      <c r="AD161" s="199">
        <v>2024</v>
      </c>
      <c r="AE161" s="199">
        <f>AD161</f>
        <v>2024</v>
      </c>
      <c r="AF161" s="199">
        <f>AD161</f>
        <v>2024</v>
      </c>
      <c r="AG161" s="167"/>
      <c r="AH161" s="199">
        <f>AJ161</f>
        <v>2025</v>
      </c>
      <c r="AI161" s="199">
        <f>AJ161</f>
        <v>2025</v>
      </c>
      <c r="AJ161" s="200">
        <v>2025</v>
      </c>
      <c r="AK161" s="199">
        <f>AJ161</f>
        <v>2025</v>
      </c>
      <c r="AL161" s="199">
        <f>AJ161</f>
        <v>2025</v>
      </c>
      <c r="AM161" s="168"/>
      <c r="AN161" s="199">
        <f>AP161</f>
        <v>2025</v>
      </c>
      <c r="AO161" s="199">
        <f>AP161</f>
        <v>2025</v>
      </c>
      <c r="AP161" s="200">
        <v>2025</v>
      </c>
      <c r="AQ161" s="199">
        <f>AP161</f>
        <v>2025</v>
      </c>
      <c r="AR161" s="199">
        <f>AP161</f>
        <v>2025</v>
      </c>
      <c r="AS161" s="16"/>
      <c r="AT161" s="159"/>
      <c r="AU161" s="16"/>
      <c r="AV161" s="160"/>
      <c r="AW161" s="16"/>
      <c r="AX161" s="160"/>
    </row>
    <row r="162" spans="1:50" s="38" customFormat="1" ht="15" customHeight="1" x14ac:dyDescent="0.3">
      <c r="B162" s="161"/>
      <c r="C162" s="16"/>
      <c r="D162" s="1244">
        <v>2020</v>
      </c>
      <c r="E162" s="1244"/>
      <c r="F162" s="1244"/>
      <c r="G162" s="1244"/>
      <c r="H162" s="1244"/>
      <c r="I162" s="166"/>
      <c r="J162" s="1244">
        <f>D162+1</f>
        <v>2021</v>
      </c>
      <c r="K162" s="1244"/>
      <c r="L162" s="1244"/>
      <c r="M162" s="1244"/>
      <c r="N162" s="1244"/>
      <c r="O162" s="166"/>
      <c r="P162" s="1244">
        <f>J162+1</f>
        <v>2022</v>
      </c>
      <c r="Q162" s="1244"/>
      <c r="R162" s="1244"/>
      <c r="S162" s="1244"/>
      <c r="T162" s="1244"/>
      <c r="U162" s="166"/>
      <c r="V162" s="1244">
        <f>P162+1</f>
        <v>2023</v>
      </c>
      <c r="W162" s="1244"/>
      <c r="X162" s="1244"/>
      <c r="Y162" s="1244"/>
      <c r="Z162" s="1244"/>
      <c r="AA162" s="166"/>
      <c r="AB162" s="1244">
        <f>V162+1</f>
        <v>2024</v>
      </c>
      <c r="AC162" s="1244"/>
      <c r="AD162" s="1244"/>
      <c r="AE162" s="1244"/>
      <c r="AF162" s="1244"/>
      <c r="AG162" s="166"/>
      <c r="AH162" s="1243">
        <f>AB162+1</f>
        <v>2025</v>
      </c>
      <c r="AI162" s="1243"/>
      <c r="AJ162" s="1243"/>
      <c r="AK162" s="1243"/>
      <c r="AL162" s="1243"/>
      <c r="AM162" s="166"/>
      <c r="AN162" s="1243">
        <f>AH162+1</f>
        <v>2026</v>
      </c>
      <c r="AO162" s="1243"/>
      <c r="AP162" s="1243"/>
      <c r="AQ162" s="1243"/>
      <c r="AR162" s="1243"/>
      <c r="AS162" s="168"/>
      <c r="AT162" s="163">
        <f>AN162+1</f>
        <v>2027</v>
      </c>
      <c r="AU162" s="164"/>
      <c r="AV162" s="163">
        <f>+AT162+1</f>
        <v>2028</v>
      </c>
      <c r="AW162" s="164"/>
      <c r="AX162" s="163">
        <f>+AV162+1</f>
        <v>2029</v>
      </c>
    </row>
    <row r="163" spans="1:50" s="38" customFormat="1" ht="15" customHeight="1" x14ac:dyDescent="0.3">
      <c r="B163" s="161"/>
      <c r="C163" s="16"/>
      <c r="D163" s="165" t="s">
        <v>217</v>
      </c>
      <c r="E163" s="165" t="s">
        <v>218</v>
      </c>
      <c r="F163" s="165" t="s">
        <v>219</v>
      </c>
      <c r="G163" s="165" t="s">
        <v>220</v>
      </c>
      <c r="H163" s="165" t="s">
        <v>221</v>
      </c>
      <c r="I163" s="16"/>
      <c r="J163" s="165" t="s">
        <v>217</v>
      </c>
      <c r="K163" s="165" t="s">
        <v>218</v>
      </c>
      <c r="L163" s="165" t="s">
        <v>219</v>
      </c>
      <c r="M163" s="165" t="s">
        <v>220</v>
      </c>
      <c r="N163" s="165" t="s">
        <v>221</v>
      </c>
      <c r="O163" s="162"/>
      <c r="P163" s="165" t="s">
        <v>217</v>
      </c>
      <c r="Q163" s="165" t="s">
        <v>218</v>
      </c>
      <c r="R163" s="165" t="s">
        <v>219</v>
      </c>
      <c r="S163" s="165" t="s">
        <v>220</v>
      </c>
      <c r="T163" s="165" t="s">
        <v>221</v>
      </c>
      <c r="U163" s="162"/>
      <c r="V163" s="165" t="s">
        <v>217</v>
      </c>
      <c r="W163" s="165" t="s">
        <v>218</v>
      </c>
      <c r="X163" s="165" t="s">
        <v>219</v>
      </c>
      <c r="Y163" s="165" t="s">
        <v>220</v>
      </c>
      <c r="Z163" s="165" t="s">
        <v>221</v>
      </c>
      <c r="AA163" s="162"/>
      <c r="AB163" s="165" t="s">
        <v>217</v>
      </c>
      <c r="AC163" s="165" t="s">
        <v>218</v>
      </c>
      <c r="AD163" s="165" t="s">
        <v>219</v>
      </c>
      <c r="AE163" s="165" t="s">
        <v>220</v>
      </c>
      <c r="AF163" s="165" t="s">
        <v>221</v>
      </c>
      <c r="AG163" s="162"/>
      <c r="AH163" s="165" t="s">
        <v>217</v>
      </c>
      <c r="AI163" s="165" t="s">
        <v>218</v>
      </c>
      <c r="AJ163" s="165" t="s">
        <v>219</v>
      </c>
      <c r="AK163" s="165" t="s">
        <v>220</v>
      </c>
      <c r="AL163" s="165" t="s">
        <v>221</v>
      </c>
      <c r="AM163" s="162"/>
      <c r="AN163" s="165" t="s">
        <v>217</v>
      </c>
      <c r="AO163" s="165" t="s">
        <v>218</v>
      </c>
      <c r="AP163" s="165" t="s">
        <v>219</v>
      </c>
      <c r="AQ163" s="165" t="s">
        <v>220</v>
      </c>
      <c r="AR163" s="165" t="s">
        <v>221</v>
      </c>
      <c r="AS163" s="162"/>
      <c r="AT163" s="165" t="s">
        <v>221</v>
      </c>
      <c r="AU163" s="162"/>
      <c r="AV163" s="165" t="s">
        <v>221</v>
      </c>
      <c r="AW163" s="162"/>
      <c r="AX163" s="165" t="s">
        <v>221</v>
      </c>
    </row>
    <row r="164" spans="1:50" s="38" customFormat="1" ht="4" customHeight="1" x14ac:dyDescent="0.3">
      <c r="A164" s="40"/>
      <c r="B164" s="173"/>
      <c r="C164" s="33"/>
      <c r="D164" s="174"/>
      <c r="E164" s="174"/>
      <c r="F164" s="174"/>
      <c r="G164" s="174"/>
      <c r="H164" s="174"/>
      <c r="I164" s="33"/>
      <c r="J164" s="174"/>
      <c r="K164" s="174"/>
      <c r="L164" s="174"/>
      <c r="M164" s="174"/>
      <c r="N164" s="174"/>
      <c r="O164" s="175"/>
      <c r="P164" s="174"/>
      <c r="Q164" s="174"/>
      <c r="R164" s="174"/>
      <c r="S164" s="174"/>
      <c r="T164" s="174"/>
      <c r="U164" s="175"/>
      <c r="V164" s="174"/>
      <c r="W164" s="174"/>
      <c r="X164" s="174"/>
      <c r="Y164" s="174"/>
      <c r="Z164" s="174"/>
      <c r="AA164" s="175"/>
      <c r="AB164" s="174"/>
      <c r="AC164" s="174"/>
      <c r="AD164" s="174"/>
      <c r="AE164" s="174"/>
      <c r="AF164" s="174"/>
      <c r="AG164" s="175"/>
      <c r="AH164" s="174"/>
      <c r="AI164" s="174"/>
      <c r="AJ164" s="174"/>
      <c r="AK164" s="174"/>
      <c r="AL164" s="176"/>
      <c r="AM164" s="177"/>
      <c r="AN164" s="176"/>
      <c r="AO164" s="176"/>
      <c r="AP164" s="176"/>
      <c r="AQ164" s="176"/>
      <c r="AR164" s="176"/>
      <c r="AS164" s="177"/>
      <c r="AT164" s="176"/>
      <c r="AU164" s="177"/>
      <c r="AV164" s="176"/>
      <c r="AW164" s="177"/>
      <c r="AX164" s="176"/>
    </row>
    <row r="165" spans="1:50" s="38" customFormat="1" ht="4" customHeight="1" x14ac:dyDescent="0.3">
      <c r="A165" s="40"/>
      <c r="B165" s="169"/>
      <c r="C165" s="17"/>
      <c r="D165" s="170"/>
      <c r="E165" s="170"/>
      <c r="F165" s="170"/>
      <c r="G165" s="170"/>
      <c r="H165" s="170"/>
      <c r="I165" s="17"/>
      <c r="J165" s="170"/>
      <c r="K165" s="170"/>
      <c r="L165" s="170"/>
      <c r="M165" s="170"/>
      <c r="N165" s="170"/>
      <c r="O165" s="171"/>
      <c r="P165" s="170"/>
      <c r="Q165" s="170"/>
      <c r="R165" s="170"/>
      <c r="S165" s="170"/>
      <c r="T165" s="170"/>
      <c r="U165" s="171"/>
      <c r="V165" s="170"/>
      <c r="W165" s="170"/>
      <c r="X165" s="170"/>
      <c r="Y165" s="170"/>
      <c r="Z165" s="170"/>
      <c r="AA165" s="171"/>
      <c r="AB165" s="170"/>
      <c r="AC165" s="170"/>
      <c r="AD165" s="170"/>
      <c r="AE165" s="170"/>
      <c r="AF165" s="170"/>
      <c r="AG165" s="201"/>
      <c r="AH165" s="170"/>
      <c r="AI165" s="170"/>
      <c r="AJ165" s="170"/>
      <c r="AK165" s="170"/>
      <c r="AL165" s="172"/>
      <c r="AM165" s="32"/>
      <c r="AN165" s="172"/>
      <c r="AO165" s="172"/>
      <c r="AP165" s="172"/>
      <c r="AQ165" s="172"/>
      <c r="AR165" s="172"/>
      <c r="AS165" s="32"/>
      <c r="AT165" s="172"/>
      <c r="AU165" s="32"/>
      <c r="AV165" s="172"/>
      <c r="AW165" s="32"/>
      <c r="AX165" s="172"/>
    </row>
    <row r="166" spans="1:50" s="51" customFormat="1" ht="15" customHeight="1" x14ac:dyDescent="0.3">
      <c r="A166" s="40"/>
      <c r="B166" s="151"/>
      <c r="C166" s="15"/>
      <c r="D166" s="43"/>
      <c r="E166" s="43"/>
      <c r="F166" s="43"/>
      <c r="G166" s="43"/>
      <c r="H166" s="54"/>
      <c r="I166" s="45"/>
      <c r="J166" s="43"/>
      <c r="K166" s="43"/>
      <c r="L166" s="43"/>
      <c r="M166" s="43"/>
      <c r="N166" s="54"/>
      <c r="O166" s="44"/>
      <c r="P166" s="43"/>
      <c r="Q166" s="43"/>
      <c r="R166" s="43"/>
      <c r="S166" s="43"/>
      <c r="T166" s="54"/>
      <c r="U166" s="44"/>
      <c r="V166" s="43"/>
      <c r="W166" s="43"/>
      <c r="X166" s="43"/>
      <c r="Y166" s="43"/>
      <c r="Z166" s="54"/>
      <c r="AA166" s="44"/>
      <c r="AB166" s="43"/>
      <c r="AC166" s="43"/>
      <c r="AD166" s="43"/>
      <c r="AE166" s="43"/>
      <c r="AF166" s="54"/>
      <c r="AG166" s="46"/>
      <c r="AH166" s="43"/>
      <c r="AI166" s="43"/>
      <c r="AJ166" s="47"/>
      <c r="AK166" s="47"/>
      <c r="AL166" s="55"/>
      <c r="AM166" s="50"/>
      <c r="AN166" s="47"/>
      <c r="AO166" s="47"/>
      <c r="AP166" s="47"/>
      <c r="AQ166" s="47"/>
      <c r="AR166" s="55"/>
      <c r="AS166" s="50"/>
      <c r="AT166" s="55"/>
      <c r="AU166" s="50"/>
      <c r="AV166" s="55"/>
      <c r="AX166" s="55"/>
    </row>
    <row r="167" spans="1:50" s="51" customFormat="1" ht="15" customHeight="1" x14ac:dyDescent="0.3">
      <c r="A167" s="41" t="s">
        <v>39</v>
      </c>
      <c r="B167" s="151" t="s">
        <v>1016</v>
      </c>
      <c r="C167" s="15"/>
      <c r="D167" s="205"/>
      <c r="E167" s="205"/>
      <c r="F167" s="205"/>
      <c r="G167" s="205"/>
      <c r="H167" s="217"/>
      <c r="I167" s="207"/>
      <c r="J167" s="205"/>
      <c r="K167" s="205"/>
      <c r="L167" s="205"/>
      <c r="M167" s="205"/>
      <c r="N167" s="217"/>
      <c r="O167" s="206"/>
      <c r="P167" s="205"/>
      <c r="Q167" s="205"/>
      <c r="R167" s="205"/>
      <c r="S167" s="205"/>
      <c r="T167" s="217"/>
      <c r="U167" s="206"/>
      <c r="V167" s="205"/>
      <c r="W167" s="205"/>
      <c r="X167" s="205"/>
      <c r="Y167" s="205"/>
      <c r="Z167" s="217"/>
      <c r="AA167" s="206"/>
      <c r="AB167" s="205"/>
      <c r="AC167" s="205"/>
      <c r="AD167" s="205"/>
      <c r="AE167" s="205"/>
      <c r="AF167" s="217"/>
      <c r="AG167" s="208"/>
      <c r="AH167" s="205"/>
      <c r="AI167" s="205"/>
      <c r="AJ167" s="209"/>
      <c r="AK167" s="209"/>
      <c r="AL167" s="219"/>
      <c r="AM167" s="212"/>
      <c r="AN167" s="209"/>
      <c r="AO167" s="209"/>
      <c r="AP167" s="209"/>
      <c r="AQ167" s="209"/>
      <c r="AR167" s="219"/>
      <c r="AS167" s="212"/>
      <c r="AT167" s="219"/>
      <c r="AU167" s="212"/>
      <c r="AV167" s="219"/>
      <c r="AW167" s="243"/>
      <c r="AX167" s="219"/>
    </row>
    <row r="168" spans="1:50" s="51" customFormat="1" ht="15" customHeight="1" thickBot="1" x14ac:dyDescent="0.35">
      <c r="A168" s="81"/>
      <c r="B168" s="154" t="s">
        <v>1021</v>
      </c>
      <c r="C168" s="24"/>
      <c r="D168" s="214" t="str">
        <f>IF(ROUND(CF!D25,0)=ROUND(SUM(CF!D15,CF!D17:D19,CF!D21:D24),0),"OK","ERROR")</f>
        <v>OK</v>
      </c>
      <c r="E168" s="214" t="str">
        <f>IF(ROUND(CF!E25,0)=ROUND(SUM(CF!E15,CF!E17:E19,CF!E21:E24),0),"OK","ERROR")</f>
        <v>OK</v>
      </c>
      <c r="F168" s="214" t="str">
        <f>IF(ROUND(CF!F25,0)=ROUND(SUM(CF!F15,CF!F17:F19,CF!F21:F24),0),"OK","ERROR")</f>
        <v>OK</v>
      </c>
      <c r="G168" s="214" t="str">
        <f>IF(ROUND(CF!G25,0)=ROUND(SUM(CF!G15,CF!G17:G19,CF!G21:G24),0),"OK","ERROR")</f>
        <v>OK</v>
      </c>
      <c r="H168" s="234" t="str">
        <f>IF(ROUND(CF!H25,0)=ROUND(SUM(CF!H15,CF!H17:H19,CF!H21:H24),0),"OK","ERROR")</f>
        <v>OK</v>
      </c>
      <c r="I168" s="207"/>
      <c r="J168" s="214" t="str">
        <f>IF(ROUND(CF!J25,0)=ROUND(SUM(CF!J15,CF!J17:J19,CF!J21:J24),0),"OK","ERROR")</f>
        <v>OK</v>
      </c>
      <c r="K168" s="214" t="str">
        <f>IF(ROUND(CF!K25,0)=ROUND(SUM(CF!K15,CF!K17:K19,CF!K21:K24),0),"OK","ERROR")</f>
        <v>OK</v>
      </c>
      <c r="L168" s="214" t="str">
        <f>IF(ROUND(CF!L25,0)=ROUND(SUM(CF!L15,CF!L17:L19,CF!L21:L24),0),"OK","ERROR")</f>
        <v>OK</v>
      </c>
      <c r="M168" s="214" t="str">
        <f>IF(ROUND(CF!M25,0)=ROUND(SUM(CF!M15,CF!M17:M19,CF!M21:M24),0),"OK","ERROR")</f>
        <v>OK</v>
      </c>
      <c r="N168" s="234" t="str">
        <f>IF(ROUND(CF!N25,0)=ROUND(SUM(CF!N15,CF!N17:N19,CF!N21:N24),0),"OK","ERROR")</f>
        <v>OK</v>
      </c>
      <c r="O168" s="207"/>
      <c r="P168" s="214" t="str">
        <f>IF(ROUND(CF!P25,0)=ROUND(SUM(CF!P15,CF!P17:P19,CF!P21:P24),0),"OK","ERROR")</f>
        <v>OK</v>
      </c>
      <c r="Q168" s="214" t="str">
        <f>IF(ROUND(CF!Q25,0)=ROUND(SUM(CF!Q15,CF!Q17:Q19,CF!Q21:Q24),0),"OK","ERROR")</f>
        <v>OK</v>
      </c>
      <c r="R168" s="214" t="str">
        <f>IF(ROUND(CF!R25,0)=ROUND(SUM(CF!R15,CF!R17:R19,CF!R21:R24),0),"OK","ERROR")</f>
        <v>OK</v>
      </c>
      <c r="S168" s="214" t="str">
        <f>IF(ROUND(CF!S25,0)=ROUND(SUM(CF!S15,CF!S17:S19,CF!S21:S24),0),"OK","ERROR")</f>
        <v>OK</v>
      </c>
      <c r="T168" s="234" t="str">
        <f>IF(ROUND(CF!T25,0)=ROUND(SUM(CF!T15,CF!T17:T19,CF!T21:T24),0),"OK","ERROR")</f>
        <v>OK</v>
      </c>
      <c r="U168" s="207"/>
      <c r="V168" s="214" t="str">
        <f>IF(ROUND(CF!V25,0)=ROUND(SUM(CF!V15,CF!V17:V19,CF!V21:V24),0),"OK","ERROR")</f>
        <v>OK</v>
      </c>
      <c r="W168" s="214" t="str">
        <f>IF(ROUND(CF!W25,0)=ROUND(SUM(CF!W15,CF!W17:W19,CF!W21:W24),0),"OK","ERROR")</f>
        <v>OK</v>
      </c>
      <c r="X168" s="214" t="str">
        <f>IF(ROUND(CF!X25,0)=ROUND(SUM(CF!X15,CF!X17:X19,CF!X21:X24),0),"OK","ERROR")</f>
        <v>OK</v>
      </c>
      <c r="Y168" s="214" t="str">
        <f>IF(ROUND(CF!Y25,0)=ROUND(SUM(CF!Y15,CF!Y17:Y19,CF!Y21:Y24),0),"OK","ERROR")</f>
        <v>OK</v>
      </c>
      <c r="Z168" s="234" t="str">
        <f>IF(ROUND(CF!Z25,0)=ROUND(SUM(CF!Z15,CF!Z17:Z19,CF!Z21:Z24),0),"OK","ERROR")</f>
        <v>OK</v>
      </c>
      <c r="AA168" s="225"/>
      <c r="AB168" s="214" t="str">
        <f>IF(ROUND(CF!AB25,0)=ROUND(SUM(CF!AB15,CF!AB17:AB19,CF!AB21:AB24),0),"OK","ERROR")</f>
        <v>OK</v>
      </c>
      <c r="AC168" s="214" t="str">
        <f>IF(ROUND(CF!AC25,0)=ROUND(SUM(CF!AC15,CF!AC17:AC19,CF!AC21:AC24),0),"OK","ERROR")</f>
        <v>OK</v>
      </c>
      <c r="AD168" s="214" t="str">
        <f>IF(ROUND(CF!AD25,0)=ROUND(SUM(CF!AD15,CF!AD17:AD19,CF!AD21:AD24),0),"OK","ERROR")</f>
        <v>OK</v>
      </c>
      <c r="AE168" s="214" t="str">
        <f>IF(ROUND(CF!AE25,0)=ROUND(SUM(CF!AE15,CF!AE17:AE19,CF!AE21:AE24),0),"OK","ERROR")</f>
        <v>OK</v>
      </c>
      <c r="AF168" s="234" t="str">
        <f>IF(ROUND(CF!AF25,0)=ROUND(SUM(CF!AF15,CF!AF17:AF19,CF!AF21:AF24),0),"OK","ERROR")</f>
        <v>OK</v>
      </c>
      <c r="AG168" s="226"/>
      <c r="AH168" s="214" t="str">
        <f>IF(ROUND(CF!AH25,0)=ROUND(SUM(CF!AH15,CF!AH17:AH19,CF!AH21:AH24),0),"OK","ERROR")</f>
        <v>OK</v>
      </c>
      <c r="AI168" s="214" t="str">
        <f>IF(ROUND(CF!AI25,0)=ROUND(SUM(CF!AI15,CF!AI17:AI19,CF!AI21:AI24),0),"OK","ERROR")</f>
        <v>OK</v>
      </c>
      <c r="AJ168" s="214" t="str">
        <f>IF(ROUND(CF!AJ24,0)=ROUND(SUM(CF!AJ15,CF!AJ17:AJ19,CF!AJ21:AJ24),0),"OK","ERROR")</f>
        <v>OK</v>
      </c>
      <c r="AK168" s="214" t="str">
        <f>IF(ROUND(CF!AK25,0)=ROUND(SUM(CF!AK15,CF!AK17:AK19,CF!AK21:AK24),0),"OK","ERROR")</f>
        <v>OK</v>
      </c>
      <c r="AL168" s="234" t="str">
        <f>IF(ROUND(CF!AL25,0)=ROUND(SUM(CF!AL15,CF!AL17:AL19,CF!AL21:AL24),0),"OK","ERROR")</f>
        <v>OK</v>
      </c>
      <c r="AM168" s="227"/>
      <c r="AN168" s="214" t="str">
        <f>IF(ROUND(CF!AN25,0)=ROUND(SUM(CF!AN15,CF!AN17:AN19,CF!AN21:AN24),0),"OK","ERROR")</f>
        <v>OK</v>
      </c>
      <c r="AO168" s="214" t="str">
        <f>IF(ROUND(CF!AO25,0)=ROUND(SUM(CF!AO15,CF!AO17:AO19,CF!AO21:AO24),0),"OK","ERROR")</f>
        <v>OK</v>
      </c>
      <c r="AP168" s="214" t="str">
        <f>IF(ROUND(CF!AP25,0)=ROUND(SUM(CF!AP15,CF!AP17:AP19,CF!AP21:AP24),0),"OK","ERROR")</f>
        <v>OK</v>
      </c>
      <c r="AQ168" s="214" t="str">
        <f>IF(ROUND(CF!AQ25,0)=ROUND(SUM(CF!AQ15,CF!AQ17:AQ19,CF!AQ21:AQ24),0),"OK","ERROR")</f>
        <v>OK</v>
      </c>
      <c r="AR168" s="234" t="str">
        <f>IF(ROUND(CF!AR25,0)=ROUND(SUM(CF!AR15,CF!AR17:AR19,CF!AR21:AR24),0),"OK","ERROR")</f>
        <v>OK</v>
      </c>
      <c r="AS168" s="227"/>
      <c r="AT168" s="234" t="str">
        <f>IF(ROUND(CF!AT25,0)=ROUND(SUM(CF!AT15,CF!AT17:AT19,CF!AT21:AT24),0),"OK","ERROR")</f>
        <v>OK</v>
      </c>
      <c r="AU168" s="227"/>
      <c r="AV168" s="234" t="str">
        <f>IF(ROUND(CF!AV25,0)=ROUND(SUM(CF!AV15,CF!AV17:AV19,CF!AV21:AV24),0),"OK","ERROR")</f>
        <v>OK</v>
      </c>
      <c r="AW168" s="243"/>
      <c r="AX168" s="234" t="str">
        <f>IF(ROUND(CF!AX25,0)=ROUND(SUM(CF!AX15,CF!AX17:AX19,CF!AX21:AX24),0),"OK","ERROR")</f>
        <v>OK</v>
      </c>
    </row>
    <row r="169" spans="1:50" s="51" customFormat="1" ht="15" customHeight="1" thickTop="1" x14ac:dyDescent="0.3">
      <c r="A169" s="40"/>
      <c r="B169" s="151"/>
      <c r="C169" s="15"/>
      <c r="D169" s="205"/>
      <c r="E169" s="205"/>
      <c r="F169" s="205"/>
      <c r="G169" s="205"/>
      <c r="H169" s="217"/>
      <c r="I169" s="207"/>
      <c r="J169" s="205"/>
      <c r="K169" s="205"/>
      <c r="L169" s="205"/>
      <c r="M169" s="205"/>
      <c r="N169" s="217"/>
      <c r="O169" s="207"/>
      <c r="P169" s="205"/>
      <c r="Q169" s="205"/>
      <c r="R169" s="205"/>
      <c r="S169" s="205"/>
      <c r="T169" s="217"/>
      <c r="U169" s="207"/>
      <c r="V169" s="205"/>
      <c r="W169" s="205"/>
      <c r="X169" s="205"/>
      <c r="Y169" s="205"/>
      <c r="Z169" s="217"/>
      <c r="AA169" s="210"/>
      <c r="AB169" s="205"/>
      <c r="AC169" s="205"/>
      <c r="AD169" s="205"/>
      <c r="AE169" s="205"/>
      <c r="AF169" s="217"/>
      <c r="AG169" s="208"/>
      <c r="AH169" s="205"/>
      <c r="AI169" s="205"/>
      <c r="AJ169" s="205"/>
      <c r="AK169" s="205"/>
      <c r="AL169" s="217"/>
      <c r="AM169" s="222"/>
      <c r="AN169" s="205"/>
      <c r="AO169" s="205"/>
      <c r="AP169" s="205"/>
      <c r="AQ169" s="205"/>
      <c r="AR169" s="217"/>
      <c r="AS169" s="222"/>
      <c r="AT169" s="217"/>
      <c r="AU169" s="222"/>
      <c r="AV169" s="217"/>
      <c r="AW169" s="243"/>
      <c r="AX169" s="217"/>
    </row>
    <row r="170" spans="1:50" s="51" customFormat="1" ht="15" customHeight="1" x14ac:dyDescent="0.3">
      <c r="A170" s="41" t="s">
        <v>39</v>
      </c>
      <c r="B170" s="155" t="s">
        <v>1022</v>
      </c>
      <c r="C170" s="112"/>
      <c r="D170" s="205"/>
      <c r="E170" s="205"/>
      <c r="F170" s="205"/>
      <c r="G170" s="205"/>
      <c r="H170" s="217"/>
      <c r="I170" s="207"/>
      <c r="J170" s="205"/>
      <c r="K170" s="205"/>
      <c r="L170" s="205"/>
      <c r="M170" s="205"/>
      <c r="N170" s="217"/>
      <c r="O170" s="207"/>
      <c r="P170" s="205"/>
      <c r="Q170" s="205"/>
      <c r="R170" s="205"/>
      <c r="S170" s="205"/>
      <c r="T170" s="217"/>
      <c r="U170" s="207"/>
      <c r="V170" s="205"/>
      <c r="W170" s="205"/>
      <c r="X170" s="205"/>
      <c r="Y170" s="205"/>
      <c r="Z170" s="217"/>
      <c r="AA170" s="225"/>
      <c r="AB170" s="205"/>
      <c r="AC170" s="205"/>
      <c r="AD170" s="205"/>
      <c r="AE170" s="205"/>
      <c r="AF170" s="217"/>
      <c r="AG170" s="226"/>
      <c r="AH170" s="205"/>
      <c r="AI170" s="205"/>
      <c r="AJ170" s="205"/>
      <c r="AK170" s="205"/>
      <c r="AL170" s="217"/>
      <c r="AM170" s="227"/>
      <c r="AN170" s="205"/>
      <c r="AO170" s="205"/>
      <c r="AP170" s="205"/>
      <c r="AQ170" s="205"/>
      <c r="AR170" s="217"/>
      <c r="AS170" s="227"/>
      <c r="AT170" s="217"/>
      <c r="AU170" s="227"/>
      <c r="AV170" s="217"/>
      <c r="AW170" s="243"/>
      <c r="AX170" s="217"/>
    </row>
    <row r="171" spans="1:50" s="51" customFormat="1" ht="15" customHeight="1" thickBot="1" x14ac:dyDescent="0.35">
      <c r="A171" s="110"/>
      <c r="B171" s="157" t="s">
        <v>1031</v>
      </c>
      <c r="C171" s="15"/>
      <c r="D171" s="214" t="str">
        <f>IF(ROUND(CF!D36,0)=ROUND(SUM(CF!D28:D35),0),"OK","ERROR")</f>
        <v>OK</v>
      </c>
      <c r="E171" s="214" t="str">
        <f>IF(ROUND(CF!E36,0)=ROUND(SUM(CF!E28:E35),0),"OK","ERROR")</f>
        <v>OK</v>
      </c>
      <c r="F171" s="214" t="str">
        <f>IF(ROUND(CF!F36,0)=ROUND(SUM(CF!F28:F35),0),"OK","ERROR")</f>
        <v>OK</v>
      </c>
      <c r="G171" s="214" t="str">
        <f>IF(ROUND(CF!G36,0)=ROUND(SUM(CF!G28:G35),0),"OK","ERROR")</f>
        <v>OK</v>
      </c>
      <c r="H171" s="234" t="str">
        <f>IF(ROUND(CF!H36,0)=ROUND(SUM(CF!H28:H35),0),"OK","ERROR")</f>
        <v>OK</v>
      </c>
      <c r="I171" s="207"/>
      <c r="J171" s="214" t="str">
        <f>IF(ROUND(CF!J36,0)=ROUND(SUM(CF!J28:J35),0),"OK","ERROR")</f>
        <v>OK</v>
      </c>
      <c r="K171" s="214" t="str">
        <f>IF(ROUND(CF!K36,0)=ROUND(SUM(CF!K28:K35),0),"OK","ERROR")</f>
        <v>OK</v>
      </c>
      <c r="L171" s="214" t="str">
        <f>IF(ROUND(CF!L36,0)=ROUND(SUM(CF!L28:L35),0),"OK","ERROR")</f>
        <v>OK</v>
      </c>
      <c r="M171" s="214" t="str">
        <f>IF(ROUND(CF!M36,0)=ROUND(SUM(CF!M28:M35),0),"OK","ERROR")</f>
        <v>OK</v>
      </c>
      <c r="N171" s="234" t="str">
        <f>IF(ROUND(CF!N36,0)=ROUND(SUM(CF!N28:N35),0),"OK","ERROR")</f>
        <v>OK</v>
      </c>
      <c r="O171" s="207"/>
      <c r="P171" s="214" t="str">
        <f>IF(ROUND(CF!P36,0)=ROUND(SUM(CF!P28:P35),0),"OK","ERROR")</f>
        <v>OK</v>
      </c>
      <c r="Q171" s="214" t="str">
        <f>IF(ROUND(CF!Q36,0)=ROUND(SUM(CF!Q28:Q35),0),"OK","ERROR")</f>
        <v>OK</v>
      </c>
      <c r="R171" s="214" t="str">
        <f>IF(ROUND(CF!R36,0)=ROUND(SUM(CF!R28:R35),0),"OK","ERROR")</f>
        <v>OK</v>
      </c>
      <c r="S171" s="214" t="str">
        <f>IF(ROUND(CF!S36,0)=ROUND(SUM(CF!S28:S35),0),"OK","ERROR")</f>
        <v>OK</v>
      </c>
      <c r="T171" s="234" t="str">
        <f>IF(ROUND(CF!T36,0)=ROUND(SUM(CF!T28:T35),0),"OK","ERROR")</f>
        <v>OK</v>
      </c>
      <c r="U171" s="207"/>
      <c r="V171" s="214" t="str">
        <f>IF(ROUND(CF!V36,0)=ROUND(SUM(CF!V28:V35),0),"OK","ERROR")</f>
        <v>OK</v>
      </c>
      <c r="W171" s="214" t="str">
        <f>IF(ROUND(CF!W36,0)=ROUND(SUM(CF!W28:W35),0),"OK","ERROR")</f>
        <v>OK</v>
      </c>
      <c r="X171" s="214" t="str">
        <f>IF(ROUND(CF!X36,0)=ROUND(SUM(CF!X28:X35),0),"OK","ERROR")</f>
        <v>OK</v>
      </c>
      <c r="Y171" s="214" t="str">
        <f>IF(ROUND(CF!Y36,0)=ROUND(SUM(CF!Y28:Y35),0),"OK","ERROR")</f>
        <v>OK</v>
      </c>
      <c r="Z171" s="234" t="str">
        <f>IF(ROUND(CF!Z36,0)=ROUND(SUM(CF!Z28:Z35),0),"OK","ERROR")</f>
        <v>OK</v>
      </c>
      <c r="AA171" s="210"/>
      <c r="AB171" s="214" t="str">
        <f>IF(ROUND(CF!AB36,0)=ROUND(SUM(CF!AB28:AB35),0),"OK","ERROR")</f>
        <v>OK</v>
      </c>
      <c r="AC171" s="214" t="str">
        <f>IF(ROUND(CF!AC36,0)=ROUND(SUM(CF!AC28:AC35),0),"OK","ERROR")</f>
        <v>OK</v>
      </c>
      <c r="AD171" s="214" t="str">
        <f>IF(ROUND(CF!AD36,0)=ROUND(SUM(CF!AD28:AD35),0),"OK","ERROR")</f>
        <v>OK</v>
      </c>
      <c r="AE171" s="214" t="str">
        <f>IF(ROUND(CF!AE36,0)=ROUND(SUM(CF!AE28:AE35),0),"OK","ERROR")</f>
        <v>OK</v>
      </c>
      <c r="AF171" s="234" t="str">
        <f>IF(ROUND(CF!AF36,0)=ROUND(SUM(CF!AF28:AF35),0),"OK","ERROR")</f>
        <v>OK</v>
      </c>
      <c r="AG171" s="208"/>
      <c r="AH171" s="214" t="str">
        <f>IF(ROUND(CF!AH36,0)=ROUND(SUM(CF!AH28:AH35),0),"OK","ERROR")</f>
        <v>OK</v>
      </c>
      <c r="AI171" s="214" t="str">
        <f>IF(ROUND(CF!AI36,0)=ROUND(SUM(CF!AI28:AI35),0),"OK","ERROR")</f>
        <v>OK</v>
      </c>
      <c r="AJ171" s="214" t="str">
        <f>IF(ROUND(CF!AJ36,0)=ROUND(SUM(CF!AJ28:AJ35),0),"OK","ERROR")</f>
        <v>OK</v>
      </c>
      <c r="AK171" s="214" t="str">
        <f>IF(ROUND(CF!AK36,0)=ROUND(SUM(CF!AK28:AK35),0),"OK","ERROR")</f>
        <v>OK</v>
      </c>
      <c r="AL171" s="234" t="str">
        <f>IF(ROUND(CF!AL36,0)=ROUND(SUM(CF!AL28:AL35),0),"OK","ERROR")</f>
        <v>OK</v>
      </c>
      <c r="AM171" s="212"/>
      <c r="AN171" s="214" t="str">
        <f>IF(ROUND(CF!AN36,0)=ROUND(SUM(CF!AN28:AN35),0),"OK","ERROR")</f>
        <v>OK</v>
      </c>
      <c r="AO171" s="214" t="str">
        <f>IF(ROUND(CF!AO36,0)=ROUND(SUM(CF!AO28:AO35),0),"OK","ERROR")</f>
        <v>OK</v>
      </c>
      <c r="AP171" s="214" t="str">
        <f>IF(ROUND(CF!AP36,0)=ROUND(SUM(CF!AP28:AP35),0),"OK","ERROR")</f>
        <v>OK</v>
      </c>
      <c r="AQ171" s="214" t="str">
        <f>IF(ROUND(CF!AQ36,0)=ROUND(SUM(CF!AQ28:AQ35),0),"OK","ERROR")</f>
        <v>OK</v>
      </c>
      <c r="AR171" s="234" t="str">
        <f>IF(ROUND(CF!AR36,0)=ROUND(SUM(CF!AR28:AR35),0),"OK","ERROR")</f>
        <v>OK</v>
      </c>
      <c r="AS171" s="212"/>
      <c r="AT171" s="234" t="str">
        <f>IF(ROUND(CF!AT36,0)=ROUND(SUM(CF!AT28:AT35),0),"OK","ERROR")</f>
        <v>OK</v>
      </c>
      <c r="AU171" s="212"/>
      <c r="AV171" s="234" t="str">
        <f>IF(ROUND(CF!AV36,0)=ROUND(SUM(CF!AV28:AV35),0),"OK","ERROR")</f>
        <v>OK</v>
      </c>
      <c r="AW171" s="243"/>
      <c r="AX171" s="234" t="str">
        <f>IF(ROUND(CF!AX36,0)=ROUND(SUM(CF!AX28:AX35),0),"OK","ERROR")</f>
        <v>OK</v>
      </c>
    </row>
    <row r="172" spans="1:50" s="51" customFormat="1" ht="15" customHeight="1" thickTop="1" x14ac:dyDescent="0.3">
      <c r="A172" s="40"/>
      <c r="B172" s="151"/>
      <c r="C172" s="112"/>
      <c r="D172" s="205"/>
      <c r="E172" s="205"/>
      <c r="F172" s="205"/>
      <c r="G172" s="205"/>
      <c r="H172" s="217"/>
      <c r="I172" s="207"/>
      <c r="J172" s="205"/>
      <c r="K172" s="205"/>
      <c r="L172" s="205"/>
      <c r="M172" s="205"/>
      <c r="N172" s="217"/>
      <c r="O172" s="207"/>
      <c r="P172" s="205"/>
      <c r="Q172" s="205"/>
      <c r="R172" s="205"/>
      <c r="S172" s="205"/>
      <c r="T172" s="217"/>
      <c r="U172" s="207"/>
      <c r="V172" s="205"/>
      <c r="W172" s="205"/>
      <c r="X172" s="205"/>
      <c r="Y172" s="205"/>
      <c r="Z172" s="217"/>
      <c r="AA172" s="229"/>
      <c r="AB172" s="205"/>
      <c r="AC172" s="205"/>
      <c r="AD172" s="205"/>
      <c r="AE172" s="205"/>
      <c r="AF172" s="217"/>
      <c r="AG172" s="226"/>
      <c r="AH172" s="205"/>
      <c r="AI172" s="205"/>
      <c r="AJ172" s="205"/>
      <c r="AK172" s="205"/>
      <c r="AL172" s="217"/>
      <c r="AM172" s="227"/>
      <c r="AN172" s="205"/>
      <c r="AO172" s="205"/>
      <c r="AP172" s="205"/>
      <c r="AQ172" s="205"/>
      <c r="AR172" s="217"/>
      <c r="AS172" s="227"/>
      <c r="AT172" s="217"/>
      <c r="AU172" s="227"/>
      <c r="AV172" s="217"/>
      <c r="AW172" s="243"/>
      <c r="AX172" s="217"/>
    </row>
    <row r="173" spans="1:50" s="51" customFormat="1" ht="15" customHeight="1" x14ac:dyDescent="0.3">
      <c r="A173" s="41" t="s">
        <v>39</v>
      </c>
      <c r="B173" s="155" t="s">
        <v>1032</v>
      </c>
      <c r="C173" s="25"/>
      <c r="D173" s="205"/>
      <c r="E173" s="205"/>
      <c r="F173" s="205"/>
      <c r="G173" s="205"/>
      <c r="H173" s="217"/>
      <c r="I173" s="207"/>
      <c r="J173" s="205"/>
      <c r="K173" s="205"/>
      <c r="L173" s="205"/>
      <c r="M173" s="205"/>
      <c r="N173" s="217"/>
      <c r="O173" s="207"/>
      <c r="P173" s="205"/>
      <c r="Q173" s="205"/>
      <c r="R173" s="205"/>
      <c r="S173" s="205"/>
      <c r="T173" s="217"/>
      <c r="U173" s="207"/>
      <c r="V173" s="205"/>
      <c r="W173" s="205"/>
      <c r="X173" s="205"/>
      <c r="Y173" s="205"/>
      <c r="Z173" s="217"/>
      <c r="AA173" s="210"/>
      <c r="AB173" s="205"/>
      <c r="AC173" s="205"/>
      <c r="AD173" s="205"/>
      <c r="AE173" s="205"/>
      <c r="AF173" s="217"/>
      <c r="AG173" s="208"/>
      <c r="AH173" s="205"/>
      <c r="AI173" s="205"/>
      <c r="AJ173" s="205"/>
      <c r="AK173" s="205"/>
      <c r="AL173" s="217"/>
      <c r="AM173" s="212"/>
      <c r="AN173" s="205"/>
      <c r="AO173" s="205"/>
      <c r="AP173" s="205"/>
      <c r="AQ173" s="205"/>
      <c r="AR173" s="217"/>
      <c r="AS173" s="212"/>
      <c r="AT173" s="217"/>
      <c r="AU173" s="212"/>
      <c r="AV173" s="217"/>
      <c r="AW173" s="243"/>
      <c r="AX173" s="217"/>
    </row>
    <row r="174" spans="1:50" s="51" customFormat="1" ht="15" customHeight="1" thickBot="1" x14ac:dyDescent="0.35">
      <c r="A174" s="110"/>
      <c r="B174" s="157" t="s">
        <v>1039</v>
      </c>
      <c r="C174" s="15"/>
      <c r="D174" s="214" t="str">
        <f>IF(ROUND(CF!D45,0)=ROUND(SUM(CF!D39:D44),0),"OK","ERROR")</f>
        <v>OK</v>
      </c>
      <c r="E174" s="214" t="str">
        <f>IF(ROUND(CF!E45,0)=ROUND(SUM(CF!E39:E44),0),"OK","ERROR")</f>
        <v>OK</v>
      </c>
      <c r="F174" s="214" t="str">
        <f>IF(ROUND(CF!F45,0)=ROUND(SUM(CF!F39:F44),0),"OK","ERROR")</f>
        <v>OK</v>
      </c>
      <c r="G174" s="214" t="str">
        <f>IF(ROUND(CF!G45,0)=ROUND(SUM(CF!G39:G44),0),"OK","ERROR")</f>
        <v>OK</v>
      </c>
      <c r="H174" s="234" t="str">
        <f>IF(ROUND(CF!H45,0)=ROUND(SUM(CF!H39:H44),0),"OK","ERROR")</f>
        <v>OK</v>
      </c>
      <c r="I174" s="207"/>
      <c r="J174" s="214" t="str">
        <f>IF(ROUND(CF!J45,0)=ROUND(SUM(CF!J39:J44),0),"OK","ERROR")</f>
        <v>OK</v>
      </c>
      <c r="K174" s="214" t="str">
        <f>IF(ROUND(CF!K45,0)=ROUND(SUM(CF!K39:K44),0),"OK","ERROR")</f>
        <v>OK</v>
      </c>
      <c r="L174" s="214" t="str">
        <f>IF(ROUND(CF!L45,0)=ROUND(SUM(CF!L39:L44),0),"OK","ERROR")</f>
        <v>OK</v>
      </c>
      <c r="M174" s="214" t="str">
        <f>IF(ROUND(CF!M45,0)=ROUND(SUM(CF!M39:M44),0),"OK","ERROR")</f>
        <v>OK</v>
      </c>
      <c r="N174" s="234" t="str">
        <f>IF(ROUND(CF!N45,0)=ROUND(SUM(CF!N39:N44),0),"OK","ERROR")</f>
        <v>OK</v>
      </c>
      <c r="O174" s="207"/>
      <c r="P174" s="214" t="str">
        <f>IF(ROUND(CF!P45,0)=ROUND(SUM(CF!P39:P44),0),"OK","ERROR")</f>
        <v>OK</v>
      </c>
      <c r="Q174" s="214" t="str">
        <f>IF(ROUND(CF!Q45,0)=ROUND(SUM(CF!Q39:Q44),0),"OK","ERROR")</f>
        <v>OK</v>
      </c>
      <c r="R174" s="214" t="str">
        <f>IF(ROUND(CF!R45,0)=ROUND(SUM(CF!R39:R44),0),"OK","ERROR")</f>
        <v>OK</v>
      </c>
      <c r="S174" s="214" t="str">
        <f>IF(ROUND(CF!S45,0)=ROUND(SUM(CF!S39:S44),0),"OK","ERROR")</f>
        <v>OK</v>
      </c>
      <c r="T174" s="234" t="str">
        <f>IF(ROUND(CF!T45,0)=ROUND(SUM(CF!T39:T44),0),"OK","ERROR")</f>
        <v>OK</v>
      </c>
      <c r="U174" s="207"/>
      <c r="V174" s="214" t="str">
        <f>IF(ROUND(CF!V45,0)=ROUND(SUM(CF!V39:V44),0),"OK","ERROR")</f>
        <v>OK</v>
      </c>
      <c r="W174" s="214" t="str">
        <f>IF(ROUND(CF!W45,0)=ROUND(SUM(CF!W39:W44),0),"OK","ERROR")</f>
        <v>OK</v>
      </c>
      <c r="X174" s="214" t="str">
        <f>IF(ROUND(CF!X45,0)=ROUND(SUM(CF!X39:X44),0),"OK","ERROR")</f>
        <v>OK</v>
      </c>
      <c r="Y174" s="214" t="str">
        <f>IF(ROUND(CF!Y45,0)=ROUND(SUM(CF!Y39:Y44),0),"OK","ERROR")</f>
        <v>OK</v>
      </c>
      <c r="Z174" s="234" t="str">
        <f>IF(ROUND(CF!Z45,0)=ROUND(SUM(CF!Z39:Z44),0),"OK","ERROR")</f>
        <v>OK</v>
      </c>
      <c r="AA174" s="207"/>
      <c r="AB174" s="214" t="str">
        <f>IF(ROUND(CF!AB45,0)=ROUND(SUM(CF!AB39:AB44),0),"OK","ERROR")</f>
        <v>OK</v>
      </c>
      <c r="AC174" s="214" t="str">
        <f>IF(ROUND(CF!AC45,0)=ROUND(SUM(CF!AC39:AC44),0),"OK","ERROR")</f>
        <v>OK</v>
      </c>
      <c r="AD174" s="214" t="str">
        <f>IF(ROUND(CF!AD45,0)=ROUND(SUM(CF!AD39:AD44),0),"OK","ERROR")</f>
        <v>OK</v>
      </c>
      <c r="AE174" s="214" t="str">
        <f>IF(ROUND(CF!AE45,0)=ROUND(SUM(CF!AE39:AE44),0),"OK","ERROR")</f>
        <v>OK</v>
      </c>
      <c r="AF174" s="234" t="str">
        <f>IF(ROUND(CF!AF45,0)=ROUND(SUM(CF!AF39:AF44),0),"OK","ERROR")</f>
        <v>OK</v>
      </c>
      <c r="AG174" s="235"/>
      <c r="AH174" s="214" t="str">
        <f>IF(ROUND(CF!AH45,0)=ROUND(SUM(CF!AH39:AH44),0),"OK","ERROR")</f>
        <v>OK</v>
      </c>
      <c r="AI174" s="214" t="str">
        <f>IF(ROUND(CF!AI45,0)=ROUND(SUM(CF!AI39:AI44),0),"OK","ERROR")</f>
        <v>OK</v>
      </c>
      <c r="AJ174" s="214" t="str">
        <f>IF(ROUND(CF!AJ45,0)=ROUND(SUM(CF!AJ39:AJ44),0),"OK","ERROR")</f>
        <v>OK</v>
      </c>
      <c r="AK174" s="214" t="str">
        <f>IF(ROUND(CF!AK45,0)=ROUND(SUM(CF!AK39:AK44),0),"OK","ERROR")</f>
        <v>OK</v>
      </c>
      <c r="AL174" s="234" t="str">
        <f>IF(ROUND(CF!AL45,0)=ROUND(SUM(CF!AL39:AL44),0),"OK","ERROR")</f>
        <v>OK</v>
      </c>
      <c r="AM174" s="236"/>
      <c r="AN174" s="214" t="str">
        <f>IF(ROUND(CF!AN45,0)=ROUND(SUM(CF!AN39:AN44),0),"OK","ERROR")</f>
        <v>OK</v>
      </c>
      <c r="AO174" s="214" t="str">
        <f>IF(ROUND(CF!AO45,0)=ROUND(SUM(CF!AO39:AO44),0),"OK","ERROR")</f>
        <v>OK</v>
      </c>
      <c r="AP174" s="214" t="str">
        <f>IF(ROUND(CF!AP45,0)=ROUND(SUM(CF!AP39:AP44),0),"OK","ERROR")</f>
        <v>OK</v>
      </c>
      <c r="AQ174" s="214" t="str">
        <f>IF(ROUND(CF!AQ45,0)=ROUND(SUM(CF!AQ39:AQ44),0),"OK","ERROR")</f>
        <v>OK</v>
      </c>
      <c r="AR174" s="234" t="str">
        <f>IF(ROUND(CF!AR45,0)=ROUND(SUM(CF!AR39:AR44),0),"OK","ERROR")</f>
        <v>OK</v>
      </c>
      <c r="AS174" s="236"/>
      <c r="AT174" s="234" t="str">
        <f>IF(ROUND(CF!AT45,0)=ROUND(SUM(CF!AT39:AT44),0),"OK","ERROR")</f>
        <v>OK</v>
      </c>
      <c r="AU174" s="236"/>
      <c r="AV174" s="234" t="str">
        <f>IF(ROUND(CF!AV45,0)=ROUND(SUM(CF!AV39:AV44),0),"OK","ERROR")</f>
        <v>OK</v>
      </c>
      <c r="AW174" s="243"/>
      <c r="AX174" s="234" t="str">
        <f>IF(ROUND(CF!AX45,0)=ROUND(SUM(CF!AX39:AX44),0),"OK","ERROR")</f>
        <v>OK</v>
      </c>
    </row>
    <row r="175" spans="1:50" s="51" customFormat="1" ht="15" customHeight="1" thickTop="1" x14ac:dyDescent="0.35">
      <c r="A175" s="110"/>
      <c r="B175" s="9"/>
      <c r="C175" s="112"/>
      <c r="D175" s="205"/>
      <c r="E175" s="205"/>
      <c r="F175" s="205"/>
      <c r="G175" s="205"/>
      <c r="H175" s="217"/>
      <c r="I175" s="207"/>
      <c r="J175" s="205"/>
      <c r="K175" s="205"/>
      <c r="L175" s="205"/>
      <c r="M175" s="205"/>
      <c r="N175" s="217"/>
      <c r="O175" s="207"/>
      <c r="P175" s="205"/>
      <c r="Q175" s="205"/>
      <c r="R175" s="205"/>
      <c r="S175" s="205"/>
      <c r="T175" s="217"/>
      <c r="U175" s="207"/>
      <c r="V175" s="205"/>
      <c r="W175" s="205"/>
      <c r="X175" s="205"/>
      <c r="Y175" s="205"/>
      <c r="Z175" s="217"/>
      <c r="AA175" s="225"/>
      <c r="AB175" s="205"/>
      <c r="AC175" s="205"/>
      <c r="AD175" s="205"/>
      <c r="AE175" s="205"/>
      <c r="AF175" s="217"/>
      <c r="AG175" s="226"/>
      <c r="AH175" s="205"/>
      <c r="AI175" s="205"/>
      <c r="AJ175" s="205"/>
      <c r="AK175" s="205"/>
      <c r="AL175" s="217"/>
      <c r="AM175" s="227"/>
      <c r="AN175" s="205"/>
      <c r="AO175" s="205"/>
      <c r="AP175" s="205"/>
      <c r="AQ175" s="205"/>
      <c r="AR175" s="217"/>
      <c r="AS175" s="227"/>
      <c r="AT175" s="217"/>
      <c r="AU175" s="227"/>
      <c r="AV175" s="217"/>
      <c r="AW175" s="243"/>
      <c r="AX175" s="217"/>
    </row>
    <row r="176" spans="1:50" s="51" customFormat="1" ht="15" customHeight="1" x14ac:dyDescent="0.3">
      <c r="A176" s="41" t="s">
        <v>39</v>
      </c>
      <c r="B176" s="155" t="s">
        <v>1041</v>
      </c>
      <c r="C176" s="15"/>
      <c r="D176" s="214" t="str">
        <f>IF(ROUND(CF!D49,0)=ROUND(SUM(CF!D25,CF!D36,CF!D45,CF!D47),0),"OK","ERROR")</f>
        <v>OK</v>
      </c>
      <c r="E176" s="214" t="str">
        <f>IF(ROUND(CF!E49,0)=ROUND(SUM(CF!E25,CF!E36,CF!E45,CF!E47),0),"OK","ERROR")</f>
        <v>OK</v>
      </c>
      <c r="F176" s="214" t="str">
        <f>IF(ROUND(CF!F49,0)=ROUND(SUM(CF!F25,CF!F36,CF!F45,CF!F47),0),"OK","ERROR")</f>
        <v>OK</v>
      </c>
      <c r="G176" s="214" t="str">
        <f>IF(ROUND(CF!G49,0)=ROUND(SUM(CF!G25,CF!G36,CF!G45,CF!G47),0),"OK","ERROR")</f>
        <v>OK</v>
      </c>
      <c r="H176" s="223" t="str">
        <f>IF(ROUND(CF!H49,0)=ROUND(SUM(CF!H25,CF!H36,CF!H45,CF!H47),0),"OK","ERROR")</f>
        <v>OK</v>
      </c>
      <c r="I176" s="207"/>
      <c r="J176" s="214" t="str">
        <f>IF(ROUND(CF!J49,0)=ROUND(SUM(CF!J25,CF!J36,CF!J45,CF!J47),0),"OK","ERROR")</f>
        <v>OK</v>
      </c>
      <c r="K176" s="214" t="str">
        <f>IF(ROUND(CF!K49,0)=ROUND(SUM(CF!K25,CF!K36,CF!K45,CF!K47),0),"OK","ERROR")</f>
        <v>OK</v>
      </c>
      <c r="L176" s="214" t="str">
        <f>IF(ROUND(CF!L49,0)=ROUND(SUM(CF!L25,CF!L36,CF!L45,CF!L47),0),"OK","ERROR")</f>
        <v>OK</v>
      </c>
      <c r="M176" s="214" t="str">
        <f>IF(ROUND(CF!M49,0)=ROUND(SUM(CF!M25,CF!M36,CF!M45,CF!M47),0),"OK","ERROR")</f>
        <v>OK</v>
      </c>
      <c r="N176" s="223" t="str">
        <f>IF(ROUND(CF!N49,0)=ROUND(SUM(CF!N25,CF!N36,CF!N45,CF!N47),0),"OK","ERROR")</f>
        <v>OK</v>
      </c>
      <c r="O176" s="207"/>
      <c r="P176" s="214" t="str">
        <f>IF(ROUND(CF!P49,0)=ROUND(SUM(CF!P25,CF!P36,CF!P45,CF!P47),0),"OK","ERROR")</f>
        <v>OK</v>
      </c>
      <c r="Q176" s="214" t="str">
        <f>IF(ROUND(CF!Q49,0)=ROUND(SUM(CF!Q25,CF!Q36,CF!Q45,CF!Q47),0),"OK","ERROR")</f>
        <v>OK</v>
      </c>
      <c r="R176" s="214" t="str">
        <f>IF(ROUND(CF!R49,0)=ROUND(SUM(CF!R25,CF!R36,CF!R45,CF!R47),0),"OK","ERROR")</f>
        <v>OK</v>
      </c>
      <c r="S176" s="214" t="str">
        <f>IF(ROUND(CF!S49,0)=ROUND(SUM(CF!S25,CF!S36,CF!S45,CF!S47),0),"OK","ERROR")</f>
        <v>OK</v>
      </c>
      <c r="T176" s="223" t="str">
        <f>IF(ROUND(CF!T49,0)=ROUND(SUM(CF!T25,CF!T36,CF!T45,CF!T47),0),"OK","ERROR")</f>
        <v>OK</v>
      </c>
      <c r="U176" s="207"/>
      <c r="V176" s="214" t="str">
        <f>IF(ROUND(CF!V49,0)=ROUND(SUM(CF!V25,CF!V36,CF!V45,CF!V47),0),"OK","ERROR")</f>
        <v>OK</v>
      </c>
      <c r="W176" s="214" t="str">
        <f>IF(ROUND(CF!W49,0)=ROUND(SUM(CF!W25,CF!W36,CF!W45,CF!W47),0),"OK","ERROR")</f>
        <v>OK</v>
      </c>
      <c r="X176" s="214" t="str">
        <f>IF(ROUND(CF!X49,0)=ROUND(SUM(CF!X25,CF!X36,CF!X45,CF!X47),0),"OK","ERROR")</f>
        <v>OK</v>
      </c>
      <c r="Y176" s="214" t="str">
        <f>IF(ROUND(CF!Y49,0)=ROUND(SUM(CF!Y25,CF!Y36,CF!Y45,CF!Y47),0),"OK","ERROR")</f>
        <v>OK</v>
      </c>
      <c r="Z176" s="223" t="str">
        <f>IF(ROUND(CF!Z49,0)=ROUND(SUM(CF!Z25,CF!Z36,CF!Z45,CF!Z47),0),"OK","ERROR")</f>
        <v>OK</v>
      </c>
      <c r="AA176" s="207"/>
      <c r="AB176" s="214" t="str">
        <f>IF(ROUND(CF!AB49,0)=ROUND(SUM(CF!AB25,CF!AB36,CF!AB45,CF!AB47),0),"OK","ERROR")</f>
        <v>OK</v>
      </c>
      <c r="AC176" s="214" t="str">
        <f>IF(ROUND(CF!AC49,0)=ROUND(SUM(CF!AC25,CF!AC36,CF!AC45,CF!AC47),0),"OK","ERROR")</f>
        <v>OK</v>
      </c>
      <c r="AD176" s="214" t="str">
        <f>IF(ROUND(CF!AD49,0)=ROUND(SUM(CF!AD25,CF!AD36,CF!AD45,CF!AD47),0),"OK","ERROR")</f>
        <v>OK</v>
      </c>
      <c r="AE176" s="214" t="str">
        <f>IF(ROUND(CF!AE49,0)=ROUND(SUM(CF!AE25,CF!AE36,CF!AE45,CF!AE47),0),"OK","ERROR")</f>
        <v>OK</v>
      </c>
      <c r="AF176" s="223" t="str">
        <f>IF(ROUND(CF!AF49,0)=ROUND(SUM(CF!AF25,CF!AF36,CF!AF45,CF!AF47),0),"OK","ERROR")</f>
        <v>OK</v>
      </c>
      <c r="AG176" s="235"/>
      <c r="AH176" s="214" t="str">
        <f>IF(ROUND(CF!AH49,0)=ROUND(SUM(CF!AH25,CF!AH36,CF!AH45,CF!AH47),0),"OK","ERROR")</f>
        <v>OK</v>
      </c>
      <c r="AI176" s="214" t="str">
        <f>IF(ROUND(CF!AI49,0)=ROUND(SUM(CF!AI25,CF!AI36,CF!AI45,CF!AI47),0),"OK","ERROR")</f>
        <v>OK</v>
      </c>
      <c r="AJ176" s="214" t="str">
        <f>IF(ROUND(CF!AJ49,0)=ROUND(SUM(CF!AJ24,CF!AJ36,CF!AJ45,CF!AJ47),0),"OK","ERROR")</f>
        <v>OK</v>
      </c>
      <c r="AK176" s="214" t="str">
        <f>IF(ROUND(CF!AK49,0)=ROUND(SUM(CF!AK25,CF!AK36,CF!AK45,CF!AK47),0),"OK","ERROR")</f>
        <v>OK</v>
      </c>
      <c r="AL176" s="223" t="str">
        <f>IF(ROUND(CF!AL49,0)=ROUND(SUM(CF!AL25,CF!AL36,CF!AL45,CF!AL47),0),"OK","ERROR")</f>
        <v>OK</v>
      </c>
      <c r="AM176" s="236"/>
      <c r="AN176" s="214" t="str">
        <f>IF(ROUND(CF!AN49,0)=ROUND(SUM(CF!AN25,CF!AN36,CF!AN45,CF!AN47),0),"OK","ERROR")</f>
        <v>OK</v>
      </c>
      <c r="AO176" s="214" t="str">
        <f>IF(ROUND(CF!AO49,0)=ROUND(SUM(CF!AO25,CF!AO36,CF!AO45,CF!AO47),0),"OK","ERROR")</f>
        <v>OK</v>
      </c>
      <c r="AP176" s="214" t="str">
        <f>IF(ROUND(CF!AP49,0)=ROUND(SUM(CF!AP25,CF!AP36,CF!AP45,CF!AP47),0),"OK","ERROR")</f>
        <v>OK</v>
      </c>
      <c r="AQ176" s="214" t="str">
        <f>IF(ROUND(CF!AQ49,0)=ROUND(SUM(CF!AQ25,CF!AQ36,CF!AQ45,CF!AQ47),0),"OK","ERROR")</f>
        <v>OK</v>
      </c>
      <c r="AR176" s="223" t="str">
        <f>IF(ROUND(CF!AR49,0)=ROUND(SUM(CF!AR25,CF!AR36,CF!AR45,CF!AR47),0),"OK","ERROR")</f>
        <v>OK</v>
      </c>
      <c r="AS176" s="236"/>
      <c r="AT176" s="223" t="str">
        <f>IF(ROUND(CF!AT49,0)=ROUND(SUM(CF!AT25,CF!AT36,CF!AT45,CF!AT47),0),"OK","ERROR")</f>
        <v>OK</v>
      </c>
      <c r="AU176" s="236"/>
      <c r="AV176" s="223" t="str">
        <f>IF(ROUND(CF!AV49,0)=ROUND(SUM(CF!AV25,CF!AV36,CF!AV45,CF!AV47),0),"OK","ERROR")</f>
        <v>OK</v>
      </c>
      <c r="AW176" s="243"/>
      <c r="AX176" s="223" t="str">
        <f>IF(ROUND(CF!AX49,0)=ROUND(SUM(CF!AX25,CF!AX36,CF!AX45,CF!AX47),0),"OK","ERROR")</f>
        <v>OK</v>
      </c>
    </row>
    <row r="177" spans="2:50" s="51" customFormat="1" ht="15" customHeight="1" thickBot="1" x14ac:dyDescent="0.35">
      <c r="B177" s="155" t="s">
        <v>1042</v>
      </c>
      <c r="C177" s="112"/>
      <c r="D177" s="205" t="str">
        <f>IF(ROUND(CF!D50,0)=ROUND(SUM(CF!D49,CF!D12),0),"OK","ERROR")</f>
        <v>ERROR</v>
      </c>
      <c r="E177" s="205" t="str">
        <f>IF(ROUND(CF!E50,0)=ROUND(SUM(CF!E49,CF!E12),0),"OK","ERROR")</f>
        <v>ERROR</v>
      </c>
      <c r="F177" s="205" t="str">
        <f>IF(ROUND(CF!F50,0)=ROUND(SUM(CF!F49,CF!F12),0),"OK","ERROR")</f>
        <v>ERROR</v>
      </c>
      <c r="G177" s="205" t="str">
        <f>IF(ROUND(CF!G50,0)=ROUND(SUM(CF!G49,CF!G12),0),"OK","ERROR")</f>
        <v>ERROR</v>
      </c>
      <c r="H177" s="234" t="str">
        <f>IF(ROUND(CF!H50,0)=ROUND(SUM(CF!H49,CF!H12),0),"OK","ERROR")</f>
        <v>ERROR</v>
      </c>
      <c r="I177" s="207"/>
      <c r="J177" s="205" t="str">
        <f>IF(ROUND(CF!J50,0)=ROUND(SUM(CF!J49,CF!J12),0),"OK","ERROR")</f>
        <v>ERROR</v>
      </c>
      <c r="K177" s="205" t="str">
        <f>IF(ROUND(CF!K50,0)=ROUND(SUM(CF!K49,CF!K12),0),"OK","ERROR")</f>
        <v>ERROR</v>
      </c>
      <c r="L177" s="205" t="str">
        <f>IF(ROUND(CF!L50,0)=ROUND(SUM(CF!L49,CF!L12),0),"OK","ERROR")</f>
        <v>OK</v>
      </c>
      <c r="M177" s="205" t="str">
        <f>IF(ROUND(CF!M50,0)=ROUND(SUM(CF!M49,CF!M12),0),"OK","ERROR")</f>
        <v>ERROR</v>
      </c>
      <c r="N177" s="234" t="str">
        <f>IF(ROUND(CF!N50,0)=ROUND(SUM(CF!N49,CF!N12),0),"OK","ERROR")</f>
        <v>ERROR</v>
      </c>
      <c r="O177" s="207"/>
      <c r="P177" s="205" t="str">
        <f>IF(ROUND(CF!P50,0)=ROUND(SUM(CF!P49,CF!P12),0),"OK","ERROR")</f>
        <v>ERROR</v>
      </c>
      <c r="Q177" s="205" t="str">
        <f>IF(ROUND(CF!Q50,0)=ROUND(SUM(CF!Q49,CF!Q12),0),"OK","ERROR")</f>
        <v>ERROR</v>
      </c>
      <c r="R177" s="205" t="str">
        <f>IF(ROUND(CF!R50,0)=ROUND(SUM(CF!R49,CF!R12),0),"OK","ERROR")</f>
        <v>ERROR</v>
      </c>
      <c r="S177" s="205" t="str">
        <f>IF(ROUND(CF!S50,0)=ROUND(SUM(CF!S49,CF!S12),0),"OK","ERROR")</f>
        <v>ERROR</v>
      </c>
      <c r="T177" s="234" t="str">
        <f>IF(ROUND(CF!T50,0)=ROUND(SUM(CF!T49,CF!T12),0),"OK","ERROR")</f>
        <v>ERROR</v>
      </c>
      <c r="U177" s="207"/>
      <c r="V177" s="205" t="str">
        <f>IF(ROUND(CF!V50,0)=ROUND(SUM(CF!V49,CF!V12),0),"OK","ERROR")</f>
        <v>ERROR</v>
      </c>
      <c r="W177" s="205" t="str">
        <f>IF(ROUND(CF!W50,0)=ROUND(SUM(CF!W49,CF!W12),0),"OK","ERROR")</f>
        <v>ERROR</v>
      </c>
      <c r="X177" s="205" t="str">
        <f>IF(ROUND(CF!X50,0)=ROUND(SUM(CF!X49,CF!X12),0),"OK","ERROR")</f>
        <v>ERROR</v>
      </c>
      <c r="Y177" s="205" t="str">
        <f>IF(ROUND(CF!Y50,0)=ROUND(SUM(CF!Y49,CF!Y12),0),"OK","ERROR")</f>
        <v>ERROR</v>
      </c>
      <c r="Z177" s="234" t="str">
        <f>IF(ROUND(CF!Z50,0)=ROUND(SUM(CF!Z49,CF!Z12),0),"OK","ERROR")</f>
        <v>ERROR</v>
      </c>
      <c r="AA177" s="207"/>
      <c r="AB177" s="205" t="str">
        <f>IF(ROUND(CF!AB50,0)=ROUND(SUM(CF!AB49,CF!AB12),0),"OK","ERROR")</f>
        <v>ERROR</v>
      </c>
      <c r="AC177" s="205" t="str">
        <f>IF(ROUND(CF!AC50,0)=ROUND(SUM(CF!AC49,CF!AC12),0),"OK","ERROR")</f>
        <v>ERROR</v>
      </c>
      <c r="AD177" s="205" t="str">
        <f>IF(ROUND(CF!AD50,0)=ROUND(SUM(CF!AD49,CF!AD12),0),"OK","ERROR")</f>
        <v>OK</v>
      </c>
      <c r="AE177" s="205" t="str">
        <f>IF(ROUND(CF!AE50,0)=ROUND(SUM(CF!AE49,CF!AE12),0),"OK","ERROR")</f>
        <v>ERROR</v>
      </c>
      <c r="AF177" s="234" t="str">
        <f>IF(ROUND(CF!AF50,0)=ROUND(SUM(CF!AF49,CF!AF12),0),"OK","ERROR")</f>
        <v>ERROR</v>
      </c>
      <c r="AG177" s="235"/>
      <c r="AH177" s="205" t="str">
        <f>IF(ROUND(CF!AH50,0)=ROUND(SUM(CF!AH49,CF!AH12),0),"OK","ERROR")</f>
        <v>ERROR</v>
      </c>
      <c r="AI177" s="205" t="str">
        <f>IF(ROUND(CF!AI50,0)=ROUND(SUM(CF!AI49,CF!AI12),0),"OK","ERROR")</f>
        <v>ERROR</v>
      </c>
      <c r="AJ177" s="205" t="str">
        <f>IF(ROUND(CF!AJ50,0)=ROUND(SUM(CF!AJ49,CF!AJ12),0),"OK","ERROR")</f>
        <v>ERROR</v>
      </c>
      <c r="AK177" s="205" t="str">
        <f>IF(ROUND(CF!AK50,0)=ROUND(SUM(CF!AK49,CF!AK12),0),"OK","ERROR")</f>
        <v>OK</v>
      </c>
      <c r="AL177" s="234" t="str">
        <f>IF(ROUND(CF!AL50,0)=ROUND(SUM(CF!AL49,CF!AL12),0),"OK","ERROR")</f>
        <v>OK</v>
      </c>
      <c r="AM177" s="236"/>
      <c r="AN177" s="205" t="str">
        <f>IF(ROUND(CF!AN50,0)=ROUND(SUM(CF!AN49,CF!AN12),0),"OK","ERROR")</f>
        <v>OK</v>
      </c>
      <c r="AO177" s="205" t="str">
        <f>IF(ROUND(CF!AO50,0)=ROUND(SUM(CF!AO49,CF!AO12),0),"OK","ERROR")</f>
        <v>OK</v>
      </c>
      <c r="AP177" s="205" t="str">
        <f>IF(ROUND(CF!AP50,0)=ROUND(SUM(CF!AP49,CF!AP12),0),"OK","ERROR")</f>
        <v>OK</v>
      </c>
      <c r="AQ177" s="205" t="str">
        <f>IF(ROUND(CF!AQ50,0)=ROUND(SUM(CF!AQ49,CF!AQ12),0),"OK","ERROR")</f>
        <v>OK</v>
      </c>
      <c r="AR177" s="234" t="str">
        <f>IF(ROUND(CF!AR50,0)=ROUND(SUM(CF!AR49,CF!AR12),0),"OK","ERROR")</f>
        <v>OK</v>
      </c>
      <c r="AS177" s="236"/>
      <c r="AT177" s="234" t="str">
        <f>IF(ROUND(CF!AT50,0)=ROUND(SUM(CF!AT49,CF!AT12),0),"OK","ERROR")</f>
        <v>OK</v>
      </c>
      <c r="AU177" s="236"/>
      <c r="AV177" s="234" t="str">
        <f>IF(ROUND(CF!AV50,0)=ROUND(SUM(CF!AV49,CF!AV12),0),"OK","ERROR")</f>
        <v>OK</v>
      </c>
      <c r="AW177" s="243"/>
      <c r="AX177" s="234" t="str">
        <f>IF(ROUND(CF!AX50,0)=ROUND(SUM(CF!AX49,CF!AX12),0),"OK","ERROR")</f>
        <v>OK</v>
      </c>
    </row>
  </sheetData>
  <mergeCells count="35">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162:AR162"/>
    <mergeCell ref="D162:H162"/>
    <mergeCell ref="J162:N162"/>
    <mergeCell ref="P162:T162"/>
    <mergeCell ref="V162:Z162"/>
    <mergeCell ref="AB162:AF162"/>
    <mergeCell ref="AH162:AL162"/>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tabSelected="1" topLeftCell="E44" zoomScale="50" zoomScaleNormal="80" workbookViewId="0">
      <selection activeCell="U63" sqref="U63:U70"/>
    </sheetView>
  </sheetViews>
  <sheetFormatPr defaultColWidth="9" defaultRowHeight="15" customHeight="1" x14ac:dyDescent="0.3"/>
  <cols>
    <col min="1" max="1" width="2" customWidth="1"/>
    <col min="2" max="2" width="12.5" customWidth="1"/>
    <col min="3" max="3" width="9.5" bestFit="1" customWidth="1"/>
    <col min="4" max="4" width="18" customWidth="1"/>
    <col min="5" max="5" width="8.83203125"/>
    <col min="6" max="6" width="11.83203125" customWidth="1"/>
    <col min="7" max="7" width="9" bestFit="1" customWidth="1"/>
    <col min="8" max="8" width="9.5" bestFit="1" customWidth="1"/>
    <col min="9" max="9" width="8.83203125"/>
    <col min="10" max="10" width="10.33203125" customWidth="1"/>
    <col min="11" max="11" width="9" bestFit="1" customWidth="1"/>
    <col min="12" max="12" width="14" customWidth="1"/>
    <col min="13" max="13" width="9" bestFit="1" customWidth="1"/>
    <col min="14" max="15" width="8.83203125"/>
    <col min="16" max="16" width="10" customWidth="1"/>
    <col min="17" max="18" width="12.5" customWidth="1"/>
    <col min="19" max="20" width="9" bestFit="1" customWidth="1"/>
    <col min="21" max="21" width="12.33203125" customWidth="1"/>
    <col min="22" max="23" width="8.83203125" customWidth="1"/>
    <col min="24" max="16384" width="9" style="4"/>
  </cols>
  <sheetData>
    <row r="1" spans="1:23" s="569" customFormat="1" ht="15" customHeight="1" x14ac:dyDescent="0.3"/>
    <row r="2" spans="1:23" s="569" customFormat="1" ht="15" customHeight="1" x14ac:dyDescent="0.3"/>
    <row r="3" spans="1:23" s="569" customFormat="1" ht="15" customHeight="1" x14ac:dyDescent="0.3"/>
    <row r="4" spans="1:23" s="569" customFormat="1" ht="15" customHeight="1" x14ac:dyDescent="0.3"/>
    <row r="5" spans="1:23" s="568" customFormat="1" ht="4" customHeight="1" x14ac:dyDescent="0.3">
      <c r="A5" s="36"/>
      <c r="B5" s="36"/>
      <c r="C5" s="36"/>
      <c r="D5" s="36"/>
      <c r="E5" s="36"/>
      <c r="F5" s="36"/>
      <c r="G5" s="36"/>
      <c r="H5" s="36"/>
      <c r="I5" s="36"/>
      <c r="J5" s="36"/>
      <c r="K5" s="36"/>
      <c r="L5" s="36"/>
      <c r="M5" s="36"/>
      <c r="N5" s="36"/>
      <c r="O5" s="36"/>
      <c r="P5" s="36"/>
      <c r="Q5" s="36"/>
      <c r="R5" s="36"/>
      <c r="S5" s="36"/>
      <c r="T5" s="36"/>
      <c r="U5" s="36"/>
      <c r="V5" s="36"/>
      <c r="W5" s="36"/>
    </row>
    <row r="7" spans="1:23" s="553" customFormat="1" ht="15" customHeight="1" x14ac:dyDescent="0.3">
      <c r="B7" s="2" t="s">
        <v>1050</v>
      </c>
      <c r="C7" s="2"/>
      <c r="D7" s="2"/>
      <c r="E7" s="2"/>
      <c r="F7" s="2"/>
      <c r="G7" s="2"/>
      <c r="H7" s="2"/>
      <c r="I7" s="2"/>
      <c r="J7" s="2"/>
      <c r="K7" s="2"/>
      <c r="L7" s="2"/>
      <c r="M7" s="2"/>
      <c r="N7" s="2"/>
      <c r="O7" s="2"/>
      <c r="P7" s="2"/>
      <c r="Q7" s="2"/>
      <c r="R7" s="2"/>
      <c r="S7" s="12" t="str">
        <f>+_xll.BDP(D15,"SHORT_NAME")</f>
        <v>UNION PAC CORP</v>
      </c>
    </row>
    <row r="8" spans="1:23" s="553" customFormat="1" ht="15" customHeight="1" x14ac:dyDescent="0.3">
      <c r="B8" s="2"/>
      <c r="C8" s="2"/>
      <c r="D8" s="2"/>
      <c r="E8" s="2"/>
      <c r="F8" s="2"/>
      <c r="G8" s="2"/>
      <c r="H8" s="2"/>
      <c r="I8" s="2"/>
      <c r="J8" s="2"/>
      <c r="K8" s="2"/>
      <c r="L8" s="2"/>
      <c r="M8" s="2"/>
      <c r="N8" s="2"/>
      <c r="O8" s="2"/>
      <c r="P8" s="2"/>
      <c r="Q8" s="2"/>
      <c r="R8" s="2"/>
    </row>
    <row r="9" spans="1:23" s="553" customFormat="1" ht="15" customHeight="1" x14ac:dyDescent="0.3">
      <c r="B9" s="2"/>
      <c r="C9" s="2"/>
      <c r="D9" s="2"/>
      <c r="E9" s="2"/>
      <c r="F9" s="2"/>
      <c r="G9" s="2"/>
      <c r="H9" s="2"/>
      <c r="I9" s="2"/>
      <c r="J9" s="2"/>
      <c r="K9" s="2"/>
      <c r="L9" s="2"/>
      <c r="M9" s="2"/>
      <c r="N9" s="2"/>
      <c r="O9" s="2"/>
      <c r="P9" s="2"/>
      <c r="Q9" s="2"/>
      <c r="R9" s="2"/>
    </row>
    <row r="10" spans="1:23" ht="4" customHeight="1" x14ac:dyDescent="0.3">
      <c r="B10" s="36"/>
      <c r="C10" s="36"/>
      <c r="D10" s="36"/>
      <c r="E10" s="36"/>
      <c r="F10" s="36"/>
      <c r="G10" s="36"/>
      <c r="H10" s="36"/>
      <c r="I10" s="36"/>
      <c r="J10" s="36"/>
      <c r="K10" s="36"/>
      <c r="L10" s="36"/>
      <c r="M10" s="36"/>
      <c r="N10" s="36"/>
      <c r="O10" s="36"/>
      <c r="P10" s="36"/>
      <c r="Q10" s="36"/>
      <c r="R10" s="36"/>
    </row>
    <row r="11" spans="1:23" ht="4" customHeight="1" x14ac:dyDescent="0.3"/>
    <row r="12" spans="1:23" ht="15" customHeight="1" thickBot="1" x14ac:dyDescent="0.35">
      <c r="B12" s="399" t="s">
        <v>58</v>
      </c>
      <c r="C12" s="400"/>
      <c r="D12" s="400"/>
      <c r="F12" s="401" t="s">
        <v>1051</v>
      </c>
      <c r="G12" s="400"/>
      <c r="H12" s="400"/>
      <c r="I12" s="400"/>
      <c r="J12" s="400"/>
      <c r="L12" s="401" t="s">
        <v>1052</v>
      </c>
      <c r="M12" s="400"/>
      <c r="O12" s="401" t="s">
        <v>1053</v>
      </c>
      <c r="P12" s="400"/>
      <c r="Q12" s="400"/>
      <c r="R12" s="400"/>
    </row>
    <row r="13" spans="1:23" ht="15" customHeight="1" x14ac:dyDescent="0.3">
      <c r="B13" s="1" t="s">
        <v>1054</v>
      </c>
      <c r="D13" s="398" t="s">
        <v>1055</v>
      </c>
      <c r="F13" s="6" t="s">
        <v>1056</v>
      </c>
      <c r="J13" s="343">
        <f>'Stock Data'!AQ4</f>
        <v>128121.1544668</v>
      </c>
      <c r="L13" s="1" t="s">
        <v>1057</v>
      </c>
      <c r="M13" s="346">
        <f ca="1">J18/(IS!AI18+IS!AH18+IS!AE18+IS!AD18)</f>
        <v>6.6009574249497804</v>
      </c>
      <c r="O13" s="732" t="s">
        <v>1058</v>
      </c>
      <c r="R13" s="357" t="s">
        <v>1059</v>
      </c>
    </row>
    <row r="14" spans="1:23" ht="15" customHeight="1" x14ac:dyDescent="0.3">
      <c r="B14" s="1" t="s">
        <v>1060</v>
      </c>
      <c r="D14" s="357" t="s">
        <v>1061</v>
      </c>
      <c r="F14" s="6" t="s">
        <v>1062</v>
      </c>
      <c r="J14" s="343">
        <f ca="1">Inputs!U63</f>
        <v>0</v>
      </c>
      <c r="L14" s="1" t="s">
        <v>1063</v>
      </c>
      <c r="M14" s="346">
        <f ca="1">J18/(IS!AI33+IS!AH33+IS!AE33+IS!AD33+IS!AI28+IS!AH28+IS!AE28+IS!AD28)</f>
        <v>13.124971834594065</v>
      </c>
      <c r="O14" s="732" t="s">
        <v>1064</v>
      </c>
      <c r="R14" s="357" t="s">
        <v>1065</v>
      </c>
    </row>
    <row r="15" spans="1:23" ht="15" customHeight="1" x14ac:dyDescent="0.3">
      <c r="B15" s="1" t="s">
        <v>1066</v>
      </c>
      <c r="D15" s="356" t="s">
        <v>1067</v>
      </c>
      <c r="F15" s="6" t="s">
        <v>1068</v>
      </c>
      <c r="J15" s="344">
        <f>BS!AI53</f>
        <v>0</v>
      </c>
      <c r="L15" s="1" t="s">
        <v>1069</v>
      </c>
      <c r="M15" s="346">
        <f>J13/(IS!AI52+IS!AH52+IS!AE52+IS!AD52)</f>
        <v>18.474571660677721</v>
      </c>
    </row>
    <row r="16" spans="1:23" ht="15" customHeight="1" thickBot="1" x14ac:dyDescent="0.35">
      <c r="B16" s="361" t="s">
        <v>1070</v>
      </c>
      <c r="D16" s="356" t="s">
        <v>1071</v>
      </c>
      <c r="F16" s="6" t="s">
        <v>1072</v>
      </c>
      <c r="J16" s="344">
        <f>BS!AI38+BS!AI39+BS!AI44+BS!AI45</f>
        <v>33956</v>
      </c>
      <c r="L16" s="1" t="s">
        <v>1073</v>
      </c>
      <c r="M16" s="761">
        <v>5.8</v>
      </c>
      <c r="O16" s="401" t="s">
        <v>1074</v>
      </c>
      <c r="P16" s="400"/>
      <c r="Q16" s="400"/>
      <c r="R16" s="400"/>
    </row>
    <row r="17" spans="1:23" ht="15" customHeight="1" x14ac:dyDescent="0.3">
      <c r="B17" t="s">
        <v>1075</v>
      </c>
      <c r="C17" s="10"/>
      <c r="D17" s="759">
        <v>45627</v>
      </c>
      <c r="F17" s="14" t="s">
        <v>1076</v>
      </c>
      <c r="G17" s="7"/>
      <c r="H17" s="7"/>
      <c r="I17" s="7"/>
      <c r="J17" s="345">
        <f>BS!AI15</f>
        <v>1060</v>
      </c>
      <c r="O17" s="1" t="s">
        <v>1054</v>
      </c>
      <c r="R17" s="398" t="s">
        <v>1055</v>
      </c>
    </row>
    <row r="18" spans="1:23" ht="15" customHeight="1" x14ac:dyDescent="0.3">
      <c r="B18" t="s">
        <v>1077</v>
      </c>
      <c r="C18" s="10"/>
      <c r="D18" s="760">
        <v>45833</v>
      </c>
      <c r="F18" s="5" t="s">
        <v>857</v>
      </c>
      <c r="G18" s="1"/>
      <c r="H18" s="1"/>
      <c r="I18" s="1"/>
      <c r="J18" s="8">
        <f ca="1">J13+J14-J17+J16+J15</f>
        <v>161017.15446679998</v>
      </c>
      <c r="L18" s="1" t="s">
        <v>22</v>
      </c>
      <c r="M18" s="758">
        <v>0.82</v>
      </c>
      <c r="O18" s="1" t="s">
        <v>1060</v>
      </c>
      <c r="Q18" s="4"/>
      <c r="R18" s="357" t="s">
        <v>1061</v>
      </c>
      <c r="S18" s="4"/>
    </row>
    <row r="19" spans="1:23" ht="15" customHeight="1" x14ac:dyDescent="0.3">
      <c r="C19" s="10"/>
      <c r="F19" s="5"/>
      <c r="G19" s="1"/>
      <c r="H19" s="1"/>
      <c r="I19" s="1"/>
      <c r="J19" s="8"/>
      <c r="O19" s="10"/>
    </row>
    <row r="20" spans="1:23" ht="15" customHeight="1" x14ac:dyDescent="0.3">
      <c r="B20" s="401" t="s">
        <v>1078</v>
      </c>
      <c r="C20" s="400"/>
      <c r="D20" s="400"/>
      <c r="E20" s="400"/>
      <c r="F20" s="400"/>
      <c r="G20" s="1"/>
      <c r="H20" s="401" t="s">
        <v>1078</v>
      </c>
      <c r="I20" s="400"/>
      <c r="J20" s="400"/>
      <c r="K20" s="400"/>
      <c r="L20" s="400"/>
      <c r="N20" s="401" t="s">
        <v>1078</v>
      </c>
      <c r="O20" s="400"/>
      <c r="P20" s="400"/>
      <c r="Q20" s="400"/>
      <c r="R20" s="400"/>
    </row>
    <row r="21" spans="1:23" ht="15" customHeight="1" x14ac:dyDescent="0.3">
      <c r="B21" s="732" t="s">
        <v>237</v>
      </c>
      <c r="C21" s="10"/>
      <c r="E21" s="362" t="s">
        <v>1079</v>
      </c>
      <c r="F21" s="363"/>
      <c r="G21" s="1"/>
      <c r="H21" s="732" t="s">
        <v>396</v>
      </c>
      <c r="I21" s="10"/>
      <c r="K21" s="733" t="s">
        <v>1080</v>
      </c>
      <c r="L21" s="363"/>
      <c r="N21" s="732" t="s">
        <v>401</v>
      </c>
      <c r="O21" s="10"/>
      <c r="Q21" s="733" t="s">
        <v>1081</v>
      </c>
      <c r="R21" s="363"/>
    </row>
    <row r="22" spans="1:23" ht="15" customHeight="1" x14ac:dyDescent="0.3">
      <c r="B22" s="732" t="s">
        <v>238</v>
      </c>
      <c r="C22" s="10"/>
      <c r="E22" s="364" t="s">
        <v>1082</v>
      </c>
      <c r="F22" s="365"/>
      <c r="G22" s="1"/>
      <c r="H22" s="732" t="s">
        <v>397</v>
      </c>
      <c r="I22" s="10"/>
      <c r="K22" s="733" t="s">
        <v>1083</v>
      </c>
      <c r="L22" s="365"/>
      <c r="N22" s="732" t="s">
        <v>402</v>
      </c>
      <c r="O22" s="10"/>
      <c r="Q22" s="733" t="s">
        <v>1084</v>
      </c>
      <c r="R22" s="365"/>
    </row>
    <row r="23" spans="1:23" ht="15" customHeight="1" x14ac:dyDescent="0.3">
      <c r="B23" s="732" t="s">
        <v>239</v>
      </c>
      <c r="C23" s="10"/>
      <c r="E23" s="364" t="s">
        <v>1085</v>
      </c>
      <c r="F23" s="365"/>
      <c r="H23" s="732" t="s">
        <v>398</v>
      </c>
      <c r="I23" s="10"/>
      <c r="K23" s="733" t="s">
        <v>1086</v>
      </c>
      <c r="L23" s="365"/>
      <c r="N23" s="732" t="s">
        <v>403</v>
      </c>
      <c r="O23" s="10"/>
      <c r="Q23" s="733" t="s">
        <v>1087</v>
      </c>
      <c r="R23" s="365"/>
    </row>
    <row r="24" spans="1:23" ht="15" customHeight="1" x14ac:dyDescent="0.3">
      <c r="B24" s="732" t="s">
        <v>240</v>
      </c>
      <c r="C24" s="10"/>
      <c r="E24" s="364" t="s">
        <v>1088</v>
      </c>
      <c r="F24" s="365"/>
      <c r="G24" s="1"/>
      <c r="H24" s="732" t="s">
        <v>399</v>
      </c>
      <c r="I24" s="10"/>
      <c r="K24" s="733" t="s">
        <v>1089</v>
      </c>
      <c r="L24" s="365"/>
      <c r="N24" s="732" t="s">
        <v>404</v>
      </c>
      <c r="O24" s="10"/>
      <c r="Q24" s="733" t="s">
        <v>1090</v>
      </c>
      <c r="R24" s="365"/>
    </row>
    <row r="25" spans="1:23" ht="15" customHeight="1" x14ac:dyDescent="0.3">
      <c r="B25" s="732" t="s">
        <v>241</v>
      </c>
      <c r="C25" s="10"/>
      <c r="E25" s="362" t="s">
        <v>1091</v>
      </c>
      <c r="F25" s="363"/>
      <c r="G25" s="1"/>
      <c r="H25" s="732" t="s">
        <v>400</v>
      </c>
      <c r="I25" s="10"/>
      <c r="K25" s="733" t="s">
        <v>1092</v>
      </c>
      <c r="L25" s="363"/>
      <c r="N25" s="732" t="s">
        <v>405</v>
      </c>
      <c r="O25" s="10"/>
      <c r="Q25" s="733" t="s">
        <v>1093</v>
      </c>
      <c r="R25" s="363"/>
    </row>
    <row r="26" spans="1:23" ht="15" customHeight="1" x14ac:dyDescent="0.3">
      <c r="A26" s="4"/>
      <c r="B26" s="4"/>
      <c r="C26" s="4"/>
      <c r="D26" s="4"/>
      <c r="E26" s="4"/>
      <c r="F26" s="4"/>
      <c r="G26" s="4"/>
      <c r="H26" s="4"/>
      <c r="I26" s="4"/>
      <c r="J26" s="4"/>
      <c r="K26" s="4"/>
      <c r="L26" s="4"/>
      <c r="M26" s="4"/>
      <c r="N26" s="4"/>
      <c r="O26" s="4"/>
      <c r="P26" s="4"/>
      <c r="Q26" s="4"/>
      <c r="R26" s="4"/>
      <c r="S26" s="4"/>
      <c r="T26" s="4"/>
      <c r="U26" s="4"/>
      <c r="V26" s="4"/>
      <c r="W26" s="4"/>
    </row>
    <row r="27" spans="1:23" s="553" customFormat="1" ht="15" customHeight="1" x14ac:dyDescent="0.3">
      <c r="B27" s="2" t="s">
        <v>3</v>
      </c>
      <c r="C27" s="2"/>
      <c r="D27" s="2"/>
      <c r="E27" s="2"/>
      <c r="F27" s="2"/>
      <c r="G27" s="2"/>
      <c r="H27" s="2"/>
      <c r="I27" s="2"/>
      <c r="J27" s="2"/>
      <c r="K27" s="2"/>
      <c r="L27" s="2"/>
      <c r="M27" s="2"/>
      <c r="N27" s="2"/>
      <c r="O27" s="2"/>
      <c r="P27" s="2"/>
      <c r="Q27" s="2"/>
      <c r="R27" s="2"/>
      <c r="S27" s="2"/>
      <c r="T27" s="2"/>
      <c r="U27" s="2"/>
    </row>
    <row r="28" spans="1:23" ht="4" customHeight="1" x14ac:dyDescent="0.3">
      <c r="B28" s="36"/>
      <c r="C28" s="36"/>
      <c r="D28" s="36"/>
      <c r="E28" s="36"/>
      <c r="F28" s="36"/>
      <c r="G28" s="36"/>
      <c r="H28" s="36"/>
      <c r="I28" s="36"/>
      <c r="J28" s="36"/>
      <c r="K28" s="36"/>
      <c r="L28" s="36"/>
      <c r="M28" s="36"/>
      <c r="N28" s="36"/>
      <c r="O28" s="36"/>
      <c r="P28" s="36"/>
      <c r="Q28" s="36"/>
      <c r="R28" s="36"/>
      <c r="S28" s="36"/>
      <c r="T28" s="36"/>
      <c r="U28" s="36"/>
    </row>
    <row r="30" spans="1:23" ht="15" customHeight="1" x14ac:dyDescent="0.3">
      <c r="B30" s="2" t="str">
        <f>S7&amp;" vs "&amp;R13</f>
        <v>UNION PAC CORP vs spx index</v>
      </c>
      <c r="C30" s="2"/>
      <c r="D30" s="2"/>
      <c r="E30" s="2"/>
      <c r="F30" s="2"/>
      <c r="G30" s="2"/>
      <c r="H30" s="2"/>
      <c r="I30" s="2"/>
      <c r="J30" s="2"/>
      <c r="L30" s="2" t="s">
        <v>1094</v>
      </c>
      <c r="M30" s="2"/>
      <c r="N30" s="2"/>
      <c r="O30" s="2"/>
      <c r="P30" s="2"/>
      <c r="Q30" s="2"/>
      <c r="R30" s="2"/>
      <c r="S30" s="2"/>
      <c r="T30" s="2"/>
      <c r="U30" s="2"/>
    </row>
    <row r="56" spans="1:23" s="553" customFormat="1" ht="15" customHeight="1" x14ac:dyDescent="0.3">
      <c r="A56" s="11"/>
      <c r="B56" s="2" t="s">
        <v>1050</v>
      </c>
      <c r="C56" s="2"/>
      <c r="D56" s="2"/>
      <c r="E56" s="2"/>
      <c r="F56" s="2"/>
      <c r="G56" s="2"/>
      <c r="H56" s="2"/>
      <c r="I56" s="2"/>
      <c r="J56" s="2"/>
      <c r="K56" s="2"/>
      <c r="L56" s="2"/>
      <c r="M56" s="2"/>
      <c r="N56" s="2"/>
      <c r="O56" s="2"/>
      <c r="P56" s="2"/>
      <c r="Q56" s="2"/>
      <c r="R56" s="2"/>
      <c r="S56" s="2"/>
      <c r="T56" s="2"/>
      <c r="U56" s="2"/>
      <c r="V56" s="2"/>
      <c r="W56" s="2"/>
    </row>
    <row r="57" spans="1:23" s="553" customFormat="1" ht="15" customHeight="1" x14ac:dyDescent="0.3">
      <c r="A57" s="11"/>
      <c r="B57" s="2"/>
      <c r="C57" s="2"/>
      <c r="D57" s="2"/>
      <c r="E57" s="2"/>
      <c r="F57" s="2"/>
      <c r="G57" s="2"/>
      <c r="H57" s="2"/>
      <c r="I57" s="2"/>
      <c r="J57" s="2"/>
      <c r="K57" s="2"/>
      <c r="L57" s="2"/>
      <c r="M57" s="2"/>
      <c r="N57" s="2"/>
      <c r="O57" s="2"/>
      <c r="P57" s="2"/>
      <c r="Q57" s="2"/>
      <c r="R57" s="2"/>
      <c r="S57" s="2"/>
      <c r="T57" s="2"/>
      <c r="U57" s="2"/>
      <c r="V57" s="2"/>
      <c r="W57" s="2"/>
    </row>
    <row r="58" spans="1:23" s="553" customFormat="1" ht="15" customHeight="1" x14ac:dyDescent="0.3">
      <c r="A58" s="11"/>
      <c r="B58" s="2"/>
      <c r="C58" s="2"/>
      <c r="D58" s="2"/>
      <c r="E58" s="2"/>
      <c r="F58" s="2"/>
      <c r="G58" s="2"/>
      <c r="H58" s="2"/>
      <c r="I58" s="2"/>
      <c r="J58" s="2"/>
      <c r="K58" s="2"/>
      <c r="L58" s="2"/>
      <c r="M58" s="2"/>
      <c r="N58" s="2"/>
      <c r="O58" s="2"/>
      <c r="P58" s="2"/>
      <c r="Q58" s="2"/>
      <c r="R58" s="2"/>
      <c r="S58" s="2"/>
      <c r="T58" s="2"/>
      <c r="U58" s="2"/>
      <c r="V58" s="2"/>
      <c r="W58" s="2"/>
    </row>
    <row r="59" spans="1:23" ht="4" customHeight="1" x14ac:dyDescent="0.3">
      <c r="B59" s="36"/>
      <c r="C59" s="36"/>
      <c r="D59" s="36"/>
      <c r="E59" s="36"/>
      <c r="F59" s="36"/>
      <c r="G59" s="36"/>
      <c r="H59" s="36"/>
      <c r="I59" s="36"/>
      <c r="J59" s="36"/>
      <c r="K59" s="36"/>
      <c r="L59" s="36"/>
      <c r="M59" s="36"/>
      <c r="N59" s="36"/>
      <c r="O59" s="36"/>
      <c r="P59" s="36"/>
      <c r="Q59" s="36"/>
      <c r="R59" s="36"/>
      <c r="S59" s="36"/>
      <c r="T59" s="36"/>
      <c r="U59" s="36"/>
      <c r="V59" s="36"/>
      <c r="W59" s="36"/>
    </row>
    <row r="60" spans="1:23" ht="4" customHeight="1" x14ac:dyDescent="0.3"/>
    <row r="61" spans="1:23" ht="15" customHeight="1" x14ac:dyDescent="0.3">
      <c r="A61" s="12"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x14ac:dyDescent="0.3">
      <c r="A62" s="10" t="s">
        <v>39</v>
      </c>
      <c r="B62" s="359" t="str">
        <f>$D$15</f>
        <v>UNP US Equity</v>
      </c>
      <c r="C62" s="360"/>
      <c r="D62" s="360"/>
      <c r="E62" s="358">
        <v>2015</v>
      </c>
      <c r="F62" s="358">
        <f t="shared" ref="F62:N62" si="0">+E62+1</f>
        <v>2016</v>
      </c>
      <c r="G62" s="358">
        <f t="shared" si="0"/>
        <v>2017</v>
      </c>
      <c r="H62" s="358">
        <f t="shared" si="0"/>
        <v>2018</v>
      </c>
      <c r="I62" s="358">
        <f t="shared" si="0"/>
        <v>2019</v>
      </c>
      <c r="J62" s="358">
        <f t="shared" si="0"/>
        <v>2020</v>
      </c>
      <c r="K62" s="358">
        <f t="shared" si="0"/>
        <v>2021</v>
      </c>
      <c r="L62" s="358">
        <f t="shared" si="0"/>
        <v>2022</v>
      </c>
      <c r="M62" s="358">
        <f t="shared" si="0"/>
        <v>2023</v>
      </c>
      <c r="N62" s="358">
        <f t="shared" si="0"/>
        <v>2024</v>
      </c>
      <c r="O62" s="10"/>
      <c r="P62" s="3"/>
      <c r="Q62" s="3"/>
      <c r="R62" s="403" t="s">
        <v>425</v>
      </c>
      <c r="S62" s="554" t="s">
        <v>1095</v>
      </c>
      <c r="T62" s="3"/>
      <c r="U62" s="403" t="s">
        <v>1096</v>
      </c>
      <c r="V62" s="3"/>
      <c r="W62" s="403" t="s">
        <v>1097</v>
      </c>
    </row>
    <row r="63" spans="1:23" ht="15" customHeight="1" x14ac:dyDescent="0.3">
      <c r="A63" s="10"/>
      <c r="B63" s="10" t="s">
        <v>702</v>
      </c>
      <c r="C63" s="10"/>
      <c r="D63" s="10"/>
      <c r="E63" s="742" t="s">
        <v>1098</v>
      </c>
      <c r="F63" s="742" t="s">
        <v>1099</v>
      </c>
      <c r="G63" s="742" t="s">
        <v>1100</v>
      </c>
      <c r="H63" s="742" t="s">
        <v>1101</v>
      </c>
      <c r="I63" s="742" t="s">
        <v>1102</v>
      </c>
      <c r="J63" s="742" t="s">
        <v>1103</v>
      </c>
      <c r="K63" s="742" t="s">
        <v>1104</v>
      </c>
      <c r="L63" s="742" t="s">
        <v>1105</v>
      </c>
      <c r="M63" s="742" t="s">
        <v>1106</v>
      </c>
      <c r="N63" s="742" t="s">
        <v>1107</v>
      </c>
      <c r="O63" s="10"/>
      <c r="P63" s="10"/>
      <c r="Q63" s="13">
        <f ca="1">TODAY()</f>
        <v>45951</v>
      </c>
      <c r="R63" s="301">
        <f ca="1">IFERROR(VALUE(_xll.BDH(Inputs!$D$16, "PX_OFFICIAL_CLOSE", $Q63, $Q63)),R64)</f>
        <v>0</v>
      </c>
      <c r="S63" s="301">
        <f ca="1">IFERROR(VALUE(_xll.BDH(Inputs!$D$15, "EQY_SH_OUT", $Q63, $Q63,"SCALING_FORMAT="&amp;Inputs!$R$18)),S64)</f>
        <v>0</v>
      </c>
      <c r="U63" s="402">
        <f t="shared" ref="U63:U70" ca="1" si="1">R63*S63</f>
        <v>0</v>
      </c>
      <c r="W63" s="732" t="s">
        <v>357</v>
      </c>
    </row>
    <row r="64" spans="1:23" ht="15" customHeight="1" x14ac:dyDescent="0.3">
      <c r="A64" s="10"/>
      <c r="B64" s="10" t="s">
        <v>1108</v>
      </c>
      <c r="C64" s="10"/>
      <c r="D64" s="10"/>
      <c r="E64" s="742" t="s">
        <v>1109</v>
      </c>
      <c r="F64" s="742" t="s">
        <v>1110</v>
      </c>
      <c r="G64" s="742" t="s">
        <v>1111</v>
      </c>
      <c r="H64" s="742" t="s">
        <v>1112</v>
      </c>
      <c r="I64" s="742" t="s">
        <v>1113</v>
      </c>
      <c r="J64" s="742" t="s">
        <v>1114</v>
      </c>
      <c r="K64" s="742" t="s">
        <v>1115</v>
      </c>
      <c r="L64" s="742" t="s">
        <v>1116</v>
      </c>
      <c r="M64" s="742" t="s">
        <v>1117</v>
      </c>
      <c r="N64" s="742" t="s">
        <v>1118</v>
      </c>
      <c r="O64" s="10"/>
      <c r="P64" s="10"/>
      <c r="Q64" s="300">
        <f t="shared" ref="Q64:Q70" ca="1" si="2">Q63-1</f>
        <v>45950</v>
      </c>
      <c r="R64" s="301">
        <f ca="1">IFERROR(VALUE(_xll.BDH(Inputs!$D$16, "PX_OFFICIAL_CLOSE", $Q64, $Q64)),R65)</f>
        <v>0</v>
      </c>
      <c r="S64" s="301">
        <f ca="1">IFERROR(VALUE(_xll.BDH(Inputs!$D$15, "EQY_SH_OUT", $Q64, $Q64,"SCALING_FORMAT="&amp;Inputs!$R$18)),S65)</f>
        <v>0</v>
      </c>
      <c r="U64" s="402">
        <f t="shared" ca="1" si="1"/>
        <v>0</v>
      </c>
      <c r="W64" s="732" t="s">
        <v>357</v>
      </c>
    </row>
    <row r="65" spans="1:23" ht="15" customHeight="1" x14ac:dyDescent="0.3">
      <c r="A65" s="10"/>
      <c r="B65" s="10" t="s">
        <v>257</v>
      </c>
      <c r="C65" s="10"/>
      <c r="D65" s="10"/>
      <c r="E65" s="743" t="s">
        <v>1119</v>
      </c>
      <c r="F65" s="743" t="s">
        <v>1120</v>
      </c>
      <c r="G65" s="743" t="s">
        <v>1121</v>
      </c>
      <c r="H65" s="743" t="s">
        <v>1122</v>
      </c>
      <c r="I65" s="743" t="s">
        <v>1123</v>
      </c>
      <c r="J65" s="743" t="s">
        <v>1119</v>
      </c>
      <c r="K65" s="743" t="s">
        <v>1124</v>
      </c>
      <c r="L65" s="743" t="s">
        <v>1125</v>
      </c>
      <c r="M65" s="743" t="s">
        <v>578</v>
      </c>
      <c r="N65" s="743" t="s">
        <v>1126</v>
      </c>
      <c r="O65" s="10"/>
      <c r="P65" s="10"/>
      <c r="Q65" s="300">
        <f t="shared" ca="1" si="2"/>
        <v>45949</v>
      </c>
      <c r="R65" s="301">
        <f ca="1">IFERROR(VALUE(_xll.BDH(Inputs!$D$16, "PX_OFFICIAL_CLOSE", $Q65, $Q65)),R66)</f>
        <v>0</v>
      </c>
      <c r="S65" s="301">
        <f ca="1">IFERROR(VALUE(_xll.BDH(Inputs!$D$15, "EQY_SH_OUT", $Q65, $Q65,"SCALING_FORMAT="&amp;Inputs!$R$18)),S66)</f>
        <v>0</v>
      </c>
      <c r="U65" s="402">
        <f t="shared" ca="1" si="1"/>
        <v>0</v>
      </c>
      <c r="W65" s="732" t="s">
        <v>357</v>
      </c>
    </row>
    <row r="66" spans="1:23" ht="15" customHeight="1" x14ac:dyDescent="0.3">
      <c r="A66" s="10"/>
      <c r="B66" s="10" t="s">
        <v>695</v>
      </c>
      <c r="C66" s="10"/>
      <c r="D66" s="10"/>
      <c r="E66" s="743" t="s">
        <v>517</v>
      </c>
      <c r="F66" s="743" t="s">
        <v>1127</v>
      </c>
      <c r="G66" s="743" t="s">
        <v>1128</v>
      </c>
      <c r="H66" s="743" t="s">
        <v>1129</v>
      </c>
      <c r="I66" s="743" t="s">
        <v>1130</v>
      </c>
      <c r="J66" s="743" t="s">
        <v>1128</v>
      </c>
      <c r="K66" s="743" t="s">
        <v>1131</v>
      </c>
      <c r="L66" s="743" t="s">
        <v>1132</v>
      </c>
      <c r="M66" s="743" t="s">
        <v>1133</v>
      </c>
      <c r="N66" s="743" t="s">
        <v>1134</v>
      </c>
      <c r="O66" s="10"/>
      <c r="P66" s="10"/>
      <c r="Q66" s="300">
        <f t="shared" ca="1" si="2"/>
        <v>45948</v>
      </c>
      <c r="R66" s="301">
        <f ca="1">IFERROR(VALUE(_xll.BDH(Inputs!$D$16, "PX_OFFICIAL_CLOSE", $Q66, $Q66)),R67)</f>
        <v>0</v>
      </c>
      <c r="S66" s="301">
        <f ca="1">IFERROR(VALUE(_xll.BDH(Inputs!$D$15, "EQY_SH_OUT", $Q66, $Q66,"SCALING_FORMAT="&amp;Inputs!$R$18)),S67)</f>
        <v>0</v>
      </c>
      <c r="U66" s="402">
        <f t="shared" ca="1" si="1"/>
        <v>0</v>
      </c>
      <c r="W66" s="732" t="s">
        <v>357</v>
      </c>
    </row>
    <row r="67" spans="1:23" ht="15" customHeight="1" x14ac:dyDescent="0.3">
      <c r="A67" s="10"/>
      <c r="B67" s="10" t="s">
        <v>1135</v>
      </c>
      <c r="C67" s="10"/>
      <c r="D67" s="10"/>
      <c r="E67" s="742" t="s">
        <v>1136</v>
      </c>
      <c r="F67" s="742" t="s">
        <v>1137</v>
      </c>
      <c r="G67" s="742" t="s">
        <v>1138</v>
      </c>
      <c r="H67" s="742" t="s">
        <v>1139</v>
      </c>
      <c r="I67" s="742" t="s">
        <v>1140</v>
      </c>
      <c r="J67" s="742" t="s">
        <v>1141</v>
      </c>
      <c r="K67" s="742" t="s">
        <v>1142</v>
      </c>
      <c r="L67" s="742" t="s">
        <v>1143</v>
      </c>
      <c r="M67" s="742" t="s">
        <v>1144</v>
      </c>
      <c r="N67" s="742" t="s">
        <v>1145</v>
      </c>
      <c r="O67" s="10"/>
      <c r="P67" s="10"/>
      <c r="Q67" s="300">
        <f t="shared" ca="1" si="2"/>
        <v>45947</v>
      </c>
      <c r="R67" s="301">
        <f ca="1">IFERROR(VALUE(_xll.BDH(Inputs!$D$16, "PX_OFFICIAL_CLOSE", $Q67, $Q67)),R68)</f>
        <v>0</v>
      </c>
      <c r="S67" s="301">
        <f ca="1">IFERROR(VALUE(_xll.BDH(Inputs!$D$15, "EQY_SH_OUT", $Q67, $Q67,"SCALING_FORMAT="&amp;Inputs!$R$18)),S68)</f>
        <v>0</v>
      </c>
      <c r="U67" s="402">
        <f t="shared" ca="1" si="1"/>
        <v>0</v>
      </c>
      <c r="W67" s="732" t="s">
        <v>466</v>
      </c>
    </row>
    <row r="68" spans="1:23" ht="15" customHeight="1" x14ac:dyDescent="0.3">
      <c r="A68" s="10"/>
      <c r="B68" s="10" t="s">
        <v>1146</v>
      </c>
      <c r="C68" s="10"/>
      <c r="D68" s="10"/>
      <c r="E68" s="743" t="s">
        <v>1147</v>
      </c>
      <c r="F68" s="743" t="s">
        <v>1148</v>
      </c>
      <c r="G68" s="743" t="s">
        <v>1149</v>
      </c>
      <c r="H68" s="743" t="s">
        <v>1150</v>
      </c>
      <c r="I68" s="743" t="s">
        <v>1151</v>
      </c>
      <c r="J68" s="743" t="s">
        <v>1152</v>
      </c>
      <c r="K68" s="743" t="s">
        <v>1153</v>
      </c>
      <c r="L68" s="743" t="s">
        <v>1154</v>
      </c>
      <c r="M68" s="743" t="s">
        <v>1155</v>
      </c>
      <c r="N68" s="743" t="s">
        <v>1156</v>
      </c>
      <c r="O68" s="10"/>
      <c r="P68" s="10"/>
      <c r="Q68" s="300">
        <f t="shared" ca="1" si="2"/>
        <v>45946</v>
      </c>
      <c r="R68" s="301">
        <f ca="1">IFERROR(VALUE(_xll.BDH(Inputs!$D$16, "PX_OFFICIAL_CLOSE", $Q68, $Q68)),R69)</f>
        <v>0</v>
      </c>
      <c r="S68" s="301">
        <f ca="1">IFERROR(VALUE(_xll.BDH(Inputs!$D$15, "EQY_SH_OUT", $Q68, $Q68,"SCALING_FORMAT="&amp;Inputs!$R$18)),S69)</f>
        <v>0</v>
      </c>
      <c r="U68" s="402">
        <f ca="1">R68*S68</f>
        <v>0</v>
      </c>
      <c r="W68" s="732" t="s">
        <v>466</v>
      </c>
    </row>
    <row r="69" spans="1:23" ht="15" customHeight="1" x14ac:dyDescent="0.3">
      <c r="A69" s="10"/>
      <c r="B69" s="10" t="s">
        <v>1157</v>
      </c>
      <c r="C69" s="10"/>
      <c r="D69" s="10"/>
      <c r="E69" s="743" t="s">
        <v>1158</v>
      </c>
      <c r="F69" s="743" t="s">
        <v>1159</v>
      </c>
      <c r="G69" s="743" t="s">
        <v>1160</v>
      </c>
      <c r="H69" s="743" t="s">
        <v>1161</v>
      </c>
      <c r="I69" s="743" t="s">
        <v>1162</v>
      </c>
      <c r="J69" s="743" t="s">
        <v>1163</v>
      </c>
      <c r="K69" s="743" t="s">
        <v>1164</v>
      </c>
      <c r="L69" s="743" t="s">
        <v>1165</v>
      </c>
      <c r="M69" s="743" t="s">
        <v>1166</v>
      </c>
      <c r="N69" s="743" t="s">
        <v>1167</v>
      </c>
      <c r="O69" s="10"/>
      <c r="P69" s="10"/>
      <c r="Q69" s="300">
        <f t="shared" ca="1" si="2"/>
        <v>45945</v>
      </c>
      <c r="R69" s="301">
        <f ca="1">IFERROR(VALUE(_xll.BDH(Inputs!$D$16, "PX_OFFICIAL_CLOSE", $Q69, $Q69)),R70)</f>
        <v>0</v>
      </c>
      <c r="S69" s="301">
        <f ca="1">IFERROR(VALUE(_xll.BDH(Inputs!$D$15, "EQY_SH_OUT", $Q69, $Q69,"SCALING_FORMAT="&amp;Inputs!$R$18)),S70)</f>
        <v>0</v>
      </c>
      <c r="U69" s="402">
        <f t="shared" ca="1" si="1"/>
        <v>0</v>
      </c>
      <c r="W69" s="732" t="s">
        <v>289</v>
      </c>
    </row>
    <row r="70" spans="1:23" ht="15" customHeight="1" x14ac:dyDescent="0.3">
      <c r="A70" s="10"/>
      <c r="B70" s="10" t="s">
        <v>1168</v>
      </c>
      <c r="C70" s="10"/>
      <c r="D70" s="10"/>
      <c r="E70" s="744" t="s">
        <v>1169</v>
      </c>
      <c r="F70" s="744" t="s">
        <v>1169</v>
      </c>
      <c r="G70" s="744" t="s">
        <v>1170</v>
      </c>
      <c r="H70" s="744" t="s">
        <v>1171</v>
      </c>
      <c r="I70" s="744" t="s">
        <v>1172</v>
      </c>
      <c r="J70" s="744" t="s">
        <v>1171</v>
      </c>
      <c r="K70" s="744" t="s">
        <v>1173</v>
      </c>
      <c r="L70" s="744" t="s">
        <v>1174</v>
      </c>
      <c r="M70" s="744" t="s">
        <v>1171</v>
      </c>
      <c r="N70" s="744" t="s">
        <v>1173</v>
      </c>
      <c r="O70" s="10"/>
      <c r="P70" s="10"/>
      <c r="Q70" s="300">
        <f t="shared" ca="1" si="2"/>
        <v>45944</v>
      </c>
      <c r="R70" s="301">
        <f ca="1">IFERROR(VALUE(_xll.BDH(Inputs!$D$16, "PX_OFFICIAL_CLOSE", $Q70, $Q70)),R71)</f>
        <v>0</v>
      </c>
      <c r="S70" s="301">
        <f ca="1">IFERROR(VALUE(_xll.BDH(Inputs!$D$15, "EQY_SH_OUT", $Q70, $Q70,"SCALING_FORMAT="&amp;Inputs!$R$18)),S71)</f>
        <v>0</v>
      </c>
      <c r="U70" s="402">
        <f t="shared" ca="1" si="1"/>
        <v>0</v>
      </c>
      <c r="W70" s="732" t="s">
        <v>289</v>
      </c>
    </row>
    <row r="71" spans="1:23" ht="15" customHeight="1" x14ac:dyDescent="0.3">
      <c r="A71" s="10"/>
      <c r="B71" s="10" t="s">
        <v>1175</v>
      </c>
      <c r="C71" s="10"/>
      <c r="D71" s="10"/>
      <c r="E71" s="743" t="s">
        <v>1176</v>
      </c>
      <c r="F71" s="743" t="s">
        <v>1177</v>
      </c>
      <c r="G71" s="743" t="s">
        <v>1178</v>
      </c>
      <c r="H71" s="743" t="s">
        <v>1179</v>
      </c>
      <c r="I71" s="743" t="s">
        <v>1180</v>
      </c>
      <c r="J71" s="743" t="s">
        <v>1181</v>
      </c>
      <c r="K71" s="743" t="s">
        <v>1182</v>
      </c>
      <c r="L71" s="743" t="s">
        <v>1183</v>
      </c>
      <c r="M71" s="743" t="s">
        <v>1181</v>
      </c>
      <c r="N71" s="743" t="s">
        <v>1184</v>
      </c>
      <c r="O71" s="10"/>
      <c r="P71" s="10"/>
      <c r="Q71" s="10"/>
      <c r="R71" s="301"/>
      <c r="S71" s="301"/>
      <c r="U71" s="402"/>
      <c r="W71" s="346"/>
    </row>
    <row r="72" spans="1:23" ht="1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x14ac:dyDescent="0.3">
      <c r="A73" s="10" t="s">
        <v>39</v>
      </c>
      <c r="B73" s="359" t="str">
        <f>E21</f>
        <v xml:space="preserve">CNR CN </v>
      </c>
      <c r="C73" s="360"/>
      <c r="D73" s="360"/>
      <c r="E73" s="358">
        <v>2015</v>
      </c>
      <c r="F73" s="358">
        <f t="shared" ref="F73:N73" si="3">+E73+1</f>
        <v>2016</v>
      </c>
      <c r="G73" s="358">
        <f t="shared" si="3"/>
        <v>2017</v>
      </c>
      <c r="H73" s="358">
        <f t="shared" si="3"/>
        <v>2018</v>
      </c>
      <c r="I73" s="358">
        <f t="shared" si="3"/>
        <v>2019</v>
      </c>
      <c r="J73" s="358">
        <f t="shared" si="3"/>
        <v>2020</v>
      </c>
      <c r="K73" s="358">
        <f t="shared" si="3"/>
        <v>2021</v>
      </c>
      <c r="L73" s="358">
        <f t="shared" si="3"/>
        <v>2022</v>
      </c>
      <c r="M73" s="358">
        <f t="shared" si="3"/>
        <v>2023</v>
      </c>
      <c r="N73" s="358">
        <f t="shared" si="3"/>
        <v>2024</v>
      </c>
      <c r="O73" s="10"/>
      <c r="P73" s="10"/>
      <c r="Q73" s="10"/>
      <c r="R73" s="10"/>
      <c r="S73" s="10"/>
      <c r="T73" s="10"/>
      <c r="U73" s="10"/>
      <c r="V73" s="10"/>
      <c r="W73" s="10"/>
    </row>
    <row r="74" spans="1:23" ht="15" customHeight="1" x14ac:dyDescent="0.3">
      <c r="A74" s="10"/>
      <c r="B74" s="10" t="s">
        <v>702</v>
      </c>
      <c r="C74" s="10"/>
      <c r="D74" s="10"/>
      <c r="E74" s="742" t="s">
        <v>1185</v>
      </c>
      <c r="F74" s="742" t="s">
        <v>1186</v>
      </c>
      <c r="G74" s="742" t="s">
        <v>1187</v>
      </c>
      <c r="H74" s="742" t="s">
        <v>1188</v>
      </c>
      <c r="I74" s="742" t="s">
        <v>1189</v>
      </c>
      <c r="J74" s="742" t="s">
        <v>1190</v>
      </c>
      <c r="K74" s="742" t="s">
        <v>1191</v>
      </c>
      <c r="L74" s="742" t="s">
        <v>1192</v>
      </c>
      <c r="M74" s="742" t="s">
        <v>1193</v>
      </c>
      <c r="N74" s="742" t="s">
        <v>1194</v>
      </c>
      <c r="O74" s="10"/>
      <c r="S74" s="10"/>
      <c r="T74" s="10"/>
      <c r="U74" s="10"/>
      <c r="V74" s="10"/>
      <c r="W74" s="10"/>
    </row>
    <row r="75" spans="1:23" ht="15" customHeight="1" x14ac:dyDescent="0.3">
      <c r="A75" s="10"/>
      <c r="B75" s="10" t="s">
        <v>1108</v>
      </c>
      <c r="C75" s="10"/>
      <c r="D75" s="10"/>
      <c r="E75" s="742" t="s">
        <v>1195</v>
      </c>
      <c r="F75" s="742" t="s">
        <v>1196</v>
      </c>
      <c r="G75" s="742" t="s">
        <v>1197</v>
      </c>
      <c r="H75" s="742" t="s">
        <v>1198</v>
      </c>
      <c r="I75" s="742" t="s">
        <v>1199</v>
      </c>
      <c r="J75" s="742" t="s">
        <v>1200</v>
      </c>
      <c r="K75" s="742" t="s">
        <v>1201</v>
      </c>
      <c r="L75" s="742" t="s">
        <v>1202</v>
      </c>
      <c r="M75" s="742" t="s">
        <v>1203</v>
      </c>
      <c r="N75" s="742" t="s">
        <v>1204</v>
      </c>
      <c r="O75" s="10"/>
      <c r="S75" s="10"/>
      <c r="T75" s="10"/>
      <c r="U75" s="10"/>
      <c r="V75" s="10"/>
      <c r="W75" s="10"/>
    </row>
    <row r="76" spans="1:23" ht="15" customHeight="1" x14ac:dyDescent="0.3">
      <c r="A76" s="10"/>
      <c r="B76" s="10" t="s">
        <v>257</v>
      </c>
      <c r="C76" s="10"/>
      <c r="D76" s="10"/>
      <c r="E76" s="743" t="s">
        <v>1205</v>
      </c>
      <c r="F76" s="743" t="s">
        <v>1206</v>
      </c>
      <c r="G76" s="743" t="s">
        <v>1207</v>
      </c>
      <c r="H76" s="743" t="s">
        <v>1208</v>
      </c>
      <c r="I76" s="743" t="s">
        <v>1119</v>
      </c>
      <c r="J76" s="743" t="s">
        <v>1209</v>
      </c>
      <c r="K76" s="743" t="s">
        <v>1210</v>
      </c>
      <c r="L76" s="743" t="s">
        <v>1206</v>
      </c>
      <c r="M76" s="743" t="s">
        <v>1211</v>
      </c>
      <c r="N76" s="743" t="s">
        <v>1134</v>
      </c>
      <c r="O76" s="10"/>
      <c r="S76" s="10"/>
      <c r="T76" s="10"/>
      <c r="U76" s="10"/>
      <c r="V76" s="10"/>
      <c r="W76" s="10"/>
    </row>
    <row r="77" spans="1:23" ht="15" customHeight="1" x14ac:dyDescent="0.3">
      <c r="A77" s="10"/>
      <c r="B77" s="10" t="s">
        <v>695</v>
      </c>
      <c r="C77" s="10"/>
      <c r="D77" s="10"/>
      <c r="E77" s="743" t="s">
        <v>1212</v>
      </c>
      <c r="F77" s="743" t="s">
        <v>1213</v>
      </c>
      <c r="G77" s="743" t="s">
        <v>1133</v>
      </c>
      <c r="H77" s="743" t="s">
        <v>1213</v>
      </c>
      <c r="I77" s="743" t="s">
        <v>1134</v>
      </c>
      <c r="J77" s="743" t="s">
        <v>1214</v>
      </c>
      <c r="K77" s="743" t="s">
        <v>1128</v>
      </c>
      <c r="L77" s="743" t="s">
        <v>1210</v>
      </c>
      <c r="M77" s="743" t="s">
        <v>517</v>
      </c>
      <c r="N77" s="743" t="s">
        <v>1120</v>
      </c>
      <c r="O77" s="10"/>
      <c r="S77" s="10"/>
      <c r="T77" s="10"/>
      <c r="U77" s="10"/>
      <c r="V77" s="10"/>
      <c r="W77" s="10"/>
    </row>
    <row r="78" spans="1:23" ht="15" customHeight="1" x14ac:dyDescent="0.3">
      <c r="A78" s="10"/>
      <c r="B78" s="10" t="s">
        <v>1135</v>
      </c>
      <c r="C78" s="10"/>
      <c r="D78" s="10"/>
      <c r="E78" s="742" t="s">
        <v>1215</v>
      </c>
      <c r="F78" s="742" t="s">
        <v>1216</v>
      </c>
      <c r="G78" s="742" t="s">
        <v>1217</v>
      </c>
      <c r="H78" s="742" t="s">
        <v>1218</v>
      </c>
      <c r="I78" s="742" t="s">
        <v>1219</v>
      </c>
      <c r="J78" s="742" t="s">
        <v>1220</v>
      </c>
      <c r="K78" s="742" t="s">
        <v>1221</v>
      </c>
      <c r="L78" s="742" t="s">
        <v>1222</v>
      </c>
      <c r="M78" s="742" t="s">
        <v>1223</v>
      </c>
      <c r="N78" s="742" t="s">
        <v>1224</v>
      </c>
      <c r="O78" s="10"/>
      <c r="S78" s="10"/>
      <c r="T78" s="10"/>
      <c r="U78" s="10"/>
      <c r="V78" s="10"/>
      <c r="W78" s="10"/>
    </row>
    <row r="79" spans="1:23" ht="15" customHeight="1" x14ac:dyDescent="0.3">
      <c r="A79" s="10"/>
      <c r="B79" s="10" t="s">
        <v>1146</v>
      </c>
      <c r="C79" s="10"/>
      <c r="D79" s="10"/>
      <c r="E79" s="743" t="s">
        <v>1225</v>
      </c>
      <c r="F79" s="743" t="s">
        <v>1226</v>
      </c>
      <c r="G79" s="743" t="s">
        <v>1227</v>
      </c>
      <c r="H79" s="743" t="s">
        <v>1228</v>
      </c>
      <c r="I79" s="743" t="s">
        <v>1229</v>
      </c>
      <c r="J79" s="743" t="s">
        <v>1230</v>
      </c>
      <c r="K79" s="743" t="s">
        <v>1231</v>
      </c>
      <c r="L79" s="743" t="s">
        <v>1232</v>
      </c>
      <c r="M79" s="743" t="s">
        <v>1233</v>
      </c>
      <c r="N79" s="743" t="s">
        <v>1234</v>
      </c>
      <c r="O79" s="10"/>
      <c r="S79" s="10"/>
      <c r="T79" s="10"/>
      <c r="U79" s="10"/>
      <c r="V79" s="10"/>
      <c r="W79" s="10"/>
    </row>
    <row r="80" spans="1:23" ht="15" customHeight="1" x14ac:dyDescent="0.3">
      <c r="A80" s="10"/>
      <c r="B80" s="10" t="s">
        <v>1157</v>
      </c>
      <c r="C80" s="10"/>
      <c r="D80" s="10"/>
      <c r="E80" s="743" t="s">
        <v>1235</v>
      </c>
      <c r="F80" s="743" t="s">
        <v>1235</v>
      </c>
      <c r="G80" s="743" t="s">
        <v>1165</v>
      </c>
      <c r="H80" s="743" t="s">
        <v>1236</v>
      </c>
      <c r="I80" s="743" t="s">
        <v>1237</v>
      </c>
      <c r="J80" s="743" t="s">
        <v>1238</v>
      </c>
      <c r="K80" s="743" t="s">
        <v>1239</v>
      </c>
      <c r="L80" s="743" t="s">
        <v>1167</v>
      </c>
      <c r="M80" s="743" t="s">
        <v>1240</v>
      </c>
      <c r="N80" s="743" t="s">
        <v>1241</v>
      </c>
      <c r="O80" s="10"/>
      <c r="S80" s="10"/>
      <c r="T80" s="10"/>
      <c r="U80" s="10"/>
      <c r="V80" s="10"/>
      <c r="W80" s="10"/>
    </row>
    <row r="81" spans="1:23" ht="15" customHeight="1" x14ac:dyDescent="0.3">
      <c r="A81" s="10"/>
      <c r="B81" s="10" t="s">
        <v>1168</v>
      </c>
      <c r="C81" s="10"/>
      <c r="D81" s="10"/>
      <c r="E81" s="744" t="s">
        <v>1242</v>
      </c>
      <c r="F81" s="744" t="s">
        <v>1169</v>
      </c>
      <c r="G81" s="744" t="s">
        <v>1174</v>
      </c>
      <c r="H81" s="744" t="s">
        <v>1169</v>
      </c>
      <c r="I81" s="744" t="s">
        <v>1243</v>
      </c>
      <c r="J81" s="744" t="s">
        <v>1169</v>
      </c>
      <c r="K81" s="744" t="s">
        <v>1243</v>
      </c>
      <c r="L81" s="744" t="s">
        <v>1169</v>
      </c>
      <c r="M81" s="744" t="s">
        <v>1243</v>
      </c>
      <c r="N81" s="744" t="s">
        <v>1242</v>
      </c>
      <c r="O81" s="10"/>
      <c r="S81" s="10"/>
      <c r="T81" s="10"/>
      <c r="U81" s="10"/>
      <c r="V81" s="10"/>
      <c r="W81" s="10"/>
    </row>
    <row r="82" spans="1:23" ht="15" customHeight="1" x14ac:dyDescent="0.3">
      <c r="A82" s="10"/>
      <c r="B82" s="10" t="s">
        <v>1175</v>
      </c>
      <c r="C82" s="10"/>
      <c r="D82" s="10"/>
      <c r="E82" s="743" t="s">
        <v>1244</v>
      </c>
      <c r="F82" s="743" t="s">
        <v>1245</v>
      </c>
      <c r="G82" s="743" t="s">
        <v>1246</v>
      </c>
      <c r="H82" s="743" t="s">
        <v>1247</v>
      </c>
      <c r="I82" s="743" t="s">
        <v>1248</v>
      </c>
      <c r="J82" s="743" t="s">
        <v>1249</v>
      </c>
      <c r="K82" s="743" t="s">
        <v>1250</v>
      </c>
      <c r="L82" s="743" t="s">
        <v>1251</v>
      </c>
      <c r="M82" s="743" t="s">
        <v>1252</v>
      </c>
      <c r="N82" s="743" t="s">
        <v>1253</v>
      </c>
      <c r="O82" s="10"/>
      <c r="S82" s="10"/>
      <c r="T82" s="10"/>
      <c r="U82" s="10"/>
      <c r="V82" s="10"/>
      <c r="W82" s="10"/>
    </row>
    <row r="83" spans="1:23" ht="15" customHeight="1" x14ac:dyDescent="0.3">
      <c r="A83" s="10"/>
      <c r="B83" s="10"/>
      <c r="C83" s="10"/>
      <c r="D83" s="10"/>
      <c r="E83" s="10"/>
      <c r="F83" s="10"/>
      <c r="G83" s="10"/>
      <c r="H83" s="10"/>
      <c r="I83" s="10"/>
      <c r="J83" s="10"/>
      <c r="K83" s="10"/>
      <c r="L83" s="10"/>
      <c r="M83" s="10"/>
      <c r="N83" s="10"/>
      <c r="O83" s="10"/>
      <c r="S83" s="10"/>
      <c r="T83" s="10"/>
      <c r="U83" s="10"/>
      <c r="V83" s="10"/>
      <c r="W83" s="10"/>
    </row>
    <row r="84" spans="1:23" ht="15" customHeight="1" x14ac:dyDescent="0.3">
      <c r="A84" s="10" t="s">
        <v>39</v>
      </c>
      <c r="B84" s="359" t="str">
        <f>+E22</f>
        <v xml:space="preserve">CSX CORP </v>
      </c>
      <c r="C84" s="360"/>
      <c r="D84" s="360"/>
      <c r="E84" s="358">
        <f>+E73</f>
        <v>2015</v>
      </c>
      <c r="F84" s="358">
        <f>+F73</f>
        <v>2016</v>
      </c>
      <c r="G84" s="358">
        <f>+G73</f>
        <v>2017</v>
      </c>
      <c r="H84" s="358">
        <f t="shared" ref="H84:N84" si="4">+G84+1</f>
        <v>2018</v>
      </c>
      <c r="I84" s="358">
        <f t="shared" si="4"/>
        <v>2019</v>
      </c>
      <c r="J84" s="358">
        <f t="shared" si="4"/>
        <v>2020</v>
      </c>
      <c r="K84" s="358">
        <f t="shared" si="4"/>
        <v>2021</v>
      </c>
      <c r="L84" s="358">
        <f t="shared" si="4"/>
        <v>2022</v>
      </c>
      <c r="M84" s="358">
        <f t="shared" si="4"/>
        <v>2023</v>
      </c>
      <c r="N84" s="358">
        <f t="shared" si="4"/>
        <v>2024</v>
      </c>
      <c r="O84" s="10"/>
      <c r="S84" s="10"/>
      <c r="T84" s="10"/>
      <c r="U84" s="10"/>
      <c r="V84" s="10"/>
      <c r="W84" s="10"/>
    </row>
    <row r="85" spans="1:23" ht="15" customHeight="1" x14ac:dyDescent="0.3">
      <c r="A85" s="10"/>
      <c r="B85" s="10" t="s">
        <v>702</v>
      </c>
      <c r="C85" s="10"/>
      <c r="D85" s="10"/>
      <c r="E85" s="742" t="s">
        <v>1254</v>
      </c>
      <c r="F85" s="742" t="s">
        <v>1255</v>
      </c>
      <c r="G85" s="742" t="s">
        <v>1256</v>
      </c>
      <c r="H85" s="742" t="s">
        <v>1257</v>
      </c>
      <c r="I85" s="742" t="s">
        <v>1258</v>
      </c>
      <c r="J85" s="742" t="s">
        <v>1259</v>
      </c>
      <c r="K85" s="742" t="s">
        <v>1260</v>
      </c>
      <c r="L85" s="742" t="s">
        <v>1261</v>
      </c>
      <c r="M85" s="742" t="s">
        <v>1262</v>
      </c>
      <c r="N85" s="742" t="s">
        <v>1263</v>
      </c>
      <c r="O85" s="10"/>
      <c r="S85" s="10"/>
      <c r="T85" s="10"/>
      <c r="U85" s="10"/>
      <c r="V85" s="10"/>
      <c r="W85" s="10"/>
    </row>
    <row r="86" spans="1:23" ht="15" customHeight="1" x14ac:dyDescent="0.3">
      <c r="A86" s="10"/>
      <c r="B86" s="10" t="s">
        <v>1108</v>
      </c>
      <c r="C86" s="10"/>
      <c r="D86" s="10"/>
      <c r="E86" s="742" t="s">
        <v>1264</v>
      </c>
      <c r="F86" s="742" t="s">
        <v>1265</v>
      </c>
      <c r="G86" s="742" t="s">
        <v>1266</v>
      </c>
      <c r="H86" s="742" t="s">
        <v>1267</v>
      </c>
      <c r="I86" s="742" t="s">
        <v>1268</v>
      </c>
      <c r="J86" s="742" t="s">
        <v>1269</v>
      </c>
      <c r="K86" s="742" t="s">
        <v>1270</v>
      </c>
      <c r="L86" s="742" t="s">
        <v>1271</v>
      </c>
      <c r="M86" s="742" t="s">
        <v>1272</v>
      </c>
      <c r="N86" s="742" t="s">
        <v>1273</v>
      </c>
    </row>
    <row r="87" spans="1:23" ht="15" customHeight="1" x14ac:dyDescent="0.3">
      <c r="A87" s="10"/>
      <c r="B87" s="10" t="s">
        <v>257</v>
      </c>
      <c r="C87" s="10"/>
      <c r="D87" s="10"/>
      <c r="E87" s="743" t="s">
        <v>1214</v>
      </c>
      <c r="F87" s="743" t="s">
        <v>1274</v>
      </c>
      <c r="G87" s="743" t="s">
        <v>1275</v>
      </c>
      <c r="H87" s="743" t="s">
        <v>1276</v>
      </c>
      <c r="I87" s="743" t="s">
        <v>1211</v>
      </c>
      <c r="J87" s="743" t="s">
        <v>517</v>
      </c>
      <c r="K87" s="743" t="s">
        <v>1277</v>
      </c>
      <c r="L87" s="743" t="s">
        <v>1278</v>
      </c>
      <c r="M87" s="743" t="s">
        <v>1279</v>
      </c>
      <c r="N87" s="743" t="s">
        <v>1280</v>
      </c>
    </row>
    <row r="88" spans="1:23" ht="15" customHeight="1" x14ac:dyDescent="0.3">
      <c r="A88" s="10"/>
      <c r="B88" s="10" t="s">
        <v>695</v>
      </c>
      <c r="C88" s="10"/>
      <c r="D88" s="10"/>
      <c r="E88" s="743" t="s">
        <v>1281</v>
      </c>
      <c r="F88" s="743" t="s">
        <v>1209</v>
      </c>
      <c r="G88" s="743" t="s">
        <v>1120</v>
      </c>
      <c r="H88" s="743" t="s">
        <v>1282</v>
      </c>
      <c r="I88" s="743" t="s">
        <v>1214</v>
      </c>
      <c r="J88" s="743" t="s">
        <v>1281</v>
      </c>
      <c r="K88" s="743" t="s">
        <v>509</v>
      </c>
      <c r="L88" s="743" t="s">
        <v>1130</v>
      </c>
      <c r="M88" s="743" t="s">
        <v>1120</v>
      </c>
      <c r="N88" s="743" t="s">
        <v>1127</v>
      </c>
    </row>
    <row r="89" spans="1:23" ht="15" customHeight="1" x14ac:dyDescent="0.3">
      <c r="A89" s="10"/>
      <c r="B89" s="10" t="s">
        <v>1135</v>
      </c>
      <c r="C89" s="10"/>
      <c r="D89" s="10"/>
      <c r="E89" s="742" t="s">
        <v>1283</v>
      </c>
      <c r="F89" s="742" t="s">
        <v>1284</v>
      </c>
      <c r="G89" s="742" t="s">
        <v>1285</v>
      </c>
      <c r="H89" s="742" t="s">
        <v>1286</v>
      </c>
      <c r="I89" s="742" t="s">
        <v>1287</v>
      </c>
      <c r="J89" s="742" t="s">
        <v>1288</v>
      </c>
      <c r="K89" s="742" t="s">
        <v>1289</v>
      </c>
      <c r="L89" s="742" t="s">
        <v>1290</v>
      </c>
      <c r="M89" s="742" t="s">
        <v>1291</v>
      </c>
      <c r="N89" s="742" t="s">
        <v>1292</v>
      </c>
    </row>
    <row r="90" spans="1:23" ht="15" customHeight="1" x14ac:dyDescent="0.3">
      <c r="A90" s="10"/>
      <c r="B90" s="10" t="s">
        <v>1146</v>
      </c>
      <c r="C90" s="10"/>
      <c r="D90" s="10"/>
      <c r="E90" s="743" t="s">
        <v>1293</v>
      </c>
      <c r="F90" s="743" t="s">
        <v>1294</v>
      </c>
      <c r="G90" s="743" t="s">
        <v>1295</v>
      </c>
      <c r="H90" s="743" t="s">
        <v>1296</v>
      </c>
      <c r="I90" s="743" t="s">
        <v>1297</v>
      </c>
      <c r="J90" s="743" t="s">
        <v>1298</v>
      </c>
      <c r="K90" s="743" t="s">
        <v>1299</v>
      </c>
      <c r="L90" s="743" t="s">
        <v>1300</v>
      </c>
      <c r="M90" s="743" t="s">
        <v>1301</v>
      </c>
      <c r="N90" s="743" t="s">
        <v>1302</v>
      </c>
    </row>
    <row r="91" spans="1:23" ht="15" customHeight="1" x14ac:dyDescent="0.3">
      <c r="A91" s="10"/>
      <c r="B91" s="10" t="s">
        <v>1157</v>
      </c>
      <c r="C91" s="10"/>
      <c r="D91" s="10"/>
      <c r="E91" s="743" t="s">
        <v>1303</v>
      </c>
      <c r="F91" s="743" t="s">
        <v>1304</v>
      </c>
      <c r="G91" s="743" t="s">
        <v>1305</v>
      </c>
      <c r="H91" s="743" t="s">
        <v>1236</v>
      </c>
      <c r="I91" s="743" t="s">
        <v>1306</v>
      </c>
      <c r="J91" s="743" t="s">
        <v>1307</v>
      </c>
      <c r="K91" s="743" t="s">
        <v>1308</v>
      </c>
      <c r="L91" s="743" t="s">
        <v>1309</v>
      </c>
      <c r="M91" s="743" t="s">
        <v>1161</v>
      </c>
      <c r="N91" s="743" t="s">
        <v>1310</v>
      </c>
    </row>
    <row r="92" spans="1:23" ht="15" customHeight="1" x14ac:dyDescent="0.3">
      <c r="A92" s="10"/>
      <c r="B92" s="10" t="s">
        <v>1168</v>
      </c>
      <c r="C92" s="10"/>
      <c r="D92" s="10"/>
      <c r="E92" s="744" t="s">
        <v>1311</v>
      </c>
      <c r="F92" s="744" t="s">
        <v>1312</v>
      </c>
      <c r="G92" s="744" t="s">
        <v>1313</v>
      </c>
      <c r="H92" s="744" t="s">
        <v>1169</v>
      </c>
      <c r="I92" s="744" t="s">
        <v>1314</v>
      </c>
      <c r="J92" s="744" t="s">
        <v>1169</v>
      </c>
      <c r="K92" s="744" t="s">
        <v>1171</v>
      </c>
      <c r="L92" s="744" t="s">
        <v>1172</v>
      </c>
      <c r="M92" s="744" t="s">
        <v>1243</v>
      </c>
      <c r="N92" s="744" t="s">
        <v>1243</v>
      </c>
    </row>
    <row r="93" spans="1:23" ht="15" customHeight="1" x14ac:dyDescent="0.3">
      <c r="A93" s="10"/>
      <c r="B93" s="10" t="s">
        <v>1175</v>
      </c>
      <c r="C93" s="10"/>
      <c r="D93" s="10"/>
      <c r="E93" s="743" t="s">
        <v>1315</v>
      </c>
      <c r="F93" s="743" t="s">
        <v>1315</v>
      </c>
      <c r="G93" s="743" t="s">
        <v>1275</v>
      </c>
      <c r="H93" s="743" t="s">
        <v>1184</v>
      </c>
      <c r="I93" s="743" t="s">
        <v>1316</v>
      </c>
      <c r="J93" s="743" t="s">
        <v>1317</v>
      </c>
      <c r="K93" s="743" t="s">
        <v>1318</v>
      </c>
      <c r="L93" s="743" t="s">
        <v>1319</v>
      </c>
      <c r="M93" s="743" t="s">
        <v>1317</v>
      </c>
      <c r="N93" s="743" t="s">
        <v>1320</v>
      </c>
    </row>
    <row r="94" spans="1:23" ht="15" customHeight="1" x14ac:dyDescent="0.3">
      <c r="A94" s="10"/>
      <c r="B94" s="10"/>
      <c r="C94" s="10"/>
      <c r="D94" s="10"/>
      <c r="E94" s="10"/>
      <c r="F94" s="10"/>
      <c r="G94" s="10"/>
      <c r="H94" s="10"/>
      <c r="I94" s="10"/>
      <c r="J94" s="10"/>
      <c r="K94" s="10"/>
      <c r="L94" s="10"/>
      <c r="M94" s="10"/>
      <c r="N94" s="10"/>
    </row>
    <row r="95" spans="1:23" ht="15" customHeight="1" x14ac:dyDescent="0.3">
      <c r="A95" s="10" t="s">
        <v>39</v>
      </c>
      <c r="B95" s="359" t="str">
        <f>+E23</f>
        <v xml:space="preserve">CP CN </v>
      </c>
      <c r="C95" s="360"/>
      <c r="D95" s="360"/>
      <c r="E95" s="358">
        <f>+E84</f>
        <v>2015</v>
      </c>
      <c r="F95" s="358">
        <f>+F84</f>
        <v>2016</v>
      </c>
      <c r="G95" s="358">
        <f>+G84</f>
        <v>2017</v>
      </c>
      <c r="H95" s="358">
        <f t="shared" ref="H95:N95" si="5">+G95+1</f>
        <v>2018</v>
      </c>
      <c r="I95" s="358">
        <f t="shared" si="5"/>
        <v>2019</v>
      </c>
      <c r="J95" s="358">
        <f t="shared" si="5"/>
        <v>2020</v>
      </c>
      <c r="K95" s="358">
        <f t="shared" si="5"/>
        <v>2021</v>
      </c>
      <c r="L95" s="358">
        <f t="shared" si="5"/>
        <v>2022</v>
      </c>
      <c r="M95" s="358">
        <f t="shared" si="5"/>
        <v>2023</v>
      </c>
      <c r="N95" s="358">
        <f t="shared" si="5"/>
        <v>2024</v>
      </c>
    </row>
    <row r="96" spans="1:23" ht="15" customHeight="1" x14ac:dyDescent="0.3">
      <c r="A96" s="10"/>
      <c r="B96" s="10" t="s">
        <v>702</v>
      </c>
      <c r="C96" s="10"/>
      <c r="D96" s="10"/>
      <c r="E96" s="742" t="s">
        <v>1321</v>
      </c>
      <c r="F96" s="742" t="s">
        <v>1322</v>
      </c>
      <c r="G96" s="742" t="s">
        <v>1323</v>
      </c>
      <c r="H96" s="742" t="s">
        <v>1324</v>
      </c>
      <c r="I96" s="742" t="s">
        <v>1325</v>
      </c>
      <c r="J96" s="742" t="s">
        <v>1326</v>
      </c>
      <c r="K96" s="742" t="s">
        <v>1327</v>
      </c>
      <c r="L96" s="742" t="s">
        <v>1328</v>
      </c>
      <c r="M96" s="742" t="s">
        <v>1329</v>
      </c>
      <c r="N96" s="742" t="s">
        <v>1330</v>
      </c>
    </row>
    <row r="97" spans="1:14" ht="15" customHeight="1" x14ac:dyDescent="0.3">
      <c r="A97" s="10"/>
      <c r="B97" s="10" t="s">
        <v>1108</v>
      </c>
      <c r="C97" s="10"/>
      <c r="D97" s="10"/>
      <c r="E97" s="742" t="s">
        <v>1331</v>
      </c>
      <c r="F97" s="742" t="s">
        <v>1332</v>
      </c>
      <c r="G97" s="742" t="s">
        <v>1333</v>
      </c>
      <c r="H97" s="742" t="s">
        <v>1334</v>
      </c>
      <c r="I97" s="742" t="s">
        <v>1335</v>
      </c>
      <c r="J97" s="742" t="s">
        <v>1336</v>
      </c>
      <c r="K97" s="742" t="s">
        <v>1337</v>
      </c>
      <c r="L97" s="742" t="s">
        <v>1338</v>
      </c>
      <c r="M97" s="742" t="s">
        <v>1339</v>
      </c>
      <c r="N97" s="742" t="s">
        <v>1340</v>
      </c>
    </row>
    <row r="98" spans="1:14" ht="15" customHeight="1" x14ac:dyDescent="0.3">
      <c r="A98" s="10"/>
      <c r="B98" s="10" t="s">
        <v>257</v>
      </c>
      <c r="C98" s="10"/>
      <c r="D98" s="10"/>
      <c r="E98" s="743" t="s">
        <v>1341</v>
      </c>
      <c r="F98" s="743" t="s">
        <v>1342</v>
      </c>
      <c r="G98" s="743" t="s">
        <v>1124</v>
      </c>
      <c r="H98" s="743" t="s">
        <v>1342</v>
      </c>
      <c r="I98" s="743" t="s">
        <v>1119</v>
      </c>
      <c r="J98" s="743" t="s">
        <v>1343</v>
      </c>
      <c r="K98" s="743" t="s">
        <v>1344</v>
      </c>
      <c r="L98" s="743" t="s">
        <v>1316</v>
      </c>
      <c r="M98" s="743" t="s">
        <v>1345</v>
      </c>
      <c r="N98" s="743" t="s">
        <v>1346</v>
      </c>
    </row>
    <row r="99" spans="1:14" ht="15" customHeight="1" x14ac:dyDescent="0.3">
      <c r="A99" s="10"/>
      <c r="B99" s="10" t="s">
        <v>695</v>
      </c>
      <c r="C99" s="10"/>
      <c r="D99" s="10"/>
      <c r="E99" s="743" t="s">
        <v>1124</v>
      </c>
      <c r="F99" s="743" t="s">
        <v>1343</v>
      </c>
      <c r="G99" s="743" t="s">
        <v>1343</v>
      </c>
      <c r="H99" s="743" t="s">
        <v>1347</v>
      </c>
      <c r="I99" s="743" t="s">
        <v>517</v>
      </c>
      <c r="J99" s="743" t="s">
        <v>1348</v>
      </c>
      <c r="K99" s="743" t="s">
        <v>1128</v>
      </c>
      <c r="L99" s="743" t="s">
        <v>1349</v>
      </c>
      <c r="M99" s="743" t="s">
        <v>1350</v>
      </c>
      <c r="N99" s="743" t="s">
        <v>1120</v>
      </c>
    </row>
    <row r="100" spans="1:14" ht="15" customHeight="1" x14ac:dyDescent="0.3">
      <c r="A100" s="10"/>
      <c r="B100" s="10" t="s">
        <v>1135</v>
      </c>
      <c r="C100" s="10"/>
      <c r="D100" s="10"/>
      <c r="E100" s="742" t="s">
        <v>1351</v>
      </c>
      <c r="F100" s="742">
        <v>-893</v>
      </c>
      <c r="G100" s="742" t="s">
        <v>1352</v>
      </c>
      <c r="H100" s="742" t="s">
        <v>1353</v>
      </c>
      <c r="I100" s="742" t="s">
        <v>1354</v>
      </c>
      <c r="J100" s="742" t="s">
        <v>1355</v>
      </c>
      <c r="K100" s="742" t="s">
        <v>1356</v>
      </c>
      <c r="L100" s="742" t="s">
        <v>1353</v>
      </c>
      <c r="M100" s="742" t="s">
        <v>1357</v>
      </c>
      <c r="N100" s="742" t="s">
        <v>1358</v>
      </c>
    </row>
    <row r="101" spans="1:14" ht="15" customHeight="1" x14ac:dyDescent="0.3">
      <c r="A101" s="10"/>
      <c r="B101" s="10" t="s">
        <v>1146</v>
      </c>
      <c r="C101" s="10"/>
      <c r="D101" s="10"/>
      <c r="E101" s="743" t="s">
        <v>1359</v>
      </c>
      <c r="F101" s="743" t="s">
        <v>1360</v>
      </c>
      <c r="G101" s="743" t="s">
        <v>1361</v>
      </c>
      <c r="H101" s="743" t="s">
        <v>1362</v>
      </c>
      <c r="I101" s="743" t="s">
        <v>1363</v>
      </c>
      <c r="J101" s="743" t="s">
        <v>1364</v>
      </c>
      <c r="K101" s="743" t="s">
        <v>1365</v>
      </c>
      <c r="L101" s="743" t="s">
        <v>1366</v>
      </c>
      <c r="M101" s="743" t="s">
        <v>1367</v>
      </c>
      <c r="N101" s="743" t="s">
        <v>1368</v>
      </c>
    </row>
    <row r="102" spans="1:14" ht="15" customHeight="1" x14ac:dyDescent="0.3">
      <c r="A102" s="10"/>
      <c r="B102" s="10" t="s">
        <v>1157</v>
      </c>
      <c r="C102" s="10"/>
      <c r="D102" s="10"/>
      <c r="E102" s="743" t="s">
        <v>1369</v>
      </c>
      <c r="F102" s="743" t="s">
        <v>1161</v>
      </c>
      <c r="G102" s="743" t="s">
        <v>1370</v>
      </c>
      <c r="H102" s="743" t="s">
        <v>1308</v>
      </c>
      <c r="I102" s="743" t="s">
        <v>1309</v>
      </c>
      <c r="J102" s="743" t="s">
        <v>1164</v>
      </c>
      <c r="K102" s="743" t="s">
        <v>1371</v>
      </c>
      <c r="L102" s="743" t="s">
        <v>1236</v>
      </c>
      <c r="M102" s="743" t="s">
        <v>1309</v>
      </c>
      <c r="N102" s="743" t="s">
        <v>1239</v>
      </c>
    </row>
    <row r="103" spans="1:14" ht="15" customHeight="1" x14ac:dyDescent="0.3">
      <c r="A103" s="10"/>
      <c r="B103" s="10" t="s">
        <v>1168</v>
      </c>
      <c r="C103" s="10"/>
      <c r="D103" s="10"/>
      <c r="E103" s="744" t="s">
        <v>1311</v>
      </c>
      <c r="F103" s="744" t="s">
        <v>1311</v>
      </c>
      <c r="G103" s="744" t="s">
        <v>1243</v>
      </c>
      <c r="H103" s="744" t="s">
        <v>1311</v>
      </c>
      <c r="I103" s="744" t="s">
        <v>1169</v>
      </c>
      <c r="J103" s="744" t="s">
        <v>1171</v>
      </c>
      <c r="K103" s="744" t="s">
        <v>1372</v>
      </c>
      <c r="L103" s="744" t="s">
        <v>1173</v>
      </c>
      <c r="M103" s="744" t="s">
        <v>1171</v>
      </c>
      <c r="N103" s="744" t="s">
        <v>1373</v>
      </c>
    </row>
    <row r="104" spans="1:14" ht="15" customHeight="1" x14ac:dyDescent="0.3">
      <c r="A104" s="10"/>
      <c r="B104" s="10" t="s">
        <v>1175</v>
      </c>
      <c r="C104" s="10"/>
      <c r="D104" s="10"/>
      <c r="E104" s="743" t="s">
        <v>1374</v>
      </c>
      <c r="F104" s="743" t="s">
        <v>1375</v>
      </c>
      <c r="G104" s="743" t="s">
        <v>1376</v>
      </c>
      <c r="H104" s="743" t="s">
        <v>1377</v>
      </c>
      <c r="I104" s="743" t="s">
        <v>1121</v>
      </c>
      <c r="J104" s="743" t="s">
        <v>1315</v>
      </c>
      <c r="K104" s="743" t="s">
        <v>1378</v>
      </c>
      <c r="L104" s="743" t="s">
        <v>1205</v>
      </c>
      <c r="M104" s="743" t="s">
        <v>1379</v>
      </c>
      <c r="N104" s="743" t="s">
        <v>1380</v>
      </c>
    </row>
    <row r="105" spans="1:14" ht="15" customHeight="1" x14ac:dyDescent="0.3">
      <c r="A105" s="10"/>
      <c r="B105" s="10"/>
      <c r="C105" s="10"/>
      <c r="D105" s="10"/>
      <c r="E105" s="10"/>
      <c r="F105" s="10"/>
      <c r="G105" s="10"/>
      <c r="H105" s="10"/>
      <c r="I105" s="10"/>
      <c r="J105" s="10"/>
      <c r="K105" s="10"/>
      <c r="L105" s="10"/>
      <c r="M105" s="10"/>
      <c r="N105" s="10"/>
    </row>
    <row r="106" spans="1:14" ht="15" customHeight="1" x14ac:dyDescent="0.3">
      <c r="A106" s="10" t="s">
        <v>39</v>
      </c>
      <c r="B106" s="359" t="str">
        <f>+E24</f>
        <v xml:space="preserve">NSC US </v>
      </c>
      <c r="C106" s="360"/>
      <c r="D106" s="360"/>
      <c r="E106" s="358">
        <f>+E95</f>
        <v>2015</v>
      </c>
      <c r="F106" s="358">
        <f>+F95</f>
        <v>2016</v>
      </c>
      <c r="G106" s="358">
        <f>+G95</f>
        <v>2017</v>
      </c>
      <c r="H106" s="358">
        <f t="shared" ref="H106:N106" si="6">+G106+1</f>
        <v>2018</v>
      </c>
      <c r="I106" s="358">
        <f t="shared" si="6"/>
        <v>2019</v>
      </c>
      <c r="J106" s="358">
        <f t="shared" si="6"/>
        <v>2020</v>
      </c>
      <c r="K106" s="358">
        <f t="shared" si="6"/>
        <v>2021</v>
      </c>
      <c r="L106" s="358">
        <f t="shared" si="6"/>
        <v>2022</v>
      </c>
      <c r="M106" s="358">
        <f t="shared" si="6"/>
        <v>2023</v>
      </c>
      <c r="N106" s="358">
        <f t="shared" si="6"/>
        <v>2024</v>
      </c>
    </row>
    <row r="107" spans="1:14" ht="15" customHeight="1" x14ac:dyDescent="0.3">
      <c r="A107" s="10"/>
      <c r="B107" s="10" t="s">
        <v>702</v>
      </c>
      <c r="C107" s="10"/>
      <c r="D107" s="10"/>
      <c r="E107" s="742" t="s">
        <v>1381</v>
      </c>
      <c r="F107" s="742" t="s">
        <v>1382</v>
      </c>
      <c r="G107" s="742" t="s">
        <v>1383</v>
      </c>
      <c r="H107" s="742" t="s">
        <v>1384</v>
      </c>
      <c r="I107" s="742" t="s">
        <v>1385</v>
      </c>
      <c r="J107" s="742" t="s">
        <v>1386</v>
      </c>
      <c r="K107" s="742" t="s">
        <v>1387</v>
      </c>
      <c r="L107" s="742" t="s">
        <v>1388</v>
      </c>
      <c r="M107" s="742" t="s">
        <v>1389</v>
      </c>
      <c r="N107" s="742" t="s">
        <v>1390</v>
      </c>
    </row>
    <row r="108" spans="1:14" ht="15" customHeight="1" x14ac:dyDescent="0.3">
      <c r="A108" s="10"/>
      <c r="B108" s="10" t="s">
        <v>1108</v>
      </c>
      <c r="C108" s="10"/>
      <c r="D108" s="10"/>
      <c r="E108" s="742" t="s">
        <v>1391</v>
      </c>
      <c r="F108" s="742" t="s">
        <v>1392</v>
      </c>
      <c r="G108" s="742" t="s">
        <v>1393</v>
      </c>
      <c r="H108" s="742" t="s">
        <v>1394</v>
      </c>
      <c r="I108" s="742" t="s">
        <v>1395</v>
      </c>
      <c r="J108" s="742" t="s">
        <v>1396</v>
      </c>
      <c r="K108" s="742" t="s">
        <v>1397</v>
      </c>
      <c r="L108" s="742" t="s">
        <v>1398</v>
      </c>
      <c r="M108" s="742" t="s">
        <v>1399</v>
      </c>
      <c r="N108" s="742" t="s">
        <v>1400</v>
      </c>
    </row>
    <row r="109" spans="1:14" ht="15" customHeight="1" x14ac:dyDescent="0.3">
      <c r="A109" s="10"/>
      <c r="B109" s="10" t="s">
        <v>257</v>
      </c>
      <c r="C109" s="10"/>
      <c r="D109" s="10"/>
      <c r="E109" s="743" t="s">
        <v>1401</v>
      </c>
      <c r="F109" s="743" t="s">
        <v>1402</v>
      </c>
      <c r="G109" s="743" t="s">
        <v>1403</v>
      </c>
      <c r="H109" s="743" t="s">
        <v>517</v>
      </c>
      <c r="I109" s="743" t="s">
        <v>1131</v>
      </c>
      <c r="J109" s="743" t="s">
        <v>1274</v>
      </c>
      <c r="K109" s="743" t="s">
        <v>1349</v>
      </c>
      <c r="L109" s="743" t="s">
        <v>1343</v>
      </c>
      <c r="M109" s="743" t="s">
        <v>1404</v>
      </c>
      <c r="N109" s="743" t="s">
        <v>1405</v>
      </c>
    </row>
    <row r="110" spans="1:14" ht="15" customHeight="1" x14ac:dyDescent="0.3">
      <c r="A110" s="10"/>
      <c r="B110" s="10" t="s">
        <v>695</v>
      </c>
      <c r="C110" s="10"/>
      <c r="D110" s="10"/>
      <c r="E110" s="743" t="s">
        <v>1214</v>
      </c>
      <c r="F110" s="743" t="s">
        <v>1128</v>
      </c>
      <c r="G110" s="743" t="s">
        <v>1210</v>
      </c>
      <c r="H110" s="743" t="s">
        <v>1342</v>
      </c>
      <c r="I110" s="743" t="s">
        <v>1214</v>
      </c>
      <c r="J110" s="743" t="s">
        <v>1128</v>
      </c>
      <c r="K110" s="743" t="s">
        <v>1120</v>
      </c>
      <c r="L110" s="743" t="s">
        <v>1406</v>
      </c>
      <c r="M110" s="743" t="s">
        <v>1120</v>
      </c>
      <c r="N110" s="743" t="s">
        <v>1134</v>
      </c>
    </row>
    <row r="111" spans="1:14" ht="15" customHeight="1" x14ac:dyDescent="0.3">
      <c r="A111" s="10"/>
      <c r="B111" s="10" t="s">
        <v>1135</v>
      </c>
      <c r="C111" s="10"/>
      <c r="D111" s="10"/>
      <c r="E111" s="742" t="s">
        <v>1407</v>
      </c>
      <c r="F111" s="742" t="s">
        <v>1408</v>
      </c>
      <c r="G111" s="742" t="s">
        <v>1409</v>
      </c>
      <c r="H111" s="742" t="s">
        <v>1410</v>
      </c>
      <c r="I111" s="742" t="s">
        <v>1411</v>
      </c>
      <c r="J111" s="742" t="s">
        <v>1412</v>
      </c>
      <c r="K111" s="742" t="s">
        <v>1413</v>
      </c>
      <c r="L111" s="742" t="s">
        <v>1414</v>
      </c>
      <c r="M111" s="742" t="s">
        <v>1415</v>
      </c>
      <c r="N111" s="742" t="s">
        <v>1416</v>
      </c>
    </row>
    <row r="112" spans="1:14" ht="15" customHeight="1" x14ac:dyDescent="0.3">
      <c r="A112" s="10"/>
      <c r="B112" s="10" t="s">
        <v>1146</v>
      </c>
      <c r="C112" s="10"/>
      <c r="D112" s="10"/>
      <c r="E112" s="743" t="s">
        <v>1417</v>
      </c>
      <c r="F112" s="743" t="s">
        <v>1418</v>
      </c>
      <c r="G112" s="743" t="s">
        <v>1419</v>
      </c>
      <c r="H112" s="743" t="s">
        <v>1420</v>
      </c>
      <c r="I112" s="743" t="s">
        <v>1421</v>
      </c>
      <c r="J112" s="743" t="s">
        <v>1422</v>
      </c>
      <c r="K112" s="743" t="s">
        <v>1423</v>
      </c>
      <c r="L112" s="743" t="s">
        <v>1424</v>
      </c>
      <c r="M112" s="743" t="s">
        <v>1425</v>
      </c>
      <c r="N112" s="743" t="s">
        <v>1426</v>
      </c>
    </row>
    <row r="113" spans="1:23" ht="15" customHeight="1" x14ac:dyDescent="0.3">
      <c r="A113" s="10"/>
      <c r="B113" s="10" t="s">
        <v>1157</v>
      </c>
      <c r="C113" s="10"/>
      <c r="D113" s="10"/>
      <c r="E113" s="743" t="s">
        <v>1427</v>
      </c>
      <c r="F113" s="743" t="s">
        <v>1428</v>
      </c>
      <c r="G113" s="743" t="s">
        <v>1429</v>
      </c>
      <c r="H113" s="743" t="s">
        <v>1430</v>
      </c>
      <c r="I113" s="743" t="s">
        <v>1431</v>
      </c>
      <c r="J113" s="743" t="s">
        <v>1432</v>
      </c>
      <c r="K113" s="743" t="s">
        <v>1433</v>
      </c>
      <c r="L113" s="743" t="s">
        <v>1241</v>
      </c>
      <c r="M113" s="743" t="s">
        <v>1434</v>
      </c>
      <c r="N113" s="743" t="s">
        <v>1435</v>
      </c>
    </row>
    <row r="114" spans="1:23" ht="15" customHeight="1" x14ac:dyDescent="0.3">
      <c r="A114" s="10"/>
      <c r="B114" s="10" t="s">
        <v>1168</v>
      </c>
      <c r="C114" s="10"/>
      <c r="D114" s="10"/>
      <c r="E114" s="744" t="s">
        <v>1312</v>
      </c>
      <c r="F114" s="744" t="s">
        <v>1312</v>
      </c>
      <c r="G114" s="744" t="s">
        <v>1436</v>
      </c>
      <c r="H114" s="744" t="s">
        <v>1242</v>
      </c>
      <c r="I114" s="744" t="s">
        <v>1243</v>
      </c>
      <c r="J114" s="744" t="s">
        <v>1311</v>
      </c>
      <c r="K114" s="744" t="s">
        <v>1169</v>
      </c>
      <c r="L114" s="744" t="s">
        <v>1173</v>
      </c>
      <c r="M114" s="744" t="s">
        <v>1437</v>
      </c>
      <c r="N114" s="744" t="s">
        <v>1242</v>
      </c>
    </row>
    <row r="115" spans="1:23" ht="15" customHeight="1" x14ac:dyDescent="0.3">
      <c r="A115" s="10"/>
      <c r="B115" s="10" t="s">
        <v>1175</v>
      </c>
      <c r="C115" s="10"/>
      <c r="D115" s="10"/>
      <c r="E115" s="743" t="s">
        <v>1374</v>
      </c>
      <c r="F115" s="743" t="s">
        <v>1438</v>
      </c>
      <c r="G115" s="743" t="s">
        <v>1439</v>
      </c>
      <c r="H115" s="743" t="s">
        <v>1440</v>
      </c>
      <c r="I115" s="743" t="s">
        <v>1275</v>
      </c>
      <c r="J115" s="743" t="s">
        <v>1207</v>
      </c>
      <c r="K115" s="743" t="s">
        <v>1441</v>
      </c>
      <c r="L115" s="743" t="s">
        <v>1207</v>
      </c>
      <c r="M115" s="743" t="s">
        <v>1442</v>
      </c>
      <c r="N115" s="743" t="s">
        <v>1443</v>
      </c>
    </row>
    <row r="116" spans="1:23" ht="15" customHeight="1" x14ac:dyDescent="0.3">
      <c r="A116" s="10"/>
      <c r="B116" s="10"/>
      <c r="C116" s="10"/>
      <c r="D116" s="10"/>
      <c r="E116" s="10"/>
      <c r="F116" s="10"/>
      <c r="G116" s="10"/>
      <c r="H116" s="10"/>
      <c r="I116" s="10"/>
      <c r="J116" s="10"/>
      <c r="K116" s="10"/>
      <c r="L116" s="10"/>
      <c r="M116" s="10"/>
      <c r="N116" s="10"/>
    </row>
    <row r="117" spans="1:23" ht="15" customHeight="1" x14ac:dyDescent="0.3">
      <c r="A117" s="10" t="s">
        <v>39</v>
      </c>
      <c r="B117" s="359" t="str">
        <f>+E25</f>
        <v>BNI1 US Equi</v>
      </c>
      <c r="C117" s="360"/>
      <c r="D117" s="360"/>
      <c r="E117" s="358">
        <f>+E106</f>
        <v>2015</v>
      </c>
      <c r="F117" s="358">
        <f>+F106</f>
        <v>2016</v>
      </c>
      <c r="G117" s="358">
        <f>+G106</f>
        <v>2017</v>
      </c>
      <c r="H117" s="358">
        <f t="shared" ref="H117:N117" si="7">+G117+1</f>
        <v>2018</v>
      </c>
      <c r="I117" s="358">
        <f t="shared" si="7"/>
        <v>2019</v>
      </c>
      <c r="J117" s="358">
        <f t="shared" si="7"/>
        <v>2020</v>
      </c>
      <c r="K117" s="358">
        <f t="shared" si="7"/>
        <v>2021</v>
      </c>
      <c r="L117" s="358">
        <f t="shared" si="7"/>
        <v>2022</v>
      </c>
      <c r="M117" s="358">
        <f t="shared" si="7"/>
        <v>2023</v>
      </c>
      <c r="N117" s="358">
        <f t="shared" si="7"/>
        <v>2024</v>
      </c>
    </row>
    <row r="118" spans="1:23" ht="15" customHeight="1" x14ac:dyDescent="0.3">
      <c r="A118" s="10"/>
      <c r="B118" s="10" t="s">
        <v>702</v>
      </c>
      <c r="C118" s="10"/>
      <c r="D118" s="10"/>
      <c r="E118" s="742" t="s">
        <v>1444</v>
      </c>
      <c r="F118" s="742" t="s">
        <v>1445</v>
      </c>
      <c r="G118" s="742" t="s">
        <v>1446</v>
      </c>
      <c r="H118" s="742" t="s">
        <v>1447</v>
      </c>
      <c r="I118" s="742" t="s">
        <v>1448</v>
      </c>
      <c r="J118" s="742" t="s">
        <v>1449</v>
      </c>
      <c r="K118" s="742" t="s">
        <v>1450</v>
      </c>
      <c r="L118" s="742" t="s">
        <v>1451</v>
      </c>
      <c r="M118" s="742" t="s">
        <v>1452</v>
      </c>
      <c r="N118" s="742" t="s">
        <v>1453</v>
      </c>
      <c r="O118" s="10"/>
      <c r="P118" s="10"/>
      <c r="Q118" s="10"/>
      <c r="R118" s="10"/>
      <c r="S118" s="10"/>
      <c r="T118" s="10"/>
      <c r="U118" s="10"/>
      <c r="V118" s="10"/>
      <c r="W118" s="10"/>
    </row>
    <row r="119" spans="1:23" ht="15" customHeight="1" x14ac:dyDescent="0.3">
      <c r="A119" s="10"/>
      <c r="B119" s="10" t="s">
        <v>1108</v>
      </c>
      <c r="C119" s="10"/>
      <c r="D119" s="10"/>
      <c r="E119" s="742" t="s">
        <v>1454</v>
      </c>
      <c r="F119" s="742" t="s">
        <v>1455</v>
      </c>
      <c r="G119" s="742" t="s">
        <v>1456</v>
      </c>
      <c r="H119" s="742" t="s">
        <v>1457</v>
      </c>
      <c r="I119" s="742" t="s">
        <v>1458</v>
      </c>
      <c r="J119" s="742" t="s">
        <v>1459</v>
      </c>
      <c r="K119" s="742" t="s">
        <v>1460</v>
      </c>
      <c r="L119" s="742" t="s">
        <v>1461</v>
      </c>
      <c r="M119" s="742" t="s">
        <v>1462</v>
      </c>
      <c r="N119" s="742" t="s">
        <v>1463</v>
      </c>
      <c r="O119" s="10"/>
      <c r="P119" s="10"/>
      <c r="Q119" s="10"/>
      <c r="R119" s="10"/>
      <c r="S119" s="10"/>
      <c r="T119" s="10"/>
      <c r="U119" s="10"/>
      <c r="V119" s="10"/>
      <c r="W119" s="10"/>
    </row>
    <row r="120" spans="1:23" ht="15" customHeight="1" x14ac:dyDescent="0.3">
      <c r="A120" s="10"/>
      <c r="B120" s="10" t="s">
        <v>257</v>
      </c>
      <c r="C120" s="10"/>
      <c r="D120" s="10"/>
      <c r="E120" s="743" t="s">
        <v>1464</v>
      </c>
      <c r="F120" s="743" t="s">
        <v>1465</v>
      </c>
      <c r="G120" s="743" t="s">
        <v>1466</v>
      </c>
      <c r="H120" s="743" t="s">
        <v>1210</v>
      </c>
      <c r="I120" s="743" t="s">
        <v>1131</v>
      </c>
      <c r="J120" s="743" t="s">
        <v>1120</v>
      </c>
      <c r="K120" s="743" t="s">
        <v>1133</v>
      </c>
      <c r="L120" s="743" t="s">
        <v>583</v>
      </c>
      <c r="M120" s="743" t="s">
        <v>1467</v>
      </c>
      <c r="N120" s="743" t="s">
        <v>1468</v>
      </c>
      <c r="O120" s="10"/>
      <c r="P120" s="10"/>
      <c r="Q120" s="10"/>
      <c r="R120" s="10"/>
      <c r="S120" s="10"/>
      <c r="T120" s="10"/>
      <c r="U120" s="10"/>
      <c r="V120" s="10"/>
      <c r="W120" s="10"/>
    </row>
    <row r="121" spans="1:23" ht="15" customHeight="1" x14ac:dyDescent="0.3">
      <c r="A121" s="10"/>
      <c r="B121" s="10" t="s">
        <v>695</v>
      </c>
      <c r="C121" s="10"/>
      <c r="D121" s="10"/>
      <c r="E121" s="743" t="s">
        <v>1350</v>
      </c>
      <c r="F121" s="743" t="s">
        <v>1120</v>
      </c>
      <c r="G121" s="743" t="s">
        <v>517</v>
      </c>
      <c r="H121" s="743" t="s">
        <v>1343</v>
      </c>
      <c r="I121" s="743" t="s">
        <v>1405</v>
      </c>
      <c r="J121" s="743" t="s">
        <v>1134</v>
      </c>
      <c r="K121" s="743" t="s">
        <v>1349</v>
      </c>
      <c r="L121" s="743" t="s">
        <v>1134</v>
      </c>
      <c r="M121" s="743" t="s">
        <v>1279</v>
      </c>
      <c r="N121" s="743" t="s">
        <v>1282</v>
      </c>
      <c r="O121" s="10"/>
      <c r="P121" s="10"/>
      <c r="Q121" s="10"/>
      <c r="R121" s="10"/>
      <c r="S121" s="10"/>
      <c r="T121" s="10"/>
      <c r="U121" s="10"/>
      <c r="V121" s="10"/>
      <c r="W121" s="10"/>
    </row>
    <row r="122" spans="1:23" ht="15" customHeight="1" x14ac:dyDescent="0.3">
      <c r="A122" s="10"/>
      <c r="B122" s="10" t="s">
        <v>1135</v>
      </c>
      <c r="C122" s="10"/>
      <c r="D122" s="10"/>
      <c r="E122" s="742" t="s">
        <v>1469</v>
      </c>
      <c r="F122" s="742" t="s">
        <v>1470</v>
      </c>
      <c r="G122" s="742" t="s">
        <v>1471</v>
      </c>
      <c r="H122" s="742" t="s">
        <v>1472</v>
      </c>
      <c r="I122" s="742" t="s">
        <v>1473</v>
      </c>
      <c r="J122" s="742" t="s">
        <v>1474</v>
      </c>
      <c r="K122" s="742" t="s">
        <v>1475</v>
      </c>
      <c r="L122" s="742" t="s">
        <v>1476</v>
      </c>
      <c r="M122" s="742" t="s">
        <v>1477</v>
      </c>
      <c r="N122" s="742" t="s">
        <v>1478</v>
      </c>
      <c r="O122" s="10"/>
      <c r="P122" s="10"/>
      <c r="Q122" s="10"/>
      <c r="R122" s="10"/>
      <c r="S122" s="10"/>
      <c r="T122" s="10"/>
      <c r="U122" s="10"/>
      <c r="V122" s="10"/>
      <c r="W122" s="10"/>
    </row>
    <row r="123" spans="1:23" ht="15" customHeight="1" x14ac:dyDescent="0.3">
      <c r="A123" s="10"/>
      <c r="B123" s="10" t="s">
        <v>1146</v>
      </c>
      <c r="C123" s="10"/>
      <c r="D123" s="10"/>
      <c r="E123" s="743" t="s">
        <v>1479</v>
      </c>
      <c r="F123" s="743" t="s">
        <v>1480</v>
      </c>
      <c r="G123" s="743" t="s">
        <v>1481</v>
      </c>
      <c r="H123" s="743" t="s">
        <v>1482</v>
      </c>
      <c r="I123" s="743" t="s">
        <v>1483</v>
      </c>
      <c r="J123" s="743" t="s">
        <v>1484</v>
      </c>
      <c r="K123" s="743" t="s">
        <v>1485</v>
      </c>
      <c r="L123" s="743" t="s">
        <v>1486</v>
      </c>
      <c r="M123" s="743" t="s">
        <v>1482</v>
      </c>
      <c r="N123" s="743" t="s">
        <v>1486</v>
      </c>
      <c r="O123" s="10"/>
      <c r="P123" s="10"/>
      <c r="Q123" s="10"/>
      <c r="R123" s="10"/>
      <c r="S123" s="10"/>
      <c r="T123" s="10"/>
      <c r="U123" s="10"/>
      <c r="V123" s="10"/>
      <c r="W123" s="10"/>
    </row>
    <row r="124" spans="1:23" ht="15" customHeight="1" x14ac:dyDescent="0.3">
      <c r="A124" s="10"/>
      <c r="B124" s="10" t="s">
        <v>1157</v>
      </c>
      <c r="C124" s="10"/>
      <c r="D124" s="10"/>
      <c r="E124" s="743" t="s">
        <v>1159</v>
      </c>
      <c r="F124" s="743" t="s">
        <v>1487</v>
      </c>
      <c r="G124" s="743" t="s">
        <v>1431</v>
      </c>
      <c r="H124" s="743" t="s">
        <v>1488</v>
      </c>
      <c r="I124" s="743" t="s">
        <v>1489</v>
      </c>
      <c r="J124" s="743" t="s">
        <v>1490</v>
      </c>
      <c r="K124" s="743" t="s">
        <v>1240</v>
      </c>
      <c r="L124" s="743" t="s">
        <v>1432</v>
      </c>
      <c r="M124" s="743" t="s">
        <v>1491</v>
      </c>
      <c r="N124" s="743" t="s">
        <v>1492</v>
      </c>
      <c r="O124" s="10"/>
      <c r="P124" s="10"/>
      <c r="Q124" s="10"/>
      <c r="R124" s="10"/>
      <c r="S124" s="10"/>
      <c r="T124" s="10"/>
      <c r="U124" s="10"/>
      <c r="V124" s="10"/>
      <c r="W124" s="10"/>
    </row>
    <row r="125" spans="1:23" ht="15" customHeight="1" x14ac:dyDescent="0.3">
      <c r="A125" s="10"/>
      <c r="B125" s="10" t="s">
        <v>1168</v>
      </c>
      <c r="C125" s="10"/>
      <c r="D125" s="10"/>
      <c r="E125" s="744" t="s">
        <v>1437</v>
      </c>
      <c r="F125" s="744" t="s">
        <v>1372</v>
      </c>
      <c r="G125" s="744" t="s">
        <v>1436</v>
      </c>
      <c r="H125" s="744" t="s">
        <v>1311</v>
      </c>
      <c r="I125" s="744" t="s">
        <v>1169</v>
      </c>
      <c r="J125" s="744" t="s">
        <v>1242</v>
      </c>
      <c r="K125" s="744" t="s">
        <v>1311</v>
      </c>
      <c r="L125" s="744" t="s">
        <v>1311</v>
      </c>
      <c r="M125" s="744" t="s">
        <v>1372</v>
      </c>
      <c r="N125" s="744" t="s">
        <v>1372</v>
      </c>
      <c r="O125" s="10"/>
      <c r="P125" s="10"/>
      <c r="Q125" s="10"/>
      <c r="R125" s="10"/>
      <c r="S125" s="10"/>
      <c r="T125" s="10"/>
      <c r="U125" s="10"/>
      <c r="V125" s="10"/>
      <c r="W125" s="10"/>
    </row>
    <row r="126" spans="1:23" ht="15" customHeight="1" x14ac:dyDescent="0.3">
      <c r="A126" s="10"/>
      <c r="B126" s="10" t="s">
        <v>1175</v>
      </c>
      <c r="C126" s="10"/>
      <c r="D126" s="10"/>
      <c r="E126" s="743" t="s">
        <v>1493</v>
      </c>
      <c r="F126" s="743" t="s">
        <v>1379</v>
      </c>
      <c r="G126" s="743" t="s">
        <v>1494</v>
      </c>
      <c r="H126" s="743" t="s">
        <v>1316</v>
      </c>
      <c r="I126" s="743" t="s">
        <v>1180</v>
      </c>
      <c r="J126" s="743" t="s">
        <v>1495</v>
      </c>
      <c r="K126" s="743" t="s">
        <v>1496</v>
      </c>
      <c r="L126" s="743" t="s">
        <v>1497</v>
      </c>
      <c r="M126" s="743" t="s">
        <v>1498</v>
      </c>
      <c r="N126" s="743" t="s">
        <v>1499</v>
      </c>
      <c r="O126" s="10"/>
      <c r="P126" s="10"/>
      <c r="Q126" s="10"/>
      <c r="R126" s="10"/>
      <c r="S126" s="10"/>
      <c r="T126" s="10"/>
      <c r="U126" s="10"/>
      <c r="V126" s="10"/>
      <c r="W126" s="10"/>
    </row>
    <row r="127" spans="1:23" ht="1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x14ac:dyDescent="0.3">
      <c r="A128" s="10"/>
      <c r="B128" s="375" t="s">
        <v>1500</v>
      </c>
      <c r="C128" s="375"/>
      <c r="D128" s="375"/>
      <c r="E128" s="30"/>
      <c r="F128" s="332"/>
      <c r="G128" s="332"/>
      <c r="H128" s="332"/>
      <c r="I128" s="332"/>
      <c r="J128" s="332"/>
      <c r="K128" s="30"/>
      <c r="L128" s="332"/>
      <c r="M128" s="332"/>
      <c r="N128" s="332"/>
      <c r="O128" s="332"/>
      <c r="P128" s="332"/>
      <c r="Q128" s="30"/>
      <c r="R128" s="332"/>
      <c r="S128" s="332"/>
      <c r="T128" s="332"/>
      <c r="U128" s="332"/>
      <c r="V128" s="30"/>
      <c r="W128" s="332"/>
    </row>
    <row r="129" spans="1:23" ht="15" customHeight="1" x14ac:dyDescent="0.3">
      <c r="A129" s="10"/>
      <c r="B129" s="376"/>
      <c r="C129" s="376"/>
      <c r="D129" s="376"/>
      <c r="E129" s="30"/>
      <c r="F129" s="377"/>
      <c r="G129" s="377"/>
      <c r="H129" s="377"/>
      <c r="I129" s="377"/>
      <c r="J129" s="377"/>
      <c r="K129" s="378"/>
      <c r="L129" s="377"/>
      <c r="M129" s="377"/>
      <c r="N129" s="377"/>
      <c r="O129" s="377"/>
      <c r="P129" s="377"/>
      <c r="Q129" s="378"/>
      <c r="R129" s="377"/>
      <c r="S129" s="377"/>
      <c r="T129" s="377"/>
      <c r="U129" s="377"/>
      <c r="V129" s="378"/>
      <c r="W129" s="522"/>
    </row>
    <row r="130" spans="1:23" ht="15" customHeight="1" x14ac:dyDescent="0.3">
      <c r="A130" s="10"/>
      <c r="B130" s="376"/>
      <c r="C130" s="376"/>
      <c r="D130" s="376"/>
      <c r="E130" s="30"/>
      <c r="F130" s="379"/>
      <c r="G130" s="379"/>
      <c r="H130" s="379"/>
      <c r="I130" s="379"/>
      <c r="J130" s="379"/>
      <c r="K130" s="377"/>
      <c r="L130" s="379"/>
      <c r="M130" s="379"/>
      <c r="N130" s="379"/>
      <c r="O130" s="379"/>
      <c r="P130" s="379"/>
      <c r="Q130" s="377"/>
      <c r="R130" s="379"/>
      <c r="S130" s="379"/>
      <c r="T130" s="379"/>
      <c r="U130" s="379"/>
      <c r="V130" s="377"/>
      <c r="W130" s="379"/>
    </row>
    <row r="131" spans="1:23" ht="4" customHeight="1" x14ac:dyDescent="0.3">
      <c r="A131" s="10"/>
      <c r="B131" s="380"/>
      <c r="C131" s="380"/>
      <c r="D131" s="380"/>
      <c r="E131" s="381"/>
      <c r="F131" s="382"/>
      <c r="G131" s="382"/>
      <c r="H131" s="382"/>
      <c r="I131" s="382"/>
      <c r="J131" s="382"/>
      <c r="K131" s="383"/>
      <c r="L131" s="382"/>
      <c r="M131" s="382"/>
      <c r="N131" s="382"/>
      <c r="O131" s="382"/>
      <c r="P131" s="382"/>
      <c r="Q131" s="383"/>
      <c r="R131" s="382"/>
      <c r="S131" s="382"/>
      <c r="T131" s="382"/>
      <c r="U131" s="382"/>
      <c r="V131" s="383"/>
      <c r="W131" s="382"/>
    </row>
    <row r="132" spans="1:23" ht="4" customHeight="1" x14ac:dyDescent="0.3">
      <c r="A132" s="10"/>
      <c r="B132" s="371"/>
      <c r="C132" s="371"/>
      <c r="D132" s="371"/>
      <c r="E132" s="372"/>
      <c r="F132" s="371"/>
      <c r="G132" s="371"/>
      <c r="H132" s="371"/>
      <c r="I132" s="371"/>
      <c r="J132" s="371"/>
      <c r="K132" s="371"/>
      <c r="L132" s="371"/>
      <c r="M132" s="371"/>
      <c r="N132" s="371"/>
      <c r="O132" s="371"/>
      <c r="P132" s="371"/>
      <c r="Q132" s="371"/>
      <c r="R132" s="371"/>
      <c r="S132" s="371"/>
      <c r="T132" s="371"/>
      <c r="U132" s="371"/>
      <c r="V132" s="371"/>
      <c r="W132" s="371"/>
    </row>
    <row r="133" spans="1:23" ht="15" customHeight="1" x14ac:dyDescent="0.3">
      <c r="A133" s="10"/>
      <c r="B133" s="375" t="s">
        <v>66</v>
      </c>
      <c r="C133" s="526" t="s">
        <v>1501</v>
      </c>
      <c r="D133" s="376"/>
      <c r="E133" s="30"/>
      <c r="F133" s="379"/>
      <c r="G133" s="379">
        <v>2017</v>
      </c>
      <c r="H133" s="379">
        <f t="shared" ref="H133:N133" si="8">+G133+1</f>
        <v>2018</v>
      </c>
      <c r="I133" s="379">
        <f t="shared" si="8"/>
        <v>2019</v>
      </c>
      <c r="J133" s="379">
        <f t="shared" si="8"/>
        <v>2020</v>
      </c>
      <c r="K133" s="379">
        <f t="shared" si="8"/>
        <v>2021</v>
      </c>
      <c r="L133" s="379">
        <f t="shared" si="8"/>
        <v>2022</v>
      </c>
      <c r="M133" s="379">
        <f t="shared" si="8"/>
        <v>2023</v>
      </c>
      <c r="N133" s="379">
        <f t="shared" si="8"/>
        <v>2024</v>
      </c>
      <c r="O133" s="371"/>
      <c r="P133" s="379">
        <v>2017</v>
      </c>
      <c r="Q133" s="379">
        <f t="shared" ref="Q133:W133" si="9">+P133+1</f>
        <v>2018</v>
      </c>
      <c r="R133" s="379">
        <f t="shared" si="9"/>
        <v>2019</v>
      </c>
      <c r="S133" s="379">
        <f t="shared" si="9"/>
        <v>2020</v>
      </c>
      <c r="T133" s="379">
        <f t="shared" si="9"/>
        <v>2021</v>
      </c>
      <c r="U133" s="379">
        <f t="shared" si="9"/>
        <v>2022</v>
      </c>
      <c r="V133" s="379">
        <f t="shared" si="9"/>
        <v>2023</v>
      </c>
      <c r="W133" s="379">
        <f t="shared" si="9"/>
        <v>2024</v>
      </c>
    </row>
    <row r="135" spans="1:23" ht="15" customHeight="1" x14ac:dyDescent="0.3">
      <c r="B135" s="1092" t="s">
        <v>431</v>
      </c>
      <c r="C135" s="1093" t="s">
        <v>1067</v>
      </c>
      <c r="D135" s="1094"/>
      <c r="E135" s="1095"/>
      <c r="F135" s="1096"/>
      <c r="G135" s="1096">
        <v>10217</v>
      </c>
      <c r="H135" s="1097" t="s">
        <v>1502</v>
      </c>
      <c r="I135" s="1096" t="s">
        <v>1503</v>
      </c>
      <c r="J135" s="1096" t="s">
        <v>1504</v>
      </c>
      <c r="K135" s="1096" t="s">
        <v>1505</v>
      </c>
      <c r="L135" s="1096" t="s">
        <v>1506</v>
      </c>
      <c r="M135" s="1096" t="s">
        <v>1507</v>
      </c>
      <c r="N135" s="1096" t="s">
        <v>1508</v>
      </c>
      <c r="O135" s="1096"/>
      <c r="P135" s="1096">
        <f>+G135/G171</f>
        <v>0.48102636534839927</v>
      </c>
      <c r="Q135" s="1096" t="s">
        <v>1509</v>
      </c>
      <c r="R135" s="1096" t="s">
        <v>1510</v>
      </c>
      <c r="S135" s="1096" t="s">
        <v>1511</v>
      </c>
      <c r="T135" s="1096" t="s">
        <v>1512</v>
      </c>
      <c r="U135" s="1096" t="s">
        <v>1513</v>
      </c>
      <c r="V135" s="1096" t="s">
        <v>1514</v>
      </c>
      <c r="W135" s="1096" t="s">
        <v>1515</v>
      </c>
    </row>
    <row r="136" spans="1:23" ht="15" customHeight="1" x14ac:dyDescent="0.3">
      <c r="B136" s="1092" t="s">
        <v>237</v>
      </c>
      <c r="C136" s="1093" t="s">
        <v>1516</v>
      </c>
      <c r="D136" s="1094"/>
      <c r="E136" s="1095"/>
      <c r="F136" s="1096"/>
      <c r="G136" s="1096" t="s">
        <v>1517</v>
      </c>
      <c r="H136" s="1096" t="s">
        <v>1518</v>
      </c>
      <c r="I136" s="1096" t="s">
        <v>1519</v>
      </c>
      <c r="J136" s="1096" t="s">
        <v>1520</v>
      </c>
      <c r="K136" s="1096" t="s">
        <v>1521</v>
      </c>
      <c r="L136" s="1096">
        <v>5041</v>
      </c>
      <c r="M136" s="1096" t="s">
        <v>1522</v>
      </c>
      <c r="N136" s="1096" t="s">
        <v>1523</v>
      </c>
      <c r="O136" s="1096"/>
      <c r="P136" s="1096" t="s">
        <v>1524</v>
      </c>
      <c r="Q136" s="1096" t="s">
        <v>1525</v>
      </c>
      <c r="R136" s="1096" t="s">
        <v>1526</v>
      </c>
      <c r="S136" s="1096" t="s">
        <v>1527</v>
      </c>
      <c r="T136" s="1096" t="s">
        <v>1528</v>
      </c>
      <c r="U136" s="1096" t="s">
        <v>1529</v>
      </c>
      <c r="V136" s="1096" t="s">
        <v>1530</v>
      </c>
      <c r="W136" s="1096" t="s">
        <v>1531</v>
      </c>
    </row>
    <row r="137" spans="1:23" ht="15" customHeight="1" x14ac:dyDescent="0.3">
      <c r="B137" s="1092" t="s">
        <v>238</v>
      </c>
      <c r="C137" s="1093" t="s">
        <v>1532</v>
      </c>
      <c r="D137" s="1094"/>
      <c r="E137" s="1095"/>
      <c r="F137" s="1096"/>
      <c r="G137" s="1096" t="s">
        <v>1533</v>
      </c>
      <c r="H137" s="1096" t="s">
        <v>1534</v>
      </c>
      <c r="I137" s="1096" t="s">
        <v>1535</v>
      </c>
      <c r="J137" s="1096" t="s">
        <v>1536</v>
      </c>
      <c r="K137" s="1096" t="s">
        <v>1537</v>
      </c>
      <c r="L137" s="1096" t="s">
        <v>1538</v>
      </c>
      <c r="M137" s="1096" t="s">
        <v>1539</v>
      </c>
      <c r="N137" s="1096" t="s">
        <v>1540</v>
      </c>
      <c r="O137" s="1096"/>
      <c r="P137" s="1096" t="s">
        <v>1541</v>
      </c>
      <c r="Q137" s="1096" t="s">
        <v>1542</v>
      </c>
      <c r="R137" s="1096" t="s">
        <v>1543</v>
      </c>
      <c r="S137" s="1096" t="s">
        <v>1544</v>
      </c>
      <c r="T137" s="1096" t="s">
        <v>1545</v>
      </c>
      <c r="U137" s="1096" t="s">
        <v>1546</v>
      </c>
      <c r="V137" s="1096" t="s">
        <v>1547</v>
      </c>
      <c r="W137" s="1096" t="s">
        <v>1548</v>
      </c>
    </row>
    <row r="138" spans="1:23" ht="15" customHeight="1" x14ac:dyDescent="0.3">
      <c r="B138" s="1092" t="s">
        <v>239</v>
      </c>
      <c r="C138" s="1093" t="s">
        <v>1549</v>
      </c>
      <c r="D138" s="1094"/>
      <c r="E138" s="1095"/>
      <c r="F138" s="1096"/>
      <c r="G138" s="1096">
        <v>2883</v>
      </c>
      <c r="H138" s="1096">
        <v>3052</v>
      </c>
      <c r="I138" s="1096" t="s">
        <v>1550</v>
      </c>
      <c r="J138" s="1096" t="s">
        <v>1551</v>
      </c>
      <c r="K138" s="1096" t="s">
        <v>1552</v>
      </c>
      <c r="L138" s="1096" t="s">
        <v>1553</v>
      </c>
      <c r="M138" s="1096" t="s">
        <v>1554</v>
      </c>
      <c r="N138" s="1096" t="s">
        <v>1555</v>
      </c>
      <c r="O138" s="1096"/>
      <c r="P138" s="1096" t="s">
        <v>1556</v>
      </c>
      <c r="Q138" s="1096" t="s">
        <v>1557</v>
      </c>
      <c r="R138" s="1096" t="s">
        <v>1558</v>
      </c>
      <c r="S138" s="1096" t="s">
        <v>1559</v>
      </c>
      <c r="T138" s="1096" t="s">
        <v>1560</v>
      </c>
      <c r="U138" s="1096" t="s">
        <v>1561</v>
      </c>
      <c r="V138" s="1096" t="s">
        <v>1562</v>
      </c>
      <c r="W138" s="1096" t="s">
        <v>1563</v>
      </c>
    </row>
    <row r="139" spans="1:23" ht="15" customHeight="1" x14ac:dyDescent="0.3">
      <c r="B139" s="1092" t="s">
        <v>240</v>
      </c>
      <c r="C139" s="1093" t="s">
        <v>1564</v>
      </c>
      <c r="D139" s="1094"/>
      <c r="E139" s="1095"/>
      <c r="F139" s="1096"/>
      <c r="G139" s="1096" t="s">
        <v>1565</v>
      </c>
      <c r="H139" s="1096" t="s">
        <v>1566</v>
      </c>
      <c r="I139" s="1096" t="s">
        <v>1567</v>
      </c>
      <c r="J139" s="1096" t="s">
        <v>1568</v>
      </c>
      <c r="K139" s="1096" t="s">
        <v>1569</v>
      </c>
      <c r="L139" s="1096" t="s">
        <v>1570</v>
      </c>
      <c r="M139" s="1096" t="s">
        <v>1571</v>
      </c>
      <c r="N139" s="1096" t="s">
        <v>1572</v>
      </c>
      <c r="O139" s="1096"/>
      <c r="P139" s="1096" t="s">
        <v>1573</v>
      </c>
      <c r="Q139" s="1096" t="s">
        <v>1574</v>
      </c>
      <c r="R139" s="1096" t="s">
        <v>1575</v>
      </c>
      <c r="S139" s="1096" t="s">
        <v>1576</v>
      </c>
      <c r="T139" s="1096" t="s">
        <v>1577</v>
      </c>
      <c r="U139" s="1096" t="s">
        <v>1578</v>
      </c>
      <c r="V139" s="1096" t="s">
        <v>1579</v>
      </c>
      <c r="W139" s="1096" t="s">
        <v>1580</v>
      </c>
    </row>
    <row r="140" spans="1:23" ht="15" customHeight="1" x14ac:dyDescent="0.3">
      <c r="B140" s="1092" t="s">
        <v>241</v>
      </c>
      <c r="C140" s="1093" t="s">
        <v>1581</v>
      </c>
      <c r="D140" s="1094"/>
      <c r="E140" s="1095"/>
      <c r="F140" s="1096"/>
      <c r="G140" s="1096" t="e">
        <v>#N/A</v>
      </c>
      <c r="H140" s="1096" t="e">
        <v>#N/A</v>
      </c>
      <c r="I140" s="1096" t="e">
        <v>#N/A</v>
      </c>
      <c r="J140" s="1096" t="e">
        <v>#N/A</v>
      </c>
      <c r="K140" s="1096" t="e">
        <v>#N/A</v>
      </c>
      <c r="L140" s="1096" t="e">
        <v>#N/A</v>
      </c>
      <c r="M140" s="1096" t="e">
        <v>#N/A</v>
      </c>
      <c r="N140" s="1096" t="e">
        <v>#N/A</v>
      </c>
      <c r="O140" s="1096"/>
      <c r="P140" s="1096" t="e">
        <f t="shared" ref="P140:W140" si="10">+G140/G176</f>
        <v>#N/A</v>
      </c>
      <c r="Q140" s="1096" t="e">
        <f t="shared" si="10"/>
        <v>#N/A</v>
      </c>
      <c r="R140" s="1096" t="e">
        <f t="shared" si="10"/>
        <v>#N/A</v>
      </c>
      <c r="S140" s="1096" t="e">
        <f t="shared" si="10"/>
        <v>#N/A</v>
      </c>
      <c r="T140" s="1096" t="e">
        <f t="shared" si="10"/>
        <v>#N/A</v>
      </c>
      <c r="U140" s="1096" t="e">
        <f t="shared" si="10"/>
        <v>#N/A</v>
      </c>
      <c r="V140" s="1096" t="e">
        <f t="shared" si="10"/>
        <v>#N/A</v>
      </c>
      <c r="W140" s="1096" t="e">
        <f t="shared" si="10"/>
        <v>#N/A</v>
      </c>
    </row>
    <row r="141" spans="1:23" ht="15" customHeight="1" x14ac:dyDescent="0.3">
      <c r="B141" s="371"/>
      <c r="C141" s="371"/>
      <c r="D141" s="371"/>
      <c r="E141" s="372"/>
      <c r="F141" s="371"/>
      <c r="G141" s="371"/>
      <c r="H141" s="371"/>
      <c r="I141" s="371"/>
      <c r="J141" s="371"/>
      <c r="K141" s="371"/>
      <c r="L141" s="371"/>
      <c r="M141" s="371"/>
      <c r="N141" s="371"/>
      <c r="O141" s="371"/>
      <c r="P141" s="371"/>
      <c r="Q141" s="371"/>
      <c r="R141" s="371"/>
      <c r="S141" s="371"/>
      <c r="T141" s="371"/>
      <c r="U141" s="371"/>
      <c r="V141" s="371"/>
      <c r="W141" s="371"/>
    </row>
    <row r="142" spans="1:23" ht="15" customHeight="1" x14ac:dyDescent="0.3">
      <c r="B142" s="375" t="s">
        <v>78</v>
      </c>
      <c r="C142" s="526" t="s">
        <v>1582</v>
      </c>
      <c r="D142" s="376"/>
      <c r="E142" s="30"/>
      <c r="F142" s="379"/>
      <c r="G142" s="379">
        <v>2017</v>
      </c>
      <c r="H142" s="379">
        <f t="shared" ref="H142:N142" si="11">+G142+1</f>
        <v>2018</v>
      </c>
      <c r="I142" s="379">
        <f t="shared" si="11"/>
        <v>2019</v>
      </c>
      <c r="J142" s="379">
        <f t="shared" si="11"/>
        <v>2020</v>
      </c>
      <c r="K142" s="379">
        <f t="shared" si="11"/>
        <v>2021</v>
      </c>
      <c r="L142" s="379">
        <f t="shared" si="11"/>
        <v>2022</v>
      </c>
      <c r="M142" s="379">
        <f t="shared" si="11"/>
        <v>2023</v>
      </c>
      <c r="N142" s="379">
        <f t="shared" si="11"/>
        <v>2024</v>
      </c>
      <c r="O142" s="371"/>
      <c r="P142" s="379">
        <v>2017</v>
      </c>
      <c r="Q142" s="379">
        <f t="shared" ref="Q142:W142" si="12">+P142+1</f>
        <v>2018</v>
      </c>
      <c r="R142" s="379">
        <f t="shared" si="12"/>
        <v>2019</v>
      </c>
      <c r="S142" s="379">
        <f t="shared" si="12"/>
        <v>2020</v>
      </c>
      <c r="T142" s="379">
        <f t="shared" si="12"/>
        <v>2021</v>
      </c>
      <c r="U142" s="379">
        <f t="shared" si="12"/>
        <v>2022</v>
      </c>
      <c r="V142" s="379">
        <f t="shared" si="12"/>
        <v>2023</v>
      </c>
      <c r="W142" s="379">
        <f t="shared" si="12"/>
        <v>2024</v>
      </c>
    </row>
    <row r="143" spans="1:23" ht="4" customHeight="1" x14ac:dyDescent="0.3">
      <c r="B143" s="380"/>
      <c r="C143" s="380"/>
      <c r="D143" s="380"/>
      <c r="E143" s="381"/>
      <c r="F143" s="382"/>
      <c r="G143" s="382"/>
      <c r="H143" s="382"/>
      <c r="I143" s="382"/>
      <c r="J143" s="382"/>
      <c r="K143" s="382"/>
      <c r="L143" s="382"/>
      <c r="M143" s="382"/>
      <c r="N143" s="382"/>
      <c r="O143" s="371"/>
      <c r="P143" s="382"/>
      <c r="Q143" s="382"/>
      <c r="R143" s="382"/>
      <c r="S143" s="382"/>
      <c r="T143" s="382"/>
      <c r="U143" s="382"/>
      <c r="V143" s="382"/>
      <c r="W143" s="382"/>
    </row>
    <row r="144" spans="1:23" ht="15" customHeight="1" x14ac:dyDescent="0.3">
      <c r="B144" s="1092" t="s">
        <v>431</v>
      </c>
      <c r="C144" s="1093" t="s">
        <v>1067</v>
      </c>
      <c r="D144" s="449"/>
      <c r="E144" s="337"/>
      <c r="F144" s="23"/>
      <c r="G144" s="1096">
        <v>41900</v>
      </c>
      <c r="H144" s="1096">
        <v>45300</v>
      </c>
      <c r="I144" s="1096">
        <v>40400</v>
      </c>
      <c r="J144" s="1096">
        <v>36400</v>
      </c>
      <c r="K144" s="1096">
        <v>37400</v>
      </c>
      <c r="L144" s="1096">
        <v>37400</v>
      </c>
      <c r="M144" s="1096">
        <v>37800</v>
      </c>
      <c r="N144" s="1096">
        <v>38200</v>
      </c>
      <c r="O144" s="1096"/>
      <c r="P144" s="1098">
        <v>1972693</v>
      </c>
      <c r="Q144" s="1098">
        <v>1984057</v>
      </c>
      <c r="R144" s="1098">
        <v>1861065045</v>
      </c>
      <c r="S144" s="1098">
        <v>1863513</v>
      </c>
      <c r="T144" s="1098">
        <v>1715282</v>
      </c>
      <c r="U144" s="1098">
        <v>1503517588</v>
      </c>
      <c r="V144" s="1098">
        <v>1567229</v>
      </c>
      <c r="W144" s="1098">
        <v>1575258</v>
      </c>
    </row>
    <row r="145" spans="2:23" ht="15" customHeight="1" x14ac:dyDescent="0.3">
      <c r="B145" s="1092" t="s">
        <v>237</v>
      </c>
      <c r="C145" s="1093" t="s">
        <v>1516</v>
      </c>
      <c r="D145" s="449"/>
      <c r="E145" s="337"/>
      <c r="F145" s="23"/>
      <c r="G145" s="1096" t="s">
        <v>1583</v>
      </c>
      <c r="H145" s="1096" t="s">
        <v>1584</v>
      </c>
      <c r="I145" s="1096" t="s">
        <v>1585</v>
      </c>
      <c r="J145" s="1096" t="s">
        <v>1586</v>
      </c>
      <c r="K145" s="1096" t="s">
        <v>1587</v>
      </c>
      <c r="L145" s="1098">
        <v>19339199</v>
      </c>
      <c r="M145" s="1096" t="s">
        <v>1588</v>
      </c>
      <c r="N145" s="1096" t="s">
        <v>1589</v>
      </c>
      <c r="O145" s="1096"/>
      <c r="P145" s="1098">
        <v>2086056</v>
      </c>
      <c r="Q145" s="1098">
        <v>2003879</v>
      </c>
      <c r="R145" s="1098">
        <v>1972692372</v>
      </c>
      <c r="S145" s="1098">
        <v>1946372</v>
      </c>
      <c r="T145" s="1098">
        <v>170734</v>
      </c>
      <c r="U145" s="1098">
        <v>1470371494</v>
      </c>
      <c r="V145" s="1098">
        <v>1531119</v>
      </c>
      <c r="W145" s="1098">
        <v>1574042</v>
      </c>
    </row>
    <row r="146" spans="2:23" ht="15" customHeight="1" x14ac:dyDescent="0.3">
      <c r="B146" s="1092" t="s">
        <v>238</v>
      </c>
      <c r="C146" s="1093" t="s">
        <v>1532</v>
      </c>
      <c r="D146" s="449"/>
      <c r="E146" s="337"/>
      <c r="F146" s="23"/>
      <c r="G146" s="1096" t="s">
        <v>1590</v>
      </c>
      <c r="H146" s="1096" t="s">
        <v>1591</v>
      </c>
      <c r="I146" s="1096" t="s">
        <v>1592</v>
      </c>
      <c r="J146" s="1096" t="s">
        <v>1593</v>
      </c>
      <c r="K146" s="1096" t="s">
        <v>1594</v>
      </c>
      <c r="L146" s="1096" t="s">
        <v>1595</v>
      </c>
      <c r="M146" s="1096" t="s">
        <v>1596</v>
      </c>
      <c r="N146" s="1096">
        <v>17145</v>
      </c>
      <c r="O146" s="1096"/>
      <c r="P146" s="1098">
        <v>16575736</v>
      </c>
      <c r="Q146" s="1098">
        <v>1507902</v>
      </c>
      <c r="R146" s="1098">
        <v>1466859345</v>
      </c>
      <c r="S146" s="1098">
        <v>1454436</v>
      </c>
      <c r="T146" s="1098">
        <v>1305926</v>
      </c>
      <c r="U146" s="1098">
        <v>110101663</v>
      </c>
      <c r="V146" s="1098">
        <v>1160988</v>
      </c>
      <c r="W146" s="1098">
        <v>1179161</v>
      </c>
    </row>
    <row r="147" spans="2:23" ht="15" customHeight="1" x14ac:dyDescent="0.3">
      <c r="B147" s="1092" t="s">
        <v>239</v>
      </c>
      <c r="C147" s="1093" t="s">
        <v>1549</v>
      </c>
      <c r="D147" s="449"/>
      <c r="E147" s="337"/>
      <c r="F147" s="23"/>
      <c r="G147" s="1096" t="s">
        <v>1597</v>
      </c>
      <c r="H147" s="1096" t="s">
        <v>1598</v>
      </c>
      <c r="I147" s="1096">
        <v>11625</v>
      </c>
      <c r="J147" s="1096" t="s">
        <v>1599</v>
      </c>
      <c r="K147" s="1096" t="s">
        <v>1600</v>
      </c>
      <c r="L147" s="1096" t="s">
        <v>1601</v>
      </c>
      <c r="M147" s="1096">
        <v>17017</v>
      </c>
      <c r="N147" s="1096">
        <v>17299</v>
      </c>
      <c r="O147" s="1096"/>
      <c r="P147" s="1098">
        <v>21291877</v>
      </c>
      <c r="Q147" s="1098">
        <v>2016</v>
      </c>
      <c r="R147" s="1098">
        <v>1979478301</v>
      </c>
      <c r="S147" s="1098">
        <v>1924011</v>
      </c>
      <c r="T147" s="1098">
        <v>17104</v>
      </c>
      <c r="U147" s="1098">
        <v>1096627089</v>
      </c>
      <c r="V147" s="1098">
        <v>1828729</v>
      </c>
      <c r="W147" s="1098">
        <v>1629036</v>
      </c>
    </row>
    <row r="148" spans="2:23" ht="15" customHeight="1" x14ac:dyDescent="0.3">
      <c r="B148" s="1092" t="s">
        <v>240</v>
      </c>
      <c r="C148" s="1093" t="s">
        <v>1564</v>
      </c>
      <c r="D148" s="449"/>
      <c r="E148" s="337"/>
      <c r="F148" s="23"/>
      <c r="G148" s="1096" t="s">
        <v>1602</v>
      </c>
      <c r="H148" s="1096">
        <v>20127</v>
      </c>
      <c r="I148" s="1096" t="s">
        <v>1603</v>
      </c>
      <c r="J148" s="1096" t="s">
        <v>1604</v>
      </c>
      <c r="K148" s="1096" t="s">
        <v>1605</v>
      </c>
      <c r="L148" s="1096" t="s">
        <v>1606</v>
      </c>
      <c r="M148" s="1096" t="s">
        <v>1607</v>
      </c>
      <c r="N148" s="1096" t="s">
        <v>1608</v>
      </c>
      <c r="O148" s="1096"/>
      <c r="P148" s="1098">
        <v>19256089</v>
      </c>
      <c r="Q148" s="1098">
        <v>1756589</v>
      </c>
      <c r="R148" s="1098">
        <v>1718139164</v>
      </c>
      <c r="S148" s="1098">
        <v>1657197</v>
      </c>
      <c r="T148" s="1098">
        <v>2960321</v>
      </c>
      <c r="U148" s="1098">
        <v>248623774</v>
      </c>
      <c r="V148" s="1098">
        <v>1354286</v>
      </c>
      <c r="W148" s="1098">
        <v>1342366</v>
      </c>
    </row>
    <row r="149" spans="2:23" ht="15" customHeight="1" x14ac:dyDescent="0.3">
      <c r="B149" s="1092" t="s">
        <v>241</v>
      </c>
      <c r="C149" s="1093" t="s">
        <v>1581</v>
      </c>
      <c r="D149" s="449"/>
      <c r="E149" s="337"/>
      <c r="F149" s="23"/>
      <c r="G149" s="1096" t="e">
        <v>#N/A</v>
      </c>
      <c r="H149" s="1096" t="e">
        <v>#N/A</v>
      </c>
      <c r="I149" s="1096" t="e">
        <v>#N/A</v>
      </c>
      <c r="J149" s="1096" t="e">
        <v>#N/A</v>
      </c>
      <c r="K149" s="1096" t="e">
        <v>#N/A</v>
      </c>
      <c r="L149" s="1096" t="e">
        <v>#N/A</v>
      </c>
      <c r="M149" s="1096" t="e">
        <v>#N/A</v>
      </c>
      <c r="N149" s="1096" t="e">
        <v>#N/A</v>
      </c>
      <c r="O149" s="1096"/>
      <c r="P149" s="1096" t="e">
        <f t="shared" ref="P149:W149" si="13">+G149/G176</f>
        <v>#N/A</v>
      </c>
      <c r="Q149" s="1096" t="e">
        <f t="shared" si="13"/>
        <v>#N/A</v>
      </c>
      <c r="R149" s="1096" t="e">
        <f t="shared" si="13"/>
        <v>#N/A</v>
      </c>
      <c r="S149" s="1096" t="e">
        <f t="shared" si="13"/>
        <v>#N/A</v>
      </c>
      <c r="T149" s="1096" t="e">
        <f t="shared" si="13"/>
        <v>#N/A</v>
      </c>
      <c r="U149" s="1096" t="e">
        <f t="shared" si="13"/>
        <v>#N/A</v>
      </c>
      <c r="V149" s="1096" t="e">
        <f t="shared" si="13"/>
        <v>#N/A</v>
      </c>
      <c r="W149" s="1096" t="e">
        <f t="shared" si="13"/>
        <v>#N/A</v>
      </c>
    </row>
    <row r="151" spans="2:23" ht="15" customHeight="1" x14ac:dyDescent="0.3">
      <c r="B151" s="375" t="s">
        <v>73</v>
      </c>
      <c r="C151" s="526" t="s">
        <v>1609</v>
      </c>
      <c r="D151" s="376"/>
      <c r="E151" s="30"/>
      <c r="F151" s="379"/>
      <c r="G151" s="379">
        <v>2017</v>
      </c>
      <c r="H151" s="379">
        <f t="shared" ref="H151:N151" si="14">+G151+1</f>
        <v>2018</v>
      </c>
      <c r="I151" s="379">
        <f t="shared" si="14"/>
        <v>2019</v>
      </c>
      <c r="J151" s="379">
        <f t="shared" si="14"/>
        <v>2020</v>
      </c>
      <c r="K151" s="379">
        <f t="shared" si="14"/>
        <v>2021</v>
      </c>
      <c r="L151" s="379">
        <f t="shared" si="14"/>
        <v>2022</v>
      </c>
      <c r="M151" s="379">
        <f t="shared" si="14"/>
        <v>2023</v>
      </c>
      <c r="N151" s="379">
        <f t="shared" si="14"/>
        <v>2024</v>
      </c>
      <c r="O151" s="371"/>
      <c r="P151" s="379">
        <v>2017</v>
      </c>
      <c r="Q151" s="379">
        <f t="shared" ref="Q151:W151" si="15">+P151+1</f>
        <v>2018</v>
      </c>
      <c r="R151" s="379">
        <f t="shared" si="15"/>
        <v>2019</v>
      </c>
      <c r="S151" s="379">
        <f t="shared" si="15"/>
        <v>2020</v>
      </c>
      <c r="T151" s="379">
        <f t="shared" si="15"/>
        <v>2021</v>
      </c>
      <c r="U151" s="379">
        <f t="shared" si="15"/>
        <v>2022</v>
      </c>
      <c r="V151" s="379">
        <f t="shared" si="15"/>
        <v>2023</v>
      </c>
      <c r="W151" s="379">
        <f t="shared" si="15"/>
        <v>2024</v>
      </c>
    </row>
    <row r="152" spans="2:23" ht="4" customHeight="1" x14ac:dyDescent="0.3">
      <c r="B152" s="380"/>
      <c r="C152" s="380"/>
      <c r="D152" s="380"/>
      <c r="E152" s="381"/>
      <c r="F152" s="382"/>
      <c r="G152" s="382"/>
      <c r="H152" s="382"/>
      <c r="I152" s="382"/>
      <c r="J152" s="382"/>
      <c r="K152" s="382"/>
      <c r="L152" s="382"/>
      <c r="M152" s="382"/>
      <c r="N152" s="382"/>
      <c r="O152" s="371"/>
      <c r="P152" s="382"/>
      <c r="Q152" s="382"/>
      <c r="R152" s="382"/>
      <c r="S152" s="382"/>
      <c r="T152" s="382"/>
      <c r="U152" s="382"/>
      <c r="V152" s="382"/>
      <c r="W152" s="382"/>
    </row>
    <row r="153" spans="2:23" ht="15" customHeight="1" x14ac:dyDescent="0.3">
      <c r="B153" s="23" t="s">
        <v>431</v>
      </c>
      <c r="C153" s="449" t="s">
        <v>1067</v>
      </c>
      <c r="D153" s="449"/>
      <c r="E153" s="337"/>
      <c r="F153" s="23"/>
      <c r="G153" s="1096" t="e">
        <v>#N/A</v>
      </c>
      <c r="H153" s="1096" t="e">
        <v>#N/A</v>
      </c>
      <c r="I153" s="1096">
        <v>1954</v>
      </c>
      <c r="J153" s="1096">
        <v>1858</v>
      </c>
      <c r="K153" s="1096">
        <v>2331</v>
      </c>
      <c r="L153" s="1096">
        <v>1621</v>
      </c>
      <c r="M153" s="1096">
        <v>240</v>
      </c>
      <c r="N153" s="1096">
        <v>410</v>
      </c>
      <c r="O153" s="1096"/>
      <c r="P153" s="1096" t="e">
        <f t="shared" ref="P153:Q158" si="16">+G153/G171</f>
        <v>#N/A</v>
      </c>
      <c r="Q153" s="1096" t="e">
        <f t="shared" si="16"/>
        <v>#N/A</v>
      </c>
      <c r="R153" s="1096" t="s">
        <v>1610</v>
      </c>
      <c r="S153" s="1096" t="s">
        <v>1611</v>
      </c>
      <c r="T153" s="1096" t="s">
        <v>1612</v>
      </c>
      <c r="U153" s="1096" t="s">
        <v>1613</v>
      </c>
      <c r="V153" s="1096" t="s">
        <v>1614</v>
      </c>
      <c r="W153" s="1096" t="s">
        <v>1615</v>
      </c>
    </row>
    <row r="154" spans="2:23" ht="15" customHeight="1" x14ac:dyDescent="0.3">
      <c r="B154" s="23" t="s">
        <v>237</v>
      </c>
      <c r="C154" s="449" t="s">
        <v>1516</v>
      </c>
      <c r="D154" s="449"/>
      <c r="E154" s="337"/>
      <c r="F154" s="23"/>
      <c r="G154" s="1096" t="e">
        <v>#N/A</v>
      </c>
      <c r="H154" s="1096" t="e">
        <v>#N/A</v>
      </c>
      <c r="I154" s="1096" t="e">
        <v>#N/A</v>
      </c>
      <c r="J154" s="1096" t="e">
        <v>#N/A</v>
      </c>
      <c r="K154" s="1096" t="e">
        <v>#N/A</v>
      </c>
      <c r="L154" s="1096" t="e">
        <v>#N/A</v>
      </c>
      <c r="M154" s="1096" t="e">
        <v>#N/A</v>
      </c>
      <c r="N154" s="1096" t="e">
        <v>#N/A</v>
      </c>
      <c r="O154" s="1096"/>
      <c r="P154" s="1096" t="e">
        <f t="shared" si="16"/>
        <v>#N/A</v>
      </c>
      <c r="Q154" s="1096" t="e">
        <f t="shared" si="16"/>
        <v>#N/A</v>
      </c>
      <c r="R154" s="1096" t="e">
        <f t="shared" ref="R154:W158" si="17">+I154/I172</f>
        <v>#N/A</v>
      </c>
      <c r="S154" s="1096" t="e">
        <f t="shared" si="17"/>
        <v>#N/A</v>
      </c>
      <c r="T154" s="1096" t="e">
        <f t="shared" si="17"/>
        <v>#N/A</v>
      </c>
      <c r="U154" s="1096" t="e">
        <f t="shared" si="17"/>
        <v>#N/A</v>
      </c>
      <c r="V154" s="1096" t="e">
        <f t="shared" si="17"/>
        <v>#N/A</v>
      </c>
      <c r="W154" s="1096" t="e">
        <f t="shared" si="17"/>
        <v>#N/A</v>
      </c>
    </row>
    <row r="155" spans="2:23" ht="15" customHeight="1" x14ac:dyDescent="0.3">
      <c r="B155" s="23" t="s">
        <v>238</v>
      </c>
      <c r="C155" s="449" t="s">
        <v>1532</v>
      </c>
      <c r="D155" s="449"/>
      <c r="E155" s="337"/>
      <c r="F155" s="23"/>
      <c r="G155" s="1096" t="e">
        <v>#N/A</v>
      </c>
      <c r="H155" s="1096" t="e">
        <v>#N/A</v>
      </c>
      <c r="I155" s="1096" t="e">
        <v>#N/A</v>
      </c>
      <c r="J155" s="1096" t="e">
        <v>#N/A</v>
      </c>
      <c r="K155" s="1096" t="e">
        <v>#N/A</v>
      </c>
      <c r="L155" s="1096" t="e">
        <v>#N/A</v>
      </c>
      <c r="M155" s="1096" t="e">
        <v>#N/A</v>
      </c>
      <c r="N155" s="1096" t="e">
        <v>#N/A</v>
      </c>
      <c r="O155" s="1096"/>
      <c r="P155" s="1096" t="e">
        <f t="shared" si="16"/>
        <v>#N/A</v>
      </c>
      <c r="Q155" s="1096" t="e">
        <f t="shared" si="16"/>
        <v>#N/A</v>
      </c>
      <c r="R155" s="1096" t="e">
        <f t="shared" si="17"/>
        <v>#N/A</v>
      </c>
      <c r="S155" s="1096" t="e">
        <f t="shared" si="17"/>
        <v>#N/A</v>
      </c>
      <c r="T155" s="1096" t="e">
        <f t="shared" si="17"/>
        <v>#N/A</v>
      </c>
      <c r="U155" s="1096" t="e">
        <f t="shared" si="17"/>
        <v>#N/A</v>
      </c>
      <c r="V155" s="1096" t="e">
        <f t="shared" si="17"/>
        <v>#N/A</v>
      </c>
      <c r="W155" s="1096" t="e">
        <f t="shared" si="17"/>
        <v>#N/A</v>
      </c>
    </row>
    <row r="156" spans="2:23" ht="15" customHeight="1" x14ac:dyDescent="0.3">
      <c r="B156" s="23" t="s">
        <v>239</v>
      </c>
      <c r="C156" s="449" t="s">
        <v>1549</v>
      </c>
      <c r="D156" s="449"/>
      <c r="E156" s="337"/>
      <c r="F156" s="23"/>
      <c r="G156" s="1096" t="e">
        <v>#N/A</v>
      </c>
      <c r="H156" s="1096" t="e">
        <v>#N/A</v>
      </c>
      <c r="I156" s="1096" t="e">
        <v>#N/A</v>
      </c>
      <c r="J156" s="1096" t="e">
        <v>#N/A</v>
      </c>
      <c r="K156" s="1096" t="e">
        <v>#N/A</v>
      </c>
      <c r="L156" s="1096" t="e">
        <v>#N/A</v>
      </c>
      <c r="M156" s="1096" t="e">
        <v>#N/A</v>
      </c>
      <c r="N156" s="1096" t="e">
        <v>#N/A</v>
      </c>
      <c r="O156" s="1096"/>
      <c r="P156" s="1096" t="e">
        <f t="shared" si="16"/>
        <v>#N/A</v>
      </c>
      <c r="Q156" s="1096" t="e">
        <f t="shared" si="16"/>
        <v>#N/A</v>
      </c>
      <c r="R156" s="1096" t="e">
        <f t="shared" si="17"/>
        <v>#N/A</v>
      </c>
      <c r="S156" s="1096" t="e">
        <f t="shared" si="17"/>
        <v>#N/A</v>
      </c>
      <c r="T156" s="1096" t="e">
        <f t="shared" si="17"/>
        <v>#N/A</v>
      </c>
      <c r="U156" s="1096" t="e">
        <f t="shared" si="17"/>
        <v>#N/A</v>
      </c>
      <c r="V156" s="1096" t="e">
        <f t="shared" si="17"/>
        <v>#N/A</v>
      </c>
      <c r="W156" s="1096" t="e">
        <f t="shared" si="17"/>
        <v>#N/A</v>
      </c>
    </row>
    <row r="157" spans="2:23" ht="15" customHeight="1" x14ac:dyDescent="0.3">
      <c r="B157" s="23" t="s">
        <v>240</v>
      </c>
      <c r="C157" s="449" t="s">
        <v>1564</v>
      </c>
      <c r="D157" s="449"/>
      <c r="E157" s="337"/>
      <c r="F157" s="23"/>
      <c r="G157" s="1096" t="e">
        <v>#N/A</v>
      </c>
      <c r="H157" s="1096" t="e">
        <v>#N/A</v>
      </c>
      <c r="I157" s="1096" t="e">
        <v>#N/A</v>
      </c>
      <c r="J157" s="1096" t="e">
        <v>#N/A</v>
      </c>
      <c r="K157" s="1096" t="e">
        <v>#N/A</v>
      </c>
      <c r="L157" s="1096" t="e">
        <v>#N/A</v>
      </c>
      <c r="M157" s="1096" t="e">
        <v>#N/A</v>
      </c>
      <c r="N157" s="1096" t="e">
        <v>#N/A</v>
      </c>
      <c r="O157" s="1096"/>
      <c r="P157" s="1096" t="e">
        <f t="shared" si="16"/>
        <v>#N/A</v>
      </c>
      <c r="Q157" s="1096" t="e">
        <f t="shared" si="16"/>
        <v>#N/A</v>
      </c>
      <c r="R157" s="1096" t="e">
        <f t="shared" si="17"/>
        <v>#N/A</v>
      </c>
      <c r="S157" s="1096" t="e">
        <f t="shared" si="17"/>
        <v>#N/A</v>
      </c>
      <c r="T157" s="1096" t="e">
        <f t="shared" si="17"/>
        <v>#N/A</v>
      </c>
      <c r="U157" s="1096" t="e">
        <f t="shared" si="17"/>
        <v>#N/A</v>
      </c>
      <c r="V157" s="1096" t="e">
        <f t="shared" si="17"/>
        <v>#N/A</v>
      </c>
      <c r="W157" s="1096" t="e">
        <f t="shared" si="17"/>
        <v>#N/A</v>
      </c>
    </row>
    <row r="158" spans="2:23" ht="15" customHeight="1" x14ac:dyDescent="0.3">
      <c r="B158" s="23" t="s">
        <v>241</v>
      </c>
      <c r="C158" s="449" t="s">
        <v>1581</v>
      </c>
      <c r="D158" s="449"/>
      <c r="E158" s="337"/>
      <c r="F158" s="23"/>
      <c r="G158" s="1096" t="e">
        <v>#N/A</v>
      </c>
      <c r="H158" s="1096" t="e">
        <v>#N/A</v>
      </c>
      <c r="I158" s="1096" t="e">
        <v>#N/A</v>
      </c>
      <c r="J158" s="1096" t="e">
        <v>#N/A</v>
      </c>
      <c r="K158" s="1096" t="e">
        <v>#N/A</v>
      </c>
      <c r="L158" s="1096" t="e">
        <v>#N/A</v>
      </c>
      <c r="M158" s="1096" t="e">
        <v>#N/A</v>
      </c>
      <c r="N158" s="1096" t="e">
        <v>#N/A</v>
      </c>
      <c r="O158" s="1096"/>
      <c r="P158" s="1096" t="e">
        <f t="shared" si="16"/>
        <v>#N/A</v>
      </c>
      <c r="Q158" s="1096" t="e">
        <f t="shared" si="16"/>
        <v>#N/A</v>
      </c>
      <c r="R158" s="1096" t="e">
        <f t="shared" si="17"/>
        <v>#N/A</v>
      </c>
      <c r="S158" s="1096" t="e">
        <f t="shared" si="17"/>
        <v>#N/A</v>
      </c>
      <c r="T158" s="1096" t="e">
        <f t="shared" si="17"/>
        <v>#N/A</v>
      </c>
      <c r="U158" s="1096" t="e">
        <f t="shared" si="17"/>
        <v>#N/A</v>
      </c>
      <c r="V158" s="1096" t="e">
        <f t="shared" si="17"/>
        <v>#N/A</v>
      </c>
      <c r="W158" s="1096" t="e">
        <f t="shared" si="17"/>
        <v>#N/A</v>
      </c>
    </row>
    <row r="159" spans="2:23" ht="15" customHeight="1" x14ac:dyDescent="0.3">
      <c r="B159" s="371"/>
      <c r="C159" s="371"/>
      <c r="D159" s="371"/>
      <c r="E159" s="372"/>
      <c r="F159" s="371"/>
      <c r="G159" s="371"/>
      <c r="H159" s="371"/>
      <c r="I159" s="371"/>
      <c r="J159" s="371"/>
      <c r="K159" s="371"/>
      <c r="L159" s="371"/>
      <c r="M159" s="371"/>
      <c r="N159" s="371"/>
      <c r="O159" s="371"/>
      <c r="P159" s="371"/>
      <c r="Q159" s="371"/>
      <c r="R159" s="371"/>
      <c r="S159" s="371"/>
      <c r="T159" s="371"/>
      <c r="U159" s="371"/>
      <c r="V159" s="371"/>
      <c r="W159" s="371"/>
    </row>
    <row r="160" spans="2:23" ht="15" customHeight="1" x14ac:dyDescent="0.3">
      <c r="B160" s="375" t="s">
        <v>1616</v>
      </c>
      <c r="C160" s="526" t="s">
        <v>1617</v>
      </c>
      <c r="D160" s="376"/>
      <c r="E160" s="30"/>
      <c r="F160" s="379"/>
      <c r="G160" s="379">
        <v>2017</v>
      </c>
      <c r="H160" s="379">
        <f t="shared" ref="H160:N160" si="18">+G160+1</f>
        <v>2018</v>
      </c>
      <c r="I160" s="379">
        <f t="shared" si="18"/>
        <v>2019</v>
      </c>
      <c r="J160" s="379">
        <f t="shared" si="18"/>
        <v>2020</v>
      </c>
      <c r="K160" s="379">
        <f t="shared" si="18"/>
        <v>2021</v>
      </c>
      <c r="L160" s="379">
        <f t="shared" si="18"/>
        <v>2022</v>
      </c>
      <c r="M160" s="379">
        <f t="shared" si="18"/>
        <v>2023</v>
      </c>
      <c r="N160" s="379">
        <f t="shared" si="18"/>
        <v>2024</v>
      </c>
      <c r="O160" s="371"/>
      <c r="P160" s="379">
        <v>2017</v>
      </c>
      <c r="Q160" s="379">
        <f t="shared" ref="Q160:W160" si="19">+P160+1</f>
        <v>2018</v>
      </c>
      <c r="R160" s="379">
        <f t="shared" si="19"/>
        <v>2019</v>
      </c>
      <c r="S160" s="379">
        <f t="shared" si="19"/>
        <v>2020</v>
      </c>
      <c r="T160" s="379">
        <f t="shared" si="19"/>
        <v>2021</v>
      </c>
      <c r="U160" s="379">
        <f t="shared" si="19"/>
        <v>2022</v>
      </c>
      <c r="V160" s="379">
        <f t="shared" si="19"/>
        <v>2023</v>
      </c>
      <c r="W160" s="379">
        <f t="shared" si="19"/>
        <v>2024</v>
      </c>
    </row>
    <row r="161" spans="2:23" ht="4" customHeight="1" x14ac:dyDescent="0.3">
      <c r="B161" s="380"/>
      <c r="C161" s="380"/>
      <c r="D161" s="380"/>
      <c r="E161" s="381"/>
      <c r="F161" s="382"/>
      <c r="G161" s="382"/>
      <c r="H161" s="382"/>
      <c r="I161" s="382"/>
      <c r="J161" s="382"/>
      <c r="K161" s="382"/>
      <c r="L161" s="382"/>
      <c r="M161" s="382"/>
      <c r="N161" s="382"/>
      <c r="O161" s="371"/>
      <c r="P161" s="382"/>
      <c r="Q161" s="382"/>
      <c r="R161" s="382"/>
      <c r="S161" s="382"/>
      <c r="T161" s="382"/>
      <c r="U161" s="382"/>
      <c r="V161" s="382"/>
      <c r="W161" s="382"/>
    </row>
    <row r="162" spans="2:23" ht="15" customHeight="1" x14ac:dyDescent="0.3">
      <c r="B162" s="23" t="s">
        <v>431</v>
      </c>
      <c r="C162" s="449" t="s">
        <v>1067</v>
      </c>
      <c r="D162" s="449"/>
      <c r="E162" s="337"/>
      <c r="F162" s="23"/>
      <c r="G162" s="1096" t="s">
        <v>1618</v>
      </c>
      <c r="H162" s="1096" t="s">
        <v>1619</v>
      </c>
      <c r="I162" s="1096" t="s">
        <v>1620</v>
      </c>
      <c r="J162" s="1096" t="s">
        <v>1621</v>
      </c>
      <c r="K162" s="1098">
        <v>947624</v>
      </c>
      <c r="L162" s="1098">
        <v>984624</v>
      </c>
      <c r="M162" s="1096" t="s">
        <v>1622</v>
      </c>
      <c r="N162" s="1096" t="s">
        <v>1623</v>
      </c>
      <c r="O162" s="1096"/>
      <c r="P162" s="1096" t="s">
        <v>1624</v>
      </c>
      <c r="Q162" s="1096" t="s">
        <v>1625</v>
      </c>
      <c r="R162" s="1096" t="s">
        <v>1626</v>
      </c>
      <c r="S162" s="1096" t="s">
        <v>1627</v>
      </c>
      <c r="T162" s="1096" t="s">
        <v>1628</v>
      </c>
      <c r="U162" s="1096" t="s">
        <v>1629</v>
      </c>
      <c r="V162" s="1096" t="s">
        <v>1630</v>
      </c>
      <c r="W162" s="1096" t="s">
        <v>1631</v>
      </c>
    </row>
    <row r="163" spans="2:23" ht="15" customHeight="1" x14ac:dyDescent="0.3">
      <c r="B163" s="23" t="s">
        <v>237</v>
      </c>
      <c r="C163" s="449" t="s">
        <v>1516</v>
      </c>
      <c r="D163" s="449"/>
      <c r="E163" s="337"/>
      <c r="F163" s="23"/>
      <c r="G163" s="1098">
        <v>313251</v>
      </c>
      <c r="H163" s="1098">
        <v>340291</v>
      </c>
      <c r="I163" s="1098">
        <v>397406</v>
      </c>
      <c r="J163" s="1096" t="s">
        <v>1632</v>
      </c>
      <c r="K163" s="1098">
        <v>345549</v>
      </c>
      <c r="L163" s="1098">
        <v>265549</v>
      </c>
      <c r="M163" s="1098">
        <v>294244</v>
      </c>
      <c r="N163" s="1096" t="s">
        <v>1633</v>
      </c>
      <c r="O163" s="1096"/>
      <c r="P163" s="1096" t="s">
        <v>1634</v>
      </c>
      <c r="Q163" s="1096" t="s">
        <v>1635</v>
      </c>
      <c r="R163" s="1096" t="s">
        <v>1636</v>
      </c>
      <c r="S163" s="1096" t="s">
        <v>1637</v>
      </c>
      <c r="T163" s="1096" t="s">
        <v>1638</v>
      </c>
      <c r="U163" s="1096" t="s">
        <v>1639</v>
      </c>
      <c r="V163" s="1096" t="s">
        <v>1640</v>
      </c>
      <c r="W163" s="1096" t="s">
        <v>1641</v>
      </c>
    </row>
    <row r="164" spans="2:23" ht="15" customHeight="1" x14ac:dyDescent="0.3">
      <c r="B164" s="23" t="s">
        <v>238</v>
      </c>
      <c r="C164" s="449" t="s">
        <v>1532</v>
      </c>
      <c r="D164" s="449"/>
      <c r="E164" s="337"/>
      <c r="F164" s="23"/>
      <c r="G164" s="1098">
        <v>302969</v>
      </c>
      <c r="H164" s="1098">
        <v>101175</v>
      </c>
      <c r="I164" s="1098">
        <v>100483</v>
      </c>
      <c r="J164" s="1098">
        <v>100966</v>
      </c>
      <c r="K164" s="1098">
        <v>439952</v>
      </c>
      <c r="L164" s="1098">
        <v>203044</v>
      </c>
      <c r="M164" s="1098">
        <v>75759</v>
      </c>
      <c r="N164" s="1098">
        <v>212159</v>
      </c>
      <c r="O164" s="1096"/>
      <c r="P164" s="1096" t="s">
        <v>1642</v>
      </c>
      <c r="Q164" s="1096" t="s">
        <v>1643</v>
      </c>
      <c r="R164" s="1096" t="s">
        <v>1644</v>
      </c>
      <c r="S164" s="1096" t="s">
        <v>1645</v>
      </c>
      <c r="T164" s="1096" t="s">
        <v>1646</v>
      </c>
      <c r="U164" s="1096" t="s">
        <v>1647</v>
      </c>
      <c r="V164" s="1096" t="s">
        <v>1648</v>
      </c>
      <c r="W164" s="1096" t="s">
        <v>1649</v>
      </c>
    </row>
    <row r="165" spans="2:23" ht="15" customHeight="1" x14ac:dyDescent="0.3">
      <c r="B165" s="23" t="s">
        <v>239</v>
      </c>
      <c r="C165" s="449" t="s">
        <v>1549</v>
      </c>
      <c r="D165" s="449"/>
      <c r="E165" s="337"/>
      <c r="F165" s="23"/>
      <c r="G165" s="1098">
        <v>79269</v>
      </c>
      <c r="H165" s="1098">
        <v>104325</v>
      </c>
      <c r="I165" s="1098">
        <v>90112</v>
      </c>
      <c r="J165" s="1096" t="s">
        <v>1650</v>
      </c>
      <c r="K165" s="1096" t="s">
        <v>1651</v>
      </c>
      <c r="L165" s="1098">
        <v>68602</v>
      </c>
      <c r="M165" s="1098">
        <v>92524</v>
      </c>
      <c r="N165" s="1098">
        <v>157059</v>
      </c>
      <c r="O165" s="1096"/>
      <c r="P165" s="1096" t="s">
        <v>1652</v>
      </c>
      <c r="Q165" s="1096" t="s">
        <v>1653</v>
      </c>
      <c r="R165" s="1096" t="s">
        <v>1654</v>
      </c>
      <c r="S165" s="1096" t="s">
        <v>1655</v>
      </c>
      <c r="T165" s="1096" t="s">
        <v>1656</v>
      </c>
      <c r="U165" s="1096" t="s">
        <v>1657</v>
      </c>
      <c r="V165" s="1096" t="s">
        <v>1658</v>
      </c>
      <c r="W165" s="1096" t="s">
        <v>1659</v>
      </c>
    </row>
    <row r="166" spans="2:23" ht="15" customHeight="1" x14ac:dyDescent="0.3">
      <c r="B166" s="23" t="s">
        <v>240</v>
      </c>
      <c r="C166" s="449" t="s">
        <v>1564</v>
      </c>
      <c r="D166" s="449"/>
      <c r="E166" s="337"/>
      <c r="F166" s="23"/>
      <c r="G166" s="1098">
        <v>228686</v>
      </c>
      <c r="H166" s="1098">
        <v>334372</v>
      </c>
      <c r="I166" s="1098">
        <v>393375</v>
      </c>
      <c r="J166" s="1098">
        <v>355056</v>
      </c>
      <c r="K166" s="1098">
        <v>240113</v>
      </c>
      <c r="L166" s="1098">
        <v>210588</v>
      </c>
      <c r="M166" s="1098">
        <v>163139</v>
      </c>
      <c r="N166" s="1096" t="e">
        <v>#N/A</v>
      </c>
      <c r="O166" s="1096"/>
      <c r="P166" s="1096" t="s">
        <v>1660</v>
      </c>
      <c r="Q166" s="1096" t="s">
        <v>1661</v>
      </c>
      <c r="R166" s="1096" t="s">
        <v>1662</v>
      </c>
      <c r="S166" s="1096" t="s">
        <v>1663</v>
      </c>
      <c r="T166" s="1096" t="s">
        <v>1664</v>
      </c>
      <c r="U166" s="1096" t="s">
        <v>1665</v>
      </c>
      <c r="V166" s="1096" t="s">
        <v>1666</v>
      </c>
      <c r="W166" s="23" t="e">
        <f>+N166/N175</f>
        <v>#N/A</v>
      </c>
    </row>
    <row r="167" spans="2:23" ht="15" customHeight="1" x14ac:dyDescent="0.3">
      <c r="B167" s="23" t="s">
        <v>241</v>
      </c>
      <c r="C167" s="449" t="s">
        <v>1581</v>
      </c>
      <c r="D167" s="449"/>
      <c r="E167" s="337"/>
      <c r="F167" s="23"/>
      <c r="G167" s="1096" t="e">
        <v>#N/A</v>
      </c>
      <c r="H167" s="1096" t="e">
        <v>#N/A</v>
      </c>
      <c r="I167" s="1096" t="e">
        <v>#N/A</v>
      </c>
      <c r="J167" s="1096" t="e">
        <v>#N/A</v>
      </c>
      <c r="K167" s="1096" t="e">
        <v>#N/A</v>
      </c>
      <c r="L167" s="1096" t="e">
        <v>#N/A</v>
      </c>
      <c r="M167" s="1096" t="e">
        <v>#N/A</v>
      </c>
      <c r="N167" s="1096" t="e">
        <v>#N/A</v>
      </c>
      <c r="O167" s="1096"/>
      <c r="P167" s="23" t="e">
        <f t="shared" ref="P167:V167" si="20">+G167/G176</f>
        <v>#N/A</v>
      </c>
      <c r="Q167" s="23" t="e">
        <f t="shared" si="20"/>
        <v>#N/A</v>
      </c>
      <c r="R167" s="23" t="e">
        <f t="shared" si="20"/>
        <v>#N/A</v>
      </c>
      <c r="S167" s="23" t="e">
        <f t="shared" si="20"/>
        <v>#N/A</v>
      </c>
      <c r="T167" s="23" t="e">
        <f t="shared" si="20"/>
        <v>#N/A</v>
      </c>
      <c r="U167" s="23" t="e">
        <f t="shared" si="20"/>
        <v>#N/A</v>
      </c>
      <c r="V167" s="23" t="e">
        <f t="shared" si="20"/>
        <v>#N/A</v>
      </c>
      <c r="W167" s="23" t="e">
        <f>+N167/N176</f>
        <v>#N/A</v>
      </c>
    </row>
    <row r="168" spans="2:23" ht="15" customHeight="1" x14ac:dyDescent="0.3">
      <c r="B168" s="371"/>
      <c r="C168" s="371"/>
      <c r="D168" s="371"/>
      <c r="E168" s="372"/>
      <c r="F168" s="371"/>
      <c r="G168" s="371"/>
      <c r="H168" s="371"/>
      <c r="I168" s="371"/>
      <c r="J168" s="371"/>
      <c r="K168" s="371"/>
      <c r="L168" s="371"/>
      <c r="M168" s="371"/>
      <c r="N168" s="371"/>
      <c r="O168" s="371"/>
      <c r="P168" s="371"/>
      <c r="Q168" s="371"/>
      <c r="R168" s="371"/>
      <c r="S168" s="371"/>
      <c r="T168" s="371"/>
      <c r="U168" s="371"/>
      <c r="V168" s="371"/>
      <c r="W168" s="371"/>
    </row>
    <row r="169" spans="2:23" ht="15" customHeight="1" x14ac:dyDescent="0.3">
      <c r="B169" s="375" t="s">
        <v>428</v>
      </c>
      <c r="C169" s="526" t="s">
        <v>1667</v>
      </c>
      <c r="D169" s="376"/>
      <c r="E169" s="30"/>
      <c r="F169" s="379"/>
      <c r="G169" s="379">
        <v>2017</v>
      </c>
      <c r="H169" s="379">
        <f t="shared" ref="H169:N169" si="21">+G169+1</f>
        <v>2018</v>
      </c>
      <c r="I169" s="379">
        <f t="shared" si="21"/>
        <v>2019</v>
      </c>
      <c r="J169" s="379">
        <f t="shared" si="21"/>
        <v>2020</v>
      </c>
      <c r="K169" s="379">
        <f t="shared" si="21"/>
        <v>2021</v>
      </c>
      <c r="L169" s="379">
        <f t="shared" si="21"/>
        <v>2022</v>
      </c>
      <c r="M169" s="379">
        <f t="shared" si="21"/>
        <v>2023</v>
      </c>
      <c r="N169" s="379">
        <f t="shared" si="21"/>
        <v>2024</v>
      </c>
      <c r="O169" s="371"/>
      <c r="P169" s="371"/>
      <c r="Q169" s="371"/>
      <c r="R169" s="371"/>
      <c r="S169" s="371"/>
      <c r="T169" s="371"/>
      <c r="U169" s="371"/>
      <c r="V169" s="371"/>
      <c r="W169" s="371"/>
    </row>
    <row r="170" spans="2:23" ht="4" customHeight="1" x14ac:dyDescent="0.3">
      <c r="B170" s="380"/>
      <c r="C170" s="380"/>
      <c r="D170" s="380"/>
      <c r="E170" s="381"/>
      <c r="F170" s="382"/>
      <c r="G170" s="382"/>
      <c r="H170" s="382"/>
      <c r="I170" s="382"/>
      <c r="J170" s="382"/>
      <c r="K170" s="382"/>
      <c r="L170" s="382"/>
      <c r="M170" s="382"/>
      <c r="N170" s="382"/>
      <c r="O170" s="371"/>
      <c r="P170" s="371"/>
      <c r="Q170" s="371"/>
      <c r="R170" s="371"/>
      <c r="S170" s="371"/>
      <c r="T170" s="371"/>
      <c r="U170" s="371"/>
      <c r="V170" s="371"/>
      <c r="W170" s="371"/>
    </row>
    <row r="171" spans="2:23" ht="15" customHeight="1" x14ac:dyDescent="0.3">
      <c r="B171" s="23" t="s">
        <v>431</v>
      </c>
      <c r="C171" s="449" t="s">
        <v>1067</v>
      </c>
      <c r="D171" s="449"/>
      <c r="E171" s="337"/>
      <c r="F171" s="23"/>
      <c r="G171" s="1096">
        <v>21240</v>
      </c>
      <c r="H171" s="1099">
        <v>22832</v>
      </c>
      <c r="I171" s="1096">
        <v>21708</v>
      </c>
      <c r="J171" s="1096">
        <v>19533</v>
      </c>
      <c r="K171" s="1096">
        <v>21804</v>
      </c>
      <c r="L171" s="1096">
        <v>24875</v>
      </c>
      <c r="M171" s="1096">
        <v>24119</v>
      </c>
      <c r="N171" s="1096">
        <v>24250</v>
      </c>
      <c r="O171" s="371"/>
      <c r="P171" s="371"/>
      <c r="Q171" s="371"/>
      <c r="R171" s="371"/>
      <c r="S171" s="371"/>
      <c r="T171" s="371"/>
      <c r="U171" s="371"/>
      <c r="V171" s="371"/>
      <c r="W171" s="371"/>
    </row>
    <row r="172" spans="2:23" ht="15" customHeight="1" x14ac:dyDescent="0.3">
      <c r="B172" s="23" t="s">
        <v>237</v>
      </c>
      <c r="C172" s="449" t="s">
        <v>1516</v>
      </c>
      <c r="D172" s="449"/>
      <c r="E172" s="337"/>
      <c r="F172" s="23"/>
      <c r="G172" s="1096" t="s">
        <v>1668</v>
      </c>
      <c r="H172" s="1096" t="s">
        <v>1669</v>
      </c>
      <c r="I172" s="1096" t="s">
        <v>1670</v>
      </c>
      <c r="J172" s="1098">
        <v>10314885</v>
      </c>
      <c r="K172" s="1096" t="s">
        <v>1671</v>
      </c>
      <c r="L172" s="1098">
        <v>131525938</v>
      </c>
      <c r="M172" s="1096" t="s">
        <v>1672</v>
      </c>
      <c r="N172" s="1096" t="s">
        <v>1673</v>
      </c>
      <c r="O172" s="371"/>
      <c r="P172" s="371"/>
      <c r="Q172" s="371"/>
      <c r="R172" s="371"/>
      <c r="S172" s="371"/>
      <c r="T172" s="371"/>
      <c r="U172" s="371"/>
      <c r="V172" s="371"/>
      <c r="W172" s="371"/>
    </row>
    <row r="173" spans="2:23" ht="15" customHeight="1" x14ac:dyDescent="0.3">
      <c r="B173" s="23" t="s">
        <v>238</v>
      </c>
      <c r="C173" s="449" t="s">
        <v>1532</v>
      </c>
      <c r="D173" s="449"/>
      <c r="E173" s="337"/>
      <c r="F173" s="23"/>
      <c r="G173" s="1096">
        <v>11408</v>
      </c>
      <c r="H173" s="1096">
        <v>12250</v>
      </c>
      <c r="I173" s="1096">
        <v>11937</v>
      </c>
      <c r="J173" s="1096">
        <v>10583</v>
      </c>
      <c r="K173" s="1096">
        <v>12522</v>
      </c>
      <c r="L173" s="1096">
        <v>14853</v>
      </c>
      <c r="M173" s="1096">
        <v>14657</v>
      </c>
      <c r="N173" s="1096">
        <v>14540</v>
      </c>
      <c r="O173" s="371"/>
      <c r="P173" s="371"/>
      <c r="Q173" s="371"/>
      <c r="R173" s="371"/>
      <c r="S173" s="371"/>
      <c r="T173" s="371"/>
      <c r="U173" s="371"/>
      <c r="V173" s="371"/>
      <c r="W173" s="371"/>
    </row>
    <row r="174" spans="2:23" ht="15" customHeight="1" x14ac:dyDescent="0.3">
      <c r="B174" s="23" t="s">
        <v>239</v>
      </c>
      <c r="C174" s="449" t="s">
        <v>1549</v>
      </c>
      <c r="D174" s="449"/>
      <c r="E174" s="337"/>
      <c r="F174" s="23"/>
      <c r="G174" s="1098">
        <v>5052584</v>
      </c>
      <c r="H174" s="1098">
        <v>5646776</v>
      </c>
      <c r="I174" s="1096" t="s">
        <v>1674</v>
      </c>
      <c r="J174" s="1098">
        <v>5754958</v>
      </c>
      <c r="K174" s="1098">
        <v>6378976</v>
      </c>
      <c r="L174" s="1098">
        <v>101617953</v>
      </c>
      <c r="M174" s="1098">
        <v>9305368</v>
      </c>
      <c r="N174" s="1096" t="s">
        <v>1675</v>
      </c>
      <c r="O174" s="371"/>
      <c r="P174" s="371"/>
      <c r="Q174" s="371"/>
      <c r="R174" s="371"/>
      <c r="S174" s="371"/>
      <c r="T174" s="371"/>
      <c r="U174" s="371"/>
      <c r="V174" s="371"/>
      <c r="W174" s="371"/>
    </row>
    <row r="175" spans="2:23" ht="15" customHeight="1" x14ac:dyDescent="0.3">
      <c r="B175" s="23" t="s">
        <v>240</v>
      </c>
      <c r="C175" s="449" t="s">
        <v>1564</v>
      </c>
      <c r="D175" s="449"/>
      <c r="E175" s="337"/>
      <c r="F175" s="23"/>
      <c r="G175" s="1096">
        <v>10551</v>
      </c>
      <c r="H175" s="1096">
        <v>11458</v>
      </c>
      <c r="I175" s="1096">
        <v>11296</v>
      </c>
      <c r="J175" s="1096">
        <v>9789</v>
      </c>
      <c r="K175" s="1096">
        <v>11142</v>
      </c>
      <c r="L175" s="1096">
        <v>12745</v>
      </c>
      <c r="M175" s="1096">
        <v>12156</v>
      </c>
      <c r="N175" s="1096">
        <v>12123</v>
      </c>
      <c r="O175" s="371"/>
      <c r="P175" s="371"/>
      <c r="Q175" s="371"/>
      <c r="R175" s="371"/>
      <c r="S175" s="371"/>
      <c r="T175" s="371"/>
      <c r="U175" s="371"/>
      <c r="V175" s="371"/>
      <c r="W175" s="371"/>
    </row>
    <row r="176" spans="2:23" ht="15" customHeight="1" x14ac:dyDescent="0.3">
      <c r="B176" s="23" t="s">
        <v>241</v>
      </c>
      <c r="C176" s="449" t="s">
        <v>1581</v>
      </c>
      <c r="D176" s="449"/>
      <c r="E176" s="337"/>
      <c r="F176" s="23"/>
      <c r="G176" s="1096">
        <v>20747</v>
      </c>
      <c r="H176" s="1096">
        <v>22999</v>
      </c>
      <c r="I176" s="1096">
        <v>22745</v>
      </c>
      <c r="J176" s="1098">
        <v>20556521</v>
      </c>
      <c r="K176" s="1096">
        <v>22513</v>
      </c>
      <c r="L176" s="1096">
        <v>25202</v>
      </c>
      <c r="M176" s="1096">
        <v>23473</v>
      </c>
      <c r="N176" s="1096">
        <v>23351</v>
      </c>
      <c r="O176" s="371"/>
      <c r="P176" s="371"/>
      <c r="Q176" s="371"/>
      <c r="R176" s="371"/>
      <c r="S176" s="371"/>
      <c r="T176" s="371"/>
      <c r="U176" s="371"/>
      <c r="V176" s="371"/>
      <c r="W176" s="371"/>
    </row>
  </sheetData>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topLeftCell="A148" zoomScale="90" zoomScaleNormal="90" workbookViewId="0">
      <selection activeCell="E165" sqref="E165"/>
    </sheetView>
  </sheetViews>
  <sheetFormatPr defaultColWidth="9" defaultRowHeight="14" x14ac:dyDescent="0.3"/>
  <cols>
    <col min="1" max="1" width="9" style="4"/>
    <col min="2" max="2" width="10.5" style="4" bestFit="1" customWidth="1"/>
    <col min="3" max="8" width="9" style="4" bestFit="1" customWidth="1"/>
    <col min="9" max="9" width="10.5" style="4" bestFit="1" customWidth="1"/>
    <col min="10" max="15" width="9" style="4" bestFit="1" customWidth="1"/>
    <col min="16" max="16" width="9" style="4"/>
    <col min="17" max="17" width="11.5" style="4" bestFit="1" customWidth="1"/>
    <col min="18" max="23" width="9" style="4" bestFit="1" customWidth="1"/>
    <col min="24" max="24" width="9" style="4"/>
    <col min="25" max="30" width="9" style="4" bestFit="1" customWidth="1"/>
    <col min="31" max="31" width="9" style="4"/>
    <col min="32" max="37" width="9" style="4" bestFit="1" customWidth="1"/>
    <col min="38" max="38" width="9" style="4"/>
    <col min="39" max="39" width="9" style="4" bestFit="1" customWidth="1"/>
    <col min="40" max="40" width="11" style="4" bestFit="1" customWidth="1"/>
    <col min="41" max="41" width="12" style="4" bestFit="1" customWidth="1"/>
    <col min="42" max="42" width="13.33203125" style="4" bestFit="1" customWidth="1"/>
    <col min="43" max="43" width="12.5" style="4" bestFit="1" customWidth="1"/>
    <col min="44" max="44" width="9" style="4" bestFit="1" customWidth="1"/>
    <col min="45" max="16384" width="9" style="4"/>
  </cols>
  <sheetData>
    <row r="3" spans="2:44" x14ac:dyDescent="0.3">
      <c r="B3" s="548"/>
      <c r="C3" s="1246" t="s">
        <v>1063</v>
      </c>
      <c r="D3" s="1246"/>
      <c r="E3" s="1246"/>
      <c r="F3" s="1246"/>
      <c r="G3" s="1246"/>
      <c r="H3" s="1246"/>
      <c r="I3" s="548"/>
      <c r="J3" s="1246" t="s">
        <v>1069</v>
      </c>
      <c r="K3" s="1246"/>
      <c r="L3" s="1246"/>
      <c r="M3" s="1246"/>
      <c r="N3" s="1246"/>
      <c r="O3" s="1246"/>
      <c r="P3" s="548"/>
      <c r="R3" s="1247" t="s">
        <v>1676</v>
      </c>
      <c r="S3" s="1247"/>
      <c r="T3" s="1247"/>
      <c r="U3" s="1247"/>
      <c r="V3" s="1247"/>
      <c r="W3" s="1247"/>
      <c r="Y3" s="1246" t="s">
        <v>1677</v>
      </c>
      <c r="Z3" s="1246"/>
      <c r="AA3" s="1246"/>
      <c r="AB3" s="1246"/>
      <c r="AC3" s="1246"/>
      <c r="AD3" s="1246"/>
      <c r="AF3" s="1246" t="s">
        <v>1678</v>
      </c>
      <c r="AG3" s="1246"/>
      <c r="AH3" s="1246"/>
      <c r="AI3" s="1246"/>
      <c r="AJ3" s="1246"/>
      <c r="AK3" s="1246"/>
      <c r="AN3" s="549" t="s">
        <v>425</v>
      </c>
      <c r="AO3" s="549" t="s">
        <v>1679</v>
      </c>
      <c r="AP3" s="549" t="s">
        <v>1095</v>
      </c>
      <c r="AQ3" s="549" t="s">
        <v>1096</v>
      </c>
      <c r="AR3" s="549" t="s">
        <v>1097</v>
      </c>
    </row>
    <row r="4" spans="2:44" x14ac:dyDescent="0.3">
      <c r="B4" s="548"/>
      <c r="C4" s="4" t="str">
        <f>+Inputs!B62</f>
        <v>UNP US Equity</v>
      </c>
      <c r="D4" s="4" t="str">
        <f>+Inputs!B73</f>
        <v xml:space="preserve">CNR CN </v>
      </c>
      <c r="E4" s="4" t="str">
        <f>+Inputs!B84</f>
        <v xml:space="preserve">CSX CORP </v>
      </c>
      <c r="F4" s="4" t="str">
        <f>+Inputs!B95</f>
        <v xml:space="preserve">CP CN </v>
      </c>
      <c r="G4" s="4" t="str">
        <f>+Inputs!B106</f>
        <v xml:space="preserve">NSC US </v>
      </c>
      <c r="H4" s="4" t="str">
        <f>+Inputs!B117</f>
        <v>BNI1 US Equi</v>
      </c>
      <c r="I4" s="548"/>
      <c r="J4" s="4" t="str">
        <f t="shared" ref="J4:O4" si="0">+C4</f>
        <v>UNP US Equity</v>
      </c>
      <c r="K4" s="4" t="str">
        <f t="shared" si="0"/>
        <v xml:space="preserve">CNR CN </v>
      </c>
      <c r="L4" s="4" t="str">
        <f t="shared" si="0"/>
        <v xml:space="preserve">CSX CORP </v>
      </c>
      <c r="M4" s="4" t="str">
        <f t="shared" si="0"/>
        <v xml:space="preserve">CP CN </v>
      </c>
      <c r="N4" s="4" t="str">
        <f t="shared" si="0"/>
        <v xml:space="preserve">NSC US </v>
      </c>
      <c r="O4" s="4" t="str">
        <f t="shared" si="0"/>
        <v>BNI1 US Equi</v>
      </c>
      <c r="P4" s="548"/>
      <c r="R4" s="4" t="str">
        <f>+J4</f>
        <v>UNP US Equity</v>
      </c>
      <c r="S4" s="4" t="str">
        <f>+Inputs!R13</f>
        <v>spx index</v>
      </c>
      <c r="T4" s="4" t="str">
        <f>+Inputs!R14</f>
        <v>tram index</v>
      </c>
      <c r="U4" s="4" t="str">
        <f>R4</f>
        <v>UNP US Equity</v>
      </c>
      <c r="V4" s="4" t="str">
        <f>+S4</f>
        <v>spx index</v>
      </c>
      <c r="W4" s="4" t="str">
        <f>+T4</f>
        <v>tram index</v>
      </c>
      <c r="Y4" s="4" t="str">
        <f t="shared" ref="Y4:AD4" si="1">+J4</f>
        <v>UNP US Equity</v>
      </c>
      <c r="Z4" s="4" t="str">
        <f t="shared" si="1"/>
        <v xml:space="preserve">CNR CN </v>
      </c>
      <c r="AA4" s="4" t="str">
        <f t="shared" si="1"/>
        <v xml:space="preserve">CSX CORP </v>
      </c>
      <c r="AB4" s="4" t="str">
        <f t="shared" si="1"/>
        <v xml:space="preserve">CP CN </v>
      </c>
      <c r="AC4" s="4" t="str">
        <f t="shared" si="1"/>
        <v xml:space="preserve">NSC US </v>
      </c>
      <c r="AD4" s="4" t="str">
        <f t="shared" si="1"/>
        <v>BNI1 US Equi</v>
      </c>
      <c r="AF4" s="4" t="str">
        <f t="shared" ref="AF4:AK4" si="2">+Y4</f>
        <v>UNP US Equity</v>
      </c>
      <c r="AG4" s="4" t="str">
        <f t="shared" si="2"/>
        <v xml:space="preserve">CNR CN </v>
      </c>
      <c r="AH4" s="4" t="str">
        <f t="shared" si="2"/>
        <v xml:space="preserve">CSX CORP </v>
      </c>
      <c r="AI4" s="4" t="str">
        <f t="shared" si="2"/>
        <v xml:space="preserve">CP CN </v>
      </c>
      <c r="AJ4" s="4" t="str">
        <f t="shared" si="2"/>
        <v xml:space="preserve">NSC US </v>
      </c>
      <c r="AK4" s="4" t="str">
        <f t="shared" si="2"/>
        <v>BNI1 US Equi</v>
      </c>
      <c r="AM4" s="550">
        <f ca="1">TODAY()</f>
        <v>45951</v>
      </c>
      <c r="AN4" s="551">
        <v>216.04</v>
      </c>
      <c r="AO4" s="551">
        <v>702</v>
      </c>
      <c r="AP4" s="551">
        <v>593.04367000000002</v>
      </c>
      <c r="AQ4" s="551">
        <v>128121.1544668</v>
      </c>
      <c r="AR4" s="551">
        <v>5.3288000000000002</v>
      </c>
    </row>
    <row r="5" spans="2:44" x14ac:dyDescent="0.3">
      <c r="B5" s="552">
        <f ca="1">+TODAY()</f>
        <v>45951</v>
      </c>
      <c r="C5" s="548">
        <f ca="1">(IFERROR(IFERROR(VALUE(_xll.BDH(C$4,"CURRENT_EV_TO_T12M_EBITDA",$B5,$B5)),VALUE(_xll.BDH(C$4,"CURRENT_EV_TO_T12M_EBITDA",$B5+1,$B5+1))),C6))</f>
        <v>0</v>
      </c>
      <c r="D5" s="548">
        <f ca="1">(IFERROR(IFERROR(VALUE(_xll.BDH(D$4,"CURRENT_EV_TO_T12M_EBITDA",$B5,$B5)),VALUE(_xll.BDH(D$4,"CURRENT_EV_TO_T12M_EBITDA",$B5+1,$B5+1))),D6))</f>
        <v>0</v>
      </c>
      <c r="E5" s="548">
        <f ca="1">(IFERROR(IFERROR(VALUE(_xll.BDH(E$4,"CURRENT_EV_TO_T12M_EBITDA",$B5,$B5)),VALUE(_xll.BDH(E$4,"CURRENT_EV_TO_T12M_EBITDA",$B5+1,$B5+1))),E6))</f>
        <v>0</v>
      </c>
      <c r="F5" s="548">
        <f ca="1">(IFERROR(IFERROR(VALUE(_xll.BDH(F$4,"CURRENT_EV_TO_T12M_EBITDA",$B5,$B5)),VALUE(_xll.BDH(F$4,"CURRENT_EV_TO_T12M_EBITDA",$B5+1,$B5+1))),F6))</f>
        <v>0</v>
      </c>
      <c r="G5" s="548">
        <f ca="1">(IFERROR(IFERROR(VALUE(_xll.BDH(G$4,"CURRENT_EV_TO_T12M_EBITDA",$B5,$B5)),VALUE(_xll.BDH(G$4,"CURRENT_EV_TO_T12M_EBITDA",$B5+1,$B5+1))),G6))</f>
        <v>0</v>
      </c>
      <c r="H5" s="548">
        <f ca="1">(IFERROR(IFERROR(VALUE(_xll.BDH(H$4,"CURRENT_EV_TO_T12M_EBITDA",$B5,$B5)),VALUE(_xll.BDH(H$4,"CURRENT_EV_TO_T12M_EBITDA",$B5+1,$B5+1))),H6))</f>
        <v>0</v>
      </c>
      <c r="I5" s="552">
        <f t="shared" ref="I5:I36" ca="1" si="3">+B5</f>
        <v>45951</v>
      </c>
      <c r="J5" s="548">
        <f ca="1">(IFERROR(IFERROR(VALUE(_xll.BDH(J$4,"PE_RATIO",$B5,$B5)),VALUE(_xll.BDH(J$4,"PE_RATIO",$B5+1,$B5+1))),J6))</f>
        <v>0</v>
      </c>
      <c r="K5" s="548">
        <f ca="1">(IFERROR(IFERROR(VALUE(_xll.BDH(K$4,"PE_RATIO",$B5,$B5)),VALUE(_xll.BDH(K$4,"PE_RATIO",$B5+1,$B5+1))),K6))</f>
        <v>0</v>
      </c>
      <c r="L5" s="548">
        <f ca="1">(IFERROR(IFERROR(VALUE(_xll.BDH(L$4,"PE_RATIO",$B5,$B5)),VALUE(_xll.BDH(L$4,"PE_RATIO",$B5+1,$B5+1))),L6))</f>
        <v>0</v>
      </c>
      <c r="M5" s="548">
        <f ca="1">(IFERROR(IFERROR(VALUE(_xll.BDH(M$4,"PE_RATIO",$B5,$B5)),VALUE(_xll.BDH(M$4,"PE_RATIO",$B5+1,$B5+1))),M6))</f>
        <v>0</v>
      </c>
      <c r="N5" s="548">
        <f ca="1">(IFERROR(IFERROR(VALUE(_xll.BDH(N$4,"PE_RATIO",$B5,$B5)),VALUE(_xll.BDH(N$4,"PE_RATIO",$B5+1,$B5+1))),N6))</f>
        <v>0</v>
      </c>
      <c r="O5" s="548">
        <f ca="1">(IFERROR(IFERROR(VALUE(_xll.BDH(O$4,"PE_RATIO",$B5,$B5)),VALUE(_xll.BDH(O$4,"PE_RATIO",$B5+1,$B5+1))),O6))</f>
        <v>0</v>
      </c>
      <c r="P5" s="548"/>
      <c r="Q5" s="552">
        <f t="shared" ref="Q5:Q36" ca="1" si="4">+I5</f>
        <v>45951</v>
      </c>
      <c r="R5" s="4">
        <v>220.31</v>
      </c>
      <c r="S5" s="4">
        <v>6481.5</v>
      </c>
      <c r="T5" s="4">
        <v>0</v>
      </c>
      <c r="U5" s="4">
        <v>1.1308387229237244</v>
      </c>
      <c r="V5" s="4">
        <v>1.8076371729296468</v>
      </c>
      <c r="W5" s="4" t="e">
        <v>#DIV/0!</v>
      </c>
      <c r="Y5" s="548">
        <f t="shared" ref="Y5:Y36" si="5">+R5</f>
        <v>220.31</v>
      </c>
      <c r="Z5" s="4">
        <f ca="1">IFERROR(VALUE(_xll.BDH(Z$4,"PX_LAST",$Q5,$Q5)),Z6)</f>
        <v>0</v>
      </c>
      <c r="AA5" s="4">
        <f ca="1">IFERROR(VALUE(_xll.BDH(AA$4,"PX_LAST",$Q5,$Q5)),AA6)</f>
        <v>0</v>
      </c>
      <c r="AB5" s="4">
        <f ca="1">IFERROR(VALUE(_xll.BDH(AB$4,"PX_LAST",$Q5,$Q5)),AB6)</f>
        <v>0</v>
      </c>
      <c r="AC5" s="4">
        <f ca="1">IFERROR(VALUE(_xll.BDH(AC$4,"PX_LAST",$Q5,$Q5)),AC6)</f>
        <v>0</v>
      </c>
      <c r="AD5" s="4">
        <f ca="1">IFERROR(VALUE(_xll.BDH(AD$4,"PX_LAST",$Q5,$Q5)),AD6)</f>
        <v>0</v>
      </c>
      <c r="AF5" s="4">
        <f t="shared" ref="AF5:AF36" si="6">+Y5/Y$159</f>
        <v>1.1308387229237244</v>
      </c>
      <c r="AG5" s="4" t="e">
        <f t="shared" ref="AG5:AG36" ca="1" si="7">+Z5/Z$159</f>
        <v>#DIV/0!</v>
      </c>
      <c r="AH5" s="4" t="e">
        <f t="shared" ref="AH5:AH36" ca="1" si="8">+AA5/AA$159</f>
        <v>#DIV/0!</v>
      </c>
      <c r="AI5" s="4" t="e">
        <f t="shared" ref="AI5:AI36" ca="1" si="9">+AB5/AB$159</f>
        <v>#DIV/0!</v>
      </c>
      <c r="AJ5" s="4" t="e">
        <f t="shared" ref="AJ5:AJ36" ca="1" si="10">+AC5/AC$159</f>
        <v>#DIV/0!</v>
      </c>
      <c r="AK5" s="4" t="e">
        <f t="shared" ref="AK5:AK36" ca="1" si="11">+AD5/AD$159</f>
        <v>#DIV/0!</v>
      </c>
      <c r="AM5" s="550">
        <f t="shared" ref="AM5:AM68" ca="1" si="12">AM4-1</f>
        <v>45950</v>
      </c>
      <c r="AN5" s="551">
        <v>216.04</v>
      </c>
      <c r="AO5" s="551">
        <v>4126743</v>
      </c>
      <c r="AP5" s="551">
        <v>593.04367000000002</v>
      </c>
      <c r="AQ5" s="551">
        <v>128121.1544668</v>
      </c>
      <c r="AR5" s="551">
        <v>5.3288000000000002</v>
      </c>
    </row>
    <row r="6" spans="2:44" x14ac:dyDescent="0.3">
      <c r="B6" s="552">
        <f t="shared" ref="B6:B37" ca="1" si="13">+B5-7</f>
        <v>45944</v>
      </c>
      <c r="C6" s="548">
        <f ca="1">(IFERROR(IFERROR(VALUE(_xll.BDH(C$4,"CURRENT_EV_TO_T12M_EBITDA",$B6,$B6)),VALUE(_xll.BDH(C$4,"CURRENT_EV_TO_T12M_EBITDA",$B6+1,$B6+1))),C7))</f>
        <v>0</v>
      </c>
      <c r="D6" s="548">
        <f ca="1">(IFERROR(IFERROR(VALUE(_xll.BDH(D$4,"CURRENT_EV_TO_T12M_EBITDA",$B6,$B6)),VALUE(_xll.BDH(D$4,"CURRENT_EV_TO_T12M_EBITDA",$B6+1,$B6+1))),D7))</f>
        <v>0</v>
      </c>
      <c r="E6" s="548">
        <f ca="1">(IFERROR(IFERROR(VALUE(_xll.BDH(E$4,"CURRENT_EV_TO_T12M_EBITDA",$B6,$B6)),VALUE(_xll.BDH(E$4,"CURRENT_EV_TO_T12M_EBITDA",$B6+1,$B6+1))),E7))</f>
        <v>0</v>
      </c>
      <c r="F6" s="548">
        <f ca="1">(IFERROR(IFERROR(VALUE(_xll.BDH(F$4,"CURRENT_EV_TO_T12M_EBITDA",$B6,$B6)),VALUE(_xll.BDH(F$4,"CURRENT_EV_TO_T12M_EBITDA",$B6+1,$B6+1))),F7))</f>
        <v>0</v>
      </c>
      <c r="G6" s="548">
        <f ca="1">(IFERROR(IFERROR(VALUE(_xll.BDH(G$4,"CURRENT_EV_TO_T12M_EBITDA",$B6,$B6)),VALUE(_xll.BDH(G$4,"CURRENT_EV_TO_T12M_EBITDA",$B6+1,$B6+1))),G7))</f>
        <v>0</v>
      </c>
      <c r="H6" s="548">
        <f ca="1">(IFERROR(IFERROR(VALUE(_xll.BDH(H$4,"CURRENT_EV_TO_T12M_EBITDA",$B6,$B6)),VALUE(_xll.BDH(H$4,"CURRENT_EV_TO_T12M_EBITDA",$B6+1,$B6+1))),H7))</f>
        <v>0</v>
      </c>
      <c r="I6" s="552">
        <f t="shared" ca="1" si="3"/>
        <v>45944</v>
      </c>
      <c r="J6" s="548">
        <f ca="1">(IFERROR(IFERROR(VALUE(_xll.BDH(J$4,"PE_RATIO",$B6,$B6)),VALUE(_xll.BDH(J$4,"PE_RATIO",$B6+1,$B6+1))),J7))</f>
        <v>0</v>
      </c>
      <c r="K6" s="548">
        <f ca="1">(IFERROR(IFERROR(VALUE(_xll.BDH(K$4,"PE_RATIO",$B6,$B6)),VALUE(_xll.BDH(K$4,"PE_RATIO",$B6+1,$B6+1))),K7))</f>
        <v>0</v>
      </c>
      <c r="L6" s="548">
        <f ca="1">(IFERROR(IFERROR(VALUE(_xll.BDH(L$4,"PE_RATIO",$B6,$B6)),VALUE(_xll.BDH(L$4,"PE_RATIO",$B6+1,$B6+1))),L7))</f>
        <v>0</v>
      </c>
      <c r="M6" s="548">
        <f ca="1">(IFERROR(IFERROR(VALUE(_xll.BDH(M$4,"PE_RATIO",$B6,$B6)),VALUE(_xll.BDH(M$4,"PE_RATIO",$B6+1,$B6+1))),M7))</f>
        <v>0</v>
      </c>
      <c r="N6" s="548">
        <f ca="1">(IFERROR(IFERROR(VALUE(_xll.BDH(N$4,"PE_RATIO",$B6,$B6)),VALUE(_xll.BDH(N$4,"PE_RATIO",$B6+1,$B6+1))),N7))</f>
        <v>0</v>
      </c>
      <c r="O6" s="548">
        <f ca="1">(IFERROR(IFERROR(VALUE(_xll.BDH(O$4,"PE_RATIO",$B6,$B6)),VALUE(_xll.BDH(O$4,"PE_RATIO",$B6+1,$B6+1))),O7))</f>
        <v>0</v>
      </c>
      <c r="P6" s="548"/>
      <c r="Q6" s="552">
        <f t="shared" ca="1" si="4"/>
        <v>45944</v>
      </c>
      <c r="R6" s="4">
        <v>220.31</v>
      </c>
      <c r="S6" s="4">
        <v>6481.5</v>
      </c>
      <c r="T6" s="4">
        <v>0</v>
      </c>
      <c r="U6" s="4">
        <v>1.1308387229237244</v>
      </c>
      <c r="V6" s="4">
        <v>1.8076371729296468</v>
      </c>
      <c r="W6" s="4" t="e">
        <v>#DIV/0!</v>
      </c>
      <c r="Y6" s="548">
        <f t="shared" si="5"/>
        <v>220.31</v>
      </c>
      <c r="Z6" s="4">
        <f ca="1">IFERROR(VALUE(_xll.BDH(Z$4,"PX_LAST",$Q6,$Q6)),Z7)</f>
        <v>0</v>
      </c>
      <c r="AA6" s="4">
        <f ca="1">IFERROR(VALUE(_xll.BDH(AA$4,"PX_LAST",$Q6,$Q6)),AA7)</f>
        <v>0</v>
      </c>
      <c r="AB6" s="4">
        <f ca="1">IFERROR(VALUE(_xll.BDH(AB$4,"PX_LAST",$Q6,$Q6)),AB7)</f>
        <v>0</v>
      </c>
      <c r="AC6" s="4">
        <f ca="1">IFERROR(VALUE(_xll.BDH(AC$4,"PX_LAST",$Q6,$Q6)),AC7)</f>
        <v>0</v>
      </c>
      <c r="AD6" s="4">
        <f ca="1">IFERROR(VALUE(_xll.BDH(AD$4,"PX_LAST",$Q6,$Q6)),AD7)</f>
        <v>0</v>
      </c>
      <c r="AF6" s="4">
        <f t="shared" si="6"/>
        <v>1.1308387229237244</v>
      </c>
      <c r="AG6" s="4" t="e">
        <f t="shared" ca="1" si="7"/>
        <v>#DIV/0!</v>
      </c>
      <c r="AH6" s="4" t="e">
        <f t="shared" ca="1" si="8"/>
        <v>#DIV/0!</v>
      </c>
      <c r="AI6" s="4" t="e">
        <f t="shared" ca="1" si="9"/>
        <v>#DIV/0!</v>
      </c>
      <c r="AJ6" s="4" t="e">
        <f t="shared" ca="1" si="10"/>
        <v>#DIV/0!</v>
      </c>
      <c r="AK6" s="4" t="e">
        <f t="shared" ca="1" si="11"/>
        <v>#DIV/0!</v>
      </c>
      <c r="AM6" s="550">
        <f t="shared" ca="1" si="12"/>
        <v>45949</v>
      </c>
      <c r="AN6" s="551">
        <v>215.19</v>
      </c>
      <c r="AO6" s="551">
        <v>5004830</v>
      </c>
      <c r="AP6" s="551">
        <v>593.04367000000002</v>
      </c>
      <c r="AQ6" s="551">
        <v>127617.06734730001</v>
      </c>
      <c r="AR6" s="551">
        <v>5.3078000000000003</v>
      </c>
    </row>
    <row r="7" spans="2:44" x14ac:dyDescent="0.3">
      <c r="B7" s="552">
        <f t="shared" ca="1" si="13"/>
        <v>45937</v>
      </c>
      <c r="C7" s="548">
        <f ca="1">(IFERROR(IFERROR(VALUE(_xll.BDH(C$4,"CURRENT_EV_TO_T12M_EBITDA",$B7,$B7)),VALUE(_xll.BDH(C$4,"CURRENT_EV_TO_T12M_EBITDA",$B7+1,$B7+1))),C8))</f>
        <v>0</v>
      </c>
      <c r="D7" s="548">
        <f ca="1">(IFERROR(IFERROR(VALUE(_xll.BDH(D$4,"CURRENT_EV_TO_T12M_EBITDA",$B7,$B7)),VALUE(_xll.BDH(D$4,"CURRENT_EV_TO_T12M_EBITDA",$B7+1,$B7+1))),D8))</f>
        <v>0</v>
      </c>
      <c r="E7" s="548">
        <f ca="1">(IFERROR(IFERROR(VALUE(_xll.BDH(E$4,"CURRENT_EV_TO_T12M_EBITDA",$B7,$B7)),VALUE(_xll.BDH(E$4,"CURRENT_EV_TO_T12M_EBITDA",$B7+1,$B7+1))),E8))</f>
        <v>0</v>
      </c>
      <c r="F7" s="548">
        <f ca="1">(IFERROR(IFERROR(VALUE(_xll.BDH(F$4,"CURRENT_EV_TO_T12M_EBITDA",$B7,$B7)),VALUE(_xll.BDH(F$4,"CURRENT_EV_TO_T12M_EBITDA",$B7+1,$B7+1))),F8))</f>
        <v>0</v>
      </c>
      <c r="G7" s="548">
        <f ca="1">(IFERROR(IFERROR(VALUE(_xll.BDH(G$4,"CURRENT_EV_TO_T12M_EBITDA",$B7,$B7)),VALUE(_xll.BDH(G$4,"CURRENT_EV_TO_T12M_EBITDA",$B7+1,$B7+1))),G8))</f>
        <v>0</v>
      </c>
      <c r="H7" s="548">
        <f ca="1">(IFERROR(IFERROR(VALUE(_xll.BDH(H$4,"CURRENT_EV_TO_T12M_EBITDA",$B7,$B7)),VALUE(_xll.BDH(H$4,"CURRENT_EV_TO_T12M_EBITDA",$B7+1,$B7+1))),H8))</f>
        <v>0</v>
      </c>
      <c r="I7" s="552">
        <f t="shared" ca="1" si="3"/>
        <v>45937</v>
      </c>
      <c r="J7" s="548">
        <f ca="1">(IFERROR(IFERROR(VALUE(_xll.BDH(J$4,"PE_RATIO",$B7,$B7)),VALUE(_xll.BDH(J$4,"PE_RATIO",$B7+1,$B7+1))),J8))</f>
        <v>0</v>
      </c>
      <c r="K7" s="548">
        <f ca="1">(IFERROR(IFERROR(VALUE(_xll.BDH(K$4,"PE_RATIO",$B7,$B7)),VALUE(_xll.BDH(K$4,"PE_RATIO",$B7+1,$B7+1))),K8))</f>
        <v>0</v>
      </c>
      <c r="L7" s="548">
        <f ca="1">(IFERROR(IFERROR(VALUE(_xll.BDH(L$4,"PE_RATIO",$B7,$B7)),VALUE(_xll.BDH(L$4,"PE_RATIO",$B7+1,$B7+1))),L8))</f>
        <v>0</v>
      </c>
      <c r="M7" s="548">
        <f ca="1">(IFERROR(IFERROR(VALUE(_xll.BDH(M$4,"PE_RATIO",$B7,$B7)),VALUE(_xll.BDH(M$4,"PE_RATIO",$B7+1,$B7+1))),M8))</f>
        <v>0</v>
      </c>
      <c r="N7" s="548">
        <f ca="1">(IFERROR(IFERROR(VALUE(_xll.BDH(N$4,"PE_RATIO",$B7,$B7)),VALUE(_xll.BDH(N$4,"PE_RATIO",$B7+1,$B7+1))),N8))</f>
        <v>0</v>
      </c>
      <c r="O7" s="548">
        <f ca="1">(IFERROR(IFERROR(VALUE(_xll.BDH(O$4,"PE_RATIO",$B7,$B7)),VALUE(_xll.BDH(O$4,"PE_RATIO",$B7+1,$B7+1))),O8))</f>
        <v>0</v>
      </c>
      <c r="P7" s="548"/>
      <c r="Q7" s="552">
        <f t="shared" ca="1" si="4"/>
        <v>45937</v>
      </c>
      <c r="R7" s="4">
        <v>223.57</v>
      </c>
      <c r="S7" s="4">
        <v>6460.26</v>
      </c>
      <c r="T7" s="4">
        <v>0</v>
      </c>
      <c r="U7" s="4">
        <v>1.1475721178523766</v>
      </c>
      <c r="V7" s="4">
        <v>1.8017135111919278</v>
      </c>
      <c r="W7" s="4" t="e">
        <v>#DIV/0!</v>
      </c>
      <c r="Y7" s="548">
        <f t="shared" si="5"/>
        <v>223.57</v>
      </c>
      <c r="Z7" s="4">
        <f ca="1">IFERROR(VALUE(_xll.BDH(Z$4,"PX_LAST",$Q7,$Q7)),Z8)</f>
        <v>0</v>
      </c>
      <c r="AA7" s="4">
        <f ca="1">IFERROR(VALUE(_xll.BDH(AA$4,"PX_LAST",$Q7,$Q7)),AA8)</f>
        <v>0</v>
      </c>
      <c r="AB7" s="4">
        <f ca="1">IFERROR(VALUE(_xll.BDH(AB$4,"PX_LAST",$Q7,$Q7)),AB8)</f>
        <v>0</v>
      </c>
      <c r="AC7" s="4">
        <f ca="1">IFERROR(VALUE(_xll.BDH(AC$4,"PX_LAST",$Q7,$Q7)),AC8)</f>
        <v>0</v>
      </c>
      <c r="AD7" s="4">
        <f ca="1">IFERROR(VALUE(_xll.BDH(AD$4,"PX_LAST",$Q7,$Q7)),AD8)</f>
        <v>0</v>
      </c>
      <c r="AF7" s="4">
        <f t="shared" si="6"/>
        <v>1.1475721178523766</v>
      </c>
      <c r="AG7" s="4" t="e">
        <f t="shared" ca="1" si="7"/>
        <v>#DIV/0!</v>
      </c>
      <c r="AH7" s="4" t="e">
        <f t="shared" ca="1" si="8"/>
        <v>#DIV/0!</v>
      </c>
      <c r="AI7" s="4" t="e">
        <f t="shared" ca="1" si="9"/>
        <v>#DIV/0!</v>
      </c>
      <c r="AJ7" s="4" t="e">
        <f t="shared" ca="1" si="10"/>
        <v>#DIV/0!</v>
      </c>
      <c r="AK7" s="4" t="e">
        <f t="shared" ca="1" si="11"/>
        <v>#DIV/0!</v>
      </c>
      <c r="AM7" s="550">
        <f t="shared" ca="1" si="12"/>
        <v>45948</v>
      </c>
      <c r="AN7" s="551">
        <v>216.05</v>
      </c>
      <c r="AO7" s="551">
        <v>3111549</v>
      </c>
      <c r="AP7" s="551">
        <v>593.04367000000002</v>
      </c>
      <c r="AQ7" s="551">
        <v>128127.08490350001</v>
      </c>
      <c r="AR7" s="551">
        <v>5.3289999999999997</v>
      </c>
    </row>
    <row r="8" spans="2:44" x14ac:dyDescent="0.3">
      <c r="B8" s="552">
        <f t="shared" ca="1" si="13"/>
        <v>45930</v>
      </c>
      <c r="C8" s="548">
        <f ca="1">(IFERROR(IFERROR(VALUE(_xll.BDH(C$4,"CURRENT_EV_TO_T12M_EBITDA",$B8,$B8)),VALUE(_xll.BDH(C$4,"CURRENT_EV_TO_T12M_EBITDA",$B8+1,$B8+1))),C9))</f>
        <v>0</v>
      </c>
      <c r="D8" s="548">
        <f ca="1">(IFERROR(IFERROR(VALUE(_xll.BDH(D$4,"CURRENT_EV_TO_T12M_EBITDA",$B8,$B8)),VALUE(_xll.BDH(D$4,"CURRENT_EV_TO_T12M_EBITDA",$B8+1,$B8+1))),D9))</f>
        <v>0</v>
      </c>
      <c r="E8" s="548">
        <f ca="1">(IFERROR(IFERROR(VALUE(_xll.BDH(E$4,"CURRENT_EV_TO_T12M_EBITDA",$B8,$B8)),VALUE(_xll.BDH(E$4,"CURRENT_EV_TO_T12M_EBITDA",$B8+1,$B8+1))),E9))</f>
        <v>0</v>
      </c>
      <c r="F8" s="548">
        <f ca="1">(IFERROR(IFERROR(VALUE(_xll.BDH(F$4,"CURRENT_EV_TO_T12M_EBITDA",$B8,$B8)),VALUE(_xll.BDH(F$4,"CURRENT_EV_TO_T12M_EBITDA",$B8+1,$B8+1))),F9))</f>
        <v>0</v>
      </c>
      <c r="G8" s="548">
        <f ca="1">(IFERROR(IFERROR(VALUE(_xll.BDH(G$4,"CURRENT_EV_TO_T12M_EBITDA",$B8,$B8)),VALUE(_xll.BDH(G$4,"CURRENT_EV_TO_T12M_EBITDA",$B8+1,$B8+1))),G9))</f>
        <v>0</v>
      </c>
      <c r="H8" s="548">
        <f ca="1">(IFERROR(IFERROR(VALUE(_xll.BDH(H$4,"CURRENT_EV_TO_T12M_EBITDA",$B8,$B8)),VALUE(_xll.BDH(H$4,"CURRENT_EV_TO_T12M_EBITDA",$B8+1,$B8+1))),H9))</f>
        <v>0</v>
      </c>
      <c r="I8" s="552">
        <f t="shared" ca="1" si="3"/>
        <v>45930</v>
      </c>
      <c r="J8" s="548">
        <f ca="1">(IFERROR(IFERROR(VALUE(_xll.BDH(J$4,"PE_RATIO",$B8,$B8)),VALUE(_xll.BDH(J$4,"PE_RATIO",$B8+1,$B8+1))),J9))</f>
        <v>0</v>
      </c>
      <c r="K8" s="548">
        <f ca="1">(IFERROR(IFERROR(VALUE(_xll.BDH(K$4,"PE_RATIO",$B8,$B8)),VALUE(_xll.BDH(K$4,"PE_RATIO",$B8+1,$B8+1))),K9))</f>
        <v>0</v>
      </c>
      <c r="L8" s="548">
        <f ca="1">(IFERROR(IFERROR(VALUE(_xll.BDH(L$4,"PE_RATIO",$B8,$B8)),VALUE(_xll.BDH(L$4,"PE_RATIO",$B8+1,$B8+1))),L9))</f>
        <v>0</v>
      </c>
      <c r="M8" s="548">
        <f ca="1">(IFERROR(IFERROR(VALUE(_xll.BDH(M$4,"PE_RATIO",$B8,$B8)),VALUE(_xll.BDH(M$4,"PE_RATIO",$B8+1,$B8+1))),M9))</f>
        <v>0</v>
      </c>
      <c r="N8" s="548">
        <f ca="1">(IFERROR(IFERROR(VALUE(_xll.BDH(N$4,"PE_RATIO",$B8,$B8)),VALUE(_xll.BDH(N$4,"PE_RATIO",$B8+1,$B8+1))),N9))</f>
        <v>0</v>
      </c>
      <c r="O8" s="548">
        <f ca="1">(IFERROR(IFERROR(VALUE(_xll.BDH(O$4,"PE_RATIO",$B8,$B8)),VALUE(_xll.BDH(O$4,"PE_RATIO",$B8+1,$B8+1))),O9))</f>
        <v>0</v>
      </c>
      <c r="P8" s="548"/>
      <c r="Q8" s="552">
        <f t="shared" ca="1" si="4"/>
        <v>45930</v>
      </c>
      <c r="R8" s="4">
        <v>227.85</v>
      </c>
      <c r="S8" s="4">
        <v>6466.91</v>
      </c>
      <c r="T8" s="4">
        <v>0</v>
      </c>
      <c r="U8" s="4">
        <v>1.1695411148752695</v>
      </c>
      <c r="V8" s="4">
        <v>1.8035681416324094</v>
      </c>
      <c r="W8" s="4" t="e">
        <v>#DIV/0!</v>
      </c>
      <c r="Y8" s="548">
        <f t="shared" si="5"/>
        <v>227.85</v>
      </c>
      <c r="Z8" s="4">
        <f ca="1">IFERROR(VALUE(_xll.BDH(Z$4,"PX_LAST",$Q8,$Q8)),Z9)</f>
        <v>0</v>
      </c>
      <c r="AA8" s="4">
        <f ca="1">IFERROR(VALUE(_xll.BDH(AA$4,"PX_LAST",$Q8,$Q8)),AA9)</f>
        <v>0</v>
      </c>
      <c r="AB8" s="4">
        <f ca="1">IFERROR(VALUE(_xll.BDH(AB$4,"PX_LAST",$Q8,$Q8)),AB9)</f>
        <v>0</v>
      </c>
      <c r="AC8" s="4">
        <f ca="1">IFERROR(VALUE(_xll.BDH(AC$4,"PX_LAST",$Q8,$Q8)),AC9)</f>
        <v>0</v>
      </c>
      <c r="AD8" s="4">
        <f ca="1">IFERROR(VALUE(_xll.BDH(AD$4,"PX_LAST",$Q8,$Q8)),AD9)</f>
        <v>0</v>
      </c>
      <c r="AF8" s="4">
        <f t="shared" si="6"/>
        <v>1.1695411148752695</v>
      </c>
      <c r="AG8" s="4" t="e">
        <f t="shared" ca="1" si="7"/>
        <v>#DIV/0!</v>
      </c>
      <c r="AH8" s="4" t="e">
        <f t="shared" ca="1" si="8"/>
        <v>#DIV/0!</v>
      </c>
      <c r="AI8" s="4" t="e">
        <f t="shared" ca="1" si="9"/>
        <v>#DIV/0!</v>
      </c>
      <c r="AJ8" s="4" t="e">
        <f t="shared" ca="1" si="10"/>
        <v>#DIV/0!</v>
      </c>
      <c r="AK8" s="4" t="e">
        <f t="shared" ca="1" si="11"/>
        <v>#DIV/0!</v>
      </c>
      <c r="AM8" s="550">
        <f t="shared" ca="1" si="12"/>
        <v>45947</v>
      </c>
      <c r="AN8" s="551">
        <v>217.26</v>
      </c>
      <c r="AO8" s="551">
        <v>4131286</v>
      </c>
      <c r="AP8" s="551">
        <v>593.04367000000002</v>
      </c>
      <c r="AQ8" s="551">
        <v>128844.66774419999</v>
      </c>
      <c r="AR8" s="551">
        <v>5.3589000000000002</v>
      </c>
    </row>
    <row r="9" spans="2:44" x14ac:dyDescent="0.3">
      <c r="B9" s="552">
        <f t="shared" ca="1" si="13"/>
        <v>45923</v>
      </c>
      <c r="C9" s="548">
        <f ca="1">(IFERROR(IFERROR(VALUE(_xll.BDH(C$4,"CURRENT_EV_TO_T12M_EBITDA",$B9,$B9)),VALUE(_xll.BDH(C$4,"CURRENT_EV_TO_T12M_EBITDA",$B9+1,$B9+1))),C10))</f>
        <v>0</v>
      </c>
      <c r="D9" s="548">
        <f ca="1">(IFERROR(IFERROR(VALUE(_xll.BDH(D$4,"CURRENT_EV_TO_T12M_EBITDA",$B9,$B9)),VALUE(_xll.BDH(D$4,"CURRENT_EV_TO_T12M_EBITDA",$B9+1,$B9+1))),D10))</f>
        <v>0</v>
      </c>
      <c r="E9" s="548">
        <f ca="1">(IFERROR(IFERROR(VALUE(_xll.BDH(E$4,"CURRENT_EV_TO_T12M_EBITDA",$B9,$B9)),VALUE(_xll.BDH(E$4,"CURRENT_EV_TO_T12M_EBITDA",$B9+1,$B9+1))),E10))</f>
        <v>0</v>
      </c>
      <c r="F9" s="548">
        <f ca="1">(IFERROR(IFERROR(VALUE(_xll.BDH(F$4,"CURRENT_EV_TO_T12M_EBITDA",$B9,$B9)),VALUE(_xll.BDH(F$4,"CURRENT_EV_TO_T12M_EBITDA",$B9+1,$B9+1))),F10))</f>
        <v>0</v>
      </c>
      <c r="G9" s="548">
        <f ca="1">(IFERROR(IFERROR(VALUE(_xll.BDH(G$4,"CURRENT_EV_TO_T12M_EBITDA",$B9,$B9)),VALUE(_xll.BDH(G$4,"CURRENT_EV_TO_T12M_EBITDA",$B9+1,$B9+1))),G10))</f>
        <v>0</v>
      </c>
      <c r="H9" s="548">
        <f ca="1">(IFERROR(IFERROR(VALUE(_xll.BDH(H$4,"CURRENT_EV_TO_T12M_EBITDA",$B9,$B9)),VALUE(_xll.BDH(H$4,"CURRENT_EV_TO_T12M_EBITDA",$B9+1,$B9+1))),H10))</f>
        <v>0</v>
      </c>
      <c r="I9" s="552">
        <f t="shared" ca="1" si="3"/>
        <v>45923</v>
      </c>
      <c r="J9" s="548">
        <f ca="1">(IFERROR(IFERROR(VALUE(_xll.BDH(J$4,"PE_RATIO",$B9,$B9)),VALUE(_xll.BDH(J$4,"PE_RATIO",$B9+1,$B9+1))),J10))</f>
        <v>0</v>
      </c>
      <c r="K9" s="548">
        <f ca="1">(IFERROR(IFERROR(VALUE(_xll.BDH(K$4,"PE_RATIO",$B9,$B9)),VALUE(_xll.BDH(K$4,"PE_RATIO",$B9+1,$B9+1))),K10))</f>
        <v>0</v>
      </c>
      <c r="L9" s="548">
        <f ca="1">(IFERROR(IFERROR(VALUE(_xll.BDH(L$4,"PE_RATIO",$B9,$B9)),VALUE(_xll.BDH(L$4,"PE_RATIO",$B9+1,$B9+1))),L10))</f>
        <v>0</v>
      </c>
      <c r="M9" s="548">
        <f ca="1">(IFERROR(IFERROR(VALUE(_xll.BDH(M$4,"PE_RATIO",$B9,$B9)),VALUE(_xll.BDH(M$4,"PE_RATIO",$B9+1,$B9+1))),M10))</f>
        <v>0</v>
      </c>
      <c r="N9" s="548">
        <f ca="1">(IFERROR(IFERROR(VALUE(_xll.BDH(N$4,"PE_RATIO",$B9,$B9)),VALUE(_xll.BDH(N$4,"PE_RATIO",$B9+1,$B9+1))),N10))</f>
        <v>0</v>
      </c>
      <c r="O9" s="548">
        <f ca="1">(IFERROR(IFERROR(VALUE(_xll.BDH(O$4,"PE_RATIO",$B9,$B9)),VALUE(_xll.BDH(O$4,"PE_RATIO",$B9+1,$B9+1))),O10))</f>
        <v>0</v>
      </c>
      <c r="P9" s="548"/>
      <c r="Q9" s="552">
        <f t="shared" ca="1" si="4"/>
        <v>45923</v>
      </c>
      <c r="R9" s="4">
        <v>220.78</v>
      </c>
      <c r="S9" s="4">
        <v>6449.8</v>
      </c>
      <c r="T9" s="4">
        <v>0</v>
      </c>
      <c r="U9" s="4">
        <v>1.1332512062416591</v>
      </c>
      <c r="V9" s="4">
        <v>1.7987963030103582</v>
      </c>
      <c r="W9" s="4" t="e">
        <v>#DIV/0!</v>
      </c>
      <c r="Y9" s="548">
        <f t="shared" si="5"/>
        <v>220.78</v>
      </c>
      <c r="Z9" s="4">
        <f ca="1">IFERROR(VALUE(_xll.BDH(Z$4,"PX_LAST",$Q9,$Q9)),Z10)</f>
        <v>0</v>
      </c>
      <c r="AA9" s="4">
        <f ca="1">IFERROR(VALUE(_xll.BDH(AA$4,"PX_LAST",$Q9,$Q9)),AA10)</f>
        <v>0</v>
      </c>
      <c r="AB9" s="4">
        <f ca="1">IFERROR(VALUE(_xll.BDH(AB$4,"PX_LAST",$Q9,$Q9)),AB10)</f>
        <v>0</v>
      </c>
      <c r="AC9" s="4">
        <f ca="1">IFERROR(VALUE(_xll.BDH(AC$4,"PX_LAST",$Q9,$Q9)),AC10)</f>
        <v>0</v>
      </c>
      <c r="AD9" s="4">
        <f ca="1">IFERROR(VALUE(_xll.BDH(AD$4,"PX_LAST",$Q9,$Q9)),AD10)</f>
        <v>0</v>
      </c>
      <c r="AF9" s="4">
        <f t="shared" si="6"/>
        <v>1.1332512062416591</v>
      </c>
      <c r="AG9" s="4" t="e">
        <f t="shared" ca="1" si="7"/>
        <v>#DIV/0!</v>
      </c>
      <c r="AH9" s="4" t="e">
        <f t="shared" ca="1" si="8"/>
        <v>#DIV/0!</v>
      </c>
      <c r="AI9" s="4" t="e">
        <f t="shared" ca="1" si="9"/>
        <v>#DIV/0!</v>
      </c>
      <c r="AJ9" s="4" t="e">
        <f t="shared" ca="1" si="10"/>
        <v>#DIV/0!</v>
      </c>
      <c r="AK9" s="4" t="e">
        <f t="shared" ca="1" si="11"/>
        <v>#DIV/0!</v>
      </c>
      <c r="AM9" s="550">
        <f t="shared" ca="1" si="12"/>
        <v>45946</v>
      </c>
      <c r="AN9" s="551">
        <v>220.31</v>
      </c>
      <c r="AO9" s="551">
        <v>4001774</v>
      </c>
      <c r="AP9" s="551">
        <v>593.04367000000002</v>
      </c>
      <c r="AQ9" s="551">
        <v>130653.45093770001</v>
      </c>
      <c r="AR9" s="551">
        <v>5.4340999999999999</v>
      </c>
    </row>
    <row r="10" spans="2:44" x14ac:dyDescent="0.3">
      <c r="B10" s="552">
        <f t="shared" ca="1" si="13"/>
        <v>45916</v>
      </c>
      <c r="C10" s="548">
        <f ca="1">(IFERROR(IFERROR(VALUE(_xll.BDH(C$4,"CURRENT_EV_TO_T12M_EBITDA",$B10,$B10)),VALUE(_xll.BDH(C$4,"CURRENT_EV_TO_T12M_EBITDA",$B10+1,$B10+1))),C11))</f>
        <v>0</v>
      </c>
      <c r="D10" s="548">
        <f ca="1">(IFERROR(IFERROR(VALUE(_xll.BDH(D$4,"CURRENT_EV_TO_T12M_EBITDA",$B10,$B10)),VALUE(_xll.BDH(D$4,"CURRENT_EV_TO_T12M_EBITDA",$B10+1,$B10+1))),D11))</f>
        <v>0</v>
      </c>
      <c r="E10" s="548">
        <f ca="1">(IFERROR(IFERROR(VALUE(_xll.BDH(E$4,"CURRENT_EV_TO_T12M_EBITDA",$B10,$B10)),VALUE(_xll.BDH(E$4,"CURRENT_EV_TO_T12M_EBITDA",$B10+1,$B10+1))),E11))</f>
        <v>0</v>
      </c>
      <c r="F10" s="548">
        <f ca="1">(IFERROR(IFERROR(VALUE(_xll.BDH(F$4,"CURRENT_EV_TO_T12M_EBITDA",$B10,$B10)),VALUE(_xll.BDH(F$4,"CURRENT_EV_TO_T12M_EBITDA",$B10+1,$B10+1))),F11))</f>
        <v>0</v>
      </c>
      <c r="G10" s="548">
        <f ca="1">(IFERROR(IFERROR(VALUE(_xll.BDH(G$4,"CURRENT_EV_TO_T12M_EBITDA",$B10,$B10)),VALUE(_xll.BDH(G$4,"CURRENT_EV_TO_T12M_EBITDA",$B10+1,$B10+1))),G11))</f>
        <v>0</v>
      </c>
      <c r="H10" s="548">
        <f ca="1">(IFERROR(IFERROR(VALUE(_xll.BDH(H$4,"CURRENT_EV_TO_T12M_EBITDA",$B10,$B10)),VALUE(_xll.BDH(H$4,"CURRENT_EV_TO_T12M_EBITDA",$B10+1,$B10+1))),H11))</f>
        <v>0</v>
      </c>
      <c r="I10" s="552">
        <f t="shared" ca="1" si="3"/>
        <v>45916</v>
      </c>
      <c r="J10" s="548">
        <f ca="1">(IFERROR(IFERROR(VALUE(_xll.BDH(J$4,"PE_RATIO",$B10,$B10)),VALUE(_xll.BDH(J$4,"PE_RATIO",$B10+1,$B10+1))),J11))</f>
        <v>0</v>
      </c>
      <c r="K10" s="548">
        <f ca="1">(IFERROR(IFERROR(VALUE(_xll.BDH(K$4,"PE_RATIO",$B10,$B10)),VALUE(_xll.BDH(K$4,"PE_RATIO",$B10+1,$B10+1))),K11))</f>
        <v>0</v>
      </c>
      <c r="L10" s="548">
        <f ca="1">(IFERROR(IFERROR(VALUE(_xll.BDH(L$4,"PE_RATIO",$B10,$B10)),VALUE(_xll.BDH(L$4,"PE_RATIO",$B10+1,$B10+1))),L11))</f>
        <v>0</v>
      </c>
      <c r="M10" s="548">
        <f ca="1">(IFERROR(IFERROR(VALUE(_xll.BDH(M$4,"PE_RATIO",$B10,$B10)),VALUE(_xll.BDH(M$4,"PE_RATIO",$B10+1,$B10+1))),M11))</f>
        <v>0</v>
      </c>
      <c r="N10" s="548">
        <f ca="1">(IFERROR(IFERROR(VALUE(_xll.BDH(N$4,"PE_RATIO",$B10,$B10)),VALUE(_xll.BDH(N$4,"PE_RATIO",$B10+1,$B10+1))),N11))</f>
        <v>0</v>
      </c>
      <c r="O10" s="548">
        <f ca="1">(IFERROR(IFERROR(VALUE(_xll.BDH(O$4,"PE_RATIO",$B10,$B10)),VALUE(_xll.BDH(O$4,"PE_RATIO",$B10+1,$B10+1))),O11))</f>
        <v>0</v>
      </c>
      <c r="P10" s="548"/>
      <c r="Q10" s="552">
        <f t="shared" ca="1" si="4"/>
        <v>45916</v>
      </c>
      <c r="R10" s="4">
        <v>222.24</v>
      </c>
      <c r="S10" s="4">
        <v>6389.45</v>
      </c>
      <c r="T10" s="4">
        <v>0</v>
      </c>
      <c r="U10" s="4">
        <v>1.140745303356945</v>
      </c>
      <c r="V10" s="4">
        <v>1.7819651831482421</v>
      </c>
      <c r="W10" s="4" t="e">
        <v>#DIV/0!</v>
      </c>
      <c r="Y10" s="548">
        <f t="shared" si="5"/>
        <v>222.24</v>
      </c>
      <c r="Z10" s="4">
        <f ca="1">IFERROR(VALUE(_xll.BDH(Z$4,"PX_LAST",$Q10,$Q10)),Z11)</f>
        <v>0</v>
      </c>
      <c r="AA10" s="4">
        <f ca="1">IFERROR(VALUE(_xll.BDH(AA$4,"PX_LAST",$Q10,$Q10)),AA11)</f>
        <v>0</v>
      </c>
      <c r="AB10" s="4">
        <f ca="1">IFERROR(VALUE(_xll.BDH(AB$4,"PX_LAST",$Q10,$Q10)),AB11)</f>
        <v>0</v>
      </c>
      <c r="AC10" s="4">
        <f ca="1">IFERROR(VALUE(_xll.BDH(AC$4,"PX_LAST",$Q10,$Q10)),AC11)</f>
        <v>0</v>
      </c>
      <c r="AD10" s="4">
        <f ca="1">IFERROR(VALUE(_xll.BDH(AD$4,"PX_LAST",$Q10,$Q10)),AD11)</f>
        <v>0</v>
      </c>
      <c r="AF10" s="4">
        <f t="shared" si="6"/>
        <v>1.140745303356945</v>
      </c>
      <c r="AG10" s="4" t="e">
        <f t="shared" ca="1" si="7"/>
        <v>#DIV/0!</v>
      </c>
      <c r="AH10" s="4" t="e">
        <f t="shared" ca="1" si="8"/>
        <v>#DIV/0!</v>
      </c>
      <c r="AI10" s="4" t="e">
        <f t="shared" ca="1" si="9"/>
        <v>#DIV/0!</v>
      </c>
      <c r="AJ10" s="4" t="e">
        <f t="shared" ca="1" si="10"/>
        <v>#DIV/0!</v>
      </c>
      <c r="AK10" s="4" t="e">
        <f t="shared" ca="1" si="11"/>
        <v>#DIV/0!</v>
      </c>
      <c r="AM10" s="550">
        <f t="shared" ca="1" si="12"/>
        <v>45945</v>
      </c>
      <c r="AN10" s="551">
        <v>220.31</v>
      </c>
      <c r="AO10" s="551">
        <v>4001774</v>
      </c>
      <c r="AP10" s="551">
        <v>593.04367000000002</v>
      </c>
      <c r="AQ10" s="551">
        <v>130653.45093770001</v>
      </c>
      <c r="AR10" s="551">
        <v>5.4340999999999999</v>
      </c>
    </row>
    <row r="11" spans="2:44" x14ac:dyDescent="0.3">
      <c r="B11" s="552">
        <f t="shared" ca="1" si="13"/>
        <v>45909</v>
      </c>
      <c r="C11" s="548">
        <f ca="1">(IFERROR(IFERROR(VALUE(_xll.BDH(C$4,"CURRENT_EV_TO_T12M_EBITDA",$B11,$B11)),VALUE(_xll.BDH(C$4,"CURRENT_EV_TO_T12M_EBITDA",$B11+1,$B11+1))),C12))</f>
        <v>0</v>
      </c>
      <c r="D11" s="548">
        <f ca="1">(IFERROR(IFERROR(VALUE(_xll.BDH(D$4,"CURRENT_EV_TO_T12M_EBITDA",$B11,$B11)),VALUE(_xll.BDH(D$4,"CURRENT_EV_TO_T12M_EBITDA",$B11+1,$B11+1))),D12))</f>
        <v>0</v>
      </c>
      <c r="E11" s="548">
        <f ca="1">(IFERROR(IFERROR(VALUE(_xll.BDH(E$4,"CURRENT_EV_TO_T12M_EBITDA",$B11,$B11)),VALUE(_xll.BDH(E$4,"CURRENT_EV_TO_T12M_EBITDA",$B11+1,$B11+1))),E12))</f>
        <v>0</v>
      </c>
      <c r="F11" s="548">
        <f ca="1">(IFERROR(IFERROR(VALUE(_xll.BDH(F$4,"CURRENT_EV_TO_T12M_EBITDA",$B11,$B11)),VALUE(_xll.BDH(F$4,"CURRENT_EV_TO_T12M_EBITDA",$B11+1,$B11+1))),F12))</f>
        <v>0</v>
      </c>
      <c r="G11" s="548">
        <f ca="1">(IFERROR(IFERROR(VALUE(_xll.BDH(G$4,"CURRENT_EV_TO_T12M_EBITDA",$B11,$B11)),VALUE(_xll.BDH(G$4,"CURRENT_EV_TO_T12M_EBITDA",$B11+1,$B11+1))),G12))</f>
        <v>0</v>
      </c>
      <c r="H11" s="548">
        <f ca="1">(IFERROR(IFERROR(VALUE(_xll.BDH(H$4,"CURRENT_EV_TO_T12M_EBITDA",$B11,$B11)),VALUE(_xll.BDH(H$4,"CURRENT_EV_TO_T12M_EBITDA",$B11+1,$B11+1))),H12))</f>
        <v>0</v>
      </c>
      <c r="I11" s="552">
        <f t="shared" ca="1" si="3"/>
        <v>45909</v>
      </c>
      <c r="J11" s="548">
        <f ca="1">(IFERROR(IFERROR(VALUE(_xll.BDH(J$4,"PE_RATIO",$B11,$B11)),VALUE(_xll.BDH(J$4,"PE_RATIO",$B11+1,$B11+1))),J12))</f>
        <v>0</v>
      </c>
      <c r="K11" s="548">
        <f ca="1">(IFERROR(IFERROR(VALUE(_xll.BDH(K$4,"PE_RATIO",$B11,$B11)),VALUE(_xll.BDH(K$4,"PE_RATIO",$B11+1,$B11+1))),K12))</f>
        <v>0</v>
      </c>
      <c r="L11" s="548">
        <f ca="1">(IFERROR(IFERROR(VALUE(_xll.BDH(L$4,"PE_RATIO",$B11,$B11)),VALUE(_xll.BDH(L$4,"PE_RATIO",$B11+1,$B11+1))),L12))</f>
        <v>0</v>
      </c>
      <c r="M11" s="548">
        <f ca="1">(IFERROR(IFERROR(VALUE(_xll.BDH(M$4,"PE_RATIO",$B11,$B11)),VALUE(_xll.BDH(M$4,"PE_RATIO",$B11+1,$B11+1))),M12))</f>
        <v>0</v>
      </c>
      <c r="N11" s="548">
        <f ca="1">(IFERROR(IFERROR(VALUE(_xll.BDH(N$4,"PE_RATIO",$B11,$B11)),VALUE(_xll.BDH(N$4,"PE_RATIO",$B11+1,$B11+1))),N12))</f>
        <v>0</v>
      </c>
      <c r="O11" s="548">
        <f ca="1">(IFERROR(IFERROR(VALUE(_xll.BDH(O$4,"PE_RATIO",$B11,$B11)),VALUE(_xll.BDH(O$4,"PE_RATIO",$B11+1,$B11+1))),O12))</f>
        <v>0</v>
      </c>
      <c r="P11" s="548"/>
      <c r="Q11" s="552">
        <f t="shared" ca="1" si="4"/>
        <v>45909</v>
      </c>
      <c r="R11" s="4">
        <v>219.4</v>
      </c>
      <c r="S11" s="4">
        <v>6238.01</v>
      </c>
      <c r="T11" s="4">
        <v>0</v>
      </c>
      <c r="U11" s="4">
        <v>1.1261677445847449</v>
      </c>
      <c r="V11" s="4">
        <v>1.7397298096284604</v>
      </c>
      <c r="W11" s="4" t="e">
        <v>#DIV/0!</v>
      </c>
      <c r="Y11" s="548">
        <f t="shared" si="5"/>
        <v>219.4</v>
      </c>
      <c r="Z11" s="4">
        <f ca="1">IFERROR(VALUE(_xll.BDH(Z$4,"PX_LAST",$Q11,$Q11)),Z12)</f>
        <v>0</v>
      </c>
      <c r="AA11" s="4">
        <f ca="1">IFERROR(VALUE(_xll.BDH(AA$4,"PX_LAST",$Q11,$Q11)),AA12)</f>
        <v>0</v>
      </c>
      <c r="AB11" s="4">
        <f ca="1">IFERROR(VALUE(_xll.BDH(AB$4,"PX_LAST",$Q11,$Q11)),AB12)</f>
        <v>0</v>
      </c>
      <c r="AC11" s="4">
        <f ca="1">IFERROR(VALUE(_xll.BDH(AC$4,"PX_LAST",$Q11,$Q11)),AC12)</f>
        <v>0</v>
      </c>
      <c r="AD11" s="4">
        <f ca="1">IFERROR(VALUE(_xll.BDH(AD$4,"PX_LAST",$Q11,$Q11)),AD12)</f>
        <v>0</v>
      </c>
      <c r="AF11" s="4">
        <f t="shared" si="6"/>
        <v>1.1261677445847449</v>
      </c>
      <c r="AG11" s="4" t="e">
        <f t="shared" ca="1" si="7"/>
        <v>#DIV/0!</v>
      </c>
      <c r="AH11" s="4" t="e">
        <f t="shared" ca="1" si="8"/>
        <v>#DIV/0!</v>
      </c>
      <c r="AI11" s="4" t="e">
        <f t="shared" ca="1" si="9"/>
        <v>#DIV/0!</v>
      </c>
      <c r="AJ11" s="4" t="e">
        <f t="shared" ca="1" si="10"/>
        <v>#DIV/0!</v>
      </c>
      <c r="AK11" s="4" t="e">
        <f t="shared" ca="1" si="11"/>
        <v>#DIV/0!</v>
      </c>
      <c r="AM11" s="550">
        <f t="shared" ca="1" si="12"/>
        <v>45944</v>
      </c>
      <c r="AN11" s="551">
        <v>220.31</v>
      </c>
      <c r="AO11" s="551">
        <v>4001774</v>
      </c>
      <c r="AP11" s="551">
        <v>593.04367000000002</v>
      </c>
      <c r="AQ11" s="551">
        <v>130653.45093770001</v>
      </c>
      <c r="AR11" s="551">
        <v>5.4340999999999999</v>
      </c>
    </row>
    <row r="12" spans="2:44" x14ac:dyDescent="0.3">
      <c r="B12" s="552">
        <f t="shared" ca="1" si="13"/>
        <v>45902</v>
      </c>
      <c r="C12" s="548">
        <f ca="1">(IFERROR(IFERROR(VALUE(_xll.BDH(C$4,"CURRENT_EV_TO_T12M_EBITDA",$B12,$B12)),VALUE(_xll.BDH(C$4,"CURRENT_EV_TO_T12M_EBITDA",$B12+1,$B12+1))),C13))</f>
        <v>0</v>
      </c>
      <c r="D12" s="548">
        <f ca="1">(IFERROR(IFERROR(VALUE(_xll.BDH(D$4,"CURRENT_EV_TO_T12M_EBITDA",$B12,$B12)),VALUE(_xll.BDH(D$4,"CURRENT_EV_TO_T12M_EBITDA",$B12+1,$B12+1))),D13))</f>
        <v>0</v>
      </c>
      <c r="E12" s="548">
        <f ca="1">(IFERROR(IFERROR(VALUE(_xll.BDH(E$4,"CURRENT_EV_TO_T12M_EBITDA",$B12,$B12)),VALUE(_xll.BDH(E$4,"CURRENT_EV_TO_T12M_EBITDA",$B12+1,$B12+1))),E13))</f>
        <v>0</v>
      </c>
      <c r="F12" s="548">
        <f ca="1">(IFERROR(IFERROR(VALUE(_xll.BDH(F$4,"CURRENT_EV_TO_T12M_EBITDA",$B12,$B12)),VALUE(_xll.BDH(F$4,"CURRENT_EV_TO_T12M_EBITDA",$B12+1,$B12+1))),F13))</f>
        <v>0</v>
      </c>
      <c r="G12" s="548">
        <f ca="1">(IFERROR(IFERROR(VALUE(_xll.BDH(G$4,"CURRENT_EV_TO_T12M_EBITDA",$B12,$B12)),VALUE(_xll.BDH(G$4,"CURRENT_EV_TO_T12M_EBITDA",$B12+1,$B12+1))),G13))</f>
        <v>0</v>
      </c>
      <c r="H12" s="548">
        <f ca="1">(IFERROR(IFERROR(VALUE(_xll.BDH(H$4,"CURRENT_EV_TO_T12M_EBITDA",$B12,$B12)),VALUE(_xll.BDH(H$4,"CURRENT_EV_TO_T12M_EBITDA",$B12+1,$B12+1))),H13))</f>
        <v>0</v>
      </c>
      <c r="I12" s="552">
        <f t="shared" ca="1" si="3"/>
        <v>45902</v>
      </c>
      <c r="J12" s="548">
        <f ca="1">(IFERROR(IFERROR(VALUE(_xll.BDH(J$4,"PE_RATIO",$B12,$B12)),VALUE(_xll.BDH(J$4,"PE_RATIO",$B12+1,$B12+1))),J13))</f>
        <v>0</v>
      </c>
      <c r="K12" s="548">
        <f ca="1">(IFERROR(IFERROR(VALUE(_xll.BDH(K$4,"PE_RATIO",$B12,$B12)),VALUE(_xll.BDH(K$4,"PE_RATIO",$B12+1,$B12+1))),K13))</f>
        <v>0</v>
      </c>
      <c r="L12" s="548">
        <f ca="1">(IFERROR(IFERROR(VALUE(_xll.BDH(L$4,"PE_RATIO",$B12,$B12)),VALUE(_xll.BDH(L$4,"PE_RATIO",$B12+1,$B12+1))),L13))</f>
        <v>0</v>
      </c>
      <c r="M12" s="548">
        <f ca="1">(IFERROR(IFERROR(VALUE(_xll.BDH(M$4,"PE_RATIO",$B12,$B12)),VALUE(_xll.BDH(M$4,"PE_RATIO",$B12+1,$B12+1))),M13))</f>
        <v>0</v>
      </c>
      <c r="N12" s="548">
        <f ca="1">(IFERROR(IFERROR(VALUE(_xll.BDH(N$4,"PE_RATIO",$B12,$B12)),VALUE(_xll.BDH(N$4,"PE_RATIO",$B12+1,$B12+1))),N13))</f>
        <v>0</v>
      </c>
      <c r="O12" s="548">
        <f ca="1">(IFERROR(IFERROR(VALUE(_xll.BDH(O$4,"PE_RATIO",$B12,$B12)),VALUE(_xll.BDH(O$4,"PE_RATIO",$B12+1,$B12+1))),O13))</f>
        <v>0</v>
      </c>
      <c r="P12" s="548"/>
      <c r="Q12" s="552">
        <f t="shared" ca="1" si="4"/>
        <v>45902</v>
      </c>
      <c r="R12" s="4">
        <v>224.74</v>
      </c>
      <c r="S12" s="4">
        <v>6388.64</v>
      </c>
      <c r="T12" s="4">
        <v>0</v>
      </c>
      <c r="U12" s="4">
        <v>1.1535776614310647</v>
      </c>
      <c r="V12" s="4">
        <v>1.7817392807938377</v>
      </c>
      <c r="W12" s="4" t="e">
        <v>#DIV/0!</v>
      </c>
      <c r="Y12" s="548">
        <f t="shared" si="5"/>
        <v>224.74</v>
      </c>
      <c r="Z12" s="4">
        <f ca="1">IFERROR(VALUE(_xll.BDH(Z$4,"PX_LAST",$Q12,$Q12)),Z13)</f>
        <v>0</v>
      </c>
      <c r="AA12" s="4">
        <f ca="1">IFERROR(VALUE(_xll.BDH(AA$4,"PX_LAST",$Q12,$Q12)),AA13)</f>
        <v>0</v>
      </c>
      <c r="AB12" s="4">
        <f ca="1">IFERROR(VALUE(_xll.BDH(AB$4,"PX_LAST",$Q12,$Q12)),AB13)</f>
        <v>0</v>
      </c>
      <c r="AC12" s="4">
        <f ca="1">IFERROR(VALUE(_xll.BDH(AC$4,"PX_LAST",$Q12,$Q12)),AC13)</f>
        <v>0</v>
      </c>
      <c r="AD12" s="4">
        <f ca="1">IFERROR(VALUE(_xll.BDH(AD$4,"PX_LAST",$Q12,$Q12)),AD13)</f>
        <v>0</v>
      </c>
      <c r="AF12" s="4">
        <f t="shared" si="6"/>
        <v>1.1535776614310647</v>
      </c>
      <c r="AG12" s="4" t="e">
        <f t="shared" ca="1" si="7"/>
        <v>#DIV/0!</v>
      </c>
      <c r="AH12" s="4" t="e">
        <f t="shared" ca="1" si="8"/>
        <v>#DIV/0!</v>
      </c>
      <c r="AI12" s="4" t="e">
        <f t="shared" ca="1" si="9"/>
        <v>#DIV/0!</v>
      </c>
      <c r="AJ12" s="4" t="e">
        <f t="shared" ca="1" si="10"/>
        <v>#DIV/0!</v>
      </c>
      <c r="AK12" s="4" t="e">
        <f t="shared" ca="1" si="11"/>
        <v>#DIV/0!</v>
      </c>
      <c r="AM12" s="550">
        <f t="shared" ca="1" si="12"/>
        <v>45943</v>
      </c>
      <c r="AN12" s="551">
        <v>223.06</v>
      </c>
      <c r="AO12" s="551">
        <v>3601030</v>
      </c>
      <c r="AP12" s="551">
        <v>593.04367000000002</v>
      </c>
      <c r="AQ12" s="551">
        <v>132284.32103019999</v>
      </c>
      <c r="AR12" s="551">
        <v>5.5019</v>
      </c>
    </row>
    <row r="13" spans="2:44" x14ac:dyDescent="0.3">
      <c r="B13" s="552">
        <f t="shared" ca="1" si="13"/>
        <v>45895</v>
      </c>
      <c r="C13" s="548">
        <f ca="1">(IFERROR(IFERROR(VALUE(_xll.BDH(C$4,"CURRENT_EV_TO_T12M_EBITDA",$B13,$B13)),VALUE(_xll.BDH(C$4,"CURRENT_EV_TO_T12M_EBITDA",$B13+1,$B13+1))),C14))</f>
        <v>0</v>
      </c>
      <c r="D13" s="548">
        <f ca="1">(IFERROR(IFERROR(VALUE(_xll.BDH(D$4,"CURRENT_EV_TO_T12M_EBITDA",$B13,$B13)),VALUE(_xll.BDH(D$4,"CURRENT_EV_TO_T12M_EBITDA",$B13+1,$B13+1))),D14))</f>
        <v>0</v>
      </c>
      <c r="E13" s="548">
        <f ca="1">(IFERROR(IFERROR(VALUE(_xll.BDH(E$4,"CURRENT_EV_TO_T12M_EBITDA",$B13,$B13)),VALUE(_xll.BDH(E$4,"CURRENT_EV_TO_T12M_EBITDA",$B13+1,$B13+1))),E14))</f>
        <v>0</v>
      </c>
      <c r="F13" s="548">
        <f ca="1">(IFERROR(IFERROR(VALUE(_xll.BDH(F$4,"CURRENT_EV_TO_T12M_EBITDA",$B13,$B13)),VALUE(_xll.BDH(F$4,"CURRENT_EV_TO_T12M_EBITDA",$B13+1,$B13+1))),F14))</f>
        <v>0</v>
      </c>
      <c r="G13" s="548">
        <f ca="1">(IFERROR(IFERROR(VALUE(_xll.BDH(G$4,"CURRENT_EV_TO_T12M_EBITDA",$B13,$B13)),VALUE(_xll.BDH(G$4,"CURRENT_EV_TO_T12M_EBITDA",$B13+1,$B13+1))),G14))</f>
        <v>0</v>
      </c>
      <c r="H13" s="548">
        <f ca="1">(IFERROR(IFERROR(VALUE(_xll.BDH(H$4,"CURRENT_EV_TO_T12M_EBITDA",$B13,$B13)),VALUE(_xll.BDH(H$4,"CURRENT_EV_TO_T12M_EBITDA",$B13+1,$B13+1))),H14))</f>
        <v>0</v>
      </c>
      <c r="I13" s="552">
        <f t="shared" ca="1" si="3"/>
        <v>45895</v>
      </c>
      <c r="J13" s="548">
        <f ca="1">(IFERROR(IFERROR(VALUE(_xll.BDH(J$4,"PE_RATIO",$B13,$B13)),VALUE(_xll.BDH(J$4,"PE_RATIO",$B13+1,$B13+1))),J14))</f>
        <v>0</v>
      </c>
      <c r="K13" s="548">
        <f ca="1">(IFERROR(IFERROR(VALUE(_xll.BDH(K$4,"PE_RATIO",$B13,$B13)),VALUE(_xll.BDH(K$4,"PE_RATIO",$B13+1,$B13+1))),K14))</f>
        <v>0</v>
      </c>
      <c r="L13" s="548">
        <f ca="1">(IFERROR(IFERROR(VALUE(_xll.BDH(L$4,"PE_RATIO",$B13,$B13)),VALUE(_xll.BDH(L$4,"PE_RATIO",$B13+1,$B13+1))),L14))</f>
        <v>0</v>
      </c>
      <c r="M13" s="548">
        <f ca="1">(IFERROR(IFERROR(VALUE(_xll.BDH(M$4,"PE_RATIO",$B13,$B13)),VALUE(_xll.BDH(M$4,"PE_RATIO",$B13+1,$B13+1))),M14))</f>
        <v>0</v>
      </c>
      <c r="N13" s="548">
        <f ca="1">(IFERROR(IFERROR(VALUE(_xll.BDH(N$4,"PE_RATIO",$B13,$B13)),VALUE(_xll.BDH(N$4,"PE_RATIO",$B13+1,$B13+1))),N14))</f>
        <v>0</v>
      </c>
      <c r="O13" s="548">
        <f ca="1">(IFERROR(IFERROR(VALUE(_xll.BDH(O$4,"PE_RATIO",$B13,$B13)),VALUE(_xll.BDH(O$4,"PE_RATIO",$B13+1,$B13+1))),O14))</f>
        <v>0</v>
      </c>
      <c r="P13" s="548"/>
      <c r="Q13" s="552">
        <f t="shared" ca="1" si="4"/>
        <v>45895</v>
      </c>
      <c r="R13" s="4">
        <v>224.87</v>
      </c>
      <c r="S13" s="4">
        <v>6296.79</v>
      </c>
      <c r="T13" s="4">
        <v>0</v>
      </c>
      <c r="U13" s="4">
        <v>1.1542449440509188</v>
      </c>
      <c r="V13" s="4">
        <v>1.7561230693715453</v>
      </c>
      <c r="W13" s="4" t="e">
        <v>#DIV/0!</v>
      </c>
      <c r="Y13" s="548">
        <f t="shared" si="5"/>
        <v>224.87</v>
      </c>
      <c r="Z13" s="4">
        <f ca="1">IFERROR(VALUE(_xll.BDH(Z$4,"PX_LAST",$Q13,$Q13)),Z14)</f>
        <v>0</v>
      </c>
      <c r="AA13" s="4">
        <f ca="1">IFERROR(VALUE(_xll.BDH(AA$4,"PX_LAST",$Q13,$Q13)),AA14)</f>
        <v>0</v>
      </c>
      <c r="AB13" s="4">
        <f ca="1">IFERROR(VALUE(_xll.BDH(AB$4,"PX_LAST",$Q13,$Q13)),AB14)</f>
        <v>0</v>
      </c>
      <c r="AC13" s="4">
        <f ca="1">IFERROR(VALUE(_xll.BDH(AC$4,"PX_LAST",$Q13,$Q13)),AC14)</f>
        <v>0</v>
      </c>
      <c r="AD13" s="4">
        <f ca="1">IFERROR(VALUE(_xll.BDH(AD$4,"PX_LAST",$Q13,$Q13)),AD14)</f>
        <v>0</v>
      </c>
      <c r="AF13" s="4">
        <f t="shared" si="6"/>
        <v>1.1542449440509188</v>
      </c>
      <c r="AG13" s="4" t="e">
        <f t="shared" ca="1" si="7"/>
        <v>#DIV/0!</v>
      </c>
      <c r="AH13" s="4" t="e">
        <f t="shared" ca="1" si="8"/>
        <v>#DIV/0!</v>
      </c>
      <c r="AI13" s="4" t="e">
        <f t="shared" ca="1" si="9"/>
        <v>#DIV/0!</v>
      </c>
      <c r="AJ13" s="4" t="e">
        <f t="shared" ca="1" si="10"/>
        <v>#DIV/0!</v>
      </c>
      <c r="AK13" s="4" t="e">
        <f t="shared" ca="1" si="11"/>
        <v>#DIV/0!</v>
      </c>
      <c r="AM13" s="550">
        <f t="shared" ca="1" si="12"/>
        <v>45942</v>
      </c>
      <c r="AN13" s="551">
        <v>221.76</v>
      </c>
      <c r="AO13" s="551">
        <v>5881039</v>
      </c>
      <c r="AP13" s="551">
        <v>593.04367000000002</v>
      </c>
      <c r="AQ13" s="551">
        <v>131513.3642592</v>
      </c>
      <c r="AR13" s="551">
        <v>5.4698000000000002</v>
      </c>
    </row>
    <row r="14" spans="2:44" x14ac:dyDescent="0.3">
      <c r="B14" s="552">
        <f t="shared" ca="1" si="13"/>
        <v>45888</v>
      </c>
      <c r="C14" s="548">
        <f ca="1">(IFERROR(IFERROR(VALUE(_xll.BDH(C$4,"CURRENT_EV_TO_T12M_EBITDA",$B14,$B14)),VALUE(_xll.BDH(C$4,"CURRENT_EV_TO_T12M_EBITDA",$B14+1,$B14+1))),C15))</f>
        <v>0</v>
      </c>
      <c r="D14" s="548">
        <f ca="1">(IFERROR(IFERROR(VALUE(_xll.BDH(D$4,"CURRENT_EV_TO_T12M_EBITDA",$B14,$B14)),VALUE(_xll.BDH(D$4,"CURRENT_EV_TO_T12M_EBITDA",$B14+1,$B14+1))),D15))</f>
        <v>0</v>
      </c>
      <c r="E14" s="548">
        <f ca="1">(IFERROR(IFERROR(VALUE(_xll.BDH(E$4,"CURRENT_EV_TO_T12M_EBITDA",$B14,$B14)),VALUE(_xll.BDH(E$4,"CURRENT_EV_TO_T12M_EBITDA",$B14+1,$B14+1))),E15))</f>
        <v>0</v>
      </c>
      <c r="F14" s="548">
        <f ca="1">(IFERROR(IFERROR(VALUE(_xll.BDH(F$4,"CURRENT_EV_TO_T12M_EBITDA",$B14,$B14)),VALUE(_xll.BDH(F$4,"CURRENT_EV_TO_T12M_EBITDA",$B14+1,$B14+1))),F15))</f>
        <v>0</v>
      </c>
      <c r="G14" s="548">
        <f ca="1">(IFERROR(IFERROR(VALUE(_xll.BDH(G$4,"CURRENT_EV_TO_T12M_EBITDA",$B14,$B14)),VALUE(_xll.BDH(G$4,"CURRENT_EV_TO_T12M_EBITDA",$B14+1,$B14+1))),G15))</f>
        <v>0</v>
      </c>
      <c r="H14" s="548">
        <f ca="1">(IFERROR(IFERROR(VALUE(_xll.BDH(H$4,"CURRENT_EV_TO_T12M_EBITDA",$B14,$B14)),VALUE(_xll.BDH(H$4,"CURRENT_EV_TO_T12M_EBITDA",$B14+1,$B14+1))),H15))</f>
        <v>0</v>
      </c>
      <c r="I14" s="552">
        <f t="shared" ca="1" si="3"/>
        <v>45888</v>
      </c>
      <c r="J14" s="548">
        <f ca="1">(IFERROR(IFERROR(VALUE(_xll.BDH(J$4,"PE_RATIO",$B14,$B14)),VALUE(_xll.BDH(J$4,"PE_RATIO",$B14+1,$B14+1))),J15))</f>
        <v>0</v>
      </c>
      <c r="K14" s="548">
        <f ca="1">(IFERROR(IFERROR(VALUE(_xll.BDH(K$4,"PE_RATIO",$B14,$B14)),VALUE(_xll.BDH(K$4,"PE_RATIO",$B14+1,$B14+1))),K15))</f>
        <v>0</v>
      </c>
      <c r="L14" s="548">
        <f ca="1">(IFERROR(IFERROR(VALUE(_xll.BDH(L$4,"PE_RATIO",$B14,$B14)),VALUE(_xll.BDH(L$4,"PE_RATIO",$B14+1,$B14+1))),L15))</f>
        <v>0</v>
      </c>
      <c r="M14" s="548">
        <f ca="1">(IFERROR(IFERROR(VALUE(_xll.BDH(M$4,"PE_RATIO",$B14,$B14)),VALUE(_xll.BDH(M$4,"PE_RATIO",$B14+1,$B14+1))),M15))</f>
        <v>0</v>
      </c>
      <c r="N14" s="548">
        <f ca="1">(IFERROR(IFERROR(VALUE(_xll.BDH(N$4,"PE_RATIO",$B14,$B14)),VALUE(_xll.BDH(N$4,"PE_RATIO",$B14+1,$B14+1))),N15))</f>
        <v>0</v>
      </c>
      <c r="O14" s="548">
        <f ca="1">(IFERROR(IFERROR(VALUE(_xll.BDH(O$4,"PE_RATIO",$B14,$B14)),VALUE(_xll.BDH(O$4,"PE_RATIO",$B14+1,$B14+1))),O15))</f>
        <v>0</v>
      </c>
      <c r="P14" s="548"/>
      <c r="Q14" s="552">
        <f t="shared" ca="1" si="4"/>
        <v>45888</v>
      </c>
      <c r="R14" s="4">
        <v>235.1</v>
      </c>
      <c r="S14" s="4">
        <v>6259.75</v>
      </c>
      <c r="T14" s="4">
        <v>0</v>
      </c>
      <c r="U14" s="4">
        <v>1.2067549532902166</v>
      </c>
      <c r="V14" s="4">
        <v>1.7457929172639599</v>
      </c>
      <c r="W14" s="4" t="e">
        <v>#DIV/0!</v>
      </c>
      <c r="Y14" s="548">
        <f t="shared" si="5"/>
        <v>235.1</v>
      </c>
      <c r="Z14" s="4">
        <f ca="1">IFERROR(VALUE(_xll.BDH(Z$4,"PX_LAST",$Q14,$Q14)),Z15)</f>
        <v>0</v>
      </c>
      <c r="AA14" s="4">
        <f ca="1">IFERROR(VALUE(_xll.BDH(AA$4,"PX_LAST",$Q14,$Q14)),AA15)</f>
        <v>0</v>
      </c>
      <c r="AB14" s="4">
        <f ca="1">IFERROR(VALUE(_xll.BDH(AB$4,"PX_LAST",$Q14,$Q14)),AB15)</f>
        <v>0</v>
      </c>
      <c r="AC14" s="4">
        <f ca="1">IFERROR(VALUE(_xll.BDH(AC$4,"PX_LAST",$Q14,$Q14)),AC15)</f>
        <v>0</v>
      </c>
      <c r="AD14" s="4">
        <f ca="1">IFERROR(VALUE(_xll.BDH(AD$4,"PX_LAST",$Q14,$Q14)),AD15)</f>
        <v>0</v>
      </c>
      <c r="AF14" s="4">
        <f t="shared" si="6"/>
        <v>1.2067549532902166</v>
      </c>
      <c r="AG14" s="4" t="e">
        <f t="shared" ca="1" si="7"/>
        <v>#DIV/0!</v>
      </c>
      <c r="AH14" s="4" t="e">
        <f t="shared" ca="1" si="8"/>
        <v>#DIV/0!</v>
      </c>
      <c r="AI14" s="4" t="e">
        <f t="shared" ca="1" si="9"/>
        <v>#DIV/0!</v>
      </c>
      <c r="AJ14" s="4" t="e">
        <f t="shared" ca="1" si="10"/>
        <v>#DIV/0!</v>
      </c>
      <c r="AK14" s="4" t="e">
        <f t="shared" ca="1" si="11"/>
        <v>#DIV/0!</v>
      </c>
      <c r="AM14" s="550">
        <f t="shared" ca="1" si="12"/>
        <v>45941</v>
      </c>
      <c r="AN14" s="551">
        <v>221.99</v>
      </c>
      <c r="AO14" s="551">
        <v>3955402</v>
      </c>
      <c r="AP14" s="551">
        <v>593.04367000000002</v>
      </c>
      <c r="AQ14" s="551">
        <v>131649.76430330001</v>
      </c>
      <c r="AR14" s="551">
        <v>5.4755000000000003</v>
      </c>
    </row>
    <row r="15" spans="2:44" x14ac:dyDescent="0.3">
      <c r="B15" s="552">
        <f t="shared" ca="1" si="13"/>
        <v>45881</v>
      </c>
      <c r="C15" s="548">
        <f ca="1">(IFERROR(IFERROR(VALUE(_xll.BDH(C$4,"CURRENT_EV_TO_T12M_EBITDA",$B15,$B15)),VALUE(_xll.BDH(C$4,"CURRENT_EV_TO_T12M_EBITDA",$B15+1,$B15+1))),C16))</f>
        <v>0</v>
      </c>
      <c r="D15" s="548">
        <f ca="1">(IFERROR(IFERROR(VALUE(_xll.BDH(D$4,"CURRENT_EV_TO_T12M_EBITDA",$B15,$B15)),VALUE(_xll.BDH(D$4,"CURRENT_EV_TO_T12M_EBITDA",$B15+1,$B15+1))),D16))</f>
        <v>0</v>
      </c>
      <c r="E15" s="548">
        <f ca="1">(IFERROR(IFERROR(VALUE(_xll.BDH(E$4,"CURRENT_EV_TO_T12M_EBITDA",$B15,$B15)),VALUE(_xll.BDH(E$4,"CURRENT_EV_TO_T12M_EBITDA",$B15+1,$B15+1))),E16))</f>
        <v>0</v>
      </c>
      <c r="F15" s="548">
        <f ca="1">(IFERROR(IFERROR(VALUE(_xll.BDH(F$4,"CURRENT_EV_TO_T12M_EBITDA",$B15,$B15)),VALUE(_xll.BDH(F$4,"CURRENT_EV_TO_T12M_EBITDA",$B15+1,$B15+1))),F16))</f>
        <v>0</v>
      </c>
      <c r="G15" s="548">
        <f ca="1">(IFERROR(IFERROR(VALUE(_xll.BDH(G$4,"CURRENT_EV_TO_T12M_EBITDA",$B15,$B15)),VALUE(_xll.BDH(G$4,"CURRENT_EV_TO_T12M_EBITDA",$B15+1,$B15+1))),G16))</f>
        <v>0</v>
      </c>
      <c r="H15" s="548">
        <f ca="1">(IFERROR(IFERROR(VALUE(_xll.BDH(H$4,"CURRENT_EV_TO_T12M_EBITDA",$B15,$B15)),VALUE(_xll.BDH(H$4,"CURRENT_EV_TO_T12M_EBITDA",$B15+1,$B15+1))),H16))</f>
        <v>0</v>
      </c>
      <c r="I15" s="552">
        <f t="shared" ca="1" si="3"/>
        <v>45881</v>
      </c>
      <c r="J15" s="548">
        <f ca="1">(IFERROR(IFERROR(VALUE(_xll.BDH(J$4,"PE_RATIO",$B15,$B15)),VALUE(_xll.BDH(J$4,"PE_RATIO",$B15+1,$B15+1))),J16))</f>
        <v>0</v>
      </c>
      <c r="K15" s="548">
        <f ca="1">(IFERROR(IFERROR(VALUE(_xll.BDH(K$4,"PE_RATIO",$B15,$B15)),VALUE(_xll.BDH(K$4,"PE_RATIO",$B15+1,$B15+1))),K16))</f>
        <v>0</v>
      </c>
      <c r="L15" s="548">
        <f ca="1">(IFERROR(IFERROR(VALUE(_xll.BDH(L$4,"PE_RATIO",$B15,$B15)),VALUE(_xll.BDH(L$4,"PE_RATIO",$B15+1,$B15+1))),L16))</f>
        <v>0</v>
      </c>
      <c r="M15" s="548">
        <f ca="1">(IFERROR(IFERROR(VALUE(_xll.BDH(M$4,"PE_RATIO",$B15,$B15)),VALUE(_xll.BDH(M$4,"PE_RATIO",$B15+1,$B15+1))),M16))</f>
        <v>0</v>
      </c>
      <c r="N15" s="548">
        <f ca="1">(IFERROR(IFERROR(VALUE(_xll.BDH(N$4,"PE_RATIO",$B15,$B15)),VALUE(_xll.BDH(N$4,"PE_RATIO",$B15+1,$B15+1))),N16))</f>
        <v>0</v>
      </c>
      <c r="O15" s="548">
        <f ca="1">(IFERROR(IFERROR(VALUE(_xll.BDH(O$4,"PE_RATIO",$B15,$B15)),VALUE(_xll.BDH(O$4,"PE_RATIO",$B15+1,$B15+1))),O16))</f>
        <v>0</v>
      </c>
      <c r="P15" s="548"/>
      <c r="Q15" s="552">
        <f t="shared" ca="1" si="4"/>
        <v>45881</v>
      </c>
      <c r="R15" s="4">
        <v>231.41</v>
      </c>
      <c r="S15" s="4">
        <v>6173.07</v>
      </c>
      <c r="T15" s="4">
        <v>0</v>
      </c>
      <c r="U15" s="4">
        <v>1.187814392772816</v>
      </c>
      <c r="V15" s="4">
        <v>1.7216185764247187</v>
      </c>
      <c r="W15" s="4" t="e">
        <v>#DIV/0!</v>
      </c>
      <c r="Y15" s="548">
        <f t="shared" si="5"/>
        <v>231.41</v>
      </c>
      <c r="Z15" s="4">
        <f ca="1">IFERROR(VALUE(_xll.BDH(Z$4,"PX_LAST",$Q15,$Q15)),Z16)</f>
        <v>0</v>
      </c>
      <c r="AA15" s="4">
        <f ca="1">IFERROR(VALUE(_xll.BDH(AA$4,"PX_LAST",$Q15,$Q15)),AA16)</f>
        <v>0</v>
      </c>
      <c r="AB15" s="4">
        <f ca="1">IFERROR(VALUE(_xll.BDH(AB$4,"PX_LAST",$Q15,$Q15)),AB16)</f>
        <v>0</v>
      </c>
      <c r="AC15" s="4">
        <f ca="1">IFERROR(VALUE(_xll.BDH(AC$4,"PX_LAST",$Q15,$Q15)),AC16)</f>
        <v>0</v>
      </c>
      <c r="AD15" s="4">
        <f ca="1">IFERROR(VALUE(_xll.BDH(AD$4,"PX_LAST",$Q15,$Q15)),AD16)</f>
        <v>0</v>
      </c>
      <c r="AF15" s="4">
        <f t="shared" si="6"/>
        <v>1.187814392772816</v>
      </c>
      <c r="AG15" s="4" t="e">
        <f t="shared" ca="1" si="7"/>
        <v>#DIV/0!</v>
      </c>
      <c r="AH15" s="4" t="e">
        <f t="shared" ca="1" si="8"/>
        <v>#DIV/0!</v>
      </c>
      <c r="AI15" s="4" t="e">
        <f t="shared" ca="1" si="9"/>
        <v>#DIV/0!</v>
      </c>
      <c r="AJ15" s="4" t="e">
        <f t="shared" ca="1" si="10"/>
        <v>#DIV/0!</v>
      </c>
      <c r="AK15" s="4" t="e">
        <f t="shared" ca="1" si="11"/>
        <v>#DIV/0!</v>
      </c>
      <c r="AM15" s="550">
        <f t="shared" ca="1" si="12"/>
        <v>45940</v>
      </c>
      <c r="AN15" s="551">
        <v>223.57</v>
      </c>
      <c r="AO15" s="551">
        <v>5012813</v>
      </c>
      <c r="AP15" s="551">
        <v>593.04367000000002</v>
      </c>
      <c r="AQ15" s="551">
        <v>132586.77330189999</v>
      </c>
      <c r="AR15" s="551">
        <v>5.5145</v>
      </c>
    </row>
    <row r="16" spans="2:44" x14ac:dyDescent="0.3">
      <c r="B16" s="552">
        <f t="shared" ca="1" si="13"/>
        <v>45874</v>
      </c>
      <c r="C16" s="548">
        <f ca="1">(IFERROR(IFERROR(VALUE(_xll.BDH(C$4,"CURRENT_EV_TO_T12M_EBITDA",$B16,$B16)),VALUE(_xll.BDH(C$4,"CURRENT_EV_TO_T12M_EBITDA",$B16+1,$B16+1))),C17))</f>
        <v>0</v>
      </c>
      <c r="D16" s="548">
        <f ca="1">(IFERROR(IFERROR(VALUE(_xll.BDH(D$4,"CURRENT_EV_TO_T12M_EBITDA",$B16,$B16)),VALUE(_xll.BDH(D$4,"CURRENT_EV_TO_T12M_EBITDA",$B16+1,$B16+1))),D17))</f>
        <v>0</v>
      </c>
      <c r="E16" s="548">
        <f ca="1">(IFERROR(IFERROR(VALUE(_xll.BDH(E$4,"CURRENT_EV_TO_T12M_EBITDA",$B16,$B16)),VALUE(_xll.BDH(E$4,"CURRENT_EV_TO_T12M_EBITDA",$B16+1,$B16+1))),E17))</f>
        <v>0</v>
      </c>
      <c r="F16" s="548">
        <f ca="1">(IFERROR(IFERROR(VALUE(_xll.BDH(F$4,"CURRENT_EV_TO_T12M_EBITDA",$B16,$B16)),VALUE(_xll.BDH(F$4,"CURRENT_EV_TO_T12M_EBITDA",$B16+1,$B16+1))),F17))</f>
        <v>0</v>
      </c>
      <c r="G16" s="548">
        <f ca="1">(IFERROR(IFERROR(VALUE(_xll.BDH(G$4,"CURRENT_EV_TO_T12M_EBITDA",$B16,$B16)),VALUE(_xll.BDH(G$4,"CURRENT_EV_TO_T12M_EBITDA",$B16+1,$B16+1))),G17))</f>
        <v>0</v>
      </c>
      <c r="H16" s="548">
        <f ca="1">(IFERROR(IFERROR(VALUE(_xll.BDH(H$4,"CURRENT_EV_TO_T12M_EBITDA",$B16,$B16)),VALUE(_xll.BDH(H$4,"CURRENT_EV_TO_T12M_EBITDA",$B16+1,$B16+1))),H17))</f>
        <v>0</v>
      </c>
      <c r="I16" s="552">
        <f t="shared" ca="1" si="3"/>
        <v>45874</v>
      </c>
      <c r="J16" s="548">
        <f ca="1">(IFERROR(IFERROR(VALUE(_xll.BDH(J$4,"PE_RATIO",$B16,$B16)),VALUE(_xll.BDH(J$4,"PE_RATIO",$B16+1,$B16+1))),J17))</f>
        <v>0</v>
      </c>
      <c r="K16" s="548">
        <f ca="1">(IFERROR(IFERROR(VALUE(_xll.BDH(K$4,"PE_RATIO",$B16,$B16)),VALUE(_xll.BDH(K$4,"PE_RATIO",$B16+1,$B16+1))),K17))</f>
        <v>0</v>
      </c>
      <c r="L16" s="548">
        <f ca="1">(IFERROR(IFERROR(VALUE(_xll.BDH(L$4,"PE_RATIO",$B16,$B16)),VALUE(_xll.BDH(L$4,"PE_RATIO",$B16+1,$B16+1))),L17))</f>
        <v>0</v>
      </c>
      <c r="M16" s="548">
        <f ca="1">(IFERROR(IFERROR(VALUE(_xll.BDH(M$4,"PE_RATIO",$B16,$B16)),VALUE(_xll.BDH(M$4,"PE_RATIO",$B16+1,$B16+1))),M17))</f>
        <v>0</v>
      </c>
      <c r="N16" s="548">
        <f ca="1">(IFERROR(IFERROR(VALUE(_xll.BDH(N$4,"PE_RATIO",$B16,$B16)),VALUE(_xll.BDH(N$4,"PE_RATIO",$B16+1,$B16+1))),N17))</f>
        <v>0</v>
      </c>
      <c r="O16" s="548">
        <f ca="1">(IFERROR(IFERROR(VALUE(_xll.BDH(O$4,"PE_RATIO",$B16,$B16)),VALUE(_xll.BDH(O$4,"PE_RATIO",$B16+1,$B16+1))),O17))</f>
        <v>0</v>
      </c>
      <c r="P16" s="548"/>
      <c r="Q16" s="552">
        <f t="shared" ca="1" si="4"/>
        <v>45874</v>
      </c>
      <c r="R16" s="4">
        <v>231.41</v>
      </c>
      <c r="S16" s="4">
        <v>6173.07</v>
      </c>
      <c r="T16" s="4">
        <v>0</v>
      </c>
      <c r="U16" s="4">
        <v>1.187814392772816</v>
      </c>
      <c r="V16" s="4">
        <v>1.7216185764247187</v>
      </c>
      <c r="W16" s="4" t="e">
        <v>#DIV/0!</v>
      </c>
      <c r="Y16" s="548">
        <f t="shared" si="5"/>
        <v>231.41</v>
      </c>
      <c r="Z16" s="4">
        <f ca="1">IFERROR(VALUE(_xll.BDH(Z$4,"PX_LAST",$Q16,$Q16)),Z17)</f>
        <v>0</v>
      </c>
      <c r="AA16" s="4">
        <f ca="1">IFERROR(VALUE(_xll.BDH(AA$4,"PX_LAST",$Q16,$Q16)),AA17)</f>
        <v>0</v>
      </c>
      <c r="AB16" s="4">
        <f ca="1">IFERROR(VALUE(_xll.BDH(AB$4,"PX_LAST",$Q16,$Q16)),AB17)</f>
        <v>0</v>
      </c>
      <c r="AC16" s="4">
        <f ca="1">IFERROR(VALUE(_xll.BDH(AC$4,"PX_LAST",$Q16,$Q16)),AC17)</f>
        <v>0</v>
      </c>
      <c r="AD16" s="4">
        <f ca="1">IFERROR(VALUE(_xll.BDH(AD$4,"PX_LAST",$Q16,$Q16)),AD17)</f>
        <v>0</v>
      </c>
      <c r="AF16" s="4">
        <f t="shared" si="6"/>
        <v>1.187814392772816</v>
      </c>
      <c r="AG16" s="4" t="e">
        <f t="shared" ca="1" si="7"/>
        <v>#DIV/0!</v>
      </c>
      <c r="AH16" s="4" t="e">
        <f t="shared" ca="1" si="8"/>
        <v>#DIV/0!</v>
      </c>
      <c r="AI16" s="4" t="e">
        <f t="shared" ca="1" si="9"/>
        <v>#DIV/0!</v>
      </c>
      <c r="AJ16" s="4" t="e">
        <f t="shared" ca="1" si="10"/>
        <v>#DIV/0!</v>
      </c>
      <c r="AK16" s="4" t="e">
        <f t="shared" ca="1" si="11"/>
        <v>#DIV/0!</v>
      </c>
      <c r="AM16" s="550">
        <f t="shared" ca="1" si="12"/>
        <v>45939</v>
      </c>
      <c r="AN16" s="551">
        <v>223.57</v>
      </c>
      <c r="AO16" s="551">
        <v>5012813</v>
      </c>
      <c r="AP16" s="551">
        <v>593.04367000000002</v>
      </c>
      <c r="AQ16" s="551">
        <v>132586.77330189999</v>
      </c>
      <c r="AR16" s="551">
        <v>5.5145</v>
      </c>
    </row>
    <row r="17" spans="2:44" x14ac:dyDescent="0.3">
      <c r="B17" s="552">
        <f t="shared" ca="1" si="13"/>
        <v>45867</v>
      </c>
      <c r="C17" s="548">
        <f ca="1">(IFERROR(IFERROR(VALUE(_xll.BDH(C$4,"CURRENT_EV_TO_T12M_EBITDA",$B17,$B17)),VALUE(_xll.BDH(C$4,"CURRENT_EV_TO_T12M_EBITDA",$B17+1,$B17+1))),C18))</f>
        <v>0</v>
      </c>
      <c r="D17" s="548">
        <f ca="1">(IFERROR(IFERROR(VALUE(_xll.BDH(D$4,"CURRENT_EV_TO_T12M_EBITDA",$B17,$B17)),VALUE(_xll.BDH(D$4,"CURRENT_EV_TO_T12M_EBITDA",$B17+1,$B17+1))),D18))</f>
        <v>0</v>
      </c>
      <c r="E17" s="548">
        <f ca="1">(IFERROR(IFERROR(VALUE(_xll.BDH(E$4,"CURRENT_EV_TO_T12M_EBITDA",$B17,$B17)),VALUE(_xll.BDH(E$4,"CURRENT_EV_TO_T12M_EBITDA",$B17+1,$B17+1))),E18))</f>
        <v>0</v>
      </c>
      <c r="F17" s="548">
        <f ca="1">(IFERROR(IFERROR(VALUE(_xll.BDH(F$4,"CURRENT_EV_TO_T12M_EBITDA",$B17,$B17)),VALUE(_xll.BDH(F$4,"CURRENT_EV_TO_T12M_EBITDA",$B17+1,$B17+1))),F18))</f>
        <v>0</v>
      </c>
      <c r="G17" s="548">
        <f ca="1">(IFERROR(IFERROR(VALUE(_xll.BDH(G$4,"CURRENT_EV_TO_T12M_EBITDA",$B17,$B17)),VALUE(_xll.BDH(G$4,"CURRENT_EV_TO_T12M_EBITDA",$B17+1,$B17+1))),G18))</f>
        <v>0</v>
      </c>
      <c r="H17" s="548">
        <f ca="1">(IFERROR(IFERROR(VALUE(_xll.BDH(H$4,"CURRENT_EV_TO_T12M_EBITDA",$B17,$B17)),VALUE(_xll.BDH(H$4,"CURRENT_EV_TO_T12M_EBITDA",$B17+1,$B17+1))),H18))</f>
        <v>0</v>
      </c>
      <c r="I17" s="552">
        <f t="shared" ca="1" si="3"/>
        <v>45867</v>
      </c>
      <c r="J17" s="548">
        <f ca="1">(IFERROR(IFERROR(VALUE(_xll.BDH(J$4,"PE_RATIO",$B17,$B17)),VALUE(_xll.BDH(J$4,"PE_RATIO",$B17+1,$B17+1))),J18))</f>
        <v>0</v>
      </c>
      <c r="K17" s="548">
        <f ca="1">(IFERROR(IFERROR(VALUE(_xll.BDH(K$4,"PE_RATIO",$B17,$B17)),VALUE(_xll.BDH(K$4,"PE_RATIO",$B17+1,$B17+1))),K18))</f>
        <v>0</v>
      </c>
      <c r="L17" s="548">
        <f ca="1">(IFERROR(IFERROR(VALUE(_xll.BDH(L$4,"PE_RATIO",$B17,$B17)),VALUE(_xll.BDH(L$4,"PE_RATIO",$B17+1,$B17+1))),L18))</f>
        <v>0</v>
      </c>
      <c r="M17" s="548">
        <f ca="1">(IFERROR(IFERROR(VALUE(_xll.BDH(M$4,"PE_RATIO",$B17,$B17)),VALUE(_xll.BDH(M$4,"PE_RATIO",$B17+1,$B17+1))),M18))</f>
        <v>0</v>
      </c>
      <c r="N17" s="548">
        <f ca="1">(IFERROR(IFERROR(VALUE(_xll.BDH(N$4,"PE_RATIO",$B17,$B17)),VALUE(_xll.BDH(N$4,"PE_RATIO",$B17+1,$B17+1))),N18))</f>
        <v>0</v>
      </c>
      <c r="O17" s="548">
        <f ca="1">(IFERROR(IFERROR(VALUE(_xll.BDH(O$4,"PE_RATIO",$B17,$B17)),VALUE(_xll.BDH(O$4,"PE_RATIO",$B17+1,$B17+1))),O18))</f>
        <v>0</v>
      </c>
      <c r="P17" s="548"/>
      <c r="Q17" s="552">
        <f t="shared" ca="1" si="4"/>
        <v>45867</v>
      </c>
      <c r="R17" s="4">
        <v>222.51</v>
      </c>
      <c r="S17" s="4">
        <v>5967.84</v>
      </c>
      <c r="T17" s="4">
        <v>0</v>
      </c>
      <c r="U17" s="4">
        <v>1.1421311980289497</v>
      </c>
      <c r="V17" s="4">
        <v>1.6643816132217024</v>
      </c>
      <c r="W17" s="4" t="e">
        <v>#DIV/0!</v>
      </c>
      <c r="Y17" s="548">
        <f t="shared" si="5"/>
        <v>222.51</v>
      </c>
      <c r="Z17" s="4">
        <f ca="1">IFERROR(VALUE(_xll.BDH(Z$4,"PX_LAST",$Q17,$Q17)),Z18)</f>
        <v>0</v>
      </c>
      <c r="AA17" s="4">
        <f ca="1">IFERROR(VALUE(_xll.BDH(AA$4,"PX_LAST",$Q17,$Q17)),AA18)</f>
        <v>0</v>
      </c>
      <c r="AB17" s="4">
        <f ca="1">IFERROR(VALUE(_xll.BDH(AB$4,"PX_LAST",$Q17,$Q17)),AB18)</f>
        <v>0</v>
      </c>
      <c r="AC17" s="4">
        <f ca="1">IFERROR(VALUE(_xll.BDH(AC$4,"PX_LAST",$Q17,$Q17)),AC18)</f>
        <v>0</v>
      </c>
      <c r="AD17" s="4">
        <f ca="1">IFERROR(VALUE(_xll.BDH(AD$4,"PX_LAST",$Q17,$Q17)),AD18)</f>
        <v>0</v>
      </c>
      <c r="AF17" s="4">
        <f t="shared" si="6"/>
        <v>1.1421311980289497</v>
      </c>
      <c r="AG17" s="4" t="e">
        <f t="shared" ca="1" si="7"/>
        <v>#DIV/0!</v>
      </c>
      <c r="AH17" s="4" t="e">
        <f t="shared" ca="1" si="8"/>
        <v>#DIV/0!</v>
      </c>
      <c r="AI17" s="4" t="e">
        <f t="shared" ca="1" si="9"/>
        <v>#DIV/0!</v>
      </c>
      <c r="AJ17" s="4" t="e">
        <f t="shared" ca="1" si="10"/>
        <v>#DIV/0!</v>
      </c>
      <c r="AK17" s="4" t="e">
        <f t="shared" ca="1" si="11"/>
        <v>#DIV/0!</v>
      </c>
      <c r="AM17" s="550">
        <f t="shared" ca="1" si="12"/>
        <v>45938</v>
      </c>
      <c r="AN17" s="551">
        <v>223.57</v>
      </c>
      <c r="AO17" s="551">
        <v>5012813</v>
      </c>
      <c r="AP17" s="551">
        <v>593.04367000000002</v>
      </c>
      <c r="AQ17" s="551">
        <v>132586.77330189999</v>
      </c>
      <c r="AR17" s="551">
        <v>5.5145</v>
      </c>
    </row>
    <row r="18" spans="2:44" x14ac:dyDescent="0.3">
      <c r="B18" s="552">
        <f t="shared" ca="1" si="13"/>
        <v>45860</v>
      </c>
      <c r="C18" s="548">
        <f ca="1">(IFERROR(IFERROR(VALUE(_xll.BDH(C$4,"CURRENT_EV_TO_T12M_EBITDA",$B18,$B18)),VALUE(_xll.BDH(C$4,"CURRENT_EV_TO_T12M_EBITDA",$B18+1,$B18+1))),C19))</f>
        <v>0</v>
      </c>
      <c r="D18" s="548">
        <f ca="1">(IFERROR(IFERROR(VALUE(_xll.BDH(D$4,"CURRENT_EV_TO_T12M_EBITDA",$B18,$B18)),VALUE(_xll.BDH(D$4,"CURRENT_EV_TO_T12M_EBITDA",$B18+1,$B18+1))),D19))</f>
        <v>0</v>
      </c>
      <c r="E18" s="548">
        <f ca="1">(IFERROR(IFERROR(VALUE(_xll.BDH(E$4,"CURRENT_EV_TO_T12M_EBITDA",$B18,$B18)),VALUE(_xll.BDH(E$4,"CURRENT_EV_TO_T12M_EBITDA",$B18+1,$B18+1))),E19))</f>
        <v>0</v>
      </c>
      <c r="F18" s="548">
        <f ca="1">(IFERROR(IFERROR(VALUE(_xll.BDH(F$4,"CURRENT_EV_TO_T12M_EBITDA",$B18,$B18)),VALUE(_xll.BDH(F$4,"CURRENT_EV_TO_T12M_EBITDA",$B18+1,$B18+1))),F19))</f>
        <v>0</v>
      </c>
      <c r="G18" s="548">
        <f ca="1">(IFERROR(IFERROR(VALUE(_xll.BDH(G$4,"CURRENT_EV_TO_T12M_EBITDA",$B18,$B18)),VALUE(_xll.BDH(G$4,"CURRENT_EV_TO_T12M_EBITDA",$B18+1,$B18+1))),G19))</f>
        <v>0</v>
      </c>
      <c r="H18" s="548">
        <f ca="1">(IFERROR(IFERROR(VALUE(_xll.BDH(H$4,"CURRENT_EV_TO_T12M_EBITDA",$B18,$B18)),VALUE(_xll.BDH(H$4,"CURRENT_EV_TO_T12M_EBITDA",$B18+1,$B18+1))),H19))</f>
        <v>0</v>
      </c>
      <c r="I18" s="552">
        <f t="shared" ca="1" si="3"/>
        <v>45860</v>
      </c>
      <c r="J18" s="548">
        <f ca="1">(IFERROR(IFERROR(VALUE(_xll.BDH(J$4,"PE_RATIO",$B18,$B18)),VALUE(_xll.BDH(J$4,"PE_RATIO",$B18+1,$B18+1))),J19))</f>
        <v>0</v>
      </c>
      <c r="K18" s="548">
        <f ca="1">(IFERROR(IFERROR(VALUE(_xll.BDH(K$4,"PE_RATIO",$B18,$B18)),VALUE(_xll.BDH(K$4,"PE_RATIO",$B18+1,$B18+1))),K19))</f>
        <v>0</v>
      </c>
      <c r="L18" s="548">
        <f ca="1">(IFERROR(IFERROR(VALUE(_xll.BDH(L$4,"PE_RATIO",$B18,$B18)),VALUE(_xll.BDH(L$4,"PE_RATIO",$B18+1,$B18+1))),L19))</f>
        <v>0</v>
      </c>
      <c r="M18" s="548">
        <f ca="1">(IFERROR(IFERROR(VALUE(_xll.BDH(M$4,"PE_RATIO",$B18,$B18)),VALUE(_xll.BDH(M$4,"PE_RATIO",$B18+1,$B18+1))),M19))</f>
        <v>0</v>
      </c>
      <c r="N18" s="548">
        <f ca="1">(IFERROR(IFERROR(VALUE(_xll.BDH(N$4,"PE_RATIO",$B18,$B18)),VALUE(_xll.BDH(N$4,"PE_RATIO",$B18+1,$B18+1))),N19))</f>
        <v>0</v>
      </c>
      <c r="O18" s="548">
        <f ca="1">(IFERROR(IFERROR(VALUE(_xll.BDH(O$4,"PE_RATIO",$B18,$B18)),VALUE(_xll.BDH(O$4,"PE_RATIO",$B18+1,$B18+1))),O19))</f>
        <v>0</v>
      </c>
      <c r="P18" s="548"/>
      <c r="Q18" s="552">
        <f t="shared" ca="1" si="4"/>
        <v>45860</v>
      </c>
      <c r="R18" s="4">
        <v>223.37</v>
      </c>
      <c r="S18" s="4">
        <v>5976.97</v>
      </c>
      <c r="T18" s="4">
        <v>0</v>
      </c>
      <c r="U18" s="4">
        <v>1.146545529206447</v>
      </c>
      <c r="V18" s="4">
        <v>1.6669278953151758</v>
      </c>
      <c r="W18" s="4" t="e">
        <v>#DIV/0!</v>
      </c>
      <c r="Y18" s="548">
        <f t="shared" si="5"/>
        <v>223.37</v>
      </c>
      <c r="Z18" s="4">
        <f ca="1">IFERROR(VALUE(_xll.BDH(Z$4,"PX_LAST",$Q18,$Q18)),Z19)</f>
        <v>0</v>
      </c>
      <c r="AA18" s="4">
        <f ca="1">IFERROR(VALUE(_xll.BDH(AA$4,"PX_LAST",$Q18,$Q18)),AA19)</f>
        <v>0</v>
      </c>
      <c r="AB18" s="4">
        <f ca="1">IFERROR(VALUE(_xll.BDH(AB$4,"PX_LAST",$Q18,$Q18)),AB19)</f>
        <v>0</v>
      </c>
      <c r="AC18" s="4">
        <f ca="1">IFERROR(VALUE(_xll.BDH(AC$4,"PX_LAST",$Q18,$Q18)),AC19)</f>
        <v>0</v>
      </c>
      <c r="AD18" s="4">
        <f ca="1">IFERROR(VALUE(_xll.BDH(AD$4,"PX_LAST",$Q18,$Q18)),AD19)</f>
        <v>0</v>
      </c>
      <c r="AF18" s="4">
        <f t="shared" si="6"/>
        <v>1.146545529206447</v>
      </c>
      <c r="AG18" s="4" t="e">
        <f t="shared" ca="1" si="7"/>
        <v>#DIV/0!</v>
      </c>
      <c r="AH18" s="4" t="e">
        <f t="shared" ca="1" si="8"/>
        <v>#DIV/0!</v>
      </c>
      <c r="AI18" s="4" t="e">
        <f t="shared" ca="1" si="9"/>
        <v>#DIV/0!</v>
      </c>
      <c r="AJ18" s="4" t="e">
        <f t="shared" ca="1" si="10"/>
        <v>#DIV/0!</v>
      </c>
      <c r="AK18" s="4" t="e">
        <f t="shared" ca="1" si="11"/>
        <v>#DIV/0!</v>
      </c>
      <c r="AM18" s="550">
        <f t="shared" ca="1" si="12"/>
        <v>45937</v>
      </c>
      <c r="AN18" s="551">
        <v>223.57</v>
      </c>
      <c r="AO18" s="551">
        <v>5012813</v>
      </c>
      <c r="AP18" s="551">
        <v>593.04367000000002</v>
      </c>
      <c r="AQ18" s="551">
        <v>132586.77330189999</v>
      </c>
      <c r="AR18" s="551">
        <v>5.5145</v>
      </c>
    </row>
    <row r="19" spans="2:44" x14ac:dyDescent="0.3">
      <c r="B19" s="552">
        <f t="shared" ca="1" si="13"/>
        <v>45853</v>
      </c>
      <c r="C19" s="548">
        <f ca="1">(IFERROR(IFERROR(VALUE(_xll.BDH(C$4,"CURRENT_EV_TO_T12M_EBITDA",$B19,$B19)),VALUE(_xll.BDH(C$4,"CURRENT_EV_TO_T12M_EBITDA",$B19+1,$B19+1))),C20))</f>
        <v>0</v>
      </c>
      <c r="D19" s="548">
        <f ca="1">(IFERROR(IFERROR(VALUE(_xll.BDH(D$4,"CURRENT_EV_TO_T12M_EBITDA",$B19,$B19)),VALUE(_xll.BDH(D$4,"CURRENT_EV_TO_T12M_EBITDA",$B19+1,$B19+1))),D20))</f>
        <v>0</v>
      </c>
      <c r="E19" s="548">
        <f ca="1">(IFERROR(IFERROR(VALUE(_xll.BDH(E$4,"CURRENT_EV_TO_T12M_EBITDA",$B19,$B19)),VALUE(_xll.BDH(E$4,"CURRENT_EV_TO_T12M_EBITDA",$B19+1,$B19+1))),E20))</f>
        <v>0</v>
      </c>
      <c r="F19" s="548">
        <f ca="1">(IFERROR(IFERROR(VALUE(_xll.BDH(F$4,"CURRENT_EV_TO_T12M_EBITDA",$B19,$B19)),VALUE(_xll.BDH(F$4,"CURRENT_EV_TO_T12M_EBITDA",$B19+1,$B19+1))),F20))</f>
        <v>0</v>
      </c>
      <c r="G19" s="548">
        <f ca="1">(IFERROR(IFERROR(VALUE(_xll.BDH(G$4,"CURRENT_EV_TO_T12M_EBITDA",$B19,$B19)),VALUE(_xll.BDH(G$4,"CURRENT_EV_TO_T12M_EBITDA",$B19+1,$B19+1))),G20))</f>
        <v>0</v>
      </c>
      <c r="H19" s="548">
        <f ca="1">(IFERROR(IFERROR(VALUE(_xll.BDH(H$4,"CURRENT_EV_TO_T12M_EBITDA",$B19,$B19)),VALUE(_xll.BDH(H$4,"CURRENT_EV_TO_T12M_EBITDA",$B19+1,$B19+1))),H20))</f>
        <v>0</v>
      </c>
      <c r="I19" s="552">
        <f t="shared" ca="1" si="3"/>
        <v>45853</v>
      </c>
      <c r="J19" s="548">
        <f ca="1">(IFERROR(IFERROR(VALUE(_xll.BDH(J$4,"PE_RATIO",$B19,$B19)),VALUE(_xll.BDH(J$4,"PE_RATIO",$B19+1,$B19+1))),J20))</f>
        <v>0</v>
      </c>
      <c r="K19" s="548">
        <f ca="1">(IFERROR(IFERROR(VALUE(_xll.BDH(K$4,"PE_RATIO",$B19,$B19)),VALUE(_xll.BDH(K$4,"PE_RATIO",$B19+1,$B19+1))),K20))</f>
        <v>0</v>
      </c>
      <c r="L19" s="548">
        <f ca="1">(IFERROR(IFERROR(VALUE(_xll.BDH(L$4,"PE_RATIO",$B19,$B19)),VALUE(_xll.BDH(L$4,"PE_RATIO",$B19+1,$B19+1))),L20))</f>
        <v>0</v>
      </c>
      <c r="M19" s="548">
        <f ca="1">(IFERROR(IFERROR(VALUE(_xll.BDH(M$4,"PE_RATIO",$B19,$B19)),VALUE(_xll.BDH(M$4,"PE_RATIO",$B19+1,$B19+1))),M20))</f>
        <v>0</v>
      </c>
      <c r="N19" s="548">
        <f ca="1">(IFERROR(IFERROR(VALUE(_xll.BDH(N$4,"PE_RATIO",$B19,$B19)),VALUE(_xll.BDH(N$4,"PE_RATIO",$B19+1,$B19+1))),N20))</f>
        <v>0</v>
      </c>
      <c r="O19" s="548">
        <f ca="1">(IFERROR(IFERROR(VALUE(_xll.BDH(O$4,"PE_RATIO",$B19,$B19)),VALUE(_xll.BDH(O$4,"PE_RATIO",$B19+1,$B19+1))),O20))</f>
        <v>0</v>
      </c>
      <c r="P19" s="548"/>
      <c r="Q19" s="552">
        <f t="shared" ca="1" si="4"/>
        <v>45853</v>
      </c>
      <c r="R19" s="4">
        <v>223.43</v>
      </c>
      <c r="S19" s="4">
        <v>6000.36</v>
      </c>
      <c r="T19" s="4">
        <v>0</v>
      </c>
      <c r="U19" s="4">
        <v>1.1468535058002258</v>
      </c>
      <c r="V19" s="4">
        <v>1.6734511744133511</v>
      </c>
      <c r="W19" s="4" t="e">
        <v>#DIV/0!</v>
      </c>
      <c r="Y19" s="548">
        <f t="shared" si="5"/>
        <v>223.43</v>
      </c>
      <c r="Z19" s="4">
        <f ca="1">IFERROR(VALUE(_xll.BDH(Z$4,"PX_LAST",$Q19,$Q19)),Z20)</f>
        <v>0</v>
      </c>
      <c r="AA19" s="4">
        <f ca="1">IFERROR(VALUE(_xll.BDH(AA$4,"PX_LAST",$Q19,$Q19)),AA20)</f>
        <v>0</v>
      </c>
      <c r="AB19" s="4">
        <f ca="1">IFERROR(VALUE(_xll.BDH(AB$4,"PX_LAST",$Q19,$Q19)),AB20)</f>
        <v>0</v>
      </c>
      <c r="AC19" s="4">
        <f ca="1">IFERROR(VALUE(_xll.BDH(AC$4,"PX_LAST",$Q19,$Q19)),AC20)</f>
        <v>0</v>
      </c>
      <c r="AD19" s="4">
        <f ca="1">IFERROR(VALUE(_xll.BDH(AD$4,"PX_LAST",$Q19,$Q19)),AD20)</f>
        <v>0</v>
      </c>
      <c r="AF19" s="4">
        <f t="shared" si="6"/>
        <v>1.1468535058002258</v>
      </c>
      <c r="AG19" s="4" t="e">
        <f t="shared" ca="1" si="7"/>
        <v>#DIV/0!</v>
      </c>
      <c r="AH19" s="4" t="e">
        <f t="shared" ca="1" si="8"/>
        <v>#DIV/0!</v>
      </c>
      <c r="AI19" s="4" t="e">
        <f t="shared" ca="1" si="9"/>
        <v>#DIV/0!</v>
      </c>
      <c r="AJ19" s="4" t="e">
        <f t="shared" ca="1" si="10"/>
        <v>#DIV/0!</v>
      </c>
      <c r="AK19" s="4" t="e">
        <f t="shared" ca="1" si="11"/>
        <v>#DIV/0!</v>
      </c>
      <c r="AM19" s="550">
        <f t="shared" ca="1" si="12"/>
        <v>45936</v>
      </c>
      <c r="AN19" s="551">
        <v>222.35</v>
      </c>
      <c r="AO19" s="551">
        <v>6299537</v>
      </c>
      <c r="AP19" s="551">
        <v>593.04367000000002</v>
      </c>
      <c r="AQ19" s="551">
        <v>131863.26002449999</v>
      </c>
      <c r="AR19" s="551">
        <v>5.4843999999999999</v>
      </c>
    </row>
    <row r="20" spans="2:44" x14ac:dyDescent="0.3">
      <c r="B20" s="552">
        <f t="shared" ca="1" si="13"/>
        <v>45846</v>
      </c>
      <c r="C20" s="548">
        <f ca="1">(IFERROR(IFERROR(VALUE(_xll.BDH(C$4,"CURRENT_EV_TO_T12M_EBITDA",$B20,$B20)),VALUE(_xll.BDH(C$4,"CURRENT_EV_TO_T12M_EBITDA",$B20+1,$B20+1))),C21))</f>
        <v>0</v>
      </c>
      <c r="D20" s="548">
        <f ca="1">(IFERROR(IFERROR(VALUE(_xll.BDH(D$4,"CURRENT_EV_TO_T12M_EBITDA",$B20,$B20)),VALUE(_xll.BDH(D$4,"CURRENT_EV_TO_T12M_EBITDA",$B20+1,$B20+1))),D21))</f>
        <v>0</v>
      </c>
      <c r="E20" s="548">
        <f ca="1">(IFERROR(IFERROR(VALUE(_xll.BDH(E$4,"CURRENT_EV_TO_T12M_EBITDA",$B20,$B20)),VALUE(_xll.BDH(E$4,"CURRENT_EV_TO_T12M_EBITDA",$B20+1,$B20+1))),E21))</f>
        <v>0</v>
      </c>
      <c r="F20" s="548">
        <f ca="1">(IFERROR(IFERROR(VALUE(_xll.BDH(F$4,"CURRENT_EV_TO_T12M_EBITDA",$B20,$B20)),VALUE(_xll.BDH(F$4,"CURRENT_EV_TO_T12M_EBITDA",$B20+1,$B20+1))),F21))</f>
        <v>0</v>
      </c>
      <c r="G20" s="548">
        <f ca="1">(IFERROR(IFERROR(VALUE(_xll.BDH(G$4,"CURRENT_EV_TO_T12M_EBITDA",$B20,$B20)),VALUE(_xll.BDH(G$4,"CURRENT_EV_TO_T12M_EBITDA",$B20+1,$B20+1))),G21))</f>
        <v>0</v>
      </c>
      <c r="H20" s="548">
        <f ca="1">(IFERROR(IFERROR(VALUE(_xll.BDH(H$4,"CURRENT_EV_TO_T12M_EBITDA",$B20,$B20)),VALUE(_xll.BDH(H$4,"CURRENT_EV_TO_T12M_EBITDA",$B20+1,$B20+1))),H21))</f>
        <v>0</v>
      </c>
      <c r="I20" s="552">
        <f t="shared" ca="1" si="3"/>
        <v>45846</v>
      </c>
      <c r="J20" s="548">
        <f ca="1">(IFERROR(IFERROR(VALUE(_xll.BDH(J$4,"PE_RATIO",$B20,$B20)),VALUE(_xll.BDH(J$4,"PE_RATIO",$B20+1,$B20+1))),J21))</f>
        <v>0</v>
      </c>
      <c r="K20" s="548">
        <f ca="1">(IFERROR(IFERROR(VALUE(_xll.BDH(K$4,"PE_RATIO",$B20,$B20)),VALUE(_xll.BDH(K$4,"PE_RATIO",$B20+1,$B20+1))),K21))</f>
        <v>0</v>
      </c>
      <c r="L20" s="548">
        <f ca="1">(IFERROR(IFERROR(VALUE(_xll.BDH(L$4,"PE_RATIO",$B20,$B20)),VALUE(_xll.BDH(L$4,"PE_RATIO",$B20+1,$B20+1))),L21))</f>
        <v>0</v>
      </c>
      <c r="M20" s="548">
        <f ca="1">(IFERROR(IFERROR(VALUE(_xll.BDH(M$4,"PE_RATIO",$B20,$B20)),VALUE(_xll.BDH(M$4,"PE_RATIO",$B20+1,$B20+1))),M21))</f>
        <v>0</v>
      </c>
      <c r="N20" s="548">
        <f ca="1">(IFERROR(IFERROR(VALUE(_xll.BDH(N$4,"PE_RATIO",$B20,$B20)),VALUE(_xll.BDH(N$4,"PE_RATIO",$B20+1,$B20+1))),N21))</f>
        <v>0</v>
      </c>
      <c r="O20" s="548">
        <f ca="1">(IFERROR(IFERROR(VALUE(_xll.BDH(O$4,"PE_RATIO",$B20,$B20)),VALUE(_xll.BDH(O$4,"PE_RATIO",$B20+1,$B20+1))),O21))</f>
        <v>0</v>
      </c>
      <c r="P20" s="548"/>
      <c r="Q20" s="552">
        <f t="shared" ca="1" si="4"/>
        <v>45846</v>
      </c>
      <c r="R20" s="4">
        <v>221.66</v>
      </c>
      <c r="S20" s="4">
        <v>5911.69</v>
      </c>
      <c r="T20" s="4">
        <v>0</v>
      </c>
      <c r="U20" s="4">
        <v>1.1377681962837491</v>
      </c>
      <c r="V20" s="4">
        <v>1.6487218389009433</v>
      </c>
      <c r="W20" s="4" t="e">
        <v>#DIV/0!</v>
      </c>
      <c r="Y20" s="548">
        <f t="shared" si="5"/>
        <v>221.66</v>
      </c>
      <c r="Z20" s="4">
        <f ca="1">IFERROR(VALUE(_xll.BDH(Z$4,"PX_LAST",$Q20,$Q20)),Z21)</f>
        <v>0</v>
      </c>
      <c r="AA20" s="4">
        <f ca="1">IFERROR(VALUE(_xll.BDH(AA$4,"PX_LAST",$Q20,$Q20)),AA21)</f>
        <v>0</v>
      </c>
      <c r="AB20" s="4">
        <f ca="1">IFERROR(VALUE(_xll.BDH(AB$4,"PX_LAST",$Q20,$Q20)),AB21)</f>
        <v>0</v>
      </c>
      <c r="AC20" s="4">
        <f ca="1">IFERROR(VALUE(_xll.BDH(AC$4,"PX_LAST",$Q20,$Q20)),AC21)</f>
        <v>0</v>
      </c>
      <c r="AD20" s="4">
        <f ca="1">IFERROR(VALUE(_xll.BDH(AD$4,"PX_LAST",$Q20,$Q20)),AD21)</f>
        <v>0</v>
      </c>
      <c r="AF20" s="4">
        <f t="shared" si="6"/>
        <v>1.1377681962837491</v>
      </c>
      <c r="AG20" s="4" t="e">
        <f t="shared" ca="1" si="7"/>
        <v>#DIV/0!</v>
      </c>
      <c r="AH20" s="4" t="e">
        <f t="shared" ca="1" si="8"/>
        <v>#DIV/0!</v>
      </c>
      <c r="AI20" s="4" t="e">
        <f t="shared" ca="1" si="9"/>
        <v>#DIV/0!</v>
      </c>
      <c r="AJ20" s="4" t="e">
        <f t="shared" ca="1" si="10"/>
        <v>#DIV/0!</v>
      </c>
      <c r="AK20" s="4" t="e">
        <f t="shared" ca="1" si="11"/>
        <v>#DIV/0!</v>
      </c>
      <c r="AM20" s="550">
        <f t="shared" ca="1" si="12"/>
        <v>45935</v>
      </c>
      <c r="AN20" s="551">
        <v>220.95</v>
      </c>
      <c r="AO20" s="551">
        <v>3465070</v>
      </c>
      <c r="AP20" s="551">
        <v>593.04367000000002</v>
      </c>
      <c r="AQ20" s="551">
        <v>131032.99888649999</v>
      </c>
      <c r="AR20" s="551">
        <v>5.4499000000000004</v>
      </c>
    </row>
    <row r="21" spans="2:44" x14ac:dyDescent="0.3">
      <c r="B21" s="552">
        <f t="shared" ca="1" si="13"/>
        <v>45839</v>
      </c>
      <c r="C21" s="548">
        <f ca="1">(IFERROR(IFERROR(VALUE(_xll.BDH(C$4,"CURRENT_EV_TO_T12M_EBITDA",$B21,$B21)),VALUE(_xll.BDH(C$4,"CURRENT_EV_TO_T12M_EBITDA",$B21+1,$B21+1))),C22))</f>
        <v>0</v>
      </c>
      <c r="D21" s="548">
        <f ca="1">(IFERROR(IFERROR(VALUE(_xll.BDH(D$4,"CURRENT_EV_TO_T12M_EBITDA",$B21,$B21)),VALUE(_xll.BDH(D$4,"CURRENT_EV_TO_T12M_EBITDA",$B21+1,$B21+1))),D22))</f>
        <v>0</v>
      </c>
      <c r="E21" s="548">
        <f ca="1">(IFERROR(IFERROR(VALUE(_xll.BDH(E$4,"CURRENT_EV_TO_T12M_EBITDA",$B21,$B21)),VALUE(_xll.BDH(E$4,"CURRENT_EV_TO_T12M_EBITDA",$B21+1,$B21+1))),E22))</f>
        <v>0</v>
      </c>
      <c r="F21" s="548">
        <f ca="1">(IFERROR(IFERROR(VALUE(_xll.BDH(F$4,"CURRENT_EV_TO_T12M_EBITDA",$B21,$B21)),VALUE(_xll.BDH(F$4,"CURRENT_EV_TO_T12M_EBITDA",$B21+1,$B21+1))),F22))</f>
        <v>0</v>
      </c>
      <c r="G21" s="548">
        <f ca="1">(IFERROR(IFERROR(VALUE(_xll.BDH(G$4,"CURRENT_EV_TO_T12M_EBITDA",$B21,$B21)),VALUE(_xll.BDH(G$4,"CURRENT_EV_TO_T12M_EBITDA",$B21+1,$B21+1))),G22))</f>
        <v>0</v>
      </c>
      <c r="H21" s="548">
        <f ca="1">(IFERROR(IFERROR(VALUE(_xll.BDH(H$4,"CURRENT_EV_TO_T12M_EBITDA",$B21,$B21)),VALUE(_xll.BDH(H$4,"CURRENT_EV_TO_T12M_EBITDA",$B21+1,$B21+1))),H22))</f>
        <v>0</v>
      </c>
      <c r="I21" s="552">
        <f t="shared" ca="1" si="3"/>
        <v>45839</v>
      </c>
      <c r="J21" s="548">
        <f ca="1">(IFERROR(IFERROR(VALUE(_xll.BDH(J$4,"PE_RATIO",$B21,$B21)),VALUE(_xll.BDH(J$4,"PE_RATIO",$B21+1,$B21+1))),J22))</f>
        <v>0</v>
      </c>
      <c r="K21" s="548">
        <f ca="1">(IFERROR(IFERROR(VALUE(_xll.BDH(K$4,"PE_RATIO",$B21,$B21)),VALUE(_xll.BDH(K$4,"PE_RATIO",$B21+1,$B21+1))),K22))</f>
        <v>0</v>
      </c>
      <c r="L21" s="548">
        <f ca="1">(IFERROR(IFERROR(VALUE(_xll.BDH(L$4,"PE_RATIO",$B21,$B21)),VALUE(_xll.BDH(L$4,"PE_RATIO",$B21+1,$B21+1))),L22))</f>
        <v>0</v>
      </c>
      <c r="M21" s="548">
        <f ca="1">(IFERROR(IFERROR(VALUE(_xll.BDH(M$4,"PE_RATIO",$B21,$B21)),VALUE(_xll.BDH(M$4,"PE_RATIO",$B21+1,$B21+1))),M22))</f>
        <v>0</v>
      </c>
      <c r="N21" s="548">
        <f ca="1">(IFERROR(IFERROR(VALUE(_xll.BDH(N$4,"PE_RATIO",$B21,$B21)),VALUE(_xll.BDH(N$4,"PE_RATIO",$B21+1,$B21+1))),N22))</f>
        <v>0</v>
      </c>
      <c r="O21" s="548">
        <f ca="1">(IFERROR(IFERROR(VALUE(_xll.BDH(O$4,"PE_RATIO",$B21,$B21)),VALUE(_xll.BDH(O$4,"PE_RATIO",$B21+1,$B21+1))),O22))</f>
        <v>0</v>
      </c>
      <c r="P21" s="548"/>
      <c r="Q21" s="552">
        <f t="shared" ca="1" si="4"/>
        <v>45839</v>
      </c>
      <c r="R21" s="4">
        <v>222.11</v>
      </c>
      <c r="S21" s="4">
        <v>5802.82</v>
      </c>
      <c r="T21" s="4">
        <v>0</v>
      </c>
      <c r="U21" s="4">
        <v>1.1400780207370909</v>
      </c>
      <c r="V21" s="4">
        <v>1.6183588891181999</v>
      </c>
      <c r="W21" s="4" t="e">
        <v>#DIV/0!</v>
      </c>
      <c r="Y21" s="548">
        <f t="shared" si="5"/>
        <v>222.11</v>
      </c>
      <c r="Z21" s="4">
        <f ca="1">IFERROR(VALUE(_xll.BDH(Z$4,"PX_LAST",$Q21,$Q21)),Z22)</f>
        <v>0</v>
      </c>
      <c r="AA21" s="4">
        <f ca="1">IFERROR(VALUE(_xll.BDH(AA$4,"PX_LAST",$Q21,$Q21)),AA22)</f>
        <v>0</v>
      </c>
      <c r="AB21" s="4">
        <f ca="1">IFERROR(VALUE(_xll.BDH(AB$4,"PX_LAST",$Q21,$Q21)),AB22)</f>
        <v>0</v>
      </c>
      <c r="AC21" s="4">
        <f ca="1">IFERROR(VALUE(_xll.BDH(AC$4,"PX_LAST",$Q21,$Q21)),AC22)</f>
        <v>0</v>
      </c>
      <c r="AD21" s="4">
        <f ca="1">IFERROR(VALUE(_xll.BDH(AD$4,"PX_LAST",$Q21,$Q21)),AD22)</f>
        <v>0</v>
      </c>
      <c r="AF21" s="4">
        <f t="shared" si="6"/>
        <v>1.1400780207370909</v>
      </c>
      <c r="AG21" s="4" t="e">
        <f t="shared" ca="1" si="7"/>
        <v>#DIV/0!</v>
      </c>
      <c r="AH21" s="4" t="e">
        <f t="shared" ca="1" si="8"/>
        <v>#DIV/0!</v>
      </c>
      <c r="AI21" s="4" t="e">
        <f t="shared" ca="1" si="9"/>
        <v>#DIV/0!</v>
      </c>
      <c r="AJ21" s="4" t="e">
        <f t="shared" ca="1" si="10"/>
        <v>#DIV/0!</v>
      </c>
      <c r="AK21" s="4" t="e">
        <f t="shared" ca="1" si="11"/>
        <v>#DIV/0!</v>
      </c>
      <c r="AM21" s="550">
        <f t="shared" ca="1" si="12"/>
        <v>45934</v>
      </c>
      <c r="AN21" s="551">
        <v>222.74</v>
      </c>
      <c r="AO21" s="551">
        <v>3757977</v>
      </c>
      <c r="AP21" s="551">
        <v>593.04367000000002</v>
      </c>
      <c r="AQ21" s="551">
        <v>132094.54705580001</v>
      </c>
      <c r="AR21" s="551">
        <v>5.4939999999999998</v>
      </c>
    </row>
    <row r="22" spans="2:44" x14ac:dyDescent="0.3">
      <c r="B22" s="552">
        <f t="shared" ca="1" si="13"/>
        <v>45832</v>
      </c>
      <c r="C22" s="548">
        <f ca="1">(IFERROR(IFERROR(VALUE(_xll.BDH(C$4,"CURRENT_EV_TO_T12M_EBITDA",$B22,$B22)),VALUE(_xll.BDH(C$4,"CURRENT_EV_TO_T12M_EBITDA",$B22+1,$B22+1))),C23))</f>
        <v>0</v>
      </c>
      <c r="D22" s="548">
        <f ca="1">(IFERROR(IFERROR(VALUE(_xll.BDH(D$4,"CURRENT_EV_TO_T12M_EBITDA",$B22,$B22)),VALUE(_xll.BDH(D$4,"CURRENT_EV_TO_T12M_EBITDA",$B22+1,$B22+1))),D23))</f>
        <v>0</v>
      </c>
      <c r="E22" s="548">
        <f ca="1">(IFERROR(IFERROR(VALUE(_xll.BDH(E$4,"CURRENT_EV_TO_T12M_EBITDA",$B22,$B22)),VALUE(_xll.BDH(E$4,"CURRENT_EV_TO_T12M_EBITDA",$B22+1,$B22+1))),E23))</f>
        <v>0</v>
      </c>
      <c r="F22" s="548">
        <f ca="1">(IFERROR(IFERROR(VALUE(_xll.BDH(F$4,"CURRENT_EV_TO_T12M_EBITDA",$B22,$B22)),VALUE(_xll.BDH(F$4,"CURRENT_EV_TO_T12M_EBITDA",$B22+1,$B22+1))),F23))</f>
        <v>0</v>
      </c>
      <c r="G22" s="548">
        <f ca="1">(IFERROR(IFERROR(VALUE(_xll.BDH(G$4,"CURRENT_EV_TO_T12M_EBITDA",$B22,$B22)),VALUE(_xll.BDH(G$4,"CURRENT_EV_TO_T12M_EBITDA",$B22+1,$B22+1))),G23))</f>
        <v>0</v>
      </c>
      <c r="H22" s="548">
        <f ca="1">(IFERROR(IFERROR(VALUE(_xll.BDH(H$4,"CURRENT_EV_TO_T12M_EBITDA",$B22,$B22)),VALUE(_xll.BDH(H$4,"CURRENT_EV_TO_T12M_EBITDA",$B22+1,$B22+1))),H23))</f>
        <v>0</v>
      </c>
      <c r="I22" s="552">
        <f t="shared" ca="1" si="3"/>
        <v>45832</v>
      </c>
      <c r="J22" s="548">
        <f ca="1">(IFERROR(IFERROR(VALUE(_xll.BDH(J$4,"PE_RATIO",$B22,$B22)),VALUE(_xll.BDH(J$4,"PE_RATIO",$B22+1,$B22+1))),J23))</f>
        <v>0</v>
      </c>
      <c r="K22" s="548">
        <f ca="1">(IFERROR(IFERROR(VALUE(_xll.BDH(K$4,"PE_RATIO",$B22,$B22)),VALUE(_xll.BDH(K$4,"PE_RATIO",$B22+1,$B22+1))),K23))</f>
        <v>0</v>
      </c>
      <c r="L22" s="548">
        <f ca="1">(IFERROR(IFERROR(VALUE(_xll.BDH(L$4,"PE_RATIO",$B22,$B22)),VALUE(_xll.BDH(L$4,"PE_RATIO",$B22+1,$B22+1))),L23))</f>
        <v>0</v>
      </c>
      <c r="M22" s="548">
        <f ca="1">(IFERROR(IFERROR(VALUE(_xll.BDH(M$4,"PE_RATIO",$B22,$B22)),VALUE(_xll.BDH(M$4,"PE_RATIO",$B22+1,$B22+1))),M23))</f>
        <v>0</v>
      </c>
      <c r="N22" s="548">
        <f ca="1">(IFERROR(IFERROR(VALUE(_xll.BDH(N$4,"PE_RATIO",$B22,$B22)),VALUE(_xll.BDH(N$4,"PE_RATIO",$B22+1,$B22+1))),N23))</f>
        <v>0</v>
      </c>
      <c r="O22" s="548">
        <f ca="1">(IFERROR(IFERROR(VALUE(_xll.BDH(O$4,"PE_RATIO",$B22,$B22)),VALUE(_xll.BDH(O$4,"PE_RATIO",$B22+1,$B22+1))),O23))</f>
        <v>0</v>
      </c>
      <c r="P22" s="548"/>
      <c r="Q22" s="552">
        <f t="shared" ca="1" si="4"/>
        <v>45832</v>
      </c>
      <c r="R22" s="4">
        <v>231.42</v>
      </c>
      <c r="S22" s="4">
        <v>5958.38</v>
      </c>
      <c r="T22" s="4">
        <v>0</v>
      </c>
      <c r="U22" s="4">
        <v>1.1878657222051123</v>
      </c>
      <c r="V22" s="4">
        <v>1.6617432968356938</v>
      </c>
      <c r="W22" s="4" t="e">
        <v>#DIV/0!</v>
      </c>
      <c r="Y22" s="548">
        <f t="shared" si="5"/>
        <v>231.42</v>
      </c>
      <c r="Z22" s="4">
        <f ca="1">IFERROR(VALUE(_xll.BDH(Z$4,"PX_LAST",$Q22,$Q22)),Z23)</f>
        <v>0</v>
      </c>
      <c r="AA22" s="4">
        <f ca="1">IFERROR(VALUE(_xll.BDH(AA$4,"PX_LAST",$Q22,$Q22)),AA23)</f>
        <v>0</v>
      </c>
      <c r="AB22" s="4">
        <f ca="1">IFERROR(VALUE(_xll.BDH(AB$4,"PX_LAST",$Q22,$Q22)),AB23)</f>
        <v>0</v>
      </c>
      <c r="AC22" s="4">
        <f ca="1">IFERROR(VALUE(_xll.BDH(AC$4,"PX_LAST",$Q22,$Q22)),AC23)</f>
        <v>0</v>
      </c>
      <c r="AD22" s="4">
        <f ca="1">IFERROR(VALUE(_xll.BDH(AD$4,"PX_LAST",$Q22,$Q22)),AD23)</f>
        <v>0</v>
      </c>
      <c r="AF22" s="4">
        <f t="shared" si="6"/>
        <v>1.1878657222051123</v>
      </c>
      <c r="AG22" s="4" t="e">
        <f t="shared" ca="1" si="7"/>
        <v>#DIV/0!</v>
      </c>
      <c r="AH22" s="4" t="e">
        <f t="shared" ca="1" si="8"/>
        <v>#DIV/0!</v>
      </c>
      <c r="AI22" s="4" t="e">
        <f t="shared" ca="1" si="9"/>
        <v>#DIV/0!</v>
      </c>
      <c r="AJ22" s="4" t="e">
        <f t="shared" ca="1" si="10"/>
        <v>#DIV/0!</v>
      </c>
      <c r="AK22" s="4" t="e">
        <f t="shared" ca="1" si="11"/>
        <v>#DIV/0!</v>
      </c>
      <c r="AM22" s="550">
        <f t="shared" ca="1" si="12"/>
        <v>45933</v>
      </c>
      <c r="AN22" s="551">
        <v>223.32</v>
      </c>
      <c r="AO22" s="551">
        <v>5993077</v>
      </c>
      <c r="AP22" s="551">
        <v>593.04367000000002</v>
      </c>
      <c r="AQ22" s="551">
        <v>132438.5123844</v>
      </c>
      <c r="AR22" s="551">
        <v>5.5083000000000002</v>
      </c>
    </row>
    <row r="23" spans="2:44" x14ac:dyDescent="0.3">
      <c r="B23" s="552">
        <f t="shared" ca="1" si="13"/>
        <v>45825</v>
      </c>
      <c r="C23" s="548">
        <f ca="1">(IFERROR(IFERROR(VALUE(_xll.BDH(C$4,"CURRENT_EV_TO_T12M_EBITDA",$B23,$B23)),VALUE(_xll.BDH(C$4,"CURRENT_EV_TO_T12M_EBITDA",$B23+1,$B23+1))),C24))</f>
        <v>0</v>
      </c>
      <c r="D23" s="548">
        <f ca="1">(IFERROR(IFERROR(VALUE(_xll.BDH(D$4,"CURRENT_EV_TO_T12M_EBITDA",$B23,$B23)),VALUE(_xll.BDH(D$4,"CURRENT_EV_TO_T12M_EBITDA",$B23+1,$B23+1))),D24))</f>
        <v>0</v>
      </c>
      <c r="E23" s="548">
        <f ca="1">(IFERROR(IFERROR(VALUE(_xll.BDH(E$4,"CURRENT_EV_TO_T12M_EBITDA",$B23,$B23)),VALUE(_xll.BDH(E$4,"CURRENT_EV_TO_T12M_EBITDA",$B23+1,$B23+1))),E24))</f>
        <v>0</v>
      </c>
      <c r="F23" s="548">
        <f ca="1">(IFERROR(IFERROR(VALUE(_xll.BDH(F$4,"CURRENT_EV_TO_T12M_EBITDA",$B23,$B23)),VALUE(_xll.BDH(F$4,"CURRENT_EV_TO_T12M_EBITDA",$B23+1,$B23+1))),F24))</f>
        <v>0</v>
      </c>
      <c r="G23" s="548">
        <f ca="1">(IFERROR(IFERROR(VALUE(_xll.BDH(G$4,"CURRENT_EV_TO_T12M_EBITDA",$B23,$B23)),VALUE(_xll.BDH(G$4,"CURRENT_EV_TO_T12M_EBITDA",$B23+1,$B23+1))),G24))</f>
        <v>0</v>
      </c>
      <c r="H23" s="548">
        <f ca="1">(IFERROR(IFERROR(VALUE(_xll.BDH(H$4,"CURRENT_EV_TO_T12M_EBITDA",$B23,$B23)),VALUE(_xll.BDH(H$4,"CURRENT_EV_TO_T12M_EBITDA",$B23+1,$B23+1))),H24))</f>
        <v>0</v>
      </c>
      <c r="I23" s="552">
        <f t="shared" ca="1" si="3"/>
        <v>45825</v>
      </c>
      <c r="J23" s="548">
        <f ca="1">(IFERROR(IFERROR(VALUE(_xll.BDH(J$4,"PE_RATIO",$B23,$B23)),VALUE(_xll.BDH(J$4,"PE_RATIO",$B23+1,$B23+1))),J24))</f>
        <v>0</v>
      </c>
      <c r="K23" s="548">
        <f ca="1">(IFERROR(IFERROR(VALUE(_xll.BDH(K$4,"PE_RATIO",$B23,$B23)),VALUE(_xll.BDH(K$4,"PE_RATIO",$B23+1,$B23+1))),K24))</f>
        <v>0</v>
      </c>
      <c r="L23" s="548">
        <f ca="1">(IFERROR(IFERROR(VALUE(_xll.BDH(L$4,"PE_RATIO",$B23,$B23)),VALUE(_xll.BDH(L$4,"PE_RATIO",$B23+1,$B23+1))),L24))</f>
        <v>0</v>
      </c>
      <c r="M23" s="548">
        <f ca="1">(IFERROR(IFERROR(VALUE(_xll.BDH(M$4,"PE_RATIO",$B23,$B23)),VALUE(_xll.BDH(M$4,"PE_RATIO",$B23+1,$B23+1))),M24))</f>
        <v>0</v>
      </c>
      <c r="N23" s="548">
        <f ca="1">(IFERROR(IFERROR(VALUE(_xll.BDH(N$4,"PE_RATIO",$B23,$B23)),VALUE(_xll.BDH(N$4,"PE_RATIO",$B23+1,$B23+1))),N24))</f>
        <v>0</v>
      </c>
      <c r="O23" s="548">
        <f ca="1">(IFERROR(IFERROR(VALUE(_xll.BDH(O$4,"PE_RATIO",$B23,$B23)),VALUE(_xll.BDH(O$4,"PE_RATIO",$B23+1,$B23+1))),O24))</f>
        <v>0</v>
      </c>
      <c r="P23" s="548"/>
      <c r="Q23" s="552">
        <f t="shared" ca="1" si="4"/>
        <v>45825</v>
      </c>
      <c r="R23" s="4">
        <v>216.32</v>
      </c>
      <c r="S23" s="4">
        <v>5659.91</v>
      </c>
      <c r="T23" s="4">
        <v>0</v>
      </c>
      <c r="U23" s="4">
        <v>1.1103582794374294</v>
      </c>
      <c r="V23" s="4">
        <v>1.5785024626145547</v>
      </c>
      <c r="W23" s="4" t="e">
        <v>#DIV/0!</v>
      </c>
      <c r="Y23" s="548">
        <f t="shared" si="5"/>
        <v>216.32</v>
      </c>
      <c r="Z23" s="4">
        <f ca="1">IFERROR(VALUE(_xll.BDH(Z$4,"PX_LAST",$Q23,$Q23)),Z24)</f>
        <v>0</v>
      </c>
      <c r="AA23" s="4">
        <f ca="1">IFERROR(VALUE(_xll.BDH(AA$4,"PX_LAST",$Q23,$Q23)),AA24)</f>
        <v>0</v>
      </c>
      <c r="AB23" s="4">
        <f ca="1">IFERROR(VALUE(_xll.BDH(AB$4,"PX_LAST",$Q23,$Q23)),AB24)</f>
        <v>0</v>
      </c>
      <c r="AC23" s="4">
        <f ca="1">IFERROR(VALUE(_xll.BDH(AC$4,"PX_LAST",$Q23,$Q23)),AC24)</f>
        <v>0</v>
      </c>
      <c r="AD23" s="4">
        <f ca="1">IFERROR(VALUE(_xll.BDH(AD$4,"PX_LAST",$Q23,$Q23)),AD24)</f>
        <v>0</v>
      </c>
      <c r="AF23" s="4">
        <f t="shared" si="6"/>
        <v>1.1103582794374294</v>
      </c>
      <c r="AG23" s="4" t="e">
        <f t="shared" ca="1" si="7"/>
        <v>#DIV/0!</v>
      </c>
      <c r="AH23" s="4" t="e">
        <f t="shared" ca="1" si="8"/>
        <v>#DIV/0!</v>
      </c>
      <c r="AI23" s="4" t="e">
        <f t="shared" ca="1" si="9"/>
        <v>#DIV/0!</v>
      </c>
      <c r="AJ23" s="4" t="e">
        <f t="shared" ca="1" si="10"/>
        <v>#DIV/0!</v>
      </c>
      <c r="AK23" s="4" t="e">
        <f t="shared" ca="1" si="11"/>
        <v>#DIV/0!</v>
      </c>
      <c r="AM23" s="550">
        <f t="shared" ca="1" si="12"/>
        <v>45932</v>
      </c>
      <c r="AN23" s="551">
        <v>227.85</v>
      </c>
      <c r="AO23" s="551">
        <v>5317331</v>
      </c>
      <c r="AP23" s="551">
        <v>593.04367000000002</v>
      </c>
      <c r="AQ23" s="551">
        <v>135125.00020949999</v>
      </c>
      <c r="AR23" s="551">
        <v>5.6200999999999999</v>
      </c>
    </row>
    <row r="24" spans="2:44" x14ac:dyDescent="0.3">
      <c r="B24" s="552">
        <f t="shared" ca="1" si="13"/>
        <v>45818</v>
      </c>
      <c r="C24" s="548">
        <f ca="1">(IFERROR(IFERROR(VALUE(_xll.BDH(C$4,"CURRENT_EV_TO_T12M_EBITDA",$B24,$B24)),VALUE(_xll.BDH(C$4,"CURRENT_EV_TO_T12M_EBITDA",$B24+1,$B24+1))),C25))</f>
        <v>0</v>
      </c>
      <c r="D24" s="548">
        <f ca="1">(IFERROR(IFERROR(VALUE(_xll.BDH(D$4,"CURRENT_EV_TO_T12M_EBITDA",$B24,$B24)),VALUE(_xll.BDH(D$4,"CURRENT_EV_TO_T12M_EBITDA",$B24+1,$B24+1))),D25))</f>
        <v>0</v>
      </c>
      <c r="E24" s="548">
        <f ca="1">(IFERROR(IFERROR(VALUE(_xll.BDH(E$4,"CURRENT_EV_TO_T12M_EBITDA",$B24,$B24)),VALUE(_xll.BDH(E$4,"CURRENT_EV_TO_T12M_EBITDA",$B24+1,$B24+1))),E25))</f>
        <v>0</v>
      </c>
      <c r="F24" s="548">
        <f ca="1">(IFERROR(IFERROR(VALUE(_xll.BDH(F$4,"CURRENT_EV_TO_T12M_EBITDA",$B24,$B24)),VALUE(_xll.BDH(F$4,"CURRENT_EV_TO_T12M_EBITDA",$B24+1,$B24+1))),F25))</f>
        <v>0</v>
      </c>
      <c r="G24" s="548">
        <f ca="1">(IFERROR(IFERROR(VALUE(_xll.BDH(G$4,"CURRENT_EV_TO_T12M_EBITDA",$B24,$B24)),VALUE(_xll.BDH(G$4,"CURRENT_EV_TO_T12M_EBITDA",$B24+1,$B24+1))),G25))</f>
        <v>0</v>
      </c>
      <c r="H24" s="548">
        <f ca="1">(IFERROR(IFERROR(VALUE(_xll.BDH(H$4,"CURRENT_EV_TO_T12M_EBITDA",$B24,$B24)),VALUE(_xll.BDH(H$4,"CURRENT_EV_TO_T12M_EBITDA",$B24+1,$B24+1))),H25))</f>
        <v>0</v>
      </c>
      <c r="I24" s="552">
        <f t="shared" ca="1" si="3"/>
        <v>45818</v>
      </c>
      <c r="J24" s="548">
        <f ca="1">(IFERROR(IFERROR(VALUE(_xll.BDH(J$4,"PE_RATIO",$B24,$B24)),VALUE(_xll.BDH(J$4,"PE_RATIO",$B24+1,$B24+1))),J25))</f>
        <v>0</v>
      </c>
      <c r="K24" s="548">
        <f ca="1">(IFERROR(IFERROR(VALUE(_xll.BDH(K$4,"PE_RATIO",$B24,$B24)),VALUE(_xll.BDH(K$4,"PE_RATIO",$B24+1,$B24+1))),K25))</f>
        <v>0</v>
      </c>
      <c r="L24" s="548">
        <f ca="1">(IFERROR(IFERROR(VALUE(_xll.BDH(L$4,"PE_RATIO",$B24,$B24)),VALUE(_xll.BDH(L$4,"PE_RATIO",$B24+1,$B24+1))),L25))</f>
        <v>0</v>
      </c>
      <c r="M24" s="548">
        <f ca="1">(IFERROR(IFERROR(VALUE(_xll.BDH(M$4,"PE_RATIO",$B24,$B24)),VALUE(_xll.BDH(M$4,"PE_RATIO",$B24+1,$B24+1))),M25))</f>
        <v>0</v>
      </c>
      <c r="N24" s="548">
        <f ca="1">(IFERROR(IFERROR(VALUE(_xll.BDH(N$4,"PE_RATIO",$B24,$B24)),VALUE(_xll.BDH(N$4,"PE_RATIO",$B24+1,$B24+1))),N25))</f>
        <v>0</v>
      </c>
      <c r="O24" s="548">
        <f ca="1">(IFERROR(IFERROR(VALUE(_xll.BDH(O$4,"PE_RATIO",$B24,$B24)),VALUE(_xll.BDH(O$4,"PE_RATIO",$B24+1,$B24+1))),O25))</f>
        <v>0</v>
      </c>
      <c r="P24" s="548"/>
      <c r="Q24" s="552">
        <f t="shared" ca="1" si="4"/>
        <v>45818</v>
      </c>
      <c r="R24" s="4">
        <v>218.29</v>
      </c>
      <c r="S24" s="4">
        <v>5686.67</v>
      </c>
      <c r="T24" s="4">
        <v>0</v>
      </c>
      <c r="U24" s="4">
        <v>1.1204701775998358</v>
      </c>
      <c r="V24" s="4">
        <v>1.5859656070637715</v>
      </c>
      <c r="W24" s="4" t="e">
        <v>#DIV/0!</v>
      </c>
      <c r="Y24" s="548">
        <f t="shared" si="5"/>
        <v>218.29</v>
      </c>
      <c r="Z24" s="4">
        <f ca="1">IFERROR(VALUE(_xll.BDH(Z$4,"PX_LAST",$Q24,$Q24)),Z25)</f>
        <v>0</v>
      </c>
      <c r="AA24" s="4">
        <f ca="1">IFERROR(VALUE(_xll.BDH(AA$4,"PX_LAST",$Q24,$Q24)),AA25)</f>
        <v>0</v>
      </c>
      <c r="AB24" s="4">
        <f ca="1">IFERROR(VALUE(_xll.BDH(AB$4,"PX_LAST",$Q24,$Q24)),AB25)</f>
        <v>0</v>
      </c>
      <c r="AC24" s="4">
        <f ca="1">IFERROR(VALUE(_xll.BDH(AC$4,"PX_LAST",$Q24,$Q24)),AC25)</f>
        <v>0</v>
      </c>
      <c r="AD24" s="4">
        <f ca="1">IFERROR(VALUE(_xll.BDH(AD$4,"PX_LAST",$Q24,$Q24)),AD25)</f>
        <v>0</v>
      </c>
      <c r="AF24" s="4">
        <f t="shared" si="6"/>
        <v>1.1204701775998358</v>
      </c>
      <c r="AG24" s="4" t="e">
        <f t="shared" ca="1" si="7"/>
        <v>#DIV/0!</v>
      </c>
      <c r="AH24" s="4" t="e">
        <f t="shared" ca="1" si="8"/>
        <v>#DIV/0!</v>
      </c>
      <c r="AI24" s="4" t="e">
        <f t="shared" ca="1" si="9"/>
        <v>#DIV/0!</v>
      </c>
      <c r="AJ24" s="4" t="e">
        <f t="shared" ca="1" si="10"/>
        <v>#DIV/0!</v>
      </c>
      <c r="AK24" s="4" t="e">
        <f t="shared" ca="1" si="11"/>
        <v>#DIV/0!</v>
      </c>
      <c r="AM24" s="550">
        <f t="shared" ca="1" si="12"/>
        <v>45931</v>
      </c>
      <c r="AN24" s="551">
        <v>227.85</v>
      </c>
      <c r="AO24" s="551">
        <v>5317331</v>
      </c>
      <c r="AP24" s="551">
        <v>593.04367000000002</v>
      </c>
      <c r="AQ24" s="551">
        <v>135125.00020949999</v>
      </c>
      <c r="AR24" s="551">
        <v>5.6200999999999999</v>
      </c>
    </row>
    <row r="25" spans="2:44" x14ac:dyDescent="0.3">
      <c r="B25" s="552">
        <f t="shared" ca="1" si="13"/>
        <v>45811</v>
      </c>
      <c r="C25" s="548">
        <f ca="1">(IFERROR(IFERROR(VALUE(_xll.BDH(C$4,"CURRENT_EV_TO_T12M_EBITDA",$B25,$B25)),VALUE(_xll.BDH(C$4,"CURRENT_EV_TO_T12M_EBITDA",$B25+1,$B25+1))),C26))</f>
        <v>0</v>
      </c>
      <c r="D25" s="548">
        <f ca="1">(IFERROR(IFERROR(VALUE(_xll.BDH(D$4,"CURRENT_EV_TO_T12M_EBITDA",$B25,$B25)),VALUE(_xll.BDH(D$4,"CURRENT_EV_TO_T12M_EBITDA",$B25+1,$B25+1))),D26))</f>
        <v>0</v>
      </c>
      <c r="E25" s="548">
        <f ca="1">(IFERROR(IFERROR(VALUE(_xll.BDH(E$4,"CURRENT_EV_TO_T12M_EBITDA",$B25,$B25)),VALUE(_xll.BDH(E$4,"CURRENT_EV_TO_T12M_EBITDA",$B25+1,$B25+1))),E26))</f>
        <v>0</v>
      </c>
      <c r="F25" s="548">
        <f ca="1">(IFERROR(IFERROR(VALUE(_xll.BDH(F$4,"CURRENT_EV_TO_T12M_EBITDA",$B25,$B25)),VALUE(_xll.BDH(F$4,"CURRENT_EV_TO_T12M_EBITDA",$B25+1,$B25+1))),F26))</f>
        <v>0</v>
      </c>
      <c r="G25" s="548">
        <f ca="1">(IFERROR(IFERROR(VALUE(_xll.BDH(G$4,"CURRENT_EV_TO_T12M_EBITDA",$B25,$B25)),VALUE(_xll.BDH(G$4,"CURRENT_EV_TO_T12M_EBITDA",$B25+1,$B25+1))),G26))</f>
        <v>0</v>
      </c>
      <c r="H25" s="548">
        <f ca="1">(IFERROR(IFERROR(VALUE(_xll.BDH(H$4,"CURRENT_EV_TO_T12M_EBITDA",$B25,$B25)),VALUE(_xll.BDH(H$4,"CURRENT_EV_TO_T12M_EBITDA",$B25+1,$B25+1))),H26))</f>
        <v>0</v>
      </c>
      <c r="I25" s="552">
        <f t="shared" ca="1" si="3"/>
        <v>45811</v>
      </c>
      <c r="J25" s="548">
        <f ca="1">(IFERROR(IFERROR(VALUE(_xll.BDH(J$4,"PE_RATIO",$B25,$B25)),VALUE(_xll.BDH(J$4,"PE_RATIO",$B25+1,$B25+1))),J26))</f>
        <v>0</v>
      </c>
      <c r="K25" s="548">
        <f ca="1">(IFERROR(IFERROR(VALUE(_xll.BDH(K$4,"PE_RATIO",$B25,$B25)),VALUE(_xll.BDH(K$4,"PE_RATIO",$B25+1,$B25+1))),K26))</f>
        <v>0</v>
      </c>
      <c r="L25" s="548">
        <f ca="1">(IFERROR(IFERROR(VALUE(_xll.BDH(L$4,"PE_RATIO",$B25,$B25)),VALUE(_xll.BDH(L$4,"PE_RATIO",$B25+1,$B25+1))),L26))</f>
        <v>0</v>
      </c>
      <c r="M25" s="548">
        <f ca="1">(IFERROR(IFERROR(VALUE(_xll.BDH(M$4,"PE_RATIO",$B25,$B25)),VALUE(_xll.BDH(M$4,"PE_RATIO",$B25+1,$B25+1))),M26))</f>
        <v>0</v>
      </c>
      <c r="N25" s="548">
        <f ca="1">(IFERROR(IFERROR(VALUE(_xll.BDH(N$4,"PE_RATIO",$B25,$B25)),VALUE(_xll.BDH(N$4,"PE_RATIO",$B25+1,$B25+1))),N26))</f>
        <v>0</v>
      </c>
      <c r="O25" s="548">
        <f ca="1">(IFERROR(IFERROR(VALUE(_xll.BDH(O$4,"PE_RATIO",$B25,$B25)),VALUE(_xll.BDH(O$4,"PE_RATIO",$B25+1,$B25+1))),O26))</f>
        <v>0</v>
      </c>
      <c r="P25" s="548"/>
      <c r="Q25" s="552">
        <f t="shared" ca="1" si="4"/>
        <v>45811</v>
      </c>
      <c r="R25" s="4">
        <v>213.29</v>
      </c>
      <c r="S25" s="4">
        <v>5525.21</v>
      </c>
      <c r="T25" s="4">
        <v>0</v>
      </c>
      <c r="U25" s="4">
        <v>1.0948054614515963</v>
      </c>
      <c r="V25" s="4">
        <v>1.5409357377524668</v>
      </c>
      <c r="W25" s="4" t="e">
        <v>#DIV/0!</v>
      </c>
      <c r="Y25" s="548">
        <f t="shared" si="5"/>
        <v>213.29</v>
      </c>
      <c r="Z25" s="4">
        <f ca="1">IFERROR(VALUE(_xll.BDH(Z$4,"PX_LAST",$Q25,$Q25)),Z26)</f>
        <v>0</v>
      </c>
      <c r="AA25" s="4">
        <f ca="1">IFERROR(VALUE(_xll.BDH(AA$4,"PX_LAST",$Q25,$Q25)),AA26)</f>
        <v>0</v>
      </c>
      <c r="AB25" s="4">
        <f ca="1">IFERROR(VALUE(_xll.BDH(AB$4,"PX_LAST",$Q25,$Q25)),AB26)</f>
        <v>0</v>
      </c>
      <c r="AC25" s="4">
        <f ca="1">IFERROR(VALUE(_xll.BDH(AC$4,"PX_LAST",$Q25,$Q25)),AC26)</f>
        <v>0</v>
      </c>
      <c r="AD25" s="4">
        <f ca="1">IFERROR(VALUE(_xll.BDH(AD$4,"PX_LAST",$Q25,$Q25)),AD26)</f>
        <v>0</v>
      </c>
      <c r="AF25" s="4">
        <f t="shared" si="6"/>
        <v>1.0948054614515963</v>
      </c>
      <c r="AG25" s="4" t="e">
        <f t="shared" ca="1" si="7"/>
        <v>#DIV/0!</v>
      </c>
      <c r="AH25" s="4" t="e">
        <f t="shared" ca="1" si="8"/>
        <v>#DIV/0!</v>
      </c>
      <c r="AI25" s="4" t="e">
        <f t="shared" ca="1" si="9"/>
        <v>#DIV/0!</v>
      </c>
      <c r="AJ25" s="4" t="e">
        <f t="shared" ca="1" si="10"/>
        <v>#DIV/0!</v>
      </c>
      <c r="AK25" s="4" t="e">
        <f t="shared" ca="1" si="11"/>
        <v>#DIV/0!</v>
      </c>
      <c r="AM25" s="550">
        <f t="shared" ca="1" si="12"/>
        <v>45930</v>
      </c>
      <c r="AN25" s="551">
        <v>227.85</v>
      </c>
      <c r="AO25" s="551">
        <v>5317331</v>
      </c>
      <c r="AP25" s="551">
        <v>593.04367000000002</v>
      </c>
      <c r="AQ25" s="551">
        <v>135125.00020949999</v>
      </c>
      <c r="AR25" s="551">
        <v>5.6200999999999999</v>
      </c>
    </row>
    <row r="26" spans="2:44" x14ac:dyDescent="0.3">
      <c r="B26" s="552">
        <f t="shared" ca="1" si="13"/>
        <v>45804</v>
      </c>
      <c r="C26" s="548">
        <f ca="1">(IFERROR(IFERROR(VALUE(_xll.BDH(C$4,"CURRENT_EV_TO_T12M_EBITDA",$B26,$B26)),VALUE(_xll.BDH(C$4,"CURRENT_EV_TO_T12M_EBITDA",$B26+1,$B26+1))),C27))</f>
        <v>0</v>
      </c>
      <c r="D26" s="548">
        <f ca="1">(IFERROR(IFERROR(VALUE(_xll.BDH(D$4,"CURRENT_EV_TO_T12M_EBITDA",$B26,$B26)),VALUE(_xll.BDH(D$4,"CURRENT_EV_TO_T12M_EBITDA",$B26+1,$B26+1))),D27))</f>
        <v>0</v>
      </c>
      <c r="E26" s="548">
        <f ca="1">(IFERROR(IFERROR(VALUE(_xll.BDH(E$4,"CURRENT_EV_TO_T12M_EBITDA",$B26,$B26)),VALUE(_xll.BDH(E$4,"CURRENT_EV_TO_T12M_EBITDA",$B26+1,$B26+1))),E27))</f>
        <v>0</v>
      </c>
      <c r="F26" s="548">
        <f ca="1">(IFERROR(IFERROR(VALUE(_xll.BDH(F$4,"CURRENT_EV_TO_T12M_EBITDA",$B26,$B26)),VALUE(_xll.BDH(F$4,"CURRENT_EV_TO_T12M_EBITDA",$B26+1,$B26+1))),F27))</f>
        <v>0</v>
      </c>
      <c r="G26" s="548">
        <f ca="1">(IFERROR(IFERROR(VALUE(_xll.BDH(G$4,"CURRENT_EV_TO_T12M_EBITDA",$B26,$B26)),VALUE(_xll.BDH(G$4,"CURRENT_EV_TO_T12M_EBITDA",$B26+1,$B26+1))),G27))</f>
        <v>0</v>
      </c>
      <c r="H26" s="548">
        <f ca="1">(IFERROR(IFERROR(VALUE(_xll.BDH(H$4,"CURRENT_EV_TO_T12M_EBITDA",$B26,$B26)),VALUE(_xll.BDH(H$4,"CURRENT_EV_TO_T12M_EBITDA",$B26+1,$B26+1))),H27))</f>
        <v>0</v>
      </c>
      <c r="I26" s="552">
        <f t="shared" ca="1" si="3"/>
        <v>45804</v>
      </c>
      <c r="J26" s="548">
        <f ca="1">(IFERROR(IFERROR(VALUE(_xll.BDH(J$4,"PE_RATIO",$B26,$B26)),VALUE(_xll.BDH(J$4,"PE_RATIO",$B26+1,$B26+1))),J27))</f>
        <v>0</v>
      </c>
      <c r="K26" s="548">
        <f ca="1">(IFERROR(IFERROR(VALUE(_xll.BDH(K$4,"PE_RATIO",$B26,$B26)),VALUE(_xll.BDH(K$4,"PE_RATIO",$B26+1,$B26+1))),K27))</f>
        <v>0</v>
      </c>
      <c r="L26" s="548">
        <f ca="1">(IFERROR(IFERROR(VALUE(_xll.BDH(L$4,"PE_RATIO",$B26,$B26)),VALUE(_xll.BDH(L$4,"PE_RATIO",$B26+1,$B26+1))),L27))</f>
        <v>0</v>
      </c>
      <c r="M26" s="548">
        <f ca="1">(IFERROR(IFERROR(VALUE(_xll.BDH(M$4,"PE_RATIO",$B26,$B26)),VALUE(_xll.BDH(M$4,"PE_RATIO",$B26+1,$B26+1))),M27))</f>
        <v>0</v>
      </c>
      <c r="N26" s="548">
        <f ca="1">(IFERROR(IFERROR(VALUE(_xll.BDH(N$4,"PE_RATIO",$B26,$B26)),VALUE(_xll.BDH(N$4,"PE_RATIO",$B26+1,$B26+1))),N27))</f>
        <v>0</v>
      </c>
      <c r="O26" s="548">
        <f ca="1">(IFERROR(IFERROR(VALUE(_xll.BDH(O$4,"PE_RATIO",$B26,$B26)),VALUE(_xll.BDH(O$4,"PE_RATIO",$B26+1,$B26+1))),O27))</f>
        <v>0</v>
      </c>
      <c r="P26" s="548"/>
      <c r="Q26" s="552">
        <f t="shared" ca="1" si="4"/>
        <v>45804</v>
      </c>
      <c r="R26" s="4">
        <v>218.59</v>
      </c>
      <c r="S26" s="4">
        <v>5363.36</v>
      </c>
      <c r="T26" s="4">
        <v>0</v>
      </c>
      <c r="U26" s="4">
        <v>1.1220100605687302</v>
      </c>
      <c r="V26" s="4">
        <v>1.4957971006408932</v>
      </c>
      <c r="W26" s="4" t="e">
        <v>#DIV/0!</v>
      </c>
      <c r="Y26" s="548">
        <f t="shared" si="5"/>
        <v>218.59</v>
      </c>
      <c r="Z26" s="4">
        <f ca="1">IFERROR(VALUE(_xll.BDH(Z$4,"PX_LAST",$Q26,$Q26)),Z27)</f>
        <v>0</v>
      </c>
      <c r="AA26" s="4">
        <f ca="1">IFERROR(VALUE(_xll.BDH(AA$4,"PX_LAST",$Q26,$Q26)),AA27)</f>
        <v>0</v>
      </c>
      <c r="AB26" s="4">
        <f ca="1">IFERROR(VALUE(_xll.BDH(AB$4,"PX_LAST",$Q26,$Q26)),AB27)</f>
        <v>0</v>
      </c>
      <c r="AC26" s="4">
        <f ca="1">IFERROR(VALUE(_xll.BDH(AC$4,"PX_LAST",$Q26,$Q26)),AC27)</f>
        <v>0</v>
      </c>
      <c r="AD26" s="4">
        <f ca="1">IFERROR(VALUE(_xll.BDH(AD$4,"PX_LAST",$Q26,$Q26)),AD27)</f>
        <v>0</v>
      </c>
      <c r="AF26" s="4">
        <f t="shared" si="6"/>
        <v>1.1220100605687302</v>
      </c>
      <c r="AG26" s="4" t="e">
        <f t="shared" ca="1" si="7"/>
        <v>#DIV/0!</v>
      </c>
      <c r="AH26" s="4" t="e">
        <f t="shared" ca="1" si="8"/>
        <v>#DIV/0!</v>
      </c>
      <c r="AI26" s="4" t="e">
        <f t="shared" ca="1" si="9"/>
        <v>#DIV/0!</v>
      </c>
      <c r="AJ26" s="4" t="e">
        <f t="shared" ca="1" si="10"/>
        <v>#DIV/0!</v>
      </c>
      <c r="AK26" s="4" t="e">
        <f t="shared" ca="1" si="11"/>
        <v>#DIV/0!</v>
      </c>
      <c r="AM26" s="550">
        <f t="shared" ca="1" si="12"/>
        <v>45929</v>
      </c>
      <c r="AN26" s="551">
        <v>225.3</v>
      </c>
      <c r="AO26" s="551">
        <v>3435511</v>
      </c>
      <c r="AP26" s="551">
        <v>593.04367000000002</v>
      </c>
      <c r="AQ26" s="551">
        <v>133612.738851</v>
      </c>
      <c r="AR26" s="551">
        <v>5.5571999999999999</v>
      </c>
    </row>
    <row r="27" spans="2:44" x14ac:dyDescent="0.3">
      <c r="B27" s="552">
        <f t="shared" ca="1" si="13"/>
        <v>45797</v>
      </c>
      <c r="C27" s="548">
        <f ca="1">(IFERROR(IFERROR(VALUE(_xll.BDH(C$4,"CURRENT_EV_TO_T12M_EBITDA",$B27,$B27)),VALUE(_xll.BDH(C$4,"CURRENT_EV_TO_T12M_EBITDA",$B27+1,$B27+1))),C28))</f>
        <v>0</v>
      </c>
      <c r="D27" s="548">
        <f ca="1">(IFERROR(IFERROR(VALUE(_xll.BDH(D$4,"CURRENT_EV_TO_T12M_EBITDA",$B27,$B27)),VALUE(_xll.BDH(D$4,"CURRENT_EV_TO_T12M_EBITDA",$B27+1,$B27+1))),D28))</f>
        <v>0</v>
      </c>
      <c r="E27" s="548">
        <f ca="1">(IFERROR(IFERROR(VALUE(_xll.BDH(E$4,"CURRENT_EV_TO_T12M_EBITDA",$B27,$B27)),VALUE(_xll.BDH(E$4,"CURRENT_EV_TO_T12M_EBITDA",$B27+1,$B27+1))),E28))</f>
        <v>0</v>
      </c>
      <c r="F27" s="548">
        <f ca="1">(IFERROR(IFERROR(VALUE(_xll.BDH(F$4,"CURRENT_EV_TO_T12M_EBITDA",$B27,$B27)),VALUE(_xll.BDH(F$4,"CURRENT_EV_TO_T12M_EBITDA",$B27+1,$B27+1))),F28))</f>
        <v>0</v>
      </c>
      <c r="G27" s="548">
        <f ca="1">(IFERROR(IFERROR(VALUE(_xll.BDH(G$4,"CURRENT_EV_TO_T12M_EBITDA",$B27,$B27)),VALUE(_xll.BDH(G$4,"CURRENT_EV_TO_T12M_EBITDA",$B27+1,$B27+1))),G28))</f>
        <v>0</v>
      </c>
      <c r="H27" s="548">
        <f ca="1">(IFERROR(IFERROR(VALUE(_xll.BDH(H$4,"CURRENT_EV_TO_T12M_EBITDA",$B27,$B27)),VALUE(_xll.BDH(H$4,"CURRENT_EV_TO_T12M_EBITDA",$B27+1,$B27+1))),H28))</f>
        <v>0</v>
      </c>
      <c r="I27" s="552">
        <f t="shared" ca="1" si="3"/>
        <v>45797</v>
      </c>
      <c r="J27" s="548">
        <f ca="1">(IFERROR(IFERROR(VALUE(_xll.BDH(J$4,"PE_RATIO",$B27,$B27)),VALUE(_xll.BDH(J$4,"PE_RATIO",$B27+1,$B27+1))),J28))</f>
        <v>0</v>
      </c>
      <c r="K27" s="548">
        <f ca="1">(IFERROR(IFERROR(VALUE(_xll.BDH(K$4,"PE_RATIO",$B27,$B27)),VALUE(_xll.BDH(K$4,"PE_RATIO",$B27+1,$B27+1))),K28))</f>
        <v>0</v>
      </c>
      <c r="L27" s="548">
        <f ca="1">(IFERROR(IFERROR(VALUE(_xll.BDH(L$4,"PE_RATIO",$B27,$B27)),VALUE(_xll.BDH(L$4,"PE_RATIO",$B27+1,$B27+1))),L28))</f>
        <v>0</v>
      </c>
      <c r="M27" s="548">
        <f ca="1">(IFERROR(IFERROR(VALUE(_xll.BDH(M$4,"PE_RATIO",$B27,$B27)),VALUE(_xll.BDH(M$4,"PE_RATIO",$B27+1,$B27+1))),M28))</f>
        <v>0</v>
      </c>
      <c r="N27" s="548">
        <f ca="1">(IFERROR(IFERROR(VALUE(_xll.BDH(N$4,"PE_RATIO",$B27,$B27)),VALUE(_xll.BDH(N$4,"PE_RATIO",$B27+1,$B27+1))),N28))</f>
        <v>0</v>
      </c>
      <c r="O27" s="548">
        <f ca="1">(IFERROR(IFERROR(VALUE(_xll.BDH(O$4,"PE_RATIO",$B27,$B27)),VALUE(_xll.BDH(O$4,"PE_RATIO",$B27+1,$B27+1))),O28))</f>
        <v>0</v>
      </c>
      <c r="P27" s="548"/>
      <c r="Q27" s="552">
        <f t="shared" ca="1" si="4"/>
        <v>45797</v>
      </c>
      <c r="R27" s="4">
        <v>218.59</v>
      </c>
      <c r="S27" s="4">
        <v>5363.36</v>
      </c>
      <c r="T27" s="4">
        <v>0</v>
      </c>
      <c r="U27" s="4">
        <v>1.1220100605687302</v>
      </c>
      <c r="V27" s="4">
        <v>1.4957971006408932</v>
      </c>
      <c r="W27" s="4" t="e">
        <v>#DIV/0!</v>
      </c>
      <c r="Y27" s="548">
        <f t="shared" si="5"/>
        <v>218.59</v>
      </c>
      <c r="Z27" s="4">
        <f ca="1">IFERROR(VALUE(_xll.BDH(Z$4,"PX_LAST",$Q27,$Q27)),Z28)</f>
        <v>0</v>
      </c>
      <c r="AA27" s="4">
        <f ca="1">IFERROR(VALUE(_xll.BDH(AA$4,"PX_LAST",$Q27,$Q27)),AA28)</f>
        <v>0</v>
      </c>
      <c r="AB27" s="4">
        <f ca="1">IFERROR(VALUE(_xll.BDH(AB$4,"PX_LAST",$Q27,$Q27)),AB28)</f>
        <v>0</v>
      </c>
      <c r="AC27" s="4">
        <f ca="1">IFERROR(VALUE(_xll.BDH(AC$4,"PX_LAST",$Q27,$Q27)),AC28)</f>
        <v>0</v>
      </c>
      <c r="AD27" s="4">
        <f ca="1">IFERROR(VALUE(_xll.BDH(AD$4,"PX_LAST",$Q27,$Q27)),AD28)</f>
        <v>0</v>
      </c>
      <c r="AF27" s="4">
        <f t="shared" si="6"/>
        <v>1.1220100605687302</v>
      </c>
      <c r="AG27" s="4" t="e">
        <f t="shared" ca="1" si="7"/>
        <v>#DIV/0!</v>
      </c>
      <c r="AH27" s="4" t="e">
        <f t="shared" ca="1" si="8"/>
        <v>#DIV/0!</v>
      </c>
      <c r="AI27" s="4" t="e">
        <f t="shared" ca="1" si="9"/>
        <v>#DIV/0!</v>
      </c>
      <c r="AJ27" s="4" t="e">
        <f t="shared" ca="1" si="10"/>
        <v>#DIV/0!</v>
      </c>
      <c r="AK27" s="4" t="e">
        <f t="shared" ca="1" si="11"/>
        <v>#DIV/0!</v>
      </c>
      <c r="AM27" s="550">
        <f t="shared" ca="1" si="12"/>
        <v>45928</v>
      </c>
      <c r="AN27" s="551">
        <v>225.68</v>
      </c>
      <c r="AO27" s="551">
        <v>4521558</v>
      </c>
      <c r="AP27" s="551">
        <v>593.04367000000002</v>
      </c>
      <c r="AQ27" s="551">
        <v>133838.09544560002</v>
      </c>
      <c r="AR27" s="551">
        <v>5.5664999999999996</v>
      </c>
    </row>
    <row r="28" spans="2:44" x14ac:dyDescent="0.3">
      <c r="B28" s="552">
        <f t="shared" ca="1" si="13"/>
        <v>45790</v>
      </c>
      <c r="C28" s="548">
        <f ca="1">(IFERROR(IFERROR(VALUE(_xll.BDH(C$4,"CURRENT_EV_TO_T12M_EBITDA",$B28,$B28)),VALUE(_xll.BDH(C$4,"CURRENT_EV_TO_T12M_EBITDA",$B28+1,$B28+1))),C29))</f>
        <v>0</v>
      </c>
      <c r="D28" s="548">
        <f ca="1">(IFERROR(IFERROR(VALUE(_xll.BDH(D$4,"CURRENT_EV_TO_T12M_EBITDA",$B28,$B28)),VALUE(_xll.BDH(D$4,"CURRENT_EV_TO_T12M_EBITDA",$B28+1,$B28+1))),D29))</f>
        <v>0</v>
      </c>
      <c r="E28" s="548">
        <f ca="1">(IFERROR(IFERROR(VALUE(_xll.BDH(E$4,"CURRENT_EV_TO_T12M_EBITDA",$B28,$B28)),VALUE(_xll.BDH(E$4,"CURRENT_EV_TO_T12M_EBITDA",$B28+1,$B28+1))),E29))</f>
        <v>0</v>
      </c>
      <c r="F28" s="548">
        <f ca="1">(IFERROR(IFERROR(VALUE(_xll.BDH(F$4,"CURRENT_EV_TO_T12M_EBITDA",$B28,$B28)),VALUE(_xll.BDH(F$4,"CURRENT_EV_TO_T12M_EBITDA",$B28+1,$B28+1))),F29))</f>
        <v>0</v>
      </c>
      <c r="G28" s="548">
        <f ca="1">(IFERROR(IFERROR(VALUE(_xll.BDH(G$4,"CURRENT_EV_TO_T12M_EBITDA",$B28,$B28)),VALUE(_xll.BDH(G$4,"CURRENT_EV_TO_T12M_EBITDA",$B28+1,$B28+1))),G29))</f>
        <v>0</v>
      </c>
      <c r="H28" s="548">
        <f ca="1">(IFERROR(IFERROR(VALUE(_xll.BDH(H$4,"CURRENT_EV_TO_T12M_EBITDA",$B28,$B28)),VALUE(_xll.BDH(H$4,"CURRENT_EV_TO_T12M_EBITDA",$B28+1,$B28+1))),H29))</f>
        <v>0</v>
      </c>
      <c r="I28" s="552">
        <f t="shared" ca="1" si="3"/>
        <v>45790</v>
      </c>
      <c r="J28" s="548">
        <f ca="1">(IFERROR(IFERROR(VALUE(_xll.BDH(J$4,"PE_RATIO",$B28,$B28)),VALUE(_xll.BDH(J$4,"PE_RATIO",$B28+1,$B28+1))),J29))</f>
        <v>0</v>
      </c>
      <c r="K28" s="548">
        <f ca="1">(IFERROR(IFERROR(VALUE(_xll.BDH(K$4,"PE_RATIO",$B28,$B28)),VALUE(_xll.BDH(K$4,"PE_RATIO",$B28+1,$B28+1))),K29))</f>
        <v>0</v>
      </c>
      <c r="L28" s="548">
        <f ca="1">(IFERROR(IFERROR(VALUE(_xll.BDH(L$4,"PE_RATIO",$B28,$B28)),VALUE(_xll.BDH(L$4,"PE_RATIO",$B28+1,$B28+1))),L29))</f>
        <v>0</v>
      </c>
      <c r="M28" s="548">
        <f ca="1">(IFERROR(IFERROR(VALUE(_xll.BDH(M$4,"PE_RATIO",$B28,$B28)),VALUE(_xll.BDH(M$4,"PE_RATIO",$B28+1,$B28+1))),M29))</f>
        <v>0</v>
      </c>
      <c r="N28" s="548">
        <f ca="1">(IFERROR(IFERROR(VALUE(_xll.BDH(N$4,"PE_RATIO",$B28,$B28)),VALUE(_xll.BDH(N$4,"PE_RATIO",$B28+1,$B28+1))),N29))</f>
        <v>0</v>
      </c>
      <c r="O28" s="548">
        <f ca="1">(IFERROR(IFERROR(VALUE(_xll.BDH(O$4,"PE_RATIO",$B28,$B28)),VALUE(_xll.BDH(O$4,"PE_RATIO",$B28+1,$B28+1))),O29))</f>
        <v>0</v>
      </c>
      <c r="P28" s="548"/>
      <c r="Q28" s="552">
        <f t="shared" ca="1" si="4"/>
        <v>45790</v>
      </c>
      <c r="R28" s="4">
        <v>213.26</v>
      </c>
      <c r="S28" s="4">
        <v>5074.08</v>
      </c>
      <c r="T28" s="4">
        <v>0</v>
      </c>
      <c r="U28" s="4">
        <v>1.094651473154707</v>
      </c>
      <c r="V28" s="4">
        <v>1.4151192820209615</v>
      </c>
      <c r="W28" s="4" t="e">
        <v>#DIV/0!</v>
      </c>
      <c r="Y28" s="548">
        <f t="shared" si="5"/>
        <v>213.26</v>
      </c>
      <c r="Z28" s="4">
        <f ca="1">IFERROR(VALUE(_xll.BDH(Z$4,"PX_LAST",$Q28,$Q28)),Z29)</f>
        <v>0</v>
      </c>
      <c r="AA28" s="4">
        <f ca="1">IFERROR(VALUE(_xll.BDH(AA$4,"PX_LAST",$Q28,$Q28)),AA29)</f>
        <v>0</v>
      </c>
      <c r="AB28" s="4">
        <f ca="1">IFERROR(VALUE(_xll.BDH(AB$4,"PX_LAST",$Q28,$Q28)),AB29)</f>
        <v>0</v>
      </c>
      <c r="AC28" s="4">
        <f ca="1">IFERROR(VALUE(_xll.BDH(AC$4,"PX_LAST",$Q28,$Q28)),AC29)</f>
        <v>0</v>
      </c>
      <c r="AD28" s="4">
        <f ca="1">IFERROR(VALUE(_xll.BDH(AD$4,"PX_LAST",$Q28,$Q28)),AD29)</f>
        <v>0</v>
      </c>
      <c r="AF28" s="4">
        <f t="shared" si="6"/>
        <v>1.094651473154707</v>
      </c>
      <c r="AG28" s="4" t="e">
        <f t="shared" ca="1" si="7"/>
        <v>#DIV/0!</v>
      </c>
      <c r="AH28" s="4" t="e">
        <f t="shared" ca="1" si="8"/>
        <v>#DIV/0!</v>
      </c>
      <c r="AI28" s="4" t="e">
        <f t="shared" ca="1" si="9"/>
        <v>#DIV/0!</v>
      </c>
      <c r="AJ28" s="4" t="e">
        <f t="shared" ca="1" si="10"/>
        <v>#DIV/0!</v>
      </c>
      <c r="AK28" s="4" t="e">
        <f t="shared" ca="1" si="11"/>
        <v>#DIV/0!</v>
      </c>
      <c r="AM28" s="550">
        <f t="shared" ca="1" si="12"/>
        <v>45927</v>
      </c>
      <c r="AN28" s="551">
        <v>223.77</v>
      </c>
      <c r="AO28" s="551">
        <v>4899316</v>
      </c>
      <c r="AP28" s="551">
        <v>593.04367000000002</v>
      </c>
      <c r="AQ28" s="551">
        <v>132705.38203590002</v>
      </c>
      <c r="AR28" s="551">
        <v>5.5194000000000001</v>
      </c>
    </row>
    <row r="29" spans="2:44" x14ac:dyDescent="0.3">
      <c r="B29" s="552">
        <f t="shared" ca="1" si="13"/>
        <v>45783</v>
      </c>
      <c r="C29" s="548">
        <f ca="1">(IFERROR(IFERROR(VALUE(_xll.BDH(C$4,"CURRENT_EV_TO_T12M_EBITDA",$B29,$B29)),VALUE(_xll.BDH(C$4,"CURRENT_EV_TO_T12M_EBITDA",$B29+1,$B29+1))),C30))</f>
        <v>0</v>
      </c>
      <c r="D29" s="548">
        <f ca="1">(IFERROR(IFERROR(VALUE(_xll.BDH(D$4,"CURRENT_EV_TO_T12M_EBITDA",$B29,$B29)),VALUE(_xll.BDH(D$4,"CURRENT_EV_TO_T12M_EBITDA",$B29+1,$B29+1))),D30))</f>
        <v>0</v>
      </c>
      <c r="E29" s="548">
        <f ca="1">(IFERROR(IFERROR(VALUE(_xll.BDH(E$4,"CURRENT_EV_TO_T12M_EBITDA",$B29,$B29)),VALUE(_xll.BDH(E$4,"CURRENT_EV_TO_T12M_EBITDA",$B29+1,$B29+1))),E30))</f>
        <v>0</v>
      </c>
      <c r="F29" s="548">
        <f ca="1">(IFERROR(IFERROR(VALUE(_xll.BDH(F$4,"CURRENT_EV_TO_T12M_EBITDA",$B29,$B29)),VALUE(_xll.BDH(F$4,"CURRENT_EV_TO_T12M_EBITDA",$B29+1,$B29+1))),F30))</f>
        <v>0</v>
      </c>
      <c r="G29" s="548">
        <f ca="1">(IFERROR(IFERROR(VALUE(_xll.BDH(G$4,"CURRENT_EV_TO_T12M_EBITDA",$B29,$B29)),VALUE(_xll.BDH(G$4,"CURRENT_EV_TO_T12M_EBITDA",$B29+1,$B29+1))),G30))</f>
        <v>0</v>
      </c>
      <c r="H29" s="548">
        <f ca="1">(IFERROR(IFERROR(VALUE(_xll.BDH(H$4,"CURRENT_EV_TO_T12M_EBITDA",$B29,$B29)),VALUE(_xll.BDH(H$4,"CURRENT_EV_TO_T12M_EBITDA",$B29+1,$B29+1))),H30))</f>
        <v>0</v>
      </c>
      <c r="I29" s="552">
        <f t="shared" ca="1" si="3"/>
        <v>45783</v>
      </c>
      <c r="J29" s="548">
        <f ca="1">(IFERROR(IFERROR(VALUE(_xll.BDH(J$4,"PE_RATIO",$B29,$B29)),VALUE(_xll.BDH(J$4,"PE_RATIO",$B29+1,$B29+1))),J30))</f>
        <v>0</v>
      </c>
      <c r="K29" s="548">
        <f ca="1">(IFERROR(IFERROR(VALUE(_xll.BDH(K$4,"PE_RATIO",$B29,$B29)),VALUE(_xll.BDH(K$4,"PE_RATIO",$B29+1,$B29+1))),K30))</f>
        <v>0</v>
      </c>
      <c r="L29" s="548">
        <f ca="1">(IFERROR(IFERROR(VALUE(_xll.BDH(L$4,"PE_RATIO",$B29,$B29)),VALUE(_xll.BDH(L$4,"PE_RATIO",$B29+1,$B29+1))),L30))</f>
        <v>0</v>
      </c>
      <c r="M29" s="548">
        <f ca="1">(IFERROR(IFERROR(VALUE(_xll.BDH(M$4,"PE_RATIO",$B29,$B29)),VALUE(_xll.BDH(M$4,"PE_RATIO",$B29+1,$B29+1))),M30))</f>
        <v>0</v>
      </c>
      <c r="N29" s="548">
        <f ca="1">(IFERROR(IFERROR(VALUE(_xll.BDH(N$4,"PE_RATIO",$B29,$B29)),VALUE(_xll.BDH(N$4,"PE_RATIO",$B29+1,$B29+1))),N30))</f>
        <v>0</v>
      </c>
      <c r="O29" s="548">
        <f ca="1">(IFERROR(IFERROR(VALUE(_xll.BDH(O$4,"PE_RATIO",$B29,$B29)),VALUE(_xll.BDH(O$4,"PE_RATIO",$B29+1,$B29+1))),O30))</f>
        <v>0</v>
      </c>
      <c r="P29" s="548"/>
      <c r="Q29" s="552">
        <f t="shared" ca="1" si="4"/>
        <v>45783</v>
      </c>
      <c r="R29" s="4">
        <v>232.15</v>
      </c>
      <c r="S29" s="4">
        <v>5580.94</v>
      </c>
      <c r="T29" s="4">
        <v>0</v>
      </c>
      <c r="U29" s="4">
        <v>1.1916127707627555</v>
      </c>
      <c r="V29" s="4">
        <v>1.55647837751909</v>
      </c>
      <c r="W29" s="4" t="e">
        <v>#DIV/0!</v>
      </c>
      <c r="Y29" s="548">
        <f t="shared" si="5"/>
        <v>232.15</v>
      </c>
      <c r="Z29" s="4">
        <f ca="1">IFERROR(VALUE(_xll.BDH(Z$4,"PX_LAST",$Q29,$Q29)),Z30)</f>
        <v>0</v>
      </c>
      <c r="AA29" s="4">
        <f ca="1">IFERROR(VALUE(_xll.BDH(AA$4,"PX_LAST",$Q29,$Q29)),AA30)</f>
        <v>0</v>
      </c>
      <c r="AB29" s="4">
        <f ca="1">IFERROR(VALUE(_xll.BDH(AB$4,"PX_LAST",$Q29,$Q29)),AB30)</f>
        <v>0</v>
      </c>
      <c r="AC29" s="4">
        <f ca="1">IFERROR(VALUE(_xll.BDH(AC$4,"PX_LAST",$Q29,$Q29)),AC30)</f>
        <v>0</v>
      </c>
      <c r="AD29" s="4">
        <f ca="1">IFERROR(VALUE(_xll.BDH(AD$4,"PX_LAST",$Q29,$Q29)),AD30)</f>
        <v>0</v>
      </c>
      <c r="AF29" s="4">
        <f t="shared" si="6"/>
        <v>1.1916127707627555</v>
      </c>
      <c r="AG29" s="4" t="e">
        <f t="shared" ca="1" si="7"/>
        <v>#DIV/0!</v>
      </c>
      <c r="AH29" s="4" t="e">
        <f t="shared" ca="1" si="8"/>
        <v>#DIV/0!</v>
      </c>
      <c r="AI29" s="4" t="e">
        <f t="shared" ca="1" si="9"/>
        <v>#DIV/0!</v>
      </c>
      <c r="AJ29" s="4" t="e">
        <f t="shared" ca="1" si="10"/>
        <v>#DIV/0!</v>
      </c>
      <c r="AK29" s="4" t="e">
        <f t="shared" ca="1" si="11"/>
        <v>#DIV/0!</v>
      </c>
      <c r="AM29" s="550">
        <f t="shared" ca="1" si="12"/>
        <v>45926</v>
      </c>
      <c r="AN29" s="551">
        <v>220.08</v>
      </c>
      <c r="AO29" s="551">
        <v>3188447</v>
      </c>
      <c r="AP29" s="551">
        <v>593.04367000000002</v>
      </c>
      <c r="AQ29" s="551">
        <v>130517.05089360001</v>
      </c>
      <c r="AR29" s="551">
        <v>5.4283999999999999</v>
      </c>
    </row>
    <row r="30" spans="2:44" x14ac:dyDescent="0.3">
      <c r="B30" s="552">
        <f t="shared" ca="1" si="13"/>
        <v>45776</v>
      </c>
      <c r="C30" s="548">
        <f ca="1">(IFERROR(IFERROR(VALUE(_xll.BDH(C$4,"CURRENT_EV_TO_T12M_EBITDA",$B30,$B30)),VALUE(_xll.BDH(C$4,"CURRENT_EV_TO_T12M_EBITDA",$B30+1,$B30+1))),C31))</f>
        <v>0</v>
      </c>
      <c r="D30" s="548">
        <f ca="1">(IFERROR(IFERROR(VALUE(_xll.BDH(D$4,"CURRENT_EV_TO_T12M_EBITDA",$B30,$B30)),VALUE(_xll.BDH(D$4,"CURRENT_EV_TO_T12M_EBITDA",$B30+1,$B30+1))),D31))</f>
        <v>0</v>
      </c>
      <c r="E30" s="548">
        <f ca="1">(IFERROR(IFERROR(VALUE(_xll.BDH(E$4,"CURRENT_EV_TO_T12M_EBITDA",$B30,$B30)),VALUE(_xll.BDH(E$4,"CURRENT_EV_TO_T12M_EBITDA",$B30+1,$B30+1))),E31))</f>
        <v>0</v>
      </c>
      <c r="F30" s="548">
        <f ca="1">(IFERROR(IFERROR(VALUE(_xll.BDH(F$4,"CURRENT_EV_TO_T12M_EBITDA",$B30,$B30)),VALUE(_xll.BDH(F$4,"CURRENT_EV_TO_T12M_EBITDA",$B30+1,$B30+1))),F31))</f>
        <v>0</v>
      </c>
      <c r="G30" s="548">
        <f ca="1">(IFERROR(IFERROR(VALUE(_xll.BDH(G$4,"CURRENT_EV_TO_T12M_EBITDA",$B30,$B30)),VALUE(_xll.BDH(G$4,"CURRENT_EV_TO_T12M_EBITDA",$B30+1,$B30+1))),G31))</f>
        <v>0</v>
      </c>
      <c r="H30" s="548">
        <f ca="1">(IFERROR(IFERROR(VALUE(_xll.BDH(H$4,"CURRENT_EV_TO_T12M_EBITDA",$B30,$B30)),VALUE(_xll.BDH(H$4,"CURRENT_EV_TO_T12M_EBITDA",$B30+1,$B30+1))),H31))</f>
        <v>0</v>
      </c>
      <c r="I30" s="552">
        <f t="shared" ca="1" si="3"/>
        <v>45776</v>
      </c>
      <c r="J30" s="548">
        <f ca="1">(IFERROR(IFERROR(VALUE(_xll.BDH(J$4,"PE_RATIO",$B30,$B30)),VALUE(_xll.BDH(J$4,"PE_RATIO",$B30+1,$B30+1))),J31))</f>
        <v>0</v>
      </c>
      <c r="K30" s="548">
        <f ca="1">(IFERROR(IFERROR(VALUE(_xll.BDH(K$4,"PE_RATIO",$B30,$B30)),VALUE(_xll.BDH(K$4,"PE_RATIO",$B30+1,$B30+1))),K31))</f>
        <v>0</v>
      </c>
      <c r="L30" s="548">
        <f ca="1">(IFERROR(IFERROR(VALUE(_xll.BDH(L$4,"PE_RATIO",$B30,$B30)),VALUE(_xll.BDH(L$4,"PE_RATIO",$B30+1,$B30+1))),L31))</f>
        <v>0</v>
      </c>
      <c r="M30" s="548">
        <f ca="1">(IFERROR(IFERROR(VALUE(_xll.BDH(M$4,"PE_RATIO",$B30,$B30)),VALUE(_xll.BDH(M$4,"PE_RATIO",$B30+1,$B30+1))),M31))</f>
        <v>0</v>
      </c>
      <c r="N30" s="548">
        <f ca="1">(IFERROR(IFERROR(VALUE(_xll.BDH(N$4,"PE_RATIO",$B30,$B30)),VALUE(_xll.BDH(N$4,"PE_RATIO",$B30+1,$B30+1))),N31))</f>
        <v>0</v>
      </c>
      <c r="O30" s="548">
        <f ca="1">(IFERROR(IFERROR(VALUE(_xll.BDH(O$4,"PE_RATIO",$B30,$B30)),VALUE(_xll.BDH(O$4,"PE_RATIO",$B30+1,$B30+1))),O31))</f>
        <v>0</v>
      </c>
      <c r="P30" s="548"/>
      <c r="Q30" s="552">
        <f t="shared" ca="1" si="4"/>
        <v>45776</v>
      </c>
      <c r="R30" s="4">
        <v>233.88</v>
      </c>
      <c r="S30" s="4">
        <v>5667.56</v>
      </c>
      <c r="T30" s="4">
        <v>0</v>
      </c>
      <c r="U30" s="4">
        <v>1.2004927625500461</v>
      </c>
      <c r="V30" s="4">
        <v>1.5806359848505978</v>
      </c>
      <c r="W30" s="4" t="e">
        <v>#DIV/0!</v>
      </c>
      <c r="Y30" s="548">
        <f t="shared" si="5"/>
        <v>233.88</v>
      </c>
      <c r="Z30" s="4">
        <f ca="1">IFERROR(VALUE(_xll.BDH(Z$4,"PX_LAST",$Q30,$Q30)),Z31)</f>
        <v>0</v>
      </c>
      <c r="AA30" s="4">
        <f ca="1">IFERROR(VALUE(_xll.BDH(AA$4,"PX_LAST",$Q30,$Q30)),AA31)</f>
        <v>0</v>
      </c>
      <c r="AB30" s="4">
        <f ca="1">IFERROR(VALUE(_xll.BDH(AB$4,"PX_LAST",$Q30,$Q30)),AB31)</f>
        <v>0</v>
      </c>
      <c r="AC30" s="4">
        <f ca="1">IFERROR(VALUE(_xll.BDH(AC$4,"PX_LAST",$Q30,$Q30)),AC31)</f>
        <v>0</v>
      </c>
      <c r="AD30" s="4">
        <f ca="1">IFERROR(VALUE(_xll.BDH(AD$4,"PX_LAST",$Q30,$Q30)),AD31)</f>
        <v>0</v>
      </c>
      <c r="AF30" s="4">
        <f t="shared" si="6"/>
        <v>1.2004927625500461</v>
      </c>
      <c r="AG30" s="4" t="e">
        <f t="shared" ca="1" si="7"/>
        <v>#DIV/0!</v>
      </c>
      <c r="AH30" s="4" t="e">
        <f t="shared" ca="1" si="8"/>
        <v>#DIV/0!</v>
      </c>
      <c r="AI30" s="4" t="e">
        <f t="shared" ca="1" si="9"/>
        <v>#DIV/0!</v>
      </c>
      <c r="AJ30" s="4" t="e">
        <f t="shared" ca="1" si="10"/>
        <v>#DIV/0!</v>
      </c>
      <c r="AK30" s="4" t="e">
        <f t="shared" ca="1" si="11"/>
        <v>#DIV/0!</v>
      </c>
      <c r="AM30" s="550">
        <f t="shared" ca="1" si="12"/>
        <v>45925</v>
      </c>
      <c r="AN30" s="551">
        <v>220.78</v>
      </c>
      <c r="AO30" s="551">
        <v>3739259</v>
      </c>
      <c r="AP30" s="551">
        <v>593.04367000000002</v>
      </c>
      <c r="AQ30" s="551">
        <v>130932.18146260001</v>
      </c>
      <c r="AR30" s="551">
        <v>5.4457000000000004</v>
      </c>
    </row>
    <row r="31" spans="2:44" x14ac:dyDescent="0.3">
      <c r="B31" s="552">
        <f t="shared" ca="1" si="13"/>
        <v>45769</v>
      </c>
      <c r="C31" s="548">
        <f ca="1">(IFERROR(IFERROR(VALUE(_xll.BDH(C$4,"CURRENT_EV_TO_T12M_EBITDA",$B31,$B31)),VALUE(_xll.BDH(C$4,"CURRENT_EV_TO_T12M_EBITDA",$B31+1,$B31+1))),C32))</f>
        <v>0</v>
      </c>
      <c r="D31" s="548">
        <f ca="1">(IFERROR(IFERROR(VALUE(_xll.BDH(D$4,"CURRENT_EV_TO_T12M_EBITDA",$B31,$B31)),VALUE(_xll.BDH(D$4,"CURRENT_EV_TO_T12M_EBITDA",$B31+1,$B31+1))),D32))</f>
        <v>0</v>
      </c>
      <c r="E31" s="548">
        <f ca="1">(IFERROR(IFERROR(VALUE(_xll.BDH(E$4,"CURRENT_EV_TO_T12M_EBITDA",$B31,$B31)),VALUE(_xll.BDH(E$4,"CURRENT_EV_TO_T12M_EBITDA",$B31+1,$B31+1))),E32))</f>
        <v>0</v>
      </c>
      <c r="F31" s="548">
        <f ca="1">(IFERROR(IFERROR(VALUE(_xll.BDH(F$4,"CURRENT_EV_TO_T12M_EBITDA",$B31,$B31)),VALUE(_xll.BDH(F$4,"CURRENT_EV_TO_T12M_EBITDA",$B31+1,$B31+1))),F32))</f>
        <v>0</v>
      </c>
      <c r="G31" s="548">
        <f ca="1">(IFERROR(IFERROR(VALUE(_xll.BDH(G$4,"CURRENT_EV_TO_T12M_EBITDA",$B31,$B31)),VALUE(_xll.BDH(G$4,"CURRENT_EV_TO_T12M_EBITDA",$B31+1,$B31+1))),G32))</f>
        <v>0</v>
      </c>
      <c r="H31" s="548">
        <f ca="1">(IFERROR(IFERROR(VALUE(_xll.BDH(H$4,"CURRENT_EV_TO_T12M_EBITDA",$B31,$B31)),VALUE(_xll.BDH(H$4,"CURRENT_EV_TO_T12M_EBITDA",$B31+1,$B31+1))),H32))</f>
        <v>0</v>
      </c>
      <c r="I31" s="552">
        <f t="shared" ca="1" si="3"/>
        <v>45769</v>
      </c>
      <c r="J31" s="548">
        <f ca="1">(IFERROR(IFERROR(VALUE(_xll.BDH(J$4,"PE_RATIO",$B31,$B31)),VALUE(_xll.BDH(J$4,"PE_RATIO",$B31+1,$B31+1))),J32))</f>
        <v>0</v>
      </c>
      <c r="K31" s="548">
        <f ca="1">(IFERROR(IFERROR(VALUE(_xll.BDH(K$4,"PE_RATIO",$B31,$B31)),VALUE(_xll.BDH(K$4,"PE_RATIO",$B31+1,$B31+1))),K32))</f>
        <v>0</v>
      </c>
      <c r="L31" s="548">
        <f ca="1">(IFERROR(IFERROR(VALUE(_xll.BDH(L$4,"PE_RATIO",$B31,$B31)),VALUE(_xll.BDH(L$4,"PE_RATIO",$B31+1,$B31+1))),L32))</f>
        <v>0</v>
      </c>
      <c r="M31" s="548">
        <f ca="1">(IFERROR(IFERROR(VALUE(_xll.BDH(M$4,"PE_RATIO",$B31,$B31)),VALUE(_xll.BDH(M$4,"PE_RATIO",$B31+1,$B31+1))),M32))</f>
        <v>0</v>
      </c>
      <c r="N31" s="548">
        <f ca="1">(IFERROR(IFERROR(VALUE(_xll.BDH(N$4,"PE_RATIO",$B31,$B31)),VALUE(_xll.BDH(N$4,"PE_RATIO",$B31+1,$B31+1))),N32))</f>
        <v>0</v>
      </c>
      <c r="O31" s="548">
        <f ca="1">(IFERROR(IFERROR(VALUE(_xll.BDH(O$4,"PE_RATIO",$B31,$B31)),VALUE(_xll.BDH(O$4,"PE_RATIO",$B31+1,$B31+1))),O32))</f>
        <v>0</v>
      </c>
      <c r="P31" s="548"/>
      <c r="Q31" s="552">
        <f t="shared" ca="1" si="4"/>
        <v>45769</v>
      </c>
      <c r="R31" s="4">
        <v>237.53</v>
      </c>
      <c r="S31" s="4">
        <v>5638.94</v>
      </c>
      <c r="T31" s="4">
        <v>0</v>
      </c>
      <c r="U31" s="4">
        <v>1.2192280053382609</v>
      </c>
      <c r="V31" s="4">
        <v>1.5726541016616373</v>
      </c>
      <c r="W31" s="4" t="e">
        <v>#DIV/0!</v>
      </c>
      <c r="Y31" s="548">
        <f t="shared" si="5"/>
        <v>237.53</v>
      </c>
      <c r="Z31" s="4">
        <f ca="1">IFERROR(VALUE(_xll.BDH(Z$4,"PX_LAST",$Q31,$Q31)),Z32)</f>
        <v>0</v>
      </c>
      <c r="AA31" s="4">
        <f ca="1">IFERROR(VALUE(_xll.BDH(AA$4,"PX_LAST",$Q31,$Q31)),AA32)</f>
        <v>0</v>
      </c>
      <c r="AB31" s="4">
        <f ca="1">IFERROR(VALUE(_xll.BDH(AB$4,"PX_LAST",$Q31,$Q31)),AB32)</f>
        <v>0</v>
      </c>
      <c r="AC31" s="4">
        <f ca="1">IFERROR(VALUE(_xll.BDH(AC$4,"PX_LAST",$Q31,$Q31)),AC32)</f>
        <v>0</v>
      </c>
      <c r="AD31" s="4">
        <f ca="1">IFERROR(VALUE(_xll.BDH(AD$4,"PX_LAST",$Q31,$Q31)),AD32)</f>
        <v>0</v>
      </c>
      <c r="AF31" s="4">
        <f t="shared" si="6"/>
        <v>1.2192280053382609</v>
      </c>
      <c r="AG31" s="4" t="e">
        <f t="shared" ca="1" si="7"/>
        <v>#DIV/0!</v>
      </c>
      <c r="AH31" s="4" t="e">
        <f t="shared" ca="1" si="8"/>
        <v>#DIV/0!</v>
      </c>
      <c r="AI31" s="4" t="e">
        <f t="shared" ca="1" si="9"/>
        <v>#DIV/0!</v>
      </c>
      <c r="AJ31" s="4" t="e">
        <f t="shared" ca="1" si="10"/>
        <v>#DIV/0!</v>
      </c>
      <c r="AK31" s="4" t="e">
        <f t="shared" ca="1" si="11"/>
        <v>#DIV/0!</v>
      </c>
      <c r="AM31" s="550">
        <f t="shared" ca="1" si="12"/>
        <v>45924</v>
      </c>
      <c r="AN31" s="551">
        <v>220.78</v>
      </c>
      <c r="AO31" s="551">
        <v>3739259</v>
      </c>
      <c r="AP31" s="551">
        <v>593.04367000000002</v>
      </c>
      <c r="AQ31" s="551">
        <v>130932.18146260001</v>
      </c>
      <c r="AR31" s="551">
        <v>5.4457000000000004</v>
      </c>
    </row>
    <row r="32" spans="2:44" x14ac:dyDescent="0.3">
      <c r="B32" s="552">
        <f t="shared" ca="1" si="13"/>
        <v>45762</v>
      </c>
      <c r="C32" s="548">
        <f ca="1">(IFERROR(IFERROR(VALUE(_xll.BDH(C$4,"CURRENT_EV_TO_T12M_EBITDA",$B32,$B32)),VALUE(_xll.BDH(C$4,"CURRENT_EV_TO_T12M_EBITDA",$B32+1,$B32+1))),C33))</f>
        <v>0</v>
      </c>
      <c r="D32" s="548">
        <f ca="1">(IFERROR(IFERROR(VALUE(_xll.BDH(D$4,"CURRENT_EV_TO_T12M_EBITDA",$B32,$B32)),VALUE(_xll.BDH(D$4,"CURRENT_EV_TO_T12M_EBITDA",$B32+1,$B32+1))),D33))</f>
        <v>0</v>
      </c>
      <c r="E32" s="548">
        <f ca="1">(IFERROR(IFERROR(VALUE(_xll.BDH(E$4,"CURRENT_EV_TO_T12M_EBITDA",$B32,$B32)),VALUE(_xll.BDH(E$4,"CURRENT_EV_TO_T12M_EBITDA",$B32+1,$B32+1))),E33))</f>
        <v>0</v>
      </c>
      <c r="F32" s="548">
        <f ca="1">(IFERROR(IFERROR(VALUE(_xll.BDH(F$4,"CURRENT_EV_TO_T12M_EBITDA",$B32,$B32)),VALUE(_xll.BDH(F$4,"CURRENT_EV_TO_T12M_EBITDA",$B32+1,$B32+1))),F33))</f>
        <v>0</v>
      </c>
      <c r="G32" s="548">
        <f ca="1">(IFERROR(IFERROR(VALUE(_xll.BDH(G$4,"CURRENT_EV_TO_T12M_EBITDA",$B32,$B32)),VALUE(_xll.BDH(G$4,"CURRENT_EV_TO_T12M_EBITDA",$B32+1,$B32+1))),G33))</f>
        <v>0</v>
      </c>
      <c r="H32" s="548">
        <f ca="1">(IFERROR(IFERROR(VALUE(_xll.BDH(H$4,"CURRENT_EV_TO_T12M_EBITDA",$B32,$B32)),VALUE(_xll.BDH(H$4,"CURRENT_EV_TO_T12M_EBITDA",$B32+1,$B32+1))),H33))</f>
        <v>0</v>
      </c>
      <c r="I32" s="552">
        <f t="shared" ca="1" si="3"/>
        <v>45762</v>
      </c>
      <c r="J32" s="548">
        <f ca="1">(IFERROR(IFERROR(VALUE(_xll.BDH(J$4,"PE_RATIO",$B32,$B32)),VALUE(_xll.BDH(J$4,"PE_RATIO",$B32+1,$B32+1))),J33))</f>
        <v>0</v>
      </c>
      <c r="K32" s="548">
        <f ca="1">(IFERROR(IFERROR(VALUE(_xll.BDH(K$4,"PE_RATIO",$B32,$B32)),VALUE(_xll.BDH(K$4,"PE_RATIO",$B32+1,$B32+1))),K33))</f>
        <v>0</v>
      </c>
      <c r="L32" s="548">
        <f ca="1">(IFERROR(IFERROR(VALUE(_xll.BDH(L$4,"PE_RATIO",$B32,$B32)),VALUE(_xll.BDH(L$4,"PE_RATIO",$B32+1,$B32+1))),L33))</f>
        <v>0</v>
      </c>
      <c r="M32" s="548">
        <f ca="1">(IFERROR(IFERROR(VALUE(_xll.BDH(M$4,"PE_RATIO",$B32,$B32)),VALUE(_xll.BDH(M$4,"PE_RATIO",$B32+1,$B32+1))),M33))</f>
        <v>0</v>
      </c>
      <c r="N32" s="548">
        <f ca="1">(IFERROR(IFERROR(VALUE(_xll.BDH(N$4,"PE_RATIO",$B32,$B32)),VALUE(_xll.BDH(N$4,"PE_RATIO",$B32+1,$B32+1))),N33))</f>
        <v>0</v>
      </c>
      <c r="O32" s="548">
        <f ca="1">(IFERROR(IFERROR(VALUE(_xll.BDH(O$4,"PE_RATIO",$B32,$B32)),VALUE(_xll.BDH(O$4,"PE_RATIO",$B32+1,$B32+1))),O33))</f>
        <v>0</v>
      </c>
      <c r="P32" s="548"/>
      <c r="Q32" s="552">
        <f t="shared" ca="1" si="4"/>
        <v>45762</v>
      </c>
      <c r="R32" s="4">
        <v>249.31</v>
      </c>
      <c r="S32" s="4">
        <v>5770.2</v>
      </c>
      <c r="T32" s="4">
        <v>0</v>
      </c>
      <c r="U32" s="4">
        <v>1.279694076583513</v>
      </c>
      <c r="V32" s="4">
        <v>1.609261438746995</v>
      </c>
      <c r="W32" s="4" t="e">
        <v>#DIV/0!</v>
      </c>
      <c r="Y32" s="548">
        <f t="shared" si="5"/>
        <v>249.31</v>
      </c>
      <c r="Z32" s="4">
        <f ca="1">IFERROR(VALUE(_xll.BDH(Z$4,"PX_LAST",$Q32,$Q32)),Z33)</f>
        <v>0</v>
      </c>
      <c r="AA32" s="4">
        <f ca="1">IFERROR(VALUE(_xll.BDH(AA$4,"PX_LAST",$Q32,$Q32)),AA33)</f>
        <v>0</v>
      </c>
      <c r="AB32" s="4">
        <f ca="1">IFERROR(VALUE(_xll.BDH(AB$4,"PX_LAST",$Q32,$Q32)),AB33)</f>
        <v>0</v>
      </c>
      <c r="AC32" s="4">
        <f ca="1">IFERROR(VALUE(_xll.BDH(AC$4,"PX_LAST",$Q32,$Q32)),AC33)</f>
        <v>0</v>
      </c>
      <c r="AD32" s="4">
        <f ca="1">IFERROR(VALUE(_xll.BDH(AD$4,"PX_LAST",$Q32,$Q32)),AD33)</f>
        <v>0</v>
      </c>
      <c r="AF32" s="4">
        <f t="shared" si="6"/>
        <v>1.279694076583513</v>
      </c>
      <c r="AG32" s="4" t="e">
        <f t="shared" ca="1" si="7"/>
        <v>#DIV/0!</v>
      </c>
      <c r="AH32" s="4" t="e">
        <f t="shared" ca="1" si="8"/>
        <v>#DIV/0!</v>
      </c>
      <c r="AI32" s="4" t="e">
        <f t="shared" ca="1" si="9"/>
        <v>#DIV/0!</v>
      </c>
      <c r="AJ32" s="4" t="e">
        <f t="shared" ca="1" si="10"/>
        <v>#DIV/0!</v>
      </c>
      <c r="AK32" s="4" t="e">
        <f t="shared" ca="1" si="11"/>
        <v>#DIV/0!</v>
      </c>
      <c r="AM32" s="550">
        <f t="shared" ca="1" si="12"/>
        <v>45923</v>
      </c>
      <c r="AN32" s="551">
        <v>220.78</v>
      </c>
      <c r="AO32" s="551">
        <v>3739259</v>
      </c>
      <c r="AP32" s="551">
        <v>593.04367000000002</v>
      </c>
      <c r="AQ32" s="551">
        <v>130932.18146260001</v>
      </c>
      <c r="AR32" s="551">
        <v>5.4457000000000004</v>
      </c>
    </row>
    <row r="33" spans="2:44" x14ac:dyDescent="0.3">
      <c r="B33" s="552">
        <f t="shared" ca="1" si="13"/>
        <v>45755</v>
      </c>
      <c r="C33" s="548">
        <f ca="1">(IFERROR(IFERROR(VALUE(_xll.BDH(C$4,"CURRENT_EV_TO_T12M_EBITDA",$B33,$B33)),VALUE(_xll.BDH(C$4,"CURRENT_EV_TO_T12M_EBITDA",$B33+1,$B33+1))),C34))</f>
        <v>0</v>
      </c>
      <c r="D33" s="548">
        <f ca="1">(IFERROR(IFERROR(VALUE(_xll.BDH(D$4,"CURRENT_EV_TO_T12M_EBITDA",$B33,$B33)),VALUE(_xll.BDH(D$4,"CURRENT_EV_TO_T12M_EBITDA",$B33+1,$B33+1))),D34))</f>
        <v>0</v>
      </c>
      <c r="E33" s="548">
        <f ca="1">(IFERROR(IFERROR(VALUE(_xll.BDH(E$4,"CURRENT_EV_TO_T12M_EBITDA",$B33,$B33)),VALUE(_xll.BDH(E$4,"CURRENT_EV_TO_T12M_EBITDA",$B33+1,$B33+1))),E34))</f>
        <v>0</v>
      </c>
      <c r="F33" s="548">
        <f ca="1">(IFERROR(IFERROR(VALUE(_xll.BDH(F$4,"CURRENT_EV_TO_T12M_EBITDA",$B33,$B33)),VALUE(_xll.BDH(F$4,"CURRENT_EV_TO_T12M_EBITDA",$B33+1,$B33+1))),F34))</f>
        <v>0</v>
      </c>
      <c r="G33" s="548">
        <f ca="1">(IFERROR(IFERROR(VALUE(_xll.BDH(G$4,"CURRENT_EV_TO_T12M_EBITDA",$B33,$B33)),VALUE(_xll.BDH(G$4,"CURRENT_EV_TO_T12M_EBITDA",$B33+1,$B33+1))),G34))</f>
        <v>0</v>
      </c>
      <c r="H33" s="548">
        <f ca="1">(IFERROR(IFERROR(VALUE(_xll.BDH(H$4,"CURRENT_EV_TO_T12M_EBITDA",$B33,$B33)),VALUE(_xll.BDH(H$4,"CURRENT_EV_TO_T12M_EBITDA",$B33+1,$B33+1))),H34))</f>
        <v>0</v>
      </c>
      <c r="I33" s="552">
        <f t="shared" ca="1" si="3"/>
        <v>45755</v>
      </c>
      <c r="J33" s="548">
        <f ca="1">(IFERROR(IFERROR(VALUE(_xll.BDH(J$4,"PE_RATIO",$B33,$B33)),VALUE(_xll.BDH(J$4,"PE_RATIO",$B33+1,$B33+1))),J34))</f>
        <v>0</v>
      </c>
      <c r="K33" s="548">
        <f ca="1">(IFERROR(IFERROR(VALUE(_xll.BDH(K$4,"PE_RATIO",$B33,$B33)),VALUE(_xll.BDH(K$4,"PE_RATIO",$B33+1,$B33+1))),K34))</f>
        <v>0</v>
      </c>
      <c r="L33" s="548">
        <f ca="1">(IFERROR(IFERROR(VALUE(_xll.BDH(L$4,"PE_RATIO",$B33,$B33)),VALUE(_xll.BDH(L$4,"PE_RATIO",$B33+1,$B33+1))),L34))</f>
        <v>0</v>
      </c>
      <c r="M33" s="548">
        <f ca="1">(IFERROR(IFERROR(VALUE(_xll.BDH(M$4,"PE_RATIO",$B33,$B33)),VALUE(_xll.BDH(M$4,"PE_RATIO",$B33+1,$B33+1))),M34))</f>
        <v>0</v>
      </c>
      <c r="N33" s="548">
        <f ca="1">(IFERROR(IFERROR(VALUE(_xll.BDH(N$4,"PE_RATIO",$B33,$B33)),VALUE(_xll.BDH(N$4,"PE_RATIO",$B33+1,$B33+1))),N34))</f>
        <v>0</v>
      </c>
      <c r="O33" s="548">
        <f ca="1">(IFERROR(IFERROR(VALUE(_xll.BDH(O$4,"PE_RATIO",$B33,$B33)),VALUE(_xll.BDH(O$4,"PE_RATIO",$B33+1,$B33+1))),O34))</f>
        <v>0</v>
      </c>
      <c r="P33" s="548"/>
      <c r="Q33" s="552">
        <f t="shared" ca="1" si="4"/>
        <v>45755</v>
      </c>
      <c r="R33" s="4">
        <v>246.69</v>
      </c>
      <c r="S33" s="4">
        <v>5954.5</v>
      </c>
      <c r="T33" s="4">
        <v>0</v>
      </c>
      <c r="U33" s="4">
        <v>1.2662457653218355</v>
      </c>
      <c r="V33" s="4">
        <v>1.6606611966689164</v>
      </c>
      <c r="W33" s="4" t="e">
        <v>#DIV/0!</v>
      </c>
      <c r="Y33" s="548">
        <f t="shared" si="5"/>
        <v>246.69</v>
      </c>
      <c r="Z33" s="4">
        <f ca="1">IFERROR(VALUE(_xll.BDH(Z$4,"PX_LAST",$Q33,$Q33)),Z34)</f>
        <v>0</v>
      </c>
      <c r="AA33" s="4">
        <f ca="1">IFERROR(VALUE(_xll.BDH(AA$4,"PX_LAST",$Q33,$Q33)),AA34)</f>
        <v>0</v>
      </c>
      <c r="AB33" s="4">
        <f ca="1">IFERROR(VALUE(_xll.BDH(AB$4,"PX_LAST",$Q33,$Q33)),AB34)</f>
        <v>0</v>
      </c>
      <c r="AC33" s="4">
        <f ca="1">IFERROR(VALUE(_xll.BDH(AC$4,"PX_LAST",$Q33,$Q33)),AC34)</f>
        <v>0</v>
      </c>
      <c r="AD33" s="4">
        <f ca="1">IFERROR(VALUE(_xll.BDH(AD$4,"PX_LAST",$Q33,$Q33)),AD34)</f>
        <v>0</v>
      </c>
      <c r="AF33" s="4">
        <f t="shared" si="6"/>
        <v>1.2662457653218355</v>
      </c>
      <c r="AG33" s="4" t="e">
        <f t="shared" ca="1" si="7"/>
        <v>#DIV/0!</v>
      </c>
      <c r="AH33" s="4" t="e">
        <f t="shared" ca="1" si="8"/>
        <v>#DIV/0!</v>
      </c>
      <c r="AI33" s="4" t="e">
        <f t="shared" ca="1" si="9"/>
        <v>#DIV/0!</v>
      </c>
      <c r="AJ33" s="4" t="e">
        <f t="shared" ca="1" si="10"/>
        <v>#DIV/0!</v>
      </c>
      <c r="AK33" s="4" t="e">
        <f t="shared" ca="1" si="11"/>
        <v>#DIV/0!</v>
      </c>
      <c r="AM33" s="550">
        <f t="shared" ca="1" si="12"/>
        <v>45922</v>
      </c>
      <c r="AN33" s="551">
        <v>221.52</v>
      </c>
      <c r="AO33" s="551">
        <v>6245682</v>
      </c>
      <c r="AP33" s="551">
        <v>593.04367000000002</v>
      </c>
      <c r="AQ33" s="551">
        <v>131371.03377840001</v>
      </c>
      <c r="AR33" s="551">
        <v>5.4638999999999998</v>
      </c>
    </row>
    <row r="34" spans="2:44" x14ac:dyDescent="0.3">
      <c r="B34" s="552">
        <f t="shared" ca="1" si="13"/>
        <v>45748</v>
      </c>
      <c r="C34" s="548">
        <f ca="1">(IFERROR(IFERROR(VALUE(_xll.BDH(C$4,"CURRENT_EV_TO_T12M_EBITDA",$B34,$B34)),VALUE(_xll.BDH(C$4,"CURRENT_EV_TO_T12M_EBITDA",$B34+1,$B34+1))),C35))</f>
        <v>0</v>
      </c>
      <c r="D34" s="548">
        <f ca="1">(IFERROR(IFERROR(VALUE(_xll.BDH(D$4,"CURRENT_EV_TO_T12M_EBITDA",$B34,$B34)),VALUE(_xll.BDH(D$4,"CURRENT_EV_TO_T12M_EBITDA",$B34+1,$B34+1))),D35))</f>
        <v>0</v>
      </c>
      <c r="E34" s="548">
        <f ca="1">(IFERROR(IFERROR(VALUE(_xll.BDH(E$4,"CURRENT_EV_TO_T12M_EBITDA",$B34,$B34)),VALUE(_xll.BDH(E$4,"CURRENT_EV_TO_T12M_EBITDA",$B34+1,$B34+1))),E35))</f>
        <v>0</v>
      </c>
      <c r="F34" s="548">
        <f ca="1">(IFERROR(IFERROR(VALUE(_xll.BDH(F$4,"CURRENT_EV_TO_T12M_EBITDA",$B34,$B34)),VALUE(_xll.BDH(F$4,"CURRENT_EV_TO_T12M_EBITDA",$B34+1,$B34+1))),F35))</f>
        <v>0</v>
      </c>
      <c r="G34" s="548">
        <f ca="1">(IFERROR(IFERROR(VALUE(_xll.BDH(G$4,"CURRENT_EV_TO_T12M_EBITDA",$B34,$B34)),VALUE(_xll.BDH(G$4,"CURRENT_EV_TO_T12M_EBITDA",$B34+1,$B34+1))),G35))</f>
        <v>0</v>
      </c>
      <c r="H34" s="548">
        <f ca="1">(IFERROR(IFERROR(VALUE(_xll.BDH(H$4,"CURRENT_EV_TO_T12M_EBITDA",$B34,$B34)),VALUE(_xll.BDH(H$4,"CURRENT_EV_TO_T12M_EBITDA",$B34+1,$B34+1))),H35))</f>
        <v>0</v>
      </c>
      <c r="I34" s="552">
        <f t="shared" ca="1" si="3"/>
        <v>45748</v>
      </c>
      <c r="J34" s="548">
        <f ca="1">(IFERROR(IFERROR(VALUE(_xll.BDH(J$4,"PE_RATIO",$B34,$B34)),VALUE(_xll.BDH(J$4,"PE_RATIO",$B34+1,$B34+1))),J35))</f>
        <v>0</v>
      </c>
      <c r="K34" s="548">
        <f ca="1">(IFERROR(IFERROR(VALUE(_xll.BDH(K$4,"PE_RATIO",$B34,$B34)),VALUE(_xll.BDH(K$4,"PE_RATIO",$B34+1,$B34+1))),K35))</f>
        <v>0</v>
      </c>
      <c r="L34" s="548">
        <f ca="1">(IFERROR(IFERROR(VALUE(_xll.BDH(L$4,"PE_RATIO",$B34,$B34)),VALUE(_xll.BDH(L$4,"PE_RATIO",$B34+1,$B34+1))),L35))</f>
        <v>0</v>
      </c>
      <c r="M34" s="548">
        <f ca="1">(IFERROR(IFERROR(VALUE(_xll.BDH(M$4,"PE_RATIO",$B34,$B34)),VALUE(_xll.BDH(M$4,"PE_RATIO",$B34+1,$B34+1))),M35))</f>
        <v>0</v>
      </c>
      <c r="N34" s="548">
        <f ca="1">(IFERROR(IFERROR(VALUE(_xll.BDH(N$4,"PE_RATIO",$B34,$B34)),VALUE(_xll.BDH(N$4,"PE_RATIO",$B34+1,$B34+1))),N35))</f>
        <v>0</v>
      </c>
      <c r="O34" s="548">
        <f ca="1">(IFERROR(IFERROR(VALUE(_xll.BDH(O$4,"PE_RATIO",$B34,$B34)),VALUE(_xll.BDH(O$4,"PE_RATIO",$B34+1,$B34+1))),O35))</f>
        <v>0</v>
      </c>
      <c r="P34" s="548"/>
      <c r="Q34" s="552">
        <f t="shared" ca="1" si="4"/>
        <v>45748</v>
      </c>
      <c r="R34" s="4">
        <v>245.55</v>
      </c>
      <c r="S34" s="4">
        <v>6013.13</v>
      </c>
      <c r="T34" s="4">
        <v>0</v>
      </c>
      <c r="U34" s="4">
        <v>1.2603942100400372</v>
      </c>
      <c r="V34" s="4">
        <v>1.6770126226426672</v>
      </c>
      <c r="W34" s="4" t="e">
        <v>#DIV/0!</v>
      </c>
      <c r="Y34" s="548">
        <f t="shared" si="5"/>
        <v>245.55</v>
      </c>
      <c r="Z34" s="4">
        <f ca="1">IFERROR(VALUE(_xll.BDH(Z$4,"PX_LAST",$Q34,$Q34)),Z35)</f>
        <v>0</v>
      </c>
      <c r="AA34" s="4">
        <f ca="1">IFERROR(VALUE(_xll.BDH(AA$4,"PX_LAST",$Q34,$Q34)),AA35)</f>
        <v>0</v>
      </c>
      <c r="AB34" s="4">
        <f ca="1">IFERROR(VALUE(_xll.BDH(AB$4,"PX_LAST",$Q34,$Q34)),AB35)</f>
        <v>0</v>
      </c>
      <c r="AC34" s="4">
        <f ca="1">IFERROR(VALUE(_xll.BDH(AC$4,"PX_LAST",$Q34,$Q34)),AC35)</f>
        <v>0</v>
      </c>
      <c r="AD34" s="4">
        <f ca="1">IFERROR(VALUE(_xll.BDH(AD$4,"PX_LAST",$Q34,$Q34)),AD35)</f>
        <v>0</v>
      </c>
      <c r="AF34" s="4">
        <f t="shared" si="6"/>
        <v>1.2603942100400372</v>
      </c>
      <c r="AG34" s="4" t="e">
        <f t="shared" ca="1" si="7"/>
        <v>#DIV/0!</v>
      </c>
      <c r="AH34" s="4" t="e">
        <f t="shared" ca="1" si="8"/>
        <v>#DIV/0!</v>
      </c>
      <c r="AI34" s="4" t="e">
        <f t="shared" ca="1" si="9"/>
        <v>#DIV/0!</v>
      </c>
      <c r="AJ34" s="4" t="e">
        <f t="shared" ca="1" si="10"/>
        <v>#DIV/0!</v>
      </c>
      <c r="AK34" s="4" t="e">
        <f t="shared" ca="1" si="11"/>
        <v>#DIV/0!</v>
      </c>
      <c r="AM34" s="550">
        <f t="shared" ca="1" si="12"/>
        <v>45921</v>
      </c>
      <c r="AN34" s="551">
        <v>223.18</v>
      </c>
      <c r="AO34" s="551">
        <v>3096793</v>
      </c>
      <c r="AP34" s="551">
        <v>593.04367000000002</v>
      </c>
      <c r="AQ34" s="551">
        <v>132355.4862706</v>
      </c>
      <c r="AR34" s="551">
        <v>5.5049000000000001</v>
      </c>
    </row>
    <row r="35" spans="2:44" x14ac:dyDescent="0.3">
      <c r="B35" s="552">
        <f t="shared" ca="1" si="13"/>
        <v>45741</v>
      </c>
      <c r="C35" s="548">
        <f ca="1">(IFERROR(IFERROR(VALUE(_xll.BDH(C$4,"CURRENT_EV_TO_T12M_EBITDA",$B35,$B35)),VALUE(_xll.BDH(C$4,"CURRENT_EV_TO_T12M_EBITDA",$B35+1,$B35+1))),C36))</f>
        <v>0</v>
      </c>
      <c r="D35" s="548">
        <f ca="1">(IFERROR(IFERROR(VALUE(_xll.BDH(D$4,"CURRENT_EV_TO_T12M_EBITDA",$B35,$B35)),VALUE(_xll.BDH(D$4,"CURRENT_EV_TO_T12M_EBITDA",$B35+1,$B35+1))),D36))</f>
        <v>0</v>
      </c>
      <c r="E35" s="548">
        <f ca="1">(IFERROR(IFERROR(VALUE(_xll.BDH(E$4,"CURRENT_EV_TO_T12M_EBITDA",$B35,$B35)),VALUE(_xll.BDH(E$4,"CURRENT_EV_TO_T12M_EBITDA",$B35+1,$B35+1))),E36))</f>
        <v>0</v>
      </c>
      <c r="F35" s="548">
        <f ca="1">(IFERROR(IFERROR(VALUE(_xll.BDH(F$4,"CURRENT_EV_TO_T12M_EBITDA",$B35,$B35)),VALUE(_xll.BDH(F$4,"CURRENT_EV_TO_T12M_EBITDA",$B35+1,$B35+1))),F36))</f>
        <v>0</v>
      </c>
      <c r="G35" s="548">
        <f ca="1">(IFERROR(IFERROR(VALUE(_xll.BDH(G$4,"CURRENT_EV_TO_T12M_EBITDA",$B35,$B35)),VALUE(_xll.BDH(G$4,"CURRENT_EV_TO_T12M_EBITDA",$B35+1,$B35+1))),G36))</f>
        <v>0</v>
      </c>
      <c r="H35" s="548">
        <f ca="1">(IFERROR(IFERROR(VALUE(_xll.BDH(H$4,"CURRENT_EV_TO_T12M_EBITDA",$B35,$B35)),VALUE(_xll.BDH(H$4,"CURRENT_EV_TO_T12M_EBITDA",$B35+1,$B35+1))),H36))</f>
        <v>0</v>
      </c>
      <c r="I35" s="552">
        <f t="shared" ca="1" si="3"/>
        <v>45741</v>
      </c>
      <c r="J35" s="548">
        <f ca="1">(IFERROR(IFERROR(VALUE(_xll.BDH(J$4,"PE_RATIO",$B35,$B35)),VALUE(_xll.BDH(J$4,"PE_RATIO",$B35+1,$B35+1))),J36))</f>
        <v>0</v>
      </c>
      <c r="K35" s="548">
        <f ca="1">(IFERROR(IFERROR(VALUE(_xll.BDH(K$4,"PE_RATIO",$B35,$B35)),VALUE(_xll.BDH(K$4,"PE_RATIO",$B35+1,$B35+1))),K36))</f>
        <v>0</v>
      </c>
      <c r="L35" s="548">
        <f ca="1">(IFERROR(IFERROR(VALUE(_xll.BDH(L$4,"PE_RATIO",$B35,$B35)),VALUE(_xll.BDH(L$4,"PE_RATIO",$B35+1,$B35+1))),L36))</f>
        <v>0</v>
      </c>
      <c r="M35" s="548">
        <f ca="1">(IFERROR(IFERROR(VALUE(_xll.BDH(M$4,"PE_RATIO",$B35,$B35)),VALUE(_xll.BDH(M$4,"PE_RATIO",$B35+1,$B35+1))),M36))</f>
        <v>0</v>
      </c>
      <c r="N35" s="548">
        <f ca="1">(IFERROR(IFERROR(VALUE(_xll.BDH(N$4,"PE_RATIO",$B35,$B35)),VALUE(_xll.BDH(N$4,"PE_RATIO",$B35+1,$B35+1))),N36))</f>
        <v>0</v>
      </c>
      <c r="O35" s="548">
        <f ca="1">(IFERROR(IFERROR(VALUE(_xll.BDH(O$4,"PE_RATIO",$B35,$B35)),VALUE(_xll.BDH(O$4,"PE_RATIO",$B35+1,$B35+1))),O36))</f>
        <v>0</v>
      </c>
      <c r="P35" s="548"/>
      <c r="Q35" s="552">
        <f t="shared" ca="1" si="4"/>
        <v>45741</v>
      </c>
      <c r="R35" s="4">
        <v>249.22</v>
      </c>
      <c r="S35" s="4">
        <v>6114.63</v>
      </c>
      <c r="T35" s="4">
        <v>0</v>
      </c>
      <c r="U35" s="4">
        <v>1.2792321116928447</v>
      </c>
      <c r="V35" s="4">
        <v>1.7053201398921247</v>
      </c>
      <c r="W35" s="4" t="e">
        <v>#DIV/0!</v>
      </c>
      <c r="Y35" s="548">
        <f t="shared" si="5"/>
        <v>249.22</v>
      </c>
      <c r="Z35" s="4">
        <f ca="1">IFERROR(VALUE(_xll.BDH(Z$4,"PX_LAST",$Q35,$Q35)),Z36)</f>
        <v>0</v>
      </c>
      <c r="AA35" s="4">
        <f ca="1">IFERROR(VALUE(_xll.BDH(AA$4,"PX_LAST",$Q35,$Q35)),AA36)</f>
        <v>0</v>
      </c>
      <c r="AB35" s="4">
        <f ca="1">IFERROR(VALUE(_xll.BDH(AB$4,"PX_LAST",$Q35,$Q35)),AB36)</f>
        <v>0</v>
      </c>
      <c r="AC35" s="4">
        <f ca="1">IFERROR(VALUE(_xll.BDH(AC$4,"PX_LAST",$Q35,$Q35)),AC36)</f>
        <v>0</v>
      </c>
      <c r="AD35" s="4">
        <f ca="1">IFERROR(VALUE(_xll.BDH(AD$4,"PX_LAST",$Q35,$Q35)),AD36)</f>
        <v>0</v>
      </c>
      <c r="AF35" s="4">
        <f t="shared" si="6"/>
        <v>1.2792321116928447</v>
      </c>
      <c r="AG35" s="4" t="e">
        <f t="shared" ca="1" si="7"/>
        <v>#DIV/0!</v>
      </c>
      <c r="AH35" s="4" t="e">
        <f t="shared" ca="1" si="8"/>
        <v>#DIV/0!</v>
      </c>
      <c r="AI35" s="4" t="e">
        <f t="shared" ca="1" si="9"/>
        <v>#DIV/0!</v>
      </c>
      <c r="AJ35" s="4" t="e">
        <f t="shared" ca="1" si="10"/>
        <v>#DIV/0!</v>
      </c>
      <c r="AK35" s="4" t="e">
        <f t="shared" ca="1" si="11"/>
        <v>#DIV/0!</v>
      </c>
      <c r="AM35" s="550">
        <f t="shared" ca="1" si="12"/>
        <v>45920</v>
      </c>
      <c r="AN35" s="551">
        <v>218.8</v>
      </c>
      <c r="AO35" s="551">
        <v>3224377</v>
      </c>
      <c r="AP35" s="551">
        <v>593.04367000000002</v>
      </c>
      <c r="AQ35" s="551">
        <v>129757.95499600001</v>
      </c>
      <c r="AR35" s="551">
        <v>5.3967999999999998</v>
      </c>
    </row>
    <row r="36" spans="2:44" x14ac:dyDescent="0.3">
      <c r="B36" s="552">
        <f t="shared" ca="1" si="13"/>
        <v>45734</v>
      </c>
      <c r="C36" s="548">
        <f ca="1">(IFERROR(IFERROR(VALUE(_xll.BDH(C$4,"CURRENT_EV_TO_T12M_EBITDA",$B36,$B36)),VALUE(_xll.BDH(C$4,"CURRENT_EV_TO_T12M_EBITDA",$B36+1,$B36+1))),C37))</f>
        <v>0</v>
      </c>
      <c r="D36" s="548">
        <f ca="1">(IFERROR(IFERROR(VALUE(_xll.BDH(D$4,"CURRENT_EV_TO_T12M_EBITDA",$B36,$B36)),VALUE(_xll.BDH(D$4,"CURRENT_EV_TO_T12M_EBITDA",$B36+1,$B36+1))),D37))</f>
        <v>0</v>
      </c>
      <c r="E36" s="548">
        <f ca="1">(IFERROR(IFERROR(VALUE(_xll.BDH(E$4,"CURRENT_EV_TO_T12M_EBITDA",$B36,$B36)),VALUE(_xll.BDH(E$4,"CURRENT_EV_TO_T12M_EBITDA",$B36+1,$B36+1))),E37))</f>
        <v>0</v>
      </c>
      <c r="F36" s="548">
        <f ca="1">(IFERROR(IFERROR(VALUE(_xll.BDH(F$4,"CURRENT_EV_TO_T12M_EBITDA",$B36,$B36)),VALUE(_xll.BDH(F$4,"CURRENT_EV_TO_T12M_EBITDA",$B36+1,$B36+1))),F37))</f>
        <v>0</v>
      </c>
      <c r="G36" s="548">
        <f ca="1">(IFERROR(IFERROR(VALUE(_xll.BDH(G$4,"CURRENT_EV_TO_T12M_EBITDA",$B36,$B36)),VALUE(_xll.BDH(G$4,"CURRENT_EV_TO_T12M_EBITDA",$B36+1,$B36+1))),G37))</f>
        <v>0</v>
      </c>
      <c r="H36" s="548">
        <f ca="1">(IFERROR(IFERROR(VALUE(_xll.BDH(H$4,"CURRENT_EV_TO_T12M_EBITDA",$B36,$B36)),VALUE(_xll.BDH(H$4,"CURRENT_EV_TO_T12M_EBITDA",$B36+1,$B36+1))),H37))</f>
        <v>0</v>
      </c>
      <c r="I36" s="552">
        <f t="shared" ca="1" si="3"/>
        <v>45734</v>
      </c>
      <c r="J36" s="548">
        <f ca="1">(IFERROR(IFERROR(VALUE(_xll.BDH(J$4,"PE_RATIO",$B36,$B36)),VALUE(_xll.BDH(J$4,"PE_RATIO",$B36+1,$B36+1))),J37))</f>
        <v>0</v>
      </c>
      <c r="K36" s="548">
        <f ca="1">(IFERROR(IFERROR(VALUE(_xll.BDH(K$4,"PE_RATIO",$B36,$B36)),VALUE(_xll.BDH(K$4,"PE_RATIO",$B36+1,$B36+1))),K37))</f>
        <v>0</v>
      </c>
      <c r="L36" s="548">
        <f ca="1">(IFERROR(IFERROR(VALUE(_xll.BDH(L$4,"PE_RATIO",$B36,$B36)),VALUE(_xll.BDH(L$4,"PE_RATIO",$B36+1,$B36+1))),L37))</f>
        <v>0</v>
      </c>
      <c r="M36" s="548">
        <f ca="1">(IFERROR(IFERROR(VALUE(_xll.BDH(M$4,"PE_RATIO",$B36,$B36)),VALUE(_xll.BDH(M$4,"PE_RATIO",$B36+1,$B36+1))),M37))</f>
        <v>0</v>
      </c>
      <c r="N36" s="548">
        <f ca="1">(IFERROR(IFERROR(VALUE(_xll.BDH(N$4,"PE_RATIO",$B36,$B36)),VALUE(_xll.BDH(N$4,"PE_RATIO",$B36+1,$B36+1))),N37))</f>
        <v>0</v>
      </c>
      <c r="O36" s="548">
        <f ca="1">(IFERROR(IFERROR(VALUE(_xll.BDH(O$4,"PE_RATIO",$B36,$B36)),VALUE(_xll.BDH(O$4,"PE_RATIO",$B36+1,$B36+1))),O37))</f>
        <v>0</v>
      </c>
      <c r="P36" s="548"/>
      <c r="Q36" s="552">
        <f t="shared" ca="1" si="4"/>
        <v>45734</v>
      </c>
      <c r="R36" s="4">
        <v>242.08</v>
      </c>
      <c r="S36" s="4">
        <v>6025.99</v>
      </c>
      <c r="T36" s="4">
        <v>0</v>
      </c>
      <c r="U36" s="4">
        <v>1.2425828970331589</v>
      </c>
      <c r="V36" s="4">
        <v>1.6805991711335835</v>
      </c>
      <c r="W36" s="4" t="e">
        <v>#DIV/0!</v>
      </c>
      <c r="Y36" s="548">
        <f t="shared" si="5"/>
        <v>242.08</v>
      </c>
      <c r="Z36" s="4">
        <f ca="1">IFERROR(VALUE(_xll.BDH(Z$4,"PX_LAST",$Q36,$Q36)),Z37)</f>
        <v>0</v>
      </c>
      <c r="AA36" s="4">
        <f ca="1">IFERROR(VALUE(_xll.BDH(AA$4,"PX_LAST",$Q36,$Q36)),AA37)</f>
        <v>0</v>
      </c>
      <c r="AB36" s="4">
        <f ca="1">IFERROR(VALUE(_xll.BDH(AB$4,"PX_LAST",$Q36,$Q36)),AB37)</f>
        <v>0</v>
      </c>
      <c r="AC36" s="4">
        <f ca="1">IFERROR(VALUE(_xll.BDH(AC$4,"PX_LAST",$Q36,$Q36)),AC37)</f>
        <v>0</v>
      </c>
      <c r="AD36" s="4">
        <f ca="1">IFERROR(VALUE(_xll.BDH(AD$4,"PX_LAST",$Q36,$Q36)),AD37)</f>
        <v>0</v>
      </c>
      <c r="AF36" s="4">
        <f t="shared" si="6"/>
        <v>1.2425828970331589</v>
      </c>
      <c r="AG36" s="4" t="e">
        <f t="shared" ca="1" si="7"/>
        <v>#DIV/0!</v>
      </c>
      <c r="AH36" s="4" t="e">
        <f t="shared" ca="1" si="8"/>
        <v>#DIV/0!</v>
      </c>
      <c r="AI36" s="4" t="e">
        <f t="shared" ca="1" si="9"/>
        <v>#DIV/0!</v>
      </c>
      <c r="AJ36" s="4" t="e">
        <f t="shared" ca="1" si="10"/>
        <v>#DIV/0!</v>
      </c>
      <c r="AK36" s="4" t="e">
        <f t="shared" ca="1" si="11"/>
        <v>#DIV/0!</v>
      </c>
      <c r="AM36" s="550">
        <f t="shared" ca="1" si="12"/>
        <v>45919</v>
      </c>
      <c r="AN36" s="551">
        <v>219.65</v>
      </c>
      <c r="AO36" s="551">
        <v>4419756</v>
      </c>
      <c r="AP36" s="551">
        <v>593.04367000000002</v>
      </c>
      <c r="AQ36" s="551">
        <v>130262.04211550001</v>
      </c>
      <c r="AR36" s="551">
        <v>5.4177999999999997</v>
      </c>
    </row>
    <row r="37" spans="2:44" x14ac:dyDescent="0.3">
      <c r="B37" s="552">
        <f t="shared" ca="1" si="13"/>
        <v>45727</v>
      </c>
      <c r="C37" s="548">
        <f ca="1">(IFERROR(IFERROR(VALUE(_xll.BDH(C$4,"CURRENT_EV_TO_T12M_EBITDA",$B37,$B37)),VALUE(_xll.BDH(C$4,"CURRENT_EV_TO_T12M_EBITDA",$B37+1,$B37+1))),C38))</f>
        <v>0</v>
      </c>
      <c r="D37" s="548">
        <f ca="1">(IFERROR(IFERROR(VALUE(_xll.BDH(D$4,"CURRENT_EV_TO_T12M_EBITDA",$B37,$B37)),VALUE(_xll.BDH(D$4,"CURRENT_EV_TO_T12M_EBITDA",$B37+1,$B37+1))),D38))</f>
        <v>0</v>
      </c>
      <c r="E37" s="548">
        <f ca="1">(IFERROR(IFERROR(VALUE(_xll.BDH(E$4,"CURRENT_EV_TO_T12M_EBITDA",$B37,$B37)),VALUE(_xll.BDH(E$4,"CURRENT_EV_TO_T12M_EBITDA",$B37+1,$B37+1))),E38))</f>
        <v>0</v>
      </c>
      <c r="F37" s="548">
        <f ca="1">(IFERROR(IFERROR(VALUE(_xll.BDH(F$4,"CURRENT_EV_TO_T12M_EBITDA",$B37,$B37)),VALUE(_xll.BDH(F$4,"CURRENT_EV_TO_T12M_EBITDA",$B37+1,$B37+1))),F38))</f>
        <v>0</v>
      </c>
      <c r="G37" s="548">
        <f ca="1">(IFERROR(IFERROR(VALUE(_xll.BDH(G$4,"CURRENT_EV_TO_T12M_EBITDA",$B37,$B37)),VALUE(_xll.BDH(G$4,"CURRENT_EV_TO_T12M_EBITDA",$B37+1,$B37+1))),G38))</f>
        <v>0</v>
      </c>
      <c r="H37" s="548">
        <f ca="1">(IFERROR(IFERROR(VALUE(_xll.BDH(H$4,"CURRENT_EV_TO_T12M_EBITDA",$B37,$B37)),VALUE(_xll.BDH(H$4,"CURRENT_EV_TO_T12M_EBITDA",$B37+1,$B37+1))),H38))</f>
        <v>0</v>
      </c>
      <c r="I37" s="552">
        <f t="shared" ref="I37:I68" ca="1" si="14">+B37</f>
        <v>45727</v>
      </c>
      <c r="J37" s="548">
        <f ca="1">(IFERROR(IFERROR(VALUE(_xll.BDH(J$4,"PE_RATIO",$B37,$B37)),VALUE(_xll.BDH(J$4,"PE_RATIO",$B37+1,$B37+1))),J38))</f>
        <v>0</v>
      </c>
      <c r="K37" s="548">
        <f ca="1">(IFERROR(IFERROR(VALUE(_xll.BDH(K$4,"PE_RATIO",$B37,$B37)),VALUE(_xll.BDH(K$4,"PE_RATIO",$B37+1,$B37+1))),K38))</f>
        <v>0</v>
      </c>
      <c r="L37" s="548">
        <f ca="1">(IFERROR(IFERROR(VALUE(_xll.BDH(L$4,"PE_RATIO",$B37,$B37)),VALUE(_xll.BDH(L$4,"PE_RATIO",$B37+1,$B37+1))),L38))</f>
        <v>0</v>
      </c>
      <c r="M37" s="548">
        <f ca="1">(IFERROR(IFERROR(VALUE(_xll.BDH(M$4,"PE_RATIO",$B37,$B37)),VALUE(_xll.BDH(M$4,"PE_RATIO",$B37+1,$B37+1))),M38))</f>
        <v>0</v>
      </c>
      <c r="N37" s="548">
        <f ca="1">(IFERROR(IFERROR(VALUE(_xll.BDH(N$4,"PE_RATIO",$B37,$B37)),VALUE(_xll.BDH(N$4,"PE_RATIO",$B37+1,$B37+1))),N38))</f>
        <v>0</v>
      </c>
      <c r="O37" s="548">
        <f ca="1">(IFERROR(IFERROR(VALUE(_xll.BDH(O$4,"PE_RATIO",$B37,$B37)),VALUE(_xll.BDH(O$4,"PE_RATIO",$B37+1,$B37+1))),O38))</f>
        <v>0</v>
      </c>
      <c r="P37" s="548"/>
      <c r="Q37" s="552">
        <f t="shared" ref="Q37:Q68" ca="1" si="15">+I37</f>
        <v>45727</v>
      </c>
      <c r="R37" s="4">
        <v>247.79</v>
      </c>
      <c r="S37" s="4">
        <v>6040.53</v>
      </c>
      <c r="T37" s="4">
        <v>0</v>
      </c>
      <c r="U37" s="4">
        <v>1.2718920028744483</v>
      </c>
      <c r="V37" s="4">
        <v>1.6846542578410428</v>
      </c>
      <c r="W37" s="4" t="e">
        <v>#DIV/0!</v>
      </c>
      <c r="Y37" s="548">
        <f t="shared" ref="Y37:Y68" si="16">+R37</f>
        <v>247.79</v>
      </c>
      <c r="Z37" s="4">
        <f ca="1">IFERROR(VALUE(_xll.BDH(Z$4,"PX_LAST",$Q37,$Q37)),Z38)</f>
        <v>0</v>
      </c>
      <c r="AA37" s="4">
        <f ca="1">IFERROR(VALUE(_xll.BDH(AA$4,"PX_LAST",$Q37,$Q37)),AA38)</f>
        <v>0</v>
      </c>
      <c r="AB37" s="4">
        <f ca="1">IFERROR(VALUE(_xll.BDH(AB$4,"PX_LAST",$Q37,$Q37)),AB38)</f>
        <v>0</v>
      </c>
      <c r="AC37" s="4">
        <f ca="1">IFERROR(VALUE(_xll.BDH(AC$4,"PX_LAST",$Q37,$Q37)),AC38)</f>
        <v>0</v>
      </c>
      <c r="AD37" s="4">
        <f ca="1">IFERROR(VALUE(_xll.BDH(AD$4,"PX_LAST",$Q37,$Q37)),AD38)</f>
        <v>0</v>
      </c>
      <c r="AF37" s="4">
        <f t="shared" ref="AF37:AF68" si="17">+Y37/Y$159</f>
        <v>1.2718920028744483</v>
      </c>
      <c r="AG37" s="4" t="e">
        <f t="shared" ref="AG37:AG68" ca="1" si="18">+Z37/Z$159</f>
        <v>#DIV/0!</v>
      </c>
      <c r="AH37" s="4" t="e">
        <f t="shared" ref="AH37:AH68" ca="1" si="19">+AA37/AA$159</f>
        <v>#DIV/0!</v>
      </c>
      <c r="AI37" s="4" t="e">
        <f t="shared" ref="AI37:AI68" ca="1" si="20">+AB37/AB$159</f>
        <v>#DIV/0!</v>
      </c>
      <c r="AJ37" s="4" t="e">
        <f t="shared" ref="AJ37:AJ68" ca="1" si="21">+AC37/AC$159</f>
        <v>#DIV/0!</v>
      </c>
      <c r="AK37" s="4" t="e">
        <f t="shared" ref="AK37:AK68" ca="1" si="22">+AD37/AD$159</f>
        <v>#DIV/0!</v>
      </c>
      <c r="AM37" s="550">
        <f t="shared" ca="1" si="12"/>
        <v>45918</v>
      </c>
      <c r="AN37" s="551">
        <v>222.24</v>
      </c>
      <c r="AO37" s="551">
        <v>2345563</v>
      </c>
      <c r="AP37" s="551">
        <v>593.04367000000002</v>
      </c>
      <c r="AQ37" s="551">
        <v>131798.02522080002</v>
      </c>
      <c r="AR37" s="551">
        <v>5.4817</v>
      </c>
    </row>
    <row r="38" spans="2:44" x14ac:dyDescent="0.3">
      <c r="B38" s="552">
        <f t="shared" ref="B38:B69" ca="1" si="23">+B37-7</f>
        <v>45720</v>
      </c>
      <c r="C38" s="548">
        <f ca="1">(IFERROR(IFERROR(VALUE(_xll.BDH(C$4,"CURRENT_EV_TO_T12M_EBITDA",$B38,$B38)),VALUE(_xll.BDH(C$4,"CURRENT_EV_TO_T12M_EBITDA",$B38+1,$B38+1))),C39))</f>
        <v>0</v>
      </c>
      <c r="D38" s="548">
        <f ca="1">(IFERROR(IFERROR(VALUE(_xll.BDH(D$4,"CURRENT_EV_TO_T12M_EBITDA",$B38,$B38)),VALUE(_xll.BDH(D$4,"CURRENT_EV_TO_T12M_EBITDA",$B38+1,$B38+1))),D39))</f>
        <v>0</v>
      </c>
      <c r="E38" s="548">
        <f ca="1">(IFERROR(IFERROR(VALUE(_xll.BDH(E$4,"CURRENT_EV_TO_T12M_EBITDA",$B38,$B38)),VALUE(_xll.BDH(E$4,"CURRENT_EV_TO_T12M_EBITDA",$B38+1,$B38+1))),E39))</f>
        <v>0</v>
      </c>
      <c r="F38" s="548">
        <f ca="1">(IFERROR(IFERROR(VALUE(_xll.BDH(F$4,"CURRENT_EV_TO_T12M_EBITDA",$B38,$B38)),VALUE(_xll.BDH(F$4,"CURRENT_EV_TO_T12M_EBITDA",$B38+1,$B38+1))),F39))</f>
        <v>0</v>
      </c>
      <c r="G38" s="548">
        <f ca="1">(IFERROR(IFERROR(VALUE(_xll.BDH(G$4,"CURRENT_EV_TO_T12M_EBITDA",$B38,$B38)),VALUE(_xll.BDH(G$4,"CURRENT_EV_TO_T12M_EBITDA",$B38+1,$B38+1))),G39))</f>
        <v>0</v>
      </c>
      <c r="H38" s="548">
        <f ca="1">(IFERROR(IFERROR(VALUE(_xll.BDH(H$4,"CURRENT_EV_TO_T12M_EBITDA",$B38,$B38)),VALUE(_xll.BDH(H$4,"CURRENT_EV_TO_T12M_EBITDA",$B38+1,$B38+1))),H39))</f>
        <v>0</v>
      </c>
      <c r="I38" s="552">
        <f t="shared" ca="1" si="14"/>
        <v>45720</v>
      </c>
      <c r="J38" s="548">
        <f ca="1">(IFERROR(IFERROR(VALUE(_xll.BDH(J$4,"PE_RATIO",$B38,$B38)),VALUE(_xll.BDH(J$4,"PE_RATIO",$B38+1,$B38+1))),J39))</f>
        <v>0</v>
      </c>
      <c r="K38" s="548">
        <f ca="1">(IFERROR(IFERROR(VALUE(_xll.BDH(K$4,"PE_RATIO",$B38,$B38)),VALUE(_xll.BDH(K$4,"PE_RATIO",$B38+1,$B38+1))),K39))</f>
        <v>0</v>
      </c>
      <c r="L38" s="548">
        <f ca="1">(IFERROR(IFERROR(VALUE(_xll.BDH(L$4,"PE_RATIO",$B38,$B38)),VALUE(_xll.BDH(L$4,"PE_RATIO",$B38+1,$B38+1))),L39))</f>
        <v>0</v>
      </c>
      <c r="M38" s="548">
        <f ca="1">(IFERROR(IFERROR(VALUE(_xll.BDH(M$4,"PE_RATIO",$B38,$B38)),VALUE(_xll.BDH(M$4,"PE_RATIO",$B38+1,$B38+1))),M39))</f>
        <v>0</v>
      </c>
      <c r="N38" s="548">
        <f ca="1">(IFERROR(IFERROR(VALUE(_xll.BDH(N$4,"PE_RATIO",$B38,$B38)),VALUE(_xll.BDH(N$4,"PE_RATIO",$B38+1,$B38+1))),N39))</f>
        <v>0</v>
      </c>
      <c r="O38" s="548">
        <f ca="1">(IFERROR(IFERROR(VALUE(_xll.BDH(O$4,"PE_RATIO",$B38,$B38)),VALUE(_xll.BDH(O$4,"PE_RATIO",$B38+1,$B38+1))),O39))</f>
        <v>0</v>
      </c>
      <c r="P38" s="548"/>
      <c r="Q38" s="552">
        <f t="shared" ca="1" si="15"/>
        <v>45720</v>
      </c>
      <c r="R38" s="4">
        <v>248.78</v>
      </c>
      <c r="S38" s="4">
        <v>6101.24</v>
      </c>
      <c r="T38" s="4">
        <v>0</v>
      </c>
      <c r="U38" s="4">
        <v>1.2769736166717998</v>
      </c>
      <c r="V38" s="4">
        <v>1.7015857787495607</v>
      </c>
      <c r="W38" s="4" t="e">
        <v>#DIV/0!</v>
      </c>
      <c r="Y38" s="548">
        <f t="shared" si="16"/>
        <v>248.78</v>
      </c>
      <c r="Z38" s="4">
        <f ca="1">IFERROR(VALUE(_xll.BDH(Z$4,"PX_LAST",$Q38,$Q38)),Z39)</f>
        <v>0</v>
      </c>
      <c r="AA38" s="4">
        <f ca="1">IFERROR(VALUE(_xll.BDH(AA$4,"PX_LAST",$Q38,$Q38)),AA39)</f>
        <v>0</v>
      </c>
      <c r="AB38" s="4">
        <f ca="1">IFERROR(VALUE(_xll.BDH(AB$4,"PX_LAST",$Q38,$Q38)),AB39)</f>
        <v>0</v>
      </c>
      <c r="AC38" s="4">
        <f ca="1">IFERROR(VALUE(_xll.BDH(AC$4,"PX_LAST",$Q38,$Q38)),AC39)</f>
        <v>0</v>
      </c>
      <c r="AD38" s="4">
        <f ca="1">IFERROR(VALUE(_xll.BDH(AD$4,"PX_LAST",$Q38,$Q38)),AD39)</f>
        <v>0</v>
      </c>
      <c r="AF38" s="4">
        <f t="shared" si="17"/>
        <v>1.2769736166717998</v>
      </c>
      <c r="AG38" s="4" t="e">
        <f t="shared" ca="1" si="18"/>
        <v>#DIV/0!</v>
      </c>
      <c r="AH38" s="4" t="e">
        <f t="shared" ca="1" si="19"/>
        <v>#DIV/0!</v>
      </c>
      <c r="AI38" s="4" t="e">
        <f t="shared" ca="1" si="20"/>
        <v>#DIV/0!</v>
      </c>
      <c r="AJ38" s="4" t="e">
        <f t="shared" ca="1" si="21"/>
        <v>#DIV/0!</v>
      </c>
      <c r="AK38" s="4" t="e">
        <f t="shared" ca="1" si="22"/>
        <v>#DIV/0!</v>
      </c>
      <c r="AM38" s="550">
        <f t="shared" ca="1" si="12"/>
        <v>45917</v>
      </c>
      <c r="AN38" s="551">
        <v>222.24</v>
      </c>
      <c r="AO38" s="551">
        <v>2345563</v>
      </c>
      <c r="AP38" s="551">
        <v>593.04367000000002</v>
      </c>
      <c r="AQ38" s="551">
        <v>131798.02522080002</v>
      </c>
      <c r="AR38" s="551">
        <v>5.4817</v>
      </c>
    </row>
    <row r="39" spans="2:44" x14ac:dyDescent="0.3">
      <c r="B39" s="552">
        <f t="shared" ca="1" si="23"/>
        <v>45713</v>
      </c>
      <c r="C39" s="548">
        <f ca="1">(IFERROR(IFERROR(VALUE(_xll.BDH(C$4,"CURRENT_EV_TO_T12M_EBITDA",$B39,$B39)),VALUE(_xll.BDH(C$4,"CURRENT_EV_TO_T12M_EBITDA",$B39+1,$B39+1))),C40))</f>
        <v>0</v>
      </c>
      <c r="D39" s="548">
        <f ca="1">(IFERROR(IFERROR(VALUE(_xll.BDH(D$4,"CURRENT_EV_TO_T12M_EBITDA",$B39,$B39)),VALUE(_xll.BDH(D$4,"CURRENT_EV_TO_T12M_EBITDA",$B39+1,$B39+1))),D40))</f>
        <v>0</v>
      </c>
      <c r="E39" s="548">
        <f ca="1">(IFERROR(IFERROR(VALUE(_xll.BDH(E$4,"CURRENT_EV_TO_T12M_EBITDA",$B39,$B39)),VALUE(_xll.BDH(E$4,"CURRENT_EV_TO_T12M_EBITDA",$B39+1,$B39+1))),E40))</f>
        <v>0</v>
      </c>
      <c r="F39" s="548">
        <f ca="1">(IFERROR(IFERROR(VALUE(_xll.BDH(F$4,"CURRENT_EV_TO_T12M_EBITDA",$B39,$B39)),VALUE(_xll.BDH(F$4,"CURRENT_EV_TO_T12M_EBITDA",$B39+1,$B39+1))),F40))</f>
        <v>0</v>
      </c>
      <c r="G39" s="548">
        <f ca="1">(IFERROR(IFERROR(VALUE(_xll.BDH(G$4,"CURRENT_EV_TO_T12M_EBITDA",$B39,$B39)),VALUE(_xll.BDH(G$4,"CURRENT_EV_TO_T12M_EBITDA",$B39+1,$B39+1))),G40))</f>
        <v>0</v>
      </c>
      <c r="H39" s="548">
        <f ca="1">(IFERROR(IFERROR(VALUE(_xll.BDH(H$4,"CURRENT_EV_TO_T12M_EBITDA",$B39,$B39)),VALUE(_xll.BDH(H$4,"CURRENT_EV_TO_T12M_EBITDA",$B39+1,$B39+1))),H40))</f>
        <v>0</v>
      </c>
      <c r="I39" s="552">
        <f t="shared" ca="1" si="14"/>
        <v>45713</v>
      </c>
      <c r="J39" s="548">
        <f ca="1">(IFERROR(IFERROR(VALUE(_xll.BDH(J$4,"PE_RATIO",$B39,$B39)),VALUE(_xll.BDH(J$4,"PE_RATIO",$B39+1,$B39+1))),J40))</f>
        <v>0</v>
      </c>
      <c r="K39" s="548">
        <f ca="1">(IFERROR(IFERROR(VALUE(_xll.BDH(K$4,"PE_RATIO",$B39,$B39)),VALUE(_xll.BDH(K$4,"PE_RATIO",$B39+1,$B39+1))),K40))</f>
        <v>0</v>
      </c>
      <c r="L39" s="548">
        <f ca="1">(IFERROR(IFERROR(VALUE(_xll.BDH(L$4,"PE_RATIO",$B39,$B39)),VALUE(_xll.BDH(L$4,"PE_RATIO",$B39+1,$B39+1))),L40))</f>
        <v>0</v>
      </c>
      <c r="M39" s="548">
        <f ca="1">(IFERROR(IFERROR(VALUE(_xll.BDH(M$4,"PE_RATIO",$B39,$B39)),VALUE(_xll.BDH(M$4,"PE_RATIO",$B39+1,$B39+1))),M40))</f>
        <v>0</v>
      </c>
      <c r="N39" s="548">
        <f ca="1">(IFERROR(IFERROR(VALUE(_xll.BDH(N$4,"PE_RATIO",$B39,$B39)),VALUE(_xll.BDH(N$4,"PE_RATIO",$B39+1,$B39+1))),N40))</f>
        <v>0</v>
      </c>
      <c r="O39" s="548">
        <f ca="1">(IFERROR(IFERROR(VALUE(_xll.BDH(O$4,"PE_RATIO",$B39,$B39)),VALUE(_xll.BDH(O$4,"PE_RATIO",$B39+1,$B39+1))),O40))</f>
        <v>0</v>
      </c>
      <c r="P39" s="548"/>
      <c r="Q39" s="552">
        <f t="shared" ca="1" si="15"/>
        <v>45713</v>
      </c>
      <c r="R39" s="4">
        <v>234.26</v>
      </c>
      <c r="S39" s="4">
        <v>5996.66</v>
      </c>
      <c r="T39" s="4">
        <v>0</v>
      </c>
      <c r="U39" s="4">
        <v>1.2024432809773125</v>
      </c>
      <c r="V39" s="4">
        <v>1.6724192747697748</v>
      </c>
      <c r="W39" s="4" t="e">
        <v>#DIV/0!</v>
      </c>
      <c r="Y39" s="548">
        <f t="shared" si="16"/>
        <v>234.26</v>
      </c>
      <c r="Z39" s="4">
        <f ca="1">IFERROR(VALUE(_xll.BDH(Z$4,"PX_LAST",$Q39,$Q39)),Z40)</f>
        <v>0</v>
      </c>
      <c r="AA39" s="4">
        <f ca="1">IFERROR(VALUE(_xll.BDH(AA$4,"PX_LAST",$Q39,$Q39)),AA40)</f>
        <v>0</v>
      </c>
      <c r="AB39" s="4">
        <f ca="1">IFERROR(VALUE(_xll.BDH(AB$4,"PX_LAST",$Q39,$Q39)),AB40)</f>
        <v>0</v>
      </c>
      <c r="AC39" s="4">
        <f ca="1">IFERROR(VALUE(_xll.BDH(AC$4,"PX_LAST",$Q39,$Q39)),AC40)</f>
        <v>0</v>
      </c>
      <c r="AD39" s="4">
        <f ca="1">IFERROR(VALUE(_xll.BDH(AD$4,"PX_LAST",$Q39,$Q39)),AD40)</f>
        <v>0</v>
      </c>
      <c r="AF39" s="4">
        <f t="shared" si="17"/>
        <v>1.2024432809773125</v>
      </c>
      <c r="AG39" s="4" t="e">
        <f t="shared" ca="1" si="18"/>
        <v>#DIV/0!</v>
      </c>
      <c r="AH39" s="4" t="e">
        <f t="shared" ca="1" si="19"/>
        <v>#DIV/0!</v>
      </c>
      <c r="AI39" s="4" t="e">
        <f t="shared" ca="1" si="20"/>
        <v>#DIV/0!</v>
      </c>
      <c r="AJ39" s="4" t="e">
        <f t="shared" ca="1" si="21"/>
        <v>#DIV/0!</v>
      </c>
      <c r="AK39" s="4" t="e">
        <f t="shared" ca="1" si="22"/>
        <v>#DIV/0!</v>
      </c>
      <c r="AM39" s="550">
        <f t="shared" ca="1" si="12"/>
        <v>45916</v>
      </c>
      <c r="AN39" s="551">
        <v>222.24</v>
      </c>
      <c r="AO39" s="551">
        <v>2345563</v>
      </c>
      <c r="AP39" s="551">
        <v>593.04367000000002</v>
      </c>
      <c r="AQ39" s="551">
        <v>131798.02522080002</v>
      </c>
      <c r="AR39" s="551">
        <v>5.4817</v>
      </c>
    </row>
    <row r="40" spans="2:44" x14ac:dyDescent="0.3">
      <c r="B40" s="552">
        <f t="shared" ca="1" si="23"/>
        <v>45706</v>
      </c>
      <c r="C40" s="548">
        <f ca="1">(IFERROR(IFERROR(VALUE(_xll.BDH(C$4,"CURRENT_EV_TO_T12M_EBITDA",$B40,$B40)),VALUE(_xll.BDH(C$4,"CURRENT_EV_TO_T12M_EBITDA",$B40+1,$B40+1))),C41))</f>
        <v>0</v>
      </c>
      <c r="D40" s="548">
        <f ca="1">(IFERROR(IFERROR(VALUE(_xll.BDH(D$4,"CURRENT_EV_TO_T12M_EBITDA",$B40,$B40)),VALUE(_xll.BDH(D$4,"CURRENT_EV_TO_T12M_EBITDA",$B40+1,$B40+1))),D41))</f>
        <v>0</v>
      </c>
      <c r="E40" s="548">
        <f ca="1">(IFERROR(IFERROR(VALUE(_xll.BDH(E$4,"CURRENT_EV_TO_T12M_EBITDA",$B40,$B40)),VALUE(_xll.BDH(E$4,"CURRENT_EV_TO_T12M_EBITDA",$B40+1,$B40+1))),E41))</f>
        <v>0</v>
      </c>
      <c r="F40" s="548">
        <f ca="1">(IFERROR(IFERROR(VALUE(_xll.BDH(F$4,"CURRENT_EV_TO_T12M_EBITDA",$B40,$B40)),VALUE(_xll.BDH(F$4,"CURRENT_EV_TO_T12M_EBITDA",$B40+1,$B40+1))),F41))</f>
        <v>0</v>
      </c>
      <c r="G40" s="548">
        <f ca="1">(IFERROR(IFERROR(VALUE(_xll.BDH(G$4,"CURRENT_EV_TO_T12M_EBITDA",$B40,$B40)),VALUE(_xll.BDH(G$4,"CURRENT_EV_TO_T12M_EBITDA",$B40+1,$B40+1))),G41))</f>
        <v>0</v>
      </c>
      <c r="H40" s="548">
        <f ca="1">(IFERROR(IFERROR(VALUE(_xll.BDH(H$4,"CURRENT_EV_TO_T12M_EBITDA",$B40,$B40)),VALUE(_xll.BDH(H$4,"CURRENT_EV_TO_T12M_EBITDA",$B40+1,$B40+1))),H41))</f>
        <v>0</v>
      </c>
      <c r="I40" s="552">
        <f t="shared" ca="1" si="14"/>
        <v>45706</v>
      </c>
      <c r="J40" s="548">
        <f ca="1">(IFERROR(IFERROR(VALUE(_xll.BDH(J$4,"PE_RATIO",$B40,$B40)),VALUE(_xll.BDH(J$4,"PE_RATIO",$B40+1,$B40+1))),J41))</f>
        <v>0</v>
      </c>
      <c r="K40" s="548">
        <f ca="1">(IFERROR(IFERROR(VALUE(_xll.BDH(K$4,"PE_RATIO",$B40,$B40)),VALUE(_xll.BDH(K$4,"PE_RATIO",$B40+1,$B40+1))),K41))</f>
        <v>0</v>
      </c>
      <c r="L40" s="548">
        <f ca="1">(IFERROR(IFERROR(VALUE(_xll.BDH(L$4,"PE_RATIO",$B40,$B40)),VALUE(_xll.BDH(L$4,"PE_RATIO",$B40+1,$B40+1))),L41))</f>
        <v>0</v>
      </c>
      <c r="M40" s="548">
        <f ca="1">(IFERROR(IFERROR(VALUE(_xll.BDH(M$4,"PE_RATIO",$B40,$B40)),VALUE(_xll.BDH(M$4,"PE_RATIO",$B40+1,$B40+1))),M41))</f>
        <v>0</v>
      </c>
      <c r="N40" s="548">
        <f ca="1">(IFERROR(IFERROR(VALUE(_xll.BDH(N$4,"PE_RATIO",$B40,$B40)),VALUE(_xll.BDH(N$4,"PE_RATIO",$B40+1,$B40+1))),N41))</f>
        <v>0</v>
      </c>
      <c r="O40" s="548">
        <f ca="1">(IFERROR(IFERROR(VALUE(_xll.BDH(O$4,"PE_RATIO",$B40,$B40)),VALUE(_xll.BDH(O$4,"PE_RATIO",$B40+1,$B40+1))),O41))</f>
        <v>0</v>
      </c>
      <c r="P40" s="548"/>
      <c r="Q40" s="552">
        <f t="shared" ca="1" si="15"/>
        <v>45706</v>
      </c>
      <c r="R40" s="4">
        <v>225.21</v>
      </c>
      <c r="S40" s="4">
        <v>5827.04</v>
      </c>
      <c r="T40" s="4">
        <v>0</v>
      </c>
      <c r="U40" s="4">
        <v>1.1559901447489991</v>
      </c>
      <c r="V40" s="4">
        <v>1.6251136484066913</v>
      </c>
      <c r="W40" s="4" t="e">
        <v>#DIV/0!</v>
      </c>
      <c r="Y40" s="548">
        <f t="shared" si="16"/>
        <v>225.21</v>
      </c>
      <c r="Z40" s="4">
        <f ca="1">IFERROR(VALUE(_xll.BDH(Z$4,"PX_LAST",$Q40,$Q40)),Z41)</f>
        <v>0</v>
      </c>
      <c r="AA40" s="4">
        <f ca="1">IFERROR(VALUE(_xll.BDH(AA$4,"PX_LAST",$Q40,$Q40)),AA41)</f>
        <v>0</v>
      </c>
      <c r="AB40" s="4">
        <f ca="1">IFERROR(VALUE(_xll.BDH(AB$4,"PX_LAST",$Q40,$Q40)),AB41)</f>
        <v>0</v>
      </c>
      <c r="AC40" s="4">
        <f ca="1">IFERROR(VALUE(_xll.BDH(AC$4,"PX_LAST",$Q40,$Q40)),AC41)</f>
        <v>0</v>
      </c>
      <c r="AD40" s="4">
        <f ca="1">IFERROR(VALUE(_xll.BDH(AD$4,"PX_LAST",$Q40,$Q40)),AD41)</f>
        <v>0</v>
      </c>
      <c r="AF40" s="4">
        <f t="shared" si="17"/>
        <v>1.1559901447489991</v>
      </c>
      <c r="AG40" s="4" t="e">
        <f t="shared" ca="1" si="18"/>
        <v>#DIV/0!</v>
      </c>
      <c r="AH40" s="4" t="e">
        <f t="shared" ca="1" si="19"/>
        <v>#DIV/0!</v>
      </c>
      <c r="AI40" s="4" t="e">
        <f t="shared" ca="1" si="20"/>
        <v>#DIV/0!</v>
      </c>
      <c r="AJ40" s="4" t="e">
        <f t="shared" ca="1" si="21"/>
        <v>#DIV/0!</v>
      </c>
      <c r="AK40" s="4" t="e">
        <f t="shared" ca="1" si="22"/>
        <v>#DIV/0!</v>
      </c>
      <c r="AM40" s="550">
        <f t="shared" ca="1" si="12"/>
        <v>45915</v>
      </c>
      <c r="AN40" s="551">
        <v>222.66</v>
      </c>
      <c r="AO40" s="551">
        <v>3113727</v>
      </c>
      <c r="AP40" s="551">
        <v>593.04367000000002</v>
      </c>
      <c r="AQ40" s="551">
        <v>132047.10356220001</v>
      </c>
      <c r="AR40" s="551">
        <v>5.492</v>
      </c>
    </row>
    <row r="41" spans="2:44" x14ac:dyDescent="0.3">
      <c r="B41" s="552">
        <f t="shared" ca="1" si="23"/>
        <v>45699</v>
      </c>
      <c r="C41" s="548">
        <f ca="1">(IFERROR(IFERROR(VALUE(_xll.BDH(C$4,"CURRENT_EV_TO_T12M_EBITDA",$B41,$B41)),VALUE(_xll.BDH(C$4,"CURRENT_EV_TO_T12M_EBITDA",$B41+1,$B41+1))),C42))</f>
        <v>0</v>
      </c>
      <c r="D41" s="548">
        <f ca="1">(IFERROR(IFERROR(VALUE(_xll.BDH(D$4,"CURRENT_EV_TO_T12M_EBITDA",$B41,$B41)),VALUE(_xll.BDH(D$4,"CURRENT_EV_TO_T12M_EBITDA",$B41+1,$B41+1))),D42))</f>
        <v>0</v>
      </c>
      <c r="E41" s="548">
        <f ca="1">(IFERROR(IFERROR(VALUE(_xll.BDH(E$4,"CURRENT_EV_TO_T12M_EBITDA",$B41,$B41)),VALUE(_xll.BDH(E$4,"CURRENT_EV_TO_T12M_EBITDA",$B41+1,$B41+1))),E42))</f>
        <v>0</v>
      </c>
      <c r="F41" s="548">
        <f ca="1">(IFERROR(IFERROR(VALUE(_xll.BDH(F$4,"CURRENT_EV_TO_T12M_EBITDA",$B41,$B41)),VALUE(_xll.BDH(F$4,"CURRENT_EV_TO_T12M_EBITDA",$B41+1,$B41+1))),F42))</f>
        <v>0</v>
      </c>
      <c r="G41" s="548">
        <f ca="1">(IFERROR(IFERROR(VALUE(_xll.BDH(G$4,"CURRENT_EV_TO_T12M_EBITDA",$B41,$B41)),VALUE(_xll.BDH(G$4,"CURRENT_EV_TO_T12M_EBITDA",$B41+1,$B41+1))),G42))</f>
        <v>0</v>
      </c>
      <c r="H41" s="548">
        <f ca="1">(IFERROR(IFERROR(VALUE(_xll.BDH(H$4,"CURRENT_EV_TO_T12M_EBITDA",$B41,$B41)),VALUE(_xll.BDH(H$4,"CURRENT_EV_TO_T12M_EBITDA",$B41+1,$B41+1))),H42))</f>
        <v>0</v>
      </c>
      <c r="I41" s="552">
        <f t="shared" ca="1" si="14"/>
        <v>45699</v>
      </c>
      <c r="J41" s="548">
        <f ca="1">(IFERROR(IFERROR(VALUE(_xll.BDH(J$4,"PE_RATIO",$B41,$B41)),VALUE(_xll.BDH(J$4,"PE_RATIO",$B41+1,$B41+1))),J42))</f>
        <v>0</v>
      </c>
      <c r="K41" s="548">
        <f ca="1">(IFERROR(IFERROR(VALUE(_xll.BDH(K$4,"PE_RATIO",$B41,$B41)),VALUE(_xll.BDH(K$4,"PE_RATIO",$B41+1,$B41+1))),K42))</f>
        <v>0</v>
      </c>
      <c r="L41" s="548">
        <f ca="1">(IFERROR(IFERROR(VALUE(_xll.BDH(L$4,"PE_RATIO",$B41,$B41)),VALUE(_xll.BDH(L$4,"PE_RATIO",$B41+1,$B41+1))),L42))</f>
        <v>0</v>
      </c>
      <c r="M41" s="548">
        <f ca="1">(IFERROR(IFERROR(VALUE(_xll.BDH(M$4,"PE_RATIO",$B41,$B41)),VALUE(_xll.BDH(M$4,"PE_RATIO",$B41+1,$B41+1))),M42))</f>
        <v>0</v>
      </c>
      <c r="N41" s="548">
        <f ca="1">(IFERROR(IFERROR(VALUE(_xll.BDH(N$4,"PE_RATIO",$B41,$B41)),VALUE(_xll.BDH(N$4,"PE_RATIO",$B41+1,$B41+1))),N42))</f>
        <v>0</v>
      </c>
      <c r="O41" s="548">
        <f ca="1">(IFERROR(IFERROR(VALUE(_xll.BDH(O$4,"PE_RATIO",$B41,$B41)),VALUE(_xll.BDH(O$4,"PE_RATIO",$B41+1,$B41+1))),O42))</f>
        <v>0</v>
      </c>
      <c r="P41" s="548"/>
      <c r="Q41" s="552">
        <f t="shared" ca="1" si="15"/>
        <v>45699</v>
      </c>
      <c r="R41" s="4">
        <v>231.5</v>
      </c>
      <c r="S41" s="4">
        <v>5942.47</v>
      </c>
      <c r="T41" s="4">
        <v>0</v>
      </c>
      <c r="U41" s="4">
        <v>1.1882763576634843</v>
      </c>
      <c r="V41" s="4">
        <v>1.6573061283683157</v>
      </c>
      <c r="W41" s="4" t="e">
        <v>#DIV/0!</v>
      </c>
      <c r="Y41" s="548">
        <f t="shared" si="16"/>
        <v>231.5</v>
      </c>
      <c r="Z41" s="4">
        <f ca="1">IFERROR(VALUE(_xll.BDH(Z$4,"PX_LAST",$Q41,$Q41)),Z42)</f>
        <v>0</v>
      </c>
      <c r="AA41" s="4">
        <f ca="1">IFERROR(VALUE(_xll.BDH(AA$4,"PX_LAST",$Q41,$Q41)),AA42)</f>
        <v>0</v>
      </c>
      <c r="AB41" s="4">
        <f ca="1">IFERROR(VALUE(_xll.BDH(AB$4,"PX_LAST",$Q41,$Q41)),AB42)</f>
        <v>0</v>
      </c>
      <c r="AC41" s="4">
        <f ca="1">IFERROR(VALUE(_xll.BDH(AC$4,"PX_LAST",$Q41,$Q41)),AC42)</f>
        <v>0</v>
      </c>
      <c r="AD41" s="4">
        <f ca="1">IFERROR(VALUE(_xll.BDH(AD$4,"PX_LAST",$Q41,$Q41)),AD42)</f>
        <v>0</v>
      </c>
      <c r="AF41" s="4">
        <f t="shared" si="17"/>
        <v>1.1882763576634843</v>
      </c>
      <c r="AG41" s="4" t="e">
        <f t="shared" ca="1" si="18"/>
        <v>#DIV/0!</v>
      </c>
      <c r="AH41" s="4" t="e">
        <f t="shared" ca="1" si="19"/>
        <v>#DIV/0!</v>
      </c>
      <c r="AI41" s="4" t="e">
        <f t="shared" ca="1" si="20"/>
        <v>#DIV/0!</v>
      </c>
      <c r="AJ41" s="4" t="e">
        <f t="shared" ca="1" si="21"/>
        <v>#DIV/0!</v>
      </c>
      <c r="AK41" s="4" t="e">
        <f t="shared" ca="1" si="22"/>
        <v>#DIV/0!</v>
      </c>
      <c r="AM41" s="550">
        <f t="shared" ca="1" si="12"/>
        <v>45914</v>
      </c>
      <c r="AN41" s="551">
        <v>225.46</v>
      </c>
      <c r="AO41" s="551">
        <v>3135691</v>
      </c>
      <c r="AP41" s="551">
        <v>593.04367000000002</v>
      </c>
      <c r="AQ41" s="551">
        <v>133707.62583820001</v>
      </c>
      <c r="AR41" s="551">
        <v>5.5610999999999997</v>
      </c>
    </row>
    <row r="42" spans="2:44" x14ac:dyDescent="0.3">
      <c r="B42" s="552">
        <f t="shared" ca="1" si="23"/>
        <v>45692</v>
      </c>
      <c r="C42" s="548">
        <f ca="1">(IFERROR(IFERROR(VALUE(_xll.BDH(C$4,"CURRENT_EV_TO_T12M_EBITDA",$B42,$B42)),VALUE(_xll.BDH(C$4,"CURRENT_EV_TO_T12M_EBITDA",$B42+1,$B42+1))),C43))</f>
        <v>0</v>
      </c>
      <c r="D42" s="548">
        <f ca="1">(IFERROR(IFERROR(VALUE(_xll.BDH(D$4,"CURRENT_EV_TO_T12M_EBITDA",$B42,$B42)),VALUE(_xll.BDH(D$4,"CURRENT_EV_TO_T12M_EBITDA",$B42+1,$B42+1))),D43))</f>
        <v>0</v>
      </c>
      <c r="E42" s="548">
        <f ca="1">(IFERROR(IFERROR(VALUE(_xll.BDH(E$4,"CURRENT_EV_TO_T12M_EBITDA",$B42,$B42)),VALUE(_xll.BDH(E$4,"CURRENT_EV_TO_T12M_EBITDA",$B42+1,$B42+1))),E43))</f>
        <v>0</v>
      </c>
      <c r="F42" s="548">
        <f ca="1">(IFERROR(IFERROR(VALUE(_xll.BDH(F$4,"CURRENT_EV_TO_T12M_EBITDA",$B42,$B42)),VALUE(_xll.BDH(F$4,"CURRENT_EV_TO_T12M_EBITDA",$B42+1,$B42+1))),F43))</f>
        <v>0</v>
      </c>
      <c r="G42" s="548">
        <f ca="1">(IFERROR(IFERROR(VALUE(_xll.BDH(G$4,"CURRENT_EV_TO_T12M_EBITDA",$B42,$B42)),VALUE(_xll.BDH(G$4,"CURRENT_EV_TO_T12M_EBITDA",$B42+1,$B42+1))),G43))</f>
        <v>0</v>
      </c>
      <c r="H42" s="548">
        <f ca="1">(IFERROR(IFERROR(VALUE(_xll.BDH(H$4,"CURRENT_EV_TO_T12M_EBITDA",$B42,$B42)),VALUE(_xll.BDH(H$4,"CURRENT_EV_TO_T12M_EBITDA",$B42+1,$B42+1))),H43))</f>
        <v>0</v>
      </c>
      <c r="I42" s="552">
        <f t="shared" ca="1" si="14"/>
        <v>45692</v>
      </c>
      <c r="J42" s="548">
        <f ca="1">(IFERROR(IFERROR(VALUE(_xll.BDH(J$4,"PE_RATIO",$B42,$B42)),VALUE(_xll.BDH(J$4,"PE_RATIO",$B42+1,$B42+1))),J43))</f>
        <v>0</v>
      </c>
      <c r="K42" s="548">
        <f ca="1">(IFERROR(IFERROR(VALUE(_xll.BDH(K$4,"PE_RATIO",$B42,$B42)),VALUE(_xll.BDH(K$4,"PE_RATIO",$B42+1,$B42+1))),K43))</f>
        <v>0</v>
      </c>
      <c r="L42" s="548">
        <f ca="1">(IFERROR(IFERROR(VALUE(_xll.BDH(L$4,"PE_RATIO",$B42,$B42)),VALUE(_xll.BDH(L$4,"PE_RATIO",$B42+1,$B42+1))),L43))</f>
        <v>0</v>
      </c>
      <c r="M42" s="548">
        <f ca="1">(IFERROR(IFERROR(VALUE(_xll.BDH(M$4,"PE_RATIO",$B42,$B42)),VALUE(_xll.BDH(M$4,"PE_RATIO",$B42+1,$B42+1))),M43))</f>
        <v>0</v>
      </c>
      <c r="N42" s="548">
        <f ca="1">(IFERROR(IFERROR(VALUE(_xll.BDH(N$4,"PE_RATIO",$B42,$B42)),VALUE(_xll.BDH(N$4,"PE_RATIO",$B42+1,$B42+1))),N43))</f>
        <v>0</v>
      </c>
      <c r="O42" s="548">
        <f ca="1">(IFERROR(IFERROR(VALUE(_xll.BDH(O$4,"PE_RATIO",$B42,$B42)),VALUE(_xll.BDH(O$4,"PE_RATIO",$B42+1,$B42+1))),O43))</f>
        <v>0</v>
      </c>
      <c r="P42" s="548"/>
      <c r="Q42" s="552">
        <f t="shared" ca="1" si="15"/>
        <v>45692</v>
      </c>
      <c r="R42" s="4">
        <v>229.93</v>
      </c>
      <c r="S42" s="4">
        <v>5970.84</v>
      </c>
      <c r="T42" s="4">
        <v>0</v>
      </c>
      <c r="U42" s="4">
        <v>1.1802176367929371</v>
      </c>
      <c r="V42" s="4">
        <v>1.6652182886083857</v>
      </c>
      <c r="W42" s="4" t="e">
        <v>#DIV/0!</v>
      </c>
      <c r="Y42" s="548">
        <f t="shared" si="16"/>
        <v>229.93</v>
      </c>
      <c r="Z42" s="4">
        <f ca="1">IFERROR(VALUE(_xll.BDH(Z$4,"PX_LAST",$Q42,$Q42)),Z43)</f>
        <v>0</v>
      </c>
      <c r="AA42" s="4">
        <f ca="1">IFERROR(VALUE(_xll.BDH(AA$4,"PX_LAST",$Q42,$Q42)),AA43)</f>
        <v>0</v>
      </c>
      <c r="AB42" s="4">
        <f ca="1">IFERROR(VALUE(_xll.BDH(AB$4,"PX_LAST",$Q42,$Q42)),AB43)</f>
        <v>0</v>
      </c>
      <c r="AC42" s="4">
        <f ca="1">IFERROR(VALUE(_xll.BDH(AC$4,"PX_LAST",$Q42,$Q42)),AC43)</f>
        <v>0</v>
      </c>
      <c r="AD42" s="4">
        <f ca="1">IFERROR(VALUE(_xll.BDH(AD$4,"PX_LAST",$Q42,$Q42)),AD43)</f>
        <v>0</v>
      </c>
      <c r="AF42" s="4">
        <f t="shared" si="17"/>
        <v>1.1802176367929371</v>
      </c>
      <c r="AG42" s="4" t="e">
        <f t="shared" ca="1" si="18"/>
        <v>#DIV/0!</v>
      </c>
      <c r="AH42" s="4" t="e">
        <f t="shared" ca="1" si="19"/>
        <v>#DIV/0!</v>
      </c>
      <c r="AI42" s="4" t="e">
        <f t="shared" ca="1" si="20"/>
        <v>#DIV/0!</v>
      </c>
      <c r="AJ42" s="4" t="e">
        <f t="shared" ca="1" si="21"/>
        <v>#DIV/0!</v>
      </c>
      <c r="AK42" s="4" t="e">
        <f t="shared" ca="1" si="22"/>
        <v>#DIV/0!</v>
      </c>
      <c r="AM42" s="550">
        <f t="shared" ca="1" si="12"/>
        <v>45913</v>
      </c>
      <c r="AN42" s="551">
        <v>222.97</v>
      </c>
      <c r="AO42" s="551">
        <v>2430049</v>
      </c>
      <c r="AP42" s="551">
        <v>593.04367000000002</v>
      </c>
      <c r="AQ42" s="551">
        <v>132230.94709989999</v>
      </c>
      <c r="AR42" s="551">
        <v>5.4996999999999998</v>
      </c>
    </row>
    <row r="43" spans="2:44" x14ac:dyDescent="0.3">
      <c r="B43" s="552">
        <f t="shared" ca="1" si="23"/>
        <v>45685</v>
      </c>
      <c r="C43" s="548">
        <f ca="1">(IFERROR(IFERROR(VALUE(_xll.BDH(C$4,"CURRENT_EV_TO_T12M_EBITDA",$B43,$B43)),VALUE(_xll.BDH(C$4,"CURRENT_EV_TO_T12M_EBITDA",$B43+1,$B43+1))),C44))</f>
        <v>0</v>
      </c>
      <c r="D43" s="548">
        <f ca="1">(IFERROR(IFERROR(VALUE(_xll.BDH(D$4,"CURRENT_EV_TO_T12M_EBITDA",$B43,$B43)),VALUE(_xll.BDH(D$4,"CURRENT_EV_TO_T12M_EBITDA",$B43+1,$B43+1))),D44))</f>
        <v>0</v>
      </c>
      <c r="E43" s="548">
        <f ca="1">(IFERROR(IFERROR(VALUE(_xll.BDH(E$4,"CURRENT_EV_TO_T12M_EBITDA",$B43,$B43)),VALUE(_xll.BDH(E$4,"CURRENT_EV_TO_T12M_EBITDA",$B43+1,$B43+1))),E44))</f>
        <v>0</v>
      </c>
      <c r="F43" s="548">
        <f ca="1">(IFERROR(IFERROR(VALUE(_xll.BDH(F$4,"CURRENT_EV_TO_T12M_EBITDA",$B43,$B43)),VALUE(_xll.BDH(F$4,"CURRENT_EV_TO_T12M_EBITDA",$B43+1,$B43+1))),F44))</f>
        <v>0</v>
      </c>
      <c r="G43" s="548">
        <f ca="1">(IFERROR(IFERROR(VALUE(_xll.BDH(G$4,"CURRENT_EV_TO_T12M_EBITDA",$B43,$B43)),VALUE(_xll.BDH(G$4,"CURRENT_EV_TO_T12M_EBITDA",$B43+1,$B43+1))),G44))</f>
        <v>0</v>
      </c>
      <c r="H43" s="548">
        <f ca="1">(IFERROR(IFERROR(VALUE(_xll.BDH(H$4,"CURRENT_EV_TO_T12M_EBITDA",$B43,$B43)),VALUE(_xll.BDH(H$4,"CURRENT_EV_TO_T12M_EBITDA",$B43+1,$B43+1))),H44))</f>
        <v>0</v>
      </c>
      <c r="I43" s="552">
        <f t="shared" ca="1" si="14"/>
        <v>45685</v>
      </c>
      <c r="J43" s="548">
        <f ca="1">(IFERROR(IFERROR(VALUE(_xll.BDH(J$4,"PE_RATIO",$B43,$B43)),VALUE(_xll.BDH(J$4,"PE_RATIO",$B43+1,$B43+1))),J44))</f>
        <v>0</v>
      </c>
      <c r="K43" s="548">
        <f ca="1">(IFERROR(IFERROR(VALUE(_xll.BDH(K$4,"PE_RATIO",$B43,$B43)),VALUE(_xll.BDH(K$4,"PE_RATIO",$B43+1,$B43+1))),K44))</f>
        <v>0</v>
      </c>
      <c r="L43" s="548">
        <f ca="1">(IFERROR(IFERROR(VALUE(_xll.BDH(L$4,"PE_RATIO",$B43,$B43)),VALUE(_xll.BDH(L$4,"PE_RATIO",$B43+1,$B43+1))),L44))</f>
        <v>0</v>
      </c>
      <c r="M43" s="548">
        <f ca="1">(IFERROR(IFERROR(VALUE(_xll.BDH(M$4,"PE_RATIO",$B43,$B43)),VALUE(_xll.BDH(M$4,"PE_RATIO",$B43+1,$B43+1))),M44))</f>
        <v>0</v>
      </c>
      <c r="N43" s="548">
        <f ca="1">(IFERROR(IFERROR(VALUE(_xll.BDH(N$4,"PE_RATIO",$B43,$B43)),VALUE(_xll.BDH(N$4,"PE_RATIO",$B43+1,$B43+1))),N44))</f>
        <v>0</v>
      </c>
      <c r="O43" s="548">
        <f ca="1">(IFERROR(IFERROR(VALUE(_xll.BDH(O$4,"PE_RATIO",$B43,$B43)),VALUE(_xll.BDH(O$4,"PE_RATIO",$B43+1,$B43+1))),O44))</f>
        <v>0</v>
      </c>
      <c r="P43" s="548"/>
      <c r="Q43" s="552">
        <f t="shared" ca="1" si="15"/>
        <v>45685</v>
      </c>
      <c r="R43" s="4">
        <v>226.32</v>
      </c>
      <c r="S43" s="4">
        <v>5930.85</v>
      </c>
      <c r="T43" s="4">
        <v>0</v>
      </c>
      <c r="U43" s="4">
        <v>1.1616877117339082</v>
      </c>
      <c r="V43" s="4">
        <v>1.6540654057038953</v>
      </c>
      <c r="W43" s="4" t="e">
        <v>#DIV/0!</v>
      </c>
      <c r="Y43" s="548">
        <f t="shared" si="16"/>
        <v>226.32</v>
      </c>
      <c r="Z43" s="4">
        <f ca="1">IFERROR(VALUE(_xll.BDH(Z$4,"PX_LAST",$Q43,$Q43)),Z44)</f>
        <v>0</v>
      </c>
      <c r="AA43" s="4">
        <f ca="1">IFERROR(VALUE(_xll.BDH(AA$4,"PX_LAST",$Q43,$Q43)),AA44)</f>
        <v>0</v>
      </c>
      <c r="AB43" s="4">
        <f ca="1">IFERROR(VALUE(_xll.BDH(AB$4,"PX_LAST",$Q43,$Q43)),AB44)</f>
        <v>0</v>
      </c>
      <c r="AC43" s="4">
        <f ca="1">IFERROR(VALUE(_xll.BDH(AC$4,"PX_LAST",$Q43,$Q43)),AC44)</f>
        <v>0</v>
      </c>
      <c r="AD43" s="4">
        <f ca="1">IFERROR(VALUE(_xll.BDH(AD$4,"PX_LAST",$Q43,$Q43)),AD44)</f>
        <v>0</v>
      </c>
      <c r="AF43" s="4">
        <f t="shared" si="17"/>
        <v>1.1616877117339082</v>
      </c>
      <c r="AG43" s="4" t="e">
        <f t="shared" ca="1" si="18"/>
        <v>#DIV/0!</v>
      </c>
      <c r="AH43" s="4" t="e">
        <f t="shared" ca="1" si="19"/>
        <v>#DIV/0!</v>
      </c>
      <c r="AI43" s="4" t="e">
        <f t="shared" ca="1" si="20"/>
        <v>#DIV/0!</v>
      </c>
      <c r="AJ43" s="4" t="e">
        <f t="shared" ca="1" si="21"/>
        <v>#DIV/0!</v>
      </c>
      <c r="AK43" s="4" t="e">
        <f t="shared" ca="1" si="22"/>
        <v>#DIV/0!</v>
      </c>
      <c r="AM43" s="550">
        <f t="shared" ca="1" si="12"/>
        <v>45912</v>
      </c>
      <c r="AN43" s="551">
        <v>222.06</v>
      </c>
      <c r="AO43" s="551">
        <v>4181104</v>
      </c>
      <c r="AP43" s="551">
        <v>593.04367000000002</v>
      </c>
      <c r="AQ43" s="551">
        <v>131691.27736020001</v>
      </c>
      <c r="AR43" s="551">
        <v>5.4771999999999998</v>
      </c>
    </row>
    <row r="44" spans="2:44" x14ac:dyDescent="0.3">
      <c r="B44" s="552">
        <f t="shared" ca="1" si="23"/>
        <v>45678</v>
      </c>
      <c r="C44" s="548">
        <f ca="1">(IFERROR(IFERROR(VALUE(_xll.BDH(C$4,"CURRENT_EV_TO_T12M_EBITDA",$B44,$B44)),VALUE(_xll.BDH(C$4,"CURRENT_EV_TO_T12M_EBITDA",$B44+1,$B44+1))),C45))</f>
        <v>0</v>
      </c>
      <c r="D44" s="548">
        <f ca="1">(IFERROR(IFERROR(VALUE(_xll.BDH(D$4,"CURRENT_EV_TO_T12M_EBITDA",$B44,$B44)),VALUE(_xll.BDH(D$4,"CURRENT_EV_TO_T12M_EBITDA",$B44+1,$B44+1))),D45))</f>
        <v>0</v>
      </c>
      <c r="E44" s="548">
        <f ca="1">(IFERROR(IFERROR(VALUE(_xll.BDH(E$4,"CURRENT_EV_TO_T12M_EBITDA",$B44,$B44)),VALUE(_xll.BDH(E$4,"CURRENT_EV_TO_T12M_EBITDA",$B44+1,$B44+1))),E45))</f>
        <v>0</v>
      </c>
      <c r="F44" s="548">
        <f ca="1">(IFERROR(IFERROR(VALUE(_xll.BDH(F$4,"CURRENT_EV_TO_T12M_EBITDA",$B44,$B44)),VALUE(_xll.BDH(F$4,"CURRENT_EV_TO_T12M_EBITDA",$B44+1,$B44+1))),F45))</f>
        <v>0</v>
      </c>
      <c r="G44" s="548">
        <f ca="1">(IFERROR(IFERROR(VALUE(_xll.BDH(G$4,"CURRENT_EV_TO_T12M_EBITDA",$B44,$B44)),VALUE(_xll.BDH(G$4,"CURRENT_EV_TO_T12M_EBITDA",$B44+1,$B44+1))),G45))</f>
        <v>0</v>
      </c>
      <c r="H44" s="548">
        <f ca="1">(IFERROR(IFERROR(VALUE(_xll.BDH(H$4,"CURRENT_EV_TO_T12M_EBITDA",$B44,$B44)),VALUE(_xll.BDH(H$4,"CURRENT_EV_TO_T12M_EBITDA",$B44+1,$B44+1))),H45))</f>
        <v>0</v>
      </c>
      <c r="I44" s="552">
        <f t="shared" ca="1" si="14"/>
        <v>45678</v>
      </c>
      <c r="J44" s="548">
        <f ca="1">(IFERROR(IFERROR(VALUE(_xll.BDH(J$4,"PE_RATIO",$B44,$B44)),VALUE(_xll.BDH(J$4,"PE_RATIO",$B44+1,$B44+1))),J45))</f>
        <v>0</v>
      </c>
      <c r="K44" s="548">
        <f ca="1">(IFERROR(IFERROR(VALUE(_xll.BDH(K$4,"PE_RATIO",$B44,$B44)),VALUE(_xll.BDH(K$4,"PE_RATIO",$B44+1,$B44+1))),K45))</f>
        <v>0</v>
      </c>
      <c r="L44" s="548">
        <f ca="1">(IFERROR(IFERROR(VALUE(_xll.BDH(L$4,"PE_RATIO",$B44,$B44)),VALUE(_xll.BDH(L$4,"PE_RATIO",$B44+1,$B44+1))),L45))</f>
        <v>0</v>
      </c>
      <c r="M44" s="548">
        <f ca="1">(IFERROR(IFERROR(VALUE(_xll.BDH(M$4,"PE_RATIO",$B44,$B44)),VALUE(_xll.BDH(M$4,"PE_RATIO",$B44+1,$B44+1))),M45))</f>
        <v>0</v>
      </c>
      <c r="N44" s="548">
        <f ca="1">(IFERROR(IFERROR(VALUE(_xll.BDH(N$4,"PE_RATIO",$B44,$B44)),VALUE(_xll.BDH(N$4,"PE_RATIO",$B44+1,$B44+1))),N45))</f>
        <v>0</v>
      </c>
      <c r="O44" s="548">
        <f ca="1">(IFERROR(IFERROR(VALUE(_xll.BDH(O$4,"PE_RATIO",$B44,$B44)),VALUE(_xll.BDH(O$4,"PE_RATIO",$B44+1,$B44+1))),O45))</f>
        <v>0</v>
      </c>
      <c r="P44" s="548"/>
      <c r="Q44" s="552">
        <f t="shared" ca="1" si="15"/>
        <v>45678</v>
      </c>
      <c r="R44" s="4">
        <v>234.98</v>
      </c>
      <c r="S44" s="4">
        <v>6051.09</v>
      </c>
      <c r="T44" s="4">
        <v>0</v>
      </c>
      <c r="U44" s="4">
        <v>1.2061390001026588</v>
      </c>
      <c r="V44" s="4">
        <v>1.6875993552021689</v>
      </c>
      <c r="W44" s="4" t="e">
        <v>#DIV/0!</v>
      </c>
      <c r="Y44" s="548">
        <f t="shared" si="16"/>
        <v>234.98</v>
      </c>
      <c r="Z44" s="4">
        <f ca="1">IFERROR(VALUE(_xll.BDH(Z$4,"PX_LAST",$Q44,$Q44)),Z45)</f>
        <v>0</v>
      </c>
      <c r="AA44" s="4">
        <f ca="1">IFERROR(VALUE(_xll.BDH(AA$4,"PX_LAST",$Q44,$Q44)),AA45)</f>
        <v>0</v>
      </c>
      <c r="AB44" s="4">
        <f ca="1">IFERROR(VALUE(_xll.BDH(AB$4,"PX_LAST",$Q44,$Q44)),AB45)</f>
        <v>0</v>
      </c>
      <c r="AC44" s="4">
        <f ca="1">IFERROR(VALUE(_xll.BDH(AC$4,"PX_LAST",$Q44,$Q44)),AC45)</f>
        <v>0</v>
      </c>
      <c r="AD44" s="4">
        <f ca="1">IFERROR(VALUE(_xll.BDH(AD$4,"PX_LAST",$Q44,$Q44)),AD45)</f>
        <v>0</v>
      </c>
      <c r="AF44" s="4">
        <f t="shared" si="17"/>
        <v>1.2061390001026588</v>
      </c>
      <c r="AG44" s="4" t="e">
        <f t="shared" ca="1" si="18"/>
        <v>#DIV/0!</v>
      </c>
      <c r="AH44" s="4" t="e">
        <f t="shared" ca="1" si="19"/>
        <v>#DIV/0!</v>
      </c>
      <c r="AI44" s="4" t="e">
        <f t="shared" ca="1" si="20"/>
        <v>#DIV/0!</v>
      </c>
      <c r="AJ44" s="4" t="e">
        <f t="shared" ca="1" si="21"/>
        <v>#DIV/0!</v>
      </c>
      <c r="AK44" s="4" t="e">
        <f t="shared" ca="1" si="22"/>
        <v>#DIV/0!</v>
      </c>
      <c r="AM44" s="550">
        <f t="shared" ca="1" si="12"/>
        <v>45911</v>
      </c>
      <c r="AN44" s="551">
        <v>219.4</v>
      </c>
      <c r="AO44" s="551">
        <v>4637470</v>
      </c>
      <c r="AP44" s="551">
        <v>593.04367000000002</v>
      </c>
      <c r="AQ44" s="551">
        <v>130113.78119800001</v>
      </c>
      <c r="AR44" s="551">
        <v>5.4116</v>
      </c>
    </row>
    <row r="45" spans="2:44" x14ac:dyDescent="0.3">
      <c r="B45" s="552">
        <f t="shared" ca="1" si="23"/>
        <v>45671</v>
      </c>
      <c r="C45" s="548">
        <f ca="1">(IFERROR(IFERROR(VALUE(_xll.BDH(C$4,"CURRENT_EV_TO_T12M_EBITDA",$B45,$B45)),VALUE(_xll.BDH(C$4,"CURRENT_EV_TO_T12M_EBITDA",$B45+1,$B45+1))),C46))</f>
        <v>0</v>
      </c>
      <c r="D45" s="548">
        <f ca="1">(IFERROR(IFERROR(VALUE(_xll.BDH(D$4,"CURRENT_EV_TO_T12M_EBITDA",$B45,$B45)),VALUE(_xll.BDH(D$4,"CURRENT_EV_TO_T12M_EBITDA",$B45+1,$B45+1))),D46))</f>
        <v>0</v>
      </c>
      <c r="E45" s="548">
        <f ca="1">(IFERROR(IFERROR(VALUE(_xll.BDH(E$4,"CURRENT_EV_TO_T12M_EBITDA",$B45,$B45)),VALUE(_xll.BDH(E$4,"CURRENT_EV_TO_T12M_EBITDA",$B45+1,$B45+1))),E46))</f>
        <v>0</v>
      </c>
      <c r="F45" s="548">
        <f ca="1">(IFERROR(IFERROR(VALUE(_xll.BDH(F$4,"CURRENT_EV_TO_T12M_EBITDA",$B45,$B45)),VALUE(_xll.BDH(F$4,"CURRENT_EV_TO_T12M_EBITDA",$B45+1,$B45+1))),F46))</f>
        <v>0</v>
      </c>
      <c r="G45" s="548">
        <f ca="1">(IFERROR(IFERROR(VALUE(_xll.BDH(G$4,"CURRENT_EV_TO_T12M_EBITDA",$B45,$B45)),VALUE(_xll.BDH(G$4,"CURRENT_EV_TO_T12M_EBITDA",$B45+1,$B45+1))),G46))</f>
        <v>0</v>
      </c>
      <c r="H45" s="548">
        <f ca="1">(IFERROR(IFERROR(VALUE(_xll.BDH(H$4,"CURRENT_EV_TO_T12M_EBITDA",$B45,$B45)),VALUE(_xll.BDH(H$4,"CURRENT_EV_TO_T12M_EBITDA",$B45+1,$B45+1))),H46))</f>
        <v>0</v>
      </c>
      <c r="I45" s="552">
        <f t="shared" ca="1" si="14"/>
        <v>45671</v>
      </c>
      <c r="J45" s="548">
        <f ca="1">(IFERROR(IFERROR(VALUE(_xll.BDH(J$4,"PE_RATIO",$B45,$B45)),VALUE(_xll.BDH(J$4,"PE_RATIO",$B45+1,$B45+1))),J46))</f>
        <v>0</v>
      </c>
      <c r="K45" s="548">
        <f ca="1">(IFERROR(IFERROR(VALUE(_xll.BDH(K$4,"PE_RATIO",$B45,$B45)),VALUE(_xll.BDH(K$4,"PE_RATIO",$B45+1,$B45+1))),K46))</f>
        <v>0</v>
      </c>
      <c r="L45" s="548">
        <f ca="1">(IFERROR(IFERROR(VALUE(_xll.BDH(L$4,"PE_RATIO",$B45,$B45)),VALUE(_xll.BDH(L$4,"PE_RATIO",$B45+1,$B45+1))),L46))</f>
        <v>0</v>
      </c>
      <c r="M45" s="548">
        <f ca="1">(IFERROR(IFERROR(VALUE(_xll.BDH(M$4,"PE_RATIO",$B45,$B45)),VALUE(_xll.BDH(M$4,"PE_RATIO",$B45+1,$B45+1))),M46))</f>
        <v>0</v>
      </c>
      <c r="N45" s="548">
        <f ca="1">(IFERROR(IFERROR(VALUE(_xll.BDH(N$4,"PE_RATIO",$B45,$B45)),VALUE(_xll.BDH(N$4,"PE_RATIO",$B45+1,$B45+1))),N46))</f>
        <v>0</v>
      </c>
      <c r="O45" s="548">
        <f ca="1">(IFERROR(IFERROR(VALUE(_xll.BDH(O$4,"PE_RATIO",$B45,$B45)),VALUE(_xll.BDH(O$4,"PE_RATIO",$B45+1,$B45+1))),O46))</f>
        <v>0</v>
      </c>
      <c r="P45" s="548"/>
      <c r="Q45" s="552">
        <f t="shared" ca="1" si="15"/>
        <v>45671</v>
      </c>
      <c r="R45" s="4">
        <v>233.57</v>
      </c>
      <c r="S45" s="4">
        <v>6090.27</v>
      </c>
      <c r="T45" s="4">
        <v>0</v>
      </c>
      <c r="U45" s="4">
        <v>1.1989015501488554</v>
      </c>
      <c r="V45" s="4">
        <v>1.6985263357522551</v>
      </c>
      <c r="W45" s="4" t="e">
        <v>#DIV/0!</v>
      </c>
      <c r="Y45" s="548">
        <f t="shared" si="16"/>
        <v>233.57</v>
      </c>
      <c r="Z45" s="4">
        <f ca="1">IFERROR(VALUE(_xll.BDH(Z$4,"PX_LAST",$Q45,$Q45)),Z46)</f>
        <v>0</v>
      </c>
      <c r="AA45" s="4">
        <f ca="1">IFERROR(VALUE(_xll.BDH(AA$4,"PX_LAST",$Q45,$Q45)),AA46)</f>
        <v>0</v>
      </c>
      <c r="AB45" s="4">
        <f ca="1">IFERROR(VALUE(_xll.BDH(AB$4,"PX_LAST",$Q45,$Q45)),AB46)</f>
        <v>0</v>
      </c>
      <c r="AC45" s="4">
        <f ca="1">IFERROR(VALUE(_xll.BDH(AC$4,"PX_LAST",$Q45,$Q45)),AC46)</f>
        <v>0</v>
      </c>
      <c r="AD45" s="4">
        <f ca="1">IFERROR(VALUE(_xll.BDH(AD$4,"PX_LAST",$Q45,$Q45)),AD46)</f>
        <v>0</v>
      </c>
      <c r="AF45" s="4">
        <f t="shared" si="17"/>
        <v>1.1989015501488554</v>
      </c>
      <c r="AG45" s="4" t="e">
        <f t="shared" ca="1" si="18"/>
        <v>#DIV/0!</v>
      </c>
      <c r="AH45" s="4" t="e">
        <f t="shared" ca="1" si="19"/>
        <v>#DIV/0!</v>
      </c>
      <c r="AI45" s="4" t="e">
        <f t="shared" ca="1" si="20"/>
        <v>#DIV/0!</v>
      </c>
      <c r="AJ45" s="4" t="e">
        <f t="shared" ca="1" si="21"/>
        <v>#DIV/0!</v>
      </c>
      <c r="AK45" s="4" t="e">
        <f t="shared" ca="1" si="22"/>
        <v>#DIV/0!</v>
      </c>
      <c r="AM45" s="550">
        <f t="shared" ca="1" si="12"/>
        <v>45910</v>
      </c>
      <c r="AN45" s="551">
        <v>219.4</v>
      </c>
      <c r="AO45" s="551">
        <v>4637470</v>
      </c>
      <c r="AP45" s="551">
        <v>593.04367000000002</v>
      </c>
      <c r="AQ45" s="551">
        <v>130113.78119800001</v>
      </c>
      <c r="AR45" s="551">
        <v>5.4116</v>
      </c>
    </row>
    <row r="46" spans="2:44" x14ac:dyDescent="0.3">
      <c r="B46" s="552">
        <f t="shared" ca="1" si="23"/>
        <v>45664</v>
      </c>
      <c r="C46" s="548">
        <f ca="1">(IFERROR(IFERROR(VALUE(_xll.BDH(C$4,"CURRENT_EV_TO_T12M_EBITDA",$B46,$B46)),VALUE(_xll.BDH(C$4,"CURRENT_EV_TO_T12M_EBITDA",$B46+1,$B46+1))),C47))</f>
        <v>0</v>
      </c>
      <c r="D46" s="548">
        <f ca="1">(IFERROR(IFERROR(VALUE(_xll.BDH(D$4,"CURRENT_EV_TO_T12M_EBITDA",$B46,$B46)),VALUE(_xll.BDH(D$4,"CURRENT_EV_TO_T12M_EBITDA",$B46+1,$B46+1))),D47))</f>
        <v>0</v>
      </c>
      <c r="E46" s="548">
        <f ca="1">(IFERROR(IFERROR(VALUE(_xll.BDH(E$4,"CURRENT_EV_TO_T12M_EBITDA",$B46,$B46)),VALUE(_xll.BDH(E$4,"CURRENT_EV_TO_T12M_EBITDA",$B46+1,$B46+1))),E47))</f>
        <v>0</v>
      </c>
      <c r="F46" s="548">
        <f ca="1">(IFERROR(IFERROR(VALUE(_xll.BDH(F$4,"CURRENT_EV_TO_T12M_EBITDA",$B46,$B46)),VALUE(_xll.BDH(F$4,"CURRENT_EV_TO_T12M_EBITDA",$B46+1,$B46+1))),F47))</f>
        <v>0</v>
      </c>
      <c r="G46" s="548">
        <f ca="1">(IFERROR(IFERROR(VALUE(_xll.BDH(G$4,"CURRENT_EV_TO_T12M_EBITDA",$B46,$B46)),VALUE(_xll.BDH(G$4,"CURRENT_EV_TO_T12M_EBITDA",$B46+1,$B46+1))),G47))</f>
        <v>0</v>
      </c>
      <c r="H46" s="548">
        <f ca="1">(IFERROR(IFERROR(VALUE(_xll.BDH(H$4,"CURRENT_EV_TO_T12M_EBITDA",$B46,$B46)),VALUE(_xll.BDH(H$4,"CURRENT_EV_TO_T12M_EBITDA",$B46+1,$B46+1))),H47))</f>
        <v>0</v>
      </c>
      <c r="I46" s="552">
        <f t="shared" ca="1" si="14"/>
        <v>45664</v>
      </c>
      <c r="J46" s="548">
        <f ca="1">(IFERROR(IFERROR(VALUE(_xll.BDH(J$4,"PE_RATIO",$B46,$B46)),VALUE(_xll.BDH(J$4,"PE_RATIO",$B46+1,$B46+1))),J47))</f>
        <v>0</v>
      </c>
      <c r="K46" s="548">
        <f ca="1">(IFERROR(IFERROR(VALUE(_xll.BDH(K$4,"PE_RATIO",$B46,$B46)),VALUE(_xll.BDH(K$4,"PE_RATIO",$B46+1,$B46+1))),K47))</f>
        <v>0</v>
      </c>
      <c r="L46" s="548">
        <f ca="1">(IFERROR(IFERROR(VALUE(_xll.BDH(L$4,"PE_RATIO",$B46,$B46)),VALUE(_xll.BDH(L$4,"PE_RATIO",$B46+1,$B46+1))),L47))</f>
        <v>0</v>
      </c>
      <c r="M46" s="548">
        <f ca="1">(IFERROR(IFERROR(VALUE(_xll.BDH(M$4,"PE_RATIO",$B46,$B46)),VALUE(_xll.BDH(M$4,"PE_RATIO",$B46+1,$B46+1))),M47))</f>
        <v>0</v>
      </c>
      <c r="N46" s="548">
        <f ca="1">(IFERROR(IFERROR(VALUE(_xll.BDH(N$4,"PE_RATIO",$B46,$B46)),VALUE(_xll.BDH(N$4,"PE_RATIO",$B46+1,$B46+1))),N47))</f>
        <v>0</v>
      </c>
      <c r="O46" s="548">
        <f ca="1">(IFERROR(IFERROR(VALUE(_xll.BDH(O$4,"PE_RATIO",$B46,$B46)),VALUE(_xll.BDH(O$4,"PE_RATIO",$B46+1,$B46+1))),O47))</f>
        <v>0</v>
      </c>
      <c r="P46" s="548"/>
      <c r="Q46" s="552">
        <f t="shared" ca="1" si="15"/>
        <v>45664</v>
      </c>
      <c r="R46" s="4">
        <v>244.66</v>
      </c>
      <c r="S46" s="4">
        <v>6032.38</v>
      </c>
      <c r="T46" s="4">
        <v>0</v>
      </c>
      <c r="U46" s="4">
        <v>1.2558258905656503</v>
      </c>
      <c r="V46" s="4">
        <v>1.6823812897072195</v>
      </c>
      <c r="W46" s="4" t="e">
        <v>#DIV/0!</v>
      </c>
      <c r="Y46" s="548">
        <f t="shared" si="16"/>
        <v>244.66</v>
      </c>
      <c r="Z46" s="4">
        <f ca="1">IFERROR(VALUE(_xll.BDH(Z$4,"PX_LAST",$Q46,$Q46)),Z47)</f>
        <v>0</v>
      </c>
      <c r="AA46" s="4">
        <f ca="1">IFERROR(VALUE(_xll.BDH(AA$4,"PX_LAST",$Q46,$Q46)),AA47)</f>
        <v>0</v>
      </c>
      <c r="AB46" s="4">
        <f ca="1">IFERROR(VALUE(_xll.BDH(AB$4,"PX_LAST",$Q46,$Q46)),AB47)</f>
        <v>0</v>
      </c>
      <c r="AC46" s="4">
        <f ca="1">IFERROR(VALUE(_xll.BDH(AC$4,"PX_LAST",$Q46,$Q46)),AC47)</f>
        <v>0</v>
      </c>
      <c r="AD46" s="4">
        <f ca="1">IFERROR(VALUE(_xll.BDH(AD$4,"PX_LAST",$Q46,$Q46)),AD47)</f>
        <v>0</v>
      </c>
      <c r="AF46" s="4">
        <f t="shared" si="17"/>
        <v>1.2558258905656503</v>
      </c>
      <c r="AG46" s="4" t="e">
        <f t="shared" ca="1" si="18"/>
        <v>#DIV/0!</v>
      </c>
      <c r="AH46" s="4" t="e">
        <f t="shared" ca="1" si="19"/>
        <v>#DIV/0!</v>
      </c>
      <c r="AI46" s="4" t="e">
        <f t="shared" ca="1" si="20"/>
        <v>#DIV/0!</v>
      </c>
      <c r="AJ46" s="4" t="e">
        <f t="shared" ca="1" si="21"/>
        <v>#DIV/0!</v>
      </c>
      <c r="AK46" s="4" t="e">
        <f t="shared" ca="1" si="22"/>
        <v>#DIV/0!</v>
      </c>
      <c r="AM46" s="550">
        <f t="shared" ca="1" si="12"/>
        <v>45909</v>
      </c>
      <c r="AN46" s="551">
        <v>219.4</v>
      </c>
      <c r="AO46" s="551">
        <v>4637470</v>
      </c>
      <c r="AP46" s="551">
        <v>593.04367000000002</v>
      </c>
      <c r="AQ46" s="551">
        <v>130113.78119800001</v>
      </c>
      <c r="AR46" s="551">
        <v>5.4116</v>
      </c>
    </row>
    <row r="47" spans="2:44" x14ac:dyDescent="0.3">
      <c r="B47" s="552">
        <f t="shared" ca="1" si="23"/>
        <v>45657</v>
      </c>
      <c r="C47" s="548">
        <f ca="1">(IFERROR(IFERROR(VALUE(_xll.BDH(C$4,"CURRENT_EV_TO_T12M_EBITDA",$B47,$B47)),VALUE(_xll.BDH(C$4,"CURRENT_EV_TO_T12M_EBITDA",$B47+1,$B47+1))),C48))</f>
        <v>0</v>
      </c>
      <c r="D47" s="548">
        <f ca="1">(IFERROR(IFERROR(VALUE(_xll.BDH(D$4,"CURRENT_EV_TO_T12M_EBITDA",$B47,$B47)),VALUE(_xll.BDH(D$4,"CURRENT_EV_TO_T12M_EBITDA",$B47+1,$B47+1))),D48))</f>
        <v>0</v>
      </c>
      <c r="E47" s="548">
        <f ca="1">(IFERROR(IFERROR(VALUE(_xll.BDH(E$4,"CURRENT_EV_TO_T12M_EBITDA",$B47,$B47)),VALUE(_xll.BDH(E$4,"CURRENT_EV_TO_T12M_EBITDA",$B47+1,$B47+1))),E48))</f>
        <v>0</v>
      </c>
      <c r="F47" s="548">
        <f ca="1">(IFERROR(IFERROR(VALUE(_xll.BDH(F$4,"CURRENT_EV_TO_T12M_EBITDA",$B47,$B47)),VALUE(_xll.BDH(F$4,"CURRENT_EV_TO_T12M_EBITDA",$B47+1,$B47+1))),F48))</f>
        <v>0</v>
      </c>
      <c r="G47" s="548">
        <f ca="1">(IFERROR(IFERROR(VALUE(_xll.BDH(G$4,"CURRENT_EV_TO_T12M_EBITDA",$B47,$B47)),VALUE(_xll.BDH(G$4,"CURRENT_EV_TO_T12M_EBITDA",$B47+1,$B47+1))),G48))</f>
        <v>0</v>
      </c>
      <c r="H47" s="548">
        <f ca="1">(IFERROR(IFERROR(VALUE(_xll.BDH(H$4,"CURRENT_EV_TO_T12M_EBITDA",$B47,$B47)),VALUE(_xll.BDH(H$4,"CURRENT_EV_TO_T12M_EBITDA",$B47+1,$B47+1))),H48))</f>
        <v>0</v>
      </c>
      <c r="I47" s="552">
        <f t="shared" ca="1" si="14"/>
        <v>45657</v>
      </c>
      <c r="J47" s="548">
        <f ca="1">(IFERROR(IFERROR(VALUE(_xll.BDH(J$4,"PE_RATIO",$B47,$B47)),VALUE(_xll.BDH(J$4,"PE_RATIO",$B47+1,$B47+1))),J48))</f>
        <v>0</v>
      </c>
      <c r="K47" s="548">
        <f ca="1">(IFERROR(IFERROR(VALUE(_xll.BDH(K$4,"PE_RATIO",$B47,$B47)),VALUE(_xll.BDH(K$4,"PE_RATIO",$B47+1,$B47+1))),K48))</f>
        <v>0</v>
      </c>
      <c r="L47" s="548">
        <f ca="1">(IFERROR(IFERROR(VALUE(_xll.BDH(L$4,"PE_RATIO",$B47,$B47)),VALUE(_xll.BDH(L$4,"PE_RATIO",$B47+1,$B47+1))),L48))</f>
        <v>0</v>
      </c>
      <c r="M47" s="548">
        <f ca="1">(IFERROR(IFERROR(VALUE(_xll.BDH(M$4,"PE_RATIO",$B47,$B47)),VALUE(_xll.BDH(M$4,"PE_RATIO",$B47+1,$B47+1))),M48))</f>
        <v>0</v>
      </c>
      <c r="N47" s="548">
        <f ca="1">(IFERROR(IFERROR(VALUE(_xll.BDH(N$4,"PE_RATIO",$B47,$B47)),VALUE(_xll.BDH(N$4,"PE_RATIO",$B47+1,$B47+1))),N48))</f>
        <v>0</v>
      </c>
      <c r="O47" s="548">
        <f ca="1">(IFERROR(IFERROR(VALUE(_xll.BDH(O$4,"PE_RATIO",$B47,$B47)),VALUE(_xll.BDH(O$4,"PE_RATIO",$B47+1,$B47+1))),O48))</f>
        <v>0</v>
      </c>
      <c r="P47" s="548"/>
      <c r="Q47" s="552">
        <f t="shared" ca="1" si="15"/>
        <v>45657</v>
      </c>
      <c r="R47" s="4">
        <v>242.39</v>
      </c>
      <c r="S47" s="4">
        <v>5969.34</v>
      </c>
      <c r="T47" s="4">
        <v>0</v>
      </c>
      <c r="U47" s="4">
        <v>1.2441741094343497</v>
      </c>
      <c r="V47" s="4">
        <v>1.6647999509150442</v>
      </c>
      <c r="W47" s="4" t="e">
        <v>#DIV/0!</v>
      </c>
      <c r="Y47" s="548">
        <f t="shared" si="16"/>
        <v>242.39</v>
      </c>
      <c r="Z47" s="4">
        <f ca="1">IFERROR(VALUE(_xll.BDH(Z$4,"PX_LAST",$Q47,$Q47)),Z48)</f>
        <v>0</v>
      </c>
      <c r="AA47" s="4">
        <f ca="1">IFERROR(VALUE(_xll.BDH(AA$4,"PX_LAST",$Q47,$Q47)),AA48)</f>
        <v>0</v>
      </c>
      <c r="AB47" s="4">
        <f ca="1">IFERROR(VALUE(_xll.BDH(AB$4,"PX_LAST",$Q47,$Q47)),AB48)</f>
        <v>0</v>
      </c>
      <c r="AC47" s="4">
        <f ca="1">IFERROR(VALUE(_xll.BDH(AC$4,"PX_LAST",$Q47,$Q47)),AC48)</f>
        <v>0</v>
      </c>
      <c r="AD47" s="4">
        <f ca="1">IFERROR(VALUE(_xll.BDH(AD$4,"PX_LAST",$Q47,$Q47)),AD48)</f>
        <v>0</v>
      </c>
      <c r="AF47" s="4">
        <f t="shared" si="17"/>
        <v>1.2441741094343497</v>
      </c>
      <c r="AG47" s="4" t="e">
        <f t="shared" ca="1" si="18"/>
        <v>#DIV/0!</v>
      </c>
      <c r="AH47" s="4" t="e">
        <f t="shared" ca="1" si="19"/>
        <v>#DIV/0!</v>
      </c>
      <c r="AI47" s="4" t="e">
        <f t="shared" ca="1" si="20"/>
        <v>#DIV/0!</v>
      </c>
      <c r="AJ47" s="4" t="e">
        <f t="shared" ca="1" si="21"/>
        <v>#DIV/0!</v>
      </c>
      <c r="AK47" s="4" t="e">
        <f t="shared" ca="1" si="22"/>
        <v>#DIV/0!</v>
      </c>
      <c r="AM47" s="550">
        <f t="shared" ca="1" si="12"/>
        <v>45908</v>
      </c>
      <c r="AN47" s="551">
        <v>221.97</v>
      </c>
      <c r="AO47" s="551">
        <v>5547202</v>
      </c>
      <c r="AP47" s="551">
        <v>593.04367000000002</v>
      </c>
      <c r="AQ47" s="551">
        <v>131637.9034299</v>
      </c>
      <c r="AR47" s="551">
        <v>5.4749999999999996</v>
      </c>
    </row>
    <row r="48" spans="2:44" x14ac:dyDescent="0.3">
      <c r="B48" s="552">
        <f t="shared" ca="1" si="23"/>
        <v>45650</v>
      </c>
      <c r="C48" s="548">
        <f ca="1">(IFERROR(IFERROR(VALUE(_xll.BDH(C$4,"CURRENT_EV_TO_T12M_EBITDA",$B48,$B48)),VALUE(_xll.BDH(C$4,"CURRENT_EV_TO_T12M_EBITDA",$B48+1,$B48+1))),C49))</f>
        <v>0</v>
      </c>
      <c r="D48" s="548">
        <f ca="1">(IFERROR(IFERROR(VALUE(_xll.BDH(D$4,"CURRENT_EV_TO_T12M_EBITDA",$B48,$B48)),VALUE(_xll.BDH(D$4,"CURRENT_EV_TO_T12M_EBITDA",$B48+1,$B48+1))),D49))</f>
        <v>0</v>
      </c>
      <c r="E48" s="548">
        <f ca="1">(IFERROR(IFERROR(VALUE(_xll.BDH(E$4,"CURRENT_EV_TO_T12M_EBITDA",$B48,$B48)),VALUE(_xll.BDH(E$4,"CURRENT_EV_TO_T12M_EBITDA",$B48+1,$B48+1))),E49))</f>
        <v>0</v>
      </c>
      <c r="F48" s="548">
        <f ca="1">(IFERROR(IFERROR(VALUE(_xll.BDH(F$4,"CURRENT_EV_TO_T12M_EBITDA",$B48,$B48)),VALUE(_xll.BDH(F$4,"CURRENT_EV_TO_T12M_EBITDA",$B48+1,$B48+1))),F49))</f>
        <v>0</v>
      </c>
      <c r="G48" s="548">
        <f ca="1">(IFERROR(IFERROR(VALUE(_xll.BDH(G$4,"CURRENT_EV_TO_T12M_EBITDA",$B48,$B48)),VALUE(_xll.BDH(G$4,"CURRENT_EV_TO_T12M_EBITDA",$B48+1,$B48+1))),G49))</f>
        <v>0</v>
      </c>
      <c r="H48" s="548">
        <f ca="1">(IFERROR(IFERROR(VALUE(_xll.BDH(H$4,"CURRENT_EV_TO_T12M_EBITDA",$B48,$B48)),VALUE(_xll.BDH(H$4,"CURRENT_EV_TO_T12M_EBITDA",$B48+1,$B48+1))),H49))</f>
        <v>0</v>
      </c>
      <c r="I48" s="552">
        <f t="shared" ca="1" si="14"/>
        <v>45650</v>
      </c>
      <c r="J48" s="548">
        <f ca="1">(IFERROR(IFERROR(VALUE(_xll.BDH(J$4,"PE_RATIO",$B48,$B48)),VALUE(_xll.BDH(J$4,"PE_RATIO",$B48+1,$B48+1))),J49))</f>
        <v>0</v>
      </c>
      <c r="K48" s="548">
        <f ca="1">(IFERROR(IFERROR(VALUE(_xll.BDH(K$4,"PE_RATIO",$B48,$B48)),VALUE(_xll.BDH(K$4,"PE_RATIO",$B48+1,$B48+1))),K49))</f>
        <v>0</v>
      </c>
      <c r="L48" s="548">
        <f ca="1">(IFERROR(IFERROR(VALUE(_xll.BDH(L$4,"PE_RATIO",$B48,$B48)),VALUE(_xll.BDH(L$4,"PE_RATIO",$B48+1,$B48+1))),L49))</f>
        <v>0</v>
      </c>
      <c r="M48" s="548">
        <f ca="1">(IFERROR(IFERROR(VALUE(_xll.BDH(M$4,"PE_RATIO",$B48,$B48)),VALUE(_xll.BDH(M$4,"PE_RATIO",$B48+1,$B48+1))),M49))</f>
        <v>0</v>
      </c>
      <c r="N48" s="548">
        <f ca="1">(IFERROR(IFERROR(VALUE(_xll.BDH(N$4,"PE_RATIO",$B48,$B48)),VALUE(_xll.BDH(N$4,"PE_RATIO",$B48+1,$B48+1))),N49))</f>
        <v>0</v>
      </c>
      <c r="O48" s="548">
        <f ca="1">(IFERROR(IFERROR(VALUE(_xll.BDH(O$4,"PE_RATIO",$B48,$B48)),VALUE(_xll.BDH(O$4,"PE_RATIO",$B48+1,$B48+1))),O49))</f>
        <v>0</v>
      </c>
      <c r="P48" s="548"/>
      <c r="Q48" s="552">
        <f t="shared" ca="1" si="15"/>
        <v>45650</v>
      </c>
      <c r="R48" s="4">
        <v>235.57</v>
      </c>
      <c r="S48" s="4">
        <v>5870.62</v>
      </c>
      <c r="T48" s="4">
        <v>0</v>
      </c>
      <c r="U48" s="4">
        <v>1.2091674366081511</v>
      </c>
      <c r="V48" s="4">
        <v>1.6372677528572466</v>
      </c>
      <c r="W48" s="4" t="e">
        <v>#DIV/0!</v>
      </c>
      <c r="Y48" s="548">
        <f t="shared" si="16"/>
        <v>235.57</v>
      </c>
      <c r="Z48" s="4">
        <f ca="1">IFERROR(VALUE(_xll.BDH(Z$4,"PX_LAST",$Q48,$Q48)),Z49)</f>
        <v>0</v>
      </c>
      <c r="AA48" s="4">
        <f ca="1">IFERROR(VALUE(_xll.BDH(AA$4,"PX_LAST",$Q48,$Q48)),AA49)</f>
        <v>0</v>
      </c>
      <c r="AB48" s="4">
        <f ca="1">IFERROR(VALUE(_xll.BDH(AB$4,"PX_LAST",$Q48,$Q48)),AB49)</f>
        <v>0</v>
      </c>
      <c r="AC48" s="4">
        <f ca="1">IFERROR(VALUE(_xll.BDH(AC$4,"PX_LAST",$Q48,$Q48)),AC49)</f>
        <v>0</v>
      </c>
      <c r="AD48" s="4">
        <f ca="1">IFERROR(VALUE(_xll.BDH(AD$4,"PX_LAST",$Q48,$Q48)),AD49)</f>
        <v>0</v>
      </c>
      <c r="AF48" s="4">
        <f t="shared" si="17"/>
        <v>1.2091674366081511</v>
      </c>
      <c r="AG48" s="4" t="e">
        <f t="shared" ca="1" si="18"/>
        <v>#DIV/0!</v>
      </c>
      <c r="AH48" s="4" t="e">
        <f t="shared" ca="1" si="19"/>
        <v>#DIV/0!</v>
      </c>
      <c r="AI48" s="4" t="e">
        <f t="shared" ca="1" si="20"/>
        <v>#DIV/0!</v>
      </c>
      <c r="AJ48" s="4" t="e">
        <f t="shared" ca="1" si="21"/>
        <v>#DIV/0!</v>
      </c>
      <c r="AK48" s="4" t="e">
        <f t="shared" ca="1" si="22"/>
        <v>#DIV/0!</v>
      </c>
      <c r="AM48" s="550">
        <f t="shared" ca="1" si="12"/>
        <v>45907</v>
      </c>
      <c r="AN48" s="551">
        <v>225.28</v>
      </c>
      <c r="AO48" s="551">
        <v>8361560</v>
      </c>
      <c r="AP48" s="551">
        <v>593.04367000000002</v>
      </c>
      <c r="AQ48" s="551">
        <v>133600.8779776</v>
      </c>
      <c r="AR48" s="551">
        <v>5.5567000000000002</v>
      </c>
    </row>
    <row r="49" spans="2:44" x14ac:dyDescent="0.3">
      <c r="B49" s="552">
        <f t="shared" ca="1" si="23"/>
        <v>45643</v>
      </c>
      <c r="C49" s="548">
        <f ca="1">(IFERROR(IFERROR(VALUE(_xll.BDH(C$4,"CURRENT_EV_TO_T12M_EBITDA",$B49,$B49)),VALUE(_xll.BDH(C$4,"CURRENT_EV_TO_T12M_EBITDA",$B49+1,$B49+1))),C50))</f>
        <v>0</v>
      </c>
      <c r="D49" s="548">
        <f ca="1">(IFERROR(IFERROR(VALUE(_xll.BDH(D$4,"CURRENT_EV_TO_T12M_EBITDA",$B49,$B49)),VALUE(_xll.BDH(D$4,"CURRENT_EV_TO_T12M_EBITDA",$B49+1,$B49+1))),D50))</f>
        <v>0</v>
      </c>
      <c r="E49" s="548">
        <f ca="1">(IFERROR(IFERROR(VALUE(_xll.BDH(E$4,"CURRENT_EV_TO_T12M_EBITDA",$B49,$B49)),VALUE(_xll.BDH(E$4,"CURRENT_EV_TO_T12M_EBITDA",$B49+1,$B49+1))),E50))</f>
        <v>0</v>
      </c>
      <c r="F49" s="548">
        <f ca="1">(IFERROR(IFERROR(VALUE(_xll.BDH(F$4,"CURRENT_EV_TO_T12M_EBITDA",$B49,$B49)),VALUE(_xll.BDH(F$4,"CURRENT_EV_TO_T12M_EBITDA",$B49+1,$B49+1))),F50))</f>
        <v>0</v>
      </c>
      <c r="G49" s="548">
        <f ca="1">(IFERROR(IFERROR(VALUE(_xll.BDH(G$4,"CURRENT_EV_TO_T12M_EBITDA",$B49,$B49)),VALUE(_xll.BDH(G$4,"CURRENT_EV_TO_T12M_EBITDA",$B49+1,$B49+1))),G50))</f>
        <v>0</v>
      </c>
      <c r="H49" s="548">
        <f ca="1">(IFERROR(IFERROR(VALUE(_xll.BDH(H$4,"CURRENT_EV_TO_T12M_EBITDA",$B49,$B49)),VALUE(_xll.BDH(H$4,"CURRENT_EV_TO_T12M_EBITDA",$B49+1,$B49+1))),H50))</f>
        <v>0</v>
      </c>
      <c r="I49" s="552">
        <f t="shared" ca="1" si="14"/>
        <v>45643</v>
      </c>
      <c r="J49" s="548">
        <f ca="1">(IFERROR(IFERROR(VALUE(_xll.BDH(J$4,"PE_RATIO",$B49,$B49)),VALUE(_xll.BDH(J$4,"PE_RATIO",$B49+1,$B49+1))),J50))</f>
        <v>0</v>
      </c>
      <c r="K49" s="548">
        <f ca="1">(IFERROR(IFERROR(VALUE(_xll.BDH(K$4,"PE_RATIO",$B49,$B49)),VALUE(_xll.BDH(K$4,"PE_RATIO",$B49+1,$B49+1))),K50))</f>
        <v>0</v>
      </c>
      <c r="L49" s="548">
        <f ca="1">(IFERROR(IFERROR(VALUE(_xll.BDH(L$4,"PE_RATIO",$B49,$B49)),VALUE(_xll.BDH(L$4,"PE_RATIO",$B49+1,$B49+1))),L50))</f>
        <v>0</v>
      </c>
      <c r="M49" s="548">
        <f ca="1">(IFERROR(IFERROR(VALUE(_xll.BDH(M$4,"PE_RATIO",$B49,$B49)),VALUE(_xll.BDH(M$4,"PE_RATIO",$B49+1,$B49+1))),M50))</f>
        <v>0</v>
      </c>
      <c r="N49" s="548">
        <f ca="1">(IFERROR(IFERROR(VALUE(_xll.BDH(N$4,"PE_RATIO",$B49,$B49)),VALUE(_xll.BDH(N$4,"PE_RATIO",$B49+1,$B49+1))),N50))</f>
        <v>0</v>
      </c>
      <c r="O49" s="548">
        <f ca="1">(IFERROR(IFERROR(VALUE(_xll.BDH(O$4,"PE_RATIO",$B49,$B49)),VALUE(_xll.BDH(O$4,"PE_RATIO",$B49+1,$B49+1))),O50))</f>
        <v>0</v>
      </c>
      <c r="P49" s="548"/>
      <c r="Q49" s="552">
        <f t="shared" ca="1" si="15"/>
        <v>45643</v>
      </c>
      <c r="R49" s="4">
        <v>241.49</v>
      </c>
      <c r="S49" s="4">
        <v>5995.54</v>
      </c>
      <c r="T49" s="4">
        <v>0</v>
      </c>
      <c r="U49" s="4">
        <v>1.2395544605276667</v>
      </c>
      <c r="V49" s="4">
        <v>1.6721069159587463</v>
      </c>
      <c r="W49" s="4" t="e">
        <v>#DIV/0!</v>
      </c>
      <c r="Y49" s="548">
        <f t="shared" si="16"/>
        <v>241.49</v>
      </c>
      <c r="Z49" s="4">
        <f ca="1">IFERROR(VALUE(_xll.BDH(Z$4,"PX_LAST",$Q49,$Q49)),Z50)</f>
        <v>0</v>
      </c>
      <c r="AA49" s="4">
        <f ca="1">IFERROR(VALUE(_xll.BDH(AA$4,"PX_LAST",$Q49,$Q49)),AA50)</f>
        <v>0</v>
      </c>
      <c r="AB49" s="4">
        <f ca="1">IFERROR(VALUE(_xll.BDH(AB$4,"PX_LAST",$Q49,$Q49)),AB50)</f>
        <v>0</v>
      </c>
      <c r="AC49" s="4">
        <f ca="1">IFERROR(VALUE(_xll.BDH(AC$4,"PX_LAST",$Q49,$Q49)),AC50)</f>
        <v>0</v>
      </c>
      <c r="AD49" s="4">
        <f ca="1">IFERROR(VALUE(_xll.BDH(AD$4,"PX_LAST",$Q49,$Q49)),AD50)</f>
        <v>0</v>
      </c>
      <c r="AF49" s="4">
        <f t="shared" si="17"/>
        <v>1.2395544605276667</v>
      </c>
      <c r="AG49" s="4" t="e">
        <f t="shared" ca="1" si="18"/>
        <v>#DIV/0!</v>
      </c>
      <c r="AH49" s="4" t="e">
        <f t="shared" ca="1" si="19"/>
        <v>#DIV/0!</v>
      </c>
      <c r="AI49" s="4" t="e">
        <f t="shared" ca="1" si="20"/>
        <v>#DIV/0!</v>
      </c>
      <c r="AJ49" s="4" t="e">
        <f t="shared" ca="1" si="21"/>
        <v>#DIV/0!</v>
      </c>
      <c r="AK49" s="4" t="e">
        <f t="shared" ca="1" si="22"/>
        <v>#DIV/0!</v>
      </c>
      <c r="AM49" s="550">
        <f t="shared" ca="1" si="12"/>
        <v>45906</v>
      </c>
      <c r="AN49" s="551">
        <v>223.77</v>
      </c>
      <c r="AO49" s="551">
        <v>19090956</v>
      </c>
      <c r="AP49" s="551">
        <v>593.04367000000002</v>
      </c>
      <c r="AQ49" s="551">
        <v>132705.38203590002</v>
      </c>
      <c r="AR49" s="551">
        <v>5.5194000000000001</v>
      </c>
    </row>
    <row r="50" spans="2:44" x14ac:dyDescent="0.3">
      <c r="B50" s="552">
        <f t="shared" ca="1" si="23"/>
        <v>45636</v>
      </c>
      <c r="C50" s="548">
        <f ca="1">(IFERROR(IFERROR(VALUE(_xll.BDH(C$4,"CURRENT_EV_TO_T12M_EBITDA",$B50,$B50)),VALUE(_xll.BDH(C$4,"CURRENT_EV_TO_T12M_EBITDA",$B50+1,$B50+1))),C51))</f>
        <v>0</v>
      </c>
      <c r="D50" s="548">
        <f ca="1">(IFERROR(IFERROR(VALUE(_xll.BDH(D$4,"CURRENT_EV_TO_T12M_EBITDA",$B50,$B50)),VALUE(_xll.BDH(D$4,"CURRENT_EV_TO_T12M_EBITDA",$B50+1,$B50+1))),D51))</f>
        <v>0</v>
      </c>
      <c r="E50" s="548">
        <f ca="1">(IFERROR(IFERROR(VALUE(_xll.BDH(E$4,"CURRENT_EV_TO_T12M_EBITDA",$B50,$B50)),VALUE(_xll.BDH(E$4,"CURRENT_EV_TO_T12M_EBITDA",$B50+1,$B50+1))),E51))</f>
        <v>0</v>
      </c>
      <c r="F50" s="548">
        <f ca="1">(IFERROR(IFERROR(VALUE(_xll.BDH(F$4,"CURRENT_EV_TO_T12M_EBITDA",$B50,$B50)),VALUE(_xll.BDH(F$4,"CURRENT_EV_TO_T12M_EBITDA",$B50+1,$B50+1))),F51))</f>
        <v>0</v>
      </c>
      <c r="G50" s="548">
        <f ca="1">(IFERROR(IFERROR(VALUE(_xll.BDH(G$4,"CURRENT_EV_TO_T12M_EBITDA",$B50,$B50)),VALUE(_xll.BDH(G$4,"CURRENT_EV_TO_T12M_EBITDA",$B50+1,$B50+1))),G51))</f>
        <v>0</v>
      </c>
      <c r="H50" s="548">
        <f ca="1">(IFERROR(IFERROR(VALUE(_xll.BDH(H$4,"CURRENT_EV_TO_T12M_EBITDA",$B50,$B50)),VALUE(_xll.BDH(H$4,"CURRENT_EV_TO_T12M_EBITDA",$B50+1,$B50+1))),H51))</f>
        <v>0</v>
      </c>
      <c r="I50" s="552">
        <f t="shared" ca="1" si="14"/>
        <v>45636</v>
      </c>
      <c r="J50" s="548">
        <f ca="1">(IFERROR(IFERROR(VALUE(_xll.BDH(J$4,"PE_RATIO",$B50,$B50)),VALUE(_xll.BDH(J$4,"PE_RATIO",$B50+1,$B50+1))),J51))</f>
        <v>0</v>
      </c>
      <c r="K50" s="548">
        <f ca="1">(IFERROR(IFERROR(VALUE(_xll.BDH(K$4,"PE_RATIO",$B50,$B50)),VALUE(_xll.BDH(K$4,"PE_RATIO",$B50+1,$B50+1))),K51))</f>
        <v>0</v>
      </c>
      <c r="L50" s="548">
        <f ca="1">(IFERROR(IFERROR(VALUE(_xll.BDH(L$4,"PE_RATIO",$B50,$B50)),VALUE(_xll.BDH(L$4,"PE_RATIO",$B50+1,$B50+1))),L51))</f>
        <v>0</v>
      </c>
      <c r="M50" s="548">
        <f ca="1">(IFERROR(IFERROR(VALUE(_xll.BDH(M$4,"PE_RATIO",$B50,$B50)),VALUE(_xll.BDH(M$4,"PE_RATIO",$B50+1,$B50+1))),M51))</f>
        <v>0</v>
      </c>
      <c r="N50" s="548">
        <f ca="1">(IFERROR(IFERROR(VALUE(_xll.BDH(N$4,"PE_RATIO",$B50,$B50)),VALUE(_xll.BDH(N$4,"PE_RATIO",$B50+1,$B50+1))),N51))</f>
        <v>0</v>
      </c>
      <c r="O50" s="548">
        <f ca="1">(IFERROR(IFERROR(VALUE(_xll.BDH(O$4,"PE_RATIO",$B50,$B50)),VALUE(_xll.BDH(O$4,"PE_RATIO",$B50+1,$B50+1))),O51))</f>
        <v>0</v>
      </c>
      <c r="P50" s="548"/>
      <c r="Q50" s="552">
        <f t="shared" ca="1" si="15"/>
        <v>45636</v>
      </c>
      <c r="R50" s="4">
        <v>232.69</v>
      </c>
      <c r="S50" s="4">
        <v>5728.8</v>
      </c>
      <c r="T50" s="4">
        <v>0</v>
      </c>
      <c r="U50" s="4">
        <v>1.1943845601067653</v>
      </c>
      <c r="V50" s="4">
        <v>1.5977153184107631</v>
      </c>
      <c r="W50" s="4" t="e">
        <v>#DIV/0!</v>
      </c>
      <c r="Y50" s="548">
        <f t="shared" si="16"/>
        <v>232.69</v>
      </c>
      <c r="Z50" s="4">
        <f ca="1">IFERROR(VALUE(_xll.BDH(Z$4,"PX_LAST",$Q50,$Q50)),Z51)</f>
        <v>0</v>
      </c>
      <c r="AA50" s="4">
        <f ca="1">IFERROR(VALUE(_xll.BDH(AA$4,"PX_LAST",$Q50,$Q50)),AA51)</f>
        <v>0</v>
      </c>
      <c r="AB50" s="4">
        <f ca="1">IFERROR(VALUE(_xll.BDH(AB$4,"PX_LAST",$Q50,$Q50)),AB51)</f>
        <v>0</v>
      </c>
      <c r="AC50" s="4">
        <f ca="1">IFERROR(VALUE(_xll.BDH(AC$4,"PX_LAST",$Q50,$Q50)),AC51)</f>
        <v>0</v>
      </c>
      <c r="AD50" s="4">
        <f ca="1">IFERROR(VALUE(_xll.BDH(AD$4,"PX_LAST",$Q50,$Q50)),AD51)</f>
        <v>0</v>
      </c>
      <c r="AF50" s="4">
        <f t="shared" si="17"/>
        <v>1.1943845601067653</v>
      </c>
      <c r="AG50" s="4" t="e">
        <f t="shared" ca="1" si="18"/>
        <v>#DIV/0!</v>
      </c>
      <c r="AH50" s="4" t="e">
        <f t="shared" ca="1" si="19"/>
        <v>#DIV/0!</v>
      </c>
      <c r="AI50" s="4" t="e">
        <f t="shared" ca="1" si="20"/>
        <v>#DIV/0!</v>
      </c>
      <c r="AJ50" s="4" t="e">
        <f t="shared" ca="1" si="21"/>
        <v>#DIV/0!</v>
      </c>
      <c r="AK50" s="4" t="e">
        <f t="shared" ca="1" si="22"/>
        <v>#DIV/0!</v>
      </c>
      <c r="AM50" s="550">
        <f t="shared" ca="1" si="12"/>
        <v>45905</v>
      </c>
      <c r="AN50" s="551">
        <v>229.24</v>
      </c>
      <c r="AO50" s="551">
        <v>6858391</v>
      </c>
      <c r="AP50" s="551">
        <v>593.04367000000002</v>
      </c>
      <c r="AQ50" s="551">
        <v>135949.3309108</v>
      </c>
      <c r="AR50" s="551">
        <v>5.6543000000000001</v>
      </c>
    </row>
    <row r="51" spans="2:44" x14ac:dyDescent="0.3">
      <c r="B51" s="552">
        <f t="shared" ca="1" si="23"/>
        <v>45629</v>
      </c>
      <c r="C51" s="548">
        <f ca="1">(IFERROR(IFERROR(VALUE(_xll.BDH(C$4,"CURRENT_EV_TO_T12M_EBITDA",$B51,$B51)),VALUE(_xll.BDH(C$4,"CURRENT_EV_TO_T12M_EBITDA",$B51+1,$B51+1))),C52))</f>
        <v>0</v>
      </c>
      <c r="D51" s="548">
        <f ca="1">(IFERROR(IFERROR(VALUE(_xll.BDH(D$4,"CURRENT_EV_TO_T12M_EBITDA",$B51,$B51)),VALUE(_xll.BDH(D$4,"CURRENT_EV_TO_T12M_EBITDA",$B51+1,$B51+1))),D52))</f>
        <v>0</v>
      </c>
      <c r="E51" s="548">
        <f ca="1">(IFERROR(IFERROR(VALUE(_xll.BDH(E$4,"CURRENT_EV_TO_T12M_EBITDA",$B51,$B51)),VALUE(_xll.BDH(E$4,"CURRENT_EV_TO_T12M_EBITDA",$B51+1,$B51+1))),E52))</f>
        <v>0</v>
      </c>
      <c r="F51" s="548">
        <f ca="1">(IFERROR(IFERROR(VALUE(_xll.BDH(F$4,"CURRENT_EV_TO_T12M_EBITDA",$B51,$B51)),VALUE(_xll.BDH(F$4,"CURRENT_EV_TO_T12M_EBITDA",$B51+1,$B51+1))),F52))</f>
        <v>0</v>
      </c>
      <c r="G51" s="548">
        <f ca="1">(IFERROR(IFERROR(VALUE(_xll.BDH(G$4,"CURRENT_EV_TO_T12M_EBITDA",$B51,$B51)),VALUE(_xll.BDH(G$4,"CURRENT_EV_TO_T12M_EBITDA",$B51+1,$B51+1))),G52))</f>
        <v>0</v>
      </c>
      <c r="H51" s="548">
        <f ca="1">(IFERROR(IFERROR(VALUE(_xll.BDH(H$4,"CURRENT_EV_TO_T12M_EBITDA",$B51,$B51)),VALUE(_xll.BDH(H$4,"CURRENT_EV_TO_T12M_EBITDA",$B51+1,$B51+1))),H52))</f>
        <v>0</v>
      </c>
      <c r="I51" s="552">
        <f t="shared" ca="1" si="14"/>
        <v>45629</v>
      </c>
      <c r="J51" s="548">
        <f ca="1">(IFERROR(IFERROR(VALUE(_xll.BDH(J$4,"PE_RATIO",$B51,$B51)),VALUE(_xll.BDH(J$4,"PE_RATIO",$B51+1,$B51+1))),J52))</f>
        <v>0</v>
      </c>
      <c r="K51" s="548">
        <f ca="1">(IFERROR(IFERROR(VALUE(_xll.BDH(K$4,"PE_RATIO",$B51,$B51)),VALUE(_xll.BDH(K$4,"PE_RATIO",$B51+1,$B51+1))),K52))</f>
        <v>0</v>
      </c>
      <c r="L51" s="548">
        <f ca="1">(IFERROR(IFERROR(VALUE(_xll.BDH(L$4,"PE_RATIO",$B51,$B51)),VALUE(_xll.BDH(L$4,"PE_RATIO",$B51+1,$B51+1))),L52))</f>
        <v>0</v>
      </c>
      <c r="M51" s="548">
        <f ca="1">(IFERROR(IFERROR(VALUE(_xll.BDH(M$4,"PE_RATIO",$B51,$B51)),VALUE(_xll.BDH(M$4,"PE_RATIO",$B51+1,$B51+1))),M52))</f>
        <v>0</v>
      </c>
      <c r="N51" s="548">
        <f ca="1">(IFERROR(IFERROR(VALUE(_xll.BDH(N$4,"PE_RATIO",$B51,$B51)),VALUE(_xll.BDH(N$4,"PE_RATIO",$B51+1,$B51+1))),N52))</f>
        <v>0</v>
      </c>
      <c r="O51" s="548">
        <f ca="1">(IFERROR(IFERROR(VALUE(_xll.BDH(O$4,"PE_RATIO",$B51,$B51)),VALUE(_xll.BDH(O$4,"PE_RATIO",$B51+1,$B51+1))),O52))</f>
        <v>0</v>
      </c>
      <c r="P51" s="548"/>
      <c r="Q51" s="552">
        <f t="shared" ca="1" si="15"/>
        <v>45629</v>
      </c>
      <c r="R51" s="4">
        <v>230.3</v>
      </c>
      <c r="S51" s="4">
        <v>5808.12</v>
      </c>
      <c r="T51" s="4">
        <v>0</v>
      </c>
      <c r="U51" s="4">
        <v>1.1821168257879069</v>
      </c>
      <c r="V51" s="4">
        <v>1.619837015634674</v>
      </c>
      <c r="W51" s="4" t="e">
        <v>#DIV/0!</v>
      </c>
      <c r="Y51" s="548">
        <f t="shared" si="16"/>
        <v>230.3</v>
      </c>
      <c r="Z51" s="4">
        <f ca="1">IFERROR(VALUE(_xll.BDH(Z$4,"PX_LAST",$Q51,$Q51)),Z52)</f>
        <v>0</v>
      </c>
      <c r="AA51" s="4">
        <f ca="1">IFERROR(VALUE(_xll.BDH(AA$4,"PX_LAST",$Q51,$Q51)),AA52)</f>
        <v>0</v>
      </c>
      <c r="AB51" s="4">
        <f ca="1">IFERROR(VALUE(_xll.BDH(AB$4,"PX_LAST",$Q51,$Q51)),AB52)</f>
        <v>0</v>
      </c>
      <c r="AC51" s="4">
        <f ca="1">IFERROR(VALUE(_xll.BDH(AC$4,"PX_LAST",$Q51,$Q51)),AC52)</f>
        <v>0</v>
      </c>
      <c r="AD51" s="4">
        <f ca="1">IFERROR(VALUE(_xll.BDH(AD$4,"PX_LAST",$Q51,$Q51)),AD52)</f>
        <v>0</v>
      </c>
      <c r="AF51" s="4">
        <f t="shared" si="17"/>
        <v>1.1821168257879069</v>
      </c>
      <c r="AG51" s="4" t="e">
        <f t="shared" ca="1" si="18"/>
        <v>#DIV/0!</v>
      </c>
      <c r="AH51" s="4" t="e">
        <f t="shared" ca="1" si="19"/>
        <v>#DIV/0!</v>
      </c>
      <c r="AI51" s="4" t="e">
        <f t="shared" ca="1" si="20"/>
        <v>#DIV/0!</v>
      </c>
      <c r="AJ51" s="4" t="e">
        <f t="shared" ca="1" si="21"/>
        <v>#DIV/0!</v>
      </c>
      <c r="AK51" s="4" t="e">
        <f t="shared" ca="1" si="22"/>
        <v>#DIV/0!</v>
      </c>
      <c r="AM51" s="550">
        <f t="shared" ca="1" si="12"/>
        <v>45904</v>
      </c>
      <c r="AN51" s="551">
        <v>224.74</v>
      </c>
      <c r="AO51" s="551">
        <v>8254883</v>
      </c>
      <c r="AP51" s="551">
        <v>593.04367000000002</v>
      </c>
      <c r="AQ51" s="551">
        <v>133280.63439580001</v>
      </c>
      <c r="AR51" s="551">
        <v>5.5434000000000001</v>
      </c>
    </row>
    <row r="52" spans="2:44" x14ac:dyDescent="0.3">
      <c r="B52" s="552">
        <f t="shared" ca="1" si="23"/>
        <v>45622</v>
      </c>
      <c r="C52" s="548">
        <f ca="1">(IFERROR(IFERROR(VALUE(_xll.BDH(C$4,"CURRENT_EV_TO_T12M_EBITDA",$B52,$B52)),VALUE(_xll.BDH(C$4,"CURRENT_EV_TO_T12M_EBITDA",$B52+1,$B52+1))),C53))</f>
        <v>0</v>
      </c>
      <c r="D52" s="548">
        <f ca="1">(IFERROR(IFERROR(VALUE(_xll.BDH(D$4,"CURRENT_EV_TO_T12M_EBITDA",$B52,$B52)),VALUE(_xll.BDH(D$4,"CURRENT_EV_TO_T12M_EBITDA",$B52+1,$B52+1))),D53))</f>
        <v>0</v>
      </c>
      <c r="E52" s="548">
        <f ca="1">(IFERROR(IFERROR(VALUE(_xll.BDH(E$4,"CURRENT_EV_TO_T12M_EBITDA",$B52,$B52)),VALUE(_xll.BDH(E$4,"CURRENT_EV_TO_T12M_EBITDA",$B52+1,$B52+1))),E53))</f>
        <v>0</v>
      </c>
      <c r="F52" s="548">
        <f ca="1">(IFERROR(IFERROR(VALUE(_xll.BDH(F$4,"CURRENT_EV_TO_T12M_EBITDA",$B52,$B52)),VALUE(_xll.BDH(F$4,"CURRENT_EV_TO_T12M_EBITDA",$B52+1,$B52+1))),F53))</f>
        <v>0</v>
      </c>
      <c r="G52" s="548">
        <f ca="1">(IFERROR(IFERROR(VALUE(_xll.BDH(G$4,"CURRENT_EV_TO_T12M_EBITDA",$B52,$B52)),VALUE(_xll.BDH(G$4,"CURRENT_EV_TO_T12M_EBITDA",$B52+1,$B52+1))),G53))</f>
        <v>0</v>
      </c>
      <c r="H52" s="548">
        <f ca="1">(IFERROR(IFERROR(VALUE(_xll.BDH(H$4,"CURRENT_EV_TO_T12M_EBITDA",$B52,$B52)),VALUE(_xll.BDH(H$4,"CURRENT_EV_TO_T12M_EBITDA",$B52+1,$B52+1))),H53))</f>
        <v>0</v>
      </c>
      <c r="I52" s="552">
        <f t="shared" ca="1" si="14"/>
        <v>45622</v>
      </c>
      <c r="J52" s="548">
        <f ca="1">(IFERROR(IFERROR(VALUE(_xll.BDH(J$4,"PE_RATIO",$B52,$B52)),VALUE(_xll.BDH(J$4,"PE_RATIO",$B52+1,$B52+1))),J53))</f>
        <v>0</v>
      </c>
      <c r="K52" s="548">
        <f ca="1">(IFERROR(IFERROR(VALUE(_xll.BDH(K$4,"PE_RATIO",$B52,$B52)),VALUE(_xll.BDH(K$4,"PE_RATIO",$B52+1,$B52+1))),K53))</f>
        <v>0</v>
      </c>
      <c r="L52" s="548">
        <f ca="1">(IFERROR(IFERROR(VALUE(_xll.BDH(L$4,"PE_RATIO",$B52,$B52)),VALUE(_xll.BDH(L$4,"PE_RATIO",$B52+1,$B52+1))),L53))</f>
        <v>0</v>
      </c>
      <c r="M52" s="548">
        <f ca="1">(IFERROR(IFERROR(VALUE(_xll.BDH(M$4,"PE_RATIO",$B52,$B52)),VALUE(_xll.BDH(M$4,"PE_RATIO",$B52+1,$B52+1))),M53))</f>
        <v>0</v>
      </c>
      <c r="N52" s="548">
        <f ca="1">(IFERROR(IFERROR(VALUE(_xll.BDH(N$4,"PE_RATIO",$B52,$B52)),VALUE(_xll.BDH(N$4,"PE_RATIO",$B52+1,$B52+1))),N53))</f>
        <v>0</v>
      </c>
      <c r="O52" s="548">
        <f ca="1">(IFERROR(IFERROR(VALUE(_xll.BDH(O$4,"PE_RATIO",$B52,$B52)),VALUE(_xll.BDH(O$4,"PE_RATIO",$B52+1,$B52+1))),O53))</f>
        <v>0</v>
      </c>
      <c r="P52" s="548"/>
      <c r="Q52" s="552">
        <f t="shared" ca="1" si="15"/>
        <v>45622</v>
      </c>
      <c r="R52" s="4">
        <v>244.1</v>
      </c>
      <c r="S52" s="4">
        <v>5864.67</v>
      </c>
      <c r="T52" s="4">
        <v>0</v>
      </c>
      <c r="U52" s="4">
        <v>1.2529514423570476</v>
      </c>
      <c r="V52" s="4">
        <v>1.6356083466736577</v>
      </c>
      <c r="W52" s="4" t="e">
        <v>#DIV/0!</v>
      </c>
      <c r="Y52" s="548">
        <f t="shared" si="16"/>
        <v>244.1</v>
      </c>
      <c r="Z52" s="4">
        <f ca="1">IFERROR(VALUE(_xll.BDH(Z$4,"PX_LAST",$Q52,$Q52)),Z53)</f>
        <v>0</v>
      </c>
      <c r="AA52" s="4">
        <f ca="1">IFERROR(VALUE(_xll.BDH(AA$4,"PX_LAST",$Q52,$Q52)),AA53)</f>
        <v>0</v>
      </c>
      <c r="AB52" s="4">
        <f ca="1">IFERROR(VALUE(_xll.BDH(AB$4,"PX_LAST",$Q52,$Q52)),AB53)</f>
        <v>0</v>
      </c>
      <c r="AC52" s="4">
        <f ca="1">IFERROR(VALUE(_xll.BDH(AC$4,"PX_LAST",$Q52,$Q52)),AC53)</f>
        <v>0</v>
      </c>
      <c r="AD52" s="4">
        <f ca="1">IFERROR(VALUE(_xll.BDH(AD$4,"PX_LAST",$Q52,$Q52)),AD53)</f>
        <v>0</v>
      </c>
      <c r="AF52" s="4">
        <f t="shared" si="17"/>
        <v>1.2529514423570476</v>
      </c>
      <c r="AG52" s="4" t="e">
        <f t="shared" ca="1" si="18"/>
        <v>#DIV/0!</v>
      </c>
      <c r="AH52" s="4" t="e">
        <f t="shared" ca="1" si="19"/>
        <v>#DIV/0!</v>
      </c>
      <c r="AI52" s="4" t="e">
        <f t="shared" ca="1" si="20"/>
        <v>#DIV/0!</v>
      </c>
      <c r="AJ52" s="4" t="e">
        <f t="shared" ca="1" si="21"/>
        <v>#DIV/0!</v>
      </c>
      <c r="AK52" s="4" t="e">
        <f t="shared" ca="1" si="22"/>
        <v>#DIV/0!</v>
      </c>
      <c r="AM52" s="550">
        <f t="shared" ca="1" si="12"/>
        <v>45903</v>
      </c>
      <c r="AN52" s="551">
        <v>224.74</v>
      </c>
      <c r="AO52" s="551">
        <v>8254883</v>
      </c>
      <c r="AP52" s="551">
        <v>593.04367000000002</v>
      </c>
      <c r="AQ52" s="551">
        <v>133280.63439580001</v>
      </c>
      <c r="AR52" s="551">
        <v>5.5434000000000001</v>
      </c>
    </row>
    <row r="53" spans="2:44" x14ac:dyDescent="0.3">
      <c r="B53" s="552">
        <f t="shared" ca="1" si="23"/>
        <v>45615</v>
      </c>
      <c r="C53" s="548">
        <f ca="1">(IFERROR(IFERROR(VALUE(_xll.BDH(C$4,"CURRENT_EV_TO_T12M_EBITDA",$B53,$B53)),VALUE(_xll.BDH(C$4,"CURRENT_EV_TO_T12M_EBITDA",$B53+1,$B53+1))),C54))</f>
        <v>0</v>
      </c>
      <c r="D53" s="548">
        <f ca="1">(IFERROR(IFERROR(VALUE(_xll.BDH(D$4,"CURRENT_EV_TO_T12M_EBITDA",$B53,$B53)),VALUE(_xll.BDH(D$4,"CURRENT_EV_TO_T12M_EBITDA",$B53+1,$B53+1))),D54))</f>
        <v>0</v>
      </c>
      <c r="E53" s="548">
        <f ca="1">(IFERROR(IFERROR(VALUE(_xll.BDH(E$4,"CURRENT_EV_TO_T12M_EBITDA",$B53,$B53)),VALUE(_xll.BDH(E$4,"CURRENT_EV_TO_T12M_EBITDA",$B53+1,$B53+1))),E54))</f>
        <v>0</v>
      </c>
      <c r="F53" s="548">
        <f ca="1">(IFERROR(IFERROR(VALUE(_xll.BDH(F$4,"CURRENT_EV_TO_T12M_EBITDA",$B53,$B53)),VALUE(_xll.BDH(F$4,"CURRENT_EV_TO_T12M_EBITDA",$B53+1,$B53+1))),F54))</f>
        <v>0</v>
      </c>
      <c r="G53" s="548">
        <f ca="1">(IFERROR(IFERROR(VALUE(_xll.BDH(G$4,"CURRENT_EV_TO_T12M_EBITDA",$B53,$B53)),VALUE(_xll.BDH(G$4,"CURRENT_EV_TO_T12M_EBITDA",$B53+1,$B53+1))),G54))</f>
        <v>0</v>
      </c>
      <c r="H53" s="548">
        <f ca="1">(IFERROR(IFERROR(VALUE(_xll.BDH(H$4,"CURRENT_EV_TO_T12M_EBITDA",$B53,$B53)),VALUE(_xll.BDH(H$4,"CURRENT_EV_TO_T12M_EBITDA",$B53+1,$B53+1))),H54))</f>
        <v>0</v>
      </c>
      <c r="I53" s="552">
        <f t="shared" ca="1" si="14"/>
        <v>45615</v>
      </c>
      <c r="J53" s="548">
        <f ca="1">(IFERROR(IFERROR(VALUE(_xll.BDH(J$4,"PE_RATIO",$B53,$B53)),VALUE(_xll.BDH(J$4,"PE_RATIO",$B53+1,$B53+1))),J54))</f>
        <v>0</v>
      </c>
      <c r="K53" s="548">
        <f ca="1">(IFERROR(IFERROR(VALUE(_xll.BDH(K$4,"PE_RATIO",$B53,$B53)),VALUE(_xll.BDH(K$4,"PE_RATIO",$B53+1,$B53+1))),K54))</f>
        <v>0</v>
      </c>
      <c r="L53" s="548">
        <f ca="1">(IFERROR(IFERROR(VALUE(_xll.BDH(L$4,"PE_RATIO",$B53,$B53)),VALUE(_xll.BDH(L$4,"PE_RATIO",$B53+1,$B53+1))),L54))</f>
        <v>0</v>
      </c>
      <c r="M53" s="548">
        <f ca="1">(IFERROR(IFERROR(VALUE(_xll.BDH(M$4,"PE_RATIO",$B53,$B53)),VALUE(_xll.BDH(M$4,"PE_RATIO",$B53+1,$B53+1))),M54))</f>
        <v>0</v>
      </c>
      <c r="N53" s="548">
        <f ca="1">(IFERROR(IFERROR(VALUE(_xll.BDH(N$4,"PE_RATIO",$B53,$B53)),VALUE(_xll.BDH(N$4,"PE_RATIO",$B53+1,$B53+1))),N54))</f>
        <v>0</v>
      </c>
      <c r="O53" s="548">
        <f ca="1">(IFERROR(IFERROR(VALUE(_xll.BDH(O$4,"PE_RATIO",$B53,$B53)),VALUE(_xll.BDH(O$4,"PE_RATIO",$B53+1,$B53+1))),O54))</f>
        <v>0</v>
      </c>
      <c r="P53" s="548"/>
      <c r="Q53" s="552">
        <f t="shared" ca="1" si="15"/>
        <v>45615</v>
      </c>
      <c r="R53" s="4">
        <v>242.31</v>
      </c>
      <c r="S53" s="4">
        <v>5815.03</v>
      </c>
      <c r="T53" s="4">
        <v>0</v>
      </c>
      <c r="U53" s="4">
        <v>1.243763473975978</v>
      </c>
      <c r="V53" s="4">
        <v>1.6217641579420017</v>
      </c>
      <c r="W53" s="4" t="e">
        <v>#DIV/0!</v>
      </c>
      <c r="Y53" s="548">
        <f t="shared" si="16"/>
        <v>242.31</v>
      </c>
      <c r="Z53" s="4">
        <f ca="1">IFERROR(VALUE(_xll.BDH(Z$4,"PX_LAST",$Q53,$Q53)),Z54)</f>
        <v>0</v>
      </c>
      <c r="AA53" s="4">
        <f ca="1">IFERROR(VALUE(_xll.BDH(AA$4,"PX_LAST",$Q53,$Q53)),AA54)</f>
        <v>0</v>
      </c>
      <c r="AB53" s="4">
        <f ca="1">IFERROR(VALUE(_xll.BDH(AB$4,"PX_LAST",$Q53,$Q53)),AB54)</f>
        <v>0</v>
      </c>
      <c r="AC53" s="4">
        <f ca="1">IFERROR(VALUE(_xll.BDH(AC$4,"PX_LAST",$Q53,$Q53)),AC54)</f>
        <v>0</v>
      </c>
      <c r="AD53" s="4">
        <f ca="1">IFERROR(VALUE(_xll.BDH(AD$4,"PX_LAST",$Q53,$Q53)),AD54)</f>
        <v>0</v>
      </c>
      <c r="AF53" s="4">
        <f t="shared" si="17"/>
        <v>1.243763473975978</v>
      </c>
      <c r="AG53" s="4" t="e">
        <f t="shared" ca="1" si="18"/>
        <v>#DIV/0!</v>
      </c>
      <c r="AH53" s="4" t="e">
        <f t="shared" ca="1" si="19"/>
        <v>#DIV/0!</v>
      </c>
      <c r="AI53" s="4" t="e">
        <f t="shared" ca="1" si="20"/>
        <v>#DIV/0!</v>
      </c>
      <c r="AJ53" s="4" t="e">
        <f t="shared" ca="1" si="21"/>
        <v>#DIV/0!</v>
      </c>
      <c r="AK53" s="4" t="e">
        <f t="shared" ca="1" si="22"/>
        <v>#DIV/0!</v>
      </c>
      <c r="AM53" s="550">
        <f t="shared" ca="1" si="12"/>
        <v>45902</v>
      </c>
      <c r="AN53" s="551">
        <v>224.74</v>
      </c>
      <c r="AO53" s="551">
        <v>8254883</v>
      </c>
      <c r="AP53" s="551">
        <v>593.04367000000002</v>
      </c>
      <c r="AQ53" s="551">
        <v>133280.63439580001</v>
      </c>
      <c r="AR53" s="551">
        <v>5.5434000000000001</v>
      </c>
    </row>
    <row r="54" spans="2:44" x14ac:dyDescent="0.3">
      <c r="B54" s="552">
        <f t="shared" ca="1" si="23"/>
        <v>45608</v>
      </c>
      <c r="C54" s="548">
        <f ca="1">(IFERROR(IFERROR(VALUE(_xll.BDH(C$4,"CURRENT_EV_TO_T12M_EBITDA",$B54,$B54)),VALUE(_xll.BDH(C$4,"CURRENT_EV_TO_T12M_EBITDA",$B54+1,$B54+1))),C55))</f>
        <v>0</v>
      </c>
      <c r="D54" s="548">
        <f ca="1">(IFERROR(IFERROR(VALUE(_xll.BDH(D$4,"CURRENT_EV_TO_T12M_EBITDA",$B54,$B54)),VALUE(_xll.BDH(D$4,"CURRENT_EV_TO_T12M_EBITDA",$B54+1,$B54+1))),D55))</f>
        <v>0</v>
      </c>
      <c r="E54" s="548">
        <f ca="1">(IFERROR(IFERROR(VALUE(_xll.BDH(E$4,"CURRENT_EV_TO_T12M_EBITDA",$B54,$B54)),VALUE(_xll.BDH(E$4,"CURRENT_EV_TO_T12M_EBITDA",$B54+1,$B54+1))),E55))</f>
        <v>0</v>
      </c>
      <c r="F54" s="548">
        <f ca="1">(IFERROR(IFERROR(VALUE(_xll.BDH(F$4,"CURRENT_EV_TO_T12M_EBITDA",$B54,$B54)),VALUE(_xll.BDH(F$4,"CURRENT_EV_TO_T12M_EBITDA",$B54+1,$B54+1))),F55))</f>
        <v>0</v>
      </c>
      <c r="G54" s="548">
        <f ca="1">(IFERROR(IFERROR(VALUE(_xll.BDH(G$4,"CURRENT_EV_TO_T12M_EBITDA",$B54,$B54)),VALUE(_xll.BDH(G$4,"CURRENT_EV_TO_T12M_EBITDA",$B54+1,$B54+1))),G55))</f>
        <v>0</v>
      </c>
      <c r="H54" s="548">
        <f ca="1">(IFERROR(IFERROR(VALUE(_xll.BDH(H$4,"CURRENT_EV_TO_T12M_EBITDA",$B54,$B54)),VALUE(_xll.BDH(H$4,"CURRENT_EV_TO_T12M_EBITDA",$B54+1,$B54+1))),H55))</f>
        <v>0</v>
      </c>
      <c r="I54" s="552">
        <f t="shared" ca="1" si="14"/>
        <v>45608</v>
      </c>
      <c r="J54" s="548">
        <f ca="1">(IFERROR(IFERROR(VALUE(_xll.BDH(J$4,"PE_RATIO",$B54,$B54)),VALUE(_xll.BDH(J$4,"PE_RATIO",$B54+1,$B54+1))),J55))</f>
        <v>0</v>
      </c>
      <c r="K54" s="548">
        <f ca="1">(IFERROR(IFERROR(VALUE(_xll.BDH(K$4,"PE_RATIO",$B54,$B54)),VALUE(_xll.BDH(K$4,"PE_RATIO",$B54+1,$B54+1))),K55))</f>
        <v>0</v>
      </c>
      <c r="L54" s="548">
        <f ca="1">(IFERROR(IFERROR(VALUE(_xll.BDH(L$4,"PE_RATIO",$B54,$B54)),VALUE(_xll.BDH(L$4,"PE_RATIO",$B54+1,$B54+1))),L55))</f>
        <v>0</v>
      </c>
      <c r="M54" s="548">
        <f ca="1">(IFERROR(IFERROR(VALUE(_xll.BDH(M$4,"PE_RATIO",$B54,$B54)),VALUE(_xll.BDH(M$4,"PE_RATIO",$B54+1,$B54+1))),M55))</f>
        <v>0</v>
      </c>
      <c r="N54" s="548">
        <f ca="1">(IFERROR(IFERROR(VALUE(_xll.BDH(N$4,"PE_RATIO",$B54,$B54)),VALUE(_xll.BDH(N$4,"PE_RATIO",$B54+1,$B54+1))),N55))</f>
        <v>0</v>
      </c>
      <c r="O54" s="548">
        <f ca="1">(IFERROR(IFERROR(VALUE(_xll.BDH(O$4,"PE_RATIO",$B54,$B54)),VALUE(_xll.BDH(O$4,"PE_RATIO",$B54+1,$B54+1))),O55))</f>
        <v>0</v>
      </c>
      <c r="P54" s="548"/>
      <c r="Q54" s="552">
        <f t="shared" ca="1" si="15"/>
        <v>45608</v>
      </c>
      <c r="R54" s="4">
        <v>238.86</v>
      </c>
      <c r="S54" s="4">
        <v>5751.07</v>
      </c>
      <c r="T54" s="4">
        <v>0</v>
      </c>
      <c r="U54" s="4">
        <v>1.2260548198336927</v>
      </c>
      <c r="V54" s="4">
        <v>1.6039262386979098</v>
      </c>
      <c r="W54" s="4" t="e">
        <v>#DIV/0!</v>
      </c>
      <c r="Y54" s="548">
        <f t="shared" si="16"/>
        <v>238.86</v>
      </c>
      <c r="Z54" s="4">
        <f ca="1">IFERROR(VALUE(_xll.BDH(Z$4,"PX_LAST",$Q54,$Q54)),Z55)</f>
        <v>0</v>
      </c>
      <c r="AA54" s="4">
        <f ca="1">IFERROR(VALUE(_xll.BDH(AA$4,"PX_LAST",$Q54,$Q54)),AA55)</f>
        <v>0</v>
      </c>
      <c r="AB54" s="4">
        <f ca="1">IFERROR(VALUE(_xll.BDH(AB$4,"PX_LAST",$Q54,$Q54)),AB55)</f>
        <v>0</v>
      </c>
      <c r="AC54" s="4">
        <f ca="1">IFERROR(VALUE(_xll.BDH(AC$4,"PX_LAST",$Q54,$Q54)),AC55)</f>
        <v>0</v>
      </c>
      <c r="AD54" s="4">
        <f ca="1">IFERROR(VALUE(_xll.BDH(AD$4,"PX_LAST",$Q54,$Q54)),AD55)</f>
        <v>0</v>
      </c>
      <c r="AF54" s="4">
        <f t="shared" si="17"/>
        <v>1.2260548198336927</v>
      </c>
      <c r="AG54" s="4" t="e">
        <f t="shared" ca="1" si="18"/>
        <v>#DIV/0!</v>
      </c>
      <c r="AH54" s="4" t="e">
        <f t="shared" ca="1" si="19"/>
        <v>#DIV/0!</v>
      </c>
      <c r="AI54" s="4" t="e">
        <f t="shared" ca="1" si="20"/>
        <v>#DIV/0!</v>
      </c>
      <c r="AJ54" s="4" t="e">
        <f t="shared" ca="1" si="21"/>
        <v>#DIV/0!</v>
      </c>
      <c r="AK54" s="4" t="e">
        <f t="shared" ca="1" si="22"/>
        <v>#DIV/0!</v>
      </c>
      <c r="AM54" s="550">
        <f t="shared" ca="1" si="12"/>
        <v>45901</v>
      </c>
      <c r="AN54" s="551">
        <v>220.52</v>
      </c>
      <c r="AO54" s="551">
        <v>9784422</v>
      </c>
      <c r="AP54" s="551">
        <v>593.04367000000002</v>
      </c>
      <c r="AQ54" s="551">
        <v>130777.99010840002</v>
      </c>
      <c r="AR54" s="551">
        <v>5.4393000000000002</v>
      </c>
    </row>
    <row r="55" spans="2:44" x14ac:dyDescent="0.3">
      <c r="B55" s="552">
        <f t="shared" ca="1" si="23"/>
        <v>45601</v>
      </c>
      <c r="C55" s="548">
        <f ca="1">(IFERROR(IFERROR(VALUE(_xll.BDH(C$4,"CURRENT_EV_TO_T12M_EBITDA",$B55,$B55)),VALUE(_xll.BDH(C$4,"CURRENT_EV_TO_T12M_EBITDA",$B55+1,$B55+1))),C56))</f>
        <v>0</v>
      </c>
      <c r="D55" s="548">
        <f ca="1">(IFERROR(IFERROR(VALUE(_xll.BDH(D$4,"CURRENT_EV_TO_T12M_EBITDA",$B55,$B55)),VALUE(_xll.BDH(D$4,"CURRENT_EV_TO_T12M_EBITDA",$B55+1,$B55+1))),D56))</f>
        <v>0</v>
      </c>
      <c r="E55" s="548">
        <f ca="1">(IFERROR(IFERROR(VALUE(_xll.BDH(E$4,"CURRENT_EV_TO_T12M_EBITDA",$B55,$B55)),VALUE(_xll.BDH(E$4,"CURRENT_EV_TO_T12M_EBITDA",$B55+1,$B55+1))),E56))</f>
        <v>0</v>
      </c>
      <c r="F55" s="548">
        <f ca="1">(IFERROR(IFERROR(VALUE(_xll.BDH(F$4,"CURRENT_EV_TO_T12M_EBITDA",$B55,$B55)),VALUE(_xll.BDH(F$4,"CURRENT_EV_TO_T12M_EBITDA",$B55+1,$B55+1))),F56))</f>
        <v>0</v>
      </c>
      <c r="G55" s="548">
        <f ca="1">(IFERROR(IFERROR(VALUE(_xll.BDH(G$4,"CURRENT_EV_TO_T12M_EBITDA",$B55,$B55)),VALUE(_xll.BDH(G$4,"CURRENT_EV_TO_T12M_EBITDA",$B55+1,$B55+1))),G56))</f>
        <v>0</v>
      </c>
      <c r="H55" s="548">
        <f ca="1">(IFERROR(IFERROR(VALUE(_xll.BDH(H$4,"CURRENT_EV_TO_T12M_EBITDA",$B55,$B55)),VALUE(_xll.BDH(H$4,"CURRENT_EV_TO_T12M_EBITDA",$B55+1,$B55+1))),H56))</f>
        <v>0</v>
      </c>
      <c r="I55" s="552">
        <f t="shared" ca="1" si="14"/>
        <v>45601</v>
      </c>
      <c r="J55" s="548">
        <f ca="1">(IFERROR(IFERROR(VALUE(_xll.BDH(J$4,"PE_RATIO",$B55,$B55)),VALUE(_xll.BDH(J$4,"PE_RATIO",$B55+1,$B55+1))),J56))</f>
        <v>0</v>
      </c>
      <c r="K55" s="548">
        <f ca="1">(IFERROR(IFERROR(VALUE(_xll.BDH(K$4,"PE_RATIO",$B55,$B55)),VALUE(_xll.BDH(K$4,"PE_RATIO",$B55+1,$B55+1))),K56))</f>
        <v>0</v>
      </c>
      <c r="L55" s="548">
        <f ca="1">(IFERROR(IFERROR(VALUE(_xll.BDH(L$4,"PE_RATIO",$B55,$B55)),VALUE(_xll.BDH(L$4,"PE_RATIO",$B55+1,$B55+1))),L56))</f>
        <v>0</v>
      </c>
      <c r="M55" s="548">
        <f ca="1">(IFERROR(IFERROR(VALUE(_xll.BDH(M$4,"PE_RATIO",$B55,$B55)),VALUE(_xll.BDH(M$4,"PE_RATIO",$B55+1,$B55+1))),M56))</f>
        <v>0</v>
      </c>
      <c r="N55" s="548">
        <f ca="1">(IFERROR(IFERROR(VALUE(_xll.BDH(N$4,"PE_RATIO",$B55,$B55)),VALUE(_xll.BDH(N$4,"PE_RATIO",$B55+1,$B55+1))),N56))</f>
        <v>0</v>
      </c>
      <c r="O55" s="548">
        <f ca="1">(IFERROR(IFERROR(VALUE(_xll.BDH(O$4,"PE_RATIO",$B55,$B55)),VALUE(_xll.BDH(O$4,"PE_RATIO",$B55+1,$B55+1))),O56))</f>
        <v>0</v>
      </c>
      <c r="P55" s="548"/>
      <c r="Q55" s="552">
        <f t="shared" ca="1" si="15"/>
        <v>45601</v>
      </c>
      <c r="R55" s="4">
        <v>244.22</v>
      </c>
      <c r="S55" s="4">
        <v>5738.17</v>
      </c>
      <c r="T55" s="4">
        <v>0</v>
      </c>
      <c r="U55" s="4">
        <v>1.2535673955446054</v>
      </c>
      <c r="V55" s="4">
        <v>1.6003285345351712</v>
      </c>
      <c r="W55" s="4" t="e">
        <v>#DIV/0!</v>
      </c>
      <c r="Y55" s="548">
        <f t="shared" si="16"/>
        <v>244.22</v>
      </c>
      <c r="Z55" s="4">
        <f ca="1">IFERROR(VALUE(_xll.BDH(Z$4,"PX_LAST",$Q55,$Q55)),Z56)</f>
        <v>0</v>
      </c>
      <c r="AA55" s="4">
        <f ca="1">IFERROR(VALUE(_xll.BDH(AA$4,"PX_LAST",$Q55,$Q55)),AA56)</f>
        <v>0</v>
      </c>
      <c r="AB55" s="4">
        <f ca="1">IFERROR(VALUE(_xll.BDH(AB$4,"PX_LAST",$Q55,$Q55)),AB56)</f>
        <v>0</v>
      </c>
      <c r="AC55" s="4">
        <f ca="1">IFERROR(VALUE(_xll.BDH(AC$4,"PX_LAST",$Q55,$Q55)),AC56)</f>
        <v>0</v>
      </c>
      <c r="AD55" s="4">
        <f ca="1">IFERROR(VALUE(_xll.BDH(AD$4,"PX_LAST",$Q55,$Q55)),AD56)</f>
        <v>0</v>
      </c>
      <c r="AF55" s="4">
        <f t="shared" si="17"/>
        <v>1.2535673955446054</v>
      </c>
      <c r="AG55" s="4" t="e">
        <f t="shared" ca="1" si="18"/>
        <v>#DIV/0!</v>
      </c>
      <c r="AH55" s="4" t="e">
        <f t="shared" ca="1" si="19"/>
        <v>#DIV/0!</v>
      </c>
      <c r="AI55" s="4" t="e">
        <f t="shared" ca="1" si="20"/>
        <v>#DIV/0!</v>
      </c>
      <c r="AJ55" s="4" t="e">
        <f t="shared" ca="1" si="21"/>
        <v>#DIV/0!</v>
      </c>
      <c r="AK55" s="4" t="e">
        <f t="shared" ca="1" si="22"/>
        <v>#DIV/0!</v>
      </c>
      <c r="AM55" s="550">
        <f t="shared" ca="1" si="12"/>
        <v>45900</v>
      </c>
      <c r="AN55" s="551">
        <v>231</v>
      </c>
      <c r="AO55" s="551">
        <v>3740138</v>
      </c>
      <c r="AP55" s="551">
        <v>597.47560999999996</v>
      </c>
      <c r="AQ55" s="551">
        <v>138016.86590999999</v>
      </c>
      <c r="AR55" s="551">
        <v>5.6978</v>
      </c>
    </row>
    <row r="56" spans="2:44" x14ac:dyDescent="0.3">
      <c r="B56" s="552">
        <f t="shared" ca="1" si="23"/>
        <v>45594</v>
      </c>
      <c r="C56" s="548">
        <f ca="1">(IFERROR(IFERROR(VALUE(_xll.BDH(C$4,"CURRENT_EV_TO_T12M_EBITDA",$B56,$B56)),VALUE(_xll.BDH(C$4,"CURRENT_EV_TO_T12M_EBITDA",$B56+1,$B56+1))),C57))</f>
        <v>0</v>
      </c>
      <c r="D56" s="548">
        <f ca="1">(IFERROR(IFERROR(VALUE(_xll.BDH(D$4,"CURRENT_EV_TO_T12M_EBITDA",$B56,$B56)),VALUE(_xll.BDH(D$4,"CURRENT_EV_TO_T12M_EBITDA",$B56+1,$B56+1))),D57))</f>
        <v>0</v>
      </c>
      <c r="E56" s="548">
        <f ca="1">(IFERROR(IFERROR(VALUE(_xll.BDH(E$4,"CURRENT_EV_TO_T12M_EBITDA",$B56,$B56)),VALUE(_xll.BDH(E$4,"CURRENT_EV_TO_T12M_EBITDA",$B56+1,$B56+1))),E57))</f>
        <v>0</v>
      </c>
      <c r="F56" s="548">
        <f ca="1">(IFERROR(IFERROR(VALUE(_xll.BDH(F$4,"CURRENT_EV_TO_T12M_EBITDA",$B56,$B56)),VALUE(_xll.BDH(F$4,"CURRENT_EV_TO_T12M_EBITDA",$B56+1,$B56+1))),F57))</f>
        <v>0</v>
      </c>
      <c r="G56" s="548">
        <f ca="1">(IFERROR(IFERROR(VALUE(_xll.BDH(G$4,"CURRENT_EV_TO_T12M_EBITDA",$B56,$B56)),VALUE(_xll.BDH(G$4,"CURRENT_EV_TO_T12M_EBITDA",$B56+1,$B56+1))),G57))</f>
        <v>0</v>
      </c>
      <c r="H56" s="548">
        <f ca="1">(IFERROR(IFERROR(VALUE(_xll.BDH(H$4,"CURRENT_EV_TO_T12M_EBITDA",$B56,$B56)),VALUE(_xll.BDH(H$4,"CURRENT_EV_TO_T12M_EBITDA",$B56+1,$B56+1))),H57))</f>
        <v>0</v>
      </c>
      <c r="I56" s="552">
        <f t="shared" ca="1" si="14"/>
        <v>45594</v>
      </c>
      <c r="J56" s="548">
        <f ca="1">(IFERROR(IFERROR(VALUE(_xll.BDH(J$4,"PE_RATIO",$B56,$B56)),VALUE(_xll.BDH(J$4,"PE_RATIO",$B56+1,$B56+1))),J57))</f>
        <v>0</v>
      </c>
      <c r="K56" s="548">
        <f ca="1">(IFERROR(IFERROR(VALUE(_xll.BDH(K$4,"PE_RATIO",$B56,$B56)),VALUE(_xll.BDH(K$4,"PE_RATIO",$B56+1,$B56+1))),K57))</f>
        <v>0</v>
      </c>
      <c r="L56" s="548">
        <f ca="1">(IFERROR(IFERROR(VALUE(_xll.BDH(L$4,"PE_RATIO",$B56,$B56)),VALUE(_xll.BDH(L$4,"PE_RATIO",$B56+1,$B56+1))),L57))</f>
        <v>0</v>
      </c>
      <c r="M56" s="548">
        <f ca="1">(IFERROR(IFERROR(VALUE(_xll.BDH(M$4,"PE_RATIO",$B56,$B56)),VALUE(_xll.BDH(M$4,"PE_RATIO",$B56+1,$B56+1))),M57))</f>
        <v>0</v>
      </c>
      <c r="N56" s="548">
        <f ca="1">(IFERROR(IFERROR(VALUE(_xll.BDH(N$4,"PE_RATIO",$B56,$B56)),VALUE(_xll.BDH(N$4,"PE_RATIO",$B56+1,$B56+1))),N57))</f>
        <v>0</v>
      </c>
      <c r="O56" s="548">
        <f ca="1">(IFERROR(IFERROR(VALUE(_xll.BDH(O$4,"PE_RATIO",$B56,$B56)),VALUE(_xll.BDH(O$4,"PE_RATIO",$B56+1,$B56+1))),O57))</f>
        <v>0</v>
      </c>
      <c r="P56" s="548"/>
      <c r="Q56" s="552">
        <f t="shared" ca="1" si="15"/>
        <v>45594</v>
      </c>
      <c r="R56" s="4">
        <v>245.39</v>
      </c>
      <c r="S56" s="4">
        <v>5702.55</v>
      </c>
      <c r="T56" s="4">
        <v>0</v>
      </c>
      <c r="U56" s="4">
        <v>1.2595729391232933</v>
      </c>
      <c r="V56" s="4">
        <v>1.5903944087772828</v>
      </c>
      <c r="W56" s="4" t="e">
        <v>#DIV/0!</v>
      </c>
      <c r="Y56" s="548">
        <f t="shared" si="16"/>
        <v>245.39</v>
      </c>
      <c r="Z56" s="4">
        <f ca="1">IFERROR(VALUE(_xll.BDH(Z$4,"PX_LAST",$Q56,$Q56)),Z57)</f>
        <v>0</v>
      </c>
      <c r="AA56" s="4">
        <f ca="1">IFERROR(VALUE(_xll.BDH(AA$4,"PX_LAST",$Q56,$Q56)),AA57)</f>
        <v>0</v>
      </c>
      <c r="AB56" s="4">
        <f ca="1">IFERROR(VALUE(_xll.BDH(AB$4,"PX_LAST",$Q56,$Q56)),AB57)</f>
        <v>0</v>
      </c>
      <c r="AC56" s="4">
        <f ca="1">IFERROR(VALUE(_xll.BDH(AC$4,"PX_LAST",$Q56,$Q56)),AC57)</f>
        <v>0</v>
      </c>
      <c r="AD56" s="4">
        <f ca="1">IFERROR(VALUE(_xll.BDH(AD$4,"PX_LAST",$Q56,$Q56)),AD57)</f>
        <v>0</v>
      </c>
      <c r="AF56" s="4">
        <f t="shared" si="17"/>
        <v>1.2595729391232933</v>
      </c>
      <c r="AG56" s="4" t="e">
        <f t="shared" ca="1" si="18"/>
        <v>#DIV/0!</v>
      </c>
      <c r="AH56" s="4" t="e">
        <f t="shared" ca="1" si="19"/>
        <v>#DIV/0!</v>
      </c>
      <c r="AI56" s="4" t="e">
        <f t="shared" ca="1" si="20"/>
        <v>#DIV/0!</v>
      </c>
      <c r="AJ56" s="4" t="e">
        <f t="shared" ca="1" si="21"/>
        <v>#DIV/0!</v>
      </c>
      <c r="AK56" s="4" t="e">
        <f t="shared" ca="1" si="22"/>
        <v>#DIV/0!</v>
      </c>
      <c r="AM56" s="550">
        <f t="shared" ca="1" si="12"/>
        <v>45899</v>
      </c>
      <c r="AN56" s="551">
        <v>229.24</v>
      </c>
      <c r="AO56" s="551">
        <v>3806436</v>
      </c>
      <c r="AP56" s="551">
        <v>597.47560999999996</v>
      </c>
      <c r="AQ56" s="551">
        <v>136965.30883639999</v>
      </c>
      <c r="AR56" s="551">
        <v>5.6543000000000001</v>
      </c>
    </row>
    <row r="57" spans="2:44" x14ac:dyDescent="0.3">
      <c r="B57" s="552">
        <f t="shared" ca="1" si="23"/>
        <v>45587</v>
      </c>
      <c r="C57" s="548">
        <f ca="1">(IFERROR(IFERROR(VALUE(_xll.BDH(C$4,"CURRENT_EV_TO_T12M_EBITDA",$B57,$B57)),VALUE(_xll.BDH(C$4,"CURRENT_EV_TO_T12M_EBITDA",$B57+1,$B57+1))),C58))</f>
        <v>0</v>
      </c>
      <c r="D57" s="548">
        <f ca="1">(IFERROR(IFERROR(VALUE(_xll.BDH(D$4,"CURRENT_EV_TO_T12M_EBITDA",$B57,$B57)),VALUE(_xll.BDH(D$4,"CURRENT_EV_TO_T12M_EBITDA",$B57+1,$B57+1))),D58))</f>
        <v>0</v>
      </c>
      <c r="E57" s="548">
        <f ca="1">(IFERROR(IFERROR(VALUE(_xll.BDH(E$4,"CURRENT_EV_TO_T12M_EBITDA",$B57,$B57)),VALUE(_xll.BDH(E$4,"CURRENT_EV_TO_T12M_EBITDA",$B57+1,$B57+1))),E58))</f>
        <v>0</v>
      </c>
      <c r="F57" s="548">
        <f ca="1">(IFERROR(IFERROR(VALUE(_xll.BDH(F$4,"CURRENT_EV_TO_T12M_EBITDA",$B57,$B57)),VALUE(_xll.BDH(F$4,"CURRENT_EV_TO_T12M_EBITDA",$B57+1,$B57+1))),F58))</f>
        <v>0</v>
      </c>
      <c r="G57" s="548">
        <f ca="1">(IFERROR(IFERROR(VALUE(_xll.BDH(G$4,"CURRENT_EV_TO_T12M_EBITDA",$B57,$B57)),VALUE(_xll.BDH(G$4,"CURRENT_EV_TO_T12M_EBITDA",$B57+1,$B57+1))),G58))</f>
        <v>0</v>
      </c>
      <c r="H57" s="548">
        <f ca="1">(IFERROR(IFERROR(VALUE(_xll.BDH(H$4,"CURRENT_EV_TO_T12M_EBITDA",$B57,$B57)),VALUE(_xll.BDH(H$4,"CURRENT_EV_TO_T12M_EBITDA",$B57+1,$B57+1))),H58))</f>
        <v>0</v>
      </c>
      <c r="I57" s="552">
        <f t="shared" ca="1" si="14"/>
        <v>45587</v>
      </c>
      <c r="J57" s="548">
        <f ca="1">(IFERROR(IFERROR(VALUE(_xll.BDH(J$4,"PE_RATIO",$B57,$B57)),VALUE(_xll.BDH(J$4,"PE_RATIO",$B57+1,$B57+1))),J58))</f>
        <v>0</v>
      </c>
      <c r="K57" s="548">
        <f ca="1">(IFERROR(IFERROR(VALUE(_xll.BDH(K$4,"PE_RATIO",$B57,$B57)),VALUE(_xll.BDH(K$4,"PE_RATIO",$B57+1,$B57+1))),K58))</f>
        <v>0</v>
      </c>
      <c r="L57" s="548">
        <f ca="1">(IFERROR(IFERROR(VALUE(_xll.BDH(L$4,"PE_RATIO",$B57,$B57)),VALUE(_xll.BDH(L$4,"PE_RATIO",$B57+1,$B57+1))),L58))</f>
        <v>0</v>
      </c>
      <c r="M57" s="548">
        <f ca="1">(IFERROR(IFERROR(VALUE(_xll.BDH(M$4,"PE_RATIO",$B57,$B57)),VALUE(_xll.BDH(M$4,"PE_RATIO",$B57+1,$B57+1))),M58))</f>
        <v>0</v>
      </c>
      <c r="N57" s="548">
        <f ca="1">(IFERROR(IFERROR(VALUE(_xll.BDH(N$4,"PE_RATIO",$B57,$B57)),VALUE(_xll.BDH(N$4,"PE_RATIO",$B57+1,$B57+1))),N58))</f>
        <v>0</v>
      </c>
      <c r="O57" s="548">
        <f ca="1">(IFERROR(IFERROR(VALUE(_xll.BDH(O$4,"PE_RATIO",$B57,$B57)),VALUE(_xll.BDH(O$4,"PE_RATIO",$B57+1,$B57+1))),O58))</f>
        <v>0</v>
      </c>
      <c r="P57" s="548"/>
      <c r="Q57" s="552">
        <f t="shared" ca="1" si="15"/>
        <v>45587</v>
      </c>
      <c r="R57" s="4">
        <v>249.12</v>
      </c>
      <c r="S57" s="4">
        <v>5626.02</v>
      </c>
      <c r="T57" s="4">
        <v>0</v>
      </c>
      <c r="U57" s="4">
        <v>1.27871881736988</v>
      </c>
      <c r="V57" s="4">
        <v>1.5690508196629873</v>
      </c>
      <c r="W57" s="4" t="e">
        <v>#DIV/0!</v>
      </c>
      <c r="Y57" s="548">
        <f t="shared" si="16"/>
        <v>249.12</v>
      </c>
      <c r="Z57" s="4">
        <f ca="1">IFERROR(VALUE(_xll.BDH(Z$4,"PX_LAST",$Q57,$Q57)),Z58)</f>
        <v>0</v>
      </c>
      <c r="AA57" s="4">
        <f ca="1">IFERROR(VALUE(_xll.BDH(AA$4,"PX_LAST",$Q57,$Q57)),AA58)</f>
        <v>0</v>
      </c>
      <c r="AB57" s="4">
        <f ca="1">IFERROR(VALUE(_xll.BDH(AB$4,"PX_LAST",$Q57,$Q57)),AB58)</f>
        <v>0</v>
      </c>
      <c r="AC57" s="4">
        <f ca="1">IFERROR(VALUE(_xll.BDH(AC$4,"PX_LAST",$Q57,$Q57)),AC58)</f>
        <v>0</v>
      </c>
      <c r="AD57" s="4">
        <f ca="1">IFERROR(VALUE(_xll.BDH(AD$4,"PX_LAST",$Q57,$Q57)),AD58)</f>
        <v>0</v>
      </c>
      <c r="AF57" s="4">
        <f t="shared" si="17"/>
        <v>1.27871881736988</v>
      </c>
      <c r="AG57" s="4" t="e">
        <f t="shared" ca="1" si="18"/>
        <v>#DIV/0!</v>
      </c>
      <c r="AH57" s="4" t="e">
        <f t="shared" ca="1" si="19"/>
        <v>#DIV/0!</v>
      </c>
      <c r="AI57" s="4" t="e">
        <f t="shared" ca="1" si="20"/>
        <v>#DIV/0!</v>
      </c>
      <c r="AJ57" s="4" t="e">
        <f t="shared" ca="1" si="21"/>
        <v>#DIV/0!</v>
      </c>
      <c r="AK57" s="4" t="e">
        <f t="shared" ca="1" si="22"/>
        <v>#DIV/0!</v>
      </c>
      <c r="AM57" s="550">
        <f t="shared" ca="1" si="12"/>
        <v>45898</v>
      </c>
      <c r="AN57" s="551">
        <v>225.85</v>
      </c>
      <c r="AO57" s="551">
        <v>2814103</v>
      </c>
      <c r="AP57" s="551">
        <v>597.47560999999996</v>
      </c>
      <c r="AQ57" s="551">
        <v>134939.8665185</v>
      </c>
      <c r="AR57" s="551">
        <v>5.5707000000000004</v>
      </c>
    </row>
    <row r="58" spans="2:44" x14ac:dyDescent="0.3">
      <c r="B58" s="552">
        <f t="shared" ca="1" si="23"/>
        <v>45580</v>
      </c>
      <c r="C58" s="548">
        <f ca="1">(IFERROR(IFERROR(VALUE(_xll.BDH(C$4,"CURRENT_EV_TO_T12M_EBITDA",$B58,$B58)),VALUE(_xll.BDH(C$4,"CURRENT_EV_TO_T12M_EBITDA",$B58+1,$B58+1))),C59))</f>
        <v>0</v>
      </c>
      <c r="D58" s="548">
        <f ca="1">(IFERROR(IFERROR(VALUE(_xll.BDH(D$4,"CURRENT_EV_TO_T12M_EBITDA",$B58,$B58)),VALUE(_xll.BDH(D$4,"CURRENT_EV_TO_T12M_EBITDA",$B58+1,$B58+1))),D59))</f>
        <v>0</v>
      </c>
      <c r="E58" s="548">
        <f ca="1">(IFERROR(IFERROR(VALUE(_xll.BDH(E$4,"CURRENT_EV_TO_T12M_EBITDA",$B58,$B58)),VALUE(_xll.BDH(E$4,"CURRENT_EV_TO_T12M_EBITDA",$B58+1,$B58+1))),E59))</f>
        <v>0</v>
      </c>
      <c r="F58" s="548">
        <f ca="1">(IFERROR(IFERROR(VALUE(_xll.BDH(F$4,"CURRENT_EV_TO_T12M_EBITDA",$B58,$B58)),VALUE(_xll.BDH(F$4,"CURRENT_EV_TO_T12M_EBITDA",$B58+1,$B58+1))),F59))</f>
        <v>0</v>
      </c>
      <c r="G58" s="548">
        <f ca="1">(IFERROR(IFERROR(VALUE(_xll.BDH(G$4,"CURRENT_EV_TO_T12M_EBITDA",$B58,$B58)),VALUE(_xll.BDH(G$4,"CURRENT_EV_TO_T12M_EBITDA",$B58+1,$B58+1))),G59))</f>
        <v>0</v>
      </c>
      <c r="H58" s="548">
        <f ca="1">(IFERROR(IFERROR(VALUE(_xll.BDH(H$4,"CURRENT_EV_TO_T12M_EBITDA",$B58,$B58)),VALUE(_xll.BDH(H$4,"CURRENT_EV_TO_T12M_EBITDA",$B58+1,$B58+1))),H59))</f>
        <v>0</v>
      </c>
      <c r="I58" s="552">
        <f t="shared" ca="1" si="14"/>
        <v>45580</v>
      </c>
      <c r="J58" s="548">
        <f ca="1">(IFERROR(IFERROR(VALUE(_xll.BDH(J$4,"PE_RATIO",$B58,$B58)),VALUE(_xll.BDH(J$4,"PE_RATIO",$B58+1,$B58+1))),J59))</f>
        <v>0</v>
      </c>
      <c r="K58" s="548">
        <f ca="1">(IFERROR(IFERROR(VALUE(_xll.BDH(K$4,"PE_RATIO",$B58,$B58)),VALUE(_xll.BDH(K$4,"PE_RATIO",$B58+1,$B58+1))),K59))</f>
        <v>0</v>
      </c>
      <c r="L58" s="548">
        <f ca="1">(IFERROR(IFERROR(VALUE(_xll.BDH(L$4,"PE_RATIO",$B58,$B58)),VALUE(_xll.BDH(L$4,"PE_RATIO",$B58+1,$B58+1))),L59))</f>
        <v>0</v>
      </c>
      <c r="M58" s="548">
        <f ca="1">(IFERROR(IFERROR(VALUE(_xll.BDH(M$4,"PE_RATIO",$B58,$B58)),VALUE(_xll.BDH(M$4,"PE_RATIO",$B58+1,$B58+1))),M59))</f>
        <v>0</v>
      </c>
      <c r="N58" s="548">
        <f ca="1">(IFERROR(IFERROR(VALUE(_xll.BDH(N$4,"PE_RATIO",$B58,$B58)),VALUE(_xll.BDH(N$4,"PE_RATIO",$B58+1,$B58+1))),N59))</f>
        <v>0</v>
      </c>
      <c r="O58" s="548">
        <f ca="1">(IFERROR(IFERROR(VALUE(_xll.BDH(O$4,"PE_RATIO",$B58,$B58)),VALUE(_xll.BDH(O$4,"PE_RATIO",$B58+1,$B58+1))),O59))</f>
        <v>0</v>
      </c>
      <c r="P58" s="548"/>
      <c r="Q58" s="552">
        <f t="shared" ca="1" si="15"/>
        <v>45580</v>
      </c>
      <c r="R58" s="4">
        <v>249.63</v>
      </c>
      <c r="S58" s="4">
        <v>5408.42</v>
      </c>
      <c r="T58" s="4">
        <v>0</v>
      </c>
      <c r="U58" s="4">
        <v>1.2813366184170003</v>
      </c>
      <c r="V58" s="4">
        <v>1.5083639649488791</v>
      </c>
      <c r="W58" s="4" t="e">
        <v>#DIV/0!</v>
      </c>
      <c r="Y58" s="548">
        <f t="shared" si="16"/>
        <v>249.63</v>
      </c>
      <c r="Z58" s="4">
        <f ca="1">IFERROR(VALUE(_xll.BDH(Z$4,"PX_LAST",$Q58,$Q58)),Z59)</f>
        <v>0</v>
      </c>
      <c r="AA58" s="4">
        <f ca="1">IFERROR(VALUE(_xll.BDH(AA$4,"PX_LAST",$Q58,$Q58)),AA59)</f>
        <v>0</v>
      </c>
      <c r="AB58" s="4">
        <f ca="1">IFERROR(VALUE(_xll.BDH(AB$4,"PX_LAST",$Q58,$Q58)),AB59)</f>
        <v>0</v>
      </c>
      <c r="AC58" s="4">
        <f ca="1">IFERROR(VALUE(_xll.BDH(AC$4,"PX_LAST",$Q58,$Q58)),AC59)</f>
        <v>0</v>
      </c>
      <c r="AD58" s="4">
        <f ca="1">IFERROR(VALUE(_xll.BDH(AD$4,"PX_LAST",$Q58,$Q58)),AD59)</f>
        <v>0</v>
      </c>
      <c r="AF58" s="4">
        <f t="shared" si="17"/>
        <v>1.2813366184170003</v>
      </c>
      <c r="AG58" s="4" t="e">
        <f t="shared" ca="1" si="18"/>
        <v>#DIV/0!</v>
      </c>
      <c r="AH58" s="4" t="e">
        <f t="shared" ca="1" si="19"/>
        <v>#DIV/0!</v>
      </c>
      <c r="AI58" s="4" t="e">
        <f t="shared" ca="1" si="20"/>
        <v>#DIV/0!</v>
      </c>
      <c r="AJ58" s="4" t="e">
        <f t="shared" ca="1" si="21"/>
        <v>#DIV/0!</v>
      </c>
      <c r="AK58" s="4" t="e">
        <f t="shared" ca="1" si="22"/>
        <v>#DIV/0!</v>
      </c>
      <c r="AM58" s="550">
        <f t="shared" ca="1" si="12"/>
        <v>45897</v>
      </c>
      <c r="AN58" s="551">
        <v>224.87</v>
      </c>
      <c r="AO58" s="551">
        <v>5794541</v>
      </c>
      <c r="AP58" s="551">
        <v>597.47560999999996</v>
      </c>
      <c r="AQ58" s="551">
        <v>134354.3404207</v>
      </c>
      <c r="AR58" s="551">
        <v>5.5465999999999998</v>
      </c>
    </row>
    <row r="59" spans="2:44" x14ac:dyDescent="0.3">
      <c r="B59" s="552">
        <f t="shared" ca="1" si="23"/>
        <v>45573</v>
      </c>
      <c r="C59" s="548">
        <f ca="1">(IFERROR(IFERROR(VALUE(_xll.BDH(C$4,"CURRENT_EV_TO_T12M_EBITDA",$B59,$B59)),VALUE(_xll.BDH(C$4,"CURRENT_EV_TO_T12M_EBITDA",$B59+1,$B59+1))),C60))</f>
        <v>0</v>
      </c>
      <c r="D59" s="548">
        <f ca="1">(IFERROR(IFERROR(VALUE(_xll.BDH(D$4,"CURRENT_EV_TO_T12M_EBITDA",$B59,$B59)),VALUE(_xll.BDH(D$4,"CURRENT_EV_TO_T12M_EBITDA",$B59+1,$B59+1))),D60))</f>
        <v>0</v>
      </c>
      <c r="E59" s="548">
        <f ca="1">(IFERROR(IFERROR(VALUE(_xll.BDH(E$4,"CURRENT_EV_TO_T12M_EBITDA",$B59,$B59)),VALUE(_xll.BDH(E$4,"CURRENT_EV_TO_T12M_EBITDA",$B59+1,$B59+1))),E60))</f>
        <v>0</v>
      </c>
      <c r="F59" s="548">
        <f ca="1">(IFERROR(IFERROR(VALUE(_xll.BDH(F$4,"CURRENT_EV_TO_T12M_EBITDA",$B59,$B59)),VALUE(_xll.BDH(F$4,"CURRENT_EV_TO_T12M_EBITDA",$B59+1,$B59+1))),F60))</f>
        <v>0</v>
      </c>
      <c r="G59" s="548">
        <f ca="1">(IFERROR(IFERROR(VALUE(_xll.BDH(G$4,"CURRENT_EV_TO_T12M_EBITDA",$B59,$B59)),VALUE(_xll.BDH(G$4,"CURRENT_EV_TO_T12M_EBITDA",$B59+1,$B59+1))),G60))</f>
        <v>0</v>
      </c>
      <c r="H59" s="548">
        <f ca="1">(IFERROR(IFERROR(VALUE(_xll.BDH(H$4,"CURRENT_EV_TO_T12M_EBITDA",$B59,$B59)),VALUE(_xll.BDH(H$4,"CURRENT_EV_TO_T12M_EBITDA",$B59+1,$B59+1))),H60))</f>
        <v>0</v>
      </c>
      <c r="I59" s="552">
        <f t="shared" ca="1" si="14"/>
        <v>45573</v>
      </c>
      <c r="J59" s="548">
        <f ca="1">(IFERROR(IFERROR(VALUE(_xll.BDH(J$4,"PE_RATIO",$B59,$B59)),VALUE(_xll.BDH(J$4,"PE_RATIO",$B59+1,$B59+1))),J60))</f>
        <v>0</v>
      </c>
      <c r="K59" s="548">
        <f ca="1">(IFERROR(IFERROR(VALUE(_xll.BDH(K$4,"PE_RATIO",$B59,$B59)),VALUE(_xll.BDH(K$4,"PE_RATIO",$B59+1,$B59+1))),K60))</f>
        <v>0</v>
      </c>
      <c r="L59" s="548">
        <f ca="1">(IFERROR(IFERROR(VALUE(_xll.BDH(L$4,"PE_RATIO",$B59,$B59)),VALUE(_xll.BDH(L$4,"PE_RATIO",$B59+1,$B59+1))),L60))</f>
        <v>0</v>
      </c>
      <c r="M59" s="548">
        <f ca="1">(IFERROR(IFERROR(VALUE(_xll.BDH(M$4,"PE_RATIO",$B59,$B59)),VALUE(_xll.BDH(M$4,"PE_RATIO",$B59+1,$B59+1))),M60))</f>
        <v>0</v>
      </c>
      <c r="N59" s="548">
        <f ca="1">(IFERROR(IFERROR(VALUE(_xll.BDH(N$4,"PE_RATIO",$B59,$B59)),VALUE(_xll.BDH(N$4,"PE_RATIO",$B59+1,$B59+1))),N60))</f>
        <v>0</v>
      </c>
      <c r="O59" s="548">
        <f ca="1">(IFERROR(IFERROR(VALUE(_xll.BDH(O$4,"PE_RATIO",$B59,$B59)),VALUE(_xll.BDH(O$4,"PE_RATIO",$B59+1,$B59+1))),O60))</f>
        <v>0</v>
      </c>
      <c r="P59" s="548"/>
      <c r="Q59" s="552">
        <f t="shared" ca="1" si="15"/>
        <v>45573</v>
      </c>
      <c r="R59" s="4">
        <v>256.08999999999997</v>
      </c>
      <c r="S59" s="4">
        <v>5648.4</v>
      </c>
      <c r="T59" s="4">
        <v>0</v>
      </c>
      <c r="U59" s="4">
        <v>1.3144954316805255</v>
      </c>
      <c r="V59" s="4">
        <v>1.5752924180476457</v>
      </c>
      <c r="W59" s="4" t="e">
        <v>#DIV/0!</v>
      </c>
      <c r="Y59" s="548">
        <f t="shared" si="16"/>
        <v>256.08999999999997</v>
      </c>
      <c r="Z59" s="4">
        <f ca="1">IFERROR(VALUE(_xll.BDH(Z$4,"PX_LAST",$Q59,$Q59)),Z60)</f>
        <v>0</v>
      </c>
      <c r="AA59" s="4">
        <f ca="1">IFERROR(VALUE(_xll.BDH(AA$4,"PX_LAST",$Q59,$Q59)),AA60)</f>
        <v>0</v>
      </c>
      <c r="AB59" s="4">
        <f ca="1">IFERROR(VALUE(_xll.BDH(AB$4,"PX_LAST",$Q59,$Q59)),AB60)</f>
        <v>0</v>
      </c>
      <c r="AC59" s="4">
        <f ca="1">IFERROR(VALUE(_xll.BDH(AC$4,"PX_LAST",$Q59,$Q59)),AC60)</f>
        <v>0</v>
      </c>
      <c r="AD59" s="4">
        <f ca="1">IFERROR(VALUE(_xll.BDH(AD$4,"PX_LAST",$Q59,$Q59)),AD60)</f>
        <v>0</v>
      </c>
      <c r="AF59" s="4">
        <f t="shared" si="17"/>
        <v>1.3144954316805255</v>
      </c>
      <c r="AG59" s="4" t="e">
        <f t="shared" ca="1" si="18"/>
        <v>#DIV/0!</v>
      </c>
      <c r="AH59" s="4" t="e">
        <f t="shared" ca="1" si="19"/>
        <v>#DIV/0!</v>
      </c>
      <c r="AI59" s="4" t="e">
        <f t="shared" ca="1" si="20"/>
        <v>#DIV/0!</v>
      </c>
      <c r="AJ59" s="4" t="e">
        <f t="shared" ca="1" si="21"/>
        <v>#DIV/0!</v>
      </c>
      <c r="AK59" s="4" t="e">
        <f t="shared" ca="1" si="22"/>
        <v>#DIV/0!</v>
      </c>
      <c r="AM59" s="550">
        <f t="shared" ca="1" si="12"/>
        <v>45896</v>
      </c>
      <c r="AN59" s="551">
        <v>224.87</v>
      </c>
      <c r="AO59" s="551">
        <v>5794541</v>
      </c>
      <c r="AP59" s="551">
        <v>597.47560999999996</v>
      </c>
      <c r="AQ59" s="551">
        <v>134354.3404207</v>
      </c>
      <c r="AR59" s="551">
        <v>5.5465999999999998</v>
      </c>
    </row>
    <row r="60" spans="2:44" x14ac:dyDescent="0.3">
      <c r="B60" s="552">
        <f t="shared" ca="1" si="23"/>
        <v>45566</v>
      </c>
      <c r="C60" s="548">
        <f ca="1">(IFERROR(IFERROR(VALUE(_xll.BDH(C$4,"CURRENT_EV_TO_T12M_EBITDA",$B60,$B60)),VALUE(_xll.BDH(C$4,"CURRENT_EV_TO_T12M_EBITDA",$B60+1,$B60+1))),C61))</f>
        <v>0</v>
      </c>
      <c r="D60" s="548">
        <f ca="1">(IFERROR(IFERROR(VALUE(_xll.BDH(D$4,"CURRENT_EV_TO_T12M_EBITDA",$B60,$B60)),VALUE(_xll.BDH(D$4,"CURRENT_EV_TO_T12M_EBITDA",$B60+1,$B60+1))),D61))</f>
        <v>0</v>
      </c>
      <c r="E60" s="548">
        <f ca="1">(IFERROR(IFERROR(VALUE(_xll.BDH(E$4,"CURRENT_EV_TO_T12M_EBITDA",$B60,$B60)),VALUE(_xll.BDH(E$4,"CURRENT_EV_TO_T12M_EBITDA",$B60+1,$B60+1))),E61))</f>
        <v>0</v>
      </c>
      <c r="F60" s="548">
        <f ca="1">(IFERROR(IFERROR(VALUE(_xll.BDH(F$4,"CURRENT_EV_TO_T12M_EBITDA",$B60,$B60)),VALUE(_xll.BDH(F$4,"CURRENT_EV_TO_T12M_EBITDA",$B60+1,$B60+1))),F61))</f>
        <v>0</v>
      </c>
      <c r="G60" s="548">
        <f ca="1">(IFERROR(IFERROR(VALUE(_xll.BDH(G$4,"CURRENT_EV_TO_T12M_EBITDA",$B60,$B60)),VALUE(_xll.BDH(G$4,"CURRENT_EV_TO_T12M_EBITDA",$B60+1,$B60+1))),G61))</f>
        <v>0</v>
      </c>
      <c r="H60" s="548">
        <f ca="1">(IFERROR(IFERROR(VALUE(_xll.BDH(H$4,"CURRENT_EV_TO_T12M_EBITDA",$B60,$B60)),VALUE(_xll.BDH(H$4,"CURRENT_EV_TO_T12M_EBITDA",$B60+1,$B60+1))),H61))</f>
        <v>0</v>
      </c>
      <c r="I60" s="552">
        <f t="shared" ca="1" si="14"/>
        <v>45566</v>
      </c>
      <c r="J60" s="548">
        <f ca="1">(IFERROR(IFERROR(VALUE(_xll.BDH(J$4,"PE_RATIO",$B60,$B60)),VALUE(_xll.BDH(J$4,"PE_RATIO",$B60+1,$B60+1))),J61))</f>
        <v>0</v>
      </c>
      <c r="K60" s="548">
        <f ca="1">(IFERROR(IFERROR(VALUE(_xll.BDH(K$4,"PE_RATIO",$B60,$B60)),VALUE(_xll.BDH(K$4,"PE_RATIO",$B60+1,$B60+1))),K61))</f>
        <v>0</v>
      </c>
      <c r="L60" s="548">
        <f ca="1">(IFERROR(IFERROR(VALUE(_xll.BDH(L$4,"PE_RATIO",$B60,$B60)),VALUE(_xll.BDH(L$4,"PE_RATIO",$B60+1,$B60+1))),L61))</f>
        <v>0</v>
      </c>
      <c r="M60" s="548">
        <f ca="1">(IFERROR(IFERROR(VALUE(_xll.BDH(M$4,"PE_RATIO",$B60,$B60)),VALUE(_xll.BDH(M$4,"PE_RATIO",$B60+1,$B60+1))),M61))</f>
        <v>0</v>
      </c>
      <c r="N60" s="548">
        <f ca="1">(IFERROR(IFERROR(VALUE(_xll.BDH(N$4,"PE_RATIO",$B60,$B60)),VALUE(_xll.BDH(N$4,"PE_RATIO",$B60+1,$B60+1))),N61))</f>
        <v>0</v>
      </c>
      <c r="O60" s="548">
        <f ca="1">(IFERROR(IFERROR(VALUE(_xll.BDH(O$4,"PE_RATIO",$B60,$B60)),VALUE(_xll.BDH(O$4,"PE_RATIO",$B60+1,$B60+1))),O61))</f>
        <v>0</v>
      </c>
      <c r="P60" s="548"/>
      <c r="Q60" s="552">
        <f t="shared" ca="1" si="15"/>
        <v>45566</v>
      </c>
      <c r="R60" s="4">
        <v>246.85</v>
      </c>
      <c r="S60" s="4">
        <v>5634.61</v>
      </c>
      <c r="T60" s="4">
        <v>0</v>
      </c>
      <c r="U60" s="4">
        <v>1.2670670362385792</v>
      </c>
      <c r="V60" s="4">
        <v>1.5714465001868574</v>
      </c>
      <c r="W60" s="4" t="e">
        <v>#DIV/0!</v>
      </c>
      <c r="Y60" s="548">
        <f t="shared" si="16"/>
        <v>246.85</v>
      </c>
      <c r="Z60" s="4">
        <f ca="1">IFERROR(VALUE(_xll.BDH(Z$4,"PX_LAST",$Q60,$Q60)),Z61)</f>
        <v>0</v>
      </c>
      <c r="AA60" s="4">
        <f ca="1">IFERROR(VALUE(_xll.BDH(AA$4,"PX_LAST",$Q60,$Q60)),AA61)</f>
        <v>0</v>
      </c>
      <c r="AB60" s="4">
        <f ca="1">IFERROR(VALUE(_xll.BDH(AB$4,"PX_LAST",$Q60,$Q60)),AB61)</f>
        <v>0</v>
      </c>
      <c r="AC60" s="4">
        <f ca="1">IFERROR(VALUE(_xll.BDH(AC$4,"PX_LAST",$Q60,$Q60)),AC61)</f>
        <v>0</v>
      </c>
      <c r="AD60" s="4">
        <f ca="1">IFERROR(VALUE(_xll.BDH(AD$4,"PX_LAST",$Q60,$Q60)),AD61)</f>
        <v>0</v>
      </c>
      <c r="AF60" s="4">
        <f t="shared" si="17"/>
        <v>1.2670670362385792</v>
      </c>
      <c r="AG60" s="4" t="e">
        <f t="shared" ca="1" si="18"/>
        <v>#DIV/0!</v>
      </c>
      <c r="AH60" s="4" t="e">
        <f t="shared" ca="1" si="19"/>
        <v>#DIV/0!</v>
      </c>
      <c r="AI60" s="4" t="e">
        <f t="shared" ca="1" si="20"/>
        <v>#DIV/0!</v>
      </c>
      <c r="AJ60" s="4" t="e">
        <f t="shared" ca="1" si="21"/>
        <v>#DIV/0!</v>
      </c>
      <c r="AK60" s="4" t="e">
        <f t="shared" ca="1" si="22"/>
        <v>#DIV/0!</v>
      </c>
      <c r="AM60" s="550">
        <f t="shared" ca="1" si="12"/>
        <v>45895</v>
      </c>
      <c r="AN60" s="551">
        <v>224.87</v>
      </c>
      <c r="AO60" s="551">
        <v>5794541</v>
      </c>
      <c r="AP60" s="551">
        <v>597.47560999999996</v>
      </c>
      <c r="AQ60" s="551">
        <v>134354.3404207</v>
      </c>
      <c r="AR60" s="551">
        <v>5.5465999999999998</v>
      </c>
    </row>
    <row r="61" spans="2:44" x14ac:dyDescent="0.3">
      <c r="B61" s="552">
        <f t="shared" ca="1" si="23"/>
        <v>45559</v>
      </c>
      <c r="C61" s="548">
        <f ca="1">(IFERROR(IFERROR(VALUE(_xll.BDH(C$4,"CURRENT_EV_TO_T12M_EBITDA",$B61,$B61)),VALUE(_xll.BDH(C$4,"CURRENT_EV_TO_T12M_EBITDA",$B61+1,$B61+1))),C62))</f>
        <v>0</v>
      </c>
      <c r="D61" s="548">
        <f ca="1">(IFERROR(IFERROR(VALUE(_xll.BDH(D$4,"CURRENT_EV_TO_T12M_EBITDA",$B61,$B61)),VALUE(_xll.BDH(D$4,"CURRENT_EV_TO_T12M_EBITDA",$B61+1,$B61+1))),D62))</f>
        <v>0</v>
      </c>
      <c r="E61" s="548">
        <f ca="1">(IFERROR(IFERROR(VALUE(_xll.BDH(E$4,"CURRENT_EV_TO_T12M_EBITDA",$B61,$B61)),VALUE(_xll.BDH(E$4,"CURRENT_EV_TO_T12M_EBITDA",$B61+1,$B61+1))),E62))</f>
        <v>0</v>
      </c>
      <c r="F61" s="548">
        <f ca="1">(IFERROR(IFERROR(VALUE(_xll.BDH(F$4,"CURRENT_EV_TO_T12M_EBITDA",$B61,$B61)),VALUE(_xll.BDH(F$4,"CURRENT_EV_TO_T12M_EBITDA",$B61+1,$B61+1))),F62))</f>
        <v>0</v>
      </c>
      <c r="G61" s="548">
        <f ca="1">(IFERROR(IFERROR(VALUE(_xll.BDH(G$4,"CURRENT_EV_TO_T12M_EBITDA",$B61,$B61)),VALUE(_xll.BDH(G$4,"CURRENT_EV_TO_T12M_EBITDA",$B61+1,$B61+1))),G62))</f>
        <v>0</v>
      </c>
      <c r="H61" s="548">
        <f ca="1">(IFERROR(IFERROR(VALUE(_xll.BDH(H$4,"CURRENT_EV_TO_T12M_EBITDA",$B61,$B61)),VALUE(_xll.BDH(H$4,"CURRENT_EV_TO_T12M_EBITDA",$B61+1,$B61+1))),H62))</f>
        <v>0</v>
      </c>
      <c r="I61" s="552">
        <f t="shared" ca="1" si="14"/>
        <v>45559</v>
      </c>
      <c r="J61" s="548">
        <f ca="1">(IFERROR(IFERROR(VALUE(_xll.BDH(J$4,"PE_RATIO",$B61,$B61)),VALUE(_xll.BDH(J$4,"PE_RATIO",$B61+1,$B61+1))),J62))</f>
        <v>0</v>
      </c>
      <c r="K61" s="548">
        <f ca="1">(IFERROR(IFERROR(VALUE(_xll.BDH(K$4,"PE_RATIO",$B61,$B61)),VALUE(_xll.BDH(K$4,"PE_RATIO",$B61+1,$B61+1))),K62))</f>
        <v>0</v>
      </c>
      <c r="L61" s="548">
        <f ca="1">(IFERROR(IFERROR(VALUE(_xll.BDH(L$4,"PE_RATIO",$B61,$B61)),VALUE(_xll.BDH(L$4,"PE_RATIO",$B61+1,$B61+1))),L62))</f>
        <v>0</v>
      </c>
      <c r="M61" s="548">
        <f ca="1">(IFERROR(IFERROR(VALUE(_xll.BDH(M$4,"PE_RATIO",$B61,$B61)),VALUE(_xll.BDH(M$4,"PE_RATIO",$B61+1,$B61+1))),M62))</f>
        <v>0</v>
      </c>
      <c r="N61" s="548">
        <f ca="1">(IFERROR(IFERROR(VALUE(_xll.BDH(N$4,"PE_RATIO",$B61,$B61)),VALUE(_xll.BDH(N$4,"PE_RATIO",$B61+1,$B61+1))),N62))</f>
        <v>0</v>
      </c>
      <c r="O61" s="548">
        <f ca="1">(IFERROR(IFERROR(VALUE(_xll.BDH(O$4,"PE_RATIO",$B61,$B61)),VALUE(_xll.BDH(O$4,"PE_RATIO",$B61+1,$B61+1))),O62))</f>
        <v>0</v>
      </c>
      <c r="P61" s="548"/>
      <c r="Q61" s="552">
        <f t="shared" ca="1" si="15"/>
        <v>45559</v>
      </c>
      <c r="R61" s="4">
        <v>244.53</v>
      </c>
      <c r="S61" s="4">
        <v>5554.25</v>
      </c>
      <c r="T61" s="4">
        <v>0</v>
      </c>
      <c r="U61" s="4">
        <v>1.2551586079457961</v>
      </c>
      <c r="V61" s="4">
        <v>1.5490347554955628</v>
      </c>
      <c r="W61" s="4" t="e">
        <v>#DIV/0!</v>
      </c>
      <c r="Y61" s="548">
        <f t="shared" si="16"/>
        <v>244.53</v>
      </c>
      <c r="Z61" s="4">
        <f ca="1">IFERROR(VALUE(_xll.BDH(Z$4,"PX_LAST",$Q61,$Q61)),Z62)</f>
        <v>0</v>
      </c>
      <c r="AA61" s="4">
        <f ca="1">IFERROR(VALUE(_xll.BDH(AA$4,"PX_LAST",$Q61,$Q61)),AA62)</f>
        <v>0</v>
      </c>
      <c r="AB61" s="4">
        <f ca="1">IFERROR(VALUE(_xll.BDH(AB$4,"PX_LAST",$Q61,$Q61)),AB62)</f>
        <v>0</v>
      </c>
      <c r="AC61" s="4">
        <f ca="1">IFERROR(VALUE(_xll.BDH(AC$4,"PX_LAST",$Q61,$Q61)),AC62)</f>
        <v>0</v>
      </c>
      <c r="AD61" s="4">
        <f ca="1">IFERROR(VALUE(_xll.BDH(AD$4,"PX_LAST",$Q61,$Q61)),AD62)</f>
        <v>0</v>
      </c>
      <c r="AF61" s="4">
        <f t="shared" si="17"/>
        <v>1.2551586079457961</v>
      </c>
      <c r="AG61" s="4" t="e">
        <f t="shared" ca="1" si="18"/>
        <v>#DIV/0!</v>
      </c>
      <c r="AH61" s="4" t="e">
        <f t="shared" ca="1" si="19"/>
        <v>#DIV/0!</v>
      </c>
      <c r="AI61" s="4" t="e">
        <f t="shared" ca="1" si="20"/>
        <v>#DIV/0!</v>
      </c>
      <c r="AJ61" s="4" t="e">
        <f t="shared" ca="1" si="21"/>
        <v>#DIV/0!</v>
      </c>
      <c r="AK61" s="4" t="e">
        <f t="shared" ca="1" si="22"/>
        <v>#DIV/0!</v>
      </c>
      <c r="AM61" s="550">
        <f t="shared" ca="1" si="12"/>
        <v>45894</v>
      </c>
      <c r="AN61" s="551">
        <v>227.49</v>
      </c>
      <c r="AO61" s="551">
        <v>5211346</v>
      </c>
      <c r="AP61" s="551">
        <v>597.47560999999996</v>
      </c>
      <c r="AQ61" s="551">
        <v>135919.72651889999</v>
      </c>
      <c r="AR61" s="551">
        <v>5.6112000000000002</v>
      </c>
    </row>
    <row r="62" spans="2:44" x14ac:dyDescent="0.3">
      <c r="B62" s="552">
        <f t="shared" ca="1" si="23"/>
        <v>45552</v>
      </c>
      <c r="C62" s="548">
        <f ca="1">(IFERROR(IFERROR(VALUE(_xll.BDH(C$4,"CURRENT_EV_TO_T12M_EBITDA",$B62,$B62)),VALUE(_xll.BDH(C$4,"CURRENT_EV_TO_T12M_EBITDA",$B62+1,$B62+1))),C63))</f>
        <v>0</v>
      </c>
      <c r="D62" s="548">
        <f ca="1">(IFERROR(IFERROR(VALUE(_xll.BDH(D$4,"CURRENT_EV_TO_T12M_EBITDA",$B62,$B62)),VALUE(_xll.BDH(D$4,"CURRENT_EV_TO_T12M_EBITDA",$B62+1,$B62+1))),D63))</f>
        <v>0</v>
      </c>
      <c r="E62" s="548">
        <f ca="1">(IFERROR(IFERROR(VALUE(_xll.BDH(E$4,"CURRENT_EV_TO_T12M_EBITDA",$B62,$B62)),VALUE(_xll.BDH(E$4,"CURRENT_EV_TO_T12M_EBITDA",$B62+1,$B62+1))),E63))</f>
        <v>0</v>
      </c>
      <c r="F62" s="548">
        <f ca="1">(IFERROR(IFERROR(VALUE(_xll.BDH(F$4,"CURRENT_EV_TO_T12M_EBITDA",$B62,$B62)),VALUE(_xll.BDH(F$4,"CURRENT_EV_TO_T12M_EBITDA",$B62+1,$B62+1))),F63))</f>
        <v>0</v>
      </c>
      <c r="G62" s="548">
        <f ca="1">(IFERROR(IFERROR(VALUE(_xll.BDH(G$4,"CURRENT_EV_TO_T12M_EBITDA",$B62,$B62)),VALUE(_xll.BDH(G$4,"CURRENT_EV_TO_T12M_EBITDA",$B62+1,$B62+1))),G63))</f>
        <v>0</v>
      </c>
      <c r="H62" s="548">
        <f ca="1">(IFERROR(IFERROR(VALUE(_xll.BDH(H$4,"CURRENT_EV_TO_T12M_EBITDA",$B62,$B62)),VALUE(_xll.BDH(H$4,"CURRENT_EV_TO_T12M_EBITDA",$B62+1,$B62+1))),H63))</f>
        <v>0</v>
      </c>
      <c r="I62" s="552">
        <f t="shared" ca="1" si="14"/>
        <v>45552</v>
      </c>
      <c r="J62" s="548">
        <f ca="1">(IFERROR(IFERROR(VALUE(_xll.BDH(J$4,"PE_RATIO",$B62,$B62)),VALUE(_xll.BDH(J$4,"PE_RATIO",$B62+1,$B62+1))),J63))</f>
        <v>0</v>
      </c>
      <c r="K62" s="548">
        <f ca="1">(IFERROR(IFERROR(VALUE(_xll.BDH(K$4,"PE_RATIO",$B62,$B62)),VALUE(_xll.BDH(K$4,"PE_RATIO",$B62+1,$B62+1))),K63))</f>
        <v>0</v>
      </c>
      <c r="L62" s="548">
        <f ca="1">(IFERROR(IFERROR(VALUE(_xll.BDH(L$4,"PE_RATIO",$B62,$B62)),VALUE(_xll.BDH(L$4,"PE_RATIO",$B62+1,$B62+1))),L63))</f>
        <v>0</v>
      </c>
      <c r="M62" s="548">
        <f ca="1">(IFERROR(IFERROR(VALUE(_xll.BDH(M$4,"PE_RATIO",$B62,$B62)),VALUE(_xll.BDH(M$4,"PE_RATIO",$B62+1,$B62+1))),M63))</f>
        <v>0</v>
      </c>
      <c r="N62" s="548">
        <f ca="1">(IFERROR(IFERROR(VALUE(_xll.BDH(N$4,"PE_RATIO",$B62,$B62)),VALUE(_xll.BDH(N$4,"PE_RATIO",$B62+1,$B62+1))),N63))</f>
        <v>0</v>
      </c>
      <c r="O62" s="548">
        <f ca="1">(IFERROR(IFERROR(VALUE(_xll.BDH(O$4,"PE_RATIO",$B62,$B62)),VALUE(_xll.BDH(O$4,"PE_RATIO",$B62+1,$B62+1))),O63))</f>
        <v>0</v>
      </c>
      <c r="P62" s="548"/>
      <c r="Q62" s="552">
        <f t="shared" ca="1" si="15"/>
        <v>45552</v>
      </c>
      <c r="R62" s="4">
        <v>237.52</v>
      </c>
      <c r="S62" s="4">
        <v>5344.16</v>
      </c>
      <c r="T62" s="4">
        <v>0</v>
      </c>
      <c r="U62" s="4">
        <v>1.2191766759059646</v>
      </c>
      <c r="V62" s="4">
        <v>1.4904423781661191</v>
      </c>
      <c r="W62" s="4" t="e">
        <v>#DIV/0!</v>
      </c>
      <c r="Y62" s="548">
        <f t="shared" si="16"/>
        <v>237.52</v>
      </c>
      <c r="Z62" s="4">
        <f ca="1">IFERROR(VALUE(_xll.BDH(Z$4,"PX_LAST",$Q62,$Q62)),Z63)</f>
        <v>0</v>
      </c>
      <c r="AA62" s="4">
        <f ca="1">IFERROR(VALUE(_xll.BDH(AA$4,"PX_LAST",$Q62,$Q62)),AA63)</f>
        <v>0</v>
      </c>
      <c r="AB62" s="4">
        <f ca="1">IFERROR(VALUE(_xll.BDH(AB$4,"PX_LAST",$Q62,$Q62)),AB63)</f>
        <v>0</v>
      </c>
      <c r="AC62" s="4">
        <f ca="1">IFERROR(VALUE(_xll.BDH(AC$4,"PX_LAST",$Q62,$Q62)),AC63)</f>
        <v>0</v>
      </c>
      <c r="AD62" s="4">
        <f ca="1">IFERROR(VALUE(_xll.BDH(AD$4,"PX_LAST",$Q62,$Q62)),AD63)</f>
        <v>0</v>
      </c>
      <c r="AF62" s="4">
        <f t="shared" si="17"/>
        <v>1.2191766759059646</v>
      </c>
      <c r="AG62" s="4" t="e">
        <f t="shared" ca="1" si="18"/>
        <v>#DIV/0!</v>
      </c>
      <c r="AH62" s="4" t="e">
        <f t="shared" ca="1" si="19"/>
        <v>#DIV/0!</v>
      </c>
      <c r="AI62" s="4" t="e">
        <f t="shared" ca="1" si="20"/>
        <v>#DIV/0!</v>
      </c>
      <c r="AJ62" s="4" t="e">
        <f t="shared" ca="1" si="21"/>
        <v>#DIV/0!</v>
      </c>
      <c r="AK62" s="4" t="e">
        <f t="shared" ca="1" si="22"/>
        <v>#DIV/0!</v>
      </c>
      <c r="AM62" s="550">
        <f t="shared" ca="1" si="12"/>
        <v>45893</v>
      </c>
      <c r="AN62" s="551">
        <v>231.18</v>
      </c>
      <c r="AO62" s="551">
        <v>2356517</v>
      </c>
      <c r="AP62" s="551">
        <v>597.47560999999996</v>
      </c>
      <c r="AQ62" s="551">
        <v>138124.41151979999</v>
      </c>
      <c r="AR62" s="551">
        <v>5.7022000000000004</v>
      </c>
    </row>
    <row r="63" spans="2:44" x14ac:dyDescent="0.3">
      <c r="B63" s="552">
        <f t="shared" ca="1" si="23"/>
        <v>45545</v>
      </c>
      <c r="C63" s="548">
        <f ca="1">(IFERROR(IFERROR(VALUE(_xll.BDH(C$4,"CURRENT_EV_TO_T12M_EBITDA",$B63,$B63)),VALUE(_xll.BDH(C$4,"CURRENT_EV_TO_T12M_EBITDA",$B63+1,$B63+1))),C64))</f>
        <v>0</v>
      </c>
      <c r="D63" s="548">
        <f ca="1">(IFERROR(IFERROR(VALUE(_xll.BDH(D$4,"CURRENT_EV_TO_T12M_EBITDA",$B63,$B63)),VALUE(_xll.BDH(D$4,"CURRENT_EV_TO_T12M_EBITDA",$B63+1,$B63+1))),D64))</f>
        <v>0</v>
      </c>
      <c r="E63" s="548">
        <f ca="1">(IFERROR(IFERROR(VALUE(_xll.BDH(E$4,"CURRENT_EV_TO_T12M_EBITDA",$B63,$B63)),VALUE(_xll.BDH(E$4,"CURRENT_EV_TO_T12M_EBITDA",$B63+1,$B63+1))),E64))</f>
        <v>0</v>
      </c>
      <c r="F63" s="548">
        <f ca="1">(IFERROR(IFERROR(VALUE(_xll.BDH(F$4,"CURRENT_EV_TO_T12M_EBITDA",$B63,$B63)),VALUE(_xll.BDH(F$4,"CURRENT_EV_TO_T12M_EBITDA",$B63+1,$B63+1))),F64))</f>
        <v>0</v>
      </c>
      <c r="G63" s="548">
        <f ca="1">(IFERROR(IFERROR(VALUE(_xll.BDH(G$4,"CURRENT_EV_TO_T12M_EBITDA",$B63,$B63)),VALUE(_xll.BDH(G$4,"CURRENT_EV_TO_T12M_EBITDA",$B63+1,$B63+1))),G64))</f>
        <v>0</v>
      </c>
      <c r="H63" s="548">
        <f ca="1">(IFERROR(IFERROR(VALUE(_xll.BDH(H$4,"CURRENT_EV_TO_T12M_EBITDA",$B63,$B63)),VALUE(_xll.BDH(H$4,"CURRENT_EV_TO_T12M_EBITDA",$B63+1,$B63+1))),H64))</f>
        <v>0</v>
      </c>
      <c r="I63" s="552">
        <f t="shared" ca="1" si="14"/>
        <v>45545</v>
      </c>
      <c r="J63" s="548">
        <f ca="1">(IFERROR(IFERROR(VALUE(_xll.BDH(J$4,"PE_RATIO",$B63,$B63)),VALUE(_xll.BDH(J$4,"PE_RATIO",$B63+1,$B63+1))),J64))</f>
        <v>0</v>
      </c>
      <c r="K63" s="548">
        <f ca="1">(IFERROR(IFERROR(VALUE(_xll.BDH(K$4,"PE_RATIO",$B63,$B63)),VALUE(_xll.BDH(K$4,"PE_RATIO",$B63+1,$B63+1))),K64))</f>
        <v>0</v>
      </c>
      <c r="L63" s="548">
        <f ca="1">(IFERROR(IFERROR(VALUE(_xll.BDH(L$4,"PE_RATIO",$B63,$B63)),VALUE(_xll.BDH(L$4,"PE_RATIO",$B63+1,$B63+1))),L64))</f>
        <v>0</v>
      </c>
      <c r="M63" s="548">
        <f ca="1">(IFERROR(IFERROR(VALUE(_xll.BDH(M$4,"PE_RATIO",$B63,$B63)),VALUE(_xll.BDH(M$4,"PE_RATIO",$B63+1,$B63+1))),M64))</f>
        <v>0</v>
      </c>
      <c r="N63" s="548">
        <f ca="1">(IFERROR(IFERROR(VALUE(_xll.BDH(N$4,"PE_RATIO",$B63,$B63)),VALUE(_xll.BDH(N$4,"PE_RATIO",$B63+1,$B63+1))),N64))</f>
        <v>0</v>
      </c>
      <c r="O63" s="548">
        <f ca="1">(IFERROR(IFERROR(VALUE(_xll.BDH(O$4,"PE_RATIO",$B63,$B63)),VALUE(_xll.BDH(O$4,"PE_RATIO",$B63+1,$B63+1))),O64))</f>
        <v>0</v>
      </c>
      <c r="P63" s="548"/>
      <c r="Q63" s="552">
        <f t="shared" ca="1" si="15"/>
        <v>45545</v>
      </c>
      <c r="R63" s="4">
        <v>239.97</v>
      </c>
      <c r="S63" s="4">
        <v>5346.56</v>
      </c>
      <c r="T63" s="4">
        <v>0</v>
      </c>
      <c r="U63" s="4">
        <v>1.2317523868186018</v>
      </c>
      <c r="V63" s="4">
        <v>1.4911117184754661</v>
      </c>
      <c r="W63" s="4" t="e">
        <v>#DIV/0!</v>
      </c>
      <c r="Y63" s="548">
        <f t="shared" si="16"/>
        <v>239.97</v>
      </c>
      <c r="Z63" s="4">
        <f ca="1">IFERROR(VALUE(_xll.BDH(Z$4,"PX_LAST",$Q63,$Q63)),Z64)</f>
        <v>0</v>
      </c>
      <c r="AA63" s="4">
        <f ca="1">IFERROR(VALUE(_xll.BDH(AA$4,"PX_LAST",$Q63,$Q63)),AA64)</f>
        <v>0</v>
      </c>
      <c r="AB63" s="4">
        <f ca="1">IFERROR(VALUE(_xll.BDH(AB$4,"PX_LAST",$Q63,$Q63)),AB64)</f>
        <v>0</v>
      </c>
      <c r="AC63" s="4">
        <f ca="1">IFERROR(VALUE(_xll.BDH(AC$4,"PX_LAST",$Q63,$Q63)),AC64)</f>
        <v>0</v>
      </c>
      <c r="AD63" s="4">
        <f ca="1">IFERROR(VALUE(_xll.BDH(AD$4,"PX_LAST",$Q63,$Q63)),AD64)</f>
        <v>0</v>
      </c>
      <c r="AF63" s="4">
        <f t="shared" si="17"/>
        <v>1.2317523868186018</v>
      </c>
      <c r="AG63" s="4" t="e">
        <f t="shared" ca="1" si="18"/>
        <v>#DIV/0!</v>
      </c>
      <c r="AH63" s="4" t="e">
        <f t="shared" ca="1" si="19"/>
        <v>#DIV/0!</v>
      </c>
      <c r="AI63" s="4" t="e">
        <f t="shared" ca="1" si="20"/>
        <v>#DIV/0!</v>
      </c>
      <c r="AJ63" s="4" t="e">
        <f t="shared" ca="1" si="21"/>
        <v>#DIV/0!</v>
      </c>
      <c r="AK63" s="4" t="e">
        <f t="shared" ca="1" si="22"/>
        <v>#DIV/0!</v>
      </c>
      <c r="AM63" s="550">
        <f t="shared" ca="1" si="12"/>
        <v>45892</v>
      </c>
      <c r="AN63" s="551">
        <v>231.14</v>
      </c>
      <c r="AO63" s="551">
        <v>2419461</v>
      </c>
      <c r="AP63" s="551">
        <v>597.47560999999996</v>
      </c>
      <c r="AQ63" s="551">
        <v>138100.51249539998</v>
      </c>
      <c r="AR63" s="551">
        <v>5.7012</v>
      </c>
    </row>
    <row r="64" spans="2:44" x14ac:dyDescent="0.3">
      <c r="B64" s="552">
        <f t="shared" ca="1" si="23"/>
        <v>45538</v>
      </c>
      <c r="C64" s="548">
        <f ca="1">(IFERROR(IFERROR(VALUE(_xll.BDH(C$4,"CURRENT_EV_TO_T12M_EBITDA",$B64,$B64)),VALUE(_xll.BDH(C$4,"CURRENT_EV_TO_T12M_EBITDA",$B64+1,$B64+1))),C65))</f>
        <v>0</v>
      </c>
      <c r="D64" s="548">
        <f ca="1">(IFERROR(IFERROR(VALUE(_xll.BDH(D$4,"CURRENT_EV_TO_T12M_EBITDA",$B64,$B64)),VALUE(_xll.BDH(D$4,"CURRENT_EV_TO_T12M_EBITDA",$B64+1,$B64+1))),D65))</f>
        <v>0</v>
      </c>
      <c r="E64" s="548">
        <f ca="1">(IFERROR(IFERROR(VALUE(_xll.BDH(E$4,"CURRENT_EV_TO_T12M_EBITDA",$B64,$B64)),VALUE(_xll.BDH(E$4,"CURRENT_EV_TO_T12M_EBITDA",$B64+1,$B64+1))),E65))</f>
        <v>0</v>
      </c>
      <c r="F64" s="548">
        <f ca="1">(IFERROR(IFERROR(VALUE(_xll.BDH(F$4,"CURRENT_EV_TO_T12M_EBITDA",$B64,$B64)),VALUE(_xll.BDH(F$4,"CURRENT_EV_TO_T12M_EBITDA",$B64+1,$B64+1))),F65))</f>
        <v>0</v>
      </c>
      <c r="G64" s="548">
        <f ca="1">(IFERROR(IFERROR(VALUE(_xll.BDH(G$4,"CURRENT_EV_TO_T12M_EBITDA",$B64,$B64)),VALUE(_xll.BDH(G$4,"CURRENT_EV_TO_T12M_EBITDA",$B64+1,$B64+1))),G65))</f>
        <v>0</v>
      </c>
      <c r="H64" s="548">
        <f ca="1">(IFERROR(IFERROR(VALUE(_xll.BDH(H$4,"CURRENT_EV_TO_T12M_EBITDA",$B64,$B64)),VALUE(_xll.BDH(H$4,"CURRENT_EV_TO_T12M_EBITDA",$B64+1,$B64+1))),H65))</f>
        <v>0</v>
      </c>
      <c r="I64" s="552">
        <f t="shared" ca="1" si="14"/>
        <v>45538</v>
      </c>
      <c r="J64" s="548">
        <f ca="1">(IFERROR(IFERROR(VALUE(_xll.BDH(J$4,"PE_RATIO",$B64,$B64)),VALUE(_xll.BDH(J$4,"PE_RATIO",$B64+1,$B64+1))),J65))</f>
        <v>0</v>
      </c>
      <c r="K64" s="548">
        <f ca="1">(IFERROR(IFERROR(VALUE(_xll.BDH(K$4,"PE_RATIO",$B64,$B64)),VALUE(_xll.BDH(K$4,"PE_RATIO",$B64+1,$B64+1))),K65))</f>
        <v>0</v>
      </c>
      <c r="L64" s="548">
        <f ca="1">(IFERROR(IFERROR(VALUE(_xll.BDH(L$4,"PE_RATIO",$B64,$B64)),VALUE(_xll.BDH(L$4,"PE_RATIO",$B64+1,$B64+1))),L65))</f>
        <v>0</v>
      </c>
      <c r="M64" s="548">
        <f ca="1">(IFERROR(IFERROR(VALUE(_xll.BDH(M$4,"PE_RATIO",$B64,$B64)),VALUE(_xll.BDH(M$4,"PE_RATIO",$B64+1,$B64+1))),M65))</f>
        <v>0</v>
      </c>
      <c r="N64" s="548">
        <f ca="1">(IFERROR(IFERROR(VALUE(_xll.BDH(N$4,"PE_RATIO",$B64,$B64)),VALUE(_xll.BDH(N$4,"PE_RATIO",$B64+1,$B64+1))),N65))</f>
        <v>0</v>
      </c>
      <c r="O64" s="548">
        <f ca="1">(IFERROR(IFERROR(VALUE(_xll.BDH(O$4,"PE_RATIO",$B64,$B64)),VALUE(_xll.BDH(O$4,"PE_RATIO",$B64+1,$B64+1))),O65))</f>
        <v>0</v>
      </c>
      <c r="P64" s="548"/>
      <c r="Q64" s="552">
        <f t="shared" ca="1" si="15"/>
        <v>45538</v>
      </c>
      <c r="R64" s="4">
        <v>240.36</v>
      </c>
      <c r="S64" s="4">
        <v>5459.1</v>
      </c>
      <c r="T64" s="4">
        <v>0</v>
      </c>
      <c r="U64" s="4">
        <v>1.2337542346781645</v>
      </c>
      <c r="V64" s="4">
        <v>1.5224982011479187</v>
      </c>
      <c r="W64" s="4" t="e">
        <v>#DIV/0!</v>
      </c>
      <c r="Y64" s="548">
        <f t="shared" si="16"/>
        <v>240.36</v>
      </c>
      <c r="Z64" s="4">
        <f ca="1">IFERROR(VALUE(_xll.BDH(Z$4,"PX_LAST",$Q64,$Q64)),Z65)</f>
        <v>0</v>
      </c>
      <c r="AA64" s="4">
        <f ca="1">IFERROR(VALUE(_xll.BDH(AA$4,"PX_LAST",$Q64,$Q64)),AA65)</f>
        <v>0</v>
      </c>
      <c r="AB64" s="4">
        <f ca="1">IFERROR(VALUE(_xll.BDH(AB$4,"PX_LAST",$Q64,$Q64)),AB65)</f>
        <v>0</v>
      </c>
      <c r="AC64" s="4">
        <f ca="1">IFERROR(VALUE(_xll.BDH(AC$4,"PX_LAST",$Q64,$Q64)),AC65)</f>
        <v>0</v>
      </c>
      <c r="AD64" s="4">
        <f ca="1">IFERROR(VALUE(_xll.BDH(AD$4,"PX_LAST",$Q64,$Q64)),AD65)</f>
        <v>0</v>
      </c>
      <c r="AF64" s="4">
        <f t="shared" si="17"/>
        <v>1.2337542346781645</v>
      </c>
      <c r="AG64" s="4" t="e">
        <f t="shared" ca="1" si="18"/>
        <v>#DIV/0!</v>
      </c>
      <c r="AH64" s="4" t="e">
        <f t="shared" ca="1" si="19"/>
        <v>#DIV/0!</v>
      </c>
      <c r="AI64" s="4" t="e">
        <f t="shared" ca="1" si="20"/>
        <v>#DIV/0!</v>
      </c>
      <c r="AJ64" s="4" t="e">
        <f t="shared" ca="1" si="21"/>
        <v>#DIV/0!</v>
      </c>
      <c r="AK64" s="4" t="e">
        <f t="shared" ca="1" si="22"/>
        <v>#DIV/0!</v>
      </c>
      <c r="AM64" s="550">
        <f t="shared" ca="1" si="12"/>
        <v>45891</v>
      </c>
      <c r="AN64" s="551">
        <v>233.31</v>
      </c>
      <c r="AO64" s="551">
        <v>1973508</v>
      </c>
      <c r="AP64" s="551">
        <v>597.47560999999996</v>
      </c>
      <c r="AQ64" s="551">
        <v>139397.03456909998</v>
      </c>
      <c r="AR64" s="551">
        <v>5.7546999999999997</v>
      </c>
    </row>
    <row r="65" spans="2:44" x14ac:dyDescent="0.3">
      <c r="B65" s="552">
        <f t="shared" ca="1" si="23"/>
        <v>45531</v>
      </c>
      <c r="C65" s="548">
        <f ca="1">(IFERROR(IFERROR(VALUE(_xll.BDH(C$4,"CURRENT_EV_TO_T12M_EBITDA",$B65,$B65)),VALUE(_xll.BDH(C$4,"CURRENT_EV_TO_T12M_EBITDA",$B65+1,$B65+1))),C66))</f>
        <v>0</v>
      </c>
      <c r="D65" s="548">
        <f ca="1">(IFERROR(IFERROR(VALUE(_xll.BDH(D$4,"CURRENT_EV_TO_T12M_EBITDA",$B65,$B65)),VALUE(_xll.BDH(D$4,"CURRENT_EV_TO_T12M_EBITDA",$B65+1,$B65+1))),D66))</f>
        <v>0</v>
      </c>
      <c r="E65" s="548">
        <f ca="1">(IFERROR(IFERROR(VALUE(_xll.BDH(E$4,"CURRENT_EV_TO_T12M_EBITDA",$B65,$B65)),VALUE(_xll.BDH(E$4,"CURRENT_EV_TO_T12M_EBITDA",$B65+1,$B65+1))),E66))</f>
        <v>0</v>
      </c>
      <c r="F65" s="548">
        <f ca="1">(IFERROR(IFERROR(VALUE(_xll.BDH(F$4,"CURRENT_EV_TO_T12M_EBITDA",$B65,$B65)),VALUE(_xll.BDH(F$4,"CURRENT_EV_TO_T12M_EBITDA",$B65+1,$B65+1))),F66))</f>
        <v>0</v>
      </c>
      <c r="G65" s="548">
        <f ca="1">(IFERROR(IFERROR(VALUE(_xll.BDH(G$4,"CURRENT_EV_TO_T12M_EBITDA",$B65,$B65)),VALUE(_xll.BDH(G$4,"CURRENT_EV_TO_T12M_EBITDA",$B65+1,$B65+1))),G66))</f>
        <v>0</v>
      </c>
      <c r="H65" s="548">
        <f ca="1">(IFERROR(IFERROR(VALUE(_xll.BDH(H$4,"CURRENT_EV_TO_T12M_EBITDA",$B65,$B65)),VALUE(_xll.BDH(H$4,"CURRENT_EV_TO_T12M_EBITDA",$B65+1,$B65+1))),H66))</f>
        <v>0</v>
      </c>
      <c r="I65" s="552">
        <f t="shared" ca="1" si="14"/>
        <v>45531</v>
      </c>
      <c r="J65" s="548">
        <f ca="1">(IFERROR(IFERROR(VALUE(_xll.BDH(J$4,"PE_RATIO",$B65,$B65)),VALUE(_xll.BDH(J$4,"PE_RATIO",$B65+1,$B65+1))),J66))</f>
        <v>0</v>
      </c>
      <c r="K65" s="548">
        <f ca="1">(IFERROR(IFERROR(VALUE(_xll.BDH(K$4,"PE_RATIO",$B65,$B65)),VALUE(_xll.BDH(K$4,"PE_RATIO",$B65+1,$B65+1))),K66))</f>
        <v>0</v>
      </c>
      <c r="L65" s="548">
        <f ca="1">(IFERROR(IFERROR(VALUE(_xll.BDH(L$4,"PE_RATIO",$B65,$B65)),VALUE(_xll.BDH(L$4,"PE_RATIO",$B65+1,$B65+1))),L66))</f>
        <v>0</v>
      </c>
      <c r="M65" s="548">
        <f ca="1">(IFERROR(IFERROR(VALUE(_xll.BDH(M$4,"PE_RATIO",$B65,$B65)),VALUE(_xll.BDH(M$4,"PE_RATIO",$B65+1,$B65+1))),M66))</f>
        <v>0</v>
      </c>
      <c r="N65" s="548">
        <f ca="1">(IFERROR(IFERROR(VALUE(_xll.BDH(N$4,"PE_RATIO",$B65,$B65)),VALUE(_xll.BDH(N$4,"PE_RATIO",$B65+1,$B65+1))),N66))</f>
        <v>0</v>
      </c>
      <c r="O65" s="548">
        <f ca="1">(IFERROR(IFERROR(VALUE(_xll.BDH(O$4,"PE_RATIO",$B65,$B65)),VALUE(_xll.BDH(O$4,"PE_RATIO",$B65+1,$B65+1))),O66))</f>
        <v>0</v>
      </c>
      <c r="P65" s="548"/>
      <c r="Q65" s="552">
        <f t="shared" ca="1" si="15"/>
        <v>45531</v>
      </c>
      <c r="R65" s="4">
        <v>242.32</v>
      </c>
      <c r="S65" s="4">
        <v>5505</v>
      </c>
      <c r="T65" s="4">
        <v>0</v>
      </c>
      <c r="U65" s="4">
        <v>1.2438148034082743</v>
      </c>
      <c r="V65" s="4">
        <v>1.5352993345641759</v>
      </c>
      <c r="W65" s="4" t="e">
        <v>#DIV/0!</v>
      </c>
      <c r="Y65" s="548">
        <f t="shared" si="16"/>
        <v>242.32</v>
      </c>
      <c r="Z65" s="4">
        <f ca="1">IFERROR(VALUE(_xll.BDH(Z$4,"PX_LAST",$Q65,$Q65)),Z66)</f>
        <v>0</v>
      </c>
      <c r="AA65" s="4">
        <f ca="1">IFERROR(VALUE(_xll.BDH(AA$4,"PX_LAST",$Q65,$Q65)),AA66)</f>
        <v>0</v>
      </c>
      <c r="AB65" s="4">
        <f ca="1">IFERROR(VALUE(_xll.BDH(AB$4,"PX_LAST",$Q65,$Q65)),AB66)</f>
        <v>0</v>
      </c>
      <c r="AC65" s="4">
        <f ca="1">IFERROR(VALUE(_xll.BDH(AC$4,"PX_LAST",$Q65,$Q65)),AC66)</f>
        <v>0</v>
      </c>
      <c r="AD65" s="4">
        <f ca="1">IFERROR(VALUE(_xll.BDH(AD$4,"PX_LAST",$Q65,$Q65)),AD66)</f>
        <v>0</v>
      </c>
      <c r="AF65" s="4">
        <f t="shared" si="17"/>
        <v>1.2438148034082743</v>
      </c>
      <c r="AG65" s="4" t="e">
        <f t="shared" ca="1" si="18"/>
        <v>#DIV/0!</v>
      </c>
      <c r="AH65" s="4" t="e">
        <f t="shared" ca="1" si="19"/>
        <v>#DIV/0!</v>
      </c>
      <c r="AI65" s="4" t="e">
        <f t="shared" ca="1" si="20"/>
        <v>#DIV/0!</v>
      </c>
      <c r="AJ65" s="4" t="e">
        <f t="shared" ca="1" si="21"/>
        <v>#DIV/0!</v>
      </c>
      <c r="AK65" s="4" t="e">
        <f t="shared" ca="1" si="22"/>
        <v>#DIV/0!</v>
      </c>
      <c r="AM65" s="550">
        <f t="shared" ca="1" si="12"/>
        <v>45890</v>
      </c>
      <c r="AN65" s="551">
        <v>235.1</v>
      </c>
      <c r="AO65" s="551">
        <v>3211740</v>
      </c>
      <c r="AP65" s="551">
        <v>597.47560999999996</v>
      </c>
      <c r="AQ65" s="551">
        <v>140466.51591099999</v>
      </c>
      <c r="AR65" s="551">
        <v>5.7988999999999997</v>
      </c>
    </row>
    <row r="66" spans="2:44" x14ac:dyDescent="0.3">
      <c r="B66" s="552">
        <f t="shared" ca="1" si="23"/>
        <v>45524</v>
      </c>
      <c r="C66" s="548">
        <f ca="1">(IFERROR(IFERROR(VALUE(_xll.BDH(C$4,"CURRENT_EV_TO_T12M_EBITDA",$B66,$B66)),VALUE(_xll.BDH(C$4,"CURRENT_EV_TO_T12M_EBITDA",$B66+1,$B66+1))),C67))</f>
        <v>0</v>
      </c>
      <c r="D66" s="548">
        <f ca="1">(IFERROR(IFERROR(VALUE(_xll.BDH(D$4,"CURRENT_EV_TO_T12M_EBITDA",$B66,$B66)),VALUE(_xll.BDH(D$4,"CURRENT_EV_TO_T12M_EBITDA",$B66+1,$B66+1))),D67))</f>
        <v>0</v>
      </c>
      <c r="E66" s="548">
        <f ca="1">(IFERROR(IFERROR(VALUE(_xll.BDH(E$4,"CURRENT_EV_TO_T12M_EBITDA",$B66,$B66)),VALUE(_xll.BDH(E$4,"CURRENT_EV_TO_T12M_EBITDA",$B66+1,$B66+1))),E67))</f>
        <v>0</v>
      </c>
      <c r="F66" s="548">
        <f ca="1">(IFERROR(IFERROR(VALUE(_xll.BDH(F$4,"CURRENT_EV_TO_T12M_EBITDA",$B66,$B66)),VALUE(_xll.BDH(F$4,"CURRENT_EV_TO_T12M_EBITDA",$B66+1,$B66+1))),F67))</f>
        <v>0</v>
      </c>
      <c r="G66" s="548">
        <f ca="1">(IFERROR(IFERROR(VALUE(_xll.BDH(G$4,"CURRENT_EV_TO_T12M_EBITDA",$B66,$B66)),VALUE(_xll.BDH(G$4,"CURRENT_EV_TO_T12M_EBITDA",$B66+1,$B66+1))),G67))</f>
        <v>0</v>
      </c>
      <c r="H66" s="548">
        <f ca="1">(IFERROR(IFERROR(VALUE(_xll.BDH(H$4,"CURRENT_EV_TO_T12M_EBITDA",$B66,$B66)),VALUE(_xll.BDH(H$4,"CURRENT_EV_TO_T12M_EBITDA",$B66+1,$B66+1))),H67))</f>
        <v>0</v>
      </c>
      <c r="I66" s="552">
        <f t="shared" ca="1" si="14"/>
        <v>45524</v>
      </c>
      <c r="J66" s="548">
        <f ca="1">(IFERROR(IFERROR(VALUE(_xll.BDH(J$4,"PE_RATIO",$B66,$B66)),VALUE(_xll.BDH(J$4,"PE_RATIO",$B66+1,$B66+1))),J67))</f>
        <v>0</v>
      </c>
      <c r="K66" s="548">
        <f ca="1">(IFERROR(IFERROR(VALUE(_xll.BDH(K$4,"PE_RATIO",$B66,$B66)),VALUE(_xll.BDH(K$4,"PE_RATIO",$B66+1,$B66+1))),K67))</f>
        <v>0</v>
      </c>
      <c r="L66" s="548">
        <f ca="1">(IFERROR(IFERROR(VALUE(_xll.BDH(L$4,"PE_RATIO",$B66,$B66)),VALUE(_xll.BDH(L$4,"PE_RATIO",$B66+1,$B66+1))),L67))</f>
        <v>0</v>
      </c>
      <c r="M66" s="548">
        <f ca="1">(IFERROR(IFERROR(VALUE(_xll.BDH(M$4,"PE_RATIO",$B66,$B66)),VALUE(_xll.BDH(M$4,"PE_RATIO",$B66+1,$B66+1))),M67))</f>
        <v>0</v>
      </c>
      <c r="N66" s="548">
        <f ca="1">(IFERROR(IFERROR(VALUE(_xll.BDH(N$4,"PE_RATIO",$B66,$B66)),VALUE(_xll.BDH(N$4,"PE_RATIO",$B66+1,$B66+1))),N67))</f>
        <v>0</v>
      </c>
      <c r="O66" s="548">
        <f ca="1">(IFERROR(IFERROR(VALUE(_xll.BDH(O$4,"PE_RATIO",$B66,$B66)),VALUE(_xll.BDH(O$4,"PE_RATIO",$B66+1,$B66+1))),O67))</f>
        <v>0</v>
      </c>
      <c r="P66" s="548"/>
      <c r="Q66" s="552">
        <f t="shared" ca="1" si="15"/>
        <v>45524</v>
      </c>
      <c r="R66" s="4">
        <v>230.22</v>
      </c>
      <c r="S66" s="4">
        <v>5615.35</v>
      </c>
      <c r="T66" s="4">
        <v>0</v>
      </c>
      <c r="U66" s="4">
        <v>1.1817061903295349</v>
      </c>
      <c r="V66" s="4">
        <v>1.5660750442043498</v>
      </c>
      <c r="W66" s="4" t="e">
        <v>#DIV/0!</v>
      </c>
      <c r="Y66" s="548">
        <f t="shared" si="16"/>
        <v>230.22</v>
      </c>
      <c r="Z66" s="4">
        <f ca="1">IFERROR(VALUE(_xll.BDH(Z$4,"PX_LAST",$Q66,$Q66)),Z67)</f>
        <v>0</v>
      </c>
      <c r="AA66" s="4">
        <f ca="1">IFERROR(VALUE(_xll.BDH(AA$4,"PX_LAST",$Q66,$Q66)),AA67)</f>
        <v>0</v>
      </c>
      <c r="AB66" s="4">
        <f ca="1">IFERROR(VALUE(_xll.BDH(AB$4,"PX_LAST",$Q66,$Q66)),AB67)</f>
        <v>0</v>
      </c>
      <c r="AC66" s="4">
        <f ca="1">IFERROR(VALUE(_xll.BDH(AC$4,"PX_LAST",$Q66,$Q66)),AC67)</f>
        <v>0</v>
      </c>
      <c r="AD66" s="4">
        <f ca="1">IFERROR(VALUE(_xll.BDH(AD$4,"PX_LAST",$Q66,$Q66)),AD67)</f>
        <v>0</v>
      </c>
      <c r="AF66" s="4">
        <f t="shared" si="17"/>
        <v>1.1817061903295349</v>
      </c>
      <c r="AG66" s="4" t="e">
        <f t="shared" ca="1" si="18"/>
        <v>#DIV/0!</v>
      </c>
      <c r="AH66" s="4" t="e">
        <f t="shared" ca="1" si="19"/>
        <v>#DIV/0!</v>
      </c>
      <c r="AI66" s="4" t="e">
        <f t="shared" ca="1" si="20"/>
        <v>#DIV/0!</v>
      </c>
      <c r="AJ66" s="4" t="e">
        <f t="shared" ca="1" si="21"/>
        <v>#DIV/0!</v>
      </c>
      <c r="AK66" s="4" t="e">
        <f t="shared" ca="1" si="22"/>
        <v>#DIV/0!</v>
      </c>
      <c r="AM66" s="550">
        <f t="shared" ca="1" si="12"/>
        <v>45889</v>
      </c>
      <c r="AN66" s="551">
        <v>235.1</v>
      </c>
      <c r="AO66" s="551">
        <v>3211740</v>
      </c>
      <c r="AP66" s="551">
        <v>597.47560999999996</v>
      </c>
      <c r="AQ66" s="551">
        <v>140466.51591099999</v>
      </c>
      <c r="AR66" s="551">
        <v>5.7988999999999997</v>
      </c>
    </row>
    <row r="67" spans="2:44" x14ac:dyDescent="0.3">
      <c r="B67" s="552">
        <f t="shared" ca="1" si="23"/>
        <v>45517</v>
      </c>
      <c r="C67" s="548">
        <f ca="1">(IFERROR(IFERROR(VALUE(_xll.BDH(C$4,"CURRENT_EV_TO_T12M_EBITDA",$B67,$B67)),VALUE(_xll.BDH(C$4,"CURRENT_EV_TO_T12M_EBITDA",$B67+1,$B67+1))),C68))</f>
        <v>0</v>
      </c>
      <c r="D67" s="548">
        <f ca="1">(IFERROR(IFERROR(VALUE(_xll.BDH(D$4,"CURRENT_EV_TO_T12M_EBITDA",$B67,$B67)),VALUE(_xll.BDH(D$4,"CURRENT_EV_TO_T12M_EBITDA",$B67+1,$B67+1))),D68))</f>
        <v>0</v>
      </c>
      <c r="E67" s="548">
        <f ca="1">(IFERROR(IFERROR(VALUE(_xll.BDH(E$4,"CURRENT_EV_TO_T12M_EBITDA",$B67,$B67)),VALUE(_xll.BDH(E$4,"CURRENT_EV_TO_T12M_EBITDA",$B67+1,$B67+1))),E68))</f>
        <v>0</v>
      </c>
      <c r="F67" s="548">
        <f ca="1">(IFERROR(IFERROR(VALUE(_xll.BDH(F$4,"CURRENT_EV_TO_T12M_EBITDA",$B67,$B67)),VALUE(_xll.BDH(F$4,"CURRENT_EV_TO_T12M_EBITDA",$B67+1,$B67+1))),F68))</f>
        <v>0</v>
      </c>
      <c r="G67" s="548">
        <f ca="1">(IFERROR(IFERROR(VALUE(_xll.BDH(G$4,"CURRENT_EV_TO_T12M_EBITDA",$B67,$B67)),VALUE(_xll.BDH(G$4,"CURRENT_EV_TO_T12M_EBITDA",$B67+1,$B67+1))),G68))</f>
        <v>0</v>
      </c>
      <c r="H67" s="548">
        <f ca="1">(IFERROR(IFERROR(VALUE(_xll.BDH(H$4,"CURRENT_EV_TO_T12M_EBITDA",$B67,$B67)),VALUE(_xll.BDH(H$4,"CURRENT_EV_TO_T12M_EBITDA",$B67+1,$B67+1))),H68))</f>
        <v>0</v>
      </c>
      <c r="I67" s="552">
        <f t="shared" ca="1" si="14"/>
        <v>45517</v>
      </c>
      <c r="J67" s="548">
        <f ca="1">(IFERROR(IFERROR(VALUE(_xll.BDH(J$4,"PE_RATIO",$B67,$B67)),VALUE(_xll.BDH(J$4,"PE_RATIO",$B67+1,$B67+1))),J68))</f>
        <v>0</v>
      </c>
      <c r="K67" s="548">
        <f ca="1">(IFERROR(IFERROR(VALUE(_xll.BDH(K$4,"PE_RATIO",$B67,$B67)),VALUE(_xll.BDH(K$4,"PE_RATIO",$B67+1,$B67+1))),K68))</f>
        <v>0</v>
      </c>
      <c r="L67" s="548">
        <f ca="1">(IFERROR(IFERROR(VALUE(_xll.BDH(L$4,"PE_RATIO",$B67,$B67)),VALUE(_xll.BDH(L$4,"PE_RATIO",$B67+1,$B67+1))),L68))</f>
        <v>0</v>
      </c>
      <c r="M67" s="548">
        <f ca="1">(IFERROR(IFERROR(VALUE(_xll.BDH(M$4,"PE_RATIO",$B67,$B67)),VALUE(_xll.BDH(M$4,"PE_RATIO",$B67+1,$B67+1))),M68))</f>
        <v>0</v>
      </c>
      <c r="N67" s="548">
        <f ca="1">(IFERROR(IFERROR(VALUE(_xll.BDH(N$4,"PE_RATIO",$B67,$B67)),VALUE(_xll.BDH(N$4,"PE_RATIO",$B67+1,$B67+1))),N68))</f>
        <v>0</v>
      </c>
      <c r="O67" s="548">
        <f ca="1">(IFERROR(IFERROR(VALUE(_xll.BDH(O$4,"PE_RATIO",$B67,$B67)),VALUE(_xll.BDH(O$4,"PE_RATIO",$B67+1,$B67+1))),O68))</f>
        <v>0</v>
      </c>
      <c r="P67" s="548"/>
      <c r="Q67" s="552">
        <f t="shared" ca="1" si="15"/>
        <v>45517</v>
      </c>
      <c r="R67" s="4">
        <v>225.17</v>
      </c>
      <c r="S67" s="4">
        <v>5567.19</v>
      </c>
      <c r="T67" s="4">
        <v>0</v>
      </c>
      <c r="U67" s="4">
        <v>1.1557848270198132</v>
      </c>
      <c r="V67" s="4">
        <v>1.5526436153301242</v>
      </c>
      <c r="W67" s="4" t="e">
        <v>#DIV/0!</v>
      </c>
      <c r="Y67" s="548">
        <f t="shared" si="16"/>
        <v>225.17</v>
      </c>
      <c r="Z67" s="4">
        <f ca="1">IFERROR(VALUE(_xll.BDH(Z$4,"PX_LAST",$Q67,$Q67)),Z68)</f>
        <v>0</v>
      </c>
      <c r="AA67" s="4">
        <f ca="1">IFERROR(VALUE(_xll.BDH(AA$4,"PX_LAST",$Q67,$Q67)),AA68)</f>
        <v>0</v>
      </c>
      <c r="AB67" s="4">
        <f ca="1">IFERROR(VALUE(_xll.BDH(AB$4,"PX_LAST",$Q67,$Q67)),AB68)</f>
        <v>0</v>
      </c>
      <c r="AC67" s="4">
        <f ca="1">IFERROR(VALUE(_xll.BDH(AC$4,"PX_LAST",$Q67,$Q67)),AC68)</f>
        <v>0</v>
      </c>
      <c r="AD67" s="4">
        <f ca="1">IFERROR(VALUE(_xll.BDH(AD$4,"PX_LAST",$Q67,$Q67)),AD68)</f>
        <v>0</v>
      </c>
      <c r="AF67" s="4">
        <f t="shared" si="17"/>
        <v>1.1557848270198132</v>
      </c>
      <c r="AG67" s="4" t="e">
        <f t="shared" ca="1" si="18"/>
        <v>#DIV/0!</v>
      </c>
      <c r="AH67" s="4" t="e">
        <f t="shared" ca="1" si="19"/>
        <v>#DIV/0!</v>
      </c>
      <c r="AI67" s="4" t="e">
        <f t="shared" ca="1" si="20"/>
        <v>#DIV/0!</v>
      </c>
      <c r="AJ67" s="4" t="e">
        <f t="shared" ca="1" si="21"/>
        <v>#DIV/0!</v>
      </c>
      <c r="AK67" s="4" t="e">
        <f t="shared" ca="1" si="22"/>
        <v>#DIV/0!</v>
      </c>
      <c r="AM67" s="550">
        <f t="shared" ca="1" si="12"/>
        <v>45888</v>
      </c>
      <c r="AN67" s="551">
        <v>235.1</v>
      </c>
      <c r="AO67" s="551">
        <v>3211740</v>
      </c>
      <c r="AP67" s="551">
        <v>597.47560999999996</v>
      </c>
      <c r="AQ67" s="551">
        <v>140466.51591099999</v>
      </c>
      <c r="AR67" s="551">
        <v>5.7988999999999997</v>
      </c>
    </row>
    <row r="68" spans="2:44" x14ac:dyDescent="0.3">
      <c r="B68" s="552">
        <f t="shared" ca="1" si="23"/>
        <v>45510</v>
      </c>
      <c r="C68" s="548">
        <f ca="1">(IFERROR(IFERROR(VALUE(_xll.BDH(C$4,"CURRENT_EV_TO_T12M_EBITDA",$B68,$B68)),VALUE(_xll.BDH(C$4,"CURRENT_EV_TO_T12M_EBITDA",$B68+1,$B68+1))),C69))</f>
        <v>0</v>
      </c>
      <c r="D68" s="548">
        <f ca="1">(IFERROR(IFERROR(VALUE(_xll.BDH(D$4,"CURRENT_EV_TO_T12M_EBITDA",$B68,$B68)),VALUE(_xll.BDH(D$4,"CURRENT_EV_TO_T12M_EBITDA",$B68+1,$B68+1))),D69))</f>
        <v>0</v>
      </c>
      <c r="E68" s="548">
        <f ca="1">(IFERROR(IFERROR(VALUE(_xll.BDH(E$4,"CURRENT_EV_TO_T12M_EBITDA",$B68,$B68)),VALUE(_xll.BDH(E$4,"CURRENT_EV_TO_T12M_EBITDA",$B68+1,$B68+1))),E69))</f>
        <v>0</v>
      </c>
      <c r="F68" s="548">
        <f ca="1">(IFERROR(IFERROR(VALUE(_xll.BDH(F$4,"CURRENT_EV_TO_T12M_EBITDA",$B68,$B68)),VALUE(_xll.BDH(F$4,"CURRENT_EV_TO_T12M_EBITDA",$B68+1,$B68+1))),F69))</f>
        <v>0</v>
      </c>
      <c r="G68" s="548">
        <f ca="1">(IFERROR(IFERROR(VALUE(_xll.BDH(G$4,"CURRENT_EV_TO_T12M_EBITDA",$B68,$B68)),VALUE(_xll.BDH(G$4,"CURRENT_EV_TO_T12M_EBITDA",$B68+1,$B68+1))),G69))</f>
        <v>0</v>
      </c>
      <c r="H68" s="548">
        <f ca="1">(IFERROR(IFERROR(VALUE(_xll.BDH(H$4,"CURRENT_EV_TO_T12M_EBITDA",$B68,$B68)),VALUE(_xll.BDH(H$4,"CURRENT_EV_TO_T12M_EBITDA",$B68+1,$B68+1))),H69))</f>
        <v>0</v>
      </c>
      <c r="I68" s="552">
        <f t="shared" ca="1" si="14"/>
        <v>45510</v>
      </c>
      <c r="J68" s="548">
        <f ca="1">(IFERROR(IFERROR(VALUE(_xll.BDH(J$4,"PE_RATIO",$B68,$B68)),VALUE(_xll.BDH(J$4,"PE_RATIO",$B68+1,$B68+1))),J69))</f>
        <v>0</v>
      </c>
      <c r="K68" s="548">
        <f ca="1">(IFERROR(IFERROR(VALUE(_xll.BDH(K$4,"PE_RATIO",$B68,$B68)),VALUE(_xll.BDH(K$4,"PE_RATIO",$B68+1,$B68+1))),K69))</f>
        <v>0</v>
      </c>
      <c r="L68" s="548">
        <f ca="1">(IFERROR(IFERROR(VALUE(_xll.BDH(L$4,"PE_RATIO",$B68,$B68)),VALUE(_xll.BDH(L$4,"PE_RATIO",$B68+1,$B68+1))),L69))</f>
        <v>0</v>
      </c>
      <c r="M68" s="548">
        <f ca="1">(IFERROR(IFERROR(VALUE(_xll.BDH(M$4,"PE_RATIO",$B68,$B68)),VALUE(_xll.BDH(M$4,"PE_RATIO",$B68+1,$B68+1))),M69))</f>
        <v>0</v>
      </c>
      <c r="N68" s="548">
        <f ca="1">(IFERROR(IFERROR(VALUE(_xll.BDH(N$4,"PE_RATIO",$B68,$B68)),VALUE(_xll.BDH(N$4,"PE_RATIO",$B68+1,$B68+1))),N69))</f>
        <v>0</v>
      </c>
      <c r="O68" s="548">
        <f ca="1">(IFERROR(IFERROR(VALUE(_xll.BDH(O$4,"PE_RATIO",$B68,$B68)),VALUE(_xll.BDH(O$4,"PE_RATIO",$B68+1,$B68+1))),O69))</f>
        <v>0</v>
      </c>
      <c r="P68" s="548"/>
      <c r="Q68" s="552">
        <f t="shared" ca="1" si="15"/>
        <v>45510</v>
      </c>
      <c r="R68" s="4">
        <v>226.26</v>
      </c>
      <c r="S68" s="4">
        <v>5460.48</v>
      </c>
      <c r="T68" s="4">
        <v>0</v>
      </c>
      <c r="U68" s="4">
        <v>1.1613797351401294</v>
      </c>
      <c r="V68" s="4">
        <v>1.5228830718257929</v>
      </c>
      <c r="W68" s="4" t="e">
        <v>#DIV/0!</v>
      </c>
      <c r="Y68" s="548">
        <f t="shared" si="16"/>
        <v>226.26</v>
      </c>
      <c r="Z68" s="4">
        <f ca="1">IFERROR(VALUE(_xll.BDH(Z$4,"PX_LAST",$Q68,$Q68)),Z69)</f>
        <v>0</v>
      </c>
      <c r="AA68" s="4">
        <f ca="1">IFERROR(VALUE(_xll.BDH(AA$4,"PX_LAST",$Q68,$Q68)),AA69)</f>
        <v>0</v>
      </c>
      <c r="AB68" s="4">
        <f ca="1">IFERROR(VALUE(_xll.BDH(AB$4,"PX_LAST",$Q68,$Q68)),AB69)</f>
        <v>0</v>
      </c>
      <c r="AC68" s="4">
        <f ca="1">IFERROR(VALUE(_xll.BDH(AC$4,"PX_LAST",$Q68,$Q68)),AC69)</f>
        <v>0</v>
      </c>
      <c r="AD68" s="4">
        <f ca="1">IFERROR(VALUE(_xll.BDH(AD$4,"PX_LAST",$Q68,$Q68)),AD69)</f>
        <v>0</v>
      </c>
      <c r="AF68" s="4">
        <f t="shared" si="17"/>
        <v>1.1613797351401294</v>
      </c>
      <c r="AG68" s="4" t="e">
        <f t="shared" ca="1" si="18"/>
        <v>#DIV/0!</v>
      </c>
      <c r="AH68" s="4" t="e">
        <f t="shared" ca="1" si="19"/>
        <v>#DIV/0!</v>
      </c>
      <c r="AI68" s="4" t="e">
        <f t="shared" ca="1" si="20"/>
        <v>#DIV/0!</v>
      </c>
      <c r="AJ68" s="4" t="e">
        <f t="shared" ca="1" si="21"/>
        <v>#DIV/0!</v>
      </c>
      <c r="AK68" s="4" t="e">
        <f t="shared" ca="1" si="22"/>
        <v>#DIV/0!</v>
      </c>
      <c r="AM68" s="550">
        <f t="shared" ca="1" si="12"/>
        <v>45887</v>
      </c>
      <c r="AN68" s="551">
        <v>237</v>
      </c>
      <c r="AO68" s="551">
        <v>2630096</v>
      </c>
      <c r="AP68" s="551">
        <v>597.47560999999996</v>
      </c>
      <c r="AQ68" s="551">
        <v>141601.71956999999</v>
      </c>
      <c r="AR68" s="551">
        <v>5.8457999999999997</v>
      </c>
    </row>
    <row r="69" spans="2:44" x14ac:dyDescent="0.3">
      <c r="B69" s="552">
        <f t="shared" ca="1" si="23"/>
        <v>45503</v>
      </c>
      <c r="C69" s="548">
        <f ca="1">(IFERROR(IFERROR(VALUE(_xll.BDH(C$4,"CURRENT_EV_TO_T12M_EBITDA",$B69,$B69)),VALUE(_xll.BDH(C$4,"CURRENT_EV_TO_T12M_EBITDA",$B69+1,$B69+1))),C70))</f>
        <v>0</v>
      </c>
      <c r="D69" s="548">
        <f ca="1">(IFERROR(IFERROR(VALUE(_xll.BDH(D$4,"CURRENT_EV_TO_T12M_EBITDA",$B69,$B69)),VALUE(_xll.BDH(D$4,"CURRENT_EV_TO_T12M_EBITDA",$B69+1,$B69+1))),D70))</f>
        <v>0</v>
      </c>
      <c r="E69" s="548">
        <f ca="1">(IFERROR(IFERROR(VALUE(_xll.BDH(E$4,"CURRENT_EV_TO_T12M_EBITDA",$B69,$B69)),VALUE(_xll.BDH(E$4,"CURRENT_EV_TO_T12M_EBITDA",$B69+1,$B69+1))),E70))</f>
        <v>0</v>
      </c>
      <c r="F69" s="548">
        <f ca="1">(IFERROR(IFERROR(VALUE(_xll.BDH(F$4,"CURRENT_EV_TO_T12M_EBITDA",$B69,$B69)),VALUE(_xll.BDH(F$4,"CURRENT_EV_TO_T12M_EBITDA",$B69+1,$B69+1))),F70))</f>
        <v>0</v>
      </c>
      <c r="G69" s="548">
        <f ca="1">(IFERROR(IFERROR(VALUE(_xll.BDH(G$4,"CURRENT_EV_TO_T12M_EBITDA",$B69,$B69)),VALUE(_xll.BDH(G$4,"CURRENT_EV_TO_T12M_EBITDA",$B69+1,$B69+1))),G70))</f>
        <v>0</v>
      </c>
      <c r="H69" s="548">
        <f ca="1">(IFERROR(IFERROR(VALUE(_xll.BDH(H$4,"CURRENT_EV_TO_T12M_EBITDA",$B69,$B69)),VALUE(_xll.BDH(H$4,"CURRENT_EV_TO_T12M_EBITDA",$B69+1,$B69+1))),H70))</f>
        <v>0</v>
      </c>
      <c r="I69" s="552">
        <f t="shared" ref="I69:I100" ca="1" si="24">+B69</f>
        <v>45503</v>
      </c>
      <c r="J69" s="548">
        <f ca="1">(IFERROR(IFERROR(VALUE(_xll.BDH(J$4,"PE_RATIO",$B69,$B69)),VALUE(_xll.BDH(J$4,"PE_RATIO",$B69+1,$B69+1))),J70))</f>
        <v>0</v>
      </c>
      <c r="K69" s="548">
        <f ca="1">(IFERROR(IFERROR(VALUE(_xll.BDH(K$4,"PE_RATIO",$B69,$B69)),VALUE(_xll.BDH(K$4,"PE_RATIO",$B69+1,$B69+1))),K70))</f>
        <v>0</v>
      </c>
      <c r="L69" s="548">
        <f ca="1">(IFERROR(IFERROR(VALUE(_xll.BDH(L$4,"PE_RATIO",$B69,$B69)),VALUE(_xll.BDH(L$4,"PE_RATIO",$B69+1,$B69+1))),L70))</f>
        <v>0</v>
      </c>
      <c r="M69" s="548">
        <f ca="1">(IFERROR(IFERROR(VALUE(_xll.BDH(M$4,"PE_RATIO",$B69,$B69)),VALUE(_xll.BDH(M$4,"PE_RATIO",$B69+1,$B69+1))),M70))</f>
        <v>0</v>
      </c>
      <c r="N69" s="548">
        <f ca="1">(IFERROR(IFERROR(VALUE(_xll.BDH(N$4,"PE_RATIO",$B69,$B69)),VALUE(_xll.BDH(N$4,"PE_RATIO",$B69+1,$B69+1))),N70))</f>
        <v>0</v>
      </c>
      <c r="O69" s="548">
        <f ca="1">(IFERROR(IFERROR(VALUE(_xll.BDH(O$4,"PE_RATIO",$B69,$B69)),VALUE(_xll.BDH(O$4,"PE_RATIO",$B69+1,$B69+1))),O70))</f>
        <v>0</v>
      </c>
      <c r="P69" s="548"/>
      <c r="Q69" s="552">
        <f t="shared" ref="Q69:Q100" ca="1" si="25">+I69</f>
        <v>45503</v>
      </c>
      <c r="R69" s="4">
        <v>226.11</v>
      </c>
      <c r="S69" s="4">
        <v>5464.62</v>
      </c>
      <c r="T69" s="4">
        <v>0</v>
      </c>
      <c r="U69" s="4">
        <v>1.1606097936556823</v>
      </c>
      <c r="V69" s="4">
        <v>1.5240376838594163</v>
      </c>
      <c r="W69" s="4" t="e">
        <v>#DIV/0!</v>
      </c>
      <c r="Y69" s="548">
        <f t="shared" ref="Y69:Y100" si="26">+R69</f>
        <v>226.11</v>
      </c>
      <c r="Z69" s="4">
        <f ca="1">IFERROR(VALUE(_xll.BDH(Z$4,"PX_LAST",$Q69,$Q69)),Z70)</f>
        <v>0</v>
      </c>
      <c r="AA69" s="4">
        <f ca="1">IFERROR(VALUE(_xll.BDH(AA$4,"PX_LAST",$Q69,$Q69)),AA70)</f>
        <v>0</v>
      </c>
      <c r="AB69" s="4">
        <f ca="1">IFERROR(VALUE(_xll.BDH(AB$4,"PX_LAST",$Q69,$Q69)),AB70)</f>
        <v>0</v>
      </c>
      <c r="AC69" s="4">
        <f ca="1">IFERROR(VALUE(_xll.BDH(AC$4,"PX_LAST",$Q69,$Q69)),AC70)</f>
        <v>0</v>
      </c>
      <c r="AD69" s="4">
        <f ca="1">IFERROR(VALUE(_xll.BDH(AD$4,"PX_LAST",$Q69,$Q69)),AD70)</f>
        <v>0</v>
      </c>
      <c r="AF69" s="4">
        <f t="shared" ref="AF69:AF100" si="27">+Y69/Y$159</f>
        <v>1.1606097936556823</v>
      </c>
      <c r="AG69" s="4" t="e">
        <f t="shared" ref="AG69:AG100" ca="1" si="28">+Z69/Z$159</f>
        <v>#DIV/0!</v>
      </c>
      <c r="AH69" s="4" t="e">
        <f t="shared" ref="AH69:AH100" ca="1" si="29">+AA69/AA$159</f>
        <v>#DIV/0!</v>
      </c>
      <c r="AI69" s="4" t="e">
        <f t="shared" ref="AI69:AI100" ca="1" si="30">+AB69/AB$159</f>
        <v>#DIV/0!</v>
      </c>
      <c r="AJ69" s="4" t="e">
        <f t="shared" ref="AJ69:AJ100" ca="1" si="31">+AC69/AC$159</f>
        <v>#DIV/0!</v>
      </c>
      <c r="AK69" s="4" t="e">
        <f t="shared" ref="AK69:AK100" ca="1" si="32">+AD69/AD$159</f>
        <v>#DIV/0!</v>
      </c>
      <c r="AM69" s="550">
        <f t="shared" ref="AM69:AM132" ca="1" si="33">AM68-1</f>
        <v>45886</v>
      </c>
      <c r="AN69" s="551">
        <v>236.49</v>
      </c>
      <c r="AO69" s="551">
        <v>2432793</v>
      </c>
      <c r="AP69" s="551">
        <v>597.47560999999996</v>
      </c>
      <c r="AQ69" s="551">
        <v>141297.00700889999</v>
      </c>
      <c r="AR69" s="551">
        <v>5.8331999999999997</v>
      </c>
    </row>
    <row r="70" spans="2:44" x14ac:dyDescent="0.3">
      <c r="B70" s="552">
        <f t="shared" ref="B70:B101" ca="1" si="34">+B69-7</f>
        <v>45496</v>
      </c>
      <c r="C70" s="548">
        <f ca="1">(IFERROR(IFERROR(VALUE(_xll.BDH(C$4,"CURRENT_EV_TO_T12M_EBITDA",$B70,$B70)),VALUE(_xll.BDH(C$4,"CURRENT_EV_TO_T12M_EBITDA",$B70+1,$B70+1))),C71))</f>
        <v>0</v>
      </c>
      <c r="D70" s="548">
        <f ca="1">(IFERROR(IFERROR(VALUE(_xll.BDH(D$4,"CURRENT_EV_TO_T12M_EBITDA",$B70,$B70)),VALUE(_xll.BDH(D$4,"CURRENT_EV_TO_T12M_EBITDA",$B70+1,$B70+1))),D71))</f>
        <v>0</v>
      </c>
      <c r="E70" s="548">
        <f ca="1">(IFERROR(IFERROR(VALUE(_xll.BDH(E$4,"CURRENT_EV_TO_T12M_EBITDA",$B70,$B70)),VALUE(_xll.BDH(E$4,"CURRENT_EV_TO_T12M_EBITDA",$B70+1,$B70+1))),E71))</f>
        <v>0</v>
      </c>
      <c r="F70" s="548">
        <f ca="1">(IFERROR(IFERROR(VALUE(_xll.BDH(F$4,"CURRENT_EV_TO_T12M_EBITDA",$B70,$B70)),VALUE(_xll.BDH(F$4,"CURRENT_EV_TO_T12M_EBITDA",$B70+1,$B70+1))),F71))</f>
        <v>0</v>
      </c>
      <c r="G70" s="548">
        <f ca="1">(IFERROR(IFERROR(VALUE(_xll.BDH(G$4,"CURRENT_EV_TO_T12M_EBITDA",$B70,$B70)),VALUE(_xll.BDH(G$4,"CURRENT_EV_TO_T12M_EBITDA",$B70+1,$B70+1))),G71))</f>
        <v>0</v>
      </c>
      <c r="H70" s="548">
        <f ca="1">(IFERROR(IFERROR(VALUE(_xll.BDH(H$4,"CURRENT_EV_TO_T12M_EBITDA",$B70,$B70)),VALUE(_xll.BDH(H$4,"CURRENT_EV_TO_T12M_EBITDA",$B70+1,$B70+1))),H71))</f>
        <v>0</v>
      </c>
      <c r="I70" s="552">
        <f t="shared" ca="1" si="24"/>
        <v>45496</v>
      </c>
      <c r="J70" s="548">
        <f ca="1">(IFERROR(IFERROR(VALUE(_xll.BDH(J$4,"PE_RATIO",$B70,$B70)),VALUE(_xll.BDH(J$4,"PE_RATIO",$B70+1,$B70+1))),J71))</f>
        <v>0</v>
      </c>
      <c r="K70" s="548">
        <f ca="1">(IFERROR(IFERROR(VALUE(_xll.BDH(K$4,"PE_RATIO",$B70,$B70)),VALUE(_xll.BDH(K$4,"PE_RATIO",$B70+1,$B70+1))),K71))</f>
        <v>0</v>
      </c>
      <c r="L70" s="548">
        <f ca="1">(IFERROR(IFERROR(VALUE(_xll.BDH(L$4,"PE_RATIO",$B70,$B70)),VALUE(_xll.BDH(L$4,"PE_RATIO",$B70+1,$B70+1))),L71))</f>
        <v>0</v>
      </c>
      <c r="M70" s="548">
        <f ca="1">(IFERROR(IFERROR(VALUE(_xll.BDH(M$4,"PE_RATIO",$B70,$B70)),VALUE(_xll.BDH(M$4,"PE_RATIO",$B70+1,$B70+1))),M71))</f>
        <v>0</v>
      </c>
      <c r="N70" s="548">
        <f ca="1">(IFERROR(IFERROR(VALUE(_xll.BDH(N$4,"PE_RATIO",$B70,$B70)),VALUE(_xll.BDH(N$4,"PE_RATIO",$B70+1,$B70+1))),N71))</f>
        <v>0</v>
      </c>
      <c r="O70" s="548">
        <f ca="1">(IFERROR(IFERROR(VALUE(_xll.BDH(O$4,"PE_RATIO",$B70,$B70)),VALUE(_xll.BDH(O$4,"PE_RATIO",$B70+1,$B70+1))),O71))</f>
        <v>0</v>
      </c>
      <c r="P70" s="548"/>
      <c r="Q70" s="552">
        <f t="shared" ca="1" si="25"/>
        <v>45496</v>
      </c>
      <c r="R70" s="4">
        <v>222.1</v>
      </c>
      <c r="S70" s="4">
        <v>5431.6</v>
      </c>
      <c r="T70" s="4">
        <v>0</v>
      </c>
      <c r="U70" s="4">
        <v>1.1400266913047943</v>
      </c>
      <c r="V70" s="4">
        <v>1.514828676769987</v>
      </c>
      <c r="W70" s="4" t="e">
        <v>#DIV/0!</v>
      </c>
      <c r="Y70" s="548">
        <f t="shared" si="26"/>
        <v>222.1</v>
      </c>
      <c r="Z70" s="4">
        <f ca="1">IFERROR(VALUE(_xll.BDH(Z$4,"PX_LAST",$Q70,$Q70)),Z71)</f>
        <v>0</v>
      </c>
      <c r="AA70" s="4">
        <f ca="1">IFERROR(VALUE(_xll.BDH(AA$4,"PX_LAST",$Q70,$Q70)),AA71)</f>
        <v>0</v>
      </c>
      <c r="AB70" s="4">
        <f ca="1">IFERROR(VALUE(_xll.BDH(AB$4,"PX_LAST",$Q70,$Q70)),AB71)</f>
        <v>0</v>
      </c>
      <c r="AC70" s="4">
        <f ca="1">IFERROR(VALUE(_xll.BDH(AC$4,"PX_LAST",$Q70,$Q70)),AC71)</f>
        <v>0</v>
      </c>
      <c r="AD70" s="4">
        <f ca="1">IFERROR(VALUE(_xll.BDH(AD$4,"PX_LAST",$Q70,$Q70)),AD71)</f>
        <v>0</v>
      </c>
      <c r="AF70" s="4">
        <f t="shared" si="27"/>
        <v>1.1400266913047943</v>
      </c>
      <c r="AG70" s="4" t="e">
        <f t="shared" ca="1" si="28"/>
        <v>#DIV/0!</v>
      </c>
      <c r="AH70" s="4" t="e">
        <f t="shared" ca="1" si="29"/>
        <v>#DIV/0!</v>
      </c>
      <c r="AI70" s="4" t="e">
        <f t="shared" ca="1" si="30"/>
        <v>#DIV/0!</v>
      </c>
      <c r="AJ70" s="4" t="e">
        <f t="shared" ca="1" si="31"/>
        <v>#DIV/0!</v>
      </c>
      <c r="AK70" s="4" t="e">
        <f t="shared" ca="1" si="32"/>
        <v>#DIV/0!</v>
      </c>
      <c r="AM70" s="550">
        <f t="shared" ca="1" si="33"/>
        <v>45885</v>
      </c>
      <c r="AN70" s="551">
        <v>236.54</v>
      </c>
      <c r="AO70" s="551">
        <v>2574398</v>
      </c>
      <c r="AP70" s="551">
        <v>597.47560999999996</v>
      </c>
      <c r="AQ70" s="551">
        <v>141326.88078939999</v>
      </c>
      <c r="AR70" s="551">
        <v>5.8343999999999996</v>
      </c>
    </row>
    <row r="71" spans="2:44" x14ac:dyDescent="0.3">
      <c r="B71" s="552">
        <f t="shared" ca="1" si="34"/>
        <v>45489</v>
      </c>
      <c r="C71" s="548">
        <f ca="1">(IFERROR(IFERROR(VALUE(_xll.BDH(C$4,"CURRENT_EV_TO_T12M_EBITDA",$B71,$B71)),VALUE(_xll.BDH(C$4,"CURRENT_EV_TO_T12M_EBITDA",$B71+1,$B71+1))),C72))</f>
        <v>0</v>
      </c>
      <c r="D71" s="548">
        <f ca="1">(IFERROR(IFERROR(VALUE(_xll.BDH(D$4,"CURRENT_EV_TO_T12M_EBITDA",$B71,$B71)),VALUE(_xll.BDH(D$4,"CURRENT_EV_TO_T12M_EBITDA",$B71+1,$B71+1))),D72))</f>
        <v>0</v>
      </c>
      <c r="E71" s="548">
        <f ca="1">(IFERROR(IFERROR(VALUE(_xll.BDH(E$4,"CURRENT_EV_TO_T12M_EBITDA",$B71,$B71)),VALUE(_xll.BDH(E$4,"CURRENT_EV_TO_T12M_EBITDA",$B71+1,$B71+1))),E72))</f>
        <v>0</v>
      </c>
      <c r="F71" s="548">
        <f ca="1">(IFERROR(IFERROR(VALUE(_xll.BDH(F$4,"CURRENT_EV_TO_T12M_EBITDA",$B71,$B71)),VALUE(_xll.BDH(F$4,"CURRENT_EV_TO_T12M_EBITDA",$B71+1,$B71+1))),F72))</f>
        <v>0</v>
      </c>
      <c r="G71" s="548">
        <f ca="1">(IFERROR(IFERROR(VALUE(_xll.BDH(G$4,"CURRENT_EV_TO_T12M_EBITDA",$B71,$B71)),VALUE(_xll.BDH(G$4,"CURRENT_EV_TO_T12M_EBITDA",$B71+1,$B71+1))),G72))</f>
        <v>0</v>
      </c>
      <c r="H71" s="548">
        <f ca="1">(IFERROR(IFERROR(VALUE(_xll.BDH(H$4,"CURRENT_EV_TO_T12M_EBITDA",$B71,$B71)),VALUE(_xll.BDH(H$4,"CURRENT_EV_TO_T12M_EBITDA",$B71+1,$B71+1))),H72))</f>
        <v>0</v>
      </c>
      <c r="I71" s="552">
        <f t="shared" ca="1" si="24"/>
        <v>45489</v>
      </c>
      <c r="J71" s="548">
        <f ca="1">(IFERROR(IFERROR(VALUE(_xll.BDH(J$4,"PE_RATIO",$B71,$B71)),VALUE(_xll.BDH(J$4,"PE_RATIO",$B71+1,$B71+1))),J72))</f>
        <v>0</v>
      </c>
      <c r="K71" s="548">
        <f ca="1">(IFERROR(IFERROR(VALUE(_xll.BDH(K$4,"PE_RATIO",$B71,$B71)),VALUE(_xll.BDH(K$4,"PE_RATIO",$B71+1,$B71+1))),K72))</f>
        <v>0</v>
      </c>
      <c r="L71" s="548">
        <f ca="1">(IFERROR(IFERROR(VALUE(_xll.BDH(L$4,"PE_RATIO",$B71,$B71)),VALUE(_xll.BDH(L$4,"PE_RATIO",$B71+1,$B71+1))),L72))</f>
        <v>0</v>
      </c>
      <c r="M71" s="548">
        <f ca="1">(IFERROR(IFERROR(VALUE(_xll.BDH(M$4,"PE_RATIO",$B71,$B71)),VALUE(_xll.BDH(M$4,"PE_RATIO",$B71+1,$B71+1))),M72))</f>
        <v>0</v>
      </c>
      <c r="N71" s="548">
        <f ca="1">(IFERROR(IFERROR(VALUE(_xll.BDH(N$4,"PE_RATIO",$B71,$B71)),VALUE(_xll.BDH(N$4,"PE_RATIO",$B71+1,$B71+1))),N72))</f>
        <v>0</v>
      </c>
      <c r="O71" s="548">
        <f ca="1">(IFERROR(IFERROR(VALUE(_xll.BDH(O$4,"PE_RATIO",$B71,$B71)),VALUE(_xll.BDH(O$4,"PE_RATIO",$B71+1,$B71+1))),O72))</f>
        <v>0</v>
      </c>
      <c r="P71" s="548"/>
      <c r="Q71" s="552">
        <f t="shared" ca="1" si="25"/>
        <v>45489</v>
      </c>
      <c r="R71" s="4">
        <v>227.97</v>
      </c>
      <c r="S71" s="4">
        <v>5346.99</v>
      </c>
      <c r="T71" s="4">
        <v>0</v>
      </c>
      <c r="U71" s="4">
        <v>1.1701570680628273</v>
      </c>
      <c r="V71" s="4">
        <v>1.4912316419475571</v>
      </c>
      <c r="W71" s="4" t="e">
        <v>#DIV/0!</v>
      </c>
      <c r="Y71" s="548">
        <f t="shared" si="26"/>
        <v>227.97</v>
      </c>
      <c r="Z71" s="4">
        <f ca="1">IFERROR(VALUE(_xll.BDH(Z$4,"PX_LAST",$Q71,$Q71)),Z72)</f>
        <v>0</v>
      </c>
      <c r="AA71" s="4">
        <f ca="1">IFERROR(VALUE(_xll.BDH(AA$4,"PX_LAST",$Q71,$Q71)),AA72)</f>
        <v>0</v>
      </c>
      <c r="AB71" s="4">
        <f ca="1">IFERROR(VALUE(_xll.BDH(AB$4,"PX_LAST",$Q71,$Q71)),AB72)</f>
        <v>0</v>
      </c>
      <c r="AC71" s="4">
        <f ca="1">IFERROR(VALUE(_xll.BDH(AC$4,"PX_LAST",$Q71,$Q71)),AC72)</f>
        <v>0</v>
      </c>
      <c r="AD71" s="4">
        <f ca="1">IFERROR(VALUE(_xll.BDH(AD$4,"PX_LAST",$Q71,$Q71)),AD72)</f>
        <v>0</v>
      </c>
      <c r="AF71" s="4">
        <f t="shared" si="27"/>
        <v>1.1701570680628273</v>
      </c>
      <c r="AG71" s="4" t="e">
        <f t="shared" ca="1" si="28"/>
        <v>#DIV/0!</v>
      </c>
      <c r="AH71" s="4" t="e">
        <f t="shared" ca="1" si="29"/>
        <v>#DIV/0!</v>
      </c>
      <c r="AI71" s="4" t="e">
        <f t="shared" ca="1" si="30"/>
        <v>#DIV/0!</v>
      </c>
      <c r="AJ71" s="4" t="e">
        <f t="shared" ca="1" si="31"/>
        <v>#DIV/0!</v>
      </c>
      <c r="AK71" s="4" t="e">
        <f t="shared" ca="1" si="32"/>
        <v>#DIV/0!</v>
      </c>
      <c r="AM71" s="550">
        <f t="shared" ca="1" si="33"/>
        <v>45884</v>
      </c>
      <c r="AN71" s="551">
        <v>235.35</v>
      </c>
      <c r="AO71" s="551">
        <v>2580926</v>
      </c>
      <c r="AP71" s="551">
        <v>597.47560999999996</v>
      </c>
      <c r="AQ71" s="551">
        <v>140615.88481349999</v>
      </c>
      <c r="AR71" s="551">
        <v>5.8051000000000004</v>
      </c>
    </row>
    <row r="72" spans="2:44" x14ac:dyDescent="0.3">
      <c r="B72" s="552">
        <f t="shared" ca="1" si="34"/>
        <v>45482</v>
      </c>
      <c r="C72" s="548">
        <f ca="1">(IFERROR(IFERROR(VALUE(_xll.BDH(C$4,"CURRENT_EV_TO_T12M_EBITDA",$B72,$B72)),VALUE(_xll.BDH(C$4,"CURRENT_EV_TO_T12M_EBITDA",$B72+1,$B72+1))),C73))</f>
        <v>0</v>
      </c>
      <c r="D72" s="548">
        <f ca="1">(IFERROR(IFERROR(VALUE(_xll.BDH(D$4,"CURRENT_EV_TO_T12M_EBITDA",$B72,$B72)),VALUE(_xll.BDH(D$4,"CURRENT_EV_TO_T12M_EBITDA",$B72+1,$B72+1))),D73))</f>
        <v>0</v>
      </c>
      <c r="E72" s="548">
        <f ca="1">(IFERROR(IFERROR(VALUE(_xll.BDH(E$4,"CURRENT_EV_TO_T12M_EBITDA",$B72,$B72)),VALUE(_xll.BDH(E$4,"CURRENT_EV_TO_T12M_EBITDA",$B72+1,$B72+1))),E73))</f>
        <v>0</v>
      </c>
      <c r="F72" s="548">
        <f ca="1">(IFERROR(IFERROR(VALUE(_xll.BDH(F$4,"CURRENT_EV_TO_T12M_EBITDA",$B72,$B72)),VALUE(_xll.BDH(F$4,"CURRENT_EV_TO_T12M_EBITDA",$B72+1,$B72+1))),F73))</f>
        <v>0</v>
      </c>
      <c r="G72" s="548">
        <f ca="1">(IFERROR(IFERROR(VALUE(_xll.BDH(G$4,"CURRENT_EV_TO_T12M_EBITDA",$B72,$B72)),VALUE(_xll.BDH(G$4,"CURRENT_EV_TO_T12M_EBITDA",$B72+1,$B72+1))),G73))</f>
        <v>0</v>
      </c>
      <c r="H72" s="548">
        <f ca="1">(IFERROR(IFERROR(VALUE(_xll.BDH(H$4,"CURRENT_EV_TO_T12M_EBITDA",$B72,$B72)),VALUE(_xll.BDH(H$4,"CURRENT_EV_TO_T12M_EBITDA",$B72+1,$B72+1))),H73))</f>
        <v>0</v>
      </c>
      <c r="I72" s="552">
        <f t="shared" ca="1" si="24"/>
        <v>45482</v>
      </c>
      <c r="J72" s="548">
        <f ca="1">(IFERROR(IFERROR(VALUE(_xll.BDH(J$4,"PE_RATIO",$B72,$B72)),VALUE(_xll.BDH(J$4,"PE_RATIO",$B72+1,$B72+1))),J73))</f>
        <v>0</v>
      </c>
      <c r="K72" s="548">
        <f ca="1">(IFERROR(IFERROR(VALUE(_xll.BDH(K$4,"PE_RATIO",$B72,$B72)),VALUE(_xll.BDH(K$4,"PE_RATIO",$B72+1,$B72+1))),K73))</f>
        <v>0</v>
      </c>
      <c r="L72" s="548">
        <f ca="1">(IFERROR(IFERROR(VALUE(_xll.BDH(L$4,"PE_RATIO",$B72,$B72)),VALUE(_xll.BDH(L$4,"PE_RATIO",$B72+1,$B72+1))),L73))</f>
        <v>0</v>
      </c>
      <c r="M72" s="548">
        <f ca="1">(IFERROR(IFERROR(VALUE(_xll.BDH(M$4,"PE_RATIO",$B72,$B72)),VALUE(_xll.BDH(M$4,"PE_RATIO",$B72+1,$B72+1))),M73))</f>
        <v>0</v>
      </c>
      <c r="N72" s="548">
        <f ca="1">(IFERROR(IFERROR(VALUE(_xll.BDH(N$4,"PE_RATIO",$B72,$B72)),VALUE(_xll.BDH(N$4,"PE_RATIO",$B72+1,$B72+1))),N73))</f>
        <v>0</v>
      </c>
      <c r="O72" s="548">
        <f ca="1">(IFERROR(IFERROR(VALUE(_xll.BDH(O$4,"PE_RATIO",$B72,$B72)),VALUE(_xll.BDH(O$4,"PE_RATIO",$B72+1,$B72+1))),O73))</f>
        <v>0</v>
      </c>
      <c r="P72" s="548"/>
      <c r="Q72" s="552">
        <f t="shared" ca="1" si="25"/>
        <v>45482</v>
      </c>
      <c r="R72" s="4">
        <v>232.82</v>
      </c>
      <c r="S72" s="4">
        <v>5277.51</v>
      </c>
      <c r="T72" s="4">
        <v>0</v>
      </c>
      <c r="U72" s="4">
        <v>1.1950518427266195</v>
      </c>
      <c r="V72" s="4">
        <v>1.4718542399919681</v>
      </c>
      <c r="W72" s="4" t="e">
        <v>#DIV/0!</v>
      </c>
      <c r="Y72" s="548">
        <f t="shared" si="26"/>
        <v>232.82</v>
      </c>
      <c r="Z72" s="4">
        <f ca="1">IFERROR(VALUE(_xll.BDH(Z$4,"PX_LAST",$Q72,$Q72)),Z73)</f>
        <v>0</v>
      </c>
      <c r="AA72" s="4">
        <f ca="1">IFERROR(VALUE(_xll.BDH(AA$4,"PX_LAST",$Q72,$Q72)),AA73)</f>
        <v>0</v>
      </c>
      <c r="AB72" s="4">
        <f ca="1">IFERROR(VALUE(_xll.BDH(AB$4,"PX_LAST",$Q72,$Q72)),AB73)</f>
        <v>0</v>
      </c>
      <c r="AC72" s="4">
        <f ca="1">IFERROR(VALUE(_xll.BDH(AC$4,"PX_LAST",$Q72,$Q72)),AC73)</f>
        <v>0</v>
      </c>
      <c r="AD72" s="4">
        <f ca="1">IFERROR(VALUE(_xll.BDH(AD$4,"PX_LAST",$Q72,$Q72)),AD73)</f>
        <v>0</v>
      </c>
      <c r="AF72" s="4">
        <f t="shared" si="27"/>
        <v>1.1950518427266195</v>
      </c>
      <c r="AG72" s="4" t="e">
        <f t="shared" ca="1" si="28"/>
        <v>#DIV/0!</v>
      </c>
      <c r="AH72" s="4" t="e">
        <f t="shared" ca="1" si="29"/>
        <v>#DIV/0!</v>
      </c>
      <c r="AI72" s="4" t="e">
        <f t="shared" ca="1" si="30"/>
        <v>#DIV/0!</v>
      </c>
      <c r="AJ72" s="4" t="e">
        <f t="shared" ca="1" si="31"/>
        <v>#DIV/0!</v>
      </c>
      <c r="AK72" s="4" t="e">
        <f t="shared" ca="1" si="32"/>
        <v>#DIV/0!</v>
      </c>
      <c r="AM72" s="550">
        <f t="shared" ca="1" si="33"/>
        <v>45883</v>
      </c>
      <c r="AN72" s="551">
        <v>236.28</v>
      </c>
      <c r="AO72" s="551">
        <v>1327641</v>
      </c>
      <c r="AP72" s="551">
        <v>597.47560999999996</v>
      </c>
      <c r="AQ72" s="551">
        <v>141171.53713079999</v>
      </c>
      <c r="AR72" s="551">
        <v>5.8280000000000003</v>
      </c>
    </row>
    <row r="73" spans="2:44" x14ac:dyDescent="0.3">
      <c r="B73" s="552">
        <f t="shared" ca="1" si="34"/>
        <v>45475</v>
      </c>
      <c r="C73" s="548">
        <f ca="1">(IFERROR(IFERROR(VALUE(_xll.BDH(C$4,"CURRENT_EV_TO_T12M_EBITDA",$B73,$B73)),VALUE(_xll.BDH(C$4,"CURRENT_EV_TO_T12M_EBITDA",$B73+1,$B73+1))),C74))</f>
        <v>0</v>
      </c>
      <c r="D73" s="548">
        <f ca="1">(IFERROR(IFERROR(VALUE(_xll.BDH(D$4,"CURRENT_EV_TO_T12M_EBITDA",$B73,$B73)),VALUE(_xll.BDH(D$4,"CURRENT_EV_TO_T12M_EBITDA",$B73+1,$B73+1))),D74))</f>
        <v>0</v>
      </c>
      <c r="E73" s="548">
        <f ca="1">(IFERROR(IFERROR(VALUE(_xll.BDH(E$4,"CURRENT_EV_TO_T12M_EBITDA",$B73,$B73)),VALUE(_xll.BDH(E$4,"CURRENT_EV_TO_T12M_EBITDA",$B73+1,$B73+1))),E74))</f>
        <v>0</v>
      </c>
      <c r="F73" s="548">
        <f ca="1">(IFERROR(IFERROR(VALUE(_xll.BDH(F$4,"CURRENT_EV_TO_T12M_EBITDA",$B73,$B73)),VALUE(_xll.BDH(F$4,"CURRENT_EV_TO_T12M_EBITDA",$B73+1,$B73+1))),F74))</f>
        <v>0</v>
      </c>
      <c r="G73" s="548">
        <f ca="1">(IFERROR(IFERROR(VALUE(_xll.BDH(G$4,"CURRENT_EV_TO_T12M_EBITDA",$B73,$B73)),VALUE(_xll.BDH(G$4,"CURRENT_EV_TO_T12M_EBITDA",$B73+1,$B73+1))),G74))</f>
        <v>0</v>
      </c>
      <c r="H73" s="548">
        <f ca="1">(IFERROR(IFERROR(VALUE(_xll.BDH(H$4,"CURRENT_EV_TO_T12M_EBITDA",$B73,$B73)),VALUE(_xll.BDH(H$4,"CURRENT_EV_TO_T12M_EBITDA",$B73+1,$B73+1))),H74))</f>
        <v>0</v>
      </c>
      <c r="I73" s="552">
        <f t="shared" ca="1" si="24"/>
        <v>45475</v>
      </c>
      <c r="J73" s="548">
        <f ca="1">(IFERROR(IFERROR(VALUE(_xll.BDH(J$4,"PE_RATIO",$B73,$B73)),VALUE(_xll.BDH(J$4,"PE_RATIO",$B73+1,$B73+1))),J74))</f>
        <v>0</v>
      </c>
      <c r="K73" s="548">
        <f ca="1">(IFERROR(IFERROR(VALUE(_xll.BDH(K$4,"PE_RATIO",$B73,$B73)),VALUE(_xll.BDH(K$4,"PE_RATIO",$B73+1,$B73+1))),K74))</f>
        <v>0</v>
      </c>
      <c r="L73" s="548">
        <f ca="1">(IFERROR(IFERROR(VALUE(_xll.BDH(L$4,"PE_RATIO",$B73,$B73)),VALUE(_xll.BDH(L$4,"PE_RATIO",$B73+1,$B73+1))),L74))</f>
        <v>0</v>
      </c>
      <c r="M73" s="548">
        <f ca="1">(IFERROR(IFERROR(VALUE(_xll.BDH(M$4,"PE_RATIO",$B73,$B73)),VALUE(_xll.BDH(M$4,"PE_RATIO",$B73+1,$B73+1))),M74))</f>
        <v>0</v>
      </c>
      <c r="N73" s="548">
        <f ca="1">(IFERROR(IFERROR(VALUE(_xll.BDH(N$4,"PE_RATIO",$B73,$B73)),VALUE(_xll.BDH(N$4,"PE_RATIO",$B73+1,$B73+1))),N74))</f>
        <v>0</v>
      </c>
      <c r="O73" s="548">
        <f ca="1">(IFERROR(IFERROR(VALUE(_xll.BDH(O$4,"PE_RATIO",$B73,$B73)),VALUE(_xll.BDH(O$4,"PE_RATIO",$B73+1,$B73+1))),O74))</f>
        <v>0</v>
      </c>
      <c r="P73" s="548"/>
      <c r="Q73" s="552">
        <f t="shared" ca="1" si="25"/>
        <v>45475</v>
      </c>
      <c r="R73" s="4">
        <v>232.05</v>
      </c>
      <c r="S73" s="4">
        <v>5304.72</v>
      </c>
      <c r="T73" s="4">
        <v>0</v>
      </c>
      <c r="U73" s="4">
        <v>1.1910994764397906</v>
      </c>
      <c r="V73" s="4">
        <v>1.4794428857491873</v>
      </c>
      <c r="W73" s="4" t="e">
        <v>#DIV/0!</v>
      </c>
      <c r="Y73" s="548">
        <f t="shared" si="26"/>
        <v>232.05</v>
      </c>
      <c r="Z73" s="4">
        <f ca="1">IFERROR(VALUE(_xll.BDH(Z$4,"PX_LAST",$Q73,$Q73)),Z74)</f>
        <v>0</v>
      </c>
      <c r="AA73" s="4">
        <f ca="1">IFERROR(VALUE(_xll.BDH(AA$4,"PX_LAST",$Q73,$Q73)),AA74)</f>
        <v>0</v>
      </c>
      <c r="AB73" s="4">
        <f ca="1">IFERROR(VALUE(_xll.BDH(AB$4,"PX_LAST",$Q73,$Q73)),AB74)</f>
        <v>0</v>
      </c>
      <c r="AC73" s="4">
        <f ca="1">IFERROR(VALUE(_xll.BDH(AC$4,"PX_LAST",$Q73,$Q73)),AC74)</f>
        <v>0</v>
      </c>
      <c r="AD73" s="4">
        <f ca="1">IFERROR(VALUE(_xll.BDH(AD$4,"PX_LAST",$Q73,$Q73)),AD74)</f>
        <v>0</v>
      </c>
      <c r="AF73" s="4">
        <f t="shared" si="27"/>
        <v>1.1910994764397906</v>
      </c>
      <c r="AG73" s="4" t="e">
        <f t="shared" ca="1" si="28"/>
        <v>#DIV/0!</v>
      </c>
      <c r="AH73" s="4" t="e">
        <f t="shared" ca="1" si="29"/>
        <v>#DIV/0!</v>
      </c>
      <c r="AI73" s="4" t="e">
        <f t="shared" ca="1" si="30"/>
        <v>#DIV/0!</v>
      </c>
      <c r="AJ73" s="4" t="e">
        <f t="shared" ca="1" si="31"/>
        <v>#DIV/0!</v>
      </c>
      <c r="AK73" s="4" t="e">
        <f t="shared" ca="1" si="32"/>
        <v>#DIV/0!</v>
      </c>
      <c r="AM73" s="550">
        <f t="shared" ca="1" si="33"/>
        <v>45882</v>
      </c>
      <c r="AN73" s="551">
        <v>236.28</v>
      </c>
      <c r="AO73" s="551">
        <v>1327641</v>
      </c>
      <c r="AP73" s="551">
        <v>597.47560999999996</v>
      </c>
      <c r="AQ73" s="551">
        <v>141171.53713079999</v>
      </c>
      <c r="AR73" s="551">
        <v>5.8280000000000003</v>
      </c>
    </row>
    <row r="74" spans="2:44" x14ac:dyDescent="0.3">
      <c r="B74" s="552">
        <f t="shared" ca="1" si="34"/>
        <v>45468</v>
      </c>
      <c r="C74" s="548">
        <f ca="1">(IFERROR(IFERROR(VALUE(_xll.BDH(C$4,"CURRENT_EV_TO_T12M_EBITDA",$B74,$B74)),VALUE(_xll.BDH(C$4,"CURRENT_EV_TO_T12M_EBITDA",$B74+1,$B74+1))),C75))</f>
        <v>0</v>
      </c>
      <c r="D74" s="548">
        <f ca="1">(IFERROR(IFERROR(VALUE(_xll.BDH(D$4,"CURRENT_EV_TO_T12M_EBITDA",$B74,$B74)),VALUE(_xll.BDH(D$4,"CURRENT_EV_TO_T12M_EBITDA",$B74+1,$B74+1))),D75))</f>
        <v>0</v>
      </c>
      <c r="E74" s="548">
        <f ca="1">(IFERROR(IFERROR(VALUE(_xll.BDH(E$4,"CURRENT_EV_TO_T12M_EBITDA",$B74,$B74)),VALUE(_xll.BDH(E$4,"CURRENT_EV_TO_T12M_EBITDA",$B74+1,$B74+1))),E75))</f>
        <v>0</v>
      </c>
      <c r="F74" s="548">
        <f ca="1">(IFERROR(IFERROR(VALUE(_xll.BDH(F$4,"CURRENT_EV_TO_T12M_EBITDA",$B74,$B74)),VALUE(_xll.BDH(F$4,"CURRENT_EV_TO_T12M_EBITDA",$B74+1,$B74+1))),F75))</f>
        <v>0</v>
      </c>
      <c r="G74" s="548">
        <f ca="1">(IFERROR(IFERROR(VALUE(_xll.BDH(G$4,"CURRENT_EV_TO_T12M_EBITDA",$B74,$B74)),VALUE(_xll.BDH(G$4,"CURRENT_EV_TO_T12M_EBITDA",$B74+1,$B74+1))),G75))</f>
        <v>0</v>
      </c>
      <c r="H74" s="548">
        <f ca="1">(IFERROR(IFERROR(VALUE(_xll.BDH(H$4,"CURRENT_EV_TO_T12M_EBITDA",$B74,$B74)),VALUE(_xll.BDH(H$4,"CURRENT_EV_TO_T12M_EBITDA",$B74+1,$B74+1))),H75))</f>
        <v>0</v>
      </c>
      <c r="I74" s="552">
        <f t="shared" ca="1" si="24"/>
        <v>45468</v>
      </c>
      <c r="J74" s="548">
        <f ca="1">(IFERROR(IFERROR(VALUE(_xll.BDH(J$4,"PE_RATIO",$B74,$B74)),VALUE(_xll.BDH(J$4,"PE_RATIO",$B74+1,$B74+1))),J75))</f>
        <v>0</v>
      </c>
      <c r="K74" s="548">
        <f ca="1">(IFERROR(IFERROR(VALUE(_xll.BDH(K$4,"PE_RATIO",$B74,$B74)),VALUE(_xll.BDH(K$4,"PE_RATIO",$B74+1,$B74+1))),K75))</f>
        <v>0</v>
      </c>
      <c r="L74" s="548">
        <f ca="1">(IFERROR(IFERROR(VALUE(_xll.BDH(L$4,"PE_RATIO",$B74,$B74)),VALUE(_xll.BDH(L$4,"PE_RATIO",$B74+1,$B74+1))),L75))</f>
        <v>0</v>
      </c>
      <c r="M74" s="548">
        <f ca="1">(IFERROR(IFERROR(VALUE(_xll.BDH(M$4,"PE_RATIO",$B74,$B74)),VALUE(_xll.BDH(M$4,"PE_RATIO",$B74+1,$B74+1))),M75))</f>
        <v>0</v>
      </c>
      <c r="N74" s="548">
        <f ca="1">(IFERROR(IFERROR(VALUE(_xll.BDH(N$4,"PE_RATIO",$B74,$B74)),VALUE(_xll.BDH(N$4,"PE_RATIO",$B74+1,$B74+1))),N75))</f>
        <v>0</v>
      </c>
      <c r="O74" s="548">
        <f ca="1">(IFERROR(IFERROR(VALUE(_xll.BDH(O$4,"PE_RATIO",$B74,$B74)),VALUE(_xll.BDH(O$4,"PE_RATIO",$B74+1,$B74+1))),O75))</f>
        <v>0</v>
      </c>
      <c r="P74" s="548"/>
      <c r="Q74" s="552">
        <f t="shared" ca="1" si="25"/>
        <v>45468</v>
      </c>
      <c r="R74" s="4">
        <v>244.97</v>
      </c>
      <c r="S74" s="4">
        <v>5303.27</v>
      </c>
      <c r="T74" s="4">
        <v>0</v>
      </c>
      <c r="U74" s="4">
        <v>1.2574171029668413</v>
      </c>
      <c r="V74" s="4">
        <v>1.4790384926456235</v>
      </c>
      <c r="W74" s="4" t="e">
        <v>#DIV/0!</v>
      </c>
      <c r="Y74" s="548">
        <f t="shared" si="26"/>
        <v>244.97</v>
      </c>
      <c r="Z74" s="4">
        <f ca="1">IFERROR(VALUE(_xll.BDH(Z$4,"PX_LAST",$Q74,$Q74)),Z75)</f>
        <v>0</v>
      </c>
      <c r="AA74" s="4">
        <f ca="1">IFERROR(VALUE(_xll.BDH(AA$4,"PX_LAST",$Q74,$Q74)),AA75)</f>
        <v>0</v>
      </c>
      <c r="AB74" s="4">
        <f ca="1">IFERROR(VALUE(_xll.BDH(AB$4,"PX_LAST",$Q74,$Q74)),AB75)</f>
        <v>0</v>
      </c>
      <c r="AC74" s="4">
        <f ca="1">IFERROR(VALUE(_xll.BDH(AC$4,"PX_LAST",$Q74,$Q74)),AC75)</f>
        <v>0</v>
      </c>
      <c r="AD74" s="4">
        <f ca="1">IFERROR(VALUE(_xll.BDH(AD$4,"PX_LAST",$Q74,$Q74)),AD75)</f>
        <v>0</v>
      </c>
      <c r="AF74" s="4">
        <f t="shared" si="27"/>
        <v>1.2574171029668413</v>
      </c>
      <c r="AG74" s="4" t="e">
        <f t="shared" ca="1" si="28"/>
        <v>#DIV/0!</v>
      </c>
      <c r="AH74" s="4" t="e">
        <f t="shared" ca="1" si="29"/>
        <v>#DIV/0!</v>
      </c>
      <c r="AI74" s="4" t="e">
        <f t="shared" ca="1" si="30"/>
        <v>#DIV/0!</v>
      </c>
      <c r="AJ74" s="4" t="e">
        <f t="shared" ca="1" si="31"/>
        <v>#DIV/0!</v>
      </c>
      <c r="AK74" s="4" t="e">
        <f t="shared" ca="1" si="32"/>
        <v>#DIV/0!</v>
      </c>
      <c r="AM74" s="550">
        <f t="shared" ca="1" si="33"/>
        <v>45881</v>
      </c>
      <c r="AN74" s="551">
        <v>236.28</v>
      </c>
      <c r="AO74" s="551">
        <v>1327641</v>
      </c>
      <c r="AP74" s="551">
        <v>597.47560999999996</v>
      </c>
      <c r="AQ74" s="551">
        <v>141171.53713079999</v>
      </c>
      <c r="AR74" s="551">
        <v>5.8280000000000003</v>
      </c>
    </row>
    <row r="75" spans="2:44" x14ac:dyDescent="0.3">
      <c r="B75" s="552">
        <f t="shared" ca="1" si="34"/>
        <v>45461</v>
      </c>
      <c r="C75" s="548">
        <f ca="1">(IFERROR(IFERROR(VALUE(_xll.BDH(C$4,"CURRENT_EV_TO_T12M_EBITDA",$B75,$B75)),VALUE(_xll.BDH(C$4,"CURRENT_EV_TO_T12M_EBITDA",$B75+1,$B75+1))),C76))</f>
        <v>0</v>
      </c>
      <c r="D75" s="548">
        <f ca="1">(IFERROR(IFERROR(VALUE(_xll.BDH(D$4,"CURRENT_EV_TO_T12M_EBITDA",$B75,$B75)),VALUE(_xll.BDH(D$4,"CURRENT_EV_TO_T12M_EBITDA",$B75+1,$B75+1))),D76))</f>
        <v>0</v>
      </c>
      <c r="E75" s="548">
        <f ca="1">(IFERROR(IFERROR(VALUE(_xll.BDH(E$4,"CURRENT_EV_TO_T12M_EBITDA",$B75,$B75)),VALUE(_xll.BDH(E$4,"CURRENT_EV_TO_T12M_EBITDA",$B75+1,$B75+1))),E76))</f>
        <v>0</v>
      </c>
      <c r="F75" s="548">
        <f ca="1">(IFERROR(IFERROR(VALUE(_xll.BDH(F$4,"CURRENT_EV_TO_T12M_EBITDA",$B75,$B75)),VALUE(_xll.BDH(F$4,"CURRENT_EV_TO_T12M_EBITDA",$B75+1,$B75+1))),F76))</f>
        <v>0</v>
      </c>
      <c r="G75" s="548">
        <f ca="1">(IFERROR(IFERROR(VALUE(_xll.BDH(G$4,"CURRENT_EV_TO_T12M_EBITDA",$B75,$B75)),VALUE(_xll.BDH(G$4,"CURRENT_EV_TO_T12M_EBITDA",$B75+1,$B75+1))),G76))</f>
        <v>0</v>
      </c>
      <c r="H75" s="548">
        <f ca="1">(IFERROR(IFERROR(VALUE(_xll.BDH(H$4,"CURRENT_EV_TO_T12M_EBITDA",$B75,$B75)),VALUE(_xll.BDH(H$4,"CURRENT_EV_TO_T12M_EBITDA",$B75+1,$B75+1))),H76))</f>
        <v>0</v>
      </c>
      <c r="I75" s="552">
        <f t="shared" ca="1" si="24"/>
        <v>45461</v>
      </c>
      <c r="J75" s="548">
        <f ca="1">(IFERROR(IFERROR(VALUE(_xll.BDH(J$4,"PE_RATIO",$B75,$B75)),VALUE(_xll.BDH(J$4,"PE_RATIO",$B75+1,$B75+1))),J76))</f>
        <v>0</v>
      </c>
      <c r="K75" s="548">
        <f ca="1">(IFERROR(IFERROR(VALUE(_xll.BDH(K$4,"PE_RATIO",$B75,$B75)),VALUE(_xll.BDH(K$4,"PE_RATIO",$B75+1,$B75+1))),K76))</f>
        <v>0</v>
      </c>
      <c r="L75" s="548">
        <f ca="1">(IFERROR(IFERROR(VALUE(_xll.BDH(L$4,"PE_RATIO",$B75,$B75)),VALUE(_xll.BDH(L$4,"PE_RATIO",$B75+1,$B75+1))),L76))</f>
        <v>0</v>
      </c>
      <c r="M75" s="548">
        <f ca="1">(IFERROR(IFERROR(VALUE(_xll.BDH(M$4,"PE_RATIO",$B75,$B75)),VALUE(_xll.BDH(M$4,"PE_RATIO",$B75+1,$B75+1))),M76))</f>
        <v>0</v>
      </c>
      <c r="N75" s="548">
        <f ca="1">(IFERROR(IFERROR(VALUE(_xll.BDH(N$4,"PE_RATIO",$B75,$B75)),VALUE(_xll.BDH(N$4,"PE_RATIO",$B75+1,$B75+1))),N76))</f>
        <v>0</v>
      </c>
      <c r="O75" s="548">
        <f ca="1">(IFERROR(IFERROR(VALUE(_xll.BDH(O$4,"PE_RATIO",$B75,$B75)),VALUE(_xll.BDH(O$4,"PE_RATIO",$B75+1,$B75+1))),O76))</f>
        <v>0</v>
      </c>
      <c r="P75" s="548"/>
      <c r="Q75" s="552">
        <f t="shared" ca="1" si="25"/>
        <v>45461</v>
      </c>
      <c r="R75" s="4">
        <v>247.4</v>
      </c>
      <c r="S75" s="4">
        <v>5222.68</v>
      </c>
      <c r="T75" s="4">
        <v>0</v>
      </c>
      <c r="U75" s="4">
        <v>1.2698901550148856</v>
      </c>
      <c r="V75" s="4">
        <v>1.4565626028413496</v>
      </c>
      <c r="W75" s="4" t="e">
        <v>#DIV/0!</v>
      </c>
      <c r="Y75" s="548">
        <f t="shared" si="26"/>
        <v>247.4</v>
      </c>
      <c r="Z75" s="4">
        <f ca="1">IFERROR(VALUE(_xll.BDH(Z$4,"PX_LAST",$Q75,$Q75)),Z76)</f>
        <v>0</v>
      </c>
      <c r="AA75" s="4">
        <f ca="1">IFERROR(VALUE(_xll.BDH(AA$4,"PX_LAST",$Q75,$Q75)),AA76)</f>
        <v>0</v>
      </c>
      <c r="AB75" s="4">
        <f ca="1">IFERROR(VALUE(_xll.BDH(AB$4,"PX_LAST",$Q75,$Q75)),AB76)</f>
        <v>0</v>
      </c>
      <c r="AC75" s="4">
        <f ca="1">IFERROR(VALUE(_xll.BDH(AC$4,"PX_LAST",$Q75,$Q75)),AC76)</f>
        <v>0</v>
      </c>
      <c r="AD75" s="4">
        <f ca="1">IFERROR(VALUE(_xll.BDH(AD$4,"PX_LAST",$Q75,$Q75)),AD76)</f>
        <v>0</v>
      </c>
      <c r="AF75" s="4">
        <f t="shared" si="27"/>
        <v>1.2698901550148856</v>
      </c>
      <c r="AG75" s="4" t="e">
        <f t="shared" ca="1" si="28"/>
        <v>#DIV/0!</v>
      </c>
      <c r="AH75" s="4" t="e">
        <f t="shared" ca="1" si="29"/>
        <v>#DIV/0!</v>
      </c>
      <c r="AI75" s="4" t="e">
        <f t="shared" ca="1" si="30"/>
        <v>#DIV/0!</v>
      </c>
      <c r="AJ75" s="4" t="e">
        <f t="shared" ca="1" si="31"/>
        <v>#DIV/0!</v>
      </c>
      <c r="AK75" s="4" t="e">
        <f t="shared" ca="1" si="32"/>
        <v>#DIV/0!</v>
      </c>
      <c r="AM75" s="550">
        <f t="shared" ca="1" si="33"/>
        <v>45880</v>
      </c>
      <c r="AN75" s="551">
        <v>236.28</v>
      </c>
      <c r="AO75" s="551">
        <v>1327641</v>
      </c>
      <c r="AP75" s="551">
        <v>597.47560999999996</v>
      </c>
      <c r="AQ75" s="551">
        <v>141171.53713079999</v>
      </c>
      <c r="AR75" s="551">
        <v>5.8280000000000003</v>
      </c>
    </row>
    <row r="76" spans="2:44" x14ac:dyDescent="0.3">
      <c r="B76" s="552">
        <f t="shared" ca="1" si="34"/>
        <v>45454</v>
      </c>
      <c r="C76" s="548">
        <f ca="1">(IFERROR(IFERROR(VALUE(_xll.BDH(C$4,"CURRENT_EV_TO_T12M_EBITDA",$B76,$B76)),VALUE(_xll.BDH(C$4,"CURRENT_EV_TO_T12M_EBITDA",$B76+1,$B76+1))),C77))</f>
        <v>0</v>
      </c>
      <c r="D76" s="548">
        <f ca="1">(IFERROR(IFERROR(VALUE(_xll.BDH(D$4,"CURRENT_EV_TO_T12M_EBITDA",$B76,$B76)),VALUE(_xll.BDH(D$4,"CURRENT_EV_TO_T12M_EBITDA",$B76+1,$B76+1))),D77))</f>
        <v>0</v>
      </c>
      <c r="E76" s="548">
        <f ca="1">(IFERROR(IFERROR(VALUE(_xll.BDH(E$4,"CURRENT_EV_TO_T12M_EBITDA",$B76,$B76)),VALUE(_xll.BDH(E$4,"CURRENT_EV_TO_T12M_EBITDA",$B76+1,$B76+1))),E77))</f>
        <v>0</v>
      </c>
      <c r="F76" s="548">
        <f ca="1">(IFERROR(IFERROR(VALUE(_xll.BDH(F$4,"CURRENT_EV_TO_T12M_EBITDA",$B76,$B76)),VALUE(_xll.BDH(F$4,"CURRENT_EV_TO_T12M_EBITDA",$B76+1,$B76+1))),F77))</f>
        <v>0</v>
      </c>
      <c r="G76" s="548">
        <f ca="1">(IFERROR(IFERROR(VALUE(_xll.BDH(G$4,"CURRENT_EV_TO_T12M_EBITDA",$B76,$B76)),VALUE(_xll.BDH(G$4,"CURRENT_EV_TO_T12M_EBITDA",$B76+1,$B76+1))),G77))</f>
        <v>0</v>
      </c>
      <c r="H76" s="548">
        <f ca="1">(IFERROR(IFERROR(VALUE(_xll.BDH(H$4,"CURRENT_EV_TO_T12M_EBITDA",$B76,$B76)),VALUE(_xll.BDH(H$4,"CURRENT_EV_TO_T12M_EBITDA",$B76+1,$B76+1))),H77))</f>
        <v>0</v>
      </c>
      <c r="I76" s="552">
        <f t="shared" ca="1" si="24"/>
        <v>45454</v>
      </c>
      <c r="J76" s="548">
        <f ca="1">(IFERROR(IFERROR(VALUE(_xll.BDH(J$4,"PE_RATIO",$B76,$B76)),VALUE(_xll.BDH(J$4,"PE_RATIO",$B76+1,$B76+1))),J77))</f>
        <v>0</v>
      </c>
      <c r="K76" s="548">
        <f ca="1">(IFERROR(IFERROR(VALUE(_xll.BDH(K$4,"PE_RATIO",$B76,$B76)),VALUE(_xll.BDH(K$4,"PE_RATIO",$B76+1,$B76+1))),K77))</f>
        <v>0</v>
      </c>
      <c r="L76" s="548">
        <f ca="1">(IFERROR(IFERROR(VALUE(_xll.BDH(L$4,"PE_RATIO",$B76,$B76)),VALUE(_xll.BDH(L$4,"PE_RATIO",$B76+1,$B76+1))),L77))</f>
        <v>0</v>
      </c>
      <c r="M76" s="548">
        <f ca="1">(IFERROR(IFERROR(VALUE(_xll.BDH(M$4,"PE_RATIO",$B76,$B76)),VALUE(_xll.BDH(M$4,"PE_RATIO",$B76+1,$B76+1))),M77))</f>
        <v>0</v>
      </c>
      <c r="N76" s="548">
        <f ca="1">(IFERROR(IFERROR(VALUE(_xll.BDH(N$4,"PE_RATIO",$B76,$B76)),VALUE(_xll.BDH(N$4,"PE_RATIO",$B76+1,$B76+1))),N77))</f>
        <v>0</v>
      </c>
      <c r="O76" s="548">
        <f ca="1">(IFERROR(IFERROR(VALUE(_xll.BDH(O$4,"PE_RATIO",$B76,$B76)),VALUE(_xll.BDH(O$4,"PE_RATIO",$B76+1,$B76+1))),O77))</f>
        <v>0</v>
      </c>
      <c r="P76" s="548"/>
      <c r="Q76" s="552">
        <f t="shared" ca="1" si="25"/>
        <v>45454</v>
      </c>
      <c r="R76" s="4">
        <v>240.36</v>
      </c>
      <c r="S76" s="4">
        <v>5127.79</v>
      </c>
      <c r="T76" s="4">
        <v>0</v>
      </c>
      <c r="U76" s="4">
        <v>1.2337542346781645</v>
      </c>
      <c r="V76" s="4">
        <v>1.4300985603605514</v>
      </c>
      <c r="W76" s="4" t="e">
        <v>#DIV/0!</v>
      </c>
      <c r="Y76" s="548">
        <f t="shared" si="26"/>
        <v>240.36</v>
      </c>
      <c r="Z76" s="4">
        <f ca="1">IFERROR(VALUE(_xll.BDH(Z$4,"PX_LAST",$Q76,$Q76)),Z77)</f>
        <v>0</v>
      </c>
      <c r="AA76" s="4">
        <f ca="1">IFERROR(VALUE(_xll.BDH(AA$4,"PX_LAST",$Q76,$Q76)),AA77)</f>
        <v>0</v>
      </c>
      <c r="AB76" s="4">
        <f ca="1">IFERROR(VALUE(_xll.BDH(AB$4,"PX_LAST",$Q76,$Q76)),AB77)</f>
        <v>0</v>
      </c>
      <c r="AC76" s="4">
        <f ca="1">IFERROR(VALUE(_xll.BDH(AC$4,"PX_LAST",$Q76,$Q76)),AC77)</f>
        <v>0</v>
      </c>
      <c r="AD76" s="4">
        <f ca="1">IFERROR(VALUE(_xll.BDH(AD$4,"PX_LAST",$Q76,$Q76)),AD77)</f>
        <v>0</v>
      </c>
      <c r="AF76" s="4">
        <f t="shared" si="27"/>
        <v>1.2337542346781645</v>
      </c>
      <c r="AG76" s="4" t="e">
        <f t="shared" ca="1" si="28"/>
        <v>#DIV/0!</v>
      </c>
      <c r="AH76" s="4" t="e">
        <f t="shared" ca="1" si="29"/>
        <v>#DIV/0!</v>
      </c>
      <c r="AI76" s="4" t="e">
        <f t="shared" ca="1" si="30"/>
        <v>#DIV/0!</v>
      </c>
      <c r="AJ76" s="4" t="e">
        <f t="shared" ca="1" si="31"/>
        <v>#DIV/0!</v>
      </c>
      <c r="AK76" s="4" t="e">
        <f t="shared" ca="1" si="32"/>
        <v>#DIV/0!</v>
      </c>
      <c r="AM76" s="550">
        <f t="shared" ca="1" si="33"/>
        <v>45879</v>
      </c>
      <c r="AN76" s="551">
        <v>237.16</v>
      </c>
      <c r="AO76" s="551">
        <v>1752165</v>
      </c>
      <c r="AP76" s="551">
        <v>597.47560999999996</v>
      </c>
      <c r="AQ76" s="551">
        <v>141697.31566759999</v>
      </c>
      <c r="AR76" s="551">
        <v>5.8497000000000003</v>
      </c>
    </row>
    <row r="77" spans="2:44" x14ac:dyDescent="0.3">
      <c r="B77" s="552">
        <f t="shared" ca="1" si="34"/>
        <v>45447</v>
      </c>
      <c r="C77" s="548">
        <f ca="1">(IFERROR(IFERROR(VALUE(_xll.BDH(C$4,"CURRENT_EV_TO_T12M_EBITDA",$B77,$B77)),VALUE(_xll.BDH(C$4,"CURRENT_EV_TO_T12M_EBITDA",$B77+1,$B77+1))),C78))</f>
        <v>0</v>
      </c>
      <c r="D77" s="548">
        <f ca="1">(IFERROR(IFERROR(VALUE(_xll.BDH(D$4,"CURRENT_EV_TO_T12M_EBITDA",$B77,$B77)),VALUE(_xll.BDH(D$4,"CURRENT_EV_TO_T12M_EBITDA",$B77+1,$B77+1))),D78))</f>
        <v>0</v>
      </c>
      <c r="E77" s="548">
        <f ca="1">(IFERROR(IFERROR(VALUE(_xll.BDH(E$4,"CURRENT_EV_TO_T12M_EBITDA",$B77,$B77)),VALUE(_xll.BDH(E$4,"CURRENT_EV_TO_T12M_EBITDA",$B77+1,$B77+1))),E78))</f>
        <v>0</v>
      </c>
      <c r="F77" s="548">
        <f ca="1">(IFERROR(IFERROR(VALUE(_xll.BDH(F$4,"CURRENT_EV_TO_T12M_EBITDA",$B77,$B77)),VALUE(_xll.BDH(F$4,"CURRENT_EV_TO_T12M_EBITDA",$B77+1,$B77+1))),F78))</f>
        <v>0</v>
      </c>
      <c r="G77" s="548">
        <f ca="1">(IFERROR(IFERROR(VALUE(_xll.BDH(G$4,"CURRENT_EV_TO_T12M_EBITDA",$B77,$B77)),VALUE(_xll.BDH(G$4,"CURRENT_EV_TO_T12M_EBITDA",$B77+1,$B77+1))),G78))</f>
        <v>0</v>
      </c>
      <c r="H77" s="548">
        <f ca="1">(IFERROR(IFERROR(VALUE(_xll.BDH(H$4,"CURRENT_EV_TO_T12M_EBITDA",$B77,$B77)),VALUE(_xll.BDH(H$4,"CURRENT_EV_TO_T12M_EBITDA",$B77+1,$B77+1))),H78))</f>
        <v>0</v>
      </c>
      <c r="I77" s="552">
        <f t="shared" ca="1" si="24"/>
        <v>45447</v>
      </c>
      <c r="J77" s="548">
        <f ca="1">(IFERROR(IFERROR(VALUE(_xll.BDH(J$4,"PE_RATIO",$B77,$B77)),VALUE(_xll.BDH(J$4,"PE_RATIO",$B77+1,$B77+1))),J78))</f>
        <v>0</v>
      </c>
      <c r="K77" s="548">
        <f ca="1">(IFERROR(IFERROR(VALUE(_xll.BDH(K$4,"PE_RATIO",$B77,$B77)),VALUE(_xll.BDH(K$4,"PE_RATIO",$B77+1,$B77+1))),K78))</f>
        <v>0</v>
      </c>
      <c r="L77" s="548">
        <f ca="1">(IFERROR(IFERROR(VALUE(_xll.BDH(L$4,"PE_RATIO",$B77,$B77)),VALUE(_xll.BDH(L$4,"PE_RATIO",$B77+1,$B77+1))),L78))</f>
        <v>0</v>
      </c>
      <c r="M77" s="548">
        <f ca="1">(IFERROR(IFERROR(VALUE(_xll.BDH(M$4,"PE_RATIO",$B77,$B77)),VALUE(_xll.BDH(M$4,"PE_RATIO",$B77+1,$B77+1))),M78))</f>
        <v>0</v>
      </c>
      <c r="N77" s="548">
        <f ca="1">(IFERROR(IFERROR(VALUE(_xll.BDH(N$4,"PE_RATIO",$B77,$B77)),VALUE(_xll.BDH(N$4,"PE_RATIO",$B77+1,$B77+1))),N78))</f>
        <v>0</v>
      </c>
      <c r="O77" s="548">
        <f ca="1">(IFERROR(IFERROR(VALUE(_xll.BDH(O$4,"PE_RATIO",$B77,$B77)),VALUE(_xll.BDH(O$4,"PE_RATIO",$B77+1,$B77+1))),O78))</f>
        <v>0</v>
      </c>
      <c r="P77" s="548"/>
      <c r="Q77" s="552">
        <f t="shared" ca="1" si="25"/>
        <v>45447</v>
      </c>
      <c r="R77" s="4">
        <v>242.79</v>
      </c>
      <c r="S77" s="4">
        <v>5099.96</v>
      </c>
      <c r="T77" s="4">
        <v>0</v>
      </c>
      <c r="U77" s="4">
        <v>1.2462272867262087</v>
      </c>
      <c r="V77" s="4">
        <v>1.4223370016900843</v>
      </c>
      <c r="W77" s="4" t="e">
        <v>#DIV/0!</v>
      </c>
      <c r="Y77" s="548">
        <f t="shared" si="26"/>
        <v>242.79</v>
      </c>
      <c r="Z77" s="4">
        <f ca="1">IFERROR(VALUE(_xll.BDH(Z$4,"PX_LAST",$Q77,$Q77)),Z78)</f>
        <v>0</v>
      </c>
      <c r="AA77" s="4">
        <f ca="1">IFERROR(VALUE(_xll.BDH(AA$4,"PX_LAST",$Q77,$Q77)),AA78)</f>
        <v>0</v>
      </c>
      <c r="AB77" s="4">
        <f ca="1">IFERROR(VALUE(_xll.BDH(AB$4,"PX_LAST",$Q77,$Q77)),AB78)</f>
        <v>0</v>
      </c>
      <c r="AC77" s="4">
        <f ca="1">IFERROR(VALUE(_xll.BDH(AC$4,"PX_LAST",$Q77,$Q77)),AC78)</f>
        <v>0</v>
      </c>
      <c r="AD77" s="4">
        <f ca="1">IFERROR(VALUE(_xll.BDH(AD$4,"PX_LAST",$Q77,$Q77)),AD78)</f>
        <v>0</v>
      </c>
      <c r="AF77" s="4">
        <f t="shared" si="27"/>
        <v>1.2462272867262087</v>
      </c>
      <c r="AG77" s="4" t="e">
        <f t="shared" ca="1" si="28"/>
        <v>#DIV/0!</v>
      </c>
      <c r="AH77" s="4" t="e">
        <f t="shared" ca="1" si="29"/>
        <v>#DIV/0!</v>
      </c>
      <c r="AI77" s="4" t="e">
        <f t="shared" ca="1" si="30"/>
        <v>#DIV/0!</v>
      </c>
      <c r="AJ77" s="4" t="e">
        <f t="shared" ca="1" si="31"/>
        <v>#DIV/0!</v>
      </c>
      <c r="AK77" s="4" t="e">
        <f t="shared" ca="1" si="32"/>
        <v>#DIV/0!</v>
      </c>
      <c r="AM77" s="550">
        <f t="shared" ca="1" si="33"/>
        <v>45878</v>
      </c>
      <c r="AN77" s="551">
        <v>235.57</v>
      </c>
      <c r="AO77" s="551">
        <v>2687505</v>
      </c>
      <c r="AP77" s="551">
        <v>597.47560999999996</v>
      </c>
      <c r="AQ77" s="551">
        <v>140747.32944769997</v>
      </c>
      <c r="AR77" s="551">
        <v>5.8105000000000002</v>
      </c>
    </row>
    <row r="78" spans="2:44" x14ac:dyDescent="0.3">
      <c r="B78" s="552">
        <f t="shared" ca="1" si="34"/>
        <v>45440</v>
      </c>
      <c r="C78" s="548">
        <f ca="1">(IFERROR(IFERROR(VALUE(_xll.BDH(C$4,"CURRENT_EV_TO_T12M_EBITDA",$B78,$B78)),VALUE(_xll.BDH(C$4,"CURRENT_EV_TO_T12M_EBITDA",$B78+1,$B78+1))),C79))</f>
        <v>0</v>
      </c>
      <c r="D78" s="548">
        <f ca="1">(IFERROR(IFERROR(VALUE(_xll.BDH(D$4,"CURRENT_EV_TO_T12M_EBITDA",$B78,$B78)),VALUE(_xll.BDH(D$4,"CURRENT_EV_TO_T12M_EBITDA",$B78+1,$B78+1))),D79))</f>
        <v>0</v>
      </c>
      <c r="E78" s="548">
        <f ca="1">(IFERROR(IFERROR(VALUE(_xll.BDH(E$4,"CURRENT_EV_TO_T12M_EBITDA",$B78,$B78)),VALUE(_xll.BDH(E$4,"CURRENT_EV_TO_T12M_EBITDA",$B78+1,$B78+1))),E79))</f>
        <v>0</v>
      </c>
      <c r="F78" s="548">
        <f ca="1">(IFERROR(IFERROR(VALUE(_xll.BDH(F$4,"CURRENT_EV_TO_T12M_EBITDA",$B78,$B78)),VALUE(_xll.BDH(F$4,"CURRENT_EV_TO_T12M_EBITDA",$B78+1,$B78+1))),F79))</f>
        <v>0</v>
      </c>
      <c r="G78" s="548">
        <f ca="1">(IFERROR(IFERROR(VALUE(_xll.BDH(G$4,"CURRENT_EV_TO_T12M_EBITDA",$B78,$B78)),VALUE(_xll.BDH(G$4,"CURRENT_EV_TO_T12M_EBITDA",$B78+1,$B78+1))),G79))</f>
        <v>0</v>
      </c>
      <c r="H78" s="548">
        <f ca="1">(IFERROR(IFERROR(VALUE(_xll.BDH(H$4,"CURRENT_EV_TO_T12M_EBITDA",$B78,$B78)),VALUE(_xll.BDH(H$4,"CURRENT_EV_TO_T12M_EBITDA",$B78+1,$B78+1))),H79))</f>
        <v>0</v>
      </c>
      <c r="I78" s="552">
        <f t="shared" ca="1" si="24"/>
        <v>45440</v>
      </c>
      <c r="J78" s="548">
        <f ca="1">(IFERROR(IFERROR(VALUE(_xll.BDH(J$4,"PE_RATIO",$B78,$B78)),VALUE(_xll.BDH(J$4,"PE_RATIO",$B78+1,$B78+1))),J79))</f>
        <v>0</v>
      </c>
      <c r="K78" s="548">
        <f ca="1">(IFERROR(IFERROR(VALUE(_xll.BDH(K$4,"PE_RATIO",$B78,$B78)),VALUE(_xll.BDH(K$4,"PE_RATIO",$B78+1,$B78+1))),K79))</f>
        <v>0</v>
      </c>
      <c r="L78" s="548">
        <f ca="1">(IFERROR(IFERROR(VALUE(_xll.BDH(L$4,"PE_RATIO",$B78,$B78)),VALUE(_xll.BDH(L$4,"PE_RATIO",$B78+1,$B78+1))),L79))</f>
        <v>0</v>
      </c>
      <c r="M78" s="548">
        <f ca="1">(IFERROR(IFERROR(VALUE(_xll.BDH(M$4,"PE_RATIO",$B78,$B78)),VALUE(_xll.BDH(M$4,"PE_RATIO",$B78+1,$B78+1))),M79))</f>
        <v>0</v>
      </c>
      <c r="N78" s="548">
        <f ca="1">(IFERROR(IFERROR(VALUE(_xll.BDH(N$4,"PE_RATIO",$B78,$B78)),VALUE(_xll.BDH(N$4,"PE_RATIO",$B78+1,$B78+1))),N79))</f>
        <v>0</v>
      </c>
      <c r="O78" s="548">
        <f ca="1">(IFERROR(IFERROR(VALUE(_xll.BDH(O$4,"PE_RATIO",$B78,$B78)),VALUE(_xll.BDH(O$4,"PE_RATIO",$B78+1,$B78+1))),O79))</f>
        <v>0</v>
      </c>
      <c r="P78" s="548"/>
      <c r="Q78" s="552">
        <f t="shared" ca="1" si="25"/>
        <v>45440</v>
      </c>
      <c r="R78" s="4">
        <v>232.08</v>
      </c>
      <c r="S78" s="4">
        <v>4967.2299999999996</v>
      </c>
      <c r="T78" s="4">
        <v>0</v>
      </c>
      <c r="U78" s="4">
        <v>1.1912534647366801</v>
      </c>
      <c r="V78" s="4">
        <v>1.3853196936652517</v>
      </c>
      <c r="W78" s="4" t="e">
        <v>#DIV/0!</v>
      </c>
      <c r="Y78" s="548">
        <f t="shared" si="26"/>
        <v>232.08</v>
      </c>
      <c r="Z78" s="4">
        <f ca="1">IFERROR(VALUE(_xll.BDH(Z$4,"PX_LAST",$Q78,$Q78)),Z79)</f>
        <v>0</v>
      </c>
      <c r="AA78" s="4">
        <f ca="1">IFERROR(VALUE(_xll.BDH(AA$4,"PX_LAST",$Q78,$Q78)),AA79)</f>
        <v>0</v>
      </c>
      <c r="AB78" s="4">
        <f ca="1">IFERROR(VALUE(_xll.BDH(AB$4,"PX_LAST",$Q78,$Q78)),AB79)</f>
        <v>0</v>
      </c>
      <c r="AC78" s="4">
        <f ca="1">IFERROR(VALUE(_xll.BDH(AC$4,"PX_LAST",$Q78,$Q78)),AC79)</f>
        <v>0</v>
      </c>
      <c r="AD78" s="4">
        <f ca="1">IFERROR(VALUE(_xll.BDH(AD$4,"PX_LAST",$Q78,$Q78)),AD79)</f>
        <v>0</v>
      </c>
      <c r="AF78" s="4">
        <f t="shared" si="27"/>
        <v>1.1912534647366801</v>
      </c>
      <c r="AG78" s="4" t="e">
        <f t="shared" ca="1" si="28"/>
        <v>#DIV/0!</v>
      </c>
      <c r="AH78" s="4" t="e">
        <f t="shared" ca="1" si="29"/>
        <v>#DIV/0!</v>
      </c>
      <c r="AI78" s="4" t="e">
        <f t="shared" ca="1" si="30"/>
        <v>#DIV/0!</v>
      </c>
      <c r="AJ78" s="4" t="e">
        <f t="shared" ca="1" si="31"/>
        <v>#DIV/0!</v>
      </c>
      <c r="AK78" s="4" t="e">
        <f t="shared" ca="1" si="32"/>
        <v>#DIV/0!</v>
      </c>
      <c r="AM78" s="550">
        <f t="shared" ca="1" si="33"/>
        <v>45877</v>
      </c>
      <c r="AN78" s="551">
        <v>230.08</v>
      </c>
      <c r="AO78" s="551">
        <v>3578993</v>
      </c>
      <c r="AP78" s="551">
        <v>597.47560999999996</v>
      </c>
      <c r="AQ78" s="551">
        <v>137467.1883488</v>
      </c>
      <c r="AR78" s="551">
        <v>5.6750999999999996</v>
      </c>
    </row>
    <row r="79" spans="2:44" x14ac:dyDescent="0.3">
      <c r="B79" s="552">
        <f t="shared" ca="1" si="34"/>
        <v>45433</v>
      </c>
      <c r="C79" s="548">
        <f ca="1">(IFERROR(IFERROR(VALUE(_xll.BDH(C$4,"CURRENT_EV_TO_T12M_EBITDA",$B79,$B79)),VALUE(_xll.BDH(C$4,"CURRENT_EV_TO_T12M_EBITDA",$B79+1,$B79+1))),C80))</f>
        <v>0</v>
      </c>
      <c r="D79" s="548">
        <f ca="1">(IFERROR(IFERROR(VALUE(_xll.BDH(D$4,"CURRENT_EV_TO_T12M_EBITDA",$B79,$B79)),VALUE(_xll.BDH(D$4,"CURRENT_EV_TO_T12M_EBITDA",$B79+1,$B79+1))),D80))</f>
        <v>0</v>
      </c>
      <c r="E79" s="548">
        <f ca="1">(IFERROR(IFERROR(VALUE(_xll.BDH(E$4,"CURRENT_EV_TO_T12M_EBITDA",$B79,$B79)),VALUE(_xll.BDH(E$4,"CURRENT_EV_TO_T12M_EBITDA",$B79+1,$B79+1))),E80))</f>
        <v>0</v>
      </c>
      <c r="F79" s="548">
        <f ca="1">(IFERROR(IFERROR(VALUE(_xll.BDH(F$4,"CURRENT_EV_TO_T12M_EBITDA",$B79,$B79)),VALUE(_xll.BDH(F$4,"CURRENT_EV_TO_T12M_EBITDA",$B79+1,$B79+1))),F80))</f>
        <v>0</v>
      </c>
      <c r="G79" s="548">
        <f ca="1">(IFERROR(IFERROR(VALUE(_xll.BDH(G$4,"CURRENT_EV_TO_T12M_EBITDA",$B79,$B79)),VALUE(_xll.BDH(G$4,"CURRENT_EV_TO_T12M_EBITDA",$B79+1,$B79+1))),G80))</f>
        <v>0</v>
      </c>
      <c r="H79" s="548">
        <f ca="1">(IFERROR(IFERROR(VALUE(_xll.BDH(H$4,"CURRENT_EV_TO_T12M_EBITDA",$B79,$B79)),VALUE(_xll.BDH(H$4,"CURRENT_EV_TO_T12M_EBITDA",$B79+1,$B79+1))),H80))</f>
        <v>0</v>
      </c>
      <c r="I79" s="552">
        <f t="shared" ca="1" si="24"/>
        <v>45433</v>
      </c>
      <c r="J79" s="548">
        <f ca="1">(IFERROR(IFERROR(VALUE(_xll.BDH(J$4,"PE_RATIO",$B79,$B79)),VALUE(_xll.BDH(J$4,"PE_RATIO",$B79+1,$B79+1))),J80))</f>
        <v>0</v>
      </c>
      <c r="K79" s="548">
        <f ca="1">(IFERROR(IFERROR(VALUE(_xll.BDH(K$4,"PE_RATIO",$B79,$B79)),VALUE(_xll.BDH(K$4,"PE_RATIO",$B79+1,$B79+1))),K80))</f>
        <v>0</v>
      </c>
      <c r="L79" s="548">
        <f ca="1">(IFERROR(IFERROR(VALUE(_xll.BDH(L$4,"PE_RATIO",$B79,$B79)),VALUE(_xll.BDH(L$4,"PE_RATIO",$B79+1,$B79+1))),L80))</f>
        <v>0</v>
      </c>
      <c r="M79" s="548">
        <f ca="1">(IFERROR(IFERROR(VALUE(_xll.BDH(M$4,"PE_RATIO",$B79,$B79)),VALUE(_xll.BDH(M$4,"PE_RATIO",$B79+1,$B79+1))),M80))</f>
        <v>0</v>
      </c>
      <c r="N79" s="548">
        <f ca="1">(IFERROR(IFERROR(VALUE(_xll.BDH(N$4,"PE_RATIO",$B79,$B79)),VALUE(_xll.BDH(N$4,"PE_RATIO",$B79+1,$B79+1))),N80))</f>
        <v>0</v>
      </c>
      <c r="O79" s="548">
        <f ca="1">(IFERROR(IFERROR(VALUE(_xll.BDH(O$4,"PE_RATIO",$B79,$B79)),VALUE(_xll.BDH(O$4,"PE_RATIO",$B79+1,$B79+1))),O80))</f>
        <v>0</v>
      </c>
      <c r="P79" s="548"/>
      <c r="Q79" s="552">
        <f t="shared" ca="1" si="25"/>
        <v>45433</v>
      </c>
      <c r="R79" s="4">
        <v>234.4</v>
      </c>
      <c r="S79" s="4">
        <v>5123.41</v>
      </c>
      <c r="T79" s="4">
        <v>0</v>
      </c>
      <c r="U79" s="4">
        <v>1.2031618930294632</v>
      </c>
      <c r="V79" s="4">
        <v>1.4288770142959935</v>
      </c>
      <c r="W79" s="4" t="e">
        <v>#DIV/0!</v>
      </c>
      <c r="Y79" s="548">
        <f t="shared" si="26"/>
        <v>234.4</v>
      </c>
      <c r="Z79" s="4">
        <f ca="1">IFERROR(VALUE(_xll.BDH(Z$4,"PX_LAST",$Q79,$Q79)),Z80)</f>
        <v>0</v>
      </c>
      <c r="AA79" s="4">
        <f ca="1">IFERROR(VALUE(_xll.BDH(AA$4,"PX_LAST",$Q79,$Q79)),AA80)</f>
        <v>0</v>
      </c>
      <c r="AB79" s="4">
        <f ca="1">IFERROR(VALUE(_xll.BDH(AB$4,"PX_LAST",$Q79,$Q79)),AB80)</f>
        <v>0</v>
      </c>
      <c r="AC79" s="4">
        <f ca="1">IFERROR(VALUE(_xll.BDH(AC$4,"PX_LAST",$Q79,$Q79)),AC80)</f>
        <v>0</v>
      </c>
      <c r="AD79" s="4">
        <f ca="1">IFERROR(VALUE(_xll.BDH(AD$4,"PX_LAST",$Q79,$Q79)),AD80)</f>
        <v>0</v>
      </c>
      <c r="AF79" s="4">
        <f t="shared" si="27"/>
        <v>1.2031618930294632</v>
      </c>
      <c r="AG79" s="4" t="e">
        <f t="shared" ca="1" si="28"/>
        <v>#DIV/0!</v>
      </c>
      <c r="AH79" s="4" t="e">
        <f t="shared" ca="1" si="29"/>
        <v>#DIV/0!</v>
      </c>
      <c r="AI79" s="4" t="e">
        <f t="shared" ca="1" si="30"/>
        <v>#DIV/0!</v>
      </c>
      <c r="AJ79" s="4" t="e">
        <f t="shared" ca="1" si="31"/>
        <v>#DIV/0!</v>
      </c>
      <c r="AK79" s="4" t="e">
        <f t="shared" ca="1" si="32"/>
        <v>#DIV/0!</v>
      </c>
      <c r="AM79" s="550">
        <f t="shared" ca="1" si="33"/>
        <v>45876</v>
      </c>
      <c r="AN79" s="551">
        <v>231.41</v>
      </c>
      <c r="AO79" s="551">
        <v>7430669</v>
      </c>
      <c r="AP79" s="551">
        <v>597.47560999999996</v>
      </c>
      <c r="AQ79" s="551">
        <v>138261.83091009999</v>
      </c>
      <c r="AR79" s="551">
        <v>5.7793000000000001</v>
      </c>
    </row>
    <row r="80" spans="2:44" x14ac:dyDescent="0.3">
      <c r="B80" s="552">
        <f t="shared" ca="1" si="34"/>
        <v>45426</v>
      </c>
      <c r="C80" s="548">
        <f ca="1">(IFERROR(IFERROR(VALUE(_xll.BDH(C$4,"CURRENT_EV_TO_T12M_EBITDA",$B80,$B80)),VALUE(_xll.BDH(C$4,"CURRENT_EV_TO_T12M_EBITDA",$B80+1,$B80+1))),C81))</f>
        <v>0</v>
      </c>
      <c r="D80" s="548">
        <f ca="1">(IFERROR(IFERROR(VALUE(_xll.BDH(D$4,"CURRENT_EV_TO_T12M_EBITDA",$B80,$B80)),VALUE(_xll.BDH(D$4,"CURRENT_EV_TO_T12M_EBITDA",$B80+1,$B80+1))),D81))</f>
        <v>0</v>
      </c>
      <c r="E80" s="548">
        <f ca="1">(IFERROR(IFERROR(VALUE(_xll.BDH(E$4,"CURRENT_EV_TO_T12M_EBITDA",$B80,$B80)),VALUE(_xll.BDH(E$4,"CURRENT_EV_TO_T12M_EBITDA",$B80+1,$B80+1))),E81))</f>
        <v>0</v>
      </c>
      <c r="F80" s="548">
        <f ca="1">(IFERROR(IFERROR(VALUE(_xll.BDH(F$4,"CURRENT_EV_TO_T12M_EBITDA",$B80,$B80)),VALUE(_xll.BDH(F$4,"CURRENT_EV_TO_T12M_EBITDA",$B80+1,$B80+1))),F81))</f>
        <v>0</v>
      </c>
      <c r="G80" s="548">
        <f ca="1">(IFERROR(IFERROR(VALUE(_xll.BDH(G$4,"CURRENT_EV_TO_T12M_EBITDA",$B80,$B80)),VALUE(_xll.BDH(G$4,"CURRENT_EV_TO_T12M_EBITDA",$B80+1,$B80+1))),G81))</f>
        <v>0</v>
      </c>
      <c r="H80" s="548">
        <f ca="1">(IFERROR(IFERROR(VALUE(_xll.BDH(H$4,"CURRENT_EV_TO_T12M_EBITDA",$B80,$B80)),VALUE(_xll.BDH(H$4,"CURRENT_EV_TO_T12M_EBITDA",$B80+1,$B80+1))),H81))</f>
        <v>0</v>
      </c>
      <c r="I80" s="552">
        <f t="shared" ca="1" si="24"/>
        <v>45426</v>
      </c>
      <c r="J80" s="548">
        <f ca="1">(IFERROR(IFERROR(VALUE(_xll.BDH(J$4,"PE_RATIO",$B80,$B80)),VALUE(_xll.BDH(J$4,"PE_RATIO",$B80+1,$B80+1))),J81))</f>
        <v>0</v>
      </c>
      <c r="K80" s="548">
        <f ca="1">(IFERROR(IFERROR(VALUE(_xll.BDH(K$4,"PE_RATIO",$B80,$B80)),VALUE(_xll.BDH(K$4,"PE_RATIO",$B80+1,$B80+1))),K81))</f>
        <v>0</v>
      </c>
      <c r="L80" s="548">
        <f ca="1">(IFERROR(IFERROR(VALUE(_xll.BDH(L$4,"PE_RATIO",$B80,$B80)),VALUE(_xll.BDH(L$4,"PE_RATIO",$B80+1,$B80+1))),L81))</f>
        <v>0</v>
      </c>
      <c r="M80" s="548">
        <f ca="1">(IFERROR(IFERROR(VALUE(_xll.BDH(M$4,"PE_RATIO",$B80,$B80)),VALUE(_xll.BDH(M$4,"PE_RATIO",$B80+1,$B80+1))),M81))</f>
        <v>0</v>
      </c>
      <c r="N80" s="548">
        <f ca="1">(IFERROR(IFERROR(VALUE(_xll.BDH(N$4,"PE_RATIO",$B80,$B80)),VALUE(_xll.BDH(N$4,"PE_RATIO",$B80+1,$B80+1))),N81))</f>
        <v>0</v>
      </c>
      <c r="O80" s="548">
        <f ca="1">(IFERROR(IFERROR(VALUE(_xll.BDH(O$4,"PE_RATIO",$B80,$B80)),VALUE(_xll.BDH(O$4,"PE_RATIO",$B80+1,$B80+1))),O81))</f>
        <v>0</v>
      </c>
      <c r="P80" s="548"/>
      <c r="Q80" s="552">
        <f t="shared" ca="1" si="25"/>
        <v>45426</v>
      </c>
      <c r="R80" s="4">
        <v>242.01</v>
      </c>
      <c r="S80" s="4">
        <v>5204.34</v>
      </c>
      <c r="T80" s="4">
        <v>0</v>
      </c>
      <c r="U80" s="4">
        <v>1.2422235910070833</v>
      </c>
      <c r="V80" s="4">
        <v>1.451447727310758</v>
      </c>
      <c r="W80" s="4" t="e">
        <v>#DIV/0!</v>
      </c>
      <c r="Y80" s="548">
        <f t="shared" si="26"/>
        <v>242.01</v>
      </c>
      <c r="Z80" s="4">
        <f ca="1">IFERROR(VALUE(_xll.BDH(Z$4,"PX_LAST",$Q80,$Q80)),Z81)</f>
        <v>0</v>
      </c>
      <c r="AA80" s="4">
        <f ca="1">IFERROR(VALUE(_xll.BDH(AA$4,"PX_LAST",$Q80,$Q80)),AA81)</f>
        <v>0</v>
      </c>
      <c r="AB80" s="4">
        <f ca="1">IFERROR(VALUE(_xll.BDH(AB$4,"PX_LAST",$Q80,$Q80)),AB81)</f>
        <v>0</v>
      </c>
      <c r="AC80" s="4">
        <f ca="1">IFERROR(VALUE(_xll.BDH(AC$4,"PX_LAST",$Q80,$Q80)),AC81)</f>
        <v>0</v>
      </c>
      <c r="AD80" s="4">
        <f ca="1">IFERROR(VALUE(_xll.BDH(AD$4,"PX_LAST",$Q80,$Q80)),AD81)</f>
        <v>0</v>
      </c>
      <c r="AF80" s="4">
        <f t="shared" si="27"/>
        <v>1.2422235910070833</v>
      </c>
      <c r="AG80" s="4" t="e">
        <f t="shared" ca="1" si="28"/>
        <v>#DIV/0!</v>
      </c>
      <c r="AH80" s="4" t="e">
        <f t="shared" ca="1" si="29"/>
        <v>#DIV/0!</v>
      </c>
      <c r="AI80" s="4" t="e">
        <f t="shared" ca="1" si="30"/>
        <v>#DIV/0!</v>
      </c>
      <c r="AJ80" s="4" t="e">
        <f t="shared" ca="1" si="31"/>
        <v>#DIV/0!</v>
      </c>
      <c r="AK80" s="4" t="e">
        <f t="shared" ca="1" si="32"/>
        <v>#DIV/0!</v>
      </c>
      <c r="AM80" s="550">
        <f t="shared" ca="1" si="33"/>
        <v>45875</v>
      </c>
      <c r="AN80" s="551">
        <v>231.41</v>
      </c>
      <c r="AO80" s="551">
        <v>7430669</v>
      </c>
      <c r="AP80" s="551">
        <v>597.47560999999996</v>
      </c>
      <c r="AQ80" s="551">
        <v>138261.83091009999</v>
      </c>
      <c r="AR80" s="551">
        <v>5.7793000000000001</v>
      </c>
    </row>
    <row r="81" spans="2:44" x14ac:dyDescent="0.3">
      <c r="B81" s="552">
        <f t="shared" ca="1" si="34"/>
        <v>45419</v>
      </c>
      <c r="C81" s="548">
        <f ca="1">(IFERROR(IFERROR(VALUE(_xll.BDH(C$4,"CURRENT_EV_TO_T12M_EBITDA",$B81,$B81)),VALUE(_xll.BDH(C$4,"CURRENT_EV_TO_T12M_EBITDA",$B81+1,$B81+1))),C82))</f>
        <v>0</v>
      </c>
      <c r="D81" s="548">
        <f ca="1">(IFERROR(IFERROR(VALUE(_xll.BDH(D$4,"CURRENT_EV_TO_T12M_EBITDA",$B81,$B81)),VALUE(_xll.BDH(D$4,"CURRENT_EV_TO_T12M_EBITDA",$B81+1,$B81+1))),D82))</f>
        <v>0</v>
      </c>
      <c r="E81" s="548">
        <f ca="1">(IFERROR(IFERROR(VALUE(_xll.BDH(E$4,"CURRENT_EV_TO_T12M_EBITDA",$B81,$B81)),VALUE(_xll.BDH(E$4,"CURRENT_EV_TO_T12M_EBITDA",$B81+1,$B81+1))),E82))</f>
        <v>0</v>
      </c>
      <c r="F81" s="548">
        <f ca="1">(IFERROR(IFERROR(VALUE(_xll.BDH(F$4,"CURRENT_EV_TO_T12M_EBITDA",$B81,$B81)),VALUE(_xll.BDH(F$4,"CURRENT_EV_TO_T12M_EBITDA",$B81+1,$B81+1))),F82))</f>
        <v>0</v>
      </c>
      <c r="G81" s="548">
        <f ca="1">(IFERROR(IFERROR(VALUE(_xll.BDH(G$4,"CURRENT_EV_TO_T12M_EBITDA",$B81,$B81)),VALUE(_xll.BDH(G$4,"CURRENT_EV_TO_T12M_EBITDA",$B81+1,$B81+1))),G82))</f>
        <v>0</v>
      </c>
      <c r="H81" s="548">
        <f ca="1">(IFERROR(IFERROR(VALUE(_xll.BDH(H$4,"CURRENT_EV_TO_T12M_EBITDA",$B81,$B81)),VALUE(_xll.BDH(H$4,"CURRENT_EV_TO_T12M_EBITDA",$B81+1,$B81+1))),H82))</f>
        <v>0</v>
      </c>
      <c r="I81" s="552">
        <f t="shared" ca="1" si="24"/>
        <v>45419</v>
      </c>
      <c r="J81" s="548">
        <f ca="1">(IFERROR(IFERROR(VALUE(_xll.BDH(J$4,"PE_RATIO",$B81,$B81)),VALUE(_xll.BDH(J$4,"PE_RATIO",$B81+1,$B81+1))),J82))</f>
        <v>0</v>
      </c>
      <c r="K81" s="548">
        <f ca="1">(IFERROR(IFERROR(VALUE(_xll.BDH(K$4,"PE_RATIO",$B81,$B81)),VALUE(_xll.BDH(K$4,"PE_RATIO",$B81+1,$B81+1))),K82))</f>
        <v>0</v>
      </c>
      <c r="L81" s="548">
        <f ca="1">(IFERROR(IFERROR(VALUE(_xll.BDH(L$4,"PE_RATIO",$B81,$B81)),VALUE(_xll.BDH(L$4,"PE_RATIO",$B81+1,$B81+1))),L82))</f>
        <v>0</v>
      </c>
      <c r="M81" s="548">
        <f ca="1">(IFERROR(IFERROR(VALUE(_xll.BDH(M$4,"PE_RATIO",$B81,$B81)),VALUE(_xll.BDH(M$4,"PE_RATIO",$B81+1,$B81+1))),M82))</f>
        <v>0</v>
      </c>
      <c r="N81" s="548">
        <f ca="1">(IFERROR(IFERROR(VALUE(_xll.BDH(N$4,"PE_RATIO",$B81,$B81)),VALUE(_xll.BDH(N$4,"PE_RATIO",$B81+1,$B81+1))),N82))</f>
        <v>0</v>
      </c>
      <c r="O81" s="548">
        <f ca="1">(IFERROR(IFERROR(VALUE(_xll.BDH(O$4,"PE_RATIO",$B81,$B81)),VALUE(_xll.BDH(O$4,"PE_RATIO",$B81+1,$B81+1))),O82))</f>
        <v>0</v>
      </c>
      <c r="P81" s="548"/>
      <c r="Q81" s="552">
        <f t="shared" ca="1" si="25"/>
        <v>45419</v>
      </c>
      <c r="R81" s="4">
        <v>244.97</v>
      </c>
      <c r="S81" s="4">
        <v>5234.18</v>
      </c>
      <c r="T81" s="4">
        <v>0</v>
      </c>
      <c r="U81" s="4">
        <v>1.2574171029668413</v>
      </c>
      <c r="V81" s="4">
        <v>1.4597698584903032</v>
      </c>
      <c r="W81" s="4" t="e">
        <v>#DIV/0!</v>
      </c>
      <c r="Y81" s="548">
        <f t="shared" si="26"/>
        <v>244.97</v>
      </c>
      <c r="Z81" s="4">
        <f ca="1">IFERROR(VALUE(_xll.BDH(Z$4,"PX_LAST",$Q81,$Q81)),Z82)</f>
        <v>0</v>
      </c>
      <c r="AA81" s="4">
        <f ca="1">IFERROR(VALUE(_xll.BDH(AA$4,"PX_LAST",$Q81,$Q81)),AA82)</f>
        <v>0</v>
      </c>
      <c r="AB81" s="4">
        <f ca="1">IFERROR(VALUE(_xll.BDH(AB$4,"PX_LAST",$Q81,$Q81)),AB82)</f>
        <v>0</v>
      </c>
      <c r="AC81" s="4">
        <f ca="1">IFERROR(VALUE(_xll.BDH(AC$4,"PX_LAST",$Q81,$Q81)),AC82)</f>
        <v>0</v>
      </c>
      <c r="AD81" s="4">
        <f ca="1">IFERROR(VALUE(_xll.BDH(AD$4,"PX_LAST",$Q81,$Q81)),AD82)</f>
        <v>0</v>
      </c>
      <c r="AF81" s="4">
        <f t="shared" si="27"/>
        <v>1.2574171029668413</v>
      </c>
      <c r="AG81" s="4" t="e">
        <f t="shared" ca="1" si="28"/>
        <v>#DIV/0!</v>
      </c>
      <c r="AH81" s="4" t="e">
        <f t="shared" ca="1" si="29"/>
        <v>#DIV/0!</v>
      </c>
      <c r="AI81" s="4" t="e">
        <f t="shared" ca="1" si="30"/>
        <v>#DIV/0!</v>
      </c>
      <c r="AJ81" s="4" t="e">
        <f t="shared" ca="1" si="31"/>
        <v>#DIV/0!</v>
      </c>
      <c r="AK81" s="4" t="e">
        <f t="shared" ca="1" si="32"/>
        <v>#DIV/0!</v>
      </c>
      <c r="AM81" s="550">
        <f t="shared" ca="1" si="33"/>
        <v>45874</v>
      </c>
      <c r="AN81" s="551">
        <v>231.41</v>
      </c>
      <c r="AO81" s="551">
        <v>7430669</v>
      </c>
      <c r="AP81" s="551">
        <v>597.47560999999996</v>
      </c>
      <c r="AQ81" s="551">
        <v>138261.83091009999</v>
      </c>
      <c r="AR81" s="551">
        <v>5.7793000000000001</v>
      </c>
    </row>
    <row r="82" spans="2:44" x14ac:dyDescent="0.3">
      <c r="B82" s="552">
        <f t="shared" ca="1" si="34"/>
        <v>45412</v>
      </c>
      <c r="C82" s="548">
        <f ca="1">(IFERROR(IFERROR(VALUE(_xll.BDH(C$4,"CURRENT_EV_TO_T12M_EBITDA",$B82,$B82)),VALUE(_xll.BDH(C$4,"CURRENT_EV_TO_T12M_EBITDA",$B82+1,$B82+1))),C83))</f>
        <v>0</v>
      </c>
      <c r="D82" s="548">
        <f ca="1">(IFERROR(IFERROR(VALUE(_xll.BDH(D$4,"CURRENT_EV_TO_T12M_EBITDA",$B82,$B82)),VALUE(_xll.BDH(D$4,"CURRENT_EV_TO_T12M_EBITDA",$B82+1,$B82+1))),D83))</f>
        <v>0</v>
      </c>
      <c r="E82" s="548">
        <f ca="1">(IFERROR(IFERROR(VALUE(_xll.BDH(E$4,"CURRENT_EV_TO_T12M_EBITDA",$B82,$B82)),VALUE(_xll.BDH(E$4,"CURRENT_EV_TO_T12M_EBITDA",$B82+1,$B82+1))),E83))</f>
        <v>0</v>
      </c>
      <c r="F82" s="548">
        <f ca="1">(IFERROR(IFERROR(VALUE(_xll.BDH(F$4,"CURRENT_EV_TO_T12M_EBITDA",$B82,$B82)),VALUE(_xll.BDH(F$4,"CURRENT_EV_TO_T12M_EBITDA",$B82+1,$B82+1))),F83))</f>
        <v>0</v>
      </c>
      <c r="G82" s="548">
        <f ca="1">(IFERROR(IFERROR(VALUE(_xll.BDH(G$4,"CURRENT_EV_TO_T12M_EBITDA",$B82,$B82)),VALUE(_xll.BDH(G$4,"CURRENT_EV_TO_T12M_EBITDA",$B82+1,$B82+1))),G83))</f>
        <v>0</v>
      </c>
      <c r="H82" s="548">
        <f ca="1">(IFERROR(IFERROR(VALUE(_xll.BDH(H$4,"CURRENT_EV_TO_T12M_EBITDA",$B82,$B82)),VALUE(_xll.BDH(H$4,"CURRENT_EV_TO_T12M_EBITDA",$B82+1,$B82+1))),H83))</f>
        <v>0</v>
      </c>
      <c r="I82" s="552">
        <f t="shared" ca="1" si="24"/>
        <v>45412</v>
      </c>
      <c r="J82" s="548">
        <f ca="1">(IFERROR(IFERROR(VALUE(_xll.BDH(J$4,"PE_RATIO",$B82,$B82)),VALUE(_xll.BDH(J$4,"PE_RATIO",$B82+1,$B82+1))),J83))</f>
        <v>0</v>
      </c>
      <c r="K82" s="548">
        <f ca="1">(IFERROR(IFERROR(VALUE(_xll.BDH(K$4,"PE_RATIO",$B82,$B82)),VALUE(_xll.BDH(K$4,"PE_RATIO",$B82+1,$B82+1))),K83))</f>
        <v>0</v>
      </c>
      <c r="L82" s="548">
        <f ca="1">(IFERROR(IFERROR(VALUE(_xll.BDH(L$4,"PE_RATIO",$B82,$B82)),VALUE(_xll.BDH(L$4,"PE_RATIO",$B82+1,$B82+1))),L83))</f>
        <v>0</v>
      </c>
      <c r="M82" s="548">
        <f ca="1">(IFERROR(IFERROR(VALUE(_xll.BDH(M$4,"PE_RATIO",$B82,$B82)),VALUE(_xll.BDH(M$4,"PE_RATIO",$B82+1,$B82+1))),M83))</f>
        <v>0</v>
      </c>
      <c r="N82" s="548">
        <f ca="1">(IFERROR(IFERROR(VALUE(_xll.BDH(N$4,"PE_RATIO",$B82,$B82)),VALUE(_xll.BDH(N$4,"PE_RATIO",$B82+1,$B82+1))),N83))</f>
        <v>0</v>
      </c>
      <c r="O82" s="548">
        <f ca="1">(IFERROR(IFERROR(VALUE(_xll.BDH(O$4,"PE_RATIO",$B82,$B82)),VALUE(_xll.BDH(O$4,"PE_RATIO",$B82+1,$B82+1))),O83))</f>
        <v>0</v>
      </c>
      <c r="P82" s="548"/>
      <c r="Q82" s="552">
        <f t="shared" ca="1" si="25"/>
        <v>45412</v>
      </c>
      <c r="R82" s="4">
        <v>244.97</v>
      </c>
      <c r="S82" s="4">
        <v>5234.18</v>
      </c>
      <c r="T82" s="4">
        <v>0</v>
      </c>
      <c r="U82" s="4">
        <v>1.2574171029668413</v>
      </c>
      <c r="V82" s="4">
        <v>1.4597698584903032</v>
      </c>
      <c r="W82" s="4" t="e">
        <v>#DIV/0!</v>
      </c>
      <c r="Y82" s="548">
        <f t="shared" si="26"/>
        <v>244.97</v>
      </c>
      <c r="Z82" s="4">
        <f ca="1">IFERROR(VALUE(_xll.BDH(Z$4,"PX_LAST",$Q82,$Q82)),Z83)</f>
        <v>0</v>
      </c>
      <c r="AA82" s="4">
        <f ca="1">IFERROR(VALUE(_xll.BDH(AA$4,"PX_LAST",$Q82,$Q82)),AA83)</f>
        <v>0</v>
      </c>
      <c r="AB82" s="4">
        <f ca="1">IFERROR(VALUE(_xll.BDH(AB$4,"PX_LAST",$Q82,$Q82)),AB83)</f>
        <v>0</v>
      </c>
      <c r="AC82" s="4">
        <f ca="1">IFERROR(VALUE(_xll.BDH(AC$4,"PX_LAST",$Q82,$Q82)),AC83)</f>
        <v>0</v>
      </c>
      <c r="AD82" s="4">
        <f ca="1">IFERROR(VALUE(_xll.BDH(AD$4,"PX_LAST",$Q82,$Q82)),AD83)</f>
        <v>0</v>
      </c>
      <c r="AF82" s="4">
        <f t="shared" si="27"/>
        <v>1.2574171029668413</v>
      </c>
      <c r="AG82" s="4" t="e">
        <f t="shared" ca="1" si="28"/>
        <v>#DIV/0!</v>
      </c>
      <c r="AH82" s="4" t="e">
        <f t="shared" ca="1" si="29"/>
        <v>#DIV/0!</v>
      </c>
      <c r="AI82" s="4" t="e">
        <f t="shared" ca="1" si="30"/>
        <v>#DIV/0!</v>
      </c>
      <c r="AJ82" s="4" t="e">
        <f t="shared" ca="1" si="31"/>
        <v>#DIV/0!</v>
      </c>
      <c r="AK82" s="4" t="e">
        <f t="shared" ca="1" si="32"/>
        <v>#DIV/0!</v>
      </c>
      <c r="AM82" s="550">
        <f t="shared" ca="1" si="33"/>
        <v>45873</v>
      </c>
      <c r="AN82" s="551">
        <v>229.39</v>
      </c>
      <c r="AO82" s="551">
        <v>2960165</v>
      </c>
      <c r="AP82" s="551">
        <v>597.47560999999996</v>
      </c>
      <c r="AQ82" s="551">
        <v>137054.93017789998</v>
      </c>
      <c r="AR82" s="551">
        <v>5.7289000000000003</v>
      </c>
    </row>
    <row r="83" spans="2:44" x14ac:dyDescent="0.3">
      <c r="B83" s="552">
        <f t="shared" ca="1" si="34"/>
        <v>45405</v>
      </c>
      <c r="C83" s="548">
        <f ca="1">(IFERROR(IFERROR(VALUE(_xll.BDH(C$4,"CURRENT_EV_TO_T12M_EBITDA",$B83,$B83)),VALUE(_xll.BDH(C$4,"CURRENT_EV_TO_T12M_EBITDA",$B83+1,$B83+1))),C84))</f>
        <v>0</v>
      </c>
      <c r="D83" s="548">
        <f ca="1">(IFERROR(IFERROR(VALUE(_xll.BDH(D$4,"CURRENT_EV_TO_T12M_EBITDA",$B83,$B83)),VALUE(_xll.BDH(D$4,"CURRENT_EV_TO_T12M_EBITDA",$B83+1,$B83+1))),D84))</f>
        <v>0</v>
      </c>
      <c r="E83" s="548">
        <f ca="1">(IFERROR(IFERROR(VALUE(_xll.BDH(E$4,"CURRENT_EV_TO_T12M_EBITDA",$B83,$B83)),VALUE(_xll.BDH(E$4,"CURRENT_EV_TO_T12M_EBITDA",$B83+1,$B83+1))),E84))</f>
        <v>0</v>
      </c>
      <c r="F83" s="548">
        <f ca="1">(IFERROR(IFERROR(VALUE(_xll.BDH(F$4,"CURRENT_EV_TO_T12M_EBITDA",$B83,$B83)),VALUE(_xll.BDH(F$4,"CURRENT_EV_TO_T12M_EBITDA",$B83+1,$B83+1))),F84))</f>
        <v>0</v>
      </c>
      <c r="G83" s="548">
        <f ca="1">(IFERROR(IFERROR(VALUE(_xll.BDH(G$4,"CURRENT_EV_TO_T12M_EBITDA",$B83,$B83)),VALUE(_xll.BDH(G$4,"CURRENT_EV_TO_T12M_EBITDA",$B83+1,$B83+1))),G84))</f>
        <v>0</v>
      </c>
      <c r="H83" s="548">
        <f ca="1">(IFERROR(IFERROR(VALUE(_xll.BDH(H$4,"CURRENT_EV_TO_T12M_EBITDA",$B83,$B83)),VALUE(_xll.BDH(H$4,"CURRENT_EV_TO_T12M_EBITDA",$B83+1,$B83+1))),H84))</f>
        <v>0</v>
      </c>
      <c r="I83" s="552">
        <f t="shared" ca="1" si="24"/>
        <v>45405</v>
      </c>
      <c r="J83" s="548">
        <f ca="1">(IFERROR(IFERROR(VALUE(_xll.BDH(J$4,"PE_RATIO",$B83,$B83)),VALUE(_xll.BDH(J$4,"PE_RATIO",$B83+1,$B83+1))),J84))</f>
        <v>0</v>
      </c>
      <c r="K83" s="548">
        <f ca="1">(IFERROR(IFERROR(VALUE(_xll.BDH(K$4,"PE_RATIO",$B83,$B83)),VALUE(_xll.BDH(K$4,"PE_RATIO",$B83+1,$B83+1))),K84))</f>
        <v>0</v>
      </c>
      <c r="L83" s="548">
        <f ca="1">(IFERROR(IFERROR(VALUE(_xll.BDH(L$4,"PE_RATIO",$B83,$B83)),VALUE(_xll.BDH(L$4,"PE_RATIO",$B83+1,$B83+1))),L84))</f>
        <v>0</v>
      </c>
      <c r="M83" s="548">
        <f ca="1">(IFERROR(IFERROR(VALUE(_xll.BDH(M$4,"PE_RATIO",$B83,$B83)),VALUE(_xll.BDH(M$4,"PE_RATIO",$B83+1,$B83+1))),M84))</f>
        <v>0</v>
      </c>
      <c r="N83" s="548">
        <f ca="1">(IFERROR(IFERROR(VALUE(_xll.BDH(N$4,"PE_RATIO",$B83,$B83)),VALUE(_xll.BDH(N$4,"PE_RATIO",$B83+1,$B83+1))),N84))</f>
        <v>0</v>
      </c>
      <c r="O83" s="548">
        <f ca="1">(IFERROR(IFERROR(VALUE(_xll.BDH(O$4,"PE_RATIO",$B83,$B83)),VALUE(_xll.BDH(O$4,"PE_RATIO",$B83+1,$B83+1))),O84))</f>
        <v>0</v>
      </c>
      <c r="P83" s="548"/>
      <c r="Q83" s="552">
        <f t="shared" ca="1" si="25"/>
        <v>45405</v>
      </c>
      <c r="R83" s="4">
        <v>244.13</v>
      </c>
      <c r="S83" s="4">
        <v>5117.09</v>
      </c>
      <c r="T83" s="4">
        <v>0</v>
      </c>
      <c r="U83" s="4">
        <v>1.2531054306539371</v>
      </c>
      <c r="V83" s="4">
        <v>1.4271144181480471</v>
      </c>
      <c r="W83" s="4" t="e">
        <v>#DIV/0!</v>
      </c>
      <c r="Y83" s="548">
        <f t="shared" si="26"/>
        <v>244.13</v>
      </c>
      <c r="Z83" s="4">
        <f ca="1">IFERROR(VALUE(_xll.BDH(Z$4,"PX_LAST",$Q83,$Q83)),Z84)</f>
        <v>0</v>
      </c>
      <c r="AA83" s="4">
        <f ca="1">IFERROR(VALUE(_xll.BDH(AA$4,"PX_LAST",$Q83,$Q83)),AA84)</f>
        <v>0</v>
      </c>
      <c r="AB83" s="4">
        <f ca="1">IFERROR(VALUE(_xll.BDH(AB$4,"PX_LAST",$Q83,$Q83)),AB84)</f>
        <v>0</v>
      </c>
      <c r="AC83" s="4">
        <f ca="1">IFERROR(VALUE(_xll.BDH(AC$4,"PX_LAST",$Q83,$Q83)),AC84)</f>
        <v>0</v>
      </c>
      <c r="AD83" s="4">
        <f ca="1">IFERROR(VALUE(_xll.BDH(AD$4,"PX_LAST",$Q83,$Q83)),AD84)</f>
        <v>0</v>
      </c>
      <c r="AF83" s="4">
        <f t="shared" si="27"/>
        <v>1.2531054306539371</v>
      </c>
      <c r="AG83" s="4" t="e">
        <f t="shared" ca="1" si="28"/>
        <v>#DIV/0!</v>
      </c>
      <c r="AH83" s="4" t="e">
        <f t="shared" ca="1" si="29"/>
        <v>#DIV/0!</v>
      </c>
      <c r="AI83" s="4" t="e">
        <f t="shared" ca="1" si="30"/>
        <v>#DIV/0!</v>
      </c>
      <c r="AJ83" s="4" t="e">
        <f t="shared" ca="1" si="31"/>
        <v>#DIV/0!</v>
      </c>
      <c r="AK83" s="4" t="e">
        <f t="shared" ca="1" si="32"/>
        <v>#DIV/0!</v>
      </c>
      <c r="AM83" s="550">
        <f t="shared" ca="1" si="33"/>
        <v>45872</v>
      </c>
      <c r="AN83" s="551">
        <v>226.81</v>
      </c>
      <c r="AO83" s="551">
        <v>2005380</v>
      </c>
      <c r="AP83" s="551">
        <v>597.47560999999996</v>
      </c>
      <c r="AQ83" s="551">
        <v>135513.44310410001</v>
      </c>
      <c r="AR83" s="551">
        <v>5.6643999999999997</v>
      </c>
    </row>
    <row r="84" spans="2:44" x14ac:dyDescent="0.3">
      <c r="B84" s="552">
        <f t="shared" ca="1" si="34"/>
        <v>45398</v>
      </c>
      <c r="C84" s="548">
        <f ca="1">(IFERROR(IFERROR(VALUE(_xll.BDH(C$4,"CURRENT_EV_TO_T12M_EBITDA",$B84,$B84)),VALUE(_xll.BDH(C$4,"CURRENT_EV_TO_T12M_EBITDA",$B84+1,$B84+1))),C85))</f>
        <v>0</v>
      </c>
      <c r="D84" s="548">
        <f ca="1">(IFERROR(IFERROR(VALUE(_xll.BDH(D$4,"CURRENT_EV_TO_T12M_EBITDA",$B84,$B84)),VALUE(_xll.BDH(D$4,"CURRENT_EV_TO_T12M_EBITDA",$B84+1,$B84+1))),D85))</f>
        <v>0</v>
      </c>
      <c r="E84" s="548">
        <f ca="1">(IFERROR(IFERROR(VALUE(_xll.BDH(E$4,"CURRENT_EV_TO_T12M_EBITDA",$B84,$B84)),VALUE(_xll.BDH(E$4,"CURRENT_EV_TO_T12M_EBITDA",$B84+1,$B84+1))),E85))</f>
        <v>0</v>
      </c>
      <c r="F84" s="548">
        <f ca="1">(IFERROR(IFERROR(VALUE(_xll.BDH(F$4,"CURRENT_EV_TO_T12M_EBITDA",$B84,$B84)),VALUE(_xll.BDH(F$4,"CURRENT_EV_TO_T12M_EBITDA",$B84+1,$B84+1))),F85))</f>
        <v>0</v>
      </c>
      <c r="G84" s="548">
        <f ca="1">(IFERROR(IFERROR(VALUE(_xll.BDH(G$4,"CURRENT_EV_TO_T12M_EBITDA",$B84,$B84)),VALUE(_xll.BDH(G$4,"CURRENT_EV_TO_T12M_EBITDA",$B84+1,$B84+1))),G85))</f>
        <v>0</v>
      </c>
      <c r="H84" s="548">
        <f ca="1">(IFERROR(IFERROR(VALUE(_xll.BDH(H$4,"CURRENT_EV_TO_T12M_EBITDA",$B84,$B84)),VALUE(_xll.BDH(H$4,"CURRENT_EV_TO_T12M_EBITDA",$B84+1,$B84+1))),H85))</f>
        <v>0</v>
      </c>
      <c r="I84" s="552">
        <f t="shared" ca="1" si="24"/>
        <v>45398</v>
      </c>
      <c r="J84" s="548">
        <f ca="1">(IFERROR(IFERROR(VALUE(_xll.BDH(J$4,"PE_RATIO",$B84,$B84)),VALUE(_xll.BDH(J$4,"PE_RATIO",$B84+1,$B84+1))),J85))</f>
        <v>0</v>
      </c>
      <c r="K84" s="548">
        <f ca="1">(IFERROR(IFERROR(VALUE(_xll.BDH(K$4,"PE_RATIO",$B84,$B84)),VALUE(_xll.BDH(K$4,"PE_RATIO",$B84+1,$B84+1))),K85))</f>
        <v>0</v>
      </c>
      <c r="L84" s="548">
        <f ca="1">(IFERROR(IFERROR(VALUE(_xll.BDH(L$4,"PE_RATIO",$B84,$B84)),VALUE(_xll.BDH(L$4,"PE_RATIO",$B84+1,$B84+1))),L85))</f>
        <v>0</v>
      </c>
      <c r="M84" s="548">
        <f ca="1">(IFERROR(IFERROR(VALUE(_xll.BDH(M$4,"PE_RATIO",$B84,$B84)),VALUE(_xll.BDH(M$4,"PE_RATIO",$B84+1,$B84+1))),M85))</f>
        <v>0</v>
      </c>
      <c r="N84" s="548">
        <f ca="1">(IFERROR(IFERROR(VALUE(_xll.BDH(N$4,"PE_RATIO",$B84,$B84)),VALUE(_xll.BDH(N$4,"PE_RATIO",$B84+1,$B84+1))),N85))</f>
        <v>0</v>
      </c>
      <c r="O84" s="548">
        <f ca="1">(IFERROR(IFERROR(VALUE(_xll.BDH(O$4,"PE_RATIO",$B84,$B84)),VALUE(_xll.BDH(O$4,"PE_RATIO",$B84+1,$B84+1))),O85))</f>
        <v>0</v>
      </c>
      <c r="P84" s="548"/>
      <c r="Q84" s="552">
        <f t="shared" ca="1" si="25"/>
        <v>45398</v>
      </c>
      <c r="R84" s="4">
        <v>250.96</v>
      </c>
      <c r="S84" s="4">
        <v>5123.6899999999996</v>
      </c>
      <c r="T84" s="4">
        <v>0</v>
      </c>
      <c r="U84" s="4">
        <v>1.2881634329124321</v>
      </c>
      <c r="V84" s="4">
        <v>1.4289551039987505</v>
      </c>
      <c r="W84" s="4" t="e">
        <v>#DIV/0!</v>
      </c>
      <c r="Y84" s="548">
        <f t="shared" si="26"/>
        <v>250.96</v>
      </c>
      <c r="Z84" s="4">
        <f ca="1">IFERROR(VALUE(_xll.BDH(Z$4,"PX_LAST",$Q84,$Q84)),Z85)</f>
        <v>0</v>
      </c>
      <c r="AA84" s="4">
        <f ca="1">IFERROR(VALUE(_xll.BDH(AA$4,"PX_LAST",$Q84,$Q84)),AA85)</f>
        <v>0</v>
      </c>
      <c r="AB84" s="4">
        <f ca="1">IFERROR(VALUE(_xll.BDH(AB$4,"PX_LAST",$Q84,$Q84)),AB85)</f>
        <v>0</v>
      </c>
      <c r="AC84" s="4">
        <f ca="1">IFERROR(VALUE(_xll.BDH(AC$4,"PX_LAST",$Q84,$Q84)),AC85)</f>
        <v>0</v>
      </c>
      <c r="AD84" s="4">
        <f ca="1">IFERROR(VALUE(_xll.BDH(AD$4,"PX_LAST",$Q84,$Q84)),AD85)</f>
        <v>0</v>
      </c>
      <c r="AF84" s="4">
        <f t="shared" si="27"/>
        <v>1.2881634329124321</v>
      </c>
      <c r="AG84" s="4" t="e">
        <f t="shared" ca="1" si="28"/>
        <v>#DIV/0!</v>
      </c>
      <c r="AH84" s="4" t="e">
        <f t="shared" ca="1" si="29"/>
        <v>#DIV/0!</v>
      </c>
      <c r="AI84" s="4" t="e">
        <f t="shared" ca="1" si="30"/>
        <v>#DIV/0!</v>
      </c>
      <c r="AJ84" s="4" t="e">
        <f t="shared" ca="1" si="31"/>
        <v>#DIV/0!</v>
      </c>
      <c r="AK84" s="4" t="e">
        <f t="shared" ca="1" si="32"/>
        <v>#DIV/0!</v>
      </c>
      <c r="AM84" s="550">
        <f t="shared" ca="1" si="33"/>
        <v>45871</v>
      </c>
      <c r="AN84" s="551">
        <v>227.91</v>
      </c>
      <c r="AO84" s="551">
        <v>2777100</v>
      </c>
      <c r="AP84" s="551">
        <v>597.47560999999996</v>
      </c>
      <c r="AQ84" s="551">
        <v>136170.6662751</v>
      </c>
      <c r="AR84" s="551">
        <v>5.6919000000000004</v>
      </c>
    </row>
    <row r="85" spans="2:44" x14ac:dyDescent="0.3">
      <c r="B85" s="552">
        <f t="shared" ca="1" si="34"/>
        <v>45391</v>
      </c>
      <c r="C85" s="548">
        <f ca="1">(IFERROR(IFERROR(VALUE(_xll.BDH(C$4,"CURRENT_EV_TO_T12M_EBITDA",$B85,$B85)),VALUE(_xll.BDH(C$4,"CURRENT_EV_TO_T12M_EBITDA",$B85+1,$B85+1))),C86))</f>
        <v>0</v>
      </c>
      <c r="D85" s="548">
        <f ca="1">(IFERROR(IFERROR(VALUE(_xll.BDH(D$4,"CURRENT_EV_TO_T12M_EBITDA",$B85,$B85)),VALUE(_xll.BDH(D$4,"CURRENT_EV_TO_T12M_EBITDA",$B85+1,$B85+1))),D86))</f>
        <v>0</v>
      </c>
      <c r="E85" s="548">
        <f ca="1">(IFERROR(IFERROR(VALUE(_xll.BDH(E$4,"CURRENT_EV_TO_T12M_EBITDA",$B85,$B85)),VALUE(_xll.BDH(E$4,"CURRENT_EV_TO_T12M_EBITDA",$B85+1,$B85+1))),E86))</f>
        <v>0</v>
      </c>
      <c r="F85" s="548">
        <f ca="1">(IFERROR(IFERROR(VALUE(_xll.BDH(F$4,"CURRENT_EV_TO_T12M_EBITDA",$B85,$B85)),VALUE(_xll.BDH(F$4,"CURRENT_EV_TO_T12M_EBITDA",$B85+1,$B85+1))),F86))</f>
        <v>0</v>
      </c>
      <c r="G85" s="548">
        <f ca="1">(IFERROR(IFERROR(VALUE(_xll.BDH(G$4,"CURRENT_EV_TO_T12M_EBITDA",$B85,$B85)),VALUE(_xll.BDH(G$4,"CURRENT_EV_TO_T12M_EBITDA",$B85+1,$B85+1))),G86))</f>
        <v>0</v>
      </c>
      <c r="H85" s="548">
        <f ca="1">(IFERROR(IFERROR(VALUE(_xll.BDH(H$4,"CURRENT_EV_TO_T12M_EBITDA",$B85,$B85)),VALUE(_xll.BDH(H$4,"CURRENT_EV_TO_T12M_EBITDA",$B85+1,$B85+1))),H86))</f>
        <v>0</v>
      </c>
      <c r="I85" s="552">
        <f t="shared" ca="1" si="24"/>
        <v>45391</v>
      </c>
      <c r="J85" s="548">
        <f ca="1">(IFERROR(IFERROR(VALUE(_xll.BDH(J$4,"PE_RATIO",$B85,$B85)),VALUE(_xll.BDH(J$4,"PE_RATIO",$B85+1,$B85+1))),J86))</f>
        <v>0</v>
      </c>
      <c r="K85" s="548">
        <f ca="1">(IFERROR(IFERROR(VALUE(_xll.BDH(K$4,"PE_RATIO",$B85,$B85)),VALUE(_xll.BDH(K$4,"PE_RATIO",$B85+1,$B85+1))),K86))</f>
        <v>0</v>
      </c>
      <c r="L85" s="548">
        <f ca="1">(IFERROR(IFERROR(VALUE(_xll.BDH(L$4,"PE_RATIO",$B85,$B85)),VALUE(_xll.BDH(L$4,"PE_RATIO",$B85+1,$B85+1))),L86))</f>
        <v>0</v>
      </c>
      <c r="M85" s="548">
        <f ca="1">(IFERROR(IFERROR(VALUE(_xll.BDH(M$4,"PE_RATIO",$B85,$B85)),VALUE(_xll.BDH(M$4,"PE_RATIO",$B85+1,$B85+1))),M86))</f>
        <v>0</v>
      </c>
      <c r="N85" s="548">
        <f ca="1">(IFERROR(IFERROR(VALUE(_xll.BDH(N$4,"PE_RATIO",$B85,$B85)),VALUE(_xll.BDH(N$4,"PE_RATIO",$B85+1,$B85+1))),N86))</f>
        <v>0</v>
      </c>
      <c r="O85" s="548">
        <f ca="1">(IFERROR(IFERROR(VALUE(_xll.BDH(O$4,"PE_RATIO",$B85,$B85)),VALUE(_xll.BDH(O$4,"PE_RATIO",$B85+1,$B85+1))),O86))</f>
        <v>0</v>
      </c>
      <c r="P85" s="548"/>
      <c r="Q85" s="552">
        <f t="shared" ca="1" si="25"/>
        <v>45391</v>
      </c>
      <c r="R85" s="4">
        <v>252.98</v>
      </c>
      <c r="S85" s="4">
        <v>5137.08</v>
      </c>
      <c r="T85" s="4">
        <v>0</v>
      </c>
      <c r="U85" s="4">
        <v>1.2985319782363207</v>
      </c>
      <c r="V85" s="4">
        <v>1.4326894651413145</v>
      </c>
      <c r="W85" s="4" t="e">
        <v>#DIV/0!</v>
      </c>
      <c r="Y85" s="548">
        <f t="shared" si="26"/>
        <v>252.98</v>
      </c>
      <c r="Z85" s="4">
        <f ca="1">IFERROR(VALUE(_xll.BDH(Z$4,"PX_LAST",$Q85,$Q85)),Z86)</f>
        <v>0</v>
      </c>
      <c r="AA85" s="4">
        <f ca="1">IFERROR(VALUE(_xll.BDH(AA$4,"PX_LAST",$Q85,$Q85)),AA86)</f>
        <v>0</v>
      </c>
      <c r="AB85" s="4">
        <f ca="1">IFERROR(VALUE(_xll.BDH(AB$4,"PX_LAST",$Q85,$Q85)),AB86)</f>
        <v>0</v>
      </c>
      <c r="AC85" s="4">
        <f ca="1">IFERROR(VALUE(_xll.BDH(AC$4,"PX_LAST",$Q85,$Q85)),AC86)</f>
        <v>0</v>
      </c>
      <c r="AD85" s="4">
        <f ca="1">IFERROR(VALUE(_xll.BDH(AD$4,"PX_LAST",$Q85,$Q85)),AD86)</f>
        <v>0</v>
      </c>
      <c r="AF85" s="4">
        <f t="shared" si="27"/>
        <v>1.2985319782363207</v>
      </c>
      <c r="AG85" s="4" t="e">
        <f t="shared" ca="1" si="28"/>
        <v>#DIV/0!</v>
      </c>
      <c r="AH85" s="4" t="e">
        <f t="shared" ca="1" si="29"/>
        <v>#DIV/0!</v>
      </c>
      <c r="AI85" s="4" t="e">
        <f t="shared" ca="1" si="30"/>
        <v>#DIV/0!</v>
      </c>
      <c r="AJ85" s="4" t="e">
        <f t="shared" ca="1" si="31"/>
        <v>#DIV/0!</v>
      </c>
      <c r="AK85" s="4" t="e">
        <f t="shared" ca="1" si="32"/>
        <v>#DIV/0!</v>
      </c>
      <c r="AM85" s="550">
        <f t="shared" ca="1" si="33"/>
        <v>45870</v>
      </c>
      <c r="AN85" s="551">
        <v>225.88</v>
      </c>
      <c r="AO85" s="551">
        <v>2665282</v>
      </c>
      <c r="AP85" s="551">
        <v>597.47560999999996</v>
      </c>
      <c r="AQ85" s="551">
        <v>134957.79078679997</v>
      </c>
      <c r="AR85" s="551">
        <v>5.6412000000000004</v>
      </c>
    </row>
    <row r="86" spans="2:44" x14ac:dyDescent="0.3">
      <c r="B86" s="552">
        <f t="shared" ca="1" si="34"/>
        <v>45384</v>
      </c>
      <c r="C86" s="548">
        <f ca="1">(IFERROR(IFERROR(VALUE(_xll.BDH(C$4,"CURRENT_EV_TO_T12M_EBITDA",$B86,$B86)),VALUE(_xll.BDH(C$4,"CURRENT_EV_TO_T12M_EBITDA",$B86+1,$B86+1))),C87))</f>
        <v>0</v>
      </c>
      <c r="D86" s="548">
        <f ca="1">(IFERROR(IFERROR(VALUE(_xll.BDH(D$4,"CURRENT_EV_TO_T12M_EBITDA",$B86,$B86)),VALUE(_xll.BDH(D$4,"CURRENT_EV_TO_T12M_EBITDA",$B86+1,$B86+1))),D87))</f>
        <v>0</v>
      </c>
      <c r="E86" s="548">
        <f ca="1">(IFERROR(IFERROR(VALUE(_xll.BDH(E$4,"CURRENT_EV_TO_T12M_EBITDA",$B86,$B86)),VALUE(_xll.BDH(E$4,"CURRENT_EV_TO_T12M_EBITDA",$B86+1,$B86+1))),E87))</f>
        <v>0</v>
      </c>
      <c r="F86" s="548">
        <f ca="1">(IFERROR(IFERROR(VALUE(_xll.BDH(F$4,"CURRENT_EV_TO_T12M_EBITDA",$B86,$B86)),VALUE(_xll.BDH(F$4,"CURRENT_EV_TO_T12M_EBITDA",$B86+1,$B86+1))),F87))</f>
        <v>0</v>
      </c>
      <c r="G86" s="548">
        <f ca="1">(IFERROR(IFERROR(VALUE(_xll.BDH(G$4,"CURRENT_EV_TO_T12M_EBITDA",$B86,$B86)),VALUE(_xll.BDH(G$4,"CURRENT_EV_TO_T12M_EBITDA",$B86+1,$B86+1))),G87))</f>
        <v>0</v>
      </c>
      <c r="H86" s="548">
        <f ca="1">(IFERROR(IFERROR(VALUE(_xll.BDH(H$4,"CURRENT_EV_TO_T12M_EBITDA",$B86,$B86)),VALUE(_xll.BDH(H$4,"CURRENT_EV_TO_T12M_EBITDA",$B86+1,$B86+1))),H87))</f>
        <v>0</v>
      </c>
      <c r="I86" s="552">
        <f t="shared" ca="1" si="24"/>
        <v>45384</v>
      </c>
      <c r="J86" s="548">
        <f ca="1">(IFERROR(IFERROR(VALUE(_xll.BDH(J$4,"PE_RATIO",$B86,$B86)),VALUE(_xll.BDH(J$4,"PE_RATIO",$B86+1,$B86+1))),J87))</f>
        <v>0</v>
      </c>
      <c r="K86" s="548">
        <f ca="1">(IFERROR(IFERROR(VALUE(_xll.BDH(K$4,"PE_RATIO",$B86,$B86)),VALUE(_xll.BDH(K$4,"PE_RATIO",$B86+1,$B86+1))),K87))</f>
        <v>0</v>
      </c>
      <c r="L86" s="548">
        <f ca="1">(IFERROR(IFERROR(VALUE(_xll.BDH(L$4,"PE_RATIO",$B86,$B86)),VALUE(_xll.BDH(L$4,"PE_RATIO",$B86+1,$B86+1))),L87))</f>
        <v>0</v>
      </c>
      <c r="M86" s="548">
        <f ca="1">(IFERROR(IFERROR(VALUE(_xll.BDH(M$4,"PE_RATIO",$B86,$B86)),VALUE(_xll.BDH(M$4,"PE_RATIO",$B86+1,$B86+1))),M87))</f>
        <v>0</v>
      </c>
      <c r="N86" s="548">
        <f ca="1">(IFERROR(IFERROR(VALUE(_xll.BDH(N$4,"PE_RATIO",$B86,$B86)),VALUE(_xll.BDH(N$4,"PE_RATIO",$B86+1,$B86+1))),N87))</f>
        <v>0</v>
      </c>
      <c r="O86" s="548">
        <f ca="1">(IFERROR(IFERROR(VALUE(_xll.BDH(O$4,"PE_RATIO",$B86,$B86)),VALUE(_xll.BDH(O$4,"PE_RATIO",$B86+1,$B86+1))),O87))</f>
        <v>0</v>
      </c>
      <c r="P86" s="548"/>
      <c r="Q86" s="552">
        <f t="shared" ca="1" si="25"/>
        <v>45384</v>
      </c>
      <c r="R86" s="4">
        <v>256.91000000000003</v>
      </c>
      <c r="S86" s="4">
        <v>5088.8</v>
      </c>
      <c r="T86" s="4">
        <v>0</v>
      </c>
      <c r="U86" s="4">
        <v>1.318704445128837</v>
      </c>
      <c r="V86" s="4">
        <v>1.4192245692516219</v>
      </c>
      <c r="W86" s="4" t="e">
        <v>#DIV/0!</v>
      </c>
      <c r="Y86" s="548">
        <f t="shared" si="26"/>
        <v>256.91000000000003</v>
      </c>
      <c r="Z86" s="4">
        <f ca="1">IFERROR(VALUE(_xll.BDH(Z$4,"PX_LAST",$Q86,$Q86)),Z87)</f>
        <v>0</v>
      </c>
      <c r="AA86" s="4">
        <f ca="1">IFERROR(VALUE(_xll.BDH(AA$4,"PX_LAST",$Q86,$Q86)),AA87)</f>
        <v>0</v>
      </c>
      <c r="AB86" s="4">
        <f ca="1">IFERROR(VALUE(_xll.BDH(AB$4,"PX_LAST",$Q86,$Q86)),AB87)</f>
        <v>0</v>
      </c>
      <c r="AC86" s="4">
        <f ca="1">IFERROR(VALUE(_xll.BDH(AC$4,"PX_LAST",$Q86,$Q86)),AC87)</f>
        <v>0</v>
      </c>
      <c r="AD86" s="4">
        <f ca="1">IFERROR(VALUE(_xll.BDH(AD$4,"PX_LAST",$Q86,$Q86)),AD87)</f>
        <v>0</v>
      </c>
      <c r="AF86" s="4">
        <f t="shared" si="27"/>
        <v>1.318704445128837</v>
      </c>
      <c r="AG86" s="4" t="e">
        <f t="shared" ca="1" si="28"/>
        <v>#DIV/0!</v>
      </c>
      <c r="AH86" s="4" t="e">
        <f t="shared" ca="1" si="29"/>
        <v>#DIV/0!</v>
      </c>
      <c r="AI86" s="4" t="e">
        <f t="shared" ca="1" si="30"/>
        <v>#DIV/0!</v>
      </c>
      <c r="AJ86" s="4" t="e">
        <f t="shared" ca="1" si="31"/>
        <v>#DIV/0!</v>
      </c>
      <c r="AK86" s="4" t="e">
        <f t="shared" ca="1" si="32"/>
        <v>#DIV/0!</v>
      </c>
      <c r="AM86" s="550">
        <f t="shared" ca="1" si="33"/>
        <v>45869</v>
      </c>
      <c r="AN86" s="551">
        <v>222.51</v>
      </c>
      <c r="AO86" s="551">
        <v>4274310</v>
      </c>
      <c r="AP86" s="551">
        <v>597.47560999999996</v>
      </c>
      <c r="AQ86" s="551">
        <v>132944.29798109998</v>
      </c>
      <c r="AR86" s="551">
        <v>5.5571000000000002</v>
      </c>
    </row>
    <row r="87" spans="2:44" x14ac:dyDescent="0.3">
      <c r="B87" s="552">
        <f t="shared" ca="1" si="34"/>
        <v>45377</v>
      </c>
      <c r="C87" s="548">
        <f ca="1">(IFERROR(IFERROR(VALUE(_xll.BDH(C$4,"CURRENT_EV_TO_T12M_EBITDA",$B87,$B87)),VALUE(_xll.BDH(C$4,"CURRENT_EV_TO_T12M_EBITDA",$B87+1,$B87+1))),C88))</f>
        <v>0</v>
      </c>
      <c r="D87" s="548">
        <f ca="1">(IFERROR(IFERROR(VALUE(_xll.BDH(D$4,"CURRENT_EV_TO_T12M_EBITDA",$B87,$B87)),VALUE(_xll.BDH(D$4,"CURRENT_EV_TO_T12M_EBITDA",$B87+1,$B87+1))),D88))</f>
        <v>0</v>
      </c>
      <c r="E87" s="548">
        <f ca="1">(IFERROR(IFERROR(VALUE(_xll.BDH(E$4,"CURRENT_EV_TO_T12M_EBITDA",$B87,$B87)),VALUE(_xll.BDH(E$4,"CURRENT_EV_TO_T12M_EBITDA",$B87+1,$B87+1))),E88))</f>
        <v>0</v>
      </c>
      <c r="F87" s="548">
        <f ca="1">(IFERROR(IFERROR(VALUE(_xll.BDH(F$4,"CURRENT_EV_TO_T12M_EBITDA",$B87,$B87)),VALUE(_xll.BDH(F$4,"CURRENT_EV_TO_T12M_EBITDA",$B87+1,$B87+1))),F88))</f>
        <v>0</v>
      </c>
      <c r="G87" s="548">
        <f ca="1">(IFERROR(IFERROR(VALUE(_xll.BDH(G$4,"CURRENT_EV_TO_T12M_EBITDA",$B87,$B87)),VALUE(_xll.BDH(G$4,"CURRENT_EV_TO_T12M_EBITDA",$B87+1,$B87+1))),G88))</f>
        <v>0</v>
      </c>
      <c r="H87" s="548">
        <f ca="1">(IFERROR(IFERROR(VALUE(_xll.BDH(H$4,"CURRENT_EV_TO_T12M_EBITDA",$B87,$B87)),VALUE(_xll.BDH(H$4,"CURRENT_EV_TO_T12M_EBITDA",$B87+1,$B87+1))),H88))</f>
        <v>0</v>
      </c>
      <c r="I87" s="552">
        <f t="shared" ca="1" si="24"/>
        <v>45377</v>
      </c>
      <c r="J87" s="548">
        <f ca="1">(IFERROR(IFERROR(VALUE(_xll.BDH(J$4,"PE_RATIO",$B87,$B87)),VALUE(_xll.BDH(J$4,"PE_RATIO",$B87+1,$B87+1))),J88))</f>
        <v>0</v>
      </c>
      <c r="K87" s="548">
        <f ca="1">(IFERROR(IFERROR(VALUE(_xll.BDH(K$4,"PE_RATIO",$B87,$B87)),VALUE(_xll.BDH(K$4,"PE_RATIO",$B87+1,$B87+1))),K88))</f>
        <v>0</v>
      </c>
      <c r="L87" s="548">
        <f ca="1">(IFERROR(IFERROR(VALUE(_xll.BDH(L$4,"PE_RATIO",$B87,$B87)),VALUE(_xll.BDH(L$4,"PE_RATIO",$B87+1,$B87+1))),L88))</f>
        <v>0</v>
      </c>
      <c r="M87" s="548">
        <f ca="1">(IFERROR(IFERROR(VALUE(_xll.BDH(M$4,"PE_RATIO",$B87,$B87)),VALUE(_xll.BDH(M$4,"PE_RATIO",$B87+1,$B87+1))),M88))</f>
        <v>0</v>
      </c>
      <c r="N87" s="548">
        <f ca="1">(IFERROR(IFERROR(VALUE(_xll.BDH(N$4,"PE_RATIO",$B87,$B87)),VALUE(_xll.BDH(N$4,"PE_RATIO",$B87+1,$B87+1))),N88))</f>
        <v>0</v>
      </c>
      <c r="O87" s="548">
        <f ca="1">(IFERROR(IFERROR(VALUE(_xll.BDH(O$4,"PE_RATIO",$B87,$B87)),VALUE(_xll.BDH(O$4,"PE_RATIO",$B87+1,$B87+1))),O88))</f>
        <v>0</v>
      </c>
      <c r="P87" s="548"/>
      <c r="Q87" s="552">
        <f t="shared" ca="1" si="25"/>
        <v>45377</v>
      </c>
      <c r="R87" s="4">
        <v>246.59</v>
      </c>
      <c r="S87" s="4">
        <v>5005.57</v>
      </c>
      <c r="T87" s="4">
        <v>0</v>
      </c>
      <c r="U87" s="4">
        <v>1.2657324709988709</v>
      </c>
      <c r="V87" s="4">
        <v>1.3960124051070666</v>
      </c>
      <c r="W87" s="4" t="e">
        <v>#DIV/0!</v>
      </c>
      <c r="Y87" s="548">
        <f t="shared" si="26"/>
        <v>246.59</v>
      </c>
      <c r="Z87" s="4">
        <f ca="1">IFERROR(VALUE(_xll.BDH(Z$4,"PX_LAST",$Q87,$Q87)),Z88)</f>
        <v>0</v>
      </c>
      <c r="AA87" s="4">
        <f ca="1">IFERROR(VALUE(_xll.BDH(AA$4,"PX_LAST",$Q87,$Q87)),AA88)</f>
        <v>0</v>
      </c>
      <c r="AB87" s="4">
        <f ca="1">IFERROR(VALUE(_xll.BDH(AB$4,"PX_LAST",$Q87,$Q87)),AB88)</f>
        <v>0</v>
      </c>
      <c r="AC87" s="4">
        <f ca="1">IFERROR(VALUE(_xll.BDH(AC$4,"PX_LAST",$Q87,$Q87)),AC88)</f>
        <v>0</v>
      </c>
      <c r="AD87" s="4">
        <f ca="1">IFERROR(VALUE(_xll.BDH(AD$4,"PX_LAST",$Q87,$Q87)),AD88)</f>
        <v>0</v>
      </c>
      <c r="AF87" s="4">
        <f t="shared" si="27"/>
        <v>1.2657324709988709</v>
      </c>
      <c r="AG87" s="4" t="e">
        <f t="shared" ca="1" si="28"/>
        <v>#DIV/0!</v>
      </c>
      <c r="AH87" s="4" t="e">
        <f t="shared" ca="1" si="29"/>
        <v>#DIV/0!</v>
      </c>
      <c r="AI87" s="4" t="e">
        <f t="shared" ca="1" si="30"/>
        <v>#DIV/0!</v>
      </c>
      <c r="AJ87" s="4" t="e">
        <f t="shared" ca="1" si="31"/>
        <v>#DIV/0!</v>
      </c>
      <c r="AK87" s="4" t="e">
        <f t="shared" ca="1" si="32"/>
        <v>#DIV/0!</v>
      </c>
      <c r="AM87" s="550">
        <f t="shared" ca="1" si="33"/>
        <v>45868</v>
      </c>
      <c r="AN87" s="551">
        <v>222.51</v>
      </c>
      <c r="AO87" s="551">
        <v>4274310</v>
      </c>
      <c r="AP87" s="551">
        <v>597.47560999999996</v>
      </c>
      <c r="AQ87" s="551">
        <v>132944.29798109998</v>
      </c>
      <c r="AR87" s="551">
        <v>5.5571000000000002</v>
      </c>
    </row>
    <row r="88" spans="2:44" x14ac:dyDescent="0.3">
      <c r="B88" s="552">
        <f t="shared" ca="1" si="34"/>
        <v>45370</v>
      </c>
      <c r="C88" s="548">
        <f ca="1">(IFERROR(IFERROR(VALUE(_xll.BDH(C$4,"CURRENT_EV_TO_T12M_EBITDA",$B88,$B88)),VALUE(_xll.BDH(C$4,"CURRENT_EV_TO_T12M_EBITDA",$B88+1,$B88+1))),C89))</f>
        <v>0</v>
      </c>
      <c r="D88" s="548">
        <f ca="1">(IFERROR(IFERROR(VALUE(_xll.BDH(D$4,"CURRENT_EV_TO_T12M_EBITDA",$B88,$B88)),VALUE(_xll.BDH(D$4,"CURRENT_EV_TO_T12M_EBITDA",$B88+1,$B88+1))),D89))</f>
        <v>0</v>
      </c>
      <c r="E88" s="548">
        <f ca="1">(IFERROR(IFERROR(VALUE(_xll.BDH(E$4,"CURRENT_EV_TO_T12M_EBITDA",$B88,$B88)),VALUE(_xll.BDH(E$4,"CURRENT_EV_TO_T12M_EBITDA",$B88+1,$B88+1))),E89))</f>
        <v>0</v>
      </c>
      <c r="F88" s="548">
        <f ca="1">(IFERROR(IFERROR(VALUE(_xll.BDH(F$4,"CURRENT_EV_TO_T12M_EBITDA",$B88,$B88)),VALUE(_xll.BDH(F$4,"CURRENT_EV_TO_T12M_EBITDA",$B88+1,$B88+1))),F89))</f>
        <v>0</v>
      </c>
      <c r="G88" s="548">
        <f ca="1">(IFERROR(IFERROR(VALUE(_xll.BDH(G$4,"CURRENT_EV_TO_T12M_EBITDA",$B88,$B88)),VALUE(_xll.BDH(G$4,"CURRENT_EV_TO_T12M_EBITDA",$B88+1,$B88+1))),G89))</f>
        <v>0</v>
      </c>
      <c r="H88" s="548">
        <f ca="1">(IFERROR(IFERROR(VALUE(_xll.BDH(H$4,"CURRENT_EV_TO_T12M_EBITDA",$B88,$B88)),VALUE(_xll.BDH(H$4,"CURRENT_EV_TO_T12M_EBITDA",$B88+1,$B88+1))),H89))</f>
        <v>0</v>
      </c>
      <c r="I88" s="552">
        <f t="shared" ca="1" si="24"/>
        <v>45370</v>
      </c>
      <c r="J88" s="548">
        <f ca="1">(IFERROR(IFERROR(VALUE(_xll.BDH(J$4,"PE_RATIO",$B88,$B88)),VALUE(_xll.BDH(J$4,"PE_RATIO",$B88+1,$B88+1))),J89))</f>
        <v>0</v>
      </c>
      <c r="K88" s="548">
        <f ca="1">(IFERROR(IFERROR(VALUE(_xll.BDH(K$4,"PE_RATIO",$B88,$B88)),VALUE(_xll.BDH(K$4,"PE_RATIO",$B88+1,$B88+1))),K89))</f>
        <v>0</v>
      </c>
      <c r="L88" s="548">
        <f ca="1">(IFERROR(IFERROR(VALUE(_xll.BDH(L$4,"PE_RATIO",$B88,$B88)),VALUE(_xll.BDH(L$4,"PE_RATIO",$B88+1,$B88+1))),L89))</f>
        <v>0</v>
      </c>
      <c r="M88" s="548">
        <f ca="1">(IFERROR(IFERROR(VALUE(_xll.BDH(M$4,"PE_RATIO",$B88,$B88)),VALUE(_xll.BDH(M$4,"PE_RATIO",$B88+1,$B88+1))),M89))</f>
        <v>0</v>
      </c>
      <c r="N88" s="548">
        <f ca="1">(IFERROR(IFERROR(VALUE(_xll.BDH(N$4,"PE_RATIO",$B88,$B88)),VALUE(_xll.BDH(N$4,"PE_RATIO",$B88+1,$B88+1))),N89))</f>
        <v>0</v>
      </c>
      <c r="O88" s="548">
        <f ca="1">(IFERROR(IFERROR(VALUE(_xll.BDH(O$4,"PE_RATIO",$B88,$B88)),VALUE(_xll.BDH(O$4,"PE_RATIO",$B88+1,$B88+1))),O89))</f>
        <v>0</v>
      </c>
      <c r="P88" s="548"/>
      <c r="Q88" s="552">
        <f t="shared" ca="1" si="25"/>
        <v>45370</v>
      </c>
      <c r="R88" s="4">
        <v>249.45</v>
      </c>
      <c r="S88" s="4">
        <v>5026.6099999999997</v>
      </c>
      <c r="T88" s="4">
        <v>0</v>
      </c>
      <c r="U88" s="4">
        <v>1.2804126886356637</v>
      </c>
      <c r="V88" s="4">
        <v>1.4018802884856734</v>
      </c>
      <c r="W88" s="4" t="e">
        <v>#DIV/0!</v>
      </c>
      <c r="Y88" s="548">
        <f t="shared" si="26"/>
        <v>249.45</v>
      </c>
      <c r="Z88" s="4">
        <f ca="1">IFERROR(VALUE(_xll.BDH(Z$4,"PX_LAST",$Q88,$Q88)),Z89)</f>
        <v>0</v>
      </c>
      <c r="AA88" s="4">
        <f ca="1">IFERROR(VALUE(_xll.BDH(AA$4,"PX_LAST",$Q88,$Q88)),AA89)</f>
        <v>0</v>
      </c>
      <c r="AB88" s="4">
        <f ca="1">IFERROR(VALUE(_xll.BDH(AB$4,"PX_LAST",$Q88,$Q88)),AB89)</f>
        <v>0</v>
      </c>
      <c r="AC88" s="4">
        <f ca="1">IFERROR(VALUE(_xll.BDH(AC$4,"PX_LAST",$Q88,$Q88)),AC89)</f>
        <v>0</v>
      </c>
      <c r="AD88" s="4">
        <f ca="1">IFERROR(VALUE(_xll.BDH(AD$4,"PX_LAST",$Q88,$Q88)),AD89)</f>
        <v>0</v>
      </c>
      <c r="AF88" s="4">
        <f t="shared" si="27"/>
        <v>1.2804126886356637</v>
      </c>
      <c r="AG88" s="4" t="e">
        <f t="shared" ca="1" si="28"/>
        <v>#DIV/0!</v>
      </c>
      <c r="AH88" s="4" t="e">
        <f t="shared" ca="1" si="29"/>
        <v>#DIV/0!</v>
      </c>
      <c r="AI88" s="4" t="e">
        <f t="shared" ca="1" si="30"/>
        <v>#DIV/0!</v>
      </c>
      <c r="AJ88" s="4" t="e">
        <f t="shared" ca="1" si="31"/>
        <v>#DIV/0!</v>
      </c>
      <c r="AK88" s="4" t="e">
        <f t="shared" ca="1" si="32"/>
        <v>#DIV/0!</v>
      </c>
      <c r="AM88" s="550">
        <f t="shared" ca="1" si="33"/>
        <v>45867</v>
      </c>
      <c r="AN88" s="551">
        <v>222.51</v>
      </c>
      <c r="AO88" s="551">
        <v>4274310</v>
      </c>
      <c r="AP88" s="551">
        <v>597.47560999999996</v>
      </c>
      <c r="AQ88" s="551">
        <v>132944.29798109998</v>
      </c>
      <c r="AR88" s="551">
        <v>5.5571000000000002</v>
      </c>
    </row>
    <row r="89" spans="2:44" x14ac:dyDescent="0.3">
      <c r="B89" s="552">
        <f t="shared" ca="1" si="34"/>
        <v>45363</v>
      </c>
      <c r="C89" s="548">
        <f ca="1">(IFERROR(IFERROR(VALUE(_xll.BDH(C$4,"CURRENT_EV_TO_T12M_EBITDA",$B89,$B89)),VALUE(_xll.BDH(C$4,"CURRENT_EV_TO_T12M_EBITDA",$B89+1,$B89+1))),C90))</f>
        <v>0</v>
      </c>
      <c r="D89" s="548">
        <f ca="1">(IFERROR(IFERROR(VALUE(_xll.BDH(D$4,"CURRENT_EV_TO_T12M_EBITDA",$B89,$B89)),VALUE(_xll.BDH(D$4,"CURRENT_EV_TO_T12M_EBITDA",$B89+1,$B89+1))),D90))</f>
        <v>0</v>
      </c>
      <c r="E89" s="548">
        <f ca="1">(IFERROR(IFERROR(VALUE(_xll.BDH(E$4,"CURRENT_EV_TO_T12M_EBITDA",$B89,$B89)),VALUE(_xll.BDH(E$4,"CURRENT_EV_TO_T12M_EBITDA",$B89+1,$B89+1))),E90))</f>
        <v>0</v>
      </c>
      <c r="F89" s="548">
        <f ca="1">(IFERROR(IFERROR(VALUE(_xll.BDH(F$4,"CURRENT_EV_TO_T12M_EBITDA",$B89,$B89)),VALUE(_xll.BDH(F$4,"CURRENT_EV_TO_T12M_EBITDA",$B89+1,$B89+1))),F90))</f>
        <v>0</v>
      </c>
      <c r="G89" s="548">
        <f ca="1">(IFERROR(IFERROR(VALUE(_xll.BDH(G$4,"CURRENT_EV_TO_T12M_EBITDA",$B89,$B89)),VALUE(_xll.BDH(G$4,"CURRENT_EV_TO_T12M_EBITDA",$B89+1,$B89+1))),G90))</f>
        <v>0</v>
      </c>
      <c r="H89" s="548">
        <f ca="1">(IFERROR(IFERROR(VALUE(_xll.BDH(H$4,"CURRENT_EV_TO_T12M_EBITDA",$B89,$B89)),VALUE(_xll.BDH(H$4,"CURRENT_EV_TO_T12M_EBITDA",$B89+1,$B89+1))),H90))</f>
        <v>0</v>
      </c>
      <c r="I89" s="552">
        <f t="shared" ca="1" si="24"/>
        <v>45363</v>
      </c>
      <c r="J89" s="548">
        <f ca="1">(IFERROR(IFERROR(VALUE(_xll.BDH(J$4,"PE_RATIO",$B89,$B89)),VALUE(_xll.BDH(J$4,"PE_RATIO",$B89+1,$B89+1))),J90))</f>
        <v>0</v>
      </c>
      <c r="K89" s="548">
        <f ca="1">(IFERROR(IFERROR(VALUE(_xll.BDH(K$4,"PE_RATIO",$B89,$B89)),VALUE(_xll.BDH(K$4,"PE_RATIO",$B89+1,$B89+1))),K90))</f>
        <v>0</v>
      </c>
      <c r="L89" s="548">
        <f ca="1">(IFERROR(IFERROR(VALUE(_xll.BDH(L$4,"PE_RATIO",$B89,$B89)),VALUE(_xll.BDH(L$4,"PE_RATIO",$B89+1,$B89+1))),L90))</f>
        <v>0</v>
      </c>
      <c r="M89" s="548">
        <f ca="1">(IFERROR(IFERROR(VALUE(_xll.BDH(M$4,"PE_RATIO",$B89,$B89)),VALUE(_xll.BDH(M$4,"PE_RATIO",$B89+1,$B89+1))),M90))</f>
        <v>0</v>
      </c>
      <c r="N89" s="548">
        <f ca="1">(IFERROR(IFERROR(VALUE(_xll.BDH(N$4,"PE_RATIO",$B89,$B89)),VALUE(_xll.BDH(N$4,"PE_RATIO",$B89+1,$B89+1))),N90))</f>
        <v>0</v>
      </c>
      <c r="O89" s="548">
        <f ca="1">(IFERROR(IFERROR(VALUE(_xll.BDH(O$4,"PE_RATIO",$B89,$B89)),VALUE(_xll.BDH(O$4,"PE_RATIO",$B89+1,$B89+1))),O90))</f>
        <v>0</v>
      </c>
      <c r="P89" s="548"/>
      <c r="Q89" s="552">
        <f t="shared" ca="1" si="25"/>
        <v>45363</v>
      </c>
      <c r="R89" s="4">
        <v>248.33</v>
      </c>
      <c r="S89" s="4">
        <v>4958.6099999999997</v>
      </c>
      <c r="T89" s="4">
        <v>0</v>
      </c>
      <c r="U89" s="4">
        <v>1.2746637922184583</v>
      </c>
      <c r="V89" s="4">
        <v>1.3829156463875145</v>
      </c>
      <c r="W89" s="4" t="e">
        <v>#DIV/0!</v>
      </c>
      <c r="Y89" s="548">
        <f t="shared" si="26"/>
        <v>248.33</v>
      </c>
      <c r="Z89" s="4">
        <f ca="1">IFERROR(VALUE(_xll.BDH(Z$4,"PX_LAST",$Q89,$Q89)),Z90)</f>
        <v>0</v>
      </c>
      <c r="AA89" s="4">
        <f ca="1">IFERROR(VALUE(_xll.BDH(AA$4,"PX_LAST",$Q89,$Q89)),AA90)</f>
        <v>0</v>
      </c>
      <c r="AB89" s="4">
        <f ca="1">IFERROR(VALUE(_xll.BDH(AB$4,"PX_LAST",$Q89,$Q89)),AB90)</f>
        <v>0</v>
      </c>
      <c r="AC89" s="4">
        <f ca="1">IFERROR(VALUE(_xll.BDH(AC$4,"PX_LAST",$Q89,$Q89)),AC90)</f>
        <v>0</v>
      </c>
      <c r="AD89" s="4">
        <f ca="1">IFERROR(VALUE(_xll.BDH(AD$4,"PX_LAST",$Q89,$Q89)),AD90)</f>
        <v>0</v>
      </c>
      <c r="AF89" s="4">
        <f t="shared" si="27"/>
        <v>1.2746637922184583</v>
      </c>
      <c r="AG89" s="4" t="e">
        <f t="shared" ca="1" si="28"/>
        <v>#DIV/0!</v>
      </c>
      <c r="AH89" s="4" t="e">
        <f t="shared" ca="1" si="29"/>
        <v>#DIV/0!</v>
      </c>
      <c r="AI89" s="4" t="e">
        <f t="shared" ca="1" si="30"/>
        <v>#DIV/0!</v>
      </c>
      <c r="AJ89" s="4" t="e">
        <f t="shared" ca="1" si="31"/>
        <v>#DIV/0!</v>
      </c>
      <c r="AK89" s="4" t="e">
        <f t="shared" ca="1" si="32"/>
        <v>#DIV/0!</v>
      </c>
      <c r="AM89" s="550">
        <f t="shared" ca="1" si="33"/>
        <v>45866</v>
      </c>
      <c r="AN89" s="551">
        <v>222.01</v>
      </c>
      <c r="AO89" s="551">
        <v>2414525</v>
      </c>
      <c r="AP89" s="551">
        <v>597.47560999999996</v>
      </c>
      <c r="AQ89" s="551">
        <v>132645.5601761</v>
      </c>
      <c r="AR89" s="551">
        <v>5.5446</v>
      </c>
    </row>
    <row r="90" spans="2:44" x14ac:dyDescent="0.3">
      <c r="B90" s="552">
        <f t="shared" ca="1" si="34"/>
        <v>45356</v>
      </c>
      <c r="C90" s="548">
        <f ca="1">(IFERROR(IFERROR(VALUE(_xll.BDH(C$4,"CURRENT_EV_TO_T12M_EBITDA",$B90,$B90)),VALUE(_xll.BDH(C$4,"CURRENT_EV_TO_T12M_EBITDA",$B90+1,$B90+1))),C91))</f>
        <v>0</v>
      </c>
      <c r="D90" s="548">
        <f ca="1">(IFERROR(IFERROR(VALUE(_xll.BDH(D$4,"CURRENT_EV_TO_T12M_EBITDA",$B90,$B90)),VALUE(_xll.BDH(D$4,"CURRENT_EV_TO_T12M_EBITDA",$B90+1,$B90+1))),D91))</f>
        <v>0</v>
      </c>
      <c r="E90" s="548">
        <f ca="1">(IFERROR(IFERROR(VALUE(_xll.BDH(E$4,"CURRENT_EV_TO_T12M_EBITDA",$B90,$B90)),VALUE(_xll.BDH(E$4,"CURRENT_EV_TO_T12M_EBITDA",$B90+1,$B90+1))),E91))</f>
        <v>0</v>
      </c>
      <c r="F90" s="548">
        <f ca="1">(IFERROR(IFERROR(VALUE(_xll.BDH(F$4,"CURRENT_EV_TO_T12M_EBITDA",$B90,$B90)),VALUE(_xll.BDH(F$4,"CURRENT_EV_TO_T12M_EBITDA",$B90+1,$B90+1))),F91))</f>
        <v>0</v>
      </c>
      <c r="G90" s="548">
        <f ca="1">(IFERROR(IFERROR(VALUE(_xll.BDH(G$4,"CURRENT_EV_TO_T12M_EBITDA",$B90,$B90)),VALUE(_xll.BDH(G$4,"CURRENT_EV_TO_T12M_EBITDA",$B90+1,$B90+1))),G91))</f>
        <v>0</v>
      </c>
      <c r="H90" s="548">
        <f ca="1">(IFERROR(IFERROR(VALUE(_xll.BDH(H$4,"CURRENT_EV_TO_T12M_EBITDA",$B90,$B90)),VALUE(_xll.BDH(H$4,"CURRENT_EV_TO_T12M_EBITDA",$B90+1,$B90+1))),H91))</f>
        <v>0</v>
      </c>
      <c r="I90" s="552">
        <f t="shared" ca="1" si="24"/>
        <v>45356</v>
      </c>
      <c r="J90" s="548">
        <f ca="1">(IFERROR(IFERROR(VALUE(_xll.BDH(J$4,"PE_RATIO",$B90,$B90)),VALUE(_xll.BDH(J$4,"PE_RATIO",$B90+1,$B90+1))),J91))</f>
        <v>0</v>
      </c>
      <c r="K90" s="548">
        <f ca="1">(IFERROR(IFERROR(VALUE(_xll.BDH(K$4,"PE_RATIO",$B90,$B90)),VALUE(_xll.BDH(K$4,"PE_RATIO",$B90+1,$B90+1))),K91))</f>
        <v>0</v>
      </c>
      <c r="L90" s="548">
        <f ca="1">(IFERROR(IFERROR(VALUE(_xll.BDH(L$4,"PE_RATIO",$B90,$B90)),VALUE(_xll.BDH(L$4,"PE_RATIO",$B90+1,$B90+1))),L91))</f>
        <v>0</v>
      </c>
      <c r="M90" s="548">
        <f ca="1">(IFERROR(IFERROR(VALUE(_xll.BDH(M$4,"PE_RATIO",$B90,$B90)),VALUE(_xll.BDH(M$4,"PE_RATIO",$B90+1,$B90+1))),M91))</f>
        <v>0</v>
      </c>
      <c r="N90" s="548">
        <f ca="1">(IFERROR(IFERROR(VALUE(_xll.BDH(N$4,"PE_RATIO",$B90,$B90)),VALUE(_xll.BDH(N$4,"PE_RATIO",$B90+1,$B90+1))),N91))</f>
        <v>0</v>
      </c>
      <c r="O90" s="548">
        <f ca="1">(IFERROR(IFERROR(VALUE(_xll.BDH(O$4,"PE_RATIO",$B90,$B90)),VALUE(_xll.BDH(O$4,"PE_RATIO",$B90+1,$B90+1))),O91))</f>
        <v>0</v>
      </c>
      <c r="P90" s="548"/>
      <c r="Q90" s="552">
        <f t="shared" ca="1" si="25"/>
        <v>45356</v>
      </c>
      <c r="R90" s="4">
        <v>240.39</v>
      </c>
      <c r="S90" s="4">
        <v>4890.97</v>
      </c>
      <c r="T90" s="4">
        <v>0</v>
      </c>
      <c r="U90" s="4">
        <v>1.2339082229750538</v>
      </c>
      <c r="V90" s="4">
        <v>1.364051405335758</v>
      </c>
      <c r="W90" s="4" t="e">
        <v>#DIV/0!</v>
      </c>
      <c r="Y90" s="548">
        <f t="shared" si="26"/>
        <v>240.39</v>
      </c>
      <c r="Z90" s="4">
        <f ca="1">IFERROR(VALUE(_xll.BDH(Z$4,"PX_LAST",$Q90,$Q90)),Z91)</f>
        <v>0</v>
      </c>
      <c r="AA90" s="4">
        <f ca="1">IFERROR(VALUE(_xll.BDH(AA$4,"PX_LAST",$Q90,$Q90)),AA91)</f>
        <v>0</v>
      </c>
      <c r="AB90" s="4">
        <f ca="1">IFERROR(VALUE(_xll.BDH(AB$4,"PX_LAST",$Q90,$Q90)),AB91)</f>
        <v>0</v>
      </c>
      <c r="AC90" s="4">
        <f ca="1">IFERROR(VALUE(_xll.BDH(AC$4,"PX_LAST",$Q90,$Q90)),AC91)</f>
        <v>0</v>
      </c>
      <c r="AD90" s="4">
        <f ca="1">IFERROR(VALUE(_xll.BDH(AD$4,"PX_LAST",$Q90,$Q90)),AD91)</f>
        <v>0</v>
      </c>
      <c r="AF90" s="4">
        <f t="shared" si="27"/>
        <v>1.2339082229750538</v>
      </c>
      <c r="AG90" s="4" t="e">
        <f t="shared" ca="1" si="28"/>
        <v>#DIV/0!</v>
      </c>
      <c r="AH90" s="4" t="e">
        <f t="shared" ca="1" si="29"/>
        <v>#DIV/0!</v>
      </c>
      <c r="AI90" s="4" t="e">
        <f t="shared" ca="1" si="30"/>
        <v>#DIV/0!</v>
      </c>
      <c r="AJ90" s="4" t="e">
        <f t="shared" ca="1" si="31"/>
        <v>#DIV/0!</v>
      </c>
      <c r="AK90" s="4" t="e">
        <f t="shared" ca="1" si="32"/>
        <v>#DIV/0!</v>
      </c>
      <c r="AM90" s="550">
        <f t="shared" ca="1" si="33"/>
        <v>45865</v>
      </c>
      <c r="AN90" s="551">
        <v>222.01</v>
      </c>
      <c r="AO90" s="551">
        <v>2414525</v>
      </c>
      <c r="AP90" s="551">
        <v>597.47560999999996</v>
      </c>
      <c r="AQ90" s="551">
        <v>132645.5601761</v>
      </c>
      <c r="AR90" s="551">
        <v>5.5446</v>
      </c>
    </row>
    <row r="91" spans="2:44" x14ac:dyDescent="0.3">
      <c r="B91" s="552">
        <f t="shared" ca="1" si="34"/>
        <v>45349</v>
      </c>
      <c r="C91" s="548">
        <f ca="1">(IFERROR(IFERROR(VALUE(_xll.BDH(C$4,"CURRENT_EV_TO_T12M_EBITDA",$B91,$B91)),VALUE(_xll.BDH(C$4,"CURRENT_EV_TO_T12M_EBITDA",$B91+1,$B91+1))),C92))</f>
        <v>0</v>
      </c>
      <c r="D91" s="548">
        <f ca="1">(IFERROR(IFERROR(VALUE(_xll.BDH(D$4,"CURRENT_EV_TO_T12M_EBITDA",$B91,$B91)),VALUE(_xll.BDH(D$4,"CURRENT_EV_TO_T12M_EBITDA",$B91+1,$B91+1))),D92))</f>
        <v>0</v>
      </c>
      <c r="E91" s="548">
        <f ca="1">(IFERROR(IFERROR(VALUE(_xll.BDH(E$4,"CURRENT_EV_TO_T12M_EBITDA",$B91,$B91)),VALUE(_xll.BDH(E$4,"CURRENT_EV_TO_T12M_EBITDA",$B91+1,$B91+1))),E92))</f>
        <v>0</v>
      </c>
      <c r="F91" s="548">
        <f ca="1">(IFERROR(IFERROR(VALUE(_xll.BDH(F$4,"CURRENT_EV_TO_T12M_EBITDA",$B91,$B91)),VALUE(_xll.BDH(F$4,"CURRENT_EV_TO_T12M_EBITDA",$B91+1,$B91+1))),F92))</f>
        <v>0</v>
      </c>
      <c r="G91" s="548">
        <f ca="1">(IFERROR(IFERROR(VALUE(_xll.BDH(G$4,"CURRENT_EV_TO_T12M_EBITDA",$B91,$B91)),VALUE(_xll.BDH(G$4,"CURRENT_EV_TO_T12M_EBITDA",$B91+1,$B91+1))),G92))</f>
        <v>0</v>
      </c>
      <c r="H91" s="548">
        <f ca="1">(IFERROR(IFERROR(VALUE(_xll.BDH(H$4,"CURRENT_EV_TO_T12M_EBITDA",$B91,$B91)),VALUE(_xll.BDH(H$4,"CURRENT_EV_TO_T12M_EBITDA",$B91+1,$B91+1))),H92))</f>
        <v>0</v>
      </c>
      <c r="I91" s="552">
        <f t="shared" ca="1" si="24"/>
        <v>45349</v>
      </c>
      <c r="J91" s="548">
        <f ca="1">(IFERROR(IFERROR(VALUE(_xll.BDH(J$4,"PE_RATIO",$B91,$B91)),VALUE(_xll.BDH(J$4,"PE_RATIO",$B91+1,$B91+1))),J92))</f>
        <v>0</v>
      </c>
      <c r="K91" s="548">
        <f ca="1">(IFERROR(IFERROR(VALUE(_xll.BDH(K$4,"PE_RATIO",$B91,$B91)),VALUE(_xll.BDH(K$4,"PE_RATIO",$B91+1,$B91+1))),K92))</f>
        <v>0</v>
      </c>
      <c r="L91" s="548">
        <f ca="1">(IFERROR(IFERROR(VALUE(_xll.BDH(L$4,"PE_RATIO",$B91,$B91)),VALUE(_xll.BDH(L$4,"PE_RATIO",$B91+1,$B91+1))),L92))</f>
        <v>0</v>
      </c>
      <c r="M91" s="548">
        <f ca="1">(IFERROR(IFERROR(VALUE(_xll.BDH(M$4,"PE_RATIO",$B91,$B91)),VALUE(_xll.BDH(M$4,"PE_RATIO",$B91+1,$B91+1))),M92))</f>
        <v>0</v>
      </c>
      <c r="N91" s="548">
        <f ca="1">(IFERROR(IFERROR(VALUE(_xll.BDH(N$4,"PE_RATIO",$B91,$B91)),VALUE(_xll.BDH(N$4,"PE_RATIO",$B91+1,$B91+1))),N92))</f>
        <v>0</v>
      </c>
      <c r="O91" s="548">
        <f ca="1">(IFERROR(IFERROR(VALUE(_xll.BDH(O$4,"PE_RATIO",$B91,$B91)),VALUE(_xll.BDH(O$4,"PE_RATIO",$B91+1,$B91+1))),O92))</f>
        <v>0</v>
      </c>
      <c r="P91" s="548"/>
      <c r="Q91" s="552">
        <f t="shared" ca="1" si="25"/>
        <v>45349</v>
      </c>
      <c r="R91" s="4">
        <v>239.27</v>
      </c>
      <c r="S91" s="4">
        <v>4839.8100000000004</v>
      </c>
      <c r="T91" s="4">
        <v>0</v>
      </c>
      <c r="U91" s="4">
        <v>1.2281593265578483</v>
      </c>
      <c r="V91" s="4">
        <v>1.3497833010748492</v>
      </c>
      <c r="W91" s="4" t="e">
        <v>#DIV/0!</v>
      </c>
      <c r="Y91" s="548">
        <f t="shared" si="26"/>
        <v>239.27</v>
      </c>
      <c r="Z91" s="4">
        <f ca="1">IFERROR(VALUE(_xll.BDH(Z$4,"PX_LAST",$Q91,$Q91)),Z92)</f>
        <v>0</v>
      </c>
      <c r="AA91" s="4">
        <f ca="1">IFERROR(VALUE(_xll.BDH(AA$4,"PX_LAST",$Q91,$Q91)),AA92)</f>
        <v>0</v>
      </c>
      <c r="AB91" s="4">
        <f ca="1">IFERROR(VALUE(_xll.BDH(AB$4,"PX_LAST",$Q91,$Q91)),AB92)</f>
        <v>0</v>
      </c>
      <c r="AC91" s="4">
        <f ca="1">IFERROR(VALUE(_xll.BDH(AC$4,"PX_LAST",$Q91,$Q91)),AC92)</f>
        <v>0</v>
      </c>
      <c r="AD91" s="4">
        <f ca="1">IFERROR(VALUE(_xll.BDH(AD$4,"PX_LAST",$Q91,$Q91)),AD92)</f>
        <v>0</v>
      </c>
      <c r="AF91" s="4">
        <f t="shared" si="27"/>
        <v>1.2281593265578483</v>
      </c>
      <c r="AG91" s="4" t="e">
        <f t="shared" ca="1" si="28"/>
        <v>#DIV/0!</v>
      </c>
      <c r="AH91" s="4" t="e">
        <f t="shared" ca="1" si="29"/>
        <v>#DIV/0!</v>
      </c>
      <c r="AI91" s="4" t="e">
        <f t="shared" ca="1" si="30"/>
        <v>#DIV/0!</v>
      </c>
      <c r="AJ91" s="4" t="e">
        <f t="shared" ca="1" si="31"/>
        <v>#DIV/0!</v>
      </c>
      <c r="AK91" s="4" t="e">
        <f t="shared" ca="1" si="32"/>
        <v>#DIV/0!</v>
      </c>
      <c r="AM91" s="550">
        <f t="shared" ca="1" si="33"/>
        <v>45864</v>
      </c>
      <c r="AN91" s="551">
        <v>220.59</v>
      </c>
      <c r="AO91" s="551">
        <v>2767982</v>
      </c>
      <c r="AP91" s="551">
        <v>597.47560999999996</v>
      </c>
      <c r="AQ91" s="551">
        <v>131797.1448099</v>
      </c>
      <c r="AR91" s="551">
        <v>5.5091000000000001</v>
      </c>
    </row>
    <row r="92" spans="2:44" x14ac:dyDescent="0.3">
      <c r="B92" s="552">
        <f t="shared" ca="1" si="34"/>
        <v>45342</v>
      </c>
      <c r="C92" s="548">
        <f ca="1">(IFERROR(IFERROR(VALUE(_xll.BDH(C$4,"CURRENT_EV_TO_T12M_EBITDA",$B92,$B92)),VALUE(_xll.BDH(C$4,"CURRENT_EV_TO_T12M_EBITDA",$B92+1,$B92+1))),C93))</f>
        <v>0</v>
      </c>
      <c r="D92" s="548">
        <f ca="1">(IFERROR(IFERROR(VALUE(_xll.BDH(D$4,"CURRENT_EV_TO_T12M_EBITDA",$B92,$B92)),VALUE(_xll.BDH(D$4,"CURRENT_EV_TO_T12M_EBITDA",$B92+1,$B92+1))),D93))</f>
        <v>0</v>
      </c>
      <c r="E92" s="548">
        <f ca="1">(IFERROR(IFERROR(VALUE(_xll.BDH(E$4,"CURRENT_EV_TO_T12M_EBITDA",$B92,$B92)),VALUE(_xll.BDH(E$4,"CURRENT_EV_TO_T12M_EBITDA",$B92+1,$B92+1))),E93))</f>
        <v>0</v>
      </c>
      <c r="F92" s="548">
        <f ca="1">(IFERROR(IFERROR(VALUE(_xll.BDH(F$4,"CURRENT_EV_TO_T12M_EBITDA",$B92,$B92)),VALUE(_xll.BDH(F$4,"CURRENT_EV_TO_T12M_EBITDA",$B92+1,$B92+1))),F93))</f>
        <v>0</v>
      </c>
      <c r="G92" s="548">
        <f ca="1">(IFERROR(IFERROR(VALUE(_xll.BDH(G$4,"CURRENT_EV_TO_T12M_EBITDA",$B92,$B92)),VALUE(_xll.BDH(G$4,"CURRENT_EV_TO_T12M_EBITDA",$B92+1,$B92+1))),G93))</f>
        <v>0</v>
      </c>
      <c r="H92" s="548">
        <f ca="1">(IFERROR(IFERROR(VALUE(_xll.BDH(H$4,"CURRENT_EV_TO_T12M_EBITDA",$B92,$B92)),VALUE(_xll.BDH(H$4,"CURRENT_EV_TO_T12M_EBITDA",$B92+1,$B92+1))),H93))</f>
        <v>0</v>
      </c>
      <c r="I92" s="552">
        <f t="shared" ca="1" si="24"/>
        <v>45342</v>
      </c>
      <c r="J92" s="548">
        <f ca="1">(IFERROR(IFERROR(VALUE(_xll.BDH(J$4,"PE_RATIO",$B92,$B92)),VALUE(_xll.BDH(J$4,"PE_RATIO",$B92+1,$B92+1))),J93))</f>
        <v>0</v>
      </c>
      <c r="K92" s="548">
        <f ca="1">(IFERROR(IFERROR(VALUE(_xll.BDH(K$4,"PE_RATIO",$B92,$B92)),VALUE(_xll.BDH(K$4,"PE_RATIO",$B92+1,$B92+1))),K93))</f>
        <v>0</v>
      </c>
      <c r="L92" s="548">
        <f ca="1">(IFERROR(IFERROR(VALUE(_xll.BDH(L$4,"PE_RATIO",$B92,$B92)),VALUE(_xll.BDH(L$4,"PE_RATIO",$B92+1,$B92+1))),L93))</f>
        <v>0</v>
      </c>
      <c r="M92" s="548">
        <f ca="1">(IFERROR(IFERROR(VALUE(_xll.BDH(M$4,"PE_RATIO",$B92,$B92)),VALUE(_xll.BDH(M$4,"PE_RATIO",$B92+1,$B92+1))),M93))</f>
        <v>0</v>
      </c>
      <c r="N92" s="548">
        <f ca="1">(IFERROR(IFERROR(VALUE(_xll.BDH(N$4,"PE_RATIO",$B92,$B92)),VALUE(_xll.BDH(N$4,"PE_RATIO",$B92+1,$B92+1))),N93))</f>
        <v>0</v>
      </c>
      <c r="O92" s="548">
        <f ca="1">(IFERROR(IFERROR(VALUE(_xll.BDH(O$4,"PE_RATIO",$B92,$B92)),VALUE(_xll.BDH(O$4,"PE_RATIO",$B92+1,$B92+1))),O93))</f>
        <v>0</v>
      </c>
      <c r="P92" s="548"/>
      <c r="Q92" s="552">
        <f t="shared" ca="1" si="25"/>
        <v>45342</v>
      </c>
      <c r="R92" s="4">
        <v>237.71</v>
      </c>
      <c r="S92" s="4">
        <v>4783.83</v>
      </c>
      <c r="T92" s="4">
        <v>0</v>
      </c>
      <c r="U92" s="4">
        <v>1.2201519351195977</v>
      </c>
      <c r="V92" s="4">
        <v>1.3341709383593354</v>
      </c>
      <c r="W92" s="4" t="e">
        <v>#DIV/0!</v>
      </c>
      <c r="Y92" s="548">
        <f t="shared" si="26"/>
        <v>237.71</v>
      </c>
      <c r="Z92" s="4">
        <f ca="1">IFERROR(VALUE(_xll.BDH(Z$4,"PX_LAST",$Q92,$Q92)),Z93)</f>
        <v>0</v>
      </c>
      <c r="AA92" s="4">
        <f ca="1">IFERROR(VALUE(_xll.BDH(AA$4,"PX_LAST",$Q92,$Q92)),AA93)</f>
        <v>0</v>
      </c>
      <c r="AB92" s="4">
        <f ca="1">IFERROR(VALUE(_xll.BDH(AB$4,"PX_LAST",$Q92,$Q92)),AB93)</f>
        <v>0</v>
      </c>
      <c r="AC92" s="4">
        <f ca="1">IFERROR(VALUE(_xll.BDH(AC$4,"PX_LAST",$Q92,$Q92)),AC93)</f>
        <v>0</v>
      </c>
      <c r="AD92" s="4">
        <f ca="1">IFERROR(VALUE(_xll.BDH(AD$4,"PX_LAST",$Q92,$Q92)),AD93)</f>
        <v>0</v>
      </c>
      <c r="AF92" s="4">
        <f t="shared" si="27"/>
        <v>1.2201519351195977</v>
      </c>
      <c r="AG92" s="4" t="e">
        <f t="shared" ca="1" si="28"/>
        <v>#DIV/0!</v>
      </c>
      <c r="AH92" s="4" t="e">
        <f t="shared" ca="1" si="29"/>
        <v>#DIV/0!</v>
      </c>
      <c r="AI92" s="4" t="e">
        <f t="shared" ca="1" si="30"/>
        <v>#DIV/0!</v>
      </c>
      <c r="AJ92" s="4" t="e">
        <f t="shared" ca="1" si="31"/>
        <v>#DIV/0!</v>
      </c>
      <c r="AK92" s="4" t="e">
        <f t="shared" ca="1" si="32"/>
        <v>#DIV/0!</v>
      </c>
      <c r="AM92" s="550">
        <f t="shared" ca="1" si="33"/>
        <v>45863</v>
      </c>
      <c r="AN92" s="551">
        <v>224.65</v>
      </c>
      <c r="AO92" s="551">
        <v>2659554</v>
      </c>
      <c r="AP92" s="551">
        <v>597.47560999999996</v>
      </c>
      <c r="AQ92" s="551">
        <v>134222.89578649998</v>
      </c>
      <c r="AR92" s="551">
        <v>5.6105</v>
      </c>
    </row>
    <row r="93" spans="2:44" x14ac:dyDescent="0.3">
      <c r="B93" s="552">
        <f t="shared" ca="1" si="34"/>
        <v>45335</v>
      </c>
      <c r="C93" s="548">
        <f ca="1">(IFERROR(IFERROR(VALUE(_xll.BDH(C$4,"CURRENT_EV_TO_T12M_EBITDA",$B93,$B93)),VALUE(_xll.BDH(C$4,"CURRENT_EV_TO_T12M_EBITDA",$B93+1,$B93+1))),C94))</f>
        <v>0</v>
      </c>
      <c r="D93" s="548">
        <f ca="1">(IFERROR(IFERROR(VALUE(_xll.BDH(D$4,"CURRENT_EV_TO_T12M_EBITDA",$B93,$B93)),VALUE(_xll.BDH(D$4,"CURRENT_EV_TO_T12M_EBITDA",$B93+1,$B93+1))),D94))</f>
        <v>0</v>
      </c>
      <c r="E93" s="548">
        <f ca="1">(IFERROR(IFERROR(VALUE(_xll.BDH(E$4,"CURRENT_EV_TO_T12M_EBITDA",$B93,$B93)),VALUE(_xll.BDH(E$4,"CURRENT_EV_TO_T12M_EBITDA",$B93+1,$B93+1))),E94))</f>
        <v>0</v>
      </c>
      <c r="F93" s="548">
        <f ca="1">(IFERROR(IFERROR(VALUE(_xll.BDH(F$4,"CURRENT_EV_TO_T12M_EBITDA",$B93,$B93)),VALUE(_xll.BDH(F$4,"CURRENT_EV_TO_T12M_EBITDA",$B93+1,$B93+1))),F94))</f>
        <v>0</v>
      </c>
      <c r="G93" s="548">
        <f ca="1">(IFERROR(IFERROR(VALUE(_xll.BDH(G$4,"CURRENT_EV_TO_T12M_EBITDA",$B93,$B93)),VALUE(_xll.BDH(G$4,"CURRENT_EV_TO_T12M_EBITDA",$B93+1,$B93+1))),G94))</f>
        <v>0</v>
      </c>
      <c r="H93" s="548">
        <f ca="1">(IFERROR(IFERROR(VALUE(_xll.BDH(H$4,"CURRENT_EV_TO_T12M_EBITDA",$B93,$B93)),VALUE(_xll.BDH(H$4,"CURRENT_EV_TO_T12M_EBITDA",$B93+1,$B93+1))),H94))</f>
        <v>0</v>
      </c>
      <c r="I93" s="552">
        <f t="shared" ca="1" si="24"/>
        <v>45335</v>
      </c>
      <c r="J93" s="548">
        <f ca="1">(IFERROR(IFERROR(VALUE(_xll.BDH(J$4,"PE_RATIO",$B93,$B93)),VALUE(_xll.BDH(J$4,"PE_RATIO",$B93+1,$B93+1))),J94))</f>
        <v>0</v>
      </c>
      <c r="K93" s="548">
        <f ca="1">(IFERROR(IFERROR(VALUE(_xll.BDH(K$4,"PE_RATIO",$B93,$B93)),VALUE(_xll.BDH(K$4,"PE_RATIO",$B93+1,$B93+1))),K94))</f>
        <v>0</v>
      </c>
      <c r="L93" s="548">
        <f ca="1">(IFERROR(IFERROR(VALUE(_xll.BDH(L$4,"PE_RATIO",$B93,$B93)),VALUE(_xll.BDH(L$4,"PE_RATIO",$B93+1,$B93+1))),L94))</f>
        <v>0</v>
      </c>
      <c r="M93" s="548">
        <f ca="1">(IFERROR(IFERROR(VALUE(_xll.BDH(M$4,"PE_RATIO",$B93,$B93)),VALUE(_xll.BDH(M$4,"PE_RATIO",$B93+1,$B93+1))),M94))</f>
        <v>0</v>
      </c>
      <c r="N93" s="548">
        <f ca="1">(IFERROR(IFERROR(VALUE(_xll.BDH(N$4,"PE_RATIO",$B93,$B93)),VALUE(_xll.BDH(N$4,"PE_RATIO",$B93+1,$B93+1))),N94))</f>
        <v>0</v>
      </c>
      <c r="O93" s="548">
        <f ca="1">(IFERROR(IFERROR(VALUE(_xll.BDH(O$4,"PE_RATIO",$B93,$B93)),VALUE(_xll.BDH(O$4,"PE_RATIO",$B93+1,$B93+1))),O94))</f>
        <v>0</v>
      </c>
      <c r="P93" s="548"/>
      <c r="Q93" s="552">
        <f t="shared" ca="1" si="25"/>
        <v>45335</v>
      </c>
      <c r="R93" s="4">
        <v>239.91</v>
      </c>
      <c r="S93" s="4">
        <v>4697.24</v>
      </c>
      <c r="T93" s="4">
        <v>0</v>
      </c>
      <c r="U93" s="4">
        <v>1.231444410224823</v>
      </c>
      <c r="V93" s="4">
        <v>1.3100216977816945</v>
      </c>
      <c r="W93" s="4" t="e">
        <v>#DIV/0!</v>
      </c>
      <c r="Y93" s="548">
        <f t="shared" si="26"/>
        <v>239.91</v>
      </c>
      <c r="Z93" s="4">
        <f ca="1">IFERROR(VALUE(_xll.BDH(Z$4,"PX_LAST",$Q93,$Q93)),Z94)</f>
        <v>0</v>
      </c>
      <c r="AA93" s="4">
        <f ca="1">IFERROR(VALUE(_xll.BDH(AA$4,"PX_LAST",$Q93,$Q93)),AA94)</f>
        <v>0</v>
      </c>
      <c r="AB93" s="4">
        <f ca="1">IFERROR(VALUE(_xll.BDH(AB$4,"PX_LAST",$Q93,$Q93)),AB94)</f>
        <v>0</v>
      </c>
      <c r="AC93" s="4">
        <f ca="1">IFERROR(VALUE(_xll.BDH(AC$4,"PX_LAST",$Q93,$Q93)),AC94)</f>
        <v>0</v>
      </c>
      <c r="AD93" s="4">
        <f ca="1">IFERROR(VALUE(_xll.BDH(AD$4,"PX_LAST",$Q93,$Q93)),AD94)</f>
        <v>0</v>
      </c>
      <c r="AF93" s="4">
        <f t="shared" si="27"/>
        <v>1.231444410224823</v>
      </c>
      <c r="AG93" s="4" t="e">
        <f t="shared" ca="1" si="28"/>
        <v>#DIV/0!</v>
      </c>
      <c r="AH93" s="4" t="e">
        <f t="shared" ca="1" si="29"/>
        <v>#DIV/0!</v>
      </c>
      <c r="AI93" s="4" t="e">
        <f t="shared" ca="1" si="30"/>
        <v>#DIV/0!</v>
      </c>
      <c r="AJ93" s="4" t="e">
        <f t="shared" ca="1" si="31"/>
        <v>#DIV/0!</v>
      </c>
      <c r="AK93" s="4" t="e">
        <f t="shared" ca="1" si="32"/>
        <v>#DIV/0!</v>
      </c>
      <c r="AM93" s="550">
        <f t="shared" ca="1" si="33"/>
        <v>45862</v>
      </c>
      <c r="AN93" s="551">
        <v>223.37</v>
      </c>
      <c r="AO93" s="551">
        <v>1670104</v>
      </c>
      <c r="AP93" s="551">
        <v>597.47560999999996</v>
      </c>
      <c r="AQ93" s="551">
        <v>133458.12700569999</v>
      </c>
      <c r="AR93" s="551">
        <v>5.5785</v>
      </c>
    </row>
    <row r="94" spans="2:44" x14ac:dyDescent="0.3">
      <c r="B94" s="552">
        <f t="shared" ca="1" si="34"/>
        <v>45328</v>
      </c>
      <c r="C94" s="548">
        <f ca="1">(IFERROR(IFERROR(VALUE(_xll.BDH(C$4,"CURRENT_EV_TO_T12M_EBITDA",$B94,$B94)),VALUE(_xll.BDH(C$4,"CURRENT_EV_TO_T12M_EBITDA",$B94+1,$B94+1))),C95))</f>
        <v>0</v>
      </c>
      <c r="D94" s="548">
        <f ca="1">(IFERROR(IFERROR(VALUE(_xll.BDH(D$4,"CURRENT_EV_TO_T12M_EBITDA",$B94,$B94)),VALUE(_xll.BDH(D$4,"CURRENT_EV_TO_T12M_EBITDA",$B94+1,$B94+1))),D95))</f>
        <v>0</v>
      </c>
      <c r="E94" s="548">
        <f ca="1">(IFERROR(IFERROR(VALUE(_xll.BDH(E$4,"CURRENT_EV_TO_T12M_EBITDA",$B94,$B94)),VALUE(_xll.BDH(E$4,"CURRENT_EV_TO_T12M_EBITDA",$B94+1,$B94+1))),E95))</f>
        <v>0</v>
      </c>
      <c r="F94" s="548">
        <f ca="1">(IFERROR(IFERROR(VALUE(_xll.BDH(F$4,"CURRENT_EV_TO_T12M_EBITDA",$B94,$B94)),VALUE(_xll.BDH(F$4,"CURRENT_EV_TO_T12M_EBITDA",$B94+1,$B94+1))),F95))</f>
        <v>0</v>
      </c>
      <c r="G94" s="548">
        <f ca="1">(IFERROR(IFERROR(VALUE(_xll.BDH(G$4,"CURRENT_EV_TO_T12M_EBITDA",$B94,$B94)),VALUE(_xll.BDH(G$4,"CURRENT_EV_TO_T12M_EBITDA",$B94+1,$B94+1))),G95))</f>
        <v>0</v>
      </c>
      <c r="H94" s="548">
        <f ca="1">(IFERROR(IFERROR(VALUE(_xll.BDH(H$4,"CURRENT_EV_TO_T12M_EBITDA",$B94,$B94)),VALUE(_xll.BDH(H$4,"CURRENT_EV_TO_T12M_EBITDA",$B94+1,$B94+1))),H95))</f>
        <v>0</v>
      </c>
      <c r="I94" s="552">
        <f t="shared" ca="1" si="24"/>
        <v>45328</v>
      </c>
      <c r="J94" s="548">
        <f ca="1">(IFERROR(IFERROR(VALUE(_xll.BDH(J$4,"PE_RATIO",$B94,$B94)),VALUE(_xll.BDH(J$4,"PE_RATIO",$B94+1,$B94+1))),J95))</f>
        <v>0</v>
      </c>
      <c r="K94" s="548">
        <f ca="1">(IFERROR(IFERROR(VALUE(_xll.BDH(K$4,"PE_RATIO",$B94,$B94)),VALUE(_xll.BDH(K$4,"PE_RATIO",$B94+1,$B94+1))),K95))</f>
        <v>0</v>
      </c>
      <c r="L94" s="548">
        <f ca="1">(IFERROR(IFERROR(VALUE(_xll.BDH(L$4,"PE_RATIO",$B94,$B94)),VALUE(_xll.BDH(L$4,"PE_RATIO",$B94+1,$B94+1))),L95))</f>
        <v>0</v>
      </c>
      <c r="M94" s="548">
        <f ca="1">(IFERROR(IFERROR(VALUE(_xll.BDH(M$4,"PE_RATIO",$B94,$B94)),VALUE(_xll.BDH(M$4,"PE_RATIO",$B94+1,$B94+1))),M95))</f>
        <v>0</v>
      </c>
      <c r="N94" s="548">
        <f ca="1">(IFERROR(IFERROR(VALUE(_xll.BDH(N$4,"PE_RATIO",$B94,$B94)),VALUE(_xll.BDH(N$4,"PE_RATIO",$B94+1,$B94+1))),N95))</f>
        <v>0</v>
      </c>
      <c r="O94" s="548">
        <f ca="1">(IFERROR(IFERROR(VALUE(_xll.BDH(O$4,"PE_RATIO",$B94,$B94)),VALUE(_xll.BDH(O$4,"PE_RATIO",$B94+1,$B94+1))),O95))</f>
        <v>0</v>
      </c>
      <c r="P94" s="548"/>
      <c r="Q94" s="552">
        <f t="shared" ca="1" si="25"/>
        <v>45328</v>
      </c>
      <c r="R94" s="4">
        <v>245.62</v>
      </c>
      <c r="S94" s="4">
        <v>4769.83</v>
      </c>
      <c r="T94" s="4">
        <v>0</v>
      </c>
      <c r="U94" s="4">
        <v>1.2607535160661123</v>
      </c>
      <c r="V94" s="4">
        <v>1.3302664532214792</v>
      </c>
      <c r="W94" s="4" t="e">
        <v>#DIV/0!</v>
      </c>
      <c r="Y94" s="548">
        <f t="shared" si="26"/>
        <v>245.62</v>
      </c>
      <c r="Z94" s="4">
        <f ca="1">IFERROR(VALUE(_xll.BDH(Z$4,"PX_LAST",$Q94,$Q94)),Z95)</f>
        <v>0</v>
      </c>
      <c r="AA94" s="4">
        <f ca="1">IFERROR(VALUE(_xll.BDH(AA$4,"PX_LAST",$Q94,$Q94)),AA95)</f>
        <v>0</v>
      </c>
      <c r="AB94" s="4">
        <f ca="1">IFERROR(VALUE(_xll.BDH(AB$4,"PX_LAST",$Q94,$Q94)),AB95)</f>
        <v>0</v>
      </c>
      <c r="AC94" s="4">
        <f ca="1">IFERROR(VALUE(_xll.BDH(AC$4,"PX_LAST",$Q94,$Q94)),AC95)</f>
        <v>0</v>
      </c>
      <c r="AD94" s="4">
        <f ca="1">IFERROR(VALUE(_xll.BDH(AD$4,"PX_LAST",$Q94,$Q94)),AD95)</f>
        <v>0</v>
      </c>
      <c r="AF94" s="4">
        <f t="shared" si="27"/>
        <v>1.2607535160661123</v>
      </c>
      <c r="AG94" s="4" t="e">
        <f t="shared" ca="1" si="28"/>
        <v>#DIV/0!</v>
      </c>
      <c r="AH94" s="4" t="e">
        <f t="shared" ca="1" si="29"/>
        <v>#DIV/0!</v>
      </c>
      <c r="AI94" s="4" t="e">
        <f t="shared" ca="1" si="30"/>
        <v>#DIV/0!</v>
      </c>
      <c r="AJ94" s="4" t="e">
        <f t="shared" ca="1" si="31"/>
        <v>#DIV/0!</v>
      </c>
      <c r="AK94" s="4" t="e">
        <f t="shared" ca="1" si="32"/>
        <v>#DIV/0!</v>
      </c>
      <c r="AM94" s="550">
        <f t="shared" ca="1" si="33"/>
        <v>45861</v>
      </c>
      <c r="AN94" s="551">
        <v>223.37</v>
      </c>
      <c r="AO94" s="551">
        <v>1670104</v>
      </c>
      <c r="AP94" s="551">
        <v>597.47560999999996</v>
      </c>
      <c r="AQ94" s="551">
        <v>133458.12700569999</v>
      </c>
      <c r="AR94" s="551">
        <v>5.5785</v>
      </c>
    </row>
    <row r="95" spans="2:44" x14ac:dyDescent="0.3">
      <c r="B95" s="552">
        <f t="shared" ca="1" si="34"/>
        <v>45321</v>
      </c>
      <c r="C95" s="548">
        <f ca="1">(IFERROR(IFERROR(VALUE(_xll.BDH(C$4,"CURRENT_EV_TO_T12M_EBITDA",$B95,$B95)),VALUE(_xll.BDH(C$4,"CURRENT_EV_TO_T12M_EBITDA",$B95+1,$B95+1))),C96))</f>
        <v>0</v>
      </c>
      <c r="D95" s="548">
        <f ca="1">(IFERROR(IFERROR(VALUE(_xll.BDH(D$4,"CURRENT_EV_TO_T12M_EBITDA",$B95,$B95)),VALUE(_xll.BDH(D$4,"CURRENT_EV_TO_T12M_EBITDA",$B95+1,$B95+1))),D96))</f>
        <v>0</v>
      </c>
      <c r="E95" s="548">
        <f ca="1">(IFERROR(IFERROR(VALUE(_xll.BDH(E$4,"CURRENT_EV_TO_T12M_EBITDA",$B95,$B95)),VALUE(_xll.BDH(E$4,"CURRENT_EV_TO_T12M_EBITDA",$B95+1,$B95+1))),E96))</f>
        <v>0</v>
      </c>
      <c r="F95" s="548">
        <f ca="1">(IFERROR(IFERROR(VALUE(_xll.BDH(F$4,"CURRENT_EV_TO_T12M_EBITDA",$B95,$B95)),VALUE(_xll.BDH(F$4,"CURRENT_EV_TO_T12M_EBITDA",$B95+1,$B95+1))),F96))</f>
        <v>0</v>
      </c>
      <c r="G95" s="548">
        <f ca="1">(IFERROR(IFERROR(VALUE(_xll.BDH(G$4,"CURRENT_EV_TO_T12M_EBITDA",$B95,$B95)),VALUE(_xll.BDH(G$4,"CURRENT_EV_TO_T12M_EBITDA",$B95+1,$B95+1))),G96))</f>
        <v>0</v>
      </c>
      <c r="H95" s="548">
        <f ca="1">(IFERROR(IFERROR(VALUE(_xll.BDH(H$4,"CURRENT_EV_TO_T12M_EBITDA",$B95,$B95)),VALUE(_xll.BDH(H$4,"CURRENT_EV_TO_T12M_EBITDA",$B95+1,$B95+1))),H96))</f>
        <v>0</v>
      </c>
      <c r="I95" s="552">
        <f t="shared" ca="1" si="24"/>
        <v>45321</v>
      </c>
      <c r="J95" s="548">
        <f ca="1">(IFERROR(IFERROR(VALUE(_xll.BDH(J$4,"PE_RATIO",$B95,$B95)),VALUE(_xll.BDH(J$4,"PE_RATIO",$B95+1,$B95+1))),J96))</f>
        <v>0</v>
      </c>
      <c r="K95" s="548">
        <f ca="1">(IFERROR(IFERROR(VALUE(_xll.BDH(K$4,"PE_RATIO",$B95,$B95)),VALUE(_xll.BDH(K$4,"PE_RATIO",$B95+1,$B95+1))),K96))</f>
        <v>0</v>
      </c>
      <c r="L95" s="548">
        <f ca="1">(IFERROR(IFERROR(VALUE(_xll.BDH(L$4,"PE_RATIO",$B95,$B95)),VALUE(_xll.BDH(L$4,"PE_RATIO",$B95+1,$B95+1))),L96))</f>
        <v>0</v>
      </c>
      <c r="M95" s="548">
        <f ca="1">(IFERROR(IFERROR(VALUE(_xll.BDH(M$4,"PE_RATIO",$B95,$B95)),VALUE(_xll.BDH(M$4,"PE_RATIO",$B95+1,$B95+1))),M96))</f>
        <v>0</v>
      </c>
      <c r="N95" s="548">
        <f ca="1">(IFERROR(IFERROR(VALUE(_xll.BDH(N$4,"PE_RATIO",$B95,$B95)),VALUE(_xll.BDH(N$4,"PE_RATIO",$B95+1,$B95+1))),N96))</f>
        <v>0</v>
      </c>
      <c r="O95" s="548">
        <f ca="1">(IFERROR(IFERROR(VALUE(_xll.BDH(O$4,"PE_RATIO",$B95,$B95)),VALUE(_xll.BDH(O$4,"PE_RATIO",$B95+1,$B95+1))),O96))</f>
        <v>0</v>
      </c>
      <c r="P95" s="548"/>
      <c r="Q95" s="552">
        <f t="shared" ca="1" si="25"/>
        <v>45321</v>
      </c>
      <c r="R95" s="4">
        <v>243.58</v>
      </c>
      <c r="S95" s="4">
        <v>4754.63</v>
      </c>
      <c r="T95" s="4">
        <v>0</v>
      </c>
      <c r="U95" s="4">
        <v>1.2502823118776307</v>
      </c>
      <c r="V95" s="4">
        <v>1.3260272979289496</v>
      </c>
      <c r="W95" s="4" t="e">
        <v>#DIV/0!</v>
      </c>
      <c r="Y95" s="548">
        <f t="shared" si="26"/>
        <v>243.58</v>
      </c>
      <c r="Z95" s="4">
        <f ca="1">IFERROR(VALUE(_xll.BDH(Z$4,"PX_LAST",$Q95,$Q95)),Z96)</f>
        <v>0</v>
      </c>
      <c r="AA95" s="4">
        <f ca="1">IFERROR(VALUE(_xll.BDH(AA$4,"PX_LAST",$Q95,$Q95)),AA96)</f>
        <v>0</v>
      </c>
      <c r="AB95" s="4">
        <f ca="1">IFERROR(VALUE(_xll.BDH(AB$4,"PX_LAST",$Q95,$Q95)),AB96)</f>
        <v>0</v>
      </c>
      <c r="AC95" s="4">
        <f ca="1">IFERROR(VALUE(_xll.BDH(AC$4,"PX_LAST",$Q95,$Q95)),AC96)</f>
        <v>0</v>
      </c>
      <c r="AD95" s="4">
        <f ca="1">IFERROR(VALUE(_xll.BDH(AD$4,"PX_LAST",$Q95,$Q95)),AD96)</f>
        <v>0</v>
      </c>
      <c r="AF95" s="4">
        <f t="shared" si="27"/>
        <v>1.2502823118776307</v>
      </c>
      <c r="AG95" s="4" t="e">
        <f t="shared" ca="1" si="28"/>
        <v>#DIV/0!</v>
      </c>
      <c r="AH95" s="4" t="e">
        <f t="shared" ca="1" si="29"/>
        <v>#DIV/0!</v>
      </c>
      <c r="AI95" s="4" t="e">
        <f t="shared" ca="1" si="30"/>
        <v>#DIV/0!</v>
      </c>
      <c r="AJ95" s="4" t="e">
        <f t="shared" ca="1" si="31"/>
        <v>#DIV/0!</v>
      </c>
      <c r="AK95" s="4" t="e">
        <f t="shared" ca="1" si="32"/>
        <v>#DIV/0!</v>
      </c>
      <c r="AM95" s="550">
        <f t="shared" ca="1" si="33"/>
        <v>45860</v>
      </c>
      <c r="AN95" s="551">
        <v>223.37</v>
      </c>
      <c r="AO95" s="551">
        <v>1670104</v>
      </c>
      <c r="AP95" s="551">
        <v>597.47560999999996</v>
      </c>
      <c r="AQ95" s="551">
        <v>133458.12700569999</v>
      </c>
      <c r="AR95" s="551">
        <v>5.5785</v>
      </c>
    </row>
    <row r="96" spans="2:44" x14ac:dyDescent="0.3">
      <c r="B96" s="552">
        <f t="shared" ca="1" si="34"/>
        <v>45314</v>
      </c>
      <c r="C96" s="548">
        <f ca="1">(IFERROR(IFERROR(VALUE(_xll.BDH(C$4,"CURRENT_EV_TO_T12M_EBITDA",$B96,$B96)),VALUE(_xll.BDH(C$4,"CURRENT_EV_TO_T12M_EBITDA",$B96+1,$B96+1))),C97))</f>
        <v>0</v>
      </c>
      <c r="D96" s="548">
        <f ca="1">(IFERROR(IFERROR(VALUE(_xll.BDH(D$4,"CURRENT_EV_TO_T12M_EBITDA",$B96,$B96)),VALUE(_xll.BDH(D$4,"CURRENT_EV_TO_T12M_EBITDA",$B96+1,$B96+1))),D97))</f>
        <v>0</v>
      </c>
      <c r="E96" s="548">
        <f ca="1">(IFERROR(IFERROR(VALUE(_xll.BDH(E$4,"CURRENT_EV_TO_T12M_EBITDA",$B96,$B96)),VALUE(_xll.BDH(E$4,"CURRENT_EV_TO_T12M_EBITDA",$B96+1,$B96+1))),E97))</f>
        <v>0</v>
      </c>
      <c r="F96" s="548">
        <f ca="1">(IFERROR(IFERROR(VALUE(_xll.BDH(F$4,"CURRENT_EV_TO_T12M_EBITDA",$B96,$B96)),VALUE(_xll.BDH(F$4,"CURRENT_EV_TO_T12M_EBITDA",$B96+1,$B96+1))),F97))</f>
        <v>0</v>
      </c>
      <c r="G96" s="548">
        <f ca="1">(IFERROR(IFERROR(VALUE(_xll.BDH(G$4,"CURRENT_EV_TO_T12M_EBITDA",$B96,$B96)),VALUE(_xll.BDH(G$4,"CURRENT_EV_TO_T12M_EBITDA",$B96+1,$B96+1))),G97))</f>
        <v>0</v>
      </c>
      <c r="H96" s="548">
        <f ca="1">(IFERROR(IFERROR(VALUE(_xll.BDH(H$4,"CURRENT_EV_TO_T12M_EBITDA",$B96,$B96)),VALUE(_xll.BDH(H$4,"CURRENT_EV_TO_T12M_EBITDA",$B96+1,$B96+1))),H97))</f>
        <v>0</v>
      </c>
      <c r="I96" s="552">
        <f t="shared" ca="1" si="24"/>
        <v>45314</v>
      </c>
      <c r="J96" s="548">
        <f ca="1">(IFERROR(IFERROR(VALUE(_xll.BDH(J$4,"PE_RATIO",$B96,$B96)),VALUE(_xll.BDH(J$4,"PE_RATIO",$B96+1,$B96+1))),J97))</f>
        <v>0</v>
      </c>
      <c r="K96" s="548">
        <f ca="1">(IFERROR(IFERROR(VALUE(_xll.BDH(K$4,"PE_RATIO",$B96,$B96)),VALUE(_xll.BDH(K$4,"PE_RATIO",$B96+1,$B96+1))),K97))</f>
        <v>0</v>
      </c>
      <c r="L96" s="548">
        <f ca="1">(IFERROR(IFERROR(VALUE(_xll.BDH(L$4,"PE_RATIO",$B96,$B96)),VALUE(_xll.BDH(L$4,"PE_RATIO",$B96+1,$B96+1))),L97))</f>
        <v>0</v>
      </c>
      <c r="M96" s="548">
        <f ca="1">(IFERROR(IFERROR(VALUE(_xll.BDH(M$4,"PE_RATIO",$B96,$B96)),VALUE(_xll.BDH(M$4,"PE_RATIO",$B96+1,$B96+1))),M97))</f>
        <v>0</v>
      </c>
      <c r="N96" s="548">
        <f ca="1">(IFERROR(IFERROR(VALUE(_xll.BDH(N$4,"PE_RATIO",$B96,$B96)),VALUE(_xll.BDH(N$4,"PE_RATIO",$B96+1,$B96+1))),N97))</f>
        <v>0</v>
      </c>
      <c r="O96" s="548">
        <f ca="1">(IFERROR(IFERROR(VALUE(_xll.BDH(O$4,"PE_RATIO",$B96,$B96)),VALUE(_xll.BDH(O$4,"PE_RATIO",$B96+1,$B96+1))),O97))</f>
        <v>0</v>
      </c>
      <c r="P96" s="548"/>
      <c r="Q96" s="552">
        <f t="shared" ca="1" si="25"/>
        <v>45314</v>
      </c>
      <c r="R96" s="4">
        <v>241.98</v>
      </c>
      <c r="S96" s="4">
        <v>4719.1899999999996</v>
      </c>
      <c r="T96" s="4">
        <v>0</v>
      </c>
      <c r="U96" s="4">
        <v>1.2420696027101941</v>
      </c>
      <c r="V96" s="4">
        <v>1.316143372694262</v>
      </c>
      <c r="W96" s="4" t="e">
        <v>#DIV/0!</v>
      </c>
      <c r="Y96" s="548">
        <f t="shared" si="26"/>
        <v>241.98</v>
      </c>
      <c r="Z96" s="4">
        <f ca="1">IFERROR(VALUE(_xll.BDH(Z$4,"PX_LAST",$Q96,$Q96)),Z97)</f>
        <v>0</v>
      </c>
      <c r="AA96" s="4">
        <f ca="1">IFERROR(VALUE(_xll.BDH(AA$4,"PX_LAST",$Q96,$Q96)),AA97)</f>
        <v>0</v>
      </c>
      <c r="AB96" s="4">
        <f ca="1">IFERROR(VALUE(_xll.BDH(AB$4,"PX_LAST",$Q96,$Q96)),AB97)</f>
        <v>0</v>
      </c>
      <c r="AC96" s="4">
        <f ca="1">IFERROR(VALUE(_xll.BDH(AC$4,"PX_LAST",$Q96,$Q96)),AC97)</f>
        <v>0</v>
      </c>
      <c r="AD96" s="4">
        <f ca="1">IFERROR(VALUE(_xll.BDH(AD$4,"PX_LAST",$Q96,$Q96)),AD97)</f>
        <v>0</v>
      </c>
      <c r="AF96" s="4">
        <f t="shared" si="27"/>
        <v>1.2420696027101941</v>
      </c>
      <c r="AG96" s="4" t="e">
        <f t="shared" ca="1" si="28"/>
        <v>#DIV/0!</v>
      </c>
      <c r="AH96" s="4" t="e">
        <f t="shared" ca="1" si="29"/>
        <v>#DIV/0!</v>
      </c>
      <c r="AI96" s="4" t="e">
        <f t="shared" ca="1" si="30"/>
        <v>#DIV/0!</v>
      </c>
      <c r="AJ96" s="4" t="e">
        <f t="shared" ca="1" si="31"/>
        <v>#DIV/0!</v>
      </c>
      <c r="AK96" s="4" t="e">
        <f t="shared" ca="1" si="32"/>
        <v>#DIV/0!</v>
      </c>
      <c r="AM96" s="550">
        <f t="shared" ca="1" si="33"/>
        <v>45859</v>
      </c>
      <c r="AN96" s="551">
        <v>225.49</v>
      </c>
      <c r="AO96" s="551">
        <v>1939234</v>
      </c>
      <c r="AP96" s="551">
        <v>597.47560999999996</v>
      </c>
      <c r="AQ96" s="551">
        <v>134724.7752989</v>
      </c>
      <c r="AR96" s="551">
        <v>5.6315</v>
      </c>
    </row>
    <row r="97" spans="2:44" x14ac:dyDescent="0.3">
      <c r="B97" s="552">
        <f t="shared" ca="1" si="34"/>
        <v>45307</v>
      </c>
      <c r="C97" s="548">
        <f ca="1">(IFERROR(IFERROR(VALUE(_xll.BDH(C$4,"CURRENT_EV_TO_T12M_EBITDA",$B97,$B97)),VALUE(_xll.BDH(C$4,"CURRENT_EV_TO_T12M_EBITDA",$B97+1,$B97+1))),C98))</f>
        <v>0</v>
      </c>
      <c r="D97" s="548">
        <f ca="1">(IFERROR(IFERROR(VALUE(_xll.BDH(D$4,"CURRENT_EV_TO_T12M_EBITDA",$B97,$B97)),VALUE(_xll.BDH(D$4,"CURRENT_EV_TO_T12M_EBITDA",$B97+1,$B97+1))),D98))</f>
        <v>0</v>
      </c>
      <c r="E97" s="548">
        <f ca="1">(IFERROR(IFERROR(VALUE(_xll.BDH(E$4,"CURRENT_EV_TO_T12M_EBITDA",$B97,$B97)),VALUE(_xll.BDH(E$4,"CURRENT_EV_TO_T12M_EBITDA",$B97+1,$B97+1))),E98))</f>
        <v>0</v>
      </c>
      <c r="F97" s="548">
        <f ca="1">(IFERROR(IFERROR(VALUE(_xll.BDH(F$4,"CURRENT_EV_TO_T12M_EBITDA",$B97,$B97)),VALUE(_xll.BDH(F$4,"CURRENT_EV_TO_T12M_EBITDA",$B97+1,$B97+1))),F98))</f>
        <v>0</v>
      </c>
      <c r="G97" s="548">
        <f ca="1">(IFERROR(IFERROR(VALUE(_xll.BDH(G$4,"CURRENT_EV_TO_T12M_EBITDA",$B97,$B97)),VALUE(_xll.BDH(G$4,"CURRENT_EV_TO_T12M_EBITDA",$B97+1,$B97+1))),G98))</f>
        <v>0</v>
      </c>
      <c r="H97" s="548">
        <f ca="1">(IFERROR(IFERROR(VALUE(_xll.BDH(H$4,"CURRENT_EV_TO_T12M_EBITDA",$B97,$B97)),VALUE(_xll.BDH(H$4,"CURRENT_EV_TO_T12M_EBITDA",$B97+1,$B97+1))),H98))</f>
        <v>0</v>
      </c>
      <c r="I97" s="552">
        <f t="shared" ca="1" si="24"/>
        <v>45307</v>
      </c>
      <c r="J97" s="548">
        <f ca="1">(IFERROR(IFERROR(VALUE(_xll.BDH(J$4,"PE_RATIO",$B97,$B97)),VALUE(_xll.BDH(J$4,"PE_RATIO",$B97+1,$B97+1))),J98))</f>
        <v>0</v>
      </c>
      <c r="K97" s="548">
        <f ca="1">(IFERROR(IFERROR(VALUE(_xll.BDH(K$4,"PE_RATIO",$B97,$B97)),VALUE(_xll.BDH(K$4,"PE_RATIO",$B97+1,$B97+1))),K98))</f>
        <v>0</v>
      </c>
      <c r="L97" s="548">
        <f ca="1">(IFERROR(IFERROR(VALUE(_xll.BDH(L$4,"PE_RATIO",$B97,$B97)),VALUE(_xll.BDH(L$4,"PE_RATIO",$B97+1,$B97+1))),L98))</f>
        <v>0</v>
      </c>
      <c r="M97" s="548">
        <f ca="1">(IFERROR(IFERROR(VALUE(_xll.BDH(M$4,"PE_RATIO",$B97,$B97)),VALUE(_xll.BDH(M$4,"PE_RATIO",$B97+1,$B97+1))),M98))</f>
        <v>0</v>
      </c>
      <c r="N97" s="548">
        <f ca="1">(IFERROR(IFERROR(VALUE(_xll.BDH(N$4,"PE_RATIO",$B97,$B97)),VALUE(_xll.BDH(N$4,"PE_RATIO",$B97+1,$B97+1))),N98))</f>
        <v>0</v>
      </c>
      <c r="O97" s="548">
        <f ca="1">(IFERROR(IFERROR(VALUE(_xll.BDH(O$4,"PE_RATIO",$B97,$B97)),VALUE(_xll.BDH(O$4,"PE_RATIO",$B97+1,$B97+1))),O98))</f>
        <v>0</v>
      </c>
      <c r="P97" s="548"/>
      <c r="Q97" s="552">
        <f t="shared" ca="1" si="25"/>
        <v>45307</v>
      </c>
      <c r="R97" s="4">
        <v>229.77</v>
      </c>
      <c r="S97" s="4">
        <v>4604.37</v>
      </c>
      <c r="T97" s="4">
        <v>0</v>
      </c>
      <c r="U97" s="4">
        <v>1.1793963658761935</v>
      </c>
      <c r="V97" s="4">
        <v>1.28412101672793</v>
      </c>
      <c r="W97" s="4" t="e">
        <v>#DIV/0!</v>
      </c>
      <c r="Y97" s="548">
        <f t="shared" si="26"/>
        <v>229.77</v>
      </c>
      <c r="Z97" s="4">
        <f ca="1">IFERROR(VALUE(_xll.BDH(Z$4,"PX_LAST",$Q97,$Q97)),Z98)</f>
        <v>0</v>
      </c>
      <c r="AA97" s="4">
        <f ca="1">IFERROR(VALUE(_xll.BDH(AA$4,"PX_LAST",$Q97,$Q97)),AA98)</f>
        <v>0</v>
      </c>
      <c r="AB97" s="4">
        <f ca="1">IFERROR(VALUE(_xll.BDH(AB$4,"PX_LAST",$Q97,$Q97)),AB98)</f>
        <v>0</v>
      </c>
      <c r="AC97" s="4">
        <f ca="1">IFERROR(VALUE(_xll.BDH(AC$4,"PX_LAST",$Q97,$Q97)),AC98)</f>
        <v>0</v>
      </c>
      <c r="AD97" s="4">
        <f ca="1">IFERROR(VALUE(_xll.BDH(AD$4,"PX_LAST",$Q97,$Q97)),AD98)</f>
        <v>0</v>
      </c>
      <c r="AF97" s="4">
        <f t="shared" si="27"/>
        <v>1.1793963658761935</v>
      </c>
      <c r="AG97" s="4" t="e">
        <f t="shared" ca="1" si="28"/>
        <v>#DIV/0!</v>
      </c>
      <c r="AH97" s="4" t="e">
        <f t="shared" ca="1" si="29"/>
        <v>#DIV/0!</v>
      </c>
      <c r="AI97" s="4" t="e">
        <f t="shared" ca="1" si="30"/>
        <v>#DIV/0!</v>
      </c>
      <c r="AJ97" s="4" t="e">
        <f t="shared" ca="1" si="31"/>
        <v>#DIV/0!</v>
      </c>
      <c r="AK97" s="4" t="e">
        <f t="shared" ca="1" si="32"/>
        <v>#DIV/0!</v>
      </c>
      <c r="AM97" s="550">
        <f t="shared" ca="1" si="33"/>
        <v>45858</v>
      </c>
      <c r="AN97" s="551">
        <v>225.72</v>
      </c>
      <c r="AO97" s="551">
        <v>2655326</v>
      </c>
      <c r="AP97" s="551">
        <v>597.47560999999996</v>
      </c>
      <c r="AQ97" s="551">
        <v>134862.1946892</v>
      </c>
      <c r="AR97" s="551">
        <v>5.6372</v>
      </c>
    </row>
    <row r="98" spans="2:44" x14ac:dyDescent="0.3">
      <c r="B98" s="552">
        <f t="shared" ca="1" si="34"/>
        <v>45300</v>
      </c>
      <c r="C98" s="548">
        <f ca="1">(IFERROR(IFERROR(VALUE(_xll.BDH(C$4,"CURRENT_EV_TO_T12M_EBITDA",$B98,$B98)),VALUE(_xll.BDH(C$4,"CURRENT_EV_TO_T12M_EBITDA",$B98+1,$B98+1))),C99))</f>
        <v>0</v>
      </c>
      <c r="D98" s="548">
        <f ca="1">(IFERROR(IFERROR(VALUE(_xll.BDH(D$4,"CURRENT_EV_TO_T12M_EBITDA",$B98,$B98)),VALUE(_xll.BDH(D$4,"CURRENT_EV_TO_T12M_EBITDA",$B98+1,$B98+1))),D99))</f>
        <v>0</v>
      </c>
      <c r="E98" s="548">
        <f ca="1">(IFERROR(IFERROR(VALUE(_xll.BDH(E$4,"CURRENT_EV_TO_T12M_EBITDA",$B98,$B98)),VALUE(_xll.BDH(E$4,"CURRENT_EV_TO_T12M_EBITDA",$B98+1,$B98+1))),E99))</f>
        <v>0</v>
      </c>
      <c r="F98" s="548">
        <f ca="1">(IFERROR(IFERROR(VALUE(_xll.BDH(F$4,"CURRENT_EV_TO_T12M_EBITDA",$B98,$B98)),VALUE(_xll.BDH(F$4,"CURRENT_EV_TO_T12M_EBITDA",$B98+1,$B98+1))),F99))</f>
        <v>0</v>
      </c>
      <c r="G98" s="548">
        <f ca="1">(IFERROR(IFERROR(VALUE(_xll.BDH(G$4,"CURRENT_EV_TO_T12M_EBITDA",$B98,$B98)),VALUE(_xll.BDH(G$4,"CURRENT_EV_TO_T12M_EBITDA",$B98+1,$B98+1))),G99))</f>
        <v>0</v>
      </c>
      <c r="H98" s="548">
        <f ca="1">(IFERROR(IFERROR(VALUE(_xll.BDH(H$4,"CURRENT_EV_TO_T12M_EBITDA",$B98,$B98)),VALUE(_xll.BDH(H$4,"CURRENT_EV_TO_T12M_EBITDA",$B98+1,$B98+1))),H99))</f>
        <v>0</v>
      </c>
      <c r="I98" s="552">
        <f t="shared" ca="1" si="24"/>
        <v>45300</v>
      </c>
      <c r="J98" s="548">
        <f ca="1">(IFERROR(IFERROR(VALUE(_xll.BDH(J$4,"PE_RATIO",$B98,$B98)),VALUE(_xll.BDH(J$4,"PE_RATIO",$B98+1,$B98+1))),J99))</f>
        <v>0</v>
      </c>
      <c r="K98" s="548">
        <f ca="1">(IFERROR(IFERROR(VALUE(_xll.BDH(K$4,"PE_RATIO",$B98,$B98)),VALUE(_xll.BDH(K$4,"PE_RATIO",$B98+1,$B98+1))),K99))</f>
        <v>0</v>
      </c>
      <c r="L98" s="548">
        <f ca="1">(IFERROR(IFERROR(VALUE(_xll.BDH(L$4,"PE_RATIO",$B98,$B98)),VALUE(_xll.BDH(L$4,"PE_RATIO",$B98+1,$B98+1))),L99))</f>
        <v>0</v>
      </c>
      <c r="M98" s="548">
        <f ca="1">(IFERROR(IFERROR(VALUE(_xll.BDH(M$4,"PE_RATIO",$B98,$B98)),VALUE(_xll.BDH(M$4,"PE_RATIO",$B98+1,$B98+1))),M99))</f>
        <v>0</v>
      </c>
      <c r="N98" s="548">
        <f ca="1">(IFERROR(IFERROR(VALUE(_xll.BDH(N$4,"PE_RATIO",$B98,$B98)),VALUE(_xll.BDH(N$4,"PE_RATIO",$B98+1,$B98+1))),N99))</f>
        <v>0</v>
      </c>
      <c r="O98" s="548">
        <f ca="1">(IFERROR(IFERROR(VALUE(_xll.BDH(O$4,"PE_RATIO",$B98,$B98)),VALUE(_xll.BDH(O$4,"PE_RATIO",$B98+1,$B98+1))),O99))</f>
        <v>0</v>
      </c>
      <c r="P98" s="548"/>
      <c r="Q98" s="552">
        <f t="shared" ca="1" si="25"/>
        <v>45300</v>
      </c>
      <c r="R98" s="4">
        <v>231.37</v>
      </c>
      <c r="S98" s="4">
        <v>4594.63</v>
      </c>
      <c r="T98" s="4">
        <v>0</v>
      </c>
      <c r="U98" s="4">
        <v>1.1876090750436301</v>
      </c>
      <c r="V98" s="4">
        <v>1.2814046106391643</v>
      </c>
      <c r="W98" s="4" t="e">
        <v>#DIV/0!</v>
      </c>
      <c r="Y98" s="548">
        <f t="shared" si="26"/>
        <v>231.37</v>
      </c>
      <c r="Z98" s="4">
        <f ca="1">IFERROR(VALUE(_xll.BDH(Z$4,"PX_LAST",$Q98,$Q98)),Z99)</f>
        <v>0</v>
      </c>
      <c r="AA98" s="4">
        <f ca="1">IFERROR(VALUE(_xll.BDH(AA$4,"PX_LAST",$Q98,$Q98)),AA99)</f>
        <v>0</v>
      </c>
      <c r="AB98" s="4">
        <f ca="1">IFERROR(VALUE(_xll.BDH(AB$4,"PX_LAST",$Q98,$Q98)),AB99)</f>
        <v>0</v>
      </c>
      <c r="AC98" s="4">
        <f ca="1">IFERROR(VALUE(_xll.BDH(AC$4,"PX_LAST",$Q98,$Q98)),AC99)</f>
        <v>0</v>
      </c>
      <c r="AD98" s="4">
        <f ca="1">IFERROR(VALUE(_xll.BDH(AD$4,"PX_LAST",$Q98,$Q98)),AD99)</f>
        <v>0</v>
      </c>
      <c r="AF98" s="4">
        <f t="shared" si="27"/>
        <v>1.1876090750436301</v>
      </c>
      <c r="AG98" s="4" t="e">
        <f t="shared" ca="1" si="28"/>
        <v>#DIV/0!</v>
      </c>
      <c r="AH98" s="4" t="e">
        <f t="shared" ca="1" si="29"/>
        <v>#DIV/0!</v>
      </c>
      <c r="AI98" s="4" t="e">
        <f t="shared" ca="1" si="30"/>
        <v>#DIV/0!</v>
      </c>
      <c r="AJ98" s="4" t="e">
        <f t="shared" ca="1" si="31"/>
        <v>#DIV/0!</v>
      </c>
      <c r="AK98" s="4" t="e">
        <f t="shared" ca="1" si="32"/>
        <v>#DIV/0!</v>
      </c>
      <c r="AM98" s="550">
        <f t="shared" ca="1" si="33"/>
        <v>45857</v>
      </c>
      <c r="AN98" s="551">
        <v>226.6</v>
      </c>
      <c r="AO98" s="551">
        <v>3122241</v>
      </c>
      <c r="AP98" s="551">
        <v>597.47560999999996</v>
      </c>
      <c r="AQ98" s="551">
        <v>135387.973226</v>
      </c>
      <c r="AR98" s="551">
        <v>5.6592000000000002</v>
      </c>
    </row>
    <row r="99" spans="2:44" x14ac:dyDescent="0.3">
      <c r="B99" s="552">
        <f t="shared" ca="1" si="34"/>
        <v>45293</v>
      </c>
      <c r="C99" s="548">
        <f ca="1">(IFERROR(IFERROR(VALUE(_xll.BDH(C$4,"CURRENT_EV_TO_T12M_EBITDA",$B99,$B99)),VALUE(_xll.BDH(C$4,"CURRENT_EV_TO_T12M_EBITDA",$B99+1,$B99+1))),C100))</f>
        <v>0</v>
      </c>
      <c r="D99" s="548">
        <f ca="1">(IFERROR(IFERROR(VALUE(_xll.BDH(D$4,"CURRENT_EV_TO_T12M_EBITDA",$B99,$B99)),VALUE(_xll.BDH(D$4,"CURRENT_EV_TO_T12M_EBITDA",$B99+1,$B99+1))),D100))</f>
        <v>0</v>
      </c>
      <c r="E99" s="548">
        <f ca="1">(IFERROR(IFERROR(VALUE(_xll.BDH(E$4,"CURRENT_EV_TO_T12M_EBITDA",$B99,$B99)),VALUE(_xll.BDH(E$4,"CURRENT_EV_TO_T12M_EBITDA",$B99+1,$B99+1))),E100))</f>
        <v>0</v>
      </c>
      <c r="F99" s="548">
        <f ca="1">(IFERROR(IFERROR(VALUE(_xll.BDH(F$4,"CURRENT_EV_TO_T12M_EBITDA",$B99,$B99)),VALUE(_xll.BDH(F$4,"CURRENT_EV_TO_T12M_EBITDA",$B99+1,$B99+1))),F100))</f>
        <v>0</v>
      </c>
      <c r="G99" s="548">
        <f ca="1">(IFERROR(IFERROR(VALUE(_xll.BDH(G$4,"CURRENT_EV_TO_T12M_EBITDA",$B99,$B99)),VALUE(_xll.BDH(G$4,"CURRENT_EV_TO_T12M_EBITDA",$B99+1,$B99+1))),G100))</f>
        <v>0</v>
      </c>
      <c r="H99" s="548">
        <f ca="1">(IFERROR(IFERROR(VALUE(_xll.BDH(H$4,"CURRENT_EV_TO_T12M_EBITDA",$B99,$B99)),VALUE(_xll.BDH(H$4,"CURRENT_EV_TO_T12M_EBITDA",$B99+1,$B99+1))),H100))</f>
        <v>0</v>
      </c>
      <c r="I99" s="552">
        <f t="shared" ca="1" si="24"/>
        <v>45293</v>
      </c>
      <c r="J99" s="548">
        <f ca="1">(IFERROR(IFERROR(VALUE(_xll.BDH(J$4,"PE_RATIO",$B99,$B99)),VALUE(_xll.BDH(J$4,"PE_RATIO",$B99+1,$B99+1))),J100))</f>
        <v>0</v>
      </c>
      <c r="K99" s="548">
        <f ca="1">(IFERROR(IFERROR(VALUE(_xll.BDH(K$4,"PE_RATIO",$B99,$B99)),VALUE(_xll.BDH(K$4,"PE_RATIO",$B99+1,$B99+1))),K100))</f>
        <v>0</v>
      </c>
      <c r="L99" s="548">
        <f ca="1">(IFERROR(IFERROR(VALUE(_xll.BDH(L$4,"PE_RATIO",$B99,$B99)),VALUE(_xll.BDH(L$4,"PE_RATIO",$B99+1,$B99+1))),L100))</f>
        <v>0</v>
      </c>
      <c r="M99" s="548">
        <f ca="1">(IFERROR(IFERROR(VALUE(_xll.BDH(M$4,"PE_RATIO",$B99,$B99)),VALUE(_xll.BDH(M$4,"PE_RATIO",$B99+1,$B99+1))),M100))</f>
        <v>0</v>
      </c>
      <c r="N99" s="548">
        <f ca="1">(IFERROR(IFERROR(VALUE(_xll.BDH(N$4,"PE_RATIO",$B99,$B99)),VALUE(_xll.BDH(N$4,"PE_RATIO",$B99+1,$B99+1))),N100))</f>
        <v>0</v>
      </c>
      <c r="O99" s="548">
        <f ca="1">(IFERROR(IFERROR(VALUE(_xll.BDH(O$4,"PE_RATIO",$B99,$B99)),VALUE(_xll.BDH(O$4,"PE_RATIO",$B99+1,$B99+1))),O100))</f>
        <v>0</v>
      </c>
      <c r="P99" s="548"/>
      <c r="Q99" s="552">
        <f t="shared" ca="1" si="25"/>
        <v>45293</v>
      </c>
      <c r="R99" s="4">
        <v>224.28</v>
      </c>
      <c r="S99" s="4">
        <v>4559.34</v>
      </c>
      <c r="T99" s="4">
        <v>0</v>
      </c>
      <c r="U99" s="4">
        <v>1.1512165075454266</v>
      </c>
      <c r="V99" s="4">
        <v>1.2715625191738111</v>
      </c>
      <c r="W99" s="4" t="e">
        <v>#DIV/0!</v>
      </c>
      <c r="Y99" s="548">
        <f t="shared" si="26"/>
        <v>224.28</v>
      </c>
      <c r="Z99" s="4">
        <f ca="1">IFERROR(VALUE(_xll.BDH(Z$4,"PX_LAST",$Q99,$Q99)),Z100)</f>
        <v>0</v>
      </c>
      <c r="AA99" s="4">
        <f ca="1">IFERROR(VALUE(_xll.BDH(AA$4,"PX_LAST",$Q99,$Q99)),AA100)</f>
        <v>0</v>
      </c>
      <c r="AB99" s="4">
        <f ca="1">IFERROR(VALUE(_xll.BDH(AB$4,"PX_LAST",$Q99,$Q99)),AB100)</f>
        <v>0</v>
      </c>
      <c r="AC99" s="4">
        <f ca="1">IFERROR(VALUE(_xll.BDH(AC$4,"PX_LAST",$Q99,$Q99)),AC100)</f>
        <v>0</v>
      </c>
      <c r="AD99" s="4">
        <f ca="1">IFERROR(VALUE(_xll.BDH(AD$4,"PX_LAST",$Q99,$Q99)),AD100)</f>
        <v>0</v>
      </c>
      <c r="AF99" s="4">
        <f t="shared" si="27"/>
        <v>1.1512165075454266</v>
      </c>
      <c r="AG99" s="4" t="e">
        <f t="shared" ca="1" si="28"/>
        <v>#DIV/0!</v>
      </c>
      <c r="AH99" s="4" t="e">
        <f t="shared" ca="1" si="29"/>
        <v>#DIV/0!</v>
      </c>
      <c r="AI99" s="4" t="e">
        <f t="shared" ca="1" si="30"/>
        <v>#DIV/0!</v>
      </c>
      <c r="AJ99" s="4" t="e">
        <f t="shared" ca="1" si="31"/>
        <v>#DIV/0!</v>
      </c>
      <c r="AK99" s="4" t="e">
        <f t="shared" ca="1" si="32"/>
        <v>#DIV/0!</v>
      </c>
      <c r="AM99" s="550">
        <f t="shared" ca="1" si="33"/>
        <v>45856</v>
      </c>
      <c r="AN99" s="551">
        <v>224.14</v>
      </c>
      <c r="AO99" s="551">
        <v>3128604</v>
      </c>
      <c r="AP99" s="551">
        <v>597.47560999999996</v>
      </c>
      <c r="AQ99" s="551">
        <v>133918.18322539999</v>
      </c>
      <c r="AR99" s="551">
        <v>5.5978000000000003</v>
      </c>
    </row>
    <row r="100" spans="2:44" x14ac:dyDescent="0.3">
      <c r="B100" s="552">
        <f t="shared" ca="1" si="34"/>
        <v>45286</v>
      </c>
      <c r="C100" s="548">
        <f ca="1">(IFERROR(IFERROR(VALUE(_xll.BDH(C$4,"CURRENT_EV_TO_T12M_EBITDA",$B100,$B100)),VALUE(_xll.BDH(C$4,"CURRENT_EV_TO_T12M_EBITDA",$B100+1,$B100+1))),C101))</f>
        <v>0</v>
      </c>
      <c r="D100" s="548">
        <f ca="1">(IFERROR(IFERROR(VALUE(_xll.BDH(D$4,"CURRENT_EV_TO_T12M_EBITDA",$B100,$B100)),VALUE(_xll.BDH(D$4,"CURRENT_EV_TO_T12M_EBITDA",$B100+1,$B100+1))),D101))</f>
        <v>0</v>
      </c>
      <c r="E100" s="548">
        <f ca="1">(IFERROR(IFERROR(VALUE(_xll.BDH(E$4,"CURRENT_EV_TO_T12M_EBITDA",$B100,$B100)),VALUE(_xll.BDH(E$4,"CURRENT_EV_TO_T12M_EBITDA",$B100+1,$B100+1))),E101))</f>
        <v>0</v>
      </c>
      <c r="F100" s="548">
        <f ca="1">(IFERROR(IFERROR(VALUE(_xll.BDH(F$4,"CURRENT_EV_TO_T12M_EBITDA",$B100,$B100)),VALUE(_xll.BDH(F$4,"CURRENT_EV_TO_T12M_EBITDA",$B100+1,$B100+1))),F101))</f>
        <v>0</v>
      </c>
      <c r="G100" s="548">
        <f ca="1">(IFERROR(IFERROR(VALUE(_xll.BDH(G$4,"CURRENT_EV_TO_T12M_EBITDA",$B100,$B100)),VALUE(_xll.BDH(G$4,"CURRENT_EV_TO_T12M_EBITDA",$B100+1,$B100+1))),G101))</f>
        <v>0</v>
      </c>
      <c r="H100" s="548">
        <f ca="1">(IFERROR(IFERROR(VALUE(_xll.BDH(H$4,"CURRENT_EV_TO_T12M_EBITDA",$B100,$B100)),VALUE(_xll.BDH(H$4,"CURRENT_EV_TO_T12M_EBITDA",$B100+1,$B100+1))),H101))</f>
        <v>0</v>
      </c>
      <c r="I100" s="552">
        <f t="shared" ca="1" si="24"/>
        <v>45286</v>
      </c>
      <c r="J100" s="548">
        <f ca="1">(IFERROR(IFERROR(VALUE(_xll.BDH(J$4,"PE_RATIO",$B100,$B100)),VALUE(_xll.BDH(J$4,"PE_RATIO",$B100+1,$B100+1))),J101))</f>
        <v>0</v>
      </c>
      <c r="K100" s="548">
        <f ca="1">(IFERROR(IFERROR(VALUE(_xll.BDH(K$4,"PE_RATIO",$B100,$B100)),VALUE(_xll.BDH(K$4,"PE_RATIO",$B100+1,$B100+1))),K101))</f>
        <v>0</v>
      </c>
      <c r="L100" s="548">
        <f ca="1">(IFERROR(IFERROR(VALUE(_xll.BDH(L$4,"PE_RATIO",$B100,$B100)),VALUE(_xll.BDH(L$4,"PE_RATIO",$B100+1,$B100+1))),L101))</f>
        <v>0</v>
      </c>
      <c r="M100" s="548">
        <f ca="1">(IFERROR(IFERROR(VALUE(_xll.BDH(M$4,"PE_RATIO",$B100,$B100)),VALUE(_xll.BDH(M$4,"PE_RATIO",$B100+1,$B100+1))),M101))</f>
        <v>0</v>
      </c>
      <c r="N100" s="548">
        <f ca="1">(IFERROR(IFERROR(VALUE(_xll.BDH(N$4,"PE_RATIO",$B100,$B100)),VALUE(_xll.BDH(N$4,"PE_RATIO",$B100+1,$B100+1))),N101))</f>
        <v>0</v>
      </c>
      <c r="O100" s="548">
        <f ca="1">(IFERROR(IFERROR(VALUE(_xll.BDH(O$4,"PE_RATIO",$B100,$B100)),VALUE(_xll.BDH(O$4,"PE_RATIO",$B100+1,$B100+1))),O101))</f>
        <v>0</v>
      </c>
      <c r="P100" s="548"/>
      <c r="Q100" s="552">
        <f t="shared" ca="1" si="25"/>
        <v>45286</v>
      </c>
      <c r="R100" s="4">
        <v>219.21</v>
      </c>
      <c r="S100" s="4">
        <v>4514.0200000000004</v>
      </c>
      <c r="T100" s="4">
        <v>0</v>
      </c>
      <c r="U100" s="4">
        <v>1.1251924853711119</v>
      </c>
      <c r="V100" s="4">
        <v>1.2589231429989793</v>
      </c>
      <c r="W100" s="4" t="e">
        <v>#DIV/0!</v>
      </c>
      <c r="Y100" s="548">
        <f t="shared" si="26"/>
        <v>219.21</v>
      </c>
      <c r="Z100" s="4">
        <f ca="1">IFERROR(VALUE(_xll.BDH(Z$4,"PX_LAST",$Q100,$Q100)),Z101)</f>
        <v>0</v>
      </c>
      <c r="AA100" s="4">
        <f ca="1">IFERROR(VALUE(_xll.BDH(AA$4,"PX_LAST",$Q100,$Q100)),AA101)</f>
        <v>0</v>
      </c>
      <c r="AB100" s="4">
        <f ca="1">IFERROR(VALUE(_xll.BDH(AB$4,"PX_LAST",$Q100,$Q100)),AB101)</f>
        <v>0</v>
      </c>
      <c r="AC100" s="4">
        <f ca="1">IFERROR(VALUE(_xll.BDH(AC$4,"PX_LAST",$Q100,$Q100)),AC101)</f>
        <v>0</v>
      </c>
      <c r="AD100" s="4">
        <f ca="1">IFERROR(VALUE(_xll.BDH(AD$4,"PX_LAST",$Q100,$Q100)),AD101)</f>
        <v>0</v>
      </c>
      <c r="AF100" s="4">
        <f t="shared" si="27"/>
        <v>1.1251924853711119</v>
      </c>
      <c r="AG100" s="4" t="e">
        <f t="shared" ca="1" si="28"/>
        <v>#DIV/0!</v>
      </c>
      <c r="AH100" s="4" t="e">
        <f t="shared" ca="1" si="29"/>
        <v>#DIV/0!</v>
      </c>
      <c r="AI100" s="4" t="e">
        <f t="shared" ca="1" si="30"/>
        <v>#DIV/0!</v>
      </c>
      <c r="AJ100" s="4" t="e">
        <f t="shared" ca="1" si="31"/>
        <v>#DIV/0!</v>
      </c>
      <c r="AK100" s="4" t="e">
        <f t="shared" ca="1" si="32"/>
        <v>#DIV/0!</v>
      </c>
      <c r="AM100" s="550">
        <f t="shared" ca="1" si="33"/>
        <v>45855</v>
      </c>
      <c r="AN100" s="551">
        <v>223.43</v>
      </c>
      <c r="AO100" s="551">
        <v>2953422</v>
      </c>
      <c r="AP100" s="551">
        <v>597.47560999999996</v>
      </c>
      <c r="AQ100" s="551">
        <v>133493.9755423</v>
      </c>
      <c r="AR100" s="551">
        <v>5.58</v>
      </c>
    </row>
    <row r="101" spans="2:44" x14ac:dyDescent="0.3">
      <c r="B101" s="552">
        <f t="shared" ca="1" si="34"/>
        <v>45279</v>
      </c>
      <c r="C101" s="548">
        <f ca="1">(IFERROR(IFERROR(VALUE(_xll.BDH(C$4,"CURRENT_EV_TO_T12M_EBITDA",$B101,$B101)),VALUE(_xll.BDH(C$4,"CURRENT_EV_TO_T12M_EBITDA",$B101+1,$B101+1))),C102))</f>
        <v>0</v>
      </c>
      <c r="D101" s="548">
        <f ca="1">(IFERROR(IFERROR(VALUE(_xll.BDH(D$4,"CURRENT_EV_TO_T12M_EBITDA",$B101,$B101)),VALUE(_xll.BDH(D$4,"CURRENT_EV_TO_T12M_EBITDA",$B101+1,$B101+1))),D102))</f>
        <v>0</v>
      </c>
      <c r="E101" s="548">
        <f ca="1">(IFERROR(IFERROR(VALUE(_xll.BDH(E$4,"CURRENT_EV_TO_T12M_EBITDA",$B101,$B101)),VALUE(_xll.BDH(E$4,"CURRENT_EV_TO_T12M_EBITDA",$B101+1,$B101+1))),E102))</f>
        <v>0</v>
      </c>
      <c r="F101" s="548">
        <f ca="1">(IFERROR(IFERROR(VALUE(_xll.BDH(F$4,"CURRENT_EV_TO_T12M_EBITDA",$B101,$B101)),VALUE(_xll.BDH(F$4,"CURRENT_EV_TO_T12M_EBITDA",$B101+1,$B101+1))),F102))</f>
        <v>0</v>
      </c>
      <c r="G101" s="548">
        <f ca="1">(IFERROR(IFERROR(VALUE(_xll.BDH(G$4,"CURRENT_EV_TO_T12M_EBITDA",$B101,$B101)),VALUE(_xll.BDH(G$4,"CURRENT_EV_TO_T12M_EBITDA",$B101+1,$B101+1))),G102))</f>
        <v>0</v>
      </c>
      <c r="H101" s="548">
        <f ca="1">(IFERROR(IFERROR(VALUE(_xll.BDH(H$4,"CURRENT_EV_TO_T12M_EBITDA",$B101,$B101)),VALUE(_xll.BDH(H$4,"CURRENT_EV_TO_T12M_EBITDA",$B101+1,$B101+1))),H102))</f>
        <v>0</v>
      </c>
      <c r="I101" s="552">
        <f t="shared" ref="I101:I132" ca="1" si="35">+B101</f>
        <v>45279</v>
      </c>
      <c r="J101" s="548">
        <f ca="1">(IFERROR(IFERROR(VALUE(_xll.BDH(J$4,"PE_RATIO",$B101,$B101)),VALUE(_xll.BDH(J$4,"PE_RATIO",$B101+1,$B101+1))),J102))</f>
        <v>0</v>
      </c>
      <c r="K101" s="548">
        <f ca="1">(IFERROR(IFERROR(VALUE(_xll.BDH(K$4,"PE_RATIO",$B101,$B101)),VALUE(_xll.BDH(K$4,"PE_RATIO",$B101+1,$B101+1))),K102))</f>
        <v>0</v>
      </c>
      <c r="L101" s="548">
        <f ca="1">(IFERROR(IFERROR(VALUE(_xll.BDH(L$4,"PE_RATIO",$B101,$B101)),VALUE(_xll.BDH(L$4,"PE_RATIO",$B101+1,$B101+1))),L102))</f>
        <v>0</v>
      </c>
      <c r="M101" s="548">
        <f ca="1">(IFERROR(IFERROR(VALUE(_xll.BDH(M$4,"PE_RATIO",$B101,$B101)),VALUE(_xll.BDH(M$4,"PE_RATIO",$B101+1,$B101+1))),M102))</f>
        <v>0</v>
      </c>
      <c r="N101" s="548">
        <f ca="1">(IFERROR(IFERROR(VALUE(_xll.BDH(N$4,"PE_RATIO",$B101,$B101)),VALUE(_xll.BDH(N$4,"PE_RATIO",$B101+1,$B101+1))),N102))</f>
        <v>0</v>
      </c>
      <c r="O101" s="548">
        <f ca="1">(IFERROR(IFERROR(VALUE(_xll.BDH(O$4,"PE_RATIO",$B101,$B101)),VALUE(_xll.BDH(O$4,"PE_RATIO",$B101+1,$B101+1))),O102))</f>
        <v>0</v>
      </c>
      <c r="P101" s="548"/>
      <c r="Q101" s="552">
        <f t="shared" ref="Q101:Q132" ca="1" si="36">+I101</f>
        <v>45279</v>
      </c>
      <c r="R101" s="4">
        <v>211.49</v>
      </c>
      <c r="S101" s="4">
        <v>4415.24</v>
      </c>
      <c r="T101" s="4">
        <v>0</v>
      </c>
      <c r="U101" s="4">
        <v>1.0855661636382303</v>
      </c>
      <c r="V101" s="4">
        <v>1.2313742114334481</v>
      </c>
      <c r="W101" s="4" t="e">
        <v>#DIV/0!</v>
      </c>
      <c r="Y101" s="548">
        <f t="shared" ref="Y101:Y132" si="37">+R101</f>
        <v>211.49</v>
      </c>
      <c r="Z101" s="4">
        <f ca="1">IFERROR(VALUE(_xll.BDH(Z$4,"PX_LAST",$Q101,$Q101)),Z102)</f>
        <v>0</v>
      </c>
      <c r="AA101" s="4">
        <f ca="1">IFERROR(VALUE(_xll.BDH(AA$4,"PX_LAST",$Q101,$Q101)),AA102)</f>
        <v>0</v>
      </c>
      <c r="AB101" s="4">
        <f ca="1">IFERROR(VALUE(_xll.BDH(AB$4,"PX_LAST",$Q101,$Q101)),AB102)</f>
        <v>0</v>
      </c>
      <c r="AC101" s="4">
        <f ca="1">IFERROR(VALUE(_xll.BDH(AC$4,"PX_LAST",$Q101,$Q101)),AC102)</f>
        <v>0</v>
      </c>
      <c r="AD101" s="4">
        <f ca="1">IFERROR(VALUE(_xll.BDH(AD$4,"PX_LAST",$Q101,$Q101)),AD102)</f>
        <v>0</v>
      </c>
      <c r="AF101" s="4">
        <f t="shared" ref="AF101:AF132" si="38">+Y101/Y$159</f>
        <v>1.0855661636382303</v>
      </c>
      <c r="AG101" s="4" t="e">
        <f t="shared" ref="AG101:AG132" ca="1" si="39">+Z101/Z$159</f>
        <v>#DIV/0!</v>
      </c>
      <c r="AH101" s="4" t="e">
        <f t="shared" ref="AH101:AH132" ca="1" si="40">+AA101/AA$159</f>
        <v>#DIV/0!</v>
      </c>
      <c r="AI101" s="4" t="e">
        <f t="shared" ref="AI101:AI132" ca="1" si="41">+AB101/AB$159</f>
        <v>#DIV/0!</v>
      </c>
      <c r="AJ101" s="4" t="e">
        <f t="shared" ref="AJ101:AJ132" ca="1" si="42">+AC101/AC$159</f>
        <v>#DIV/0!</v>
      </c>
      <c r="AK101" s="4" t="e">
        <f t="shared" ref="AK101:AK132" ca="1" si="43">+AD101/AD$159</f>
        <v>#DIV/0!</v>
      </c>
      <c r="AM101" s="550">
        <f t="shared" ca="1" si="33"/>
        <v>45854</v>
      </c>
      <c r="AN101" s="551">
        <v>223.43</v>
      </c>
      <c r="AO101" s="551">
        <v>2953422</v>
      </c>
      <c r="AP101" s="551">
        <v>597.47560999999996</v>
      </c>
      <c r="AQ101" s="551">
        <v>133493.9755423</v>
      </c>
      <c r="AR101" s="551">
        <v>5.58</v>
      </c>
    </row>
    <row r="102" spans="2:44" x14ac:dyDescent="0.3">
      <c r="B102" s="552">
        <f t="shared" ref="B102:B133" ca="1" si="44">+B101-7</f>
        <v>45272</v>
      </c>
      <c r="C102" s="548">
        <f ca="1">(IFERROR(IFERROR(VALUE(_xll.BDH(C$4,"CURRENT_EV_TO_T12M_EBITDA",$B102,$B102)),VALUE(_xll.BDH(C$4,"CURRENT_EV_TO_T12M_EBITDA",$B102+1,$B102+1))),C103))</f>
        <v>0</v>
      </c>
      <c r="D102" s="548">
        <f ca="1">(IFERROR(IFERROR(VALUE(_xll.BDH(D$4,"CURRENT_EV_TO_T12M_EBITDA",$B102,$B102)),VALUE(_xll.BDH(D$4,"CURRENT_EV_TO_T12M_EBITDA",$B102+1,$B102+1))),D103))</f>
        <v>0</v>
      </c>
      <c r="E102" s="548">
        <f ca="1">(IFERROR(IFERROR(VALUE(_xll.BDH(E$4,"CURRENT_EV_TO_T12M_EBITDA",$B102,$B102)),VALUE(_xll.BDH(E$4,"CURRENT_EV_TO_T12M_EBITDA",$B102+1,$B102+1))),E103))</f>
        <v>0</v>
      </c>
      <c r="F102" s="548">
        <f ca="1">(IFERROR(IFERROR(VALUE(_xll.BDH(F$4,"CURRENT_EV_TO_T12M_EBITDA",$B102,$B102)),VALUE(_xll.BDH(F$4,"CURRENT_EV_TO_T12M_EBITDA",$B102+1,$B102+1))),F103))</f>
        <v>0</v>
      </c>
      <c r="G102" s="548">
        <f ca="1">(IFERROR(IFERROR(VALUE(_xll.BDH(G$4,"CURRENT_EV_TO_T12M_EBITDA",$B102,$B102)),VALUE(_xll.BDH(G$4,"CURRENT_EV_TO_T12M_EBITDA",$B102+1,$B102+1))),G103))</f>
        <v>0</v>
      </c>
      <c r="H102" s="548">
        <f ca="1">(IFERROR(IFERROR(VALUE(_xll.BDH(H$4,"CURRENT_EV_TO_T12M_EBITDA",$B102,$B102)),VALUE(_xll.BDH(H$4,"CURRENT_EV_TO_T12M_EBITDA",$B102+1,$B102+1))),H103))</f>
        <v>0</v>
      </c>
      <c r="I102" s="552">
        <f t="shared" ca="1" si="35"/>
        <v>45272</v>
      </c>
      <c r="J102" s="548">
        <f ca="1">(IFERROR(IFERROR(VALUE(_xll.BDH(J$4,"PE_RATIO",$B102,$B102)),VALUE(_xll.BDH(J$4,"PE_RATIO",$B102+1,$B102+1))),J103))</f>
        <v>0</v>
      </c>
      <c r="K102" s="548">
        <f ca="1">(IFERROR(IFERROR(VALUE(_xll.BDH(K$4,"PE_RATIO",$B102,$B102)),VALUE(_xll.BDH(K$4,"PE_RATIO",$B102+1,$B102+1))),K103))</f>
        <v>0</v>
      </c>
      <c r="L102" s="548">
        <f ca="1">(IFERROR(IFERROR(VALUE(_xll.BDH(L$4,"PE_RATIO",$B102,$B102)),VALUE(_xll.BDH(L$4,"PE_RATIO",$B102+1,$B102+1))),L103))</f>
        <v>0</v>
      </c>
      <c r="M102" s="548">
        <f ca="1">(IFERROR(IFERROR(VALUE(_xll.BDH(M$4,"PE_RATIO",$B102,$B102)),VALUE(_xll.BDH(M$4,"PE_RATIO",$B102+1,$B102+1))),M103))</f>
        <v>0</v>
      </c>
      <c r="N102" s="548">
        <f ca="1">(IFERROR(IFERROR(VALUE(_xll.BDH(N$4,"PE_RATIO",$B102,$B102)),VALUE(_xll.BDH(N$4,"PE_RATIO",$B102+1,$B102+1))),N103))</f>
        <v>0</v>
      </c>
      <c r="O102" s="548">
        <f ca="1">(IFERROR(IFERROR(VALUE(_xll.BDH(O$4,"PE_RATIO",$B102,$B102)),VALUE(_xll.BDH(O$4,"PE_RATIO",$B102+1,$B102+1))),O103))</f>
        <v>0</v>
      </c>
      <c r="P102" s="548"/>
      <c r="Q102" s="552">
        <f t="shared" ca="1" si="36"/>
        <v>45272</v>
      </c>
      <c r="R102" s="4">
        <v>212.13</v>
      </c>
      <c r="S102" s="4">
        <v>4358.34</v>
      </c>
      <c r="T102" s="4">
        <v>0</v>
      </c>
      <c r="U102" s="4">
        <v>1.0888512473052048</v>
      </c>
      <c r="V102" s="4">
        <v>1.2155052682660181</v>
      </c>
      <c r="W102" s="4" t="e">
        <v>#DIV/0!</v>
      </c>
      <c r="Y102" s="548">
        <f t="shared" si="37"/>
        <v>212.13</v>
      </c>
      <c r="Z102" s="4">
        <f ca="1">IFERROR(VALUE(_xll.BDH(Z$4,"PX_LAST",$Q102,$Q102)),Z103)</f>
        <v>0</v>
      </c>
      <c r="AA102" s="4">
        <f ca="1">IFERROR(VALUE(_xll.BDH(AA$4,"PX_LAST",$Q102,$Q102)),AA103)</f>
        <v>0</v>
      </c>
      <c r="AB102" s="4">
        <f ca="1">IFERROR(VALUE(_xll.BDH(AB$4,"PX_LAST",$Q102,$Q102)),AB103)</f>
        <v>0</v>
      </c>
      <c r="AC102" s="4">
        <f ca="1">IFERROR(VALUE(_xll.BDH(AC$4,"PX_LAST",$Q102,$Q102)),AC103)</f>
        <v>0</v>
      </c>
      <c r="AD102" s="4">
        <f ca="1">IFERROR(VALUE(_xll.BDH(AD$4,"PX_LAST",$Q102,$Q102)),AD103)</f>
        <v>0</v>
      </c>
      <c r="AF102" s="4">
        <f t="shared" si="38"/>
        <v>1.0888512473052048</v>
      </c>
      <c r="AG102" s="4" t="e">
        <f t="shared" ca="1" si="39"/>
        <v>#DIV/0!</v>
      </c>
      <c r="AH102" s="4" t="e">
        <f t="shared" ca="1" si="40"/>
        <v>#DIV/0!</v>
      </c>
      <c r="AI102" s="4" t="e">
        <f t="shared" ca="1" si="41"/>
        <v>#DIV/0!</v>
      </c>
      <c r="AJ102" s="4" t="e">
        <f t="shared" ca="1" si="42"/>
        <v>#DIV/0!</v>
      </c>
      <c r="AK102" s="4" t="e">
        <f t="shared" ca="1" si="43"/>
        <v>#DIV/0!</v>
      </c>
      <c r="AM102" s="550">
        <f t="shared" ca="1" si="33"/>
        <v>45853</v>
      </c>
      <c r="AN102" s="551">
        <v>223.43</v>
      </c>
      <c r="AO102" s="551">
        <v>2953422</v>
      </c>
      <c r="AP102" s="551">
        <v>597.47560999999996</v>
      </c>
      <c r="AQ102" s="551">
        <v>133493.9755423</v>
      </c>
      <c r="AR102" s="551">
        <v>5.58</v>
      </c>
    </row>
    <row r="103" spans="2:44" x14ac:dyDescent="0.3">
      <c r="B103" s="552">
        <f t="shared" ca="1" si="44"/>
        <v>45265</v>
      </c>
      <c r="C103" s="548">
        <f ca="1">(IFERROR(IFERROR(VALUE(_xll.BDH(C$4,"CURRENT_EV_TO_T12M_EBITDA",$B103,$B103)),VALUE(_xll.BDH(C$4,"CURRENT_EV_TO_T12M_EBITDA",$B103+1,$B103+1))),C104))</f>
        <v>0</v>
      </c>
      <c r="D103" s="548">
        <f ca="1">(IFERROR(IFERROR(VALUE(_xll.BDH(D$4,"CURRENT_EV_TO_T12M_EBITDA",$B103,$B103)),VALUE(_xll.BDH(D$4,"CURRENT_EV_TO_T12M_EBITDA",$B103+1,$B103+1))),D104))</f>
        <v>0</v>
      </c>
      <c r="E103" s="548">
        <f ca="1">(IFERROR(IFERROR(VALUE(_xll.BDH(E$4,"CURRENT_EV_TO_T12M_EBITDA",$B103,$B103)),VALUE(_xll.BDH(E$4,"CURRENT_EV_TO_T12M_EBITDA",$B103+1,$B103+1))),E104))</f>
        <v>0</v>
      </c>
      <c r="F103" s="548">
        <f ca="1">(IFERROR(IFERROR(VALUE(_xll.BDH(F$4,"CURRENT_EV_TO_T12M_EBITDA",$B103,$B103)),VALUE(_xll.BDH(F$4,"CURRENT_EV_TO_T12M_EBITDA",$B103+1,$B103+1))),F104))</f>
        <v>0</v>
      </c>
      <c r="G103" s="548">
        <f ca="1">(IFERROR(IFERROR(VALUE(_xll.BDH(G$4,"CURRENT_EV_TO_T12M_EBITDA",$B103,$B103)),VALUE(_xll.BDH(G$4,"CURRENT_EV_TO_T12M_EBITDA",$B103+1,$B103+1))),G104))</f>
        <v>0</v>
      </c>
      <c r="H103" s="548">
        <f ca="1">(IFERROR(IFERROR(VALUE(_xll.BDH(H$4,"CURRENT_EV_TO_T12M_EBITDA",$B103,$B103)),VALUE(_xll.BDH(H$4,"CURRENT_EV_TO_T12M_EBITDA",$B103+1,$B103+1))),H104))</f>
        <v>0</v>
      </c>
      <c r="I103" s="552">
        <f t="shared" ca="1" si="35"/>
        <v>45265</v>
      </c>
      <c r="J103" s="548">
        <f ca="1">(IFERROR(IFERROR(VALUE(_xll.BDH(J$4,"PE_RATIO",$B103,$B103)),VALUE(_xll.BDH(J$4,"PE_RATIO",$B103+1,$B103+1))),J104))</f>
        <v>0</v>
      </c>
      <c r="K103" s="548">
        <f ca="1">(IFERROR(IFERROR(VALUE(_xll.BDH(K$4,"PE_RATIO",$B103,$B103)),VALUE(_xll.BDH(K$4,"PE_RATIO",$B103+1,$B103+1))),K104))</f>
        <v>0</v>
      </c>
      <c r="L103" s="548">
        <f ca="1">(IFERROR(IFERROR(VALUE(_xll.BDH(L$4,"PE_RATIO",$B103,$B103)),VALUE(_xll.BDH(L$4,"PE_RATIO",$B103+1,$B103+1))),L104))</f>
        <v>0</v>
      </c>
      <c r="M103" s="548">
        <f ca="1">(IFERROR(IFERROR(VALUE(_xll.BDH(M$4,"PE_RATIO",$B103,$B103)),VALUE(_xll.BDH(M$4,"PE_RATIO",$B103+1,$B103+1))),M104))</f>
        <v>0</v>
      </c>
      <c r="N103" s="548">
        <f ca="1">(IFERROR(IFERROR(VALUE(_xll.BDH(N$4,"PE_RATIO",$B103,$B103)),VALUE(_xll.BDH(N$4,"PE_RATIO",$B103+1,$B103+1))),N104))</f>
        <v>0</v>
      </c>
      <c r="O103" s="548">
        <f ca="1">(IFERROR(IFERROR(VALUE(_xll.BDH(O$4,"PE_RATIO",$B103,$B103)),VALUE(_xll.BDH(O$4,"PE_RATIO",$B103+1,$B103+1))),O104))</f>
        <v>0</v>
      </c>
      <c r="P103" s="548"/>
      <c r="Q103" s="552">
        <f t="shared" ca="1" si="36"/>
        <v>45265</v>
      </c>
      <c r="R103" s="4">
        <v>201.72</v>
      </c>
      <c r="S103" s="4">
        <v>4117.37</v>
      </c>
      <c r="T103" s="4">
        <v>0</v>
      </c>
      <c r="U103" s="4">
        <v>1.0354173082845703</v>
      </c>
      <c r="V103" s="4">
        <v>1.1483007122896458</v>
      </c>
      <c r="W103" s="4" t="e">
        <v>#DIV/0!</v>
      </c>
      <c r="Y103" s="548">
        <f t="shared" si="37"/>
        <v>201.72</v>
      </c>
      <c r="Z103" s="4">
        <f ca="1">IFERROR(VALUE(_xll.BDH(Z$4,"PX_LAST",$Q103,$Q103)),Z104)</f>
        <v>0</v>
      </c>
      <c r="AA103" s="4">
        <f ca="1">IFERROR(VALUE(_xll.BDH(AA$4,"PX_LAST",$Q103,$Q103)),AA104)</f>
        <v>0</v>
      </c>
      <c r="AB103" s="4">
        <f ca="1">IFERROR(VALUE(_xll.BDH(AB$4,"PX_LAST",$Q103,$Q103)),AB104)</f>
        <v>0</v>
      </c>
      <c r="AC103" s="4">
        <f ca="1">IFERROR(VALUE(_xll.BDH(AC$4,"PX_LAST",$Q103,$Q103)),AC104)</f>
        <v>0</v>
      </c>
      <c r="AD103" s="4">
        <f ca="1">IFERROR(VALUE(_xll.BDH(AD$4,"PX_LAST",$Q103,$Q103)),AD104)</f>
        <v>0</v>
      </c>
      <c r="AF103" s="4">
        <f t="shared" si="38"/>
        <v>1.0354173082845703</v>
      </c>
      <c r="AG103" s="4" t="e">
        <f t="shared" ca="1" si="39"/>
        <v>#DIV/0!</v>
      </c>
      <c r="AH103" s="4" t="e">
        <f t="shared" ca="1" si="40"/>
        <v>#DIV/0!</v>
      </c>
      <c r="AI103" s="4" t="e">
        <f t="shared" ca="1" si="41"/>
        <v>#DIV/0!</v>
      </c>
      <c r="AJ103" s="4" t="e">
        <f t="shared" ca="1" si="42"/>
        <v>#DIV/0!</v>
      </c>
      <c r="AK103" s="4" t="e">
        <f t="shared" ca="1" si="43"/>
        <v>#DIV/0!</v>
      </c>
      <c r="AM103" s="550">
        <f t="shared" ca="1" si="33"/>
        <v>45852</v>
      </c>
      <c r="AN103" s="551">
        <v>220.65</v>
      </c>
      <c r="AO103" s="551">
        <v>3084620</v>
      </c>
      <c r="AP103" s="551">
        <v>597.47560999999996</v>
      </c>
      <c r="AQ103" s="551">
        <v>131832.99334650001</v>
      </c>
      <c r="AR103" s="551">
        <v>5.5106000000000002</v>
      </c>
    </row>
    <row r="104" spans="2:44" x14ac:dyDescent="0.3">
      <c r="B104" s="552">
        <f t="shared" ca="1" si="44"/>
        <v>45258</v>
      </c>
      <c r="C104" s="548">
        <f ca="1">(IFERROR(IFERROR(VALUE(_xll.BDH(C$4,"CURRENT_EV_TO_T12M_EBITDA",$B104,$B104)),VALUE(_xll.BDH(C$4,"CURRENT_EV_TO_T12M_EBITDA",$B104+1,$B104+1))),C105))</f>
        <v>0</v>
      </c>
      <c r="D104" s="548">
        <f ca="1">(IFERROR(IFERROR(VALUE(_xll.BDH(D$4,"CURRENT_EV_TO_T12M_EBITDA",$B104,$B104)),VALUE(_xll.BDH(D$4,"CURRENT_EV_TO_T12M_EBITDA",$B104+1,$B104+1))),D105))</f>
        <v>0</v>
      </c>
      <c r="E104" s="548">
        <f ca="1">(IFERROR(IFERROR(VALUE(_xll.BDH(E$4,"CURRENT_EV_TO_T12M_EBITDA",$B104,$B104)),VALUE(_xll.BDH(E$4,"CURRENT_EV_TO_T12M_EBITDA",$B104+1,$B104+1))),E105))</f>
        <v>0</v>
      </c>
      <c r="F104" s="548">
        <f ca="1">(IFERROR(IFERROR(VALUE(_xll.BDH(F$4,"CURRENT_EV_TO_T12M_EBITDA",$B104,$B104)),VALUE(_xll.BDH(F$4,"CURRENT_EV_TO_T12M_EBITDA",$B104+1,$B104+1))),F105))</f>
        <v>0</v>
      </c>
      <c r="G104" s="548">
        <f ca="1">(IFERROR(IFERROR(VALUE(_xll.BDH(G$4,"CURRENT_EV_TO_T12M_EBITDA",$B104,$B104)),VALUE(_xll.BDH(G$4,"CURRENT_EV_TO_T12M_EBITDA",$B104+1,$B104+1))),G105))</f>
        <v>0</v>
      </c>
      <c r="H104" s="548">
        <f ca="1">(IFERROR(IFERROR(VALUE(_xll.BDH(H$4,"CURRENT_EV_TO_T12M_EBITDA",$B104,$B104)),VALUE(_xll.BDH(H$4,"CURRENT_EV_TO_T12M_EBITDA",$B104+1,$B104+1))),H105))</f>
        <v>0</v>
      </c>
      <c r="I104" s="552">
        <f t="shared" ca="1" si="35"/>
        <v>45258</v>
      </c>
      <c r="J104" s="548">
        <f ca="1">(IFERROR(IFERROR(VALUE(_xll.BDH(J$4,"PE_RATIO",$B104,$B104)),VALUE(_xll.BDH(J$4,"PE_RATIO",$B104+1,$B104+1))),J105))</f>
        <v>0</v>
      </c>
      <c r="K104" s="548">
        <f ca="1">(IFERROR(IFERROR(VALUE(_xll.BDH(K$4,"PE_RATIO",$B104,$B104)),VALUE(_xll.BDH(K$4,"PE_RATIO",$B104+1,$B104+1))),K105))</f>
        <v>0</v>
      </c>
      <c r="L104" s="548">
        <f ca="1">(IFERROR(IFERROR(VALUE(_xll.BDH(L$4,"PE_RATIO",$B104,$B104)),VALUE(_xll.BDH(L$4,"PE_RATIO",$B104+1,$B104+1))),L105))</f>
        <v>0</v>
      </c>
      <c r="M104" s="548">
        <f ca="1">(IFERROR(IFERROR(VALUE(_xll.BDH(M$4,"PE_RATIO",$B104,$B104)),VALUE(_xll.BDH(M$4,"PE_RATIO",$B104+1,$B104+1))),M105))</f>
        <v>0</v>
      </c>
      <c r="N104" s="548">
        <f ca="1">(IFERROR(IFERROR(VALUE(_xll.BDH(N$4,"PE_RATIO",$B104,$B104)),VALUE(_xll.BDH(N$4,"PE_RATIO",$B104+1,$B104+1))),N105))</f>
        <v>0</v>
      </c>
      <c r="O104" s="548">
        <f ca="1">(IFERROR(IFERROR(VALUE(_xll.BDH(O$4,"PE_RATIO",$B104,$B104)),VALUE(_xll.BDH(O$4,"PE_RATIO",$B104+1,$B104+1))),O105))</f>
        <v>0</v>
      </c>
      <c r="P104" s="548"/>
      <c r="Q104" s="552">
        <f t="shared" ca="1" si="36"/>
        <v>45258</v>
      </c>
      <c r="R104" s="4">
        <v>211.34</v>
      </c>
      <c r="S104" s="4">
        <v>4224.16</v>
      </c>
      <c r="T104" s="4">
        <v>0</v>
      </c>
      <c r="U104" s="4">
        <v>1.084796222153783</v>
      </c>
      <c r="V104" s="4">
        <v>1.178083567137622</v>
      </c>
      <c r="W104" s="4" t="e">
        <v>#DIV/0!</v>
      </c>
      <c r="Y104" s="548">
        <f t="shared" si="37"/>
        <v>211.34</v>
      </c>
      <c r="Z104" s="4">
        <f ca="1">IFERROR(VALUE(_xll.BDH(Z$4,"PX_LAST",$Q104,$Q104)),Z105)</f>
        <v>0</v>
      </c>
      <c r="AA104" s="4">
        <f ca="1">IFERROR(VALUE(_xll.BDH(AA$4,"PX_LAST",$Q104,$Q104)),AA105)</f>
        <v>0</v>
      </c>
      <c r="AB104" s="4">
        <f ca="1">IFERROR(VALUE(_xll.BDH(AB$4,"PX_LAST",$Q104,$Q104)),AB105)</f>
        <v>0</v>
      </c>
      <c r="AC104" s="4">
        <f ca="1">IFERROR(VALUE(_xll.BDH(AC$4,"PX_LAST",$Q104,$Q104)),AC105)</f>
        <v>0</v>
      </c>
      <c r="AD104" s="4">
        <f ca="1">IFERROR(VALUE(_xll.BDH(AD$4,"PX_LAST",$Q104,$Q104)),AD105)</f>
        <v>0</v>
      </c>
      <c r="AF104" s="4">
        <f t="shared" si="38"/>
        <v>1.084796222153783</v>
      </c>
      <c r="AG104" s="4" t="e">
        <f t="shared" ca="1" si="39"/>
        <v>#DIV/0!</v>
      </c>
      <c r="AH104" s="4" t="e">
        <f t="shared" ca="1" si="40"/>
        <v>#DIV/0!</v>
      </c>
      <c r="AI104" s="4" t="e">
        <f t="shared" ca="1" si="41"/>
        <v>#DIV/0!</v>
      </c>
      <c r="AJ104" s="4" t="e">
        <f t="shared" ca="1" si="42"/>
        <v>#DIV/0!</v>
      </c>
      <c r="AK104" s="4" t="e">
        <f t="shared" ca="1" si="43"/>
        <v>#DIV/0!</v>
      </c>
      <c r="AM104" s="550">
        <f t="shared" ca="1" si="33"/>
        <v>45851</v>
      </c>
      <c r="AN104" s="551">
        <v>220.87</v>
      </c>
      <c r="AO104" s="551">
        <v>3977099</v>
      </c>
      <c r="AP104" s="551">
        <v>597.47560999999996</v>
      </c>
      <c r="AQ104" s="551">
        <v>131964.43798069999</v>
      </c>
      <c r="AR104" s="551">
        <v>5.5160999999999998</v>
      </c>
    </row>
    <row r="105" spans="2:44" x14ac:dyDescent="0.3">
      <c r="B105" s="552">
        <f t="shared" ca="1" si="44"/>
        <v>45251</v>
      </c>
      <c r="C105" s="548">
        <f ca="1">(IFERROR(IFERROR(VALUE(_xll.BDH(C$4,"CURRENT_EV_TO_T12M_EBITDA",$B105,$B105)),VALUE(_xll.BDH(C$4,"CURRENT_EV_TO_T12M_EBITDA",$B105+1,$B105+1))),C106))</f>
        <v>0</v>
      </c>
      <c r="D105" s="548">
        <f ca="1">(IFERROR(IFERROR(VALUE(_xll.BDH(D$4,"CURRENT_EV_TO_T12M_EBITDA",$B105,$B105)),VALUE(_xll.BDH(D$4,"CURRENT_EV_TO_T12M_EBITDA",$B105+1,$B105+1))),D106))</f>
        <v>0</v>
      </c>
      <c r="E105" s="548">
        <f ca="1">(IFERROR(IFERROR(VALUE(_xll.BDH(E$4,"CURRENT_EV_TO_T12M_EBITDA",$B105,$B105)),VALUE(_xll.BDH(E$4,"CURRENT_EV_TO_T12M_EBITDA",$B105+1,$B105+1))),E106))</f>
        <v>0</v>
      </c>
      <c r="F105" s="548">
        <f ca="1">(IFERROR(IFERROR(VALUE(_xll.BDH(F$4,"CURRENT_EV_TO_T12M_EBITDA",$B105,$B105)),VALUE(_xll.BDH(F$4,"CURRENT_EV_TO_T12M_EBITDA",$B105+1,$B105+1))),F106))</f>
        <v>0</v>
      </c>
      <c r="G105" s="548">
        <f ca="1">(IFERROR(IFERROR(VALUE(_xll.BDH(G$4,"CURRENT_EV_TO_T12M_EBITDA",$B105,$B105)),VALUE(_xll.BDH(G$4,"CURRENT_EV_TO_T12M_EBITDA",$B105+1,$B105+1))),G106))</f>
        <v>0</v>
      </c>
      <c r="H105" s="548">
        <f ca="1">(IFERROR(IFERROR(VALUE(_xll.BDH(H$4,"CURRENT_EV_TO_T12M_EBITDA",$B105,$B105)),VALUE(_xll.BDH(H$4,"CURRENT_EV_TO_T12M_EBITDA",$B105+1,$B105+1))),H106))</f>
        <v>0</v>
      </c>
      <c r="I105" s="552">
        <f t="shared" ca="1" si="35"/>
        <v>45251</v>
      </c>
      <c r="J105" s="548">
        <f ca="1">(IFERROR(IFERROR(VALUE(_xll.BDH(J$4,"PE_RATIO",$B105,$B105)),VALUE(_xll.BDH(J$4,"PE_RATIO",$B105+1,$B105+1))),J106))</f>
        <v>0</v>
      </c>
      <c r="K105" s="548">
        <f ca="1">(IFERROR(IFERROR(VALUE(_xll.BDH(K$4,"PE_RATIO",$B105,$B105)),VALUE(_xll.BDH(K$4,"PE_RATIO",$B105+1,$B105+1))),K106))</f>
        <v>0</v>
      </c>
      <c r="L105" s="548">
        <f ca="1">(IFERROR(IFERROR(VALUE(_xll.BDH(L$4,"PE_RATIO",$B105,$B105)),VALUE(_xll.BDH(L$4,"PE_RATIO",$B105+1,$B105+1))),L106))</f>
        <v>0</v>
      </c>
      <c r="M105" s="548">
        <f ca="1">(IFERROR(IFERROR(VALUE(_xll.BDH(M$4,"PE_RATIO",$B105,$B105)),VALUE(_xll.BDH(M$4,"PE_RATIO",$B105+1,$B105+1))),M106))</f>
        <v>0</v>
      </c>
      <c r="N105" s="548">
        <f ca="1">(IFERROR(IFERROR(VALUE(_xll.BDH(N$4,"PE_RATIO",$B105,$B105)),VALUE(_xll.BDH(N$4,"PE_RATIO",$B105+1,$B105+1))),N106))</f>
        <v>0</v>
      </c>
      <c r="O105" s="548">
        <f ca="1">(IFERROR(IFERROR(VALUE(_xll.BDH(O$4,"PE_RATIO",$B105,$B105)),VALUE(_xll.BDH(O$4,"PE_RATIO",$B105+1,$B105+1))),O106))</f>
        <v>0</v>
      </c>
      <c r="P105" s="548"/>
      <c r="Q105" s="552">
        <f t="shared" ca="1" si="36"/>
        <v>45251</v>
      </c>
      <c r="R105" s="4">
        <v>207.75</v>
      </c>
      <c r="S105" s="4">
        <v>4327.78</v>
      </c>
      <c r="T105" s="4">
        <v>0</v>
      </c>
      <c r="U105" s="4">
        <v>1.0663689559593472</v>
      </c>
      <c r="V105" s="4">
        <v>1.206982334993669</v>
      </c>
      <c r="W105" s="4" t="e">
        <v>#DIV/0!</v>
      </c>
      <c r="Y105" s="548">
        <f t="shared" si="37"/>
        <v>207.75</v>
      </c>
      <c r="Z105" s="4">
        <f ca="1">IFERROR(VALUE(_xll.BDH(Z$4,"PX_LAST",$Q105,$Q105)),Z106)</f>
        <v>0</v>
      </c>
      <c r="AA105" s="4">
        <f ca="1">IFERROR(VALUE(_xll.BDH(AA$4,"PX_LAST",$Q105,$Q105)),AA106)</f>
        <v>0</v>
      </c>
      <c r="AB105" s="4">
        <f ca="1">IFERROR(VALUE(_xll.BDH(AB$4,"PX_LAST",$Q105,$Q105)),AB106)</f>
        <v>0</v>
      </c>
      <c r="AC105" s="4">
        <f ca="1">IFERROR(VALUE(_xll.BDH(AC$4,"PX_LAST",$Q105,$Q105)),AC106)</f>
        <v>0</v>
      </c>
      <c r="AD105" s="4">
        <f ca="1">IFERROR(VALUE(_xll.BDH(AD$4,"PX_LAST",$Q105,$Q105)),AD106)</f>
        <v>0</v>
      </c>
      <c r="AF105" s="4">
        <f t="shared" si="38"/>
        <v>1.0663689559593472</v>
      </c>
      <c r="AG105" s="4" t="e">
        <f t="shared" ca="1" si="39"/>
        <v>#DIV/0!</v>
      </c>
      <c r="AH105" s="4" t="e">
        <f t="shared" ca="1" si="40"/>
        <v>#DIV/0!</v>
      </c>
      <c r="AI105" s="4" t="e">
        <f t="shared" ca="1" si="41"/>
        <v>#DIV/0!</v>
      </c>
      <c r="AJ105" s="4" t="e">
        <f t="shared" ca="1" si="42"/>
        <v>#DIV/0!</v>
      </c>
      <c r="AK105" s="4" t="e">
        <f t="shared" ca="1" si="43"/>
        <v>#DIV/0!</v>
      </c>
      <c r="AM105" s="550">
        <f t="shared" ca="1" si="33"/>
        <v>45850</v>
      </c>
      <c r="AN105" s="551">
        <v>221.78</v>
      </c>
      <c r="AO105" s="551">
        <v>6229422</v>
      </c>
      <c r="AP105" s="551">
        <v>597.47560999999996</v>
      </c>
      <c r="AQ105" s="551">
        <v>132508.1407858</v>
      </c>
      <c r="AR105" s="551">
        <v>5.5388000000000002</v>
      </c>
    </row>
    <row r="106" spans="2:44" x14ac:dyDescent="0.3">
      <c r="B106" s="552">
        <f t="shared" ca="1" si="44"/>
        <v>45244</v>
      </c>
      <c r="C106" s="548">
        <f ca="1">(IFERROR(IFERROR(VALUE(_xll.BDH(C$4,"CURRENT_EV_TO_T12M_EBITDA",$B106,$B106)),VALUE(_xll.BDH(C$4,"CURRENT_EV_TO_T12M_EBITDA",$B106+1,$B106+1))),C107))</f>
        <v>0</v>
      </c>
      <c r="D106" s="548">
        <f ca="1">(IFERROR(IFERROR(VALUE(_xll.BDH(D$4,"CURRENT_EV_TO_T12M_EBITDA",$B106,$B106)),VALUE(_xll.BDH(D$4,"CURRENT_EV_TO_T12M_EBITDA",$B106+1,$B106+1))),D107))</f>
        <v>0</v>
      </c>
      <c r="E106" s="548">
        <f ca="1">(IFERROR(IFERROR(VALUE(_xll.BDH(E$4,"CURRENT_EV_TO_T12M_EBITDA",$B106,$B106)),VALUE(_xll.BDH(E$4,"CURRENT_EV_TO_T12M_EBITDA",$B106+1,$B106+1))),E107))</f>
        <v>0</v>
      </c>
      <c r="F106" s="548">
        <f ca="1">(IFERROR(IFERROR(VALUE(_xll.BDH(F$4,"CURRENT_EV_TO_T12M_EBITDA",$B106,$B106)),VALUE(_xll.BDH(F$4,"CURRENT_EV_TO_T12M_EBITDA",$B106+1,$B106+1))),F107))</f>
        <v>0</v>
      </c>
      <c r="G106" s="548">
        <f ca="1">(IFERROR(IFERROR(VALUE(_xll.BDH(G$4,"CURRENT_EV_TO_T12M_EBITDA",$B106,$B106)),VALUE(_xll.BDH(G$4,"CURRENT_EV_TO_T12M_EBITDA",$B106+1,$B106+1))),G107))</f>
        <v>0</v>
      </c>
      <c r="H106" s="548">
        <f ca="1">(IFERROR(IFERROR(VALUE(_xll.BDH(H$4,"CURRENT_EV_TO_T12M_EBITDA",$B106,$B106)),VALUE(_xll.BDH(H$4,"CURRENT_EV_TO_T12M_EBITDA",$B106+1,$B106+1))),H107))</f>
        <v>0</v>
      </c>
      <c r="I106" s="552">
        <f t="shared" ca="1" si="35"/>
        <v>45244</v>
      </c>
      <c r="J106" s="548">
        <f ca="1">(IFERROR(IFERROR(VALUE(_xll.BDH(J$4,"PE_RATIO",$B106,$B106)),VALUE(_xll.BDH(J$4,"PE_RATIO",$B106+1,$B106+1))),J107))</f>
        <v>0</v>
      </c>
      <c r="K106" s="548">
        <f ca="1">(IFERROR(IFERROR(VALUE(_xll.BDH(K$4,"PE_RATIO",$B106,$B106)),VALUE(_xll.BDH(K$4,"PE_RATIO",$B106+1,$B106+1))),K107))</f>
        <v>0</v>
      </c>
      <c r="L106" s="548">
        <f ca="1">(IFERROR(IFERROR(VALUE(_xll.BDH(L$4,"PE_RATIO",$B106,$B106)),VALUE(_xll.BDH(L$4,"PE_RATIO",$B106+1,$B106+1))),L107))</f>
        <v>0</v>
      </c>
      <c r="M106" s="548">
        <f ca="1">(IFERROR(IFERROR(VALUE(_xll.BDH(M$4,"PE_RATIO",$B106,$B106)),VALUE(_xll.BDH(M$4,"PE_RATIO",$B106+1,$B106+1))),M107))</f>
        <v>0</v>
      </c>
      <c r="N106" s="548">
        <f ca="1">(IFERROR(IFERROR(VALUE(_xll.BDH(N$4,"PE_RATIO",$B106,$B106)),VALUE(_xll.BDH(N$4,"PE_RATIO",$B106+1,$B106+1))),N107))</f>
        <v>0</v>
      </c>
      <c r="O106" s="548">
        <f ca="1">(IFERROR(IFERROR(VALUE(_xll.BDH(O$4,"PE_RATIO",$B106,$B106)),VALUE(_xll.BDH(O$4,"PE_RATIO",$B106+1,$B106+1))),O107))</f>
        <v>0</v>
      </c>
      <c r="P106" s="548"/>
      <c r="Q106" s="552">
        <f t="shared" ca="1" si="36"/>
        <v>45244</v>
      </c>
      <c r="R106" s="4">
        <v>202.46</v>
      </c>
      <c r="S106" s="4">
        <v>4308.5</v>
      </c>
      <c r="T106" s="4">
        <v>0</v>
      </c>
      <c r="U106" s="4">
        <v>1.0392156862745099</v>
      </c>
      <c r="V106" s="4">
        <v>1.2016053011752501</v>
      </c>
      <c r="W106" s="4" t="e">
        <v>#DIV/0!</v>
      </c>
      <c r="Y106" s="548">
        <f t="shared" si="37"/>
        <v>202.46</v>
      </c>
      <c r="Z106" s="4">
        <f ca="1">IFERROR(VALUE(_xll.BDH(Z$4,"PX_LAST",$Q106,$Q106)),Z107)</f>
        <v>0</v>
      </c>
      <c r="AA106" s="4">
        <f ca="1">IFERROR(VALUE(_xll.BDH(AA$4,"PX_LAST",$Q106,$Q106)),AA107)</f>
        <v>0</v>
      </c>
      <c r="AB106" s="4">
        <f ca="1">IFERROR(VALUE(_xll.BDH(AB$4,"PX_LAST",$Q106,$Q106)),AB107)</f>
        <v>0</v>
      </c>
      <c r="AC106" s="4">
        <f ca="1">IFERROR(VALUE(_xll.BDH(AC$4,"PX_LAST",$Q106,$Q106)),AC107)</f>
        <v>0</v>
      </c>
      <c r="AD106" s="4">
        <f ca="1">IFERROR(VALUE(_xll.BDH(AD$4,"PX_LAST",$Q106,$Q106)),AD107)</f>
        <v>0</v>
      </c>
      <c r="AF106" s="4">
        <f t="shared" si="38"/>
        <v>1.0392156862745099</v>
      </c>
      <c r="AG106" s="4" t="e">
        <f t="shared" ca="1" si="39"/>
        <v>#DIV/0!</v>
      </c>
      <c r="AH106" s="4" t="e">
        <f t="shared" ca="1" si="40"/>
        <v>#DIV/0!</v>
      </c>
      <c r="AI106" s="4" t="e">
        <f t="shared" ca="1" si="41"/>
        <v>#DIV/0!</v>
      </c>
      <c r="AJ106" s="4" t="e">
        <f t="shared" ca="1" si="42"/>
        <v>#DIV/0!</v>
      </c>
      <c r="AK106" s="4" t="e">
        <f t="shared" ca="1" si="43"/>
        <v>#DIV/0!</v>
      </c>
      <c r="AM106" s="550">
        <f t="shared" ca="1" si="33"/>
        <v>45849</v>
      </c>
      <c r="AN106" s="551">
        <v>218.89</v>
      </c>
      <c r="AO106" s="551">
        <v>4587007</v>
      </c>
      <c r="AP106" s="551">
        <v>597.47560999999996</v>
      </c>
      <c r="AQ106" s="551">
        <v>130781.43627289998</v>
      </c>
      <c r="AR106" s="551">
        <v>5.4667000000000003</v>
      </c>
    </row>
    <row r="107" spans="2:44" x14ac:dyDescent="0.3">
      <c r="B107" s="552">
        <f t="shared" ca="1" si="44"/>
        <v>45237</v>
      </c>
      <c r="C107" s="548">
        <f ca="1">(IFERROR(IFERROR(VALUE(_xll.BDH(C$4,"CURRENT_EV_TO_T12M_EBITDA",$B107,$B107)),VALUE(_xll.BDH(C$4,"CURRENT_EV_TO_T12M_EBITDA",$B107+1,$B107+1))),C108))</f>
        <v>0</v>
      </c>
      <c r="D107" s="548">
        <f ca="1">(IFERROR(IFERROR(VALUE(_xll.BDH(D$4,"CURRENT_EV_TO_T12M_EBITDA",$B107,$B107)),VALUE(_xll.BDH(D$4,"CURRENT_EV_TO_T12M_EBITDA",$B107+1,$B107+1))),D108))</f>
        <v>0</v>
      </c>
      <c r="E107" s="548">
        <f ca="1">(IFERROR(IFERROR(VALUE(_xll.BDH(E$4,"CURRENT_EV_TO_T12M_EBITDA",$B107,$B107)),VALUE(_xll.BDH(E$4,"CURRENT_EV_TO_T12M_EBITDA",$B107+1,$B107+1))),E108))</f>
        <v>0</v>
      </c>
      <c r="F107" s="548">
        <f ca="1">(IFERROR(IFERROR(VALUE(_xll.BDH(F$4,"CURRENT_EV_TO_T12M_EBITDA",$B107,$B107)),VALUE(_xll.BDH(F$4,"CURRENT_EV_TO_T12M_EBITDA",$B107+1,$B107+1))),F108))</f>
        <v>0</v>
      </c>
      <c r="G107" s="548">
        <f ca="1">(IFERROR(IFERROR(VALUE(_xll.BDH(G$4,"CURRENT_EV_TO_T12M_EBITDA",$B107,$B107)),VALUE(_xll.BDH(G$4,"CURRENT_EV_TO_T12M_EBITDA",$B107+1,$B107+1))),G108))</f>
        <v>0</v>
      </c>
      <c r="H107" s="548">
        <f ca="1">(IFERROR(IFERROR(VALUE(_xll.BDH(H$4,"CURRENT_EV_TO_T12M_EBITDA",$B107,$B107)),VALUE(_xll.BDH(H$4,"CURRENT_EV_TO_T12M_EBITDA",$B107+1,$B107+1))),H108))</f>
        <v>0</v>
      </c>
      <c r="I107" s="552">
        <f t="shared" ca="1" si="35"/>
        <v>45237</v>
      </c>
      <c r="J107" s="548">
        <f ca="1">(IFERROR(IFERROR(VALUE(_xll.BDH(J$4,"PE_RATIO",$B107,$B107)),VALUE(_xll.BDH(J$4,"PE_RATIO",$B107+1,$B107+1))),J108))</f>
        <v>0</v>
      </c>
      <c r="K107" s="548">
        <f ca="1">(IFERROR(IFERROR(VALUE(_xll.BDH(K$4,"PE_RATIO",$B107,$B107)),VALUE(_xll.BDH(K$4,"PE_RATIO",$B107+1,$B107+1))),K108))</f>
        <v>0</v>
      </c>
      <c r="L107" s="548">
        <f ca="1">(IFERROR(IFERROR(VALUE(_xll.BDH(L$4,"PE_RATIO",$B107,$B107)),VALUE(_xll.BDH(L$4,"PE_RATIO",$B107+1,$B107+1))),L108))</f>
        <v>0</v>
      </c>
      <c r="M107" s="548">
        <f ca="1">(IFERROR(IFERROR(VALUE(_xll.BDH(M$4,"PE_RATIO",$B107,$B107)),VALUE(_xll.BDH(M$4,"PE_RATIO",$B107+1,$B107+1))),M108))</f>
        <v>0</v>
      </c>
      <c r="N107" s="548">
        <f ca="1">(IFERROR(IFERROR(VALUE(_xll.BDH(N$4,"PE_RATIO",$B107,$B107)),VALUE(_xll.BDH(N$4,"PE_RATIO",$B107+1,$B107+1))),N108))</f>
        <v>0</v>
      </c>
      <c r="O107" s="548">
        <f ca="1">(IFERROR(IFERROR(VALUE(_xll.BDH(O$4,"PE_RATIO",$B107,$B107)),VALUE(_xll.BDH(O$4,"PE_RATIO",$B107+1,$B107+1))),O108))</f>
        <v>0</v>
      </c>
      <c r="P107" s="548"/>
      <c r="Q107" s="552">
        <f t="shared" ca="1" si="36"/>
        <v>45237</v>
      </c>
      <c r="R107" s="4">
        <v>203.63</v>
      </c>
      <c r="S107" s="4">
        <v>4288.05</v>
      </c>
      <c r="T107" s="4">
        <v>0</v>
      </c>
      <c r="U107" s="4">
        <v>1.0452212298531978</v>
      </c>
      <c r="V107" s="4">
        <v>1.1959019639560244</v>
      </c>
      <c r="W107" s="4" t="e">
        <v>#DIV/0!</v>
      </c>
      <c r="Y107" s="548">
        <f t="shared" si="37"/>
        <v>203.63</v>
      </c>
      <c r="Z107" s="4">
        <f ca="1">IFERROR(VALUE(_xll.BDH(Z$4,"PX_LAST",$Q107,$Q107)),Z108)</f>
        <v>0</v>
      </c>
      <c r="AA107" s="4">
        <f ca="1">IFERROR(VALUE(_xll.BDH(AA$4,"PX_LAST",$Q107,$Q107)),AA108)</f>
        <v>0</v>
      </c>
      <c r="AB107" s="4">
        <f ca="1">IFERROR(VALUE(_xll.BDH(AB$4,"PX_LAST",$Q107,$Q107)),AB108)</f>
        <v>0</v>
      </c>
      <c r="AC107" s="4">
        <f ca="1">IFERROR(VALUE(_xll.BDH(AC$4,"PX_LAST",$Q107,$Q107)),AC108)</f>
        <v>0</v>
      </c>
      <c r="AD107" s="4">
        <f ca="1">IFERROR(VALUE(_xll.BDH(AD$4,"PX_LAST",$Q107,$Q107)),AD108)</f>
        <v>0</v>
      </c>
      <c r="AF107" s="4">
        <f t="shared" si="38"/>
        <v>1.0452212298531978</v>
      </c>
      <c r="AG107" s="4" t="e">
        <f t="shared" ca="1" si="39"/>
        <v>#DIV/0!</v>
      </c>
      <c r="AH107" s="4" t="e">
        <f t="shared" ca="1" si="40"/>
        <v>#DIV/0!</v>
      </c>
      <c r="AI107" s="4" t="e">
        <f t="shared" ca="1" si="41"/>
        <v>#DIV/0!</v>
      </c>
      <c r="AJ107" s="4" t="e">
        <f t="shared" ca="1" si="42"/>
        <v>#DIV/0!</v>
      </c>
      <c r="AK107" s="4" t="e">
        <f t="shared" ca="1" si="43"/>
        <v>#DIV/0!</v>
      </c>
      <c r="AM107" s="550">
        <f t="shared" ca="1" si="33"/>
        <v>45848</v>
      </c>
      <c r="AN107" s="551">
        <v>221.66</v>
      </c>
      <c r="AO107" s="551">
        <v>4179598</v>
      </c>
      <c r="AP107" s="551">
        <v>597.47560999999996</v>
      </c>
      <c r="AQ107" s="551">
        <v>132436.44371259998</v>
      </c>
      <c r="AR107" s="551">
        <v>5.5358000000000001</v>
      </c>
    </row>
    <row r="108" spans="2:44" x14ac:dyDescent="0.3">
      <c r="B108" s="552">
        <f t="shared" ca="1" si="44"/>
        <v>45230</v>
      </c>
      <c r="C108" s="548">
        <f ca="1">(IFERROR(IFERROR(VALUE(_xll.BDH(C$4,"CURRENT_EV_TO_T12M_EBITDA",$B108,$B108)),VALUE(_xll.BDH(C$4,"CURRENT_EV_TO_T12M_EBITDA",$B108+1,$B108+1))),C109))</f>
        <v>0</v>
      </c>
      <c r="D108" s="548">
        <f ca="1">(IFERROR(IFERROR(VALUE(_xll.BDH(D$4,"CURRENT_EV_TO_T12M_EBITDA",$B108,$B108)),VALUE(_xll.BDH(D$4,"CURRENT_EV_TO_T12M_EBITDA",$B108+1,$B108+1))),D109))</f>
        <v>0</v>
      </c>
      <c r="E108" s="548">
        <f ca="1">(IFERROR(IFERROR(VALUE(_xll.BDH(E$4,"CURRENT_EV_TO_T12M_EBITDA",$B108,$B108)),VALUE(_xll.BDH(E$4,"CURRENT_EV_TO_T12M_EBITDA",$B108+1,$B108+1))),E109))</f>
        <v>0</v>
      </c>
      <c r="F108" s="548">
        <f ca="1">(IFERROR(IFERROR(VALUE(_xll.BDH(F$4,"CURRENT_EV_TO_T12M_EBITDA",$B108,$B108)),VALUE(_xll.BDH(F$4,"CURRENT_EV_TO_T12M_EBITDA",$B108+1,$B108+1))),F109))</f>
        <v>0</v>
      </c>
      <c r="G108" s="548">
        <f ca="1">(IFERROR(IFERROR(VALUE(_xll.BDH(G$4,"CURRENT_EV_TO_T12M_EBITDA",$B108,$B108)),VALUE(_xll.BDH(G$4,"CURRENT_EV_TO_T12M_EBITDA",$B108+1,$B108+1))),G109))</f>
        <v>0</v>
      </c>
      <c r="H108" s="548">
        <f ca="1">(IFERROR(IFERROR(VALUE(_xll.BDH(H$4,"CURRENT_EV_TO_T12M_EBITDA",$B108,$B108)),VALUE(_xll.BDH(H$4,"CURRENT_EV_TO_T12M_EBITDA",$B108+1,$B108+1))),H109))</f>
        <v>0</v>
      </c>
      <c r="I108" s="552">
        <f t="shared" ca="1" si="35"/>
        <v>45230</v>
      </c>
      <c r="J108" s="548">
        <f ca="1">(IFERROR(IFERROR(VALUE(_xll.BDH(J$4,"PE_RATIO",$B108,$B108)),VALUE(_xll.BDH(J$4,"PE_RATIO",$B108+1,$B108+1))),J109))</f>
        <v>0</v>
      </c>
      <c r="K108" s="548">
        <f ca="1">(IFERROR(IFERROR(VALUE(_xll.BDH(K$4,"PE_RATIO",$B108,$B108)),VALUE(_xll.BDH(K$4,"PE_RATIO",$B108+1,$B108+1))),K109))</f>
        <v>0</v>
      </c>
      <c r="L108" s="548">
        <f ca="1">(IFERROR(IFERROR(VALUE(_xll.BDH(L$4,"PE_RATIO",$B108,$B108)),VALUE(_xll.BDH(L$4,"PE_RATIO",$B108+1,$B108+1))),L109))</f>
        <v>0</v>
      </c>
      <c r="M108" s="548">
        <f ca="1">(IFERROR(IFERROR(VALUE(_xll.BDH(M$4,"PE_RATIO",$B108,$B108)),VALUE(_xll.BDH(M$4,"PE_RATIO",$B108+1,$B108+1))),M109))</f>
        <v>0</v>
      </c>
      <c r="N108" s="548">
        <f ca="1">(IFERROR(IFERROR(VALUE(_xll.BDH(N$4,"PE_RATIO",$B108,$B108)),VALUE(_xll.BDH(N$4,"PE_RATIO",$B108+1,$B108+1))),N109))</f>
        <v>0</v>
      </c>
      <c r="O108" s="548">
        <f ca="1">(IFERROR(IFERROR(VALUE(_xll.BDH(O$4,"PE_RATIO",$B108,$B108)),VALUE(_xll.BDH(O$4,"PE_RATIO",$B108+1,$B108+1))),O109))</f>
        <v>0</v>
      </c>
      <c r="P108" s="548"/>
      <c r="Q108" s="552">
        <f t="shared" ca="1" si="36"/>
        <v>45230</v>
      </c>
      <c r="R108" s="4">
        <v>209.24</v>
      </c>
      <c r="S108" s="4">
        <v>4320.0600000000004</v>
      </c>
      <c r="T108" s="4">
        <v>0</v>
      </c>
      <c r="U108" s="4">
        <v>1.0740170413715224</v>
      </c>
      <c r="V108" s="4">
        <v>1.2048292903319371</v>
      </c>
      <c r="W108" s="4" t="e">
        <v>#DIV/0!</v>
      </c>
      <c r="Y108" s="548">
        <f t="shared" si="37"/>
        <v>209.24</v>
      </c>
      <c r="Z108" s="4">
        <f ca="1">IFERROR(VALUE(_xll.BDH(Z$4,"PX_LAST",$Q108,$Q108)),Z109)</f>
        <v>0</v>
      </c>
      <c r="AA108" s="4">
        <f ca="1">IFERROR(VALUE(_xll.BDH(AA$4,"PX_LAST",$Q108,$Q108)),AA109)</f>
        <v>0</v>
      </c>
      <c r="AB108" s="4">
        <f ca="1">IFERROR(VALUE(_xll.BDH(AB$4,"PX_LAST",$Q108,$Q108)),AB109)</f>
        <v>0</v>
      </c>
      <c r="AC108" s="4">
        <f ca="1">IFERROR(VALUE(_xll.BDH(AC$4,"PX_LAST",$Q108,$Q108)),AC109)</f>
        <v>0</v>
      </c>
      <c r="AD108" s="4">
        <f ca="1">IFERROR(VALUE(_xll.BDH(AD$4,"PX_LAST",$Q108,$Q108)),AD109)</f>
        <v>0</v>
      </c>
      <c r="AF108" s="4">
        <f t="shared" si="38"/>
        <v>1.0740170413715224</v>
      </c>
      <c r="AG108" s="4" t="e">
        <f t="shared" ca="1" si="39"/>
        <v>#DIV/0!</v>
      </c>
      <c r="AH108" s="4" t="e">
        <f t="shared" ca="1" si="40"/>
        <v>#DIV/0!</v>
      </c>
      <c r="AI108" s="4" t="e">
        <f t="shared" ca="1" si="41"/>
        <v>#DIV/0!</v>
      </c>
      <c r="AJ108" s="4" t="e">
        <f t="shared" ca="1" si="42"/>
        <v>#DIV/0!</v>
      </c>
      <c r="AK108" s="4" t="e">
        <f t="shared" ca="1" si="43"/>
        <v>#DIV/0!</v>
      </c>
      <c r="AM108" s="550">
        <f t="shared" ca="1" si="33"/>
        <v>45847</v>
      </c>
      <c r="AN108" s="551">
        <v>221.66</v>
      </c>
      <c r="AO108" s="551">
        <v>4179598</v>
      </c>
      <c r="AP108" s="551">
        <v>597.47560999999996</v>
      </c>
      <c r="AQ108" s="551">
        <v>132436.44371259998</v>
      </c>
      <c r="AR108" s="551">
        <v>5.5358000000000001</v>
      </c>
    </row>
    <row r="109" spans="2:44" x14ac:dyDescent="0.3">
      <c r="B109" s="552">
        <f t="shared" ca="1" si="44"/>
        <v>45223</v>
      </c>
      <c r="C109" s="548">
        <f ca="1">(IFERROR(IFERROR(VALUE(_xll.BDH(C$4,"CURRENT_EV_TO_T12M_EBITDA",$B109,$B109)),VALUE(_xll.BDH(C$4,"CURRENT_EV_TO_T12M_EBITDA",$B109+1,$B109+1))),C110))</f>
        <v>0</v>
      </c>
      <c r="D109" s="548">
        <f ca="1">(IFERROR(IFERROR(VALUE(_xll.BDH(D$4,"CURRENT_EV_TO_T12M_EBITDA",$B109,$B109)),VALUE(_xll.BDH(D$4,"CURRENT_EV_TO_T12M_EBITDA",$B109+1,$B109+1))),D110))</f>
        <v>0</v>
      </c>
      <c r="E109" s="548">
        <f ca="1">(IFERROR(IFERROR(VALUE(_xll.BDH(E$4,"CURRENT_EV_TO_T12M_EBITDA",$B109,$B109)),VALUE(_xll.BDH(E$4,"CURRENT_EV_TO_T12M_EBITDA",$B109+1,$B109+1))),E110))</f>
        <v>0</v>
      </c>
      <c r="F109" s="548">
        <f ca="1">(IFERROR(IFERROR(VALUE(_xll.BDH(F$4,"CURRENT_EV_TO_T12M_EBITDA",$B109,$B109)),VALUE(_xll.BDH(F$4,"CURRENT_EV_TO_T12M_EBITDA",$B109+1,$B109+1))),F110))</f>
        <v>0</v>
      </c>
      <c r="G109" s="548">
        <f ca="1">(IFERROR(IFERROR(VALUE(_xll.BDH(G$4,"CURRENT_EV_TO_T12M_EBITDA",$B109,$B109)),VALUE(_xll.BDH(G$4,"CURRENT_EV_TO_T12M_EBITDA",$B109+1,$B109+1))),G110))</f>
        <v>0</v>
      </c>
      <c r="H109" s="548">
        <f ca="1">(IFERROR(IFERROR(VALUE(_xll.BDH(H$4,"CURRENT_EV_TO_T12M_EBITDA",$B109,$B109)),VALUE(_xll.BDH(H$4,"CURRENT_EV_TO_T12M_EBITDA",$B109+1,$B109+1))),H110))</f>
        <v>0</v>
      </c>
      <c r="I109" s="552">
        <f t="shared" ca="1" si="35"/>
        <v>45223</v>
      </c>
      <c r="J109" s="548">
        <f ca="1">(IFERROR(IFERROR(VALUE(_xll.BDH(J$4,"PE_RATIO",$B109,$B109)),VALUE(_xll.BDH(J$4,"PE_RATIO",$B109+1,$B109+1))),J110))</f>
        <v>0</v>
      </c>
      <c r="K109" s="548">
        <f ca="1">(IFERROR(IFERROR(VALUE(_xll.BDH(K$4,"PE_RATIO",$B109,$B109)),VALUE(_xll.BDH(K$4,"PE_RATIO",$B109+1,$B109+1))),K110))</f>
        <v>0</v>
      </c>
      <c r="L109" s="548">
        <f ca="1">(IFERROR(IFERROR(VALUE(_xll.BDH(L$4,"PE_RATIO",$B109,$B109)),VALUE(_xll.BDH(L$4,"PE_RATIO",$B109+1,$B109+1))),L110))</f>
        <v>0</v>
      </c>
      <c r="M109" s="548">
        <f ca="1">(IFERROR(IFERROR(VALUE(_xll.BDH(M$4,"PE_RATIO",$B109,$B109)),VALUE(_xll.BDH(M$4,"PE_RATIO",$B109+1,$B109+1))),M110))</f>
        <v>0</v>
      </c>
      <c r="N109" s="548">
        <f ca="1">(IFERROR(IFERROR(VALUE(_xll.BDH(N$4,"PE_RATIO",$B109,$B109)),VALUE(_xll.BDH(N$4,"PE_RATIO",$B109+1,$B109+1))),N110))</f>
        <v>0</v>
      </c>
      <c r="O109" s="548">
        <f ca="1">(IFERROR(IFERROR(VALUE(_xll.BDH(O$4,"PE_RATIO",$B109,$B109)),VALUE(_xll.BDH(O$4,"PE_RATIO",$B109+1,$B109+1))),O110))</f>
        <v>0</v>
      </c>
      <c r="P109" s="548"/>
      <c r="Q109" s="552">
        <f t="shared" ca="1" si="36"/>
        <v>45223</v>
      </c>
      <c r="R109" s="4">
        <v>213.32</v>
      </c>
      <c r="S109" s="4">
        <v>4450.32</v>
      </c>
      <c r="T109" s="4">
        <v>0</v>
      </c>
      <c r="U109" s="4">
        <v>1.0949594497484858</v>
      </c>
      <c r="V109" s="4">
        <v>1.2411577356217334</v>
      </c>
      <c r="W109" s="4" t="e">
        <v>#DIV/0!</v>
      </c>
      <c r="Y109" s="548">
        <f t="shared" si="37"/>
        <v>213.32</v>
      </c>
      <c r="Z109" s="4">
        <f ca="1">IFERROR(VALUE(_xll.BDH(Z$4,"PX_LAST",$Q109,$Q109)),Z110)</f>
        <v>0</v>
      </c>
      <c r="AA109" s="4">
        <f ca="1">IFERROR(VALUE(_xll.BDH(AA$4,"PX_LAST",$Q109,$Q109)),AA110)</f>
        <v>0</v>
      </c>
      <c r="AB109" s="4">
        <f ca="1">IFERROR(VALUE(_xll.BDH(AB$4,"PX_LAST",$Q109,$Q109)),AB110)</f>
        <v>0</v>
      </c>
      <c r="AC109" s="4">
        <f ca="1">IFERROR(VALUE(_xll.BDH(AC$4,"PX_LAST",$Q109,$Q109)),AC110)</f>
        <v>0</v>
      </c>
      <c r="AD109" s="4">
        <f ca="1">IFERROR(VALUE(_xll.BDH(AD$4,"PX_LAST",$Q109,$Q109)),AD110)</f>
        <v>0</v>
      </c>
      <c r="AF109" s="4">
        <f t="shared" si="38"/>
        <v>1.0949594497484858</v>
      </c>
      <c r="AG109" s="4" t="e">
        <f t="shared" ca="1" si="39"/>
        <v>#DIV/0!</v>
      </c>
      <c r="AH109" s="4" t="e">
        <f t="shared" ca="1" si="40"/>
        <v>#DIV/0!</v>
      </c>
      <c r="AI109" s="4" t="e">
        <f t="shared" ca="1" si="41"/>
        <v>#DIV/0!</v>
      </c>
      <c r="AJ109" s="4" t="e">
        <f t="shared" ca="1" si="42"/>
        <v>#DIV/0!</v>
      </c>
      <c r="AK109" s="4" t="e">
        <f t="shared" ca="1" si="43"/>
        <v>#DIV/0!</v>
      </c>
      <c r="AM109" s="550">
        <f t="shared" ca="1" si="33"/>
        <v>45846</v>
      </c>
      <c r="AN109" s="551">
        <v>221.66</v>
      </c>
      <c r="AO109" s="551">
        <v>4179598</v>
      </c>
      <c r="AP109" s="551">
        <v>597.47560999999996</v>
      </c>
      <c r="AQ109" s="551">
        <v>132436.44371259998</v>
      </c>
      <c r="AR109" s="551">
        <v>5.5358000000000001</v>
      </c>
    </row>
    <row r="110" spans="2:44" x14ac:dyDescent="0.3">
      <c r="B110" s="552">
        <f t="shared" ca="1" si="44"/>
        <v>45216</v>
      </c>
      <c r="C110" s="548">
        <f ca="1">(IFERROR(IFERROR(VALUE(_xll.BDH(C$4,"CURRENT_EV_TO_T12M_EBITDA",$B110,$B110)),VALUE(_xll.BDH(C$4,"CURRENT_EV_TO_T12M_EBITDA",$B110+1,$B110+1))),C111))</f>
        <v>0</v>
      </c>
      <c r="D110" s="548">
        <f ca="1">(IFERROR(IFERROR(VALUE(_xll.BDH(D$4,"CURRENT_EV_TO_T12M_EBITDA",$B110,$B110)),VALUE(_xll.BDH(D$4,"CURRENT_EV_TO_T12M_EBITDA",$B110+1,$B110+1))),D111))</f>
        <v>0</v>
      </c>
      <c r="E110" s="548">
        <f ca="1">(IFERROR(IFERROR(VALUE(_xll.BDH(E$4,"CURRENT_EV_TO_T12M_EBITDA",$B110,$B110)),VALUE(_xll.BDH(E$4,"CURRENT_EV_TO_T12M_EBITDA",$B110+1,$B110+1))),E111))</f>
        <v>0</v>
      </c>
      <c r="F110" s="548">
        <f ca="1">(IFERROR(IFERROR(VALUE(_xll.BDH(F$4,"CURRENT_EV_TO_T12M_EBITDA",$B110,$B110)),VALUE(_xll.BDH(F$4,"CURRENT_EV_TO_T12M_EBITDA",$B110+1,$B110+1))),F111))</f>
        <v>0</v>
      </c>
      <c r="G110" s="548">
        <f ca="1">(IFERROR(IFERROR(VALUE(_xll.BDH(G$4,"CURRENT_EV_TO_T12M_EBITDA",$B110,$B110)),VALUE(_xll.BDH(G$4,"CURRENT_EV_TO_T12M_EBITDA",$B110+1,$B110+1))),G111))</f>
        <v>0</v>
      </c>
      <c r="H110" s="548">
        <f ca="1">(IFERROR(IFERROR(VALUE(_xll.BDH(H$4,"CURRENT_EV_TO_T12M_EBITDA",$B110,$B110)),VALUE(_xll.BDH(H$4,"CURRENT_EV_TO_T12M_EBITDA",$B110+1,$B110+1))),H111))</f>
        <v>0</v>
      </c>
      <c r="I110" s="552">
        <f t="shared" ca="1" si="35"/>
        <v>45216</v>
      </c>
      <c r="J110" s="548">
        <f ca="1">(IFERROR(IFERROR(VALUE(_xll.BDH(J$4,"PE_RATIO",$B110,$B110)),VALUE(_xll.BDH(J$4,"PE_RATIO",$B110+1,$B110+1))),J111))</f>
        <v>0</v>
      </c>
      <c r="K110" s="548">
        <f ca="1">(IFERROR(IFERROR(VALUE(_xll.BDH(K$4,"PE_RATIO",$B110,$B110)),VALUE(_xll.BDH(K$4,"PE_RATIO",$B110+1,$B110+1))),K111))</f>
        <v>0</v>
      </c>
      <c r="L110" s="548">
        <f ca="1">(IFERROR(IFERROR(VALUE(_xll.BDH(L$4,"PE_RATIO",$B110,$B110)),VALUE(_xll.BDH(L$4,"PE_RATIO",$B110+1,$B110+1))),L111))</f>
        <v>0</v>
      </c>
      <c r="M110" s="548">
        <f ca="1">(IFERROR(IFERROR(VALUE(_xll.BDH(M$4,"PE_RATIO",$B110,$B110)),VALUE(_xll.BDH(M$4,"PE_RATIO",$B110+1,$B110+1))),M111))</f>
        <v>0</v>
      </c>
      <c r="N110" s="548">
        <f ca="1">(IFERROR(IFERROR(VALUE(_xll.BDH(N$4,"PE_RATIO",$B110,$B110)),VALUE(_xll.BDH(N$4,"PE_RATIO",$B110+1,$B110+1))),N111))</f>
        <v>0</v>
      </c>
      <c r="O110" s="548">
        <f ca="1">(IFERROR(IFERROR(VALUE(_xll.BDH(O$4,"PE_RATIO",$B110,$B110)),VALUE(_xll.BDH(O$4,"PE_RATIO",$B110+1,$B110+1))),O111))</f>
        <v>0</v>
      </c>
      <c r="P110" s="548"/>
      <c r="Q110" s="552">
        <f t="shared" ca="1" si="36"/>
        <v>45216</v>
      </c>
      <c r="R110" s="4">
        <v>211.8</v>
      </c>
      <c r="S110" s="4">
        <v>4457.49</v>
      </c>
      <c r="T110" s="4">
        <v>0</v>
      </c>
      <c r="U110" s="4">
        <v>1.0871573760394211</v>
      </c>
      <c r="V110" s="4">
        <v>1.243157389795907</v>
      </c>
      <c r="W110" s="4" t="e">
        <v>#DIV/0!</v>
      </c>
      <c r="Y110" s="548">
        <f t="shared" si="37"/>
        <v>211.8</v>
      </c>
      <c r="Z110" s="4">
        <f ca="1">IFERROR(VALUE(_xll.BDH(Z$4,"PX_LAST",$Q110,$Q110)),Z111)</f>
        <v>0</v>
      </c>
      <c r="AA110" s="4">
        <f ca="1">IFERROR(VALUE(_xll.BDH(AA$4,"PX_LAST",$Q110,$Q110)),AA111)</f>
        <v>0</v>
      </c>
      <c r="AB110" s="4">
        <f ca="1">IFERROR(VALUE(_xll.BDH(AB$4,"PX_LAST",$Q110,$Q110)),AB111)</f>
        <v>0</v>
      </c>
      <c r="AC110" s="4">
        <f ca="1">IFERROR(VALUE(_xll.BDH(AC$4,"PX_LAST",$Q110,$Q110)),AC111)</f>
        <v>0</v>
      </c>
      <c r="AD110" s="4">
        <f ca="1">IFERROR(VALUE(_xll.BDH(AD$4,"PX_LAST",$Q110,$Q110)),AD111)</f>
        <v>0</v>
      </c>
      <c r="AF110" s="4">
        <f t="shared" si="38"/>
        <v>1.0871573760394211</v>
      </c>
      <c r="AG110" s="4" t="e">
        <f t="shared" ca="1" si="39"/>
        <v>#DIV/0!</v>
      </c>
      <c r="AH110" s="4" t="e">
        <f t="shared" ca="1" si="40"/>
        <v>#DIV/0!</v>
      </c>
      <c r="AI110" s="4" t="e">
        <f t="shared" ca="1" si="41"/>
        <v>#DIV/0!</v>
      </c>
      <c r="AJ110" s="4" t="e">
        <f t="shared" ca="1" si="42"/>
        <v>#DIV/0!</v>
      </c>
      <c r="AK110" s="4" t="e">
        <f t="shared" ca="1" si="43"/>
        <v>#DIV/0!</v>
      </c>
      <c r="AM110" s="550">
        <f t="shared" ca="1" si="33"/>
        <v>45845</v>
      </c>
      <c r="AN110" s="551">
        <v>222.51</v>
      </c>
      <c r="AO110" s="551">
        <v>2980624</v>
      </c>
      <c r="AP110" s="551">
        <v>597.47560999999996</v>
      </c>
      <c r="AQ110" s="551">
        <v>132944.29798109998</v>
      </c>
      <c r="AR110" s="551">
        <v>5.5571000000000002</v>
      </c>
    </row>
    <row r="111" spans="2:44" x14ac:dyDescent="0.3">
      <c r="B111" s="552">
        <f t="shared" ca="1" si="44"/>
        <v>45209</v>
      </c>
      <c r="C111" s="548">
        <f ca="1">(IFERROR(IFERROR(VALUE(_xll.BDH(C$4,"CURRENT_EV_TO_T12M_EBITDA",$B111,$B111)),VALUE(_xll.BDH(C$4,"CURRENT_EV_TO_T12M_EBITDA",$B111+1,$B111+1))),C112))</f>
        <v>0</v>
      </c>
      <c r="D111" s="548">
        <f ca="1">(IFERROR(IFERROR(VALUE(_xll.BDH(D$4,"CURRENT_EV_TO_T12M_EBITDA",$B111,$B111)),VALUE(_xll.BDH(D$4,"CURRENT_EV_TO_T12M_EBITDA",$B111+1,$B111+1))),D112))</f>
        <v>0</v>
      </c>
      <c r="E111" s="548">
        <f ca="1">(IFERROR(IFERROR(VALUE(_xll.BDH(E$4,"CURRENT_EV_TO_T12M_EBITDA",$B111,$B111)),VALUE(_xll.BDH(E$4,"CURRENT_EV_TO_T12M_EBITDA",$B111+1,$B111+1))),E112))</f>
        <v>0</v>
      </c>
      <c r="F111" s="548">
        <f ca="1">(IFERROR(IFERROR(VALUE(_xll.BDH(F$4,"CURRENT_EV_TO_T12M_EBITDA",$B111,$B111)),VALUE(_xll.BDH(F$4,"CURRENT_EV_TO_T12M_EBITDA",$B111+1,$B111+1))),F112))</f>
        <v>0</v>
      </c>
      <c r="G111" s="548">
        <f ca="1">(IFERROR(IFERROR(VALUE(_xll.BDH(G$4,"CURRENT_EV_TO_T12M_EBITDA",$B111,$B111)),VALUE(_xll.BDH(G$4,"CURRENT_EV_TO_T12M_EBITDA",$B111+1,$B111+1))),G112))</f>
        <v>0</v>
      </c>
      <c r="H111" s="548">
        <f ca="1">(IFERROR(IFERROR(VALUE(_xll.BDH(H$4,"CURRENT_EV_TO_T12M_EBITDA",$B111,$B111)),VALUE(_xll.BDH(H$4,"CURRENT_EV_TO_T12M_EBITDA",$B111+1,$B111+1))),H112))</f>
        <v>0</v>
      </c>
      <c r="I111" s="552">
        <f t="shared" ca="1" si="35"/>
        <v>45209</v>
      </c>
      <c r="J111" s="548">
        <f ca="1">(IFERROR(IFERROR(VALUE(_xll.BDH(J$4,"PE_RATIO",$B111,$B111)),VALUE(_xll.BDH(J$4,"PE_RATIO",$B111+1,$B111+1))),J112))</f>
        <v>0</v>
      </c>
      <c r="K111" s="548">
        <f ca="1">(IFERROR(IFERROR(VALUE(_xll.BDH(K$4,"PE_RATIO",$B111,$B111)),VALUE(_xll.BDH(K$4,"PE_RATIO",$B111+1,$B111+1))),K112))</f>
        <v>0</v>
      </c>
      <c r="L111" s="548">
        <f ca="1">(IFERROR(IFERROR(VALUE(_xll.BDH(L$4,"PE_RATIO",$B111,$B111)),VALUE(_xll.BDH(L$4,"PE_RATIO",$B111+1,$B111+1))),L112))</f>
        <v>0</v>
      </c>
      <c r="M111" s="548">
        <f ca="1">(IFERROR(IFERROR(VALUE(_xll.BDH(M$4,"PE_RATIO",$B111,$B111)),VALUE(_xll.BDH(M$4,"PE_RATIO",$B111+1,$B111+1))),M112))</f>
        <v>0</v>
      </c>
      <c r="N111" s="548">
        <f ca="1">(IFERROR(IFERROR(VALUE(_xll.BDH(N$4,"PE_RATIO",$B111,$B111)),VALUE(_xll.BDH(N$4,"PE_RATIO",$B111+1,$B111+1))),N112))</f>
        <v>0</v>
      </c>
      <c r="O111" s="548">
        <f ca="1">(IFERROR(IFERROR(VALUE(_xll.BDH(O$4,"PE_RATIO",$B111,$B111)),VALUE(_xll.BDH(O$4,"PE_RATIO",$B111+1,$B111+1))),O112))</f>
        <v>0</v>
      </c>
      <c r="P111" s="548"/>
      <c r="Q111" s="552">
        <f t="shared" ca="1" si="36"/>
        <v>45209</v>
      </c>
      <c r="R111" s="4">
        <v>221.03</v>
      </c>
      <c r="S111" s="4">
        <v>4515.7700000000004</v>
      </c>
      <c r="T111" s="4">
        <v>0</v>
      </c>
      <c r="U111" s="4">
        <v>1.1345344420490711</v>
      </c>
      <c r="V111" s="4">
        <v>1.2594112036412115</v>
      </c>
      <c r="W111" s="4" t="e">
        <v>#DIV/0!</v>
      </c>
      <c r="Y111" s="548">
        <f t="shared" si="37"/>
        <v>221.03</v>
      </c>
      <c r="Z111" s="4">
        <f ca="1">IFERROR(VALUE(_xll.BDH(Z$4,"PX_LAST",$Q111,$Q111)),Z112)</f>
        <v>0</v>
      </c>
      <c r="AA111" s="4">
        <f ca="1">IFERROR(VALUE(_xll.BDH(AA$4,"PX_LAST",$Q111,$Q111)),AA112)</f>
        <v>0</v>
      </c>
      <c r="AB111" s="4">
        <f ca="1">IFERROR(VALUE(_xll.BDH(AB$4,"PX_LAST",$Q111,$Q111)),AB112)</f>
        <v>0</v>
      </c>
      <c r="AC111" s="4">
        <f ca="1">IFERROR(VALUE(_xll.BDH(AC$4,"PX_LAST",$Q111,$Q111)),AC112)</f>
        <v>0</v>
      </c>
      <c r="AD111" s="4">
        <f ca="1">IFERROR(VALUE(_xll.BDH(AD$4,"PX_LAST",$Q111,$Q111)),AD112)</f>
        <v>0</v>
      </c>
      <c r="AF111" s="4">
        <f t="shared" si="38"/>
        <v>1.1345344420490711</v>
      </c>
      <c r="AG111" s="4" t="e">
        <f t="shared" ca="1" si="39"/>
        <v>#DIV/0!</v>
      </c>
      <c r="AH111" s="4" t="e">
        <f t="shared" ca="1" si="40"/>
        <v>#DIV/0!</v>
      </c>
      <c r="AI111" s="4" t="e">
        <f t="shared" ca="1" si="41"/>
        <v>#DIV/0!</v>
      </c>
      <c r="AJ111" s="4" t="e">
        <f t="shared" ca="1" si="42"/>
        <v>#DIV/0!</v>
      </c>
      <c r="AK111" s="4" t="e">
        <f t="shared" ca="1" si="43"/>
        <v>#DIV/0!</v>
      </c>
      <c r="AM111" s="550">
        <f t="shared" ca="1" si="33"/>
        <v>45844</v>
      </c>
      <c r="AN111" s="551">
        <v>222.18</v>
      </c>
      <c r="AO111" s="551">
        <v>3073335</v>
      </c>
      <c r="AP111" s="551">
        <v>597.47560999999996</v>
      </c>
      <c r="AQ111" s="551">
        <v>132747.13102979999</v>
      </c>
      <c r="AR111" s="551">
        <v>5.5488</v>
      </c>
    </row>
    <row r="112" spans="2:44" x14ac:dyDescent="0.3">
      <c r="B112" s="552">
        <f t="shared" ca="1" si="44"/>
        <v>45202</v>
      </c>
      <c r="C112" s="548">
        <f ca="1">(IFERROR(IFERROR(VALUE(_xll.BDH(C$4,"CURRENT_EV_TO_T12M_EBITDA",$B112,$B112)),VALUE(_xll.BDH(C$4,"CURRENT_EV_TO_T12M_EBITDA",$B112+1,$B112+1))),C113))</f>
        <v>0</v>
      </c>
      <c r="D112" s="548">
        <f ca="1">(IFERROR(IFERROR(VALUE(_xll.BDH(D$4,"CURRENT_EV_TO_T12M_EBITDA",$B112,$B112)),VALUE(_xll.BDH(D$4,"CURRENT_EV_TO_T12M_EBITDA",$B112+1,$B112+1))),D113))</f>
        <v>0</v>
      </c>
      <c r="E112" s="548">
        <f ca="1">(IFERROR(IFERROR(VALUE(_xll.BDH(E$4,"CURRENT_EV_TO_T12M_EBITDA",$B112,$B112)),VALUE(_xll.BDH(E$4,"CURRENT_EV_TO_T12M_EBITDA",$B112+1,$B112+1))),E113))</f>
        <v>0</v>
      </c>
      <c r="F112" s="548">
        <f ca="1">(IFERROR(IFERROR(VALUE(_xll.BDH(F$4,"CURRENT_EV_TO_T12M_EBITDA",$B112,$B112)),VALUE(_xll.BDH(F$4,"CURRENT_EV_TO_T12M_EBITDA",$B112+1,$B112+1))),F113))</f>
        <v>0</v>
      </c>
      <c r="G112" s="548">
        <f ca="1">(IFERROR(IFERROR(VALUE(_xll.BDH(G$4,"CURRENT_EV_TO_T12M_EBITDA",$B112,$B112)),VALUE(_xll.BDH(G$4,"CURRENT_EV_TO_T12M_EBITDA",$B112+1,$B112+1))),G113))</f>
        <v>0</v>
      </c>
      <c r="H112" s="548">
        <f ca="1">(IFERROR(IFERROR(VALUE(_xll.BDH(H$4,"CURRENT_EV_TO_T12M_EBITDA",$B112,$B112)),VALUE(_xll.BDH(H$4,"CURRENT_EV_TO_T12M_EBITDA",$B112+1,$B112+1))),H113))</f>
        <v>0</v>
      </c>
      <c r="I112" s="552">
        <f t="shared" ca="1" si="35"/>
        <v>45202</v>
      </c>
      <c r="J112" s="548">
        <f ca="1">(IFERROR(IFERROR(VALUE(_xll.BDH(J$4,"PE_RATIO",$B112,$B112)),VALUE(_xll.BDH(J$4,"PE_RATIO",$B112+1,$B112+1))),J113))</f>
        <v>0</v>
      </c>
      <c r="K112" s="548">
        <f ca="1">(IFERROR(IFERROR(VALUE(_xll.BDH(K$4,"PE_RATIO",$B112,$B112)),VALUE(_xll.BDH(K$4,"PE_RATIO",$B112+1,$B112+1))),K113))</f>
        <v>0</v>
      </c>
      <c r="L112" s="548">
        <f ca="1">(IFERROR(IFERROR(VALUE(_xll.BDH(L$4,"PE_RATIO",$B112,$B112)),VALUE(_xll.BDH(L$4,"PE_RATIO",$B112+1,$B112+1))),L113))</f>
        <v>0</v>
      </c>
      <c r="M112" s="548">
        <f ca="1">(IFERROR(IFERROR(VALUE(_xll.BDH(M$4,"PE_RATIO",$B112,$B112)),VALUE(_xll.BDH(M$4,"PE_RATIO",$B112+1,$B112+1))),M113))</f>
        <v>0</v>
      </c>
      <c r="N112" s="548">
        <f ca="1">(IFERROR(IFERROR(VALUE(_xll.BDH(N$4,"PE_RATIO",$B112,$B112)),VALUE(_xll.BDH(N$4,"PE_RATIO",$B112+1,$B112+1))),N113))</f>
        <v>0</v>
      </c>
      <c r="O112" s="548">
        <f ca="1">(IFERROR(IFERROR(VALUE(_xll.BDH(O$4,"PE_RATIO",$B112,$B112)),VALUE(_xll.BDH(O$4,"PE_RATIO",$B112+1,$B112+1))),O113))</f>
        <v>0</v>
      </c>
      <c r="P112" s="548"/>
      <c r="Q112" s="552">
        <f t="shared" ca="1" si="36"/>
        <v>45202</v>
      </c>
      <c r="R112" s="4">
        <v>224.18</v>
      </c>
      <c r="S112" s="4">
        <v>4405.71</v>
      </c>
      <c r="T112" s="4">
        <v>0</v>
      </c>
      <c r="U112" s="4">
        <v>1.1507032132224619</v>
      </c>
      <c r="V112" s="4">
        <v>1.2287163726217503</v>
      </c>
      <c r="W112" s="4" t="e">
        <v>#DIV/0!</v>
      </c>
      <c r="Y112" s="548">
        <f t="shared" si="37"/>
        <v>224.18</v>
      </c>
      <c r="Z112" s="4">
        <f ca="1">IFERROR(VALUE(_xll.BDH(Z$4,"PX_LAST",$Q112,$Q112)),Z113)</f>
        <v>0</v>
      </c>
      <c r="AA112" s="4">
        <f ca="1">IFERROR(VALUE(_xll.BDH(AA$4,"PX_LAST",$Q112,$Q112)),AA113)</f>
        <v>0</v>
      </c>
      <c r="AB112" s="4">
        <f ca="1">IFERROR(VALUE(_xll.BDH(AB$4,"PX_LAST",$Q112,$Q112)),AB113)</f>
        <v>0</v>
      </c>
      <c r="AC112" s="4">
        <f ca="1">IFERROR(VALUE(_xll.BDH(AC$4,"PX_LAST",$Q112,$Q112)),AC113)</f>
        <v>0</v>
      </c>
      <c r="AD112" s="4">
        <f ca="1">IFERROR(VALUE(_xll.BDH(AD$4,"PX_LAST",$Q112,$Q112)),AD113)</f>
        <v>0</v>
      </c>
      <c r="AF112" s="4">
        <f t="shared" si="38"/>
        <v>1.1507032132224619</v>
      </c>
      <c r="AG112" s="4" t="e">
        <f t="shared" ca="1" si="39"/>
        <v>#DIV/0!</v>
      </c>
      <c r="AH112" s="4" t="e">
        <f t="shared" ca="1" si="40"/>
        <v>#DIV/0!</v>
      </c>
      <c r="AI112" s="4" t="e">
        <f t="shared" ca="1" si="41"/>
        <v>#DIV/0!</v>
      </c>
      <c r="AJ112" s="4" t="e">
        <f t="shared" ca="1" si="42"/>
        <v>#DIV/0!</v>
      </c>
      <c r="AK112" s="4" t="e">
        <f t="shared" ca="1" si="43"/>
        <v>#DIV/0!</v>
      </c>
      <c r="AM112" s="550">
        <f t="shared" ca="1" si="33"/>
        <v>45843</v>
      </c>
      <c r="AN112" s="551">
        <v>224.35</v>
      </c>
      <c r="AO112" s="551">
        <v>2613266</v>
      </c>
      <c r="AP112" s="551">
        <v>597.47560999999996</v>
      </c>
      <c r="AQ112" s="551">
        <v>134043.65310349999</v>
      </c>
      <c r="AR112" s="551">
        <v>5.6029999999999998</v>
      </c>
    </row>
    <row r="113" spans="2:44" x14ac:dyDescent="0.3">
      <c r="B113" s="552">
        <f t="shared" ca="1" si="44"/>
        <v>45195</v>
      </c>
      <c r="C113" s="548">
        <f ca="1">(IFERROR(IFERROR(VALUE(_xll.BDH(C$4,"CURRENT_EV_TO_T12M_EBITDA",$B113,$B113)),VALUE(_xll.BDH(C$4,"CURRENT_EV_TO_T12M_EBITDA",$B113+1,$B113+1))),C114))</f>
        <v>0</v>
      </c>
      <c r="D113" s="548">
        <f ca="1">(IFERROR(IFERROR(VALUE(_xll.BDH(D$4,"CURRENT_EV_TO_T12M_EBITDA",$B113,$B113)),VALUE(_xll.BDH(D$4,"CURRENT_EV_TO_T12M_EBITDA",$B113+1,$B113+1))),D114))</f>
        <v>0</v>
      </c>
      <c r="E113" s="548">
        <f ca="1">(IFERROR(IFERROR(VALUE(_xll.BDH(E$4,"CURRENT_EV_TO_T12M_EBITDA",$B113,$B113)),VALUE(_xll.BDH(E$4,"CURRENT_EV_TO_T12M_EBITDA",$B113+1,$B113+1))),E114))</f>
        <v>0</v>
      </c>
      <c r="F113" s="548">
        <f ca="1">(IFERROR(IFERROR(VALUE(_xll.BDH(F$4,"CURRENT_EV_TO_T12M_EBITDA",$B113,$B113)),VALUE(_xll.BDH(F$4,"CURRENT_EV_TO_T12M_EBITDA",$B113+1,$B113+1))),F114))</f>
        <v>0</v>
      </c>
      <c r="G113" s="548">
        <f ca="1">(IFERROR(IFERROR(VALUE(_xll.BDH(G$4,"CURRENT_EV_TO_T12M_EBITDA",$B113,$B113)),VALUE(_xll.BDH(G$4,"CURRENT_EV_TO_T12M_EBITDA",$B113+1,$B113+1))),G114))</f>
        <v>0</v>
      </c>
      <c r="H113" s="548">
        <f ca="1">(IFERROR(IFERROR(VALUE(_xll.BDH(H$4,"CURRENT_EV_TO_T12M_EBITDA",$B113,$B113)),VALUE(_xll.BDH(H$4,"CURRENT_EV_TO_T12M_EBITDA",$B113+1,$B113+1))),H114))</f>
        <v>0</v>
      </c>
      <c r="I113" s="552">
        <f t="shared" ca="1" si="35"/>
        <v>45195</v>
      </c>
      <c r="J113" s="548">
        <f ca="1">(IFERROR(IFERROR(VALUE(_xll.BDH(J$4,"PE_RATIO",$B113,$B113)),VALUE(_xll.BDH(J$4,"PE_RATIO",$B113+1,$B113+1))),J114))</f>
        <v>0</v>
      </c>
      <c r="K113" s="548">
        <f ca="1">(IFERROR(IFERROR(VALUE(_xll.BDH(K$4,"PE_RATIO",$B113,$B113)),VALUE(_xll.BDH(K$4,"PE_RATIO",$B113+1,$B113+1))),K114))</f>
        <v>0</v>
      </c>
      <c r="L113" s="548">
        <f ca="1">(IFERROR(IFERROR(VALUE(_xll.BDH(L$4,"PE_RATIO",$B113,$B113)),VALUE(_xll.BDH(L$4,"PE_RATIO",$B113+1,$B113+1))),L114))</f>
        <v>0</v>
      </c>
      <c r="M113" s="548">
        <f ca="1">(IFERROR(IFERROR(VALUE(_xll.BDH(M$4,"PE_RATIO",$B113,$B113)),VALUE(_xll.BDH(M$4,"PE_RATIO",$B113+1,$B113+1))),M114))</f>
        <v>0</v>
      </c>
      <c r="N113" s="548">
        <f ca="1">(IFERROR(IFERROR(VALUE(_xll.BDH(N$4,"PE_RATIO",$B113,$B113)),VALUE(_xll.BDH(N$4,"PE_RATIO",$B113+1,$B113+1))),N114))</f>
        <v>0</v>
      </c>
      <c r="O113" s="548">
        <f ca="1">(IFERROR(IFERROR(VALUE(_xll.BDH(O$4,"PE_RATIO",$B113,$B113)),VALUE(_xll.BDH(O$4,"PE_RATIO",$B113+1,$B113+1))),O114))</f>
        <v>0</v>
      </c>
      <c r="P113" s="548"/>
      <c r="Q113" s="552">
        <f t="shared" ca="1" si="36"/>
        <v>45195</v>
      </c>
      <c r="R113" s="4">
        <v>225.26</v>
      </c>
      <c r="S113" s="4">
        <v>4369.71</v>
      </c>
      <c r="T113" s="4">
        <v>0</v>
      </c>
      <c r="U113" s="4">
        <v>1.1562467919104815</v>
      </c>
      <c r="V113" s="4">
        <v>1.2186762679815486</v>
      </c>
      <c r="W113" s="4" t="e">
        <v>#DIV/0!</v>
      </c>
      <c r="Y113" s="548">
        <f t="shared" si="37"/>
        <v>225.26</v>
      </c>
      <c r="Z113" s="4">
        <f ca="1">IFERROR(VALUE(_xll.BDH(Z$4,"PX_LAST",$Q113,$Q113)),Z114)</f>
        <v>0</v>
      </c>
      <c r="AA113" s="4">
        <f ca="1">IFERROR(VALUE(_xll.BDH(AA$4,"PX_LAST",$Q113,$Q113)),AA114)</f>
        <v>0</v>
      </c>
      <c r="AB113" s="4">
        <f ca="1">IFERROR(VALUE(_xll.BDH(AB$4,"PX_LAST",$Q113,$Q113)),AB114)</f>
        <v>0</v>
      </c>
      <c r="AC113" s="4">
        <f ca="1">IFERROR(VALUE(_xll.BDH(AC$4,"PX_LAST",$Q113,$Q113)),AC114)</f>
        <v>0</v>
      </c>
      <c r="AD113" s="4">
        <f ca="1">IFERROR(VALUE(_xll.BDH(AD$4,"PX_LAST",$Q113,$Q113)),AD114)</f>
        <v>0</v>
      </c>
      <c r="AF113" s="4">
        <f t="shared" si="38"/>
        <v>1.1562467919104815</v>
      </c>
      <c r="AG113" s="4" t="e">
        <f t="shared" ca="1" si="39"/>
        <v>#DIV/0!</v>
      </c>
      <c r="AH113" s="4" t="e">
        <f t="shared" ca="1" si="40"/>
        <v>#DIV/0!</v>
      </c>
      <c r="AI113" s="4" t="e">
        <f t="shared" ca="1" si="41"/>
        <v>#DIV/0!</v>
      </c>
      <c r="AJ113" s="4" t="e">
        <f t="shared" ca="1" si="42"/>
        <v>#DIV/0!</v>
      </c>
      <c r="AK113" s="4" t="e">
        <f t="shared" ca="1" si="43"/>
        <v>#DIV/0!</v>
      </c>
      <c r="AM113" s="550">
        <f t="shared" ca="1" si="33"/>
        <v>45842</v>
      </c>
      <c r="AN113" s="551">
        <v>222.11</v>
      </c>
      <c r="AO113" s="551">
        <v>3228308</v>
      </c>
      <c r="AP113" s="551">
        <v>597.47560999999996</v>
      </c>
      <c r="AQ113" s="551">
        <v>132705.3077371</v>
      </c>
      <c r="AR113" s="551">
        <v>5.5471000000000004</v>
      </c>
    </row>
    <row r="114" spans="2:44" x14ac:dyDescent="0.3">
      <c r="B114" s="552">
        <f t="shared" ca="1" si="44"/>
        <v>45188</v>
      </c>
      <c r="C114" s="548">
        <f ca="1">(IFERROR(IFERROR(VALUE(_xll.BDH(C$4,"CURRENT_EV_TO_T12M_EBITDA",$B114,$B114)),VALUE(_xll.BDH(C$4,"CURRENT_EV_TO_T12M_EBITDA",$B114+1,$B114+1))),C115))</f>
        <v>0</v>
      </c>
      <c r="D114" s="548">
        <f ca="1">(IFERROR(IFERROR(VALUE(_xll.BDH(D$4,"CURRENT_EV_TO_T12M_EBITDA",$B114,$B114)),VALUE(_xll.BDH(D$4,"CURRENT_EV_TO_T12M_EBITDA",$B114+1,$B114+1))),D115))</f>
        <v>0</v>
      </c>
      <c r="E114" s="548">
        <f ca="1">(IFERROR(IFERROR(VALUE(_xll.BDH(E$4,"CURRENT_EV_TO_T12M_EBITDA",$B114,$B114)),VALUE(_xll.BDH(E$4,"CURRENT_EV_TO_T12M_EBITDA",$B114+1,$B114+1))),E115))</f>
        <v>0</v>
      </c>
      <c r="F114" s="548">
        <f ca="1">(IFERROR(IFERROR(VALUE(_xll.BDH(F$4,"CURRENT_EV_TO_T12M_EBITDA",$B114,$B114)),VALUE(_xll.BDH(F$4,"CURRENT_EV_TO_T12M_EBITDA",$B114+1,$B114+1))),F115))</f>
        <v>0</v>
      </c>
      <c r="G114" s="548">
        <f ca="1">(IFERROR(IFERROR(VALUE(_xll.BDH(G$4,"CURRENT_EV_TO_T12M_EBITDA",$B114,$B114)),VALUE(_xll.BDH(G$4,"CURRENT_EV_TO_T12M_EBITDA",$B114+1,$B114+1))),G115))</f>
        <v>0</v>
      </c>
      <c r="H114" s="548">
        <f ca="1">(IFERROR(IFERROR(VALUE(_xll.BDH(H$4,"CURRENT_EV_TO_T12M_EBITDA",$B114,$B114)),VALUE(_xll.BDH(H$4,"CURRENT_EV_TO_T12M_EBITDA",$B114+1,$B114+1))),H115))</f>
        <v>0</v>
      </c>
      <c r="I114" s="552">
        <f t="shared" ca="1" si="35"/>
        <v>45188</v>
      </c>
      <c r="J114" s="548">
        <f ca="1">(IFERROR(IFERROR(VALUE(_xll.BDH(J$4,"PE_RATIO",$B114,$B114)),VALUE(_xll.BDH(J$4,"PE_RATIO",$B114+1,$B114+1))),J115))</f>
        <v>0</v>
      </c>
      <c r="K114" s="548">
        <f ca="1">(IFERROR(IFERROR(VALUE(_xll.BDH(K$4,"PE_RATIO",$B114,$B114)),VALUE(_xll.BDH(K$4,"PE_RATIO",$B114+1,$B114+1))),K115))</f>
        <v>0</v>
      </c>
      <c r="L114" s="548">
        <f ca="1">(IFERROR(IFERROR(VALUE(_xll.BDH(L$4,"PE_RATIO",$B114,$B114)),VALUE(_xll.BDH(L$4,"PE_RATIO",$B114+1,$B114+1))),L115))</f>
        <v>0</v>
      </c>
      <c r="M114" s="548">
        <f ca="1">(IFERROR(IFERROR(VALUE(_xll.BDH(M$4,"PE_RATIO",$B114,$B114)),VALUE(_xll.BDH(M$4,"PE_RATIO",$B114+1,$B114+1))),M115))</f>
        <v>0</v>
      </c>
      <c r="N114" s="548">
        <f ca="1">(IFERROR(IFERROR(VALUE(_xll.BDH(N$4,"PE_RATIO",$B114,$B114)),VALUE(_xll.BDH(N$4,"PE_RATIO",$B114+1,$B114+1))),N115))</f>
        <v>0</v>
      </c>
      <c r="O114" s="548">
        <f ca="1">(IFERROR(IFERROR(VALUE(_xll.BDH(O$4,"PE_RATIO",$B114,$B114)),VALUE(_xll.BDH(O$4,"PE_RATIO",$B114+1,$B114+1))),O115))</f>
        <v>0</v>
      </c>
      <c r="P114" s="548"/>
      <c r="Q114" s="552">
        <f t="shared" ca="1" si="36"/>
        <v>45188</v>
      </c>
      <c r="R114" s="4">
        <v>229.49</v>
      </c>
      <c r="S114" s="4">
        <v>4464.05</v>
      </c>
      <c r="T114" s="4">
        <v>0</v>
      </c>
      <c r="U114" s="4">
        <v>1.177959141771892</v>
      </c>
      <c r="V114" s="4">
        <v>1.2449869199747883</v>
      </c>
      <c r="W114" s="4" t="e">
        <v>#DIV/0!</v>
      </c>
      <c r="Y114" s="548">
        <f t="shared" si="37"/>
        <v>229.49</v>
      </c>
      <c r="Z114" s="4">
        <f ca="1">IFERROR(VALUE(_xll.BDH(Z$4,"PX_LAST",$Q114,$Q114)),Z115)</f>
        <v>0</v>
      </c>
      <c r="AA114" s="4">
        <f ca="1">IFERROR(VALUE(_xll.BDH(AA$4,"PX_LAST",$Q114,$Q114)),AA115)</f>
        <v>0</v>
      </c>
      <c r="AB114" s="4">
        <f ca="1">IFERROR(VALUE(_xll.BDH(AB$4,"PX_LAST",$Q114,$Q114)),AB115)</f>
        <v>0</v>
      </c>
      <c r="AC114" s="4">
        <f ca="1">IFERROR(VALUE(_xll.BDH(AC$4,"PX_LAST",$Q114,$Q114)),AC115)</f>
        <v>0</v>
      </c>
      <c r="AD114" s="4">
        <f ca="1">IFERROR(VALUE(_xll.BDH(AD$4,"PX_LAST",$Q114,$Q114)),AD115)</f>
        <v>0</v>
      </c>
      <c r="AF114" s="4">
        <f t="shared" si="38"/>
        <v>1.177959141771892</v>
      </c>
      <c r="AG114" s="4" t="e">
        <f t="shared" ca="1" si="39"/>
        <v>#DIV/0!</v>
      </c>
      <c r="AH114" s="4" t="e">
        <f t="shared" ca="1" si="40"/>
        <v>#DIV/0!</v>
      </c>
      <c r="AI114" s="4" t="e">
        <f t="shared" ca="1" si="41"/>
        <v>#DIV/0!</v>
      </c>
      <c r="AJ114" s="4" t="e">
        <f t="shared" ca="1" si="42"/>
        <v>#DIV/0!</v>
      </c>
      <c r="AK114" s="4" t="e">
        <f t="shared" ca="1" si="43"/>
        <v>#DIV/0!</v>
      </c>
      <c r="AM114" s="550">
        <f t="shared" ca="1" si="33"/>
        <v>45841</v>
      </c>
      <c r="AN114" s="551">
        <v>222.11</v>
      </c>
      <c r="AO114" s="551">
        <v>3228308</v>
      </c>
      <c r="AP114" s="551">
        <v>597.47560999999996</v>
      </c>
      <c r="AQ114" s="551">
        <v>132705.3077371</v>
      </c>
      <c r="AR114" s="551">
        <v>5.5471000000000004</v>
      </c>
    </row>
    <row r="115" spans="2:44" x14ac:dyDescent="0.3">
      <c r="B115" s="552">
        <f t="shared" ca="1" si="44"/>
        <v>45181</v>
      </c>
      <c r="C115" s="548">
        <f ca="1">(IFERROR(IFERROR(VALUE(_xll.BDH(C$4,"CURRENT_EV_TO_T12M_EBITDA",$B115,$B115)),VALUE(_xll.BDH(C$4,"CURRENT_EV_TO_T12M_EBITDA",$B115+1,$B115+1))),C116))</f>
        <v>0</v>
      </c>
      <c r="D115" s="548">
        <f ca="1">(IFERROR(IFERROR(VALUE(_xll.BDH(D$4,"CURRENT_EV_TO_T12M_EBITDA",$B115,$B115)),VALUE(_xll.BDH(D$4,"CURRENT_EV_TO_T12M_EBITDA",$B115+1,$B115+1))),D116))</f>
        <v>0</v>
      </c>
      <c r="E115" s="548">
        <f ca="1">(IFERROR(IFERROR(VALUE(_xll.BDH(E$4,"CURRENT_EV_TO_T12M_EBITDA",$B115,$B115)),VALUE(_xll.BDH(E$4,"CURRENT_EV_TO_T12M_EBITDA",$B115+1,$B115+1))),E116))</f>
        <v>0</v>
      </c>
      <c r="F115" s="548">
        <f ca="1">(IFERROR(IFERROR(VALUE(_xll.BDH(F$4,"CURRENT_EV_TO_T12M_EBITDA",$B115,$B115)),VALUE(_xll.BDH(F$4,"CURRENT_EV_TO_T12M_EBITDA",$B115+1,$B115+1))),F116))</f>
        <v>0</v>
      </c>
      <c r="G115" s="548">
        <f ca="1">(IFERROR(IFERROR(VALUE(_xll.BDH(G$4,"CURRENT_EV_TO_T12M_EBITDA",$B115,$B115)),VALUE(_xll.BDH(G$4,"CURRENT_EV_TO_T12M_EBITDA",$B115+1,$B115+1))),G116))</f>
        <v>0</v>
      </c>
      <c r="H115" s="548">
        <f ca="1">(IFERROR(IFERROR(VALUE(_xll.BDH(H$4,"CURRENT_EV_TO_T12M_EBITDA",$B115,$B115)),VALUE(_xll.BDH(H$4,"CURRENT_EV_TO_T12M_EBITDA",$B115+1,$B115+1))),H116))</f>
        <v>0</v>
      </c>
      <c r="I115" s="552">
        <f t="shared" ca="1" si="35"/>
        <v>45181</v>
      </c>
      <c r="J115" s="548">
        <f ca="1">(IFERROR(IFERROR(VALUE(_xll.BDH(J$4,"PE_RATIO",$B115,$B115)),VALUE(_xll.BDH(J$4,"PE_RATIO",$B115+1,$B115+1))),J116))</f>
        <v>0</v>
      </c>
      <c r="K115" s="548">
        <f ca="1">(IFERROR(IFERROR(VALUE(_xll.BDH(K$4,"PE_RATIO",$B115,$B115)),VALUE(_xll.BDH(K$4,"PE_RATIO",$B115+1,$B115+1))),K116))</f>
        <v>0</v>
      </c>
      <c r="L115" s="548">
        <f ca="1">(IFERROR(IFERROR(VALUE(_xll.BDH(L$4,"PE_RATIO",$B115,$B115)),VALUE(_xll.BDH(L$4,"PE_RATIO",$B115+1,$B115+1))),L116))</f>
        <v>0</v>
      </c>
      <c r="M115" s="548">
        <f ca="1">(IFERROR(IFERROR(VALUE(_xll.BDH(M$4,"PE_RATIO",$B115,$B115)),VALUE(_xll.BDH(M$4,"PE_RATIO",$B115+1,$B115+1))),M116))</f>
        <v>0</v>
      </c>
      <c r="N115" s="548">
        <f ca="1">(IFERROR(IFERROR(VALUE(_xll.BDH(N$4,"PE_RATIO",$B115,$B115)),VALUE(_xll.BDH(N$4,"PE_RATIO",$B115+1,$B115+1))),N116))</f>
        <v>0</v>
      </c>
      <c r="O115" s="548">
        <f ca="1">(IFERROR(IFERROR(VALUE(_xll.BDH(O$4,"PE_RATIO",$B115,$B115)),VALUE(_xll.BDH(O$4,"PE_RATIO",$B115+1,$B115+1))),O116))</f>
        <v>0</v>
      </c>
      <c r="P115" s="548"/>
      <c r="Q115" s="552">
        <f t="shared" ca="1" si="36"/>
        <v>45181</v>
      </c>
      <c r="R115" s="4">
        <v>228.53</v>
      </c>
      <c r="S115" s="4">
        <v>4478.03</v>
      </c>
      <c r="T115" s="4">
        <v>0</v>
      </c>
      <c r="U115" s="4">
        <v>1.17303151627143</v>
      </c>
      <c r="V115" s="4">
        <v>1.2488858272767331</v>
      </c>
      <c r="W115" s="4" t="e">
        <v>#DIV/0!</v>
      </c>
      <c r="Y115" s="548">
        <f t="shared" si="37"/>
        <v>228.53</v>
      </c>
      <c r="Z115" s="4">
        <f ca="1">IFERROR(VALUE(_xll.BDH(Z$4,"PX_LAST",$Q115,$Q115)),Z116)</f>
        <v>0</v>
      </c>
      <c r="AA115" s="4">
        <f ca="1">IFERROR(VALUE(_xll.BDH(AA$4,"PX_LAST",$Q115,$Q115)),AA116)</f>
        <v>0</v>
      </c>
      <c r="AB115" s="4">
        <f ca="1">IFERROR(VALUE(_xll.BDH(AB$4,"PX_LAST",$Q115,$Q115)),AB116)</f>
        <v>0</v>
      </c>
      <c r="AC115" s="4">
        <f ca="1">IFERROR(VALUE(_xll.BDH(AC$4,"PX_LAST",$Q115,$Q115)),AC116)</f>
        <v>0</v>
      </c>
      <c r="AD115" s="4">
        <f ca="1">IFERROR(VALUE(_xll.BDH(AD$4,"PX_LAST",$Q115,$Q115)),AD116)</f>
        <v>0</v>
      </c>
      <c r="AF115" s="4">
        <f t="shared" si="38"/>
        <v>1.17303151627143</v>
      </c>
      <c r="AG115" s="4" t="e">
        <f t="shared" ca="1" si="39"/>
        <v>#DIV/0!</v>
      </c>
      <c r="AH115" s="4" t="e">
        <f t="shared" ca="1" si="40"/>
        <v>#DIV/0!</v>
      </c>
      <c r="AI115" s="4" t="e">
        <f t="shared" ca="1" si="41"/>
        <v>#DIV/0!</v>
      </c>
      <c r="AJ115" s="4" t="e">
        <f t="shared" ca="1" si="42"/>
        <v>#DIV/0!</v>
      </c>
      <c r="AK115" s="4" t="e">
        <f t="shared" ca="1" si="43"/>
        <v>#DIV/0!</v>
      </c>
      <c r="AM115" s="550">
        <f t="shared" ca="1" si="33"/>
        <v>45840</v>
      </c>
      <c r="AN115" s="551">
        <v>222.11</v>
      </c>
      <c r="AO115" s="551">
        <v>3228308</v>
      </c>
      <c r="AP115" s="551">
        <v>597.47560999999996</v>
      </c>
      <c r="AQ115" s="551">
        <v>132705.3077371</v>
      </c>
      <c r="AR115" s="551">
        <v>5.5471000000000004</v>
      </c>
    </row>
    <row r="116" spans="2:44" x14ac:dyDescent="0.3">
      <c r="B116" s="552">
        <f t="shared" ca="1" si="44"/>
        <v>45174</v>
      </c>
      <c r="C116" s="548">
        <f ca="1">(IFERROR(IFERROR(VALUE(_xll.BDH(C$4,"CURRENT_EV_TO_T12M_EBITDA",$B116,$B116)),VALUE(_xll.BDH(C$4,"CURRENT_EV_TO_T12M_EBITDA",$B116+1,$B116+1))),C117))</f>
        <v>0</v>
      </c>
      <c r="D116" s="548">
        <f ca="1">(IFERROR(IFERROR(VALUE(_xll.BDH(D$4,"CURRENT_EV_TO_T12M_EBITDA",$B116,$B116)),VALUE(_xll.BDH(D$4,"CURRENT_EV_TO_T12M_EBITDA",$B116+1,$B116+1))),D117))</f>
        <v>0</v>
      </c>
      <c r="E116" s="548">
        <f ca="1">(IFERROR(IFERROR(VALUE(_xll.BDH(E$4,"CURRENT_EV_TO_T12M_EBITDA",$B116,$B116)),VALUE(_xll.BDH(E$4,"CURRENT_EV_TO_T12M_EBITDA",$B116+1,$B116+1))),E117))</f>
        <v>0</v>
      </c>
      <c r="F116" s="548">
        <f ca="1">(IFERROR(IFERROR(VALUE(_xll.BDH(F$4,"CURRENT_EV_TO_T12M_EBITDA",$B116,$B116)),VALUE(_xll.BDH(F$4,"CURRENT_EV_TO_T12M_EBITDA",$B116+1,$B116+1))),F117))</f>
        <v>0</v>
      </c>
      <c r="G116" s="548">
        <f ca="1">(IFERROR(IFERROR(VALUE(_xll.BDH(G$4,"CURRENT_EV_TO_T12M_EBITDA",$B116,$B116)),VALUE(_xll.BDH(G$4,"CURRENT_EV_TO_T12M_EBITDA",$B116+1,$B116+1))),G117))</f>
        <v>0</v>
      </c>
      <c r="H116" s="548">
        <f ca="1">(IFERROR(IFERROR(VALUE(_xll.BDH(H$4,"CURRENT_EV_TO_T12M_EBITDA",$B116,$B116)),VALUE(_xll.BDH(H$4,"CURRENT_EV_TO_T12M_EBITDA",$B116+1,$B116+1))),H117))</f>
        <v>0</v>
      </c>
      <c r="I116" s="552">
        <f t="shared" ca="1" si="35"/>
        <v>45174</v>
      </c>
      <c r="J116" s="548">
        <f ca="1">(IFERROR(IFERROR(VALUE(_xll.BDH(J$4,"PE_RATIO",$B116,$B116)),VALUE(_xll.BDH(J$4,"PE_RATIO",$B116+1,$B116+1))),J117))</f>
        <v>0</v>
      </c>
      <c r="K116" s="548">
        <f ca="1">(IFERROR(IFERROR(VALUE(_xll.BDH(K$4,"PE_RATIO",$B116,$B116)),VALUE(_xll.BDH(K$4,"PE_RATIO",$B116+1,$B116+1))),K117))</f>
        <v>0</v>
      </c>
      <c r="L116" s="548">
        <f ca="1">(IFERROR(IFERROR(VALUE(_xll.BDH(L$4,"PE_RATIO",$B116,$B116)),VALUE(_xll.BDH(L$4,"PE_RATIO",$B116+1,$B116+1))),L117))</f>
        <v>0</v>
      </c>
      <c r="M116" s="548">
        <f ca="1">(IFERROR(IFERROR(VALUE(_xll.BDH(M$4,"PE_RATIO",$B116,$B116)),VALUE(_xll.BDH(M$4,"PE_RATIO",$B116+1,$B116+1))),M117))</f>
        <v>0</v>
      </c>
      <c r="N116" s="548">
        <f ca="1">(IFERROR(IFERROR(VALUE(_xll.BDH(N$4,"PE_RATIO",$B116,$B116)),VALUE(_xll.BDH(N$4,"PE_RATIO",$B116+1,$B116+1))),N117))</f>
        <v>0</v>
      </c>
      <c r="O116" s="548">
        <f ca="1">(IFERROR(IFERROR(VALUE(_xll.BDH(O$4,"PE_RATIO",$B116,$B116)),VALUE(_xll.BDH(O$4,"PE_RATIO",$B116+1,$B116+1))),O117))</f>
        <v>0</v>
      </c>
      <c r="P116" s="548"/>
      <c r="Q116" s="552">
        <f t="shared" ca="1" si="36"/>
        <v>45174</v>
      </c>
      <c r="R116" s="4">
        <v>232.77</v>
      </c>
      <c r="S116" s="4">
        <v>4582.2299999999996</v>
      </c>
      <c r="T116" s="4">
        <v>0</v>
      </c>
      <c r="U116" s="4">
        <v>1.1947951955651372</v>
      </c>
      <c r="V116" s="4">
        <v>1.2779463523742058</v>
      </c>
      <c r="W116" s="4" t="e">
        <v>#DIV/0!</v>
      </c>
      <c r="Y116" s="548">
        <f t="shared" si="37"/>
        <v>232.77</v>
      </c>
      <c r="Z116" s="4">
        <f ca="1">IFERROR(VALUE(_xll.BDH(Z$4,"PX_LAST",$Q116,$Q116)),Z117)</f>
        <v>0</v>
      </c>
      <c r="AA116" s="4">
        <f ca="1">IFERROR(VALUE(_xll.BDH(AA$4,"PX_LAST",$Q116,$Q116)),AA117)</f>
        <v>0</v>
      </c>
      <c r="AB116" s="4">
        <f ca="1">IFERROR(VALUE(_xll.BDH(AB$4,"PX_LAST",$Q116,$Q116)),AB117)</f>
        <v>0</v>
      </c>
      <c r="AC116" s="4">
        <f ca="1">IFERROR(VALUE(_xll.BDH(AC$4,"PX_LAST",$Q116,$Q116)),AC117)</f>
        <v>0</v>
      </c>
      <c r="AD116" s="4">
        <f ca="1">IFERROR(VALUE(_xll.BDH(AD$4,"PX_LAST",$Q116,$Q116)),AD117)</f>
        <v>0</v>
      </c>
      <c r="AF116" s="4">
        <f t="shared" si="38"/>
        <v>1.1947951955651372</v>
      </c>
      <c r="AG116" s="4" t="e">
        <f t="shared" ca="1" si="39"/>
        <v>#DIV/0!</v>
      </c>
      <c r="AH116" s="4" t="e">
        <f t="shared" ca="1" si="40"/>
        <v>#DIV/0!</v>
      </c>
      <c r="AI116" s="4" t="e">
        <f t="shared" ca="1" si="41"/>
        <v>#DIV/0!</v>
      </c>
      <c r="AJ116" s="4" t="e">
        <f t="shared" ca="1" si="42"/>
        <v>#DIV/0!</v>
      </c>
      <c r="AK116" s="4" t="e">
        <f t="shared" ca="1" si="43"/>
        <v>#DIV/0!</v>
      </c>
      <c r="AM116" s="550">
        <f t="shared" ca="1" si="33"/>
        <v>45839</v>
      </c>
      <c r="AN116" s="551">
        <v>222.11</v>
      </c>
      <c r="AO116" s="551">
        <v>3228308</v>
      </c>
      <c r="AP116" s="551">
        <v>597.47560999999996</v>
      </c>
      <c r="AQ116" s="551">
        <v>132705.3077371</v>
      </c>
      <c r="AR116" s="551">
        <v>5.5471000000000004</v>
      </c>
    </row>
    <row r="117" spans="2:44" x14ac:dyDescent="0.3">
      <c r="B117" s="552">
        <f t="shared" ca="1" si="44"/>
        <v>45167</v>
      </c>
      <c r="C117" s="548">
        <f ca="1">(IFERROR(IFERROR(VALUE(_xll.BDH(C$4,"CURRENT_EV_TO_T12M_EBITDA",$B117,$B117)),VALUE(_xll.BDH(C$4,"CURRENT_EV_TO_T12M_EBITDA",$B117+1,$B117+1))),C118))</f>
        <v>0</v>
      </c>
      <c r="D117" s="548">
        <f ca="1">(IFERROR(IFERROR(VALUE(_xll.BDH(D$4,"CURRENT_EV_TO_T12M_EBITDA",$B117,$B117)),VALUE(_xll.BDH(D$4,"CURRENT_EV_TO_T12M_EBITDA",$B117+1,$B117+1))),D118))</f>
        <v>0</v>
      </c>
      <c r="E117" s="548">
        <f ca="1">(IFERROR(IFERROR(VALUE(_xll.BDH(E$4,"CURRENT_EV_TO_T12M_EBITDA",$B117,$B117)),VALUE(_xll.BDH(E$4,"CURRENT_EV_TO_T12M_EBITDA",$B117+1,$B117+1))),E118))</f>
        <v>0</v>
      </c>
      <c r="F117" s="548">
        <f ca="1">(IFERROR(IFERROR(VALUE(_xll.BDH(F$4,"CURRENT_EV_TO_T12M_EBITDA",$B117,$B117)),VALUE(_xll.BDH(F$4,"CURRENT_EV_TO_T12M_EBITDA",$B117+1,$B117+1))),F118))</f>
        <v>0</v>
      </c>
      <c r="G117" s="548">
        <f ca="1">(IFERROR(IFERROR(VALUE(_xll.BDH(G$4,"CURRENT_EV_TO_T12M_EBITDA",$B117,$B117)),VALUE(_xll.BDH(G$4,"CURRENT_EV_TO_T12M_EBITDA",$B117+1,$B117+1))),G118))</f>
        <v>0</v>
      </c>
      <c r="H117" s="548">
        <f ca="1">(IFERROR(IFERROR(VALUE(_xll.BDH(H$4,"CURRENT_EV_TO_T12M_EBITDA",$B117,$B117)),VALUE(_xll.BDH(H$4,"CURRENT_EV_TO_T12M_EBITDA",$B117+1,$B117+1))),H118))</f>
        <v>0</v>
      </c>
      <c r="I117" s="552">
        <f t="shared" ca="1" si="35"/>
        <v>45167</v>
      </c>
      <c r="J117" s="548">
        <f ca="1">(IFERROR(IFERROR(VALUE(_xll.BDH(J$4,"PE_RATIO",$B117,$B117)),VALUE(_xll.BDH(J$4,"PE_RATIO",$B117+1,$B117+1))),J118))</f>
        <v>0</v>
      </c>
      <c r="K117" s="548">
        <f ca="1">(IFERROR(IFERROR(VALUE(_xll.BDH(K$4,"PE_RATIO",$B117,$B117)),VALUE(_xll.BDH(K$4,"PE_RATIO",$B117+1,$B117+1))),K118))</f>
        <v>0</v>
      </c>
      <c r="L117" s="548">
        <f ca="1">(IFERROR(IFERROR(VALUE(_xll.BDH(L$4,"PE_RATIO",$B117,$B117)),VALUE(_xll.BDH(L$4,"PE_RATIO",$B117+1,$B117+1))),L118))</f>
        <v>0</v>
      </c>
      <c r="M117" s="548">
        <f ca="1">(IFERROR(IFERROR(VALUE(_xll.BDH(M$4,"PE_RATIO",$B117,$B117)),VALUE(_xll.BDH(M$4,"PE_RATIO",$B117+1,$B117+1))),M118))</f>
        <v>0</v>
      </c>
      <c r="N117" s="548">
        <f ca="1">(IFERROR(IFERROR(VALUE(_xll.BDH(N$4,"PE_RATIO",$B117,$B117)),VALUE(_xll.BDH(N$4,"PE_RATIO",$B117+1,$B117+1))),N118))</f>
        <v>0</v>
      </c>
      <c r="O117" s="548">
        <f ca="1">(IFERROR(IFERROR(VALUE(_xll.BDH(O$4,"PE_RATIO",$B117,$B117)),VALUE(_xll.BDH(O$4,"PE_RATIO",$B117+1,$B117+1))),O118))</f>
        <v>0</v>
      </c>
      <c r="P117" s="548"/>
      <c r="Q117" s="552">
        <f t="shared" ca="1" si="36"/>
        <v>45167</v>
      </c>
      <c r="R117" s="4">
        <v>216.78</v>
      </c>
      <c r="S117" s="4">
        <v>4536.34</v>
      </c>
      <c r="T117" s="4">
        <v>0</v>
      </c>
      <c r="U117" s="4">
        <v>1.1127194333230674</v>
      </c>
      <c r="V117" s="4">
        <v>1.2651480078759043</v>
      </c>
      <c r="W117" s="4" t="e">
        <v>#DIV/0!</v>
      </c>
      <c r="Y117" s="548">
        <f t="shared" si="37"/>
        <v>216.78</v>
      </c>
      <c r="Z117" s="4">
        <f ca="1">IFERROR(VALUE(_xll.BDH(Z$4,"PX_LAST",$Q117,$Q117)),Z118)</f>
        <v>0</v>
      </c>
      <c r="AA117" s="4">
        <f ca="1">IFERROR(VALUE(_xll.BDH(AA$4,"PX_LAST",$Q117,$Q117)),AA118)</f>
        <v>0</v>
      </c>
      <c r="AB117" s="4">
        <f ca="1">IFERROR(VALUE(_xll.BDH(AB$4,"PX_LAST",$Q117,$Q117)),AB118)</f>
        <v>0</v>
      </c>
      <c r="AC117" s="4">
        <f ca="1">IFERROR(VALUE(_xll.BDH(AC$4,"PX_LAST",$Q117,$Q117)),AC118)</f>
        <v>0</v>
      </c>
      <c r="AD117" s="4">
        <f ca="1">IFERROR(VALUE(_xll.BDH(AD$4,"PX_LAST",$Q117,$Q117)),AD118)</f>
        <v>0</v>
      </c>
      <c r="AF117" s="4">
        <f t="shared" si="38"/>
        <v>1.1127194333230674</v>
      </c>
      <c r="AG117" s="4" t="e">
        <f t="shared" ca="1" si="39"/>
        <v>#DIV/0!</v>
      </c>
      <c r="AH117" s="4" t="e">
        <f t="shared" ca="1" si="40"/>
        <v>#DIV/0!</v>
      </c>
      <c r="AI117" s="4" t="e">
        <f t="shared" ca="1" si="41"/>
        <v>#DIV/0!</v>
      </c>
      <c r="AJ117" s="4" t="e">
        <f t="shared" ca="1" si="42"/>
        <v>#DIV/0!</v>
      </c>
      <c r="AK117" s="4" t="e">
        <f t="shared" ca="1" si="43"/>
        <v>#DIV/0!</v>
      </c>
      <c r="AM117" s="550">
        <f t="shared" ca="1" si="33"/>
        <v>45838</v>
      </c>
      <c r="AN117" s="551">
        <v>222.87</v>
      </c>
      <c r="AO117" s="551">
        <v>2849038</v>
      </c>
      <c r="AP117" s="551">
        <v>597.47560999999996</v>
      </c>
      <c r="AQ117" s="551">
        <v>133159.38920069998</v>
      </c>
      <c r="AR117" s="551">
        <v>5.5660999999999996</v>
      </c>
    </row>
    <row r="118" spans="2:44" x14ac:dyDescent="0.3">
      <c r="B118" s="552">
        <f t="shared" ca="1" si="44"/>
        <v>45160</v>
      </c>
      <c r="C118" s="548">
        <f ca="1">(IFERROR(IFERROR(VALUE(_xll.BDH(C$4,"CURRENT_EV_TO_T12M_EBITDA",$B118,$B118)),VALUE(_xll.BDH(C$4,"CURRENT_EV_TO_T12M_EBITDA",$B118+1,$B118+1))),C119))</f>
        <v>0</v>
      </c>
      <c r="D118" s="548">
        <f ca="1">(IFERROR(IFERROR(VALUE(_xll.BDH(D$4,"CURRENT_EV_TO_T12M_EBITDA",$B118,$B118)),VALUE(_xll.BDH(D$4,"CURRENT_EV_TO_T12M_EBITDA",$B118+1,$B118+1))),D119))</f>
        <v>0</v>
      </c>
      <c r="E118" s="548">
        <f ca="1">(IFERROR(IFERROR(VALUE(_xll.BDH(E$4,"CURRENT_EV_TO_T12M_EBITDA",$B118,$B118)),VALUE(_xll.BDH(E$4,"CURRENT_EV_TO_T12M_EBITDA",$B118+1,$B118+1))),E119))</f>
        <v>0</v>
      </c>
      <c r="F118" s="548">
        <f ca="1">(IFERROR(IFERROR(VALUE(_xll.BDH(F$4,"CURRENT_EV_TO_T12M_EBITDA",$B118,$B118)),VALUE(_xll.BDH(F$4,"CURRENT_EV_TO_T12M_EBITDA",$B118+1,$B118+1))),F119))</f>
        <v>0</v>
      </c>
      <c r="G118" s="548">
        <f ca="1">(IFERROR(IFERROR(VALUE(_xll.BDH(G$4,"CURRENT_EV_TO_T12M_EBITDA",$B118,$B118)),VALUE(_xll.BDH(G$4,"CURRENT_EV_TO_T12M_EBITDA",$B118+1,$B118+1))),G119))</f>
        <v>0</v>
      </c>
      <c r="H118" s="548">
        <f ca="1">(IFERROR(IFERROR(VALUE(_xll.BDH(H$4,"CURRENT_EV_TO_T12M_EBITDA",$B118,$B118)),VALUE(_xll.BDH(H$4,"CURRENT_EV_TO_T12M_EBITDA",$B118+1,$B118+1))),H119))</f>
        <v>0</v>
      </c>
      <c r="I118" s="552">
        <f t="shared" ca="1" si="35"/>
        <v>45160</v>
      </c>
      <c r="J118" s="548">
        <f ca="1">(IFERROR(IFERROR(VALUE(_xll.BDH(J$4,"PE_RATIO",$B118,$B118)),VALUE(_xll.BDH(J$4,"PE_RATIO",$B118+1,$B118+1))),J119))</f>
        <v>0</v>
      </c>
      <c r="K118" s="548">
        <f ca="1">(IFERROR(IFERROR(VALUE(_xll.BDH(K$4,"PE_RATIO",$B118,$B118)),VALUE(_xll.BDH(K$4,"PE_RATIO",$B118+1,$B118+1))),K119))</f>
        <v>0</v>
      </c>
      <c r="L118" s="548">
        <f ca="1">(IFERROR(IFERROR(VALUE(_xll.BDH(L$4,"PE_RATIO",$B118,$B118)),VALUE(_xll.BDH(L$4,"PE_RATIO",$B118+1,$B118+1))),L119))</f>
        <v>0</v>
      </c>
      <c r="M118" s="548">
        <f ca="1">(IFERROR(IFERROR(VALUE(_xll.BDH(M$4,"PE_RATIO",$B118,$B118)),VALUE(_xll.BDH(M$4,"PE_RATIO",$B118+1,$B118+1))),M119))</f>
        <v>0</v>
      </c>
      <c r="N118" s="548">
        <f ca="1">(IFERROR(IFERROR(VALUE(_xll.BDH(N$4,"PE_RATIO",$B118,$B118)),VALUE(_xll.BDH(N$4,"PE_RATIO",$B118+1,$B118+1))),N119))</f>
        <v>0</v>
      </c>
      <c r="O118" s="548">
        <f ca="1">(IFERROR(IFERROR(VALUE(_xll.BDH(O$4,"PE_RATIO",$B118,$B118)),VALUE(_xll.BDH(O$4,"PE_RATIO",$B118+1,$B118+1))),O119))</f>
        <v>0</v>
      </c>
      <c r="P118" s="548"/>
      <c r="Q118" s="552">
        <f t="shared" ca="1" si="36"/>
        <v>45160</v>
      </c>
      <c r="R118" s="4">
        <v>210.99</v>
      </c>
      <c r="S118" s="4">
        <v>4505.42</v>
      </c>
      <c r="T118" s="4">
        <v>0</v>
      </c>
      <c r="U118" s="4">
        <v>1.0829996920234064</v>
      </c>
      <c r="V118" s="4">
        <v>1.2565246735571534</v>
      </c>
      <c r="W118" s="4" t="e">
        <v>#DIV/0!</v>
      </c>
      <c r="Y118" s="548">
        <f t="shared" si="37"/>
        <v>210.99</v>
      </c>
      <c r="Z118" s="4">
        <f ca="1">IFERROR(VALUE(_xll.BDH(Z$4,"PX_LAST",$Q118,$Q118)),Z119)</f>
        <v>0</v>
      </c>
      <c r="AA118" s="4">
        <f ca="1">IFERROR(VALUE(_xll.BDH(AA$4,"PX_LAST",$Q118,$Q118)),AA119)</f>
        <v>0</v>
      </c>
      <c r="AB118" s="4">
        <f ca="1">IFERROR(VALUE(_xll.BDH(AB$4,"PX_LAST",$Q118,$Q118)),AB119)</f>
        <v>0</v>
      </c>
      <c r="AC118" s="4">
        <f ca="1">IFERROR(VALUE(_xll.BDH(AC$4,"PX_LAST",$Q118,$Q118)),AC119)</f>
        <v>0</v>
      </c>
      <c r="AD118" s="4">
        <f ca="1">IFERROR(VALUE(_xll.BDH(AD$4,"PX_LAST",$Q118,$Q118)),AD119)</f>
        <v>0</v>
      </c>
      <c r="AF118" s="4">
        <f t="shared" si="38"/>
        <v>1.0829996920234064</v>
      </c>
      <c r="AG118" s="4" t="e">
        <f t="shared" ca="1" si="39"/>
        <v>#DIV/0!</v>
      </c>
      <c r="AH118" s="4" t="e">
        <f t="shared" ca="1" si="40"/>
        <v>#DIV/0!</v>
      </c>
      <c r="AI118" s="4" t="e">
        <f t="shared" ca="1" si="41"/>
        <v>#DIV/0!</v>
      </c>
      <c r="AJ118" s="4" t="e">
        <f t="shared" ca="1" si="42"/>
        <v>#DIV/0!</v>
      </c>
      <c r="AK118" s="4" t="e">
        <f t="shared" ca="1" si="43"/>
        <v>#DIV/0!</v>
      </c>
      <c r="AM118" s="550">
        <f t="shared" ca="1" si="33"/>
        <v>45837</v>
      </c>
      <c r="AN118" s="551">
        <v>223.62</v>
      </c>
      <c r="AO118" s="551">
        <v>2183570</v>
      </c>
      <c r="AP118" s="551">
        <v>597.47560999999996</v>
      </c>
      <c r="AQ118" s="551">
        <v>133607.49590819998</v>
      </c>
      <c r="AR118" s="551">
        <v>5.5848000000000004</v>
      </c>
    </row>
    <row r="119" spans="2:44" x14ac:dyDescent="0.3">
      <c r="B119" s="552">
        <f t="shared" ca="1" si="44"/>
        <v>45153</v>
      </c>
      <c r="C119" s="548">
        <f ca="1">(IFERROR(IFERROR(VALUE(_xll.BDH(C$4,"CURRENT_EV_TO_T12M_EBITDA",$B119,$B119)),VALUE(_xll.BDH(C$4,"CURRENT_EV_TO_T12M_EBITDA",$B119+1,$B119+1))),C120))</f>
        <v>0</v>
      </c>
      <c r="D119" s="548">
        <f ca="1">(IFERROR(IFERROR(VALUE(_xll.BDH(D$4,"CURRENT_EV_TO_T12M_EBITDA",$B119,$B119)),VALUE(_xll.BDH(D$4,"CURRENT_EV_TO_T12M_EBITDA",$B119+1,$B119+1))),D120))</f>
        <v>0</v>
      </c>
      <c r="E119" s="548">
        <f ca="1">(IFERROR(IFERROR(VALUE(_xll.BDH(E$4,"CURRENT_EV_TO_T12M_EBITDA",$B119,$B119)),VALUE(_xll.BDH(E$4,"CURRENT_EV_TO_T12M_EBITDA",$B119+1,$B119+1))),E120))</f>
        <v>0</v>
      </c>
      <c r="F119" s="548">
        <f ca="1">(IFERROR(IFERROR(VALUE(_xll.BDH(F$4,"CURRENT_EV_TO_T12M_EBITDA",$B119,$B119)),VALUE(_xll.BDH(F$4,"CURRENT_EV_TO_T12M_EBITDA",$B119+1,$B119+1))),F120))</f>
        <v>0</v>
      </c>
      <c r="G119" s="548">
        <f ca="1">(IFERROR(IFERROR(VALUE(_xll.BDH(G$4,"CURRENT_EV_TO_T12M_EBITDA",$B119,$B119)),VALUE(_xll.BDH(G$4,"CURRENT_EV_TO_T12M_EBITDA",$B119+1,$B119+1))),G120))</f>
        <v>0</v>
      </c>
      <c r="H119" s="548">
        <f ca="1">(IFERROR(IFERROR(VALUE(_xll.BDH(H$4,"CURRENT_EV_TO_T12M_EBITDA",$B119,$B119)),VALUE(_xll.BDH(H$4,"CURRENT_EV_TO_T12M_EBITDA",$B119+1,$B119+1))),H120))</f>
        <v>0</v>
      </c>
      <c r="I119" s="552">
        <f t="shared" ca="1" si="35"/>
        <v>45153</v>
      </c>
      <c r="J119" s="548">
        <f ca="1">(IFERROR(IFERROR(VALUE(_xll.BDH(J$4,"PE_RATIO",$B119,$B119)),VALUE(_xll.BDH(J$4,"PE_RATIO",$B119+1,$B119+1))),J120))</f>
        <v>0</v>
      </c>
      <c r="K119" s="548">
        <f ca="1">(IFERROR(IFERROR(VALUE(_xll.BDH(K$4,"PE_RATIO",$B119,$B119)),VALUE(_xll.BDH(K$4,"PE_RATIO",$B119+1,$B119+1))),K120))</f>
        <v>0</v>
      </c>
      <c r="L119" s="548">
        <f ca="1">(IFERROR(IFERROR(VALUE(_xll.BDH(L$4,"PE_RATIO",$B119,$B119)),VALUE(_xll.BDH(L$4,"PE_RATIO",$B119+1,$B119+1))),L120))</f>
        <v>0</v>
      </c>
      <c r="M119" s="548">
        <f ca="1">(IFERROR(IFERROR(VALUE(_xll.BDH(M$4,"PE_RATIO",$B119,$B119)),VALUE(_xll.BDH(M$4,"PE_RATIO",$B119+1,$B119+1))),M120))</f>
        <v>0</v>
      </c>
      <c r="N119" s="548">
        <f ca="1">(IFERROR(IFERROR(VALUE(_xll.BDH(N$4,"PE_RATIO",$B119,$B119)),VALUE(_xll.BDH(N$4,"PE_RATIO",$B119+1,$B119+1))),N120))</f>
        <v>0</v>
      </c>
      <c r="O119" s="548">
        <f ca="1">(IFERROR(IFERROR(VALUE(_xll.BDH(O$4,"PE_RATIO",$B119,$B119)),VALUE(_xll.BDH(O$4,"PE_RATIO",$B119+1,$B119+1))),O120))</f>
        <v>0</v>
      </c>
      <c r="P119" s="548"/>
      <c r="Q119" s="552">
        <f t="shared" ca="1" si="36"/>
        <v>45153</v>
      </c>
      <c r="R119" s="4">
        <v>202.82</v>
      </c>
      <c r="S119" s="4">
        <v>4398.95</v>
      </c>
      <c r="T119" s="4">
        <v>0</v>
      </c>
      <c r="U119" s="4">
        <v>1.0410635458371831</v>
      </c>
      <c r="V119" s="4">
        <v>1.2268310640837568</v>
      </c>
      <c r="W119" s="4" t="e">
        <v>#DIV/0!</v>
      </c>
      <c r="Y119" s="548">
        <f t="shared" si="37"/>
        <v>202.82</v>
      </c>
      <c r="Z119" s="4">
        <f ca="1">IFERROR(VALUE(_xll.BDH(Z$4,"PX_LAST",$Q119,$Q119)),Z120)</f>
        <v>0</v>
      </c>
      <c r="AA119" s="4">
        <f ca="1">IFERROR(VALUE(_xll.BDH(AA$4,"PX_LAST",$Q119,$Q119)),AA120)</f>
        <v>0</v>
      </c>
      <c r="AB119" s="4">
        <f ca="1">IFERROR(VALUE(_xll.BDH(AB$4,"PX_LAST",$Q119,$Q119)),AB120)</f>
        <v>0</v>
      </c>
      <c r="AC119" s="4">
        <f ca="1">IFERROR(VALUE(_xll.BDH(AC$4,"PX_LAST",$Q119,$Q119)),AC120)</f>
        <v>0</v>
      </c>
      <c r="AD119" s="4">
        <f ca="1">IFERROR(VALUE(_xll.BDH(AD$4,"PX_LAST",$Q119,$Q119)),AD120)</f>
        <v>0</v>
      </c>
      <c r="AF119" s="4">
        <f t="shared" si="38"/>
        <v>1.0410635458371831</v>
      </c>
      <c r="AG119" s="4" t="e">
        <f t="shared" ca="1" si="39"/>
        <v>#DIV/0!</v>
      </c>
      <c r="AH119" s="4" t="e">
        <f t="shared" ca="1" si="40"/>
        <v>#DIV/0!</v>
      </c>
      <c r="AI119" s="4" t="e">
        <f t="shared" ca="1" si="41"/>
        <v>#DIV/0!</v>
      </c>
      <c r="AJ119" s="4" t="e">
        <f t="shared" ca="1" si="42"/>
        <v>#DIV/0!</v>
      </c>
      <c r="AK119" s="4" t="e">
        <f t="shared" ca="1" si="43"/>
        <v>#DIV/0!</v>
      </c>
      <c r="AM119" s="550">
        <f t="shared" ca="1" si="33"/>
        <v>45836</v>
      </c>
      <c r="AN119" s="551">
        <v>228.33</v>
      </c>
      <c r="AO119" s="551">
        <v>1982870</v>
      </c>
      <c r="AP119" s="551">
        <v>597.47560999999996</v>
      </c>
      <c r="AQ119" s="551">
        <v>136421.60603130001</v>
      </c>
      <c r="AR119" s="551">
        <v>5.7023999999999999</v>
      </c>
    </row>
    <row r="120" spans="2:44" x14ac:dyDescent="0.3">
      <c r="B120" s="552">
        <f t="shared" ca="1" si="44"/>
        <v>45146</v>
      </c>
      <c r="C120" s="548">
        <f ca="1">(IFERROR(IFERROR(VALUE(_xll.BDH(C$4,"CURRENT_EV_TO_T12M_EBITDA",$B120,$B120)),VALUE(_xll.BDH(C$4,"CURRENT_EV_TO_T12M_EBITDA",$B120+1,$B120+1))),C121))</f>
        <v>0</v>
      </c>
      <c r="D120" s="548">
        <f ca="1">(IFERROR(IFERROR(VALUE(_xll.BDH(D$4,"CURRENT_EV_TO_T12M_EBITDA",$B120,$B120)),VALUE(_xll.BDH(D$4,"CURRENT_EV_TO_T12M_EBITDA",$B120+1,$B120+1))),D121))</f>
        <v>0</v>
      </c>
      <c r="E120" s="548">
        <f ca="1">(IFERROR(IFERROR(VALUE(_xll.BDH(E$4,"CURRENT_EV_TO_T12M_EBITDA",$B120,$B120)),VALUE(_xll.BDH(E$4,"CURRENT_EV_TO_T12M_EBITDA",$B120+1,$B120+1))),E121))</f>
        <v>0</v>
      </c>
      <c r="F120" s="548">
        <f ca="1">(IFERROR(IFERROR(VALUE(_xll.BDH(F$4,"CURRENT_EV_TO_T12M_EBITDA",$B120,$B120)),VALUE(_xll.BDH(F$4,"CURRENT_EV_TO_T12M_EBITDA",$B120+1,$B120+1))),F121))</f>
        <v>0</v>
      </c>
      <c r="G120" s="548">
        <f ca="1">(IFERROR(IFERROR(VALUE(_xll.BDH(G$4,"CURRENT_EV_TO_T12M_EBITDA",$B120,$B120)),VALUE(_xll.BDH(G$4,"CURRENT_EV_TO_T12M_EBITDA",$B120+1,$B120+1))),G121))</f>
        <v>0</v>
      </c>
      <c r="H120" s="548">
        <f ca="1">(IFERROR(IFERROR(VALUE(_xll.BDH(H$4,"CURRENT_EV_TO_T12M_EBITDA",$B120,$B120)),VALUE(_xll.BDH(H$4,"CURRENT_EV_TO_T12M_EBITDA",$B120+1,$B120+1))),H121))</f>
        <v>0</v>
      </c>
      <c r="I120" s="552">
        <f t="shared" ca="1" si="35"/>
        <v>45146</v>
      </c>
      <c r="J120" s="548">
        <f ca="1">(IFERROR(IFERROR(VALUE(_xll.BDH(J$4,"PE_RATIO",$B120,$B120)),VALUE(_xll.BDH(J$4,"PE_RATIO",$B120+1,$B120+1))),J121))</f>
        <v>0</v>
      </c>
      <c r="K120" s="548">
        <f ca="1">(IFERROR(IFERROR(VALUE(_xll.BDH(K$4,"PE_RATIO",$B120,$B120)),VALUE(_xll.BDH(K$4,"PE_RATIO",$B120+1,$B120+1))),K121))</f>
        <v>0</v>
      </c>
      <c r="L120" s="548">
        <f ca="1">(IFERROR(IFERROR(VALUE(_xll.BDH(L$4,"PE_RATIO",$B120,$B120)),VALUE(_xll.BDH(L$4,"PE_RATIO",$B120+1,$B120+1))),L121))</f>
        <v>0</v>
      </c>
      <c r="M120" s="548">
        <f ca="1">(IFERROR(IFERROR(VALUE(_xll.BDH(M$4,"PE_RATIO",$B120,$B120)),VALUE(_xll.BDH(M$4,"PE_RATIO",$B120+1,$B120+1))),M121))</f>
        <v>0</v>
      </c>
      <c r="N120" s="548">
        <f ca="1">(IFERROR(IFERROR(VALUE(_xll.BDH(N$4,"PE_RATIO",$B120,$B120)),VALUE(_xll.BDH(N$4,"PE_RATIO",$B120+1,$B120+1))),N121))</f>
        <v>0</v>
      </c>
      <c r="O120" s="548">
        <f ca="1">(IFERROR(IFERROR(VALUE(_xll.BDH(O$4,"PE_RATIO",$B120,$B120)),VALUE(_xll.BDH(O$4,"PE_RATIO",$B120+1,$B120+1))),O121))</f>
        <v>0</v>
      </c>
      <c r="P120" s="548"/>
      <c r="Q120" s="552">
        <f t="shared" ca="1" si="36"/>
        <v>45146</v>
      </c>
      <c r="R120" s="4">
        <v>204.62</v>
      </c>
      <c r="S120" s="4">
        <v>4450.38</v>
      </c>
      <c r="T120" s="4">
        <v>0</v>
      </c>
      <c r="U120" s="4">
        <v>1.0503028436505493</v>
      </c>
      <c r="V120" s="4">
        <v>1.2411744691294673</v>
      </c>
      <c r="W120" s="4" t="e">
        <v>#DIV/0!</v>
      </c>
      <c r="Y120" s="548">
        <f t="shared" si="37"/>
        <v>204.62</v>
      </c>
      <c r="Z120" s="4">
        <f ca="1">IFERROR(VALUE(_xll.BDH(Z$4,"PX_LAST",$Q120,$Q120)),Z121)</f>
        <v>0</v>
      </c>
      <c r="AA120" s="4">
        <f ca="1">IFERROR(VALUE(_xll.BDH(AA$4,"PX_LAST",$Q120,$Q120)),AA121)</f>
        <v>0</v>
      </c>
      <c r="AB120" s="4">
        <f ca="1">IFERROR(VALUE(_xll.BDH(AB$4,"PX_LAST",$Q120,$Q120)),AB121)</f>
        <v>0</v>
      </c>
      <c r="AC120" s="4">
        <f ca="1">IFERROR(VALUE(_xll.BDH(AC$4,"PX_LAST",$Q120,$Q120)),AC121)</f>
        <v>0</v>
      </c>
      <c r="AD120" s="4">
        <f ca="1">IFERROR(VALUE(_xll.BDH(AD$4,"PX_LAST",$Q120,$Q120)),AD121)</f>
        <v>0</v>
      </c>
      <c r="AF120" s="4">
        <f t="shared" si="38"/>
        <v>1.0503028436505493</v>
      </c>
      <c r="AG120" s="4" t="e">
        <f t="shared" ca="1" si="39"/>
        <v>#DIV/0!</v>
      </c>
      <c r="AH120" s="4" t="e">
        <f t="shared" ca="1" si="40"/>
        <v>#DIV/0!</v>
      </c>
      <c r="AI120" s="4" t="e">
        <f t="shared" ca="1" si="41"/>
        <v>#DIV/0!</v>
      </c>
      <c r="AJ120" s="4" t="e">
        <f t="shared" ca="1" si="42"/>
        <v>#DIV/0!</v>
      </c>
      <c r="AK120" s="4" t="e">
        <f t="shared" ca="1" si="43"/>
        <v>#DIV/0!</v>
      </c>
      <c r="AM120" s="550">
        <f t="shared" ca="1" si="33"/>
        <v>45835</v>
      </c>
      <c r="AN120" s="551">
        <v>229.5</v>
      </c>
      <c r="AO120" s="551">
        <v>2509846</v>
      </c>
      <c r="AP120" s="551">
        <v>597.47560999999996</v>
      </c>
      <c r="AQ120" s="551">
        <v>137120.65249499999</v>
      </c>
      <c r="AR120" s="551">
        <v>5.7316000000000003</v>
      </c>
    </row>
    <row r="121" spans="2:44" x14ac:dyDescent="0.3">
      <c r="B121" s="552">
        <f t="shared" ca="1" si="44"/>
        <v>45139</v>
      </c>
      <c r="C121" s="548">
        <f ca="1">(IFERROR(IFERROR(VALUE(_xll.BDH(C$4,"CURRENT_EV_TO_T12M_EBITDA",$B121,$B121)),VALUE(_xll.BDH(C$4,"CURRENT_EV_TO_T12M_EBITDA",$B121+1,$B121+1))),C122))</f>
        <v>0</v>
      </c>
      <c r="D121" s="548">
        <f ca="1">(IFERROR(IFERROR(VALUE(_xll.BDH(D$4,"CURRENT_EV_TO_T12M_EBITDA",$B121,$B121)),VALUE(_xll.BDH(D$4,"CURRENT_EV_TO_T12M_EBITDA",$B121+1,$B121+1))),D122))</f>
        <v>0</v>
      </c>
      <c r="E121" s="548">
        <f ca="1">(IFERROR(IFERROR(VALUE(_xll.BDH(E$4,"CURRENT_EV_TO_T12M_EBITDA",$B121,$B121)),VALUE(_xll.BDH(E$4,"CURRENT_EV_TO_T12M_EBITDA",$B121+1,$B121+1))),E122))</f>
        <v>0</v>
      </c>
      <c r="F121" s="548">
        <f ca="1">(IFERROR(IFERROR(VALUE(_xll.BDH(F$4,"CURRENT_EV_TO_T12M_EBITDA",$B121,$B121)),VALUE(_xll.BDH(F$4,"CURRENT_EV_TO_T12M_EBITDA",$B121+1,$B121+1))),F122))</f>
        <v>0</v>
      </c>
      <c r="G121" s="548">
        <f ca="1">(IFERROR(IFERROR(VALUE(_xll.BDH(G$4,"CURRENT_EV_TO_T12M_EBITDA",$B121,$B121)),VALUE(_xll.BDH(G$4,"CURRENT_EV_TO_T12M_EBITDA",$B121+1,$B121+1))),G122))</f>
        <v>0</v>
      </c>
      <c r="H121" s="548">
        <f ca="1">(IFERROR(IFERROR(VALUE(_xll.BDH(H$4,"CURRENT_EV_TO_T12M_EBITDA",$B121,$B121)),VALUE(_xll.BDH(H$4,"CURRENT_EV_TO_T12M_EBITDA",$B121+1,$B121+1))),H122))</f>
        <v>0</v>
      </c>
      <c r="I121" s="552">
        <f t="shared" ca="1" si="35"/>
        <v>45139</v>
      </c>
      <c r="J121" s="548">
        <f ca="1">(IFERROR(IFERROR(VALUE(_xll.BDH(J$4,"PE_RATIO",$B121,$B121)),VALUE(_xll.BDH(J$4,"PE_RATIO",$B121+1,$B121+1))),J122))</f>
        <v>0</v>
      </c>
      <c r="K121" s="548">
        <f ca="1">(IFERROR(IFERROR(VALUE(_xll.BDH(K$4,"PE_RATIO",$B121,$B121)),VALUE(_xll.BDH(K$4,"PE_RATIO",$B121+1,$B121+1))),K122))</f>
        <v>0</v>
      </c>
      <c r="L121" s="548">
        <f ca="1">(IFERROR(IFERROR(VALUE(_xll.BDH(L$4,"PE_RATIO",$B121,$B121)),VALUE(_xll.BDH(L$4,"PE_RATIO",$B121+1,$B121+1))),L122))</f>
        <v>0</v>
      </c>
      <c r="M121" s="548">
        <f ca="1">(IFERROR(IFERROR(VALUE(_xll.BDH(M$4,"PE_RATIO",$B121,$B121)),VALUE(_xll.BDH(M$4,"PE_RATIO",$B121+1,$B121+1))),M122))</f>
        <v>0</v>
      </c>
      <c r="N121" s="548">
        <f ca="1">(IFERROR(IFERROR(VALUE(_xll.BDH(N$4,"PE_RATIO",$B121,$B121)),VALUE(_xll.BDH(N$4,"PE_RATIO",$B121+1,$B121+1))),N122))</f>
        <v>0</v>
      </c>
      <c r="O121" s="548">
        <f ca="1">(IFERROR(IFERROR(VALUE(_xll.BDH(O$4,"PE_RATIO",$B121,$B121)),VALUE(_xll.BDH(O$4,"PE_RATIO",$B121+1,$B121+1))),O122))</f>
        <v>0</v>
      </c>
      <c r="P121" s="548"/>
      <c r="Q121" s="552">
        <f t="shared" ca="1" si="36"/>
        <v>45139</v>
      </c>
      <c r="R121" s="4">
        <v>199.89</v>
      </c>
      <c r="S121" s="4">
        <v>4348.33</v>
      </c>
      <c r="T121" s="4">
        <v>0</v>
      </c>
      <c r="U121" s="4">
        <v>1.0260240221743147</v>
      </c>
      <c r="V121" s="4">
        <v>1.2127135613924509</v>
      </c>
      <c r="W121" s="4" t="e">
        <v>#DIV/0!</v>
      </c>
      <c r="Y121" s="548">
        <f t="shared" si="37"/>
        <v>199.89</v>
      </c>
      <c r="Z121" s="4">
        <f ca="1">IFERROR(VALUE(_xll.BDH(Z$4,"PX_LAST",$Q121,$Q121)),Z122)</f>
        <v>0</v>
      </c>
      <c r="AA121" s="4">
        <f ca="1">IFERROR(VALUE(_xll.BDH(AA$4,"PX_LAST",$Q121,$Q121)),AA122)</f>
        <v>0</v>
      </c>
      <c r="AB121" s="4">
        <f ca="1">IFERROR(VALUE(_xll.BDH(AB$4,"PX_LAST",$Q121,$Q121)),AB122)</f>
        <v>0</v>
      </c>
      <c r="AC121" s="4">
        <f ca="1">IFERROR(VALUE(_xll.BDH(AC$4,"PX_LAST",$Q121,$Q121)),AC122)</f>
        <v>0</v>
      </c>
      <c r="AD121" s="4">
        <f ca="1">IFERROR(VALUE(_xll.BDH(AD$4,"PX_LAST",$Q121,$Q121)),AD122)</f>
        <v>0</v>
      </c>
      <c r="AF121" s="4">
        <f t="shared" si="38"/>
        <v>1.0260240221743147</v>
      </c>
      <c r="AG121" s="4" t="e">
        <f t="shared" ca="1" si="39"/>
        <v>#DIV/0!</v>
      </c>
      <c r="AH121" s="4" t="e">
        <f t="shared" ca="1" si="40"/>
        <v>#DIV/0!</v>
      </c>
      <c r="AI121" s="4" t="e">
        <f t="shared" ca="1" si="41"/>
        <v>#DIV/0!</v>
      </c>
      <c r="AJ121" s="4" t="e">
        <f t="shared" ca="1" si="42"/>
        <v>#DIV/0!</v>
      </c>
      <c r="AK121" s="4" t="e">
        <f t="shared" ca="1" si="43"/>
        <v>#DIV/0!</v>
      </c>
      <c r="AM121" s="550">
        <f t="shared" ca="1" si="33"/>
        <v>45834</v>
      </c>
      <c r="AN121" s="551">
        <v>231.42</v>
      </c>
      <c r="AO121" s="551">
        <v>2007094</v>
      </c>
      <c r="AP121" s="551">
        <v>597.47560999999996</v>
      </c>
      <c r="AQ121" s="551">
        <v>138267.80566619997</v>
      </c>
      <c r="AR121" s="551">
        <v>5.7796000000000003</v>
      </c>
    </row>
    <row r="122" spans="2:44" x14ac:dyDescent="0.3">
      <c r="B122" s="552">
        <f t="shared" ca="1" si="44"/>
        <v>45132</v>
      </c>
      <c r="C122" s="548">
        <f ca="1">(IFERROR(IFERROR(VALUE(_xll.BDH(C$4,"CURRENT_EV_TO_T12M_EBITDA",$B122,$B122)),VALUE(_xll.BDH(C$4,"CURRENT_EV_TO_T12M_EBITDA",$B122+1,$B122+1))),C123))</f>
        <v>0</v>
      </c>
      <c r="D122" s="548">
        <f ca="1">(IFERROR(IFERROR(VALUE(_xll.BDH(D$4,"CURRENT_EV_TO_T12M_EBITDA",$B122,$B122)),VALUE(_xll.BDH(D$4,"CURRENT_EV_TO_T12M_EBITDA",$B122+1,$B122+1))),D123))</f>
        <v>0</v>
      </c>
      <c r="E122" s="548">
        <f ca="1">(IFERROR(IFERROR(VALUE(_xll.BDH(E$4,"CURRENT_EV_TO_T12M_EBITDA",$B122,$B122)),VALUE(_xll.BDH(E$4,"CURRENT_EV_TO_T12M_EBITDA",$B122+1,$B122+1))),E123))</f>
        <v>0</v>
      </c>
      <c r="F122" s="548">
        <f ca="1">(IFERROR(IFERROR(VALUE(_xll.BDH(F$4,"CURRENT_EV_TO_T12M_EBITDA",$B122,$B122)),VALUE(_xll.BDH(F$4,"CURRENT_EV_TO_T12M_EBITDA",$B122+1,$B122+1))),F123))</f>
        <v>0</v>
      </c>
      <c r="G122" s="548">
        <f ca="1">(IFERROR(IFERROR(VALUE(_xll.BDH(G$4,"CURRENT_EV_TO_T12M_EBITDA",$B122,$B122)),VALUE(_xll.BDH(G$4,"CURRENT_EV_TO_T12M_EBITDA",$B122+1,$B122+1))),G123))</f>
        <v>0</v>
      </c>
      <c r="H122" s="548">
        <f ca="1">(IFERROR(IFERROR(VALUE(_xll.BDH(H$4,"CURRENT_EV_TO_T12M_EBITDA",$B122,$B122)),VALUE(_xll.BDH(H$4,"CURRENT_EV_TO_T12M_EBITDA",$B122+1,$B122+1))),H123))</f>
        <v>0</v>
      </c>
      <c r="I122" s="552">
        <f t="shared" ca="1" si="35"/>
        <v>45132</v>
      </c>
      <c r="J122" s="548">
        <f ca="1">(IFERROR(IFERROR(VALUE(_xll.BDH(J$4,"PE_RATIO",$B122,$B122)),VALUE(_xll.BDH(J$4,"PE_RATIO",$B122+1,$B122+1))),J123))</f>
        <v>0</v>
      </c>
      <c r="K122" s="548">
        <f ca="1">(IFERROR(IFERROR(VALUE(_xll.BDH(K$4,"PE_RATIO",$B122,$B122)),VALUE(_xll.BDH(K$4,"PE_RATIO",$B122+1,$B122+1))),K123))</f>
        <v>0</v>
      </c>
      <c r="L122" s="548">
        <f ca="1">(IFERROR(IFERROR(VALUE(_xll.BDH(L$4,"PE_RATIO",$B122,$B122)),VALUE(_xll.BDH(L$4,"PE_RATIO",$B122+1,$B122+1))),L123))</f>
        <v>0</v>
      </c>
      <c r="M122" s="548">
        <f ca="1">(IFERROR(IFERROR(VALUE(_xll.BDH(M$4,"PE_RATIO",$B122,$B122)),VALUE(_xll.BDH(M$4,"PE_RATIO",$B122+1,$B122+1))),M123))</f>
        <v>0</v>
      </c>
      <c r="N122" s="548">
        <f ca="1">(IFERROR(IFERROR(VALUE(_xll.BDH(N$4,"PE_RATIO",$B122,$B122)),VALUE(_xll.BDH(N$4,"PE_RATIO",$B122+1,$B122+1))),N123))</f>
        <v>0</v>
      </c>
      <c r="O122" s="548">
        <f ca="1">(IFERROR(IFERROR(VALUE(_xll.BDH(O$4,"PE_RATIO",$B122,$B122)),VALUE(_xll.BDH(O$4,"PE_RATIO",$B122+1,$B122+1))),O123))</f>
        <v>0</v>
      </c>
      <c r="P122" s="548"/>
      <c r="Q122" s="552">
        <f t="shared" ca="1" si="36"/>
        <v>45132</v>
      </c>
      <c r="R122" s="4">
        <v>204.67</v>
      </c>
      <c r="S122" s="4">
        <v>4409.59</v>
      </c>
      <c r="T122" s="4">
        <v>0</v>
      </c>
      <c r="U122" s="4">
        <v>1.0505594908120315</v>
      </c>
      <c r="V122" s="4">
        <v>1.2297984727885276</v>
      </c>
      <c r="W122" s="4" t="e">
        <v>#DIV/0!</v>
      </c>
      <c r="Y122" s="548">
        <f t="shared" si="37"/>
        <v>204.67</v>
      </c>
      <c r="Z122" s="4">
        <f ca="1">IFERROR(VALUE(_xll.BDH(Z$4,"PX_LAST",$Q122,$Q122)),Z123)</f>
        <v>0</v>
      </c>
      <c r="AA122" s="4">
        <f ca="1">IFERROR(VALUE(_xll.BDH(AA$4,"PX_LAST",$Q122,$Q122)),AA123)</f>
        <v>0</v>
      </c>
      <c r="AB122" s="4">
        <f ca="1">IFERROR(VALUE(_xll.BDH(AB$4,"PX_LAST",$Q122,$Q122)),AB123)</f>
        <v>0</v>
      </c>
      <c r="AC122" s="4">
        <f ca="1">IFERROR(VALUE(_xll.BDH(AC$4,"PX_LAST",$Q122,$Q122)),AC123)</f>
        <v>0</v>
      </c>
      <c r="AD122" s="4">
        <f ca="1">IFERROR(VALUE(_xll.BDH(AD$4,"PX_LAST",$Q122,$Q122)),AD123)</f>
        <v>0</v>
      </c>
      <c r="AF122" s="4">
        <f t="shared" si="38"/>
        <v>1.0505594908120315</v>
      </c>
      <c r="AG122" s="4" t="e">
        <f t="shared" ca="1" si="39"/>
        <v>#DIV/0!</v>
      </c>
      <c r="AH122" s="4" t="e">
        <f t="shared" ca="1" si="40"/>
        <v>#DIV/0!</v>
      </c>
      <c r="AI122" s="4" t="e">
        <f t="shared" ca="1" si="41"/>
        <v>#DIV/0!</v>
      </c>
      <c r="AJ122" s="4" t="e">
        <f t="shared" ca="1" si="42"/>
        <v>#DIV/0!</v>
      </c>
      <c r="AK122" s="4" t="e">
        <f t="shared" ca="1" si="43"/>
        <v>#DIV/0!</v>
      </c>
      <c r="AM122" s="550">
        <f t="shared" ca="1" si="33"/>
        <v>45833</v>
      </c>
      <c r="AN122" s="551">
        <v>231.42</v>
      </c>
      <c r="AO122" s="551">
        <v>2007094</v>
      </c>
      <c r="AP122" s="551">
        <v>597.47560999999996</v>
      </c>
      <c r="AQ122" s="551">
        <v>138267.80566619997</v>
      </c>
      <c r="AR122" s="551">
        <v>5.7796000000000003</v>
      </c>
    </row>
    <row r="123" spans="2:44" x14ac:dyDescent="0.3">
      <c r="B123" s="552">
        <f t="shared" ca="1" si="44"/>
        <v>45125</v>
      </c>
      <c r="C123" s="548">
        <f ca="1">(IFERROR(IFERROR(VALUE(_xll.BDH(C$4,"CURRENT_EV_TO_T12M_EBITDA",$B123,$B123)),VALUE(_xll.BDH(C$4,"CURRENT_EV_TO_T12M_EBITDA",$B123+1,$B123+1))),C124))</f>
        <v>0</v>
      </c>
      <c r="D123" s="548">
        <f ca="1">(IFERROR(IFERROR(VALUE(_xll.BDH(D$4,"CURRENT_EV_TO_T12M_EBITDA",$B123,$B123)),VALUE(_xll.BDH(D$4,"CURRENT_EV_TO_T12M_EBITDA",$B123+1,$B123+1))),D124))</f>
        <v>0</v>
      </c>
      <c r="E123" s="548">
        <f ca="1">(IFERROR(IFERROR(VALUE(_xll.BDH(E$4,"CURRENT_EV_TO_T12M_EBITDA",$B123,$B123)),VALUE(_xll.BDH(E$4,"CURRENT_EV_TO_T12M_EBITDA",$B123+1,$B123+1))),E124))</f>
        <v>0</v>
      </c>
      <c r="F123" s="548">
        <f ca="1">(IFERROR(IFERROR(VALUE(_xll.BDH(F$4,"CURRENT_EV_TO_T12M_EBITDA",$B123,$B123)),VALUE(_xll.BDH(F$4,"CURRENT_EV_TO_T12M_EBITDA",$B123+1,$B123+1))),F124))</f>
        <v>0</v>
      </c>
      <c r="G123" s="548">
        <f ca="1">(IFERROR(IFERROR(VALUE(_xll.BDH(G$4,"CURRENT_EV_TO_T12M_EBITDA",$B123,$B123)),VALUE(_xll.BDH(G$4,"CURRENT_EV_TO_T12M_EBITDA",$B123+1,$B123+1))),G124))</f>
        <v>0</v>
      </c>
      <c r="H123" s="548">
        <f ca="1">(IFERROR(IFERROR(VALUE(_xll.BDH(H$4,"CURRENT_EV_TO_T12M_EBITDA",$B123,$B123)),VALUE(_xll.BDH(H$4,"CURRENT_EV_TO_T12M_EBITDA",$B123+1,$B123+1))),H124))</f>
        <v>0</v>
      </c>
      <c r="I123" s="552">
        <f t="shared" ca="1" si="35"/>
        <v>45125</v>
      </c>
      <c r="J123" s="548">
        <f ca="1">(IFERROR(IFERROR(VALUE(_xll.BDH(J$4,"PE_RATIO",$B123,$B123)),VALUE(_xll.BDH(J$4,"PE_RATIO",$B123+1,$B123+1))),J124))</f>
        <v>0</v>
      </c>
      <c r="K123" s="548">
        <f ca="1">(IFERROR(IFERROR(VALUE(_xll.BDH(K$4,"PE_RATIO",$B123,$B123)),VALUE(_xll.BDH(K$4,"PE_RATIO",$B123+1,$B123+1))),K124))</f>
        <v>0</v>
      </c>
      <c r="L123" s="548">
        <f ca="1">(IFERROR(IFERROR(VALUE(_xll.BDH(L$4,"PE_RATIO",$B123,$B123)),VALUE(_xll.BDH(L$4,"PE_RATIO",$B123+1,$B123+1))),L124))</f>
        <v>0</v>
      </c>
      <c r="M123" s="548">
        <f ca="1">(IFERROR(IFERROR(VALUE(_xll.BDH(M$4,"PE_RATIO",$B123,$B123)),VALUE(_xll.BDH(M$4,"PE_RATIO",$B123+1,$B123+1))),M124))</f>
        <v>0</v>
      </c>
      <c r="N123" s="548">
        <f ca="1">(IFERROR(IFERROR(VALUE(_xll.BDH(N$4,"PE_RATIO",$B123,$B123)),VALUE(_xll.BDH(N$4,"PE_RATIO",$B123+1,$B123+1))),N124))</f>
        <v>0</v>
      </c>
      <c r="O123" s="548">
        <f ca="1">(IFERROR(IFERROR(VALUE(_xll.BDH(O$4,"PE_RATIO",$B123,$B123)),VALUE(_xll.BDH(O$4,"PE_RATIO",$B123+1,$B123+1))),O124))</f>
        <v>0</v>
      </c>
      <c r="P123" s="548"/>
      <c r="Q123" s="552">
        <f t="shared" ca="1" si="36"/>
        <v>45125</v>
      </c>
      <c r="R123" s="4">
        <v>199.67</v>
      </c>
      <c r="S123" s="4">
        <v>4298.8599999999997</v>
      </c>
      <c r="T123" s="4">
        <v>0</v>
      </c>
      <c r="U123" s="4">
        <v>1.0248947746637922</v>
      </c>
      <c r="V123" s="4">
        <v>1.1989167842660404</v>
      </c>
      <c r="W123" s="4" t="e">
        <v>#DIV/0!</v>
      </c>
      <c r="Y123" s="548">
        <f t="shared" si="37"/>
        <v>199.67</v>
      </c>
      <c r="Z123" s="4">
        <f ca="1">IFERROR(VALUE(_xll.BDH(Z$4,"PX_LAST",$Q123,$Q123)),Z124)</f>
        <v>0</v>
      </c>
      <c r="AA123" s="4">
        <f ca="1">IFERROR(VALUE(_xll.BDH(AA$4,"PX_LAST",$Q123,$Q123)),AA124)</f>
        <v>0</v>
      </c>
      <c r="AB123" s="4">
        <f ca="1">IFERROR(VALUE(_xll.BDH(AB$4,"PX_LAST",$Q123,$Q123)),AB124)</f>
        <v>0</v>
      </c>
      <c r="AC123" s="4">
        <f ca="1">IFERROR(VALUE(_xll.BDH(AC$4,"PX_LAST",$Q123,$Q123)),AC124)</f>
        <v>0</v>
      </c>
      <c r="AD123" s="4">
        <f ca="1">IFERROR(VALUE(_xll.BDH(AD$4,"PX_LAST",$Q123,$Q123)),AD124)</f>
        <v>0</v>
      </c>
      <c r="AF123" s="4">
        <f t="shared" si="38"/>
        <v>1.0248947746637922</v>
      </c>
      <c r="AG123" s="4" t="e">
        <f t="shared" ca="1" si="39"/>
        <v>#DIV/0!</v>
      </c>
      <c r="AH123" s="4" t="e">
        <f t="shared" ca="1" si="40"/>
        <v>#DIV/0!</v>
      </c>
      <c r="AI123" s="4" t="e">
        <f t="shared" ca="1" si="41"/>
        <v>#DIV/0!</v>
      </c>
      <c r="AJ123" s="4" t="e">
        <f t="shared" ca="1" si="42"/>
        <v>#DIV/0!</v>
      </c>
      <c r="AK123" s="4" t="e">
        <f t="shared" ca="1" si="43"/>
        <v>#DIV/0!</v>
      </c>
      <c r="AM123" s="550">
        <f t="shared" ca="1" si="33"/>
        <v>45832</v>
      </c>
      <c r="AN123" s="551">
        <v>231.42</v>
      </c>
      <c r="AO123" s="551">
        <v>2007094</v>
      </c>
      <c r="AP123" s="551">
        <v>597.47560999999996</v>
      </c>
      <c r="AQ123" s="551">
        <v>138267.80566619997</v>
      </c>
      <c r="AR123" s="551">
        <v>5.7796000000000003</v>
      </c>
    </row>
    <row r="124" spans="2:44" x14ac:dyDescent="0.3">
      <c r="B124" s="552">
        <f t="shared" ca="1" si="44"/>
        <v>45118</v>
      </c>
      <c r="C124" s="548">
        <f ca="1">(IFERROR(IFERROR(VALUE(_xll.BDH(C$4,"CURRENT_EV_TO_T12M_EBITDA",$B124,$B124)),VALUE(_xll.BDH(C$4,"CURRENT_EV_TO_T12M_EBITDA",$B124+1,$B124+1))),C125))</f>
        <v>0</v>
      </c>
      <c r="D124" s="548">
        <f ca="1">(IFERROR(IFERROR(VALUE(_xll.BDH(D$4,"CURRENT_EV_TO_T12M_EBITDA",$B124,$B124)),VALUE(_xll.BDH(D$4,"CURRENT_EV_TO_T12M_EBITDA",$B124+1,$B124+1))),D125))</f>
        <v>0</v>
      </c>
      <c r="E124" s="548">
        <f ca="1">(IFERROR(IFERROR(VALUE(_xll.BDH(E$4,"CURRENT_EV_TO_T12M_EBITDA",$B124,$B124)),VALUE(_xll.BDH(E$4,"CURRENT_EV_TO_T12M_EBITDA",$B124+1,$B124+1))),E125))</f>
        <v>0</v>
      </c>
      <c r="F124" s="548">
        <f ca="1">(IFERROR(IFERROR(VALUE(_xll.BDH(F$4,"CURRENT_EV_TO_T12M_EBITDA",$B124,$B124)),VALUE(_xll.BDH(F$4,"CURRENT_EV_TO_T12M_EBITDA",$B124+1,$B124+1))),F125))</f>
        <v>0</v>
      </c>
      <c r="G124" s="548">
        <f ca="1">(IFERROR(IFERROR(VALUE(_xll.BDH(G$4,"CURRENT_EV_TO_T12M_EBITDA",$B124,$B124)),VALUE(_xll.BDH(G$4,"CURRENT_EV_TO_T12M_EBITDA",$B124+1,$B124+1))),G125))</f>
        <v>0</v>
      </c>
      <c r="H124" s="548">
        <f ca="1">(IFERROR(IFERROR(VALUE(_xll.BDH(H$4,"CURRENT_EV_TO_T12M_EBITDA",$B124,$B124)),VALUE(_xll.BDH(H$4,"CURRENT_EV_TO_T12M_EBITDA",$B124+1,$B124+1))),H125))</f>
        <v>0</v>
      </c>
      <c r="I124" s="552">
        <f t="shared" ca="1" si="35"/>
        <v>45118</v>
      </c>
      <c r="J124" s="548">
        <f ca="1">(IFERROR(IFERROR(VALUE(_xll.BDH(J$4,"PE_RATIO",$B124,$B124)),VALUE(_xll.BDH(J$4,"PE_RATIO",$B124+1,$B124+1))),J125))</f>
        <v>0</v>
      </c>
      <c r="K124" s="548">
        <f ca="1">(IFERROR(IFERROR(VALUE(_xll.BDH(K$4,"PE_RATIO",$B124,$B124)),VALUE(_xll.BDH(K$4,"PE_RATIO",$B124+1,$B124+1))),K125))</f>
        <v>0</v>
      </c>
      <c r="L124" s="548">
        <f ca="1">(IFERROR(IFERROR(VALUE(_xll.BDH(L$4,"PE_RATIO",$B124,$B124)),VALUE(_xll.BDH(L$4,"PE_RATIO",$B124+1,$B124+1))),L125))</f>
        <v>0</v>
      </c>
      <c r="M124" s="548">
        <f ca="1">(IFERROR(IFERROR(VALUE(_xll.BDH(M$4,"PE_RATIO",$B124,$B124)),VALUE(_xll.BDH(M$4,"PE_RATIO",$B124+1,$B124+1))),M125))</f>
        <v>0</v>
      </c>
      <c r="N124" s="548">
        <f ca="1">(IFERROR(IFERROR(VALUE(_xll.BDH(N$4,"PE_RATIO",$B124,$B124)),VALUE(_xll.BDH(N$4,"PE_RATIO",$B124+1,$B124+1))),N125))</f>
        <v>0</v>
      </c>
      <c r="O124" s="548">
        <f ca="1">(IFERROR(IFERROR(VALUE(_xll.BDH(O$4,"PE_RATIO",$B124,$B124)),VALUE(_xll.BDH(O$4,"PE_RATIO",$B124+1,$B124+1))),O125))</f>
        <v>0</v>
      </c>
      <c r="P124" s="548"/>
      <c r="Q124" s="552">
        <f t="shared" ca="1" si="36"/>
        <v>45118</v>
      </c>
      <c r="R124" s="4">
        <v>198.66</v>
      </c>
      <c r="S124" s="4">
        <v>4282.37</v>
      </c>
      <c r="T124" s="4">
        <v>0</v>
      </c>
      <c r="U124" s="4">
        <v>1.019710502001848</v>
      </c>
      <c r="V124" s="4">
        <v>1.1943178585572369</v>
      </c>
      <c r="W124" s="4" t="e">
        <v>#DIV/0!</v>
      </c>
      <c r="Y124" s="548">
        <f t="shared" si="37"/>
        <v>198.66</v>
      </c>
      <c r="Z124" s="4">
        <f ca="1">IFERROR(VALUE(_xll.BDH(Z$4,"PX_LAST",$Q124,$Q124)),Z125)</f>
        <v>0</v>
      </c>
      <c r="AA124" s="4">
        <f ca="1">IFERROR(VALUE(_xll.BDH(AA$4,"PX_LAST",$Q124,$Q124)),AA125)</f>
        <v>0</v>
      </c>
      <c r="AB124" s="4">
        <f ca="1">IFERROR(VALUE(_xll.BDH(AB$4,"PX_LAST",$Q124,$Q124)),AB125)</f>
        <v>0</v>
      </c>
      <c r="AC124" s="4">
        <f ca="1">IFERROR(VALUE(_xll.BDH(AC$4,"PX_LAST",$Q124,$Q124)),AC125)</f>
        <v>0</v>
      </c>
      <c r="AD124" s="4">
        <f ca="1">IFERROR(VALUE(_xll.BDH(AD$4,"PX_LAST",$Q124,$Q124)),AD125)</f>
        <v>0</v>
      </c>
      <c r="AF124" s="4">
        <f t="shared" si="38"/>
        <v>1.019710502001848</v>
      </c>
      <c r="AG124" s="4" t="e">
        <f t="shared" ca="1" si="39"/>
        <v>#DIV/0!</v>
      </c>
      <c r="AH124" s="4" t="e">
        <f t="shared" ca="1" si="40"/>
        <v>#DIV/0!</v>
      </c>
      <c r="AI124" s="4" t="e">
        <f t="shared" ca="1" si="41"/>
        <v>#DIV/0!</v>
      </c>
      <c r="AJ124" s="4" t="e">
        <f t="shared" ca="1" si="42"/>
        <v>#DIV/0!</v>
      </c>
      <c r="AK124" s="4" t="e">
        <f t="shared" ca="1" si="43"/>
        <v>#DIV/0!</v>
      </c>
      <c r="AM124" s="550">
        <f t="shared" ca="1" si="33"/>
        <v>45831</v>
      </c>
      <c r="AN124" s="551">
        <v>230.85</v>
      </c>
      <c r="AO124" s="551">
        <v>2607602</v>
      </c>
      <c r="AP124" s="551">
        <v>597.47560999999996</v>
      </c>
      <c r="AQ124" s="551">
        <v>137927.2445685</v>
      </c>
      <c r="AR124" s="551">
        <v>5.7652999999999999</v>
      </c>
    </row>
    <row r="125" spans="2:44" x14ac:dyDescent="0.3">
      <c r="B125" s="552">
        <f t="shared" ca="1" si="44"/>
        <v>45111</v>
      </c>
      <c r="C125" s="548">
        <f ca="1">(IFERROR(IFERROR(VALUE(_xll.BDH(C$4,"CURRENT_EV_TO_T12M_EBITDA",$B125,$B125)),VALUE(_xll.BDH(C$4,"CURRENT_EV_TO_T12M_EBITDA",$B125+1,$B125+1))),C126))</f>
        <v>0</v>
      </c>
      <c r="D125" s="548">
        <f ca="1">(IFERROR(IFERROR(VALUE(_xll.BDH(D$4,"CURRENT_EV_TO_T12M_EBITDA",$B125,$B125)),VALUE(_xll.BDH(D$4,"CURRENT_EV_TO_T12M_EBITDA",$B125+1,$B125+1))),D126))</f>
        <v>0</v>
      </c>
      <c r="E125" s="548">
        <f ca="1">(IFERROR(IFERROR(VALUE(_xll.BDH(E$4,"CURRENT_EV_TO_T12M_EBITDA",$B125,$B125)),VALUE(_xll.BDH(E$4,"CURRENT_EV_TO_T12M_EBITDA",$B125+1,$B125+1))),E126))</f>
        <v>0</v>
      </c>
      <c r="F125" s="548">
        <f ca="1">(IFERROR(IFERROR(VALUE(_xll.BDH(F$4,"CURRENT_EV_TO_T12M_EBITDA",$B125,$B125)),VALUE(_xll.BDH(F$4,"CURRENT_EV_TO_T12M_EBITDA",$B125+1,$B125+1))),F126))</f>
        <v>0</v>
      </c>
      <c r="G125" s="548">
        <f ca="1">(IFERROR(IFERROR(VALUE(_xll.BDH(G$4,"CURRENT_EV_TO_T12M_EBITDA",$B125,$B125)),VALUE(_xll.BDH(G$4,"CURRENT_EV_TO_T12M_EBITDA",$B125+1,$B125+1))),G126))</f>
        <v>0</v>
      </c>
      <c r="H125" s="548">
        <f ca="1">(IFERROR(IFERROR(VALUE(_xll.BDH(H$4,"CURRENT_EV_TO_T12M_EBITDA",$B125,$B125)),VALUE(_xll.BDH(H$4,"CURRENT_EV_TO_T12M_EBITDA",$B125+1,$B125+1))),H126))</f>
        <v>0</v>
      </c>
      <c r="I125" s="552">
        <f t="shared" ca="1" si="35"/>
        <v>45111</v>
      </c>
      <c r="J125" s="548">
        <f ca="1">(IFERROR(IFERROR(VALUE(_xll.BDH(J$4,"PE_RATIO",$B125,$B125)),VALUE(_xll.BDH(J$4,"PE_RATIO",$B125+1,$B125+1))),J126))</f>
        <v>0</v>
      </c>
      <c r="K125" s="548">
        <f ca="1">(IFERROR(IFERROR(VALUE(_xll.BDH(K$4,"PE_RATIO",$B125,$B125)),VALUE(_xll.BDH(K$4,"PE_RATIO",$B125+1,$B125+1))),K126))</f>
        <v>0</v>
      </c>
      <c r="L125" s="548">
        <f ca="1">(IFERROR(IFERROR(VALUE(_xll.BDH(L$4,"PE_RATIO",$B125,$B125)),VALUE(_xll.BDH(L$4,"PE_RATIO",$B125+1,$B125+1))),L126))</f>
        <v>0</v>
      </c>
      <c r="M125" s="548">
        <f ca="1">(IFERROR(IFERROR(VALUE(_xll.BDH(M$4,"PE_RATIO",$B125,$B125)),VALUE(_xll.BDH(M$4,"PE_RATIO",$B125+1,$B125+1))),M126))</f>
        <v>0</v>
      </c>
      <c r="N125" s="548">
        <f ca="1">(IFERROR(IFERROR(VALUE(_xll.BDH(N$4,"PE_RATIO",$B125,$B125)),VALUE(_xll.BDH(N$4,"PE_RATIO",$B125+1,$B125+1))),N126))</f>
        <v>0</v>
      </c>
      <c r="O125" s="548">
        <f ca="1">(IFERROR(IFERROR(VALUE(_xll.BDH(O$4,"PE_RATIO",$B125,$B125)),VALUE(_xll.BDH(O$4,"PE_RATIO",$B125+1,$B125+1))),O126))</f>
        <v>0</v>
      </c>
      <c r="P125" s="548"/>
      <c r="Q125" s="552">
        <f t="shared" ca="1" si="36"/>
        <v>45111</v>
      </c>
      <c r="R125" s="4">
        <v>193.1</v>
      </c>
      <c r="S125" s="4">
        <v>4205.45</v>
      </c>
      <c r="T125" s="4">
        <v>0</v>
      </c>
      <c r="U125" s="4">
        <v>0.99117133764500565</v>
      </c>
      <c r="V125" s="4">
        <v>1.1728655016426726</v>
      </c>
      <c r="W125" s="4" t="e">
        <v>#DIV/0!</v>
      </c>
      <c r="Y125" s="548">
        <f t="shared" si="37"/>
        <v>193.1</v>
      </c>
      <c r="Z125" s="4">
        <f ca="1">IFERROR(VALUE(_xll.BDH(Z$4,"PX_LAST",$Q125,$Q125)),Z126)</f>
        <v>0</v>
      </c>
      <c r="AA125" s="4">
        <f ca="1">IFERROR(VALUE(_xll.BDH(AA$4,"PX_LAST",$Q125,$Q125)),AA126)</f>
        <v>0</v>
      </c>
      <c r="AB125" s="4">
        <f ca="1">IFERROR(VALUE(_xll.BDH(AB$4,"PX_LAST",$Q125,$Q125)),AB126)</f>
        <v>0</v>
      </c>
      <c r="AC125" s="4">
        <f ca="1">IFERROR(VALUE(_xll.BDH(AC$4,"PX_LAST",$Q125,$Q125)),AC126)</f>
        <v>0</v>
      </c>
      <c r="AD125" s="4">
        <f ca="1">IFERROR(VALUE(_xll.BDH(AD$4,"PX_LAST",$Q125,$Q125)),AD126)</f>
        <v>0</v>
      </c>
      <c r="AF125" s="4">
        <f t="shared" si="38"/>
        <v>0.99117133764500565</v>
      </c>
      <c r="AG125" s="4" t="e">
        <f t="shared" ca="1" si="39"/>
        <v>#DIV/0!</v>
      </c>
      <c r="AH125" s="4" t="e">
        <f t="shared" ca="1" si="40"/>
        <v>#DIV/0!</v>
      </c>
      <c r="AI125" s="4" t="e">
        <f t="shared" ca="1" si="41"/>
        <v>#DIV/0!</v>
      </c>
      <c r="AJ125" s="4" t="e">
        <f t="shared" ca="1" si="42"/>
        <v>#DIV/0!</v>
      </c>
      <c r="AK125" s="4" t="e">
        <f t="shared" ca="1" si="43"/>
        <v>#DIV/0!</v>
      </c>
      <c r="AM125" s="550">
        <f t="shared" ca="1" si="33"/>
        <v>45830</v>
      </c>
      <c r="AN125" s="551">
        <v>228.34</v>
      </c>
      <c r="AO125" s="551">
        <v>3252995</v>
      </c>
      <c r="AP125" s="551">
        <v>597.47560999999996</v>
      </c>
      <c r="AQ125" s="551">
        <v>136427.58078739999</v>
      </c>
      <c r="AR125" s="551">
        <v>5.7027000000000001</v>
      </c>
    </row>
    <row r="126" spans="2:44" x14ac:dyDescent="0.3">
      <c r="B126" s="552">
        <f t="shared" ca="1" si="44"/>
        <v>45104</v>
      </c>
      <c r="C126" s="548">
        <f ca="1">(IFERROR(IFERROR(VALUE(_xll.BDH(C$4,"CURRENT_EV_TO_T12M_EBITDA",$B126,$B126)),VALUE(_xll.BDH(C$4,"CURRENT_EV_TO_T12M_EBITDA",$B126+1,$B126+1))),C127))</f>
        <v>0</v>
      </c>
      <c r="D126" s="548">
        <f ca="1">(IFERROR(IFERROR(VALUE(_xll.BDH(D$4,"CURRENT_EV_TO_T12M_EBITDA",$B126,$B126)),VALUE(_xll.BDH(D$4,"CURRENT_EV_TO_T12M_EBITDA",$B126+1,$B126+1))),D127))</f>
        <v>0</v>
      </c>
      <c r="E126" s="548">
        <f ca="1">(IFERROR(IFERROR(VALUE(_xll.BDH(E$4,"CURRENT_EV_TO_T12M_EBITDA",$B126,$B126)),VALUE(_xll.BDH(E$4,"CURRENT_EV_TO_T12M_EBITDA",$B126+1,$B126+1))),E127))</f>
        <v>0</v>
      </c>
      <c r="F126" s="548">
        <f ca="1">(IFERROR(IFERROR(VALUE(_xll.BDH(F$4,"CURRENT_EV_TO_T12M_EBITDA",$B126,$B126)),VALUE(_xll.BDH(F$4,"CURRENT_EV_TO_T12M_EBITDA",$B126+1,$B126+1))),F127))</f>
        <v>0</v>
      </c>
      <c r="G126" s="548">
        <f ca="1">(IFERROR(IFERROR(VALUE(_xll.BDH(G$4,"CURRENT_EV_TO_T12M_EBITDA",$B126,$B126)),VALUE(_xll.BDH(G$4,"CURRENT_EV_TO_T12M_EBITDA",$B126+1,$B126+1))),G127))</f>
        <v>0</v>
      </c>
      <c r="H126" s="548">
        <f ca="1">(IFERROR(IFERROR(VALUE(_xll.BDH(H$4,"CURRENT_EV_TO_T12M_EBITDA",$B126,$B126)),VALUE(_xll.BDH(H$4,"CURRENT_EV_TO_T12M_EBITDA",$B126+1,$B126+1))),H127))</f>
        <v>0</v>
      </c>
      <c r="I126" s="552">
        <f t="shared" ca="1" si="35"/>
        <v>45104</v>
      </c>
      <c r="J126" s="548">
        <f ca="1">(IFERROR(IFERROR(VALUE(_xll.BDH(J$4,"PE_RATIO",$B126,$B126)),VALUE(_xll.BDH(J$4,"PE_RATIO",$B126+1,$B126+1))),J127))</f>
        <v>0</v>
      </c>
      <c r="K126" s="548">
        <f ca="1">(IFERROR(IFERROR(VALUE(_xll.BDH(K$4,"PE_RATIO",$B126,$B126)),VALUE(_xll.BDH(K$4,"PE_RATIO",$B126+1,$B126+1))),K127))</f>
        <v>0</v>
      </c>
      <c r="L126" s="548">
        <f ca="1">(IFERROR(IFERROR(VALUE(_xll.BDH(L$4,"PE_RATIO",$B126,$B126)),VALUE(_xll.BDH(L$4,"PE_RATIO",$B126+1,$B126+1))),L127))</f>
        <v>0</v>
      </c>
      <c r="M126" s="548">
        <f ca="1">(IFERROR(IFERROR(VALUE(_xll.BDH(M$4,"PE_RATIO",$B126,$B126)),VALUE(_xll.BDH(M$4,"PE_RATIO",$B126+1,$B126+1))),M127))</f>
        <v>0</v>
      </c>
      <c r="N126" s="548">
        <f ca="1">(IFERROR(IFERROR(VALUE(_xll.BDH(N$4,"PE_RATIO",$B126,$B126)),VALUE(_xll.BDH(N$4,"PE_RATIO",$B126+1,$B126+1))),N127))</f>
        <v>0</v>
      </c>
      <c r="O126" s="548">
        <f ca="1">(IFERROR(IFERROR(VALUE(_xll.BDH(O$4,"PE_RATIO",$B126,$B126)),VALUE(_xll.BDH(O$4,"PE_RATIO",$B126+1,$B126+1))),O127))</f>
        <v>0</v>
      </c>
      <c r="P126" s="548"/>
      <c r="Q126" s="552">
        <f t="shared" ca="1" si="36"/>
        <v>45104</v>
      </c>
      <c r="R126" s="4">
        <v>198.97</v>
      </c>
      <c r="S126" s="4">
        <v>4191.9799999999996</v>
      </c>
      <c r="T126" s="4">
        <v>0</v>
      </c>
      <c r="U126" s="4">
        <v>1.0213017144030387</v>
      </c>
      <c r="V126" s="4">
        <v>1.1691088291564637</v>
      </c>
      <c r="W126" s="4" t="e">
        <v>#DIV/0!</v>
      </c>
      <c r="Y126" s="548">
        <f t="shared" si="37"/>
        <v>198.97</v>
      </c>
      <c r="Z126" s="4">
        <f ca="1">IFERROR(VALUE(_xll.BDH(Z$4,"PX_LAST",$Q126,$Q126)),Z127)</f>
        <v>0</v>
      </c>
      <c r="AA126" s="4">
        <f ca="1">IFERROR(VALUE(_xll.BDH(AA$4,"PX_LAST",$Q126,$Q126)),AA127)</f>
        <v>0</v>
      </c>
      <c r="AB126" s="4">
        <f ca="1">IFERROR(VALUE(_xll.BDH(AB$4,"PX_LAST",$Q126,$Q126)),AB127)</f>
        <v>0</v>
      </c>
      <c r="AC126" s="4">
        <f ca="1">IFERROR(VALUE(_xll.BDH(AC$4,"PX_LAST",$Q126,$Q126)),AC127)</f>
        <v>0</v>
      </c>
      <c r="AD126" s="4">
        <f ca="1">IFERROR(VALUE(_xll.BDH(AD$4,"PX_LAST",$Q126,$Q126)),AD127)</f>
        <v>0</v>
      </c>
      <c r="AF126" s="4">
        <f t="shared" si="38"/>
        <v>1.0213017144030387</v>
      </c>
      <c r="AG126" s="4" t="e">
        <f t="shared" ca="1" si="39"/>
        <v>#DIV/0!</v>
      </c>
      <c r="AH126" s="4" t="e">
        <f t="shared" ca="1" si="40"/>
        <v>#DIV/0!</v>
      </c>
      <c r="AI126" s="4" t="e">
        <f t="shared" ca="1" si="41"/>
        <v>#DIV/0!</v>
      </c>
      <c r="AJ126" s="4" t="e">
        <f t="shared" ca="1" si="42"/>
        <v>#DIV/0!</v>
      </c>
      <c r="AK126" s="4" t="e">
        <f t="shared" ca="1" si="43"/>
        <v>#DIV/0!</v>
      </c>
      <c r="AM126" s="550">
        <f t="shared" ca="1" si="33"/>
        <v>45829</v>
      </c>
      <c r="AN126" s="551">
        <v>228.25</v>
      </c>
      <c r="AO126" s="551">
        <v>3028173</v>
      </c>
      <c r="AP126" s="551">
        <v>597.47560999999996</v>
      </c>
      <c r="AQ126" s="551">
        <v>136373.8079825</v>
      </c>
      <c r="AR126" s="551">
        <v>5.7004000000000001</v>
      </c>
    </row>
    <row r="127" spans="2:44" x14ac:dyDescent="0.3">
      <c r="B127" s="552">
        <f t="shared" ca="1" si="44"/>
        <v>45097</v>
      </c>
      <c r="C127" s="548">
        <f ca="1">(IFERROR(IFERROR(VALUE(_xll.BDH(C$4,"CURRENT_EV_TO_T12M_EBITDA",$B127,$B127)),VALUE(_xll.BDH(C$4,"CURRENT_EV_TO_T12M_EBITDA",$B127+1,$B127+1))),C128))</f>
        <v>0</v>
      </c>
      <c r="D127" s="548">
        <f ca="1">(IFERROR(IFERROR(VALUE(_xll.BDH(D$4,"CURRENT_EV_TO_T12M_EBITDA",$B127,$B127)),VALUE(_xll.BDH(D$4,"CURRENT_EV_TO_T12M_EBITDA",$B127+1,$B127+1))),D128))</f>
        <v>0</v>
      </c>
      <c r="E127" s="548">
        <f ca="1">(IFERROR(IFERROR(VALUE(_xll.BDH(E$4,"CURRENT_EV_TO_T12M_EBITDA",$B127,$B127)),VALUE(_xll.BDH(E$4,"CURRENT_EV_TO_T12M_EBITDA",$B127+1,$B127+1))),E128))</f>
        <v>0</v>
      </c>
      <c r="F127" s="548">
        <f ca="1">(IFERROR(IFERROR(VALUE(_xll.BDH(F$4,"CURRENT_EV_TO_T12M_EBITDA",$B127,$B127)),VALUE(_xll.BDH(F$4,"CURRENT_EV_TO_T12M_EBITDA",$B127+1,$B127+1))),F128))</f>
        <v>0</v>
      </c>
      <c r="G127" s="548">
        <f ca="1">(IFERROR(IFERROR(VALUE(_xll.BDH(G$4,"CURRENT_EV_TO_T12M_EBITDA",$B127,$B127)),VALUE(_xll.BDH(G$4,"CURRENT_EV_TO_T12M_EBITDA",$B127+1,$B127+1))),G128))</f>
        <v>0</v>
      </c>
      <c r="H127" s="548">
        <f ca="1">(IFERROR(IFERROR(VALUE(_xll.BDH(H$4,"CURRENT_EV_TO_T12M_EBITDA",$B127,$B127)),VALUE(_xll.BDH(H$4,"CURRENT_EV_TO_T12M_EBITDA",$B127+1,$B127+1))),H128))</f>
        <v>0</v>
      </c>
      <c r="I127" s="552">
        <f t="shared" ca="1" si="35"/>
        <v>45097</v>
      </c>
      <c r="J127" s="548">
        <f ca="1">(IFERROR(IFERROR(VALUE(_xll.BDH(J$4,"PE_RATIO",$B127,$B127)),VALUE(_xll.BDH(J$4,"PE_RATIO",$B127+1,$B127+1))),J128))</f>
        <v>0</v>
      </c>
      <c r="K127" s="548">
        <f ca="1">(IFERROR(IFERROR(VALUE(_xll.BDH(K$4,"PE_RATIO",$B127,$B127)),VALUE(_xll.BDH(K$4,"PE_RATIO",$B127+1,$B127+1))),K128))</f>
        <v>0</v>
      </c>
      <c r="L127" s="548">
        <f ca="1">(IFERROR(IFERROR(VALUE(_xll.BDH(L$4,"PE_RATIO",$B127,$B127)),VALUE(_xll.BDH(L$4,"PE_RATIO",$B127+1,$B127+1))),L128))</f>
        <v>0</v>
      </c>
      <c r="M127" s="548">
        <f ca="1">(IFERROR(IFERROR(VALUE(_xll.BDH(M$4,"PE_RATIO",$B127,$B127)),VALUE(_xll.BDH(M$4,"PE_RATIO",$B127+1,$B127+1))),M128))</f>
        <v>0</v>
      </c>
      <c r="N127" s="548">
        <f ca="1">(IFERROR(IFERROR(VALUE(_xll.BDH(N$4,"PE_RATIO",$B127,$B127)),VALUE(_xll.BDH(N$4,"PE_RATIO",$B127+1,$B127+1))),N128))</f>
        <v>0</v>
      </c>
      <c r="O127" s="548">
        <f ca="1">(IFERROR(IFERROR(VALUE(_xll.BDH(O$4,"PE_RATIO",$B127,$B127)),VALUE(_xll.BDH(O$4,"PE_RATIO",$B127+1,$B127+1))),O128))</f>
        <v>0</v>
      </c>
      <c r="P127" s="548"/>
      <c r="Q127" s="552">
        <f t="shared" ca="1" si="36"/>
        <v>45097</v>
      </c>
      <c r="R127" s="4">
        <v>198.99</v>
      </c>
      <c r="S127" s="4">
        <v>4124.08</v>
      </c>
      <c r="T127" s="4">
        <v>0</v>
      </c>
      <c r="U127" s="4">
        <v>1.0214043732676317</v>
      </c>
      <c r="V127" s="4">
        <v>1.1501720762378613</v>
      </c>
      <c r="W127" s="4" t="e">
        <v>#DIV/0!</v>
      </c>
      <c r="Y127" s="548">
        <f t="shared" si="37"/>
        <v>198.99</v>
      </c>
      <c r="Z127" s="4">
        <f ca="1">IFERROR(VALUE(_xll.BDH(Z$4,"PX_LAST",$Q127,$Q127)),Z128)</f>
        <v>0</v>
      </c>
      <c r="AA127" s="4">
        <f ca="1">IFERROR(VALUE(_xll.BDH(AA$4,"PX_LAST",$Q127,$Q127)),AA128)</f>
        <v>0</v>
      </c>
      <c r="AB127" s="4">
        <f ca="1">IFERROR(VALUE(_xll.BDH(AB$4,"PX_LAST",$Q127,$Q127)),AB128)</f>
        <v>0</v>
      </c>
      <c r="AC127" s="4">
        <f ca="1">IFERROR(VALUE(_xll.BDH(AC$4,"PX_LAST",$Q127,$Q127)),AC128)</f>
        <v>0</v>
      </c>
      <c r="AD127" s="4">
        <f ca="1">IFERROR(VALUE(_xll.BDH(AD$4,"PX_LAST",$Q127,$Q127)),AD128)</f>
        <v>0</v>
      </c>
      <c r="AF127" s="4">
        <f t="shared" si="38"/>
        <v>1.0214043732676317</v>
      </c>
      <c r="AG127" s="4" t="e">
        <f t="shared" ca="1" si="39"/>
        <v>#DIV/0!</v>
      </c>
      <c r="AH127" s="4" t="e">
        <f t="shared" ca="1" si="40"/>
        <v>#DIV/0!</v>
      </c>
      <c r="AI127" s="4" t="e">
        <f t="shared" ca="1" si="41"/>
        <v>#DIV/0!</v>
      </c>
      <c r="AJ127" s="4" t="e">
        <f t="shared" ca="1" si="42"/>
        <v>#DIV/0!</v>
      </c>
      <c r="AK127" s="4" t="e">
        <f t="shared" ca="1" si="43"/>
        <v>#DIV/0!</v>
      </c>
      <c r="AM127" s="550">
        <f t="shared" ca="1" si="33"/>
        <v>45828</v>
      </c>
      <c r="AN127" s="551">
        <v>230.87</v>
      </c>
      <c r="AO127" s="551">
        <v>4965928</v>
      </c>
      <c r="AP127" s="551">
        <v>597.47560999999996</v>
      </c>
      <c r="AQ127" s="551">
        <v>137939.19408069999</v>
      </c>
      <c r="AR127" s="551">
        <v>5.7657999999999996</v>
      </c>
    </row>
    <row r="128" spans="2:44" x14ac:dyDescent="0.3">
      <c r="B128" s="552">
        <f t="shared" ca="1" si="44"/>
        <v>45090</v>
      </c>
      <c r="C128" s="548">
        <f ca="1">(IFERROR(IFERROR(VALUE(_xll.BDH(C$4,"CURRENT_EV_TO_T12M_EBITDA",$B128,$B128)),VALUE(_xll.BDH(C$4,"CURRENT_EV_TO_T12M_EBITDA",$B128+1,$B128+1))),C129))</f>
        <v>0</v>
      </c>
      <c r="D128" s="548">
        <f ca="1">(IFERROR(IFERROR(VALUE(_xll.BDH(D$4,"CURRENT_EV_TO_T12M_EBITDA",$B128,$B128)),VALUE(_xll.BDH(D$4,"CURRENT_EV_TO_T12M_EBITDA",$B128+1,$B128+1))),D129))</f>
        <v>0</v>
      </c>
      <c r="E128" s="548">
        <f ca="1">(IFERROR(IFERROR(VALUE(_xll.BDH(E$4,"CURRENT_EV_TO_T12M_EBITDA",$B128,$B128)),VALUE(_xll.BDH(E$4,"CURRENT_EV_TO_T12M_EBITDA",$B128+1,$B128+1))),E129))</f>
        <v>0</v>
      </c>
      <c r="F128" s="548">
        <f ca="1">(IFERROR(IFERROR(VALUE(_xll.BDH(F$4,"CURRENT_EV_TO_T12M_EBITDA",$B128,$B128)),VALUE(_xll.BDH(F$4,"CURRENT_EV_TO_T12M_EBITDA",$B128+1,$B128+1))),F129))</f>
        <v>0</v>
      </c>
      <c r="G128" s="548">
        <f ca="1">(IFERROR(IFERROR(VALUE(_xll.BDH(G$4,"CURRENT_EV_TO_T12M_EBITDA",$B128,$B128)),VALUE(_xll.BDH(G$4,"CURRENT_EV_TO_T12M_EBITDA",$B128+1,$B128+1))),G129))</f>
        <v>0</v>
      </c>
      <c r="H128" s="548">
        <f ca="1">(IFERROR(IFERROR(VALUE(_xll.BDH(H$4,"CURRENT_EV_TO_T12M_EBITDA",$B128,$B128)),VALUE(_xll.BDH(H$4,"CURRENT_EV_TO_T12M_EBITDA",$B128+1,$B128+1))),H129))</f>
        <v>0</v>
      </c>
      <c r="I128" s="552">
        <f t="shared" ca="1" si="35"/>
        <v>45090</v>
      </c>
      <c r="J128" s="548">
        <f ca="1">(IFERROR(IFERROR(VALUE(_xll.BDH(J$4,"PE_RATIO",$B128,$B128)),VALUE(_xll.BDH(J$4,"PE_RATIO",$B128+1,$B128+1))),J129))</f>
        <v>0</v>
      </c>
      <c r="K128" s="548">
        <f ca="1">(IFERROR(IFERROR(VALUE(_xll.BDH(K$4,"PE_RATIO",$B128,$B128)),VALUE(_xll.BDH(K$4,"PE_RATIO",$B128+1,$B128+1))),K129))</f>
        <v>0</v>
      </c>
      <c r="L128" s="548">
        <f ca="1">(IFERROR(IFERROR(VALUE(_xll.BDH(L$4,"PE_RATIO",$B128,$B128)),VALUE(_xll.BDH(L$4,"PE_RATIO",$B128+1,$B128+1))),L129))</f>
        <v>0</v>
      </c>
      <c r="M128" s="548">
        <f ca="1">(IFERROR(IFERROR(VALUE(_xll.BDH(M$4,"PE_RATIO",$B128,$B128)),VALUE(_xll.BDH(M$4,"PE_RATIO",$B128+1,$B128+1))),M129))</f>
        <v>0</v>
      </c>
      <c r="N128" s="548">
        <f ca="1">(IFERROR(IFERROR(VALUE(_xll.BDH(N$4,"PE_RATIO",$B128,$B128)),VALUE(_xll.BDH(N$4,"PE_RATIO",$B128+1,$B128+1))),N129))</f>
        <v>0</v>
      </c>
      <c r="O128" s="548">
        <f ca="1">(IFERROR(IFERROR(VALUE(_xll.BDH(O$4,"PE_RATIO",$B128,$B128)),VALUE(_xll.BDH(O$4,"PE_RATIO",$B128+1,$B128+1))),O129))</f>
        <v>0</v>
      </c>
      <c r="P128" s="548"/>
      <c r="Q128" s="552">
        <f t="shared" ca="1" si="36"/>
        <v>45090</v>
      </c>
      <c r="R128" s="4">
        <v>201.23</v>
      </c>
      <c r="S128" s="4">
        <v>4136.25</v>
      </c>
      <c r="T128" s="4">
        <v>0</v>
      </c>
      <c r="U128" s="4">
        <v>1.032902166102043</v>
      </c>
      <c r="V128" s="4">
        <v>1.1535661893898406</v>
      </c>
      <c r="W128" s="4" t="e">
        <v>#DIV/0!</v>
      </c>
      <c r="Y128" s="548">
        <f t="shared" si="37"/>
        <v>201.23</v>
      </c>
      <c r="Z128" s="4">
        <f ca="1">IFERROR(VALUE(_xll.BDH(Z$4,"PX_LAST",$Q128,$Q128)),Z129)</f>
        <v>0</v>
      </c>
      <c r="AA128" s="4">
        <f ca="1">IFERROR(VALUE(_xll.BDH(AA$4,"PX_LAST",$Q128,$Q128)),AA129)</f>
        <v>0</v>
      </c>
      <c r="AB128" s="4">
        <f ca="1">IFERROR(VALUE(_xll.BDH(AB$4,"PX_LAST",$Q128,$Q128)),AB129)</f>
        <v>0</v>
      </c>
      <c r="AC128" s="4">
        <f ca="1">IFERROR(VALUE(_xll.BDH(AC$4,"PX_LAST",$Q128,$Q128)),AC129)</f>
        <v>0</v>
      </c>
      <c r="AD128" s="4">
        <f ca="1">IFERROR(VALUE(_xll.BDH(AD$4,"PX_LAST",$Q128,$Q128)),AD129)</f>
        <v>0</v>
      </c>
      <c r="AF128" s="4">
        <f t="shared" si="38"/>
        <v>1.032902166102043</v>
      </c>
      <c r="AG128" s="4" t="e">
        <f t="shared" ca="1" si="39"/>
        <v>#DIV/0!</v>
      </c>
      <c r="AH128" s="4" t="e">
        <f t="shared" ca="1" si="40"/>
        <v>#DIV/0!</v>
      </c>
      <c r="AI128" s="4" t="e">
        <f t="shared" ca="1" si="41"/>
        <v>#DIV/0!</v>
      </c>
      <c r="AJ128" s="4" t="e">
        <f t="shared" ca="1" si="42"/>
        <v>#DIV/0!</v>
      </c>
      <c r="AK128" s="4" t="e">
        <f t="shared" ca="1" si="43"/>
        <v>#DIV/0!</v>
      </c>
      <c r="AM128" s="550">
        <f t="shared" ca="1" si="33"/>
        <v>45827</v>
      </c>
      <c r="AN128" s="551">
        <v>216.32</v>
      </c>
      <c r="AO128" s="551">
        <v>2172946</v>
      </c>
      <c r="AP128" s="551">
        <v>597.47560999999996</v>
      </c>
      <c r="AQ128" s="551">
        <v>129245.92395519999</v>
      </c>
      <c r="AR128" s="551">
        <v>5.4024999999999999</v>
      </c>
    </row>
    <row r="129" spans="2:44" x14ac:dyDescent="0.3">
      <c r="B129" s="552">
        <f t="shared" ca="1" si="44"/>
        <v>45083</v>
      </c>
      <c r="C129" s="548">
        <f ca="1">(IFERROR(IFERROR(VALUE(_xll.BDH(C$4,"CURRENT_EV_TO_T12M_EBITDA",$B129,$B129)),VALUE(_xll.BDH(C$4,"CURRENT_EV_TO_T12M_EBITDA",$B129+1,$B129+1))),C130))</f>
        <v>0</v>
      </c>
      <c r="D129" s="548">
        <f ca="1">(IFERROR(IFERROR(VALUE(_xll.BDH(D$4,"CURRENT_EV_TO_T12M_EBITDA",$B129,$B129)),VALUE(_xll.BDH(D$4,"CURRENT_EV_TO_T12M_EBITDA",$B129+1,$B129+1))),D130))</f>
        <v>0</v>
      </c>
      <c r="E129" s="548">
        <f ca="1">(IFERROR(IFERROR(VALUE(_xll.BDH(E$4,"CURRENT_EV_TO_T12M_EBITDA",$B129,$B129)),VALUE(_xll.BDH(E$4,"CURRENT_EV_TO_T12M_EBITDA",$B129+1,$B129+1))),E130))</f>
        <v>0</v>
      </c>
      <c r="F129" s="548">
        <f ca="1">(IFERROR(IFERROR(VALUE(_xll.BDH(F$4,"CURRENT_EV_TO_T12M_EBITDA",$B129,$B129)),VALUE(_xll.BDH(F$4,"CURRENT_EV_TO_T12M_EBITDA",$B129+1,$B129+1))),F130))</f>
        <v>0</v>
      </c>
      <c r="G129" s="548">
        <f ca="1">(IFERROR(IFERROR(VALUE(_xll.BDH(G$4,"CURRENT_EV_TO_T12M_EBITDA",$B129,$B129)),VALUE(_xll.BDH(G$4,"CURRENT_EV_TO_T12M_EBITDA",$B129+1,$B129+1))),G130))</f>
        <v>0</v>
      </c>
      <c r="H129" s="548">
        <f ca="1">(IFERROR(IFERROR(VALUE(_xll.BDH(H$4,"CURRENT_EV_TO_T12M_EBITDA",$B129,$B129)),VALUE(_xll.BDH(H$4,"CURRENT_EV_TO_T12M_EBITDA",$B129+1,$B129+1))),H130))</f>
        <v>0</v>
      </c>
      <c r="I129" s="552">
        <f t="shared" ca="1" si="35"/>
        <v>45083</v>
      </c>
      <c r="J129" s="548">
        <f ca="1">(IFERROR(IFERROR(VALUE(_xll.BDH(J$4,"PE_RATIO",$B129,$B129)),VALUE(_xll.BDH(J$4,"PE_RATIO",$B129+1,$B129+1))),J130))</f>
        <v>0</v>
      </c>
      <c r="K129" s="548">
        <f ca="1">(IFERROR(IFERROR(VALUE(_xll.BDH(K$4,"PE_RATIO",$B129,$B129)),VALUE(_xll.BDH(K$4,"PE_RATIO",$B129+1,$B129+1))),K130))</f>
        <v>0</v>
      </c>
      <c r="L129" s="548">
        <f ca="1">(IFERROR(IFERROR(VALUE(_xll.BDH(L$4,"PE_RATIO",$B129,$B129)),VALUE(_xll.BDH(L$4,"PE_RATIO",$B129+1,$B129+1))),L130))</f>
        <v>0</v>
      </c>
      <c r="M129" s="548">
        <f ca="1">(IFERROR(IFERROR(VALUE(_xll.BDH(M$4,"PE_RATIO",$B129,$B129)),VALUE(_xll.BDH(M$4,"PE_RATIO",$B129+1,$B129+1))),M130))</f>
        <v>0</v>
      </c>
      <c r="N129" s="548">
        <f ca="1">(IFERROR(IFERROR(VALUE(_xll.BDH(N$4,"PE_RATIO",$B129,$B129)),VALUE(_xll.BDH(N$4,"PE_RATIO",$B129+1,$B129+1))),N130))</f>
        <v>0</v>
      </c>
      <c r="O129" s="548">
        <f ca="1">(IFERROR(IFERROR(VALUE(_xll.BDH(O$4,"PE_RATIO",$B129,$B129)),VALUE(_xll.BDH(O$4,"PE_RATIO",$B129+1,$B129+1))),O130))</f>
        <v>0</v>
      </c>
      <c r="P129" s="548"/>
      <c r="Q129" s="552">
        <f t="shared" ca="1" si="36"/>
        <v>45083</v>
      </c>
      <c r="R129" s="4">
        <v>195.7</v>
      </c>
      <c r="S129" s="4">
        <v>4169.4799999999996</v>
      </c>
      <c r="T129" s="4">
        <v>0</v>
      </c>
      <c r="U129" s="4">
        <v>1.0045169900420901</v>
      </c>
      <c r="V129" s="4">
        <v>1.1628337637563377</v>
      </c>
      <c r="W129" s="4" t="e">
        <v>#DIV/0!</v>
      </c>
      <c r="Y129" s="548">
        <f t="shared" si="37"/>
        <v>195.7</v>
      </c>
      <c r="Z129" s="4">
        <f ca="1">IFERROR(VALUE(_xll.BDH(Z$4,"PX_LAST",$Q129,$Q129)),Z130)</f>
        <v>0</v>
      </c>
      <c r="AA129" s="4">
        <f ca="1">IFERROR(VALUE(_xll.BDH(AA$4,"PX_LAST",$Q129,$Q129)),AA130)</f>
        <v>0</v>
      </c>
      <c r="AB129" s="4">
        <f ca="1">IFERROR(VALUE(_xll.BDH(AB$4,"PX_LAST",$Q129,$Q129)),AB130)</f>
        <v>0</v>
      </c>
      <c r="AC129" s="4">
        <f ca="1">IFERROR(VALUE(_xll.BDH(AC$4,"PX_LAST",$Q129,$Q129)),AC130)</f>
        <v>0</v>
      </c>
      <c r="AD129" s="4">
        <f ca="1">IFERROR(VALUE(_xll.BDH(AD$4,"PX_LAST",$Q129,$Q129)),AD130)</f>
        <v>0</v>
      </c>
      <c r="AF129" s="4">
        <f t="shared" si="38"/>
        <v>1.0045169900420901</v>
      </c>
      <c r="AG129" s="4" t="e">
        <f t="shared" ca="1" si="39"/>
        <v>#DIV/0!</v>
      </c>
      <c r="AH129" s="4" t="e">
        <f t="shared" ca="1" si="40"/>
        <v>#DIV/0!</v>
      </c>
      <c r="AI129" s="4" t="e">
        <f t="shared" ca="1" si="41"/>
        <v>#DIV/0!</v>
      </c>
      <c r="AJ129" s="4" t="e">
        <f t="shared" ca="1" si="42"/>
        <v>#DIV/0!</v>
      </c>
      <c r="AK129" s="4" t="e">
        <f t="shared" ca="1" si="43"/>
        <v>#DIV/0!</v>
      </c>
      <c r="AM129" s="550">
        <f t="shared" ca="1" si="33"/>
        <v>45826</v>
      </c>
      <c r="AN129" s="551">
        <v>216.32</v>
      </c>
      <c r="AO129" s="551">
        <v>2172946</v>
      </c>
      <c r="AP129" s="551">
        <v>597.47560999999996</v>
      </c>
      <c r="AQ129" s="551">
        <v>129245.92395519999</v>
      </c>
      <c r="AR129" s="551">
        <v>5.4024999999999999</v>
      </c>
    </row>
    <row r="130" spans="2:44" x14ac:dyDescent="0.3">
      <c r="B130" s="552">
        <f t="shared" ca="1" si="44"/>
        <v>45076</v>
      </c>
      <c r="C130" s="548">
        <f ca="1">(IFERROR(IFERROR(VALUE(_xll.BDH(C$4,"CURRENT_EV_TO_T12M_EBITDA",$B130,$B130)),VALUE(_xll.BDH(C$4,"CURRENT_EV_TO_T12M_EBITDA",$B130+1,$B130+1))),C131))</f>
        <v>0</v>
      </c>
      <c r="D130" s="548">
        <f ca="1">(IFERROR(IFERROR(VALUE(_xll.BDH(D$4,"CURRENT_EV_TO_T12M_EBITDA",$B130,$B130)),VALUE(_xll.BDH(D$4,"CURRENT_EV_TO_T12M_EBITDA",$B130+1,$B130+1))),D131))</f>
        <v>0</v>
      </c>
      <c r="E130" s="548">
        <f ca="1">(IFERROR(IFERROR(VALUE(_xll.BDH(E$4,"CURRENT_EV_TO_T12M_EBITDA",$B130,$B130)),VALUE(_xll.BDH(E$4,"CURRENT_EV_TO_T12M_EBITDA",$B130+1,$B130+1))),E131))</f>
        <v>0</v>
      </c>
      <c r="F130" s="548">
        <f ca="1">(IFERROR(IFERROR(VALUE(_xll.BDH(F$4,"CURRENT_EV_TO_T12M_EBITDA",$B130,$B130)),VALUE(_xll.BDH(F$4,"CURRENT_EV_TO_T12M_EBITDA",$B130+1,$B130+1))),F131))</f>
        <v>0</v>
      </c>
      <c r="G130" s="548">
        <f ca="1">(IFERROR(IFERROR(VALUE(_xll.BDH(G$4,"CURRENT_EV_TO_T12M_EBITDA",$B130,$B130)),VALUE(_xll.BDH(G$4,"CURRENT_EV_TO_T12M_EBITDA",$B130+1,$B130+1))),G131))</f>
        <v>0</v>
      </c>
      <c r="H130" s="548">
        <f ca="1">(IFERROR(IFERROR(VALUE(_xll.BDH(H$4,"CURRENT_EV_TO_T12M_EBITDA",$B130,$B130)),VALUE(_xll.BDH(H$4,"CURRENT_EV_TO_T12M_EBITDA",$B130+1,$B130+1))),H131))</f>
        <v>0</v>
      </c>
      <c r="I130" s="552">
        <f t="shared" ca="1" si="35"/>
        <v>45076</v>
      </c>
      <c r="J130" s="548">
        <f ca="1">(IFERROR(IFERROR(VALUE(_xll.BDH(J$4,"PE_RATIO",$B130,$B130)),VALUE(_xll.BDH(J$4,"PE_RATIO",$B130+1,$B130+1))),J131))</f>
        <v>0</v>
      </c>
      <c r="K130" s="548">
        <f ca="1">(IFERROR(IFERROR(VALUE(_xll.BDH(K$4,"PE_RATIO",$B130,$B130)),VALUE(_xll.BDH(K$4,"PE_RATIO",$B130+1,$B130+1))),K131))</f>
        <v>0</v>
      </c>
      <c r="L130" s="548">
        <f ca="1">(IFERROR(IFERROR(VALUE(_xll.BDH(L$4,"PE_RATIO",$B130,$B130)),VALUE(_xll.BDH(L$4,"PE_RATIO",$B130+1,$B130+1))),L131))</f>
        <v>0</v>
      </c>
      <c r="M130" s="548">
        <f ca="1">(IFERROR(IFERROR(VALUE(_xll.BDH(M$4,"PE_RATIO",$B130,$B130)),VALUE(_xll.BDH(M$4,"PE_RATIO",$B130+1,$B130+1))),M131))</f>
        <v>0</v>
      </c>
      <c r="N130" s="548">
        <f ca="1">(IFERROR(IFERROR(VALUE(_xll.BDH(N$4,"PE_RATIO",$B130,$B130)),VALUE(_xll.BDH(N$4,"PE_RATIO",$B130+1,$B130+1))),N131))</f>
        <v>0</v>
      </c>
      <c r="O130" s="548">
        <f ca="1">(IFERROR(IFERROR(VALUE(_xll.BDH(O$4,"PE_RATIO",$B130,$B130)),VALUE(_xll.BDH(O$4,"PE_RATIO",$B130+1,$B130+1))),O131))</f>
        <v>0</v>
      </c>
      <c r="P130" s="548"/>
      <c r="Q130" s="552">
        <f t="shared" ca="1" si="36"/>
        <v>45076</v>
      </c>
      <c r="R130" s="4">
        <v>198.85</v>
      </c>
      <c r="S130" s="4">
        <v>4133.5200000000004</v>
      </c>
      <c r="T130" s="4">
        <v>0</v>
      </c>
      <c r="U130" s="4">
        <v>1.0206857612154809</v>
      </c>
      <c r="V130" s="4">
        <v>1.1528048147879588</v>
      </c>
      <c r="W130" s="4" t="e">
        <v>#DIV/0!</v>
      </c>
      <c r="Y130" s="548">
        <f t="shared" si="37"/>
        <v>198.85</v>
      </c>
      <c r="Z130" s="4">
        <f ca="1">IFERROR(VALUE(_xll.BDH(Z$4,"PX_LAST",$Q130,$Q130)),Z131)</f>
        <v>0</v>
      </c>
      <c r="AA130" s="4">
        <f ca="1">IFERROR(VALUE(_xll.BDH(AA$4,"PX_LAST",$Q130,$Q130)),AA131)</f>
        <v>0</v>
      </c>
      <c r="AB130" s="4">
        <f ca="1">IFERROR(VALUE(_xll.BDH(AB$4,"PX_LAST",$Q130,$Q130)),AB131)</f>
        <v>0</v>
      </c>
      <c r="AC130" s="4">
        <f ca="1">IFERROR(VALUE(_xll.BDH(AC$4,"PX_LAST",$Q130,$Q130)),AC131)</f>
        <v>0</v>
      </c>
      <c r="AD130" s="4">
        <f ca="1">IFERROR(VALUE(_xll.BDH(AD$4,"PX_LAST",$Q130,$Q130)),AD131)</f>
        <v>0</v>
      </c>
      <c r="AF130" s="4">
        <f t="shared" si="38"/>
        <v>1.0206857612154809</v>
      </c>
      <c r="AG130" s="4" t="e">
        <f t="shared" ca="1" si="39"/>
        <v>#DIV/0!</v>
      </c>
      <c r="AH130" s="4" t="e">
        <f t="shared" ca="1" si="40"/>
        <v>#DIV/0!</v>
      </c>
      <c r="AI130" s="4" t="e">
        <f t="shared" ca="1" si="41"/>
        <v>#DIV/0!</v>
      </c>
      <c r="AJ130" s="4" t="e">
        <f t="shared" ca="1" si="42"/>
        <v>#DIV/0!</v>
      </c>
      <c r="AK130" s="4" t="e">
        <f t="shared" ca="1" si="43"/>
        <v>#DIV/0!</v>
      </c>
      <c r="AM130" s="550">
        <f t="shared" ca="1" si="33"/>
        <v>45825</v>
      </c>
      <c r="AN130" s="551">
        <v>216.32</v>
      </c>
      <c r="AO130" s="551">
        <v>2172946</v>
      </c>
      <c r="AP130" s="551">
        <v>597.47560999999996</v>
      </c>
      <c r="AQ130" s="551">
        <v>129245.92395519999</v>
      </c>
      <c r="AR130" s="551">
        <v>5.4024999999999999</v>
      </c>
    </row>
    <row r="131" spans="2:44" x14ac:dyDescent="0.3">
      <c r="B131" s="552">
        <f t="shared" ca="1" si="44"/>
        <v>45069</v>
      </c>
      <c r="C131" s="548">
        <f ca="1">(IFERROR(IFERROR(VALUE(_xll.BDH(C$4,"CURRENT_EV_TO_T12M_EBITDA",$B131,$B131)),VALUE(_xll.BDH(C$4,"CURRENT_EV_TO_T12M_EBITDA",$B131+1,$B131+1))),C132))</f>
        <v>0</v>
      </c>
      <c r="D131" s="548">
        <f ca="1">(IFERROR(IFERROR(VALUE(_xll.BDH(D$4,"CURRENT_EV_TO_T12M_EBITDA",$B131,$B131)),VALUE(_xll.BDH(D$4,"CURRENT_EV_TO_T12M_EBITDA",$B131+1,$B131+1))),D132))</f>
        <v>0</v>
      </c>
      <c r="E131" s="548">
        <f ca="1">(IFERROR(IFERROR(VALUE(_xll.BDH(E$4,"CURRENT_EV_TO_T12M_EBITDA",$B131,$B131)),VALUE(_xll.BDH(E$4,"CURRENT_EV_TO_T12M_EBITDA",$B131+1,$B131+1))),E132))</f>
        <v>0</v>
      </c>
      <c r="F131" s="548">
        <f ca="1">(IFERROR(IFERROR(VALUE(_xll.BDH(F$4,"CURRENT_EV_TO_T12M_EBITDA",$B131,$B131)),VALUE(_xll.BDH(F$4,"CURRENT_EV_TO_T12M_EBITDA",$B131+1,$B131+1))),F132))</f>
        <v>0</v>
      </c>
      <c r="G131" s="548">
        <f ca="1">(IFERROR(IFERROR(VALUE(_xll.BDH(G$4,"CURRENT_EV_TO_T12M_EBITDA",$B131,$B131)),VALUE(_xll.BDH(G$4,"CURRENT_EV_TO_T12M_EBITDA",$B131+1,$B131+1))),G132))</f>
        <v>0</v>
      </c>
      <c r="H131" s="548">
        <f ca="1">(IFERROR(IFERROR(VALUE(_xll.BDH(H$4,"CURRENT_EV_TO_T12M_EBITDA",$B131,$B131)),VALUE(_xll.BDH(H$4,"CURRENT_EV_TO_T12M_EBITDA",$B131+1,$B131+1))),H132))</f>
        <v>0</v>
      </c>
      <c r="I131" s="552">
        <f t="shared" ca="1" si="35"/>
        <v>45069</v>
      </c>
      <c r="J131" s="548">
        <f ca="1">(IFERROR(IFERROR(VALUE(_xll.BDH(J$4,"PE_RATIO",$B131,$B131)),VALUE(_xll.BDH(J$4,"PE_RATIO",$B131+1,$B131+1))),J132))</f>
        <v>0</v>
      </c>
      <c r="K131" s="548">
        <f ca="1">(IFERROR(IFERROR(VALUE(_xll.BDH(K$4,"PE_RATIO",$B131,$B131)),VALUE(_xll.BDH(K$4,"PE_RATIO",$B131+1,$B131+1))),K132))</f>
        <v>0</v>
      </c>
      <c r="L131" s="548">
        <f ca="1">(IFERROR(IFERROR(VALUE(_xll.BDH(L$4,"PE_RATIO",$B131,$B131)),VALUE(_xll.BDH(L$4,"PE_RATIO",$B131+1,$B131+1))),L132))</f>
        <v>0</v>
      </c>
      <c r="M131" s="548">
        <f ca="1">(IFERROR(IFERROR(VALUE(_xll.BDH(M$4,"PE_RATIO",$B131,$B131)),VALUE(_xll.BDH(M$4,"PE_RATIO",$B131+1,$B131+1))),M132))</f>
        <v>0</v>
      </c>
      <c r="N131" s="548">
        <f ca="1">(IFERROR(IFERROR(VALUE(_xll.BDH(N$4,"PE_RATIO",$B131,$B131)),VALUE(_xll.BDH(N$4,"PE_RATIO",$B131+1,$B131+1))),N132))</f>
        <v>0</v>
      </c>
      <c r="O131" s="548">
        <f ca="1">(IFERROR(IFERROR(VALUE(_xll.BDH(O$4,"PE_RATIO",$B131,$B131)),VALUE(_xll.BDH(O$4,"PE_RATIO",$B131+1,$B131+1))),O132))</f>
        <v>0</v>
      </c>
      <c r="P131" s="548"/>
      <c r="Q131" s="552">
        <f t="shared" ca="1" si="36"/>
        <v>45069</v>
      </c>
      <c r="R131" s="4">
        <v>198.53</v>
      </c>
      <c r="S131" s="4">
        <v>4137.6400000000003</v>
      </c>
      <c r="T131" s="4">
        <v>0</v>
      </c>
      <c r="U131" s="4">
        <v>1.0190432193819936</v>
      </c>
      <c r="V131" s="4">
        <v>1.1539538489856707</v>
      </c>
      <c r="W131" s="4" t="e">
        <v>#DIV/0!</v>
      </c>
      <c r="Y131" s="548">
        <f t="shared" si="37"/>
        <v>198.53</v>
      </c>
      <c r="Z131" s="4">
        <f ca="1">IFERROR(VALUE(_xll.BDH(Z$4,"PX_LAST",$Q131,$Q131)),Z132)</f>
        <v>0</v>
      </c>
      <c r="AA131" s="4">
        <f ca="1">IFERROR(VALUE(_xll.BDH(AA$4,"PX_LAST",$Q131,$Q131)),AA132)</f>
        <v>0</v>
      </c>
      <c r="AB131" s="4">
        <f ca="1">IFERROR(VALUE(_xll.BDH(AB$4,"PX_LAST",$Q131,$Q131)),AB132)</f>
        <v>0</v>
      </c>
      <c r="AC131" s="4">
        <f ca="1">IFERROR(VALUE(_xll.BDH(AC$4,"PX_LAST",$Q131,$Q131)),AC132)</f>
        <v>0</v>
      </c>
      <c r="AD131" s="4">
        <f ca="1">IFERROR(VALUE(_xll.BDH(AD$4,"PX_LAST",$Q131,$Q131)),AD132)</f>
        <v>0</v>
      </c>
      <c r="AF131" s="4">
        <f t="shared" si="38"/>
        <v>1.0190432193819936</v>
      </c>
      <c r="AG131" s="4" t="e">
        <f t="shared" ca="1" si="39"/>
        <v>#DIV/0!</v>
      </c>
      <c r="AH131" s="4" t="e">
        <f t="shared" ca="1" si="40"/>
        <v>#DIV/0!</v>
      </c>
      <c r="AI131" s="4" t="e">
        <f t="shared" ca="1" si="41"/>
        <v>#DIV/0!</v>
      </c>
      <c r="AJ131" s="4" t="e">
        <f t="shared" ca="1" si="42"/>
        <v>#DIV/0!</v>
      </c>
      <c r="AK131" s="4" t="e">
        <f t="shared" ca="1" si="43"/>
        <v>#DIV/0!</v>
      </c>
      <c r="AM131" s="550">
        <f t="shared" ca="1" si="33"/>
        <v>45824</v>
      </c>
      <c r="AN131" s="551">
        <v>216.84</v>
      </c>
      <c r="AO131" s="551">
        <v>3335492</v>
      </c>
      <c r="AP131" s="551">
        <v>597.47560999999996</v>
      </c>
      <c r="AQ131" s="551">
        <v>129556.6112724</v>
      </c>
      <c r="AR131" s="551">
        <v>5.4154999999999998</v>
      </c>
    </row>
    <row r="132" spans="2:44" x14ac:dyDescent="0.3">
      <c r="B132" s="552">
        <f t="shared" ca="1" si="44"/>
        <v>45062</v>
      </c>
      <c r="C132" s="548">
        <f ca="1">(IFERROR(IFERROR(VALUE(_xll.BDH(C$4,"CURRENT_EV_TO_T12M_EBITDA",$B132,$B132)),VALUE(_xll.BDH(C$4,"CURRENT_EV_TO_T12M_EBITDA",$B132+1,$B132+1))),C133))</f>
        <v>0</v>
      </c>
      <c r="D132" s="548">
        <f ca="1">(IFERROR(IFERROR(VALUE(_xll.BDH(D$4,"CURRENT_EV_TO_T12M_EBITDA",$B132,$B132)),VALUE(_xll.BDH(D$4,"CURRENT_EV_TO_T12M_EBITDA",$B132+1,$B132+1))),D133))</f>
        <v>0</v>
      </c>
      <c r="E132" s="548">
        <f ca="1">(IFERROR(IFERROR(VALUE(_xll.BDH(E$4,"CURRENT_EV_TO_T12M_EBITDA",$B132,$B132)),VALUE(_xll.BDH(E$4,"CURRENT_EV_TO_T12M_EBITDA",$B132+1,$B132+1))),E133))</f>
        <v>0</v>
      </c>
      <c r="F132" s="548">
        <f ca="1">(IFERROR(IFERROR(VALUE(_xll.BDH(F$4,"CURRENT_EV_TO_T12M_EBITDA",$B132,$B132)),VALUE(_xll.BDH(F$4,"CURRENT_EV_TO_T12M_EBITDA",$B132+1,$B132+1))),F133))</f>
        <v>0</v>
      </c>
      <c r="G132" s="548">
        <f ca="1">(IFERROR(IFERROR(VALUE(_xll.BDH(G$4,"CURRENT_EV_TO_T12M_EBITDA",$B132,$B132)),VALUE(_xll.BDH(G$4,"CURRENT_EV_TO_T12M_EBITDA",$B132+1,$B132+1))),G133))</f>
        <v>0</v>
      </c>
      <c r="H132" s="548">
        <f ca="1">(IFERROR(IFERROR(VALUE(_xll.BDH(H$4,"CURRENT_EV_TO_T12M_EBITDA",$B132,$B132)),VALUE(_xll.BDH(H$4,"CURRENT_EV_TO_T12M_EBITDA",$B132+1,$B132+1))),H133))</f>
        <v>0</v>
      </c>
      <c r="I132" s="552">
        <f t="shared" ca="1" si="35"/>
        <v>45062</v>
      </c>
      <c r="J132" s="548">
        <f ca="1">(IFERROR(IFERROR(VALUE(_xll.BDH(J$4,"PE_RATIO",$B132,$B132)),VALUE(_xll.BDH(J$4,"PE_RATIO",$B132+1,$B132+1))),J133))</f>
        <v>0</v>
      </c>
      <c r="K132" s="548">
        <f ca="1">(IFERROR(IFERROR(VALUE(_xll.BDH(K$4,"PE_RATIO",$B132,$B132)),VALUE(_xll.BDH(K$4,"PE_RATIO",$B132+1,$B132+1))),K133))</f>
        <v>0</v>
      </c>
      <c r="L132" s="548">
        <f ca="1">(IFERROR(IFERROR(VALUE(_xll.BDH(L$4,"PE_RATIO",$B132,$B132)),VALUE(_xll.BDH(L$4,"PE_RATIO",$B132+1,$B132+1))),L133))</f>
        <v>0</v>
      </c>
      <c r="M132" s="548">
        <f ca="1">(IFERROR(IFERROR(VALUE(_xll.BDH(M$4,"PE_RATIO",$B132,$B132)),VALUE(_xll.BDH(M$4,"PE_RATIO",$B132+1,$B132+1))),M133))</f>
        <v>0</v>
      </c>
      <c r="N132" s="548">
        <f ca="1">(IFERROR(IFERROR(VALUE(_xll.BDH(N$4,"PE_RATIO",$B132,$B132)),VALUE(_xll.BDH(N$4,"PE_RATIO",$B132+1,$B132+1))),N133))</f>
        <v>0</v>
      </c>
      <c r="O132" s="548">
        <f ca="1">(IFERROR(IFERROR(VALUE(_xll.BDH(O$4,"PE_RATIO",$B132,$B132)),VALUE(_xll.BDH(O$4,"PE_RATIO",$B132+1,$B132+1))),O133))</f>
        <v>0</v>
      </c>
      <c r="P132" s="548"/>
      <c r="Q132" s="552">
        <f t="shared" ca="1" si="36"/>
        <v>45062</v>
      </c>
      <c r="R132" s="4">
        <v>201.26</v>
      </c>
      <c r="S132" s="4">
        <v>4109.3100000000004</v>
      </c>
      <c r="T132" s="4">
        <v>0</v>
      </c>
      <c r="U132" s="4">
        <v>1.0330561543989323</v>
      </c>
      <c r="V132" s="4">
        <v>1.1460528444174232</v>
      </c>
      <c r="W132" s="4" t="e">
        <v>#DIV/0!</v>
      </c>
      <c r="Y132" s="548">
        <f t="shared" si="37"/>
        <v>201.26</v>
      </c>
      <c r="Z132" s="4">
        <f ca="1">IFERROR(VALUE(_xll.BDH(Z$4,"PX_LAST",$Q132,$Q132)),Z133)</f>
        <v>0</v>
      </c>
      <c r="AA132" s="4">
        <f ca="1">IFERROR(VALUE(_xll.BDH(AA$4,"PX_LAST",$Q132,$Q132)),AA133)</f>
        <v>0</v>
      </c>
      <c r="AB132" s="4">
        <f ca="1">IFERROR(VALUE(_xll.BDH(AB$4,"PX_LAST",$Q132,$Q132)),AB133)</f>
        <v>0</v>
      </c>
      <c r="AC132" s="4">
        <f ca="1">IFERROR(VALUE(_xll.BDH(AC$4,"PX_LAST",$Q132,$Q132)),AC133)</f>
        <v>0</v>
      </c>
      <c r="AD132" s="4">
        <f ca="1">IFERROR(VALUE(_xll.BDH(AD$4,"PX_LAST",$Q132,$Q132)),AD133)</f>
        <v>0</v>
      </c>
      <c r="AF132" s="4">
        <f t="shared" si="38"/>
        <v>1.0330561543989323</v>
      </c>
      <c r="AG132" s="4" t="e">
        <f t="shared" ca="1" si="39"/>
        <v>#DIV/0!</v>
      </c>
      <c r="AH132" s="4" t="e">
        <f t="shared" ca="1" si="40"/>
        <v>#DIV/0!</v>
      </c>
      <c r="AI132" s="4" t="e">
        <f t="shared" ca="1" si="41"/>
        <v>#DIV/0!</v>
      </c>
      <c r="AJ132" s="4" t="e">
        <f t="shared" ca="1" si="42"/>
        <v>#DIV/0!</v>
      </c>
      <c r="AK132" s="4" t="e">
        <f t="shared" ca="1" si="43"/>
        <v>#DIV/0!</v>
      </c>
      <c r="AM132" s="550">
        <f t="shared" ca="1" si="33"/>
        <v>45823</v>
      </c>
      <c r="AN132" s="551">
        <v>213.85</v>
      </c>
      <c r="AO132" s="551">
        <v>3277133</v>
      </c>
      <c r="AP132" s="551">
        <v>597.47560999999996</v>
      </c>
      <c r="AQ132" s="551">
        <v>127770.15919849998</v>
      </c>
      <c r="AR132" s="551">
        <v>5.3407999999999998</v>
      </c>
    </row>
    <row r="133" spans="2:44" x14ac:dyDescent="0.3">
      <c r="B133" s="552">
        <f t="shared" ca="1" si="44"/>
        <v>45055</v>
      </c>
      <c r="C133" s="548">
        <f ca="1">(IFERROR(IFERROR(VALUE(_xll.BDH(C$4,"CURRENT_EV_TO_T12M_EBITDA",$B133,$B133)),VALUE(_xll.BDH(C$4,"CURRENT_EV_TO_T12M_EBITDA",$B133+1,$B133+1))),C134))</f>
        <v>0</v>
      </c>
      <c r="D133" s="548">
        <f ca="1">(IFERROR(IFERROR(VALUE(_xll.BDH(D$4,"CURRENT_EV_TO_T12M_EBITDA",$B133,$B133)),VALUE(_xll.BDH(D$4,"CURRENT_EV_TO_T12M_EBITDA",$B133+1,$B133+1))),D134))</f>
        <v>0</v>
      </c>
      <c r="E133" s="548">
        <f ca="1">(IFERROR(IFERROR(VALUE(_xll.BDH(E$4,"CURRENT_EV_TO_T12M_EBITDA",$B133,$B133)),VALUE(_xll.BDH(E$4,"CURRENT_EV_TO_T12M_EBITDA",$B133+1,$B133+1))),E134))</f>
        <v>0</v>
      </c>
      <c r="F133" s="548">
        <f ca="1">(IFERROR(IFERROR(VALUE(_xll.BDH(F$4,"CURRENT_EV_TO_T12M_EBITDA",$B133,$B133)),VALUE(_xll.BDH(F$4,"CURRENT_EV_TO_T12M_EBITDA",$B133+1,$B133+1))),F134))</f>
        <v>0</v>
      </c>
      <c r="G133" s="548">
        <f ca="1">(IFERROR(IFERROR(VALUE(_xll.BDH(G$4,"CURRENT_EV_TO_T12M_EBITDA",$B133,$B133)),VALUE(_xll.BDH(G$4,"CURRENT_EV_TO_T12M_EBITDA",$B133+1,$B133+1))),G134))</f>
        <v>0</v>
      </c>
      <c r="H133" s="548">
        <f ca="1">(IFERROR(IFERROR(VALUE(_xll.BDH(H$4,"CURRENT_EV_TO_T12M_EBITDA",$B133,$B133)),VALUE(_xll.BDH(H$4,"CURRENT_EV_TO_T12M_EBITDA",$B133+1,$B133+1))),H134))</f>
        <v>0</v>
      </c>
      <c r="I133" s="552">
        <f t="shared" ref="I133:I162" ca="1" si="45">+B133</f>
        <v>45055</v>
      </c>
      <c r="J133" s="548">
        <f ca="1">(IFERROR(IFERROR(VALUE(_xll.BDH(J$4,"PE_RATIO",$B133,$B133)),VALUE(_xll.BDH(J$4,"PE_RATIO",$B133+1,$B133+1))),J134))</f>
        <v>0</v>
      </c>
      <c r="K133" s="548">
        <f ca="1">(IFERROR(IFERROR(VALUE(_xll.BDH(K$4,"PE_RATIO",$B133,$B133)),VALUE(_xll.BDH(K$4,"PE_RATIO",$B133+1,$B133+1))),K134))</f>
        <v>0</v>
      </c>
      <c r="L133" s="548">
        <f ca="1">(IFERROR(IFERROR(VALUE(_xll.BDH(L$4,"PE_RATIO",$B133,$B133)),VALUE(_xll.BDH(L$4,"PE_RATIO",$B133+1,$B133+1))),L134))</f>
        <v>0</v>
      </c>
      <c r="M133" s="548">
        <f ca="1">(IFERROR(IFERROR(VALUE(_xll.BDH(M$4,"PE_RATIO",$B133,$B133)),VALUE(_xll.BDH(M$4,"PE_RATIO",$B133+1,$B133+1))),M134))</f>
        <v>0</v>
      </c>
      <c r="N133" s="548">
        <f ca="1">(IFERROR(IFERROR(VALUE(_xll.BDH(N$4,"PE_RATIO",$B133,$B133)),VALUE(_xll.BDH(N$4,"PE_RATIO",$B133+1,$B133+1))),N134))</f>
        <v>0</v>
      </c>
      <c r="O133" s="548">
        <f ca="1">(IFERROR(IFERROR(VALUE(_xll.BDH(O$4,"PE_RATIO",$B133,$B133)),VALUE(_xll.BDH(O$4,"PE_RATIO",$B133+1,$B133+1))),O134))</f>
        <v>0</v>
      </c>
      <c r="P133" s="548"/>
      <c r="Q133" s="552">
        <f t="shared" ref="Q133:Q162" ca="1" si="46">+I133</f>
        <v>45055</v>
      </c>
      <c r="R133" s="4">
        <v>201.26</v>
      </c>
      <c r="S133" s="4">
        <v>4109.3100000000004</v>
      </c>
      <c r="T133" s="4">
        <v>0</v>
      </c>
      <c r="U133" s="4">
        <v>1.0330561543989323</v>
      </c>
      <c r="V133" s="4">
        <v>1.1460528444174232</v>
      </c>
      <c r="W133" s="4" t="e">
        <v>#DIV/0!</v>
      </c>
      <c r="Y133" s="548">
        <f t="shared" ref="Y133:Y159" si="47">+R133</f>
        <v>201.26</v>
      </c>
      <c r="Z133" s="4">
        <f ca="1">IFERROR(VALUE(_xll.BDH(Z$4,"PX_LAST",$Q133,$Q133)),Z134)</f>
        <v>0</v>
      </c>
      <c r="AA133" s="4">
        <f ca="1">IFERROR(VALUE(_xll.BDH(AA$4,"PX_LAST",$Q133,$Q133)),AA134)</f>
        <v>0</v>
      </c>
      <c r="AB133" s="4">
        <f ca="1">IFERROR(VALUE(_xll.BDH(AB$4,"PX_LAST",$Q133,$Q133)),AB134)</f>
        <v>0</v>
      </c>
      <c r="AC133" s="4">
        <f ca="1">IFERROR(VALUE(_xll.BDH(AC$4,"PX_LAST",$Q133,$Q133)),AC134)</f>
        <v>0</v>
      </c>
      <c r="AD133" s="4">
        <f ca="1">IFERROR(VALUE(_xll.BDH(AD$4,"PX_LAST",$Q133,$Q133)),AD134)</f>
        <v>0</v>
      </c>
      <c r="AF133" s="4">
        <f t="shared" ref="AF133:AF159" si="48">+Y133/Y$159</f>
        <v>1.0330561543989323</v>
      </c>
      <c r="AG133" s="4" t="e">
        <f t="shared" ref="AG133:AG159" ca="1" si="49">+Z133/Z$159</f>
        <v>#DIV/0!</v>
      </c>
      <c r="AH133" s="4" t="e">
        <f t="shared" ref="AH133:AH159" ca="1" si="50">+AA133/AA$159</f>
        <v>#DIV/0!</v>
      </c>
      <c r="AI133" s="4" t="e">
        <f t="shared" ref="AI133:AI159" ca="1" si="51">+AB133/AB$159</f>
        <v>#DIV/0!</v>
      </c>
      <c r="AJ133" s="4" t="e">
        <f t="shared" ref="AJ133:AJ159" ca="1" si="52">+AC133/AC$159</f>
        <v>#DIV/0!</v>
      </c>
      <c r="AK133" s="4" t="e">
        <f t="shared" ref="AK133:AK159" ca="1" si="53">+AD133/AD$159</f>
        <v>#DIV/0!</v>
      </c>
      <c r="AM133" s="550">
        <f t="shared" ref="AM133:AM196" ca="1" si="54">AM132-1</f>
        <v>45822</v>
      </c>
      <c r="AN133" s="551">
        <v>213.2</v>
      </c>
      <c r="AO133" s="551">
        <v>2265068</v>
      </c>
      <c r="AP133" s="551">
        <v>597.47560999999996</v>
      </c>
      <c r="AQ133" s="551">
        <v>127381.80005199999</v>
      </c>
      <c r="AR133" s="551">
        <v>5.3244999999999996</v>
      </c>
    </row>
    <row r="134" spans="2:44" x14ac:dyDescent="0.3">
      <c r="B134" s="552">
        <f t="shared" ref="B134:B162" ca="1" si="55">+B133-7</f>
        <v>45048</v>
      </c>
      <c r="C134" s="548">
        <f ca="1">(IFERROR(IFERROR(VALUE(_xll.BDH(C$4,"CURRENT_EV_TO_T12M_EBITDA",$B134,$B134)),VALUE(_xll.BDH(C$4,"CURRENT_EV_TO_T12M_EBITDA",$B134+1,$B134+1))),C135))</f>
        <v>0</v>
      </c>
      <c r="D134" s="548">
        <f ca="1">(IFERROR(IFERROR(VALUE(_xll.BDH(D$4,"CURRENT_EV_TO_T12M_EBITDA",$B134,$B134)),VALUE(_xll.BDH(D$4,"CURRENT_EV_TO_T12M_EBITDA",$B134+1,$B134+1))),D135))</f>
        <v>0</v>
      </c>
      <c r="E134" s="548">
        <f ca="1">(IFERROR(IFERROR(VALUE(_xll.BDH(E$4,"CURRENT_EV_TO_T12M_EBITDA",$B134,$B134)),VALUE(_xll.BDH(E$4,"CURRENT_EV_TO_T12M_EBITDA",$B134+1,$B134+1))),E135))</f>
        <v>0</v>
      </c>
      <c r="F134" s="548">
        <f ca="1">(IFERROR(IFERROR(VALUE(_xll.BDH(F$4,"CURRENT_EV_TO_T12M_EBITDA",$B134,$B134)),VALUE(_xll.BDH(F$4,"CURRENT_EV_TO_T12M_EBITDA",$B134+1,$B134+1))),F135))</f>
        <v>0</v>
      </c>
      <c r="G134" s="548">
        <f ca="1">(IFERROR(IFERROR(VALUE(_xll.BDH(G$4,"CURRENT_EV_TO_T12M_EBITDA",$B134,$B134)),VALUE(_xll.BDH(G$4,"CURRENT_EV_TO_T12M_EBITDA",$B134+1,$B134+1))),G135))</f>
        <v>0</v>
      </c>
      <c r="H134" s="548">
        <f ca="1">(IFERROR(IFERROR(VALUE(_xll.BDH(H$4,"CURRENT_EV_TO_T12M_EBITDA",$B134,$B134)),VALUE(_xll.BDH(H$4,"CURRENT_EV_TO_T12M_EBITDA",$B134+1,$B134+1))),H135))</f>
        <v>0</v>
      </c>
      <c r="I134" s="552">
        <f t="shared" ca="1" si="45"/>
        <v>45048</v>
      </c>
      <c r="J134" s="548">
        <f ca="1">(IFERROR(IFERROR(VALUE(_xll.BDH(J$4,"PE_RATIO",$B134,$B134)),VALUE(_xll.BDH(J$4,"PE_RATIO",$B134+1,$B134+1))),J135))</f>
        <v>0</v>
      </c>
      <c r="K134" s="548">
        <f ca="1">(IFERROR(IFERROR(VALUE(_xll.BDH(K$4,"PE_RATIO",$B134,$B134)),VALUE(_xll.BDH(K$4,"PE_RATIO",$B134+1,$B134+1))),K135))</f>
        <v>0</v>
      </c>
      <c r="L134" s="548">
        <f ca="1">(IFERROR(IFERROR(VALUE(_xll.BDH(L$4,"PE_RATIO",$B134,$B134)),VALUE(_xll.BDH(L$4,"PE_RATIO",$B134+1,$B134+1))),L135))</f>
        <v>0</v>
      </c>
      <c r="M134" s="548">
        <f ca="1">(IFERROR(IFERROR(VALUE(_xll.BDH(M$4,"PE_RATIO",$B134,$B134)),VALUE(_xll.BDH(M$4,"PE_RATIO",$B134+1,$B134+1))),M135))</f>
        <v>0</v>
      </c>
      <c r="N134" s="548">
        <f ca="1">(IFERROR(IFERROR(VALUE(_xll.BDH(N$4,"PE_RATIO",$B134,$B134)),VALUE(_xll.BDH(N$4,"PE_RATIO",$B134+1,$B134+1))),N135))</f>
        <v>0</v>
      </c>
      <c r="O134" s="548">
        <f ca="1">(IFERROR(IFERROR(VALUE(_xll.BDH(O$4,"PE_RATIO",$B134,$B134)),VALUE(_xll.BDH(O$4,"PE_RATIO",$B134+1,$B134+1))),O135))</f>
        <v>0</v>
      </c>
      <c r="P134" s="548"/>
      <c r="Q134" s="552">
        <f t="shared" ca="1" si="46"/>
        <v>45048</v>
      </c>
      <c r="R134" s="4">
        <v>188.51</v>
      </c>
      <c r="S134" s="4">
        <v>3970.99</v>
      </c>
      <c r="T134" s="4">
        <v>0</v>
      </c>
      <c r="U134" s="4">
        <v>0.96761112822092188</v>
      </c>
      <c r="V134" s="4">
        <v>1.1074765312554036</v>
      </c>
      <c r="W134" s="4" t="e">
        <v>#DIV/0!</v>
      </c>
      <c r="Y134" s="548">
        <f t="shared" si="47"/>
        <v>188.51</v>
      </c>
      <c r="Z134" s="4">
        <f ca="1">IFERROR(VALUE(_xll.BDH(Z$4,"PX_LAST",$Q134,$Q134)),Z135)</f>
        <v>0</v>
      </c>
      <c r="AA134" s="4">
        <f ca="1">IFERROR(VALUE(_xll.BDH(AA$4,"PX_LAST",$Q134,$Q134)),AA135)</f>
        <v>0</v>
      </c>
      <c r="AB134" s="4">
        <f ca="1">IFERROR(VALUE(_xll.BDH(AB$4,"PX_LAST",$Q134,$Q134)),AB135)</f>
        <v>0</v>
      </c>
      <c r="AC134" s="4">
        <f ca="1">IFERROR(VALUE(_xll.BDH(AC$4,"PX_LAST",$Q134,$Q134)),AC135)</f>
        <v>0</v>
      </c>
      <c r="AD134" s="4">
        <f ca="1">IFERROR(VALUE(_xll.BDH(AD$4,"PX_LAST",$Q134,$Q134)),AD135)</f>
        <v>0</v>
      </c>
      <c r="AF134" s="4">
        <f t="shared" si="48"/>
        <v>0.96761112822092188</v>
      </c>
      <c r="AG134" s="4" t="e">
        <f t="shared" ca="1" si="49"/>
        <v>#DIV/0!</v>
      </c>
      <c r="AH134" s="4" t="e">
        <f t="shared" ca="1" si="50"/>
        <v>#DIV/0!</v>
      </c>
      <c r="AI134" s="4" t="e">
        <f t="shared" ca="1" si="51"/>
        <v>#DIV/0!</v>
      </c>
      <c r="AJ134" s="4" t="e">
        <f t="shared" ca="1" si="52"/>
        <v>#DIV/0!</v>
      </c>
      <c r="AK134" s="4" t="e">
        <f t="shared" ca="1" si="53"/>
        <v>#DIV/0!</v>
      </c>
      <c r="AM134" s="550">
        <f t="shared" ca="1" si="54"/>
        <v>45821</v>
      </c>
      <c r="AN134" s="551">
        <v>216.53</v>
      </c>
      <c r="AO134" s="551">
        <v>1895711</v>
      </c>
      <c r="AP134" s="551">
        <v>597.47560999999996</v>
      </c>
      <c r="AQ134" s="551">
        <v>129371.3938333</v>
      </c>
      <c r="AR134" s="551">
        <v>5.4077000000000002</v>
      </c>
    </row>
    <row r="135" spans="2:44" x14ac:dyDescent="0.3">
      <c r="B135" s="552">
        <f t="shared" ca="1" si="55"/>
        <v>45041</v>
      </c>
      <c r="C135" s="548">
        <f ca="1">(IFERROR(IFERROR(VALUE(_xll.BDH(C$4,"CURRENT_EV_TO_T12M_EBITDA",$B135,$B135)),VALUE(_xll.BDH(C$4,"CURRENT_EV_TO_T12M_EBITDA",$B135+1,$B135+1))),C136))</f>
        <v>0</v>
      </c>
      <c r="D135" s="548">
        <f ca="1">(IFERROR(IFERROR(VALUE(_xll.BDH(D$4,"CURRENT_EV_TO_T12M_EBITDA",$B135,$B135)),VALUE(_xll.BDH(D$4,"CURRENT_EV_TO_T12M_EBITDA",$B135+1,$B135+1))),D136))</f>
        <v>0</v>
      </c>
      <c r="E135" s="548">
        <f ca="1">(IFERROR(IFERROR(VALUE(_xll.BDH(E$4,"CURRENT_EV_TO_T12M_EBITDA",$B135,$B135)),VALUE(_xll.BDH(E$4,"CURRENT_EV_TO_T12M_EBITDA",$B135+1,$B135+1))),E136))</f>
        <v>0</v>
      </c>
      <c r="F135" s="548">
        <f ca="1">(IFERROR(IFERROR(VALUE(_xll.BDH(F$4,"CURRENT_EV_TO_T12M_EBITDA",$B135,$B135)),VALUE(_xll.BDH(F$4,"CURRENT_EV_TO_T12M_EBITDA",$B135+1,$B135+1))),F136))</f>
        <v>0</v>
      </c>
      <c r="G135" s="548">
        <f ca="1">(IFERROR(IFERROR(VALUE(_xll.BDH(G$4,"CURRENT_EV_TO_T12M_EBITDA",$B135,$B135)),VALUE(_xll.BDH(G$4,"CURRENT_EV_TO_T12M_EBITDA",$B135+1,$B135+1))),G136))</f>
        <v>0</v>
      </c>
      <c r="H135" s="548">
        <f ca="1">(IFERROR(IFERROR(VALUE(_xll.BDH(H$4,"CURRENT_EV_TO_T12M_EBITDA",$B135,$B135)),VALUE(_xll.BDH(H$4,"CURRENT_EV_TO_T12M_EBITDA",$B135+1,$B135+1))),H136))</f>
        <v>0</v>
      </c>
      <c r="I135" s="552">
        <f t="shared" ca="1" si="45"/>
        <v>45041</v>
      </c>
      <c r="J135" s="548">
        <f ca="1">(IFERROR(IFERROR(VALUE(_xll.BDH(J$4,"PE_RATIO",$B135,$B135)),VALUE(_xll.BDH(J$4,"PE_RATIO",$B135+1,$B135+1))),J136))</f>
        <v>0</v>
      </c>
      <c r="K135" s="548">
        <f ca="1">(IFERROR(IFERROR(VALUE(_xll.BDH(K$4,"PE_RATIO",$B135,$B135)),VALUE(_xll.BDH(K$4,"PE_RATIO",$B135+1,$B135+1))),K136))</f>
        <v>0</v>
      </c>
      <c r="L135" s="548">
        <f ca="1">(IFERROR(IFERROR(VALUE(_xll.BDH(L$4,"PE_RATIO",$B135,$B135)),VALUE(_xll.BDH(L$4,"PE_RATIO",$B135+1,$B135+1))),L136))</f>
        <v>0</v>
      </c>
      <c r="M135" s="548">
        <f ca="1">(IFERROR(IFERROR(VALUE(_xll.BDH(M$4,"PE_RATIO",$B135,$B135)),VALUE(_xll.BDH(M$4,"PE_RATIO",$B135+1,$B135+1))),M136))</f>
        <v>0</v>
      </c>
      <c r="N135" s="548">
        <f ca="1">(IFERROR(IFERROR(VALUE(_xll.BDH(N$4,"PE_RATIO",$B135,$B135)),VALUE(_xll.BDH(N$4,"PE_RATIO",$B135+1,$B135+1))),N136))</f>
        <v>0</v>
      </c>
      <c r="O135" s="548">
        <f ca="1">(IFERROR(IFERROR(VALUE(_xll.BDH(O$4,"PE_RATIO",$B135,$B135)),VALUE(_xll.BDH(O$4,"PE_RATIO",$B135+1,$B135+1))),O136))</f>
        <v>0</v>
      </c>
      <c r="P135" s="548"/>
      <c r="Q135" s="552">
        <f t="shared" ca="1" si="46"/>
        <v>45041</v>
      </c>
      <c r="R135" s="4">
        <v>190.01</v>
      </c>
      <c r="S135" s="4">
        <v>3916.64</v>
      </c>
      <c r="T135" s="4">
        <v>0</v>
      </c>
      <c r="U135" s="4">
        <v>0.97531054306539366</v>
      </c>
      <c r="V135" s="4">
        <v>1.0923187621666546</v>
      </c>
      <c r="W135" s="4" t="e">
        <v>#DIV/0!</v>
      </c>
      <c r="Y135" s="548">
        <f t="shared" si="47"/>
        <v>190.01</v>
      </c>
      <c r="Z135" s="4">
        <f ca="1">IFERROR(VALUE(_xll.BDH(Z$4,"PX_LAST",$Q135,$Q135)),Z136)</f>
        <v>0</v>
      </c>
      <c r="AA135" s="4">
        <f ca="1">IFERROR(VALUE(_xll.BDH(AA$4,"PX_LAST",$Q135,$Q135)),AA136)</f>
        <v>0</v>
      </c>
      <c r="AB135" s="4">
        <f ca="1">IFERROR(VALUE(_xll.BDH(AB$4,"PX_LAST",$Q135,$Q135)),AB136)</f>
        <v>0</v>
      </c>
      <c r="AC135" s="4">
        <f ca="1">IFERROR(VALUE(_xll.BDH(AC$4,"PX_LAST",$Q135,$Q135)),AC136)</f>
        <v>0</v>
      </c>
      <c r="AD135" s="4">
        <f ca="1">IFERROR(VALUE(_xll.BDH(AD$4,"PX_LAST",$Q135,$Q135)),AD136)</f>
        <v>0</v>
      </c>
      <c r="AF135" s="4">
        <f t="shared" si="48"/>
        <v>0.97531054306539366</v>
      </c>
      <c r="AG135" s="4" t="e">
        <f t="shared" ca="1" si="49"/>
        <v>#DIV/0!</v>
      </c>
      <c r="AH135" s="4" t="e">
        <f t="shared" ca="1" si="50"/>
        <v>#DIV/0!</v>
      </c>
      <c r="AI135" s="4" t="e">
        <f t="shared" ca="1" si="51"/>
        <v>#DIV/0!</v>
      </c>
      <c r="AJ135" s="4" t="e">
        <f t="shared" ca="1" si="52"/>
        <v>#DIV/0!</v>
      </c>
      <c r="AK135" s="4" t="e">
        <f t="shared" ca="1" si="53"/>
        <v>#DIV/0!</v>
      </c>
      <c r="AM135" s="550">
        <f t="shared" ca="1" si="54"/>
        <v>45820</v>
      </c>
      <c r="AN135" s="551">
        <v>218.29</v>
      </c>
      <c r="AO135" s="551">
        <v>2926805</v>
      </c>
      <c r="AP135" s="551">
        <v>597.47560999999996</v>
      </c>
      <c r="AQ135" s="551">
        <v>130422.95090689999</v>
      </c>
      <c r="AR135" s="551">
        <v>5.4516999999999998</v>
      </c>
    </row>
    <row r="136" spans="2:44" x14ac:dyDescent="0.3">
      <c r="B136" s="552">
        <f t="shared" ca="1" si="55"/>
        <v>45034</v>
      </c>
      <c r="C136" s="548">
        <f ca="1">(IFERROR(IFERROR(VALUE(_xll.BDH(C$4,"CURRENT_EV_TO_T12M_EBITDA",$B136,$B136)),VALUE(_xll.BDH(C$4,"CURRENT_EV_TO_T12M_EBITDA",$B136+1,$B136+1))),C137))</f>
        <v>0</v>
      </c>
      <c r="D136" s="548">
        <f ca="1">(IFERROR(IFERROR(VALUE(_xll.BDH(D$4,"CURRENT_EV_TO_T12M_EBITDA",$B136,$B136)),VALUE(_xll.BDH(D$4,"CURRENT_EV_TO_T12M_EBITDA",$B136+1,$B136+1))),D137))</f>
        <v>0</v>
      </c>
      <c r="E136" s="548">
        <f ca="1">(IFERROR(IFERROR(VALUE(_xll.BDH(E$4,"CURRENT_EV_TO_T12M_EBITDA",$B136,$B136)),VALUE(_xll.BDH(E$4,"CURRENT_EV_TO_T12M_EBITDA",$B136+1,$B136+1))),E137))</f>
        <v>0</v>
      </c>
      <c r="F136" s="548">
        <f ca="1">(IFERROR(IFERROR(VALUE(_xll.BDH(F$4,"CURRENT_EV_TO_T12M_EBITDA",$B136,$B136)),VALUE(_xll.BDH(F$4,"CURRENT_EV_TO_T12M_EBITDA",$B136+1,$B136+1))),F137))</f>
        <v>0</v>
      </c>
      <c r="G136" s="548">
        <f ca="1">(IFERROR(IFERROR(VALUE(_xll.BDH(G$4,"CURRENT_EV_TO_T12M_EBITDA",$B136,$B136)),VALUE(_xll.BDH(G$4,"CURRENT_EV_TO_T12M_EBITDA",$B136+1,$B136+1))),G137))</f>
        <v>0</v>
      </c>
      <c r="H136" s="548">
        <f ca="1">(IFERROR(IFERROR(VALUE(_xll.BDH(H$4,"CURRENT_EV_TO_T12M_EBITDA",$B136,$B136)),VALUE(_xll.BDH(H$4,"CURRENT_EV_TO_T12M_EBITDA",$B136+1,$B136+1))),H137))</f>
        <v>0</v>
      </c>
      <c r="I136" s="552">
        <f t="shared" ca="1" si="45"/>
        <v>45034</v>
      </c>
      <c r="J136" s="548">
        <f ca="1">(IFERROR(IFERROR(VALUE(_xll.BDH(J$4,"PE_RATIO",$B136,$B136)),VALUE(_xll.BDH(J$4,"PE_RATIO",$B136+1,$B136+1))),J137))</f>
        <v>0</v>
      </c>
      <c r="K136" s="548">
        <f ca="1">(IFERROR(IFERROR(VALUE(_xll.BDH(K$4,"PE_RATIO",$B136,$B136)),VALUE(_xll.BDH(K$4,"PE_RATIO",$B136+1,$B136+1))),K137))</f>
        <v>0</v>
      </c>
      <c r="L136" s="548">
        <f ca="1">(IFERROR(IFERROR(VALUE(_xll.BDH(L$4,"PE_RATIO",$B136,$B136)),VALUE(_xll.BDH(L$4,"PE_RATIO",$B136+1,$B136+1))),L137))</f>
        <v>0</v>
      </c>
      <c r="M136" s="548">
        <f ca="1">(IFERROR(IFERROR(VALUE(_xll.BDH(M$4,"PE_RATIO",$B136,$B136)),VALUE(_xll.BDH(M$4,"PE_RATIO",$B136+1,$B136+1))),M137))</f>
        <v>0</v>
      </c>
      <c r="N136" s="548">
        <f ca="1">(IFERROR(IFERROR(VALUE(_xll.BDH(N$4,"PE_RATIO",$B136,$B136)),VALUE(_xll.BDH(N$4,"PE_RATIO",$B136+1,$B136+1))),N137))</f>
        <v>0</v>
      </c>
      <c r="O136" s="548">
        <f ca="1">(IFERROR(IFERROR(VALUE(_xll.BDH(O$4,"PE_RATIO",$B136,$B136)),VALUE(_xll.BDH(O$4,"PE_RATIO",$B136+1,$B136+1))),O137))</f>
        <v>0</v>
      </c>
      <c r="P136" s="548"/>
      <c r="Q136" s="552">
        <f t="shared" ca="1" si="46"/>
        <v>45034</v>
      </c>
      <c r="R136" s="4">
        <v>196.06</v>
      </c>
      <c r="S136" s="4">
        <v>3861.59</v>
      </c>
      <c r="T136" s="4">
        <v>0</v>
      </c>
      <c r="U136" s="4">
        <v>1.0063648496047635</v>
      </c>
      <c r="V136" s="4">
        <v>1.0769657688210128</v>
      </c>
      <c r="W136" s="4" t="e">
        <v>#DIV/0!</v>
      </c>
      <c r="Y136" s="548">
        <f t="shared" si="47"/>
        <v>196.06</v>
      </c>
      <c r="Z136" s="4">
        <f ca="1">IFERROR(VALUE(_xll.BDH(Z$4,"PX_LAST",$Q136,$Q136)),Z137)</f>
        <v>0</v>
      </c>
      <c r="AA136" s="4">
        <f ca="1">IFERROR(VALUE(_xll.BDH(AA$4,"PX_LAST",$Q136,$Q136)),AA137)</f>
        <v>0</v>
      </c>
      <c r="AB136" s="4">
        <f ca="1">IFERROR(VALUE(_xll.BDH(AB$4,"PX_LAST",$Q136,$Q136)),AB137)</f>
        <v>0</v>
      </c>
      <c r="AC136" s="4">
        <f ca="1">IFERROR(VALUE(_xll.BDH(AC$4,"PX_LAST",$Q136,$Q136)),AC137)</f>
        <v>0</v>
      </c>
      <c r="AD136" s="4">
        <f ca="1">IFERROR(VALUE(_xll.BDH(AD$4,"PX_LAST",$Q136,$Q136)),AD137)</f>
        <v>0</v>
      </c>
      <c r="AF136" s="4">
        <f t="shared" si="48"/>
        <v>1.0063648496047635</v>
      </c>
      <c r="AG136" s="4" t="e">
        <f t="shared" ca="1" si="49"/>
        <v>#DIV/0!</v>
      </c>
      <c r="AH136" s="4" t="e">
        <f t="shared" ca="1" si="50"/>
        <v>#DIV/0!</v>
      </c>
      <c r="AI136" s="4" t="e">
        <f t="shared" ca="1" si="51"/>
        <v>#DIV/0!</v>
      </c>
      <c r="AJ136" s="4" t="e">
        <f t="shared" ca="1" si="52"/>
        <v>#DIV/0!</v>
      </c>
      <c r="AK136" s="4" t="e">
        <f t="shared" ca="1" si="53"/>
        <v>#DIV/0!</v>
      </c>
      <c r="AM136" s="550">
        <f t="shared" ca="1" si="54"/>
        <v>45819</v>
      </c>
      <c r="AN136" s="551">
        <v>218.29</v>
      </c>
      <c r="AO136" s="551">
        <v>2926805</v>
      </c>
      <c r="AP136" s="551">
        <v>597.47560999999996</v>
      </c>
      <c r="AQ136" s="551">
        <v>130422.95090689999</v>
      </c>
      <c r="AR136" s="551">
        <v>5.4516999999999998</v>
      </c>
    </row>
    <row r="137" spans="2:44" x14ac:dyDescent="0.3">
      <c r="B137" s="552">
        <f t="shared" ca="1" si="55"/>
        <v>45027</v>
      </c>
      <c r="C137" s="548">
        <f ca="1">(IFERROR(IFERROR(VALUE(_xll.BDH(C$4,"CURRENT_EV_TO_T12M_EBITDA",$B137,$B137)),VALUE(_xll.BDH(C$4,"CURRENT_EV_TO_T12M_EBITDA",$B137+1,$B137+1))),C138))</f>
        <v>0</v>
      </c>
      <c r="D137" s="548">
        <f ca="1">(IFERROR(IFERROR(VALUE(_xll.BDH(D$4,"CURRENT_EV_TO_T12M_EBITDA",$B137,$B137)),VALUE(_xll.BDH(D$4,"CURRENT_EV_TO_T12M_EBITDA",$B137+1,$B137+1))),D138))</f>
        <v>0</v>
      </c>
      <c r="E137" s="548">
        <f ca="1">(IFERROR(IFERROR(VALUE(_xll.BDH(E$4,"CURRENT_EV_TO_T12M_EBITDA",$B137,$B137)),VALUE(_xll.BDH(E$4,"CURRENT_EV_TO_T12M_EBITDA",$B137+1,$B137+1))),E138))</f>
        <v>0</v>
      </c>
      <c r="F137" s="548">
        <f ca="1">(IFERROR(IFERROR(VALUE(_xll.BDH(F$4,"CURRENT_EV_TO_T12M_EBITDA",$B137,$B137)),VALUE(_xll.BDH(F$4,"CURRENT_EV_TO_T12M_EBITDA",$B137+1,$B137+1))),F138))</f>
        <v>0</v>
      </c>
      <c r="G137" s="548">
        <f ca="1">(IFERROR(IFERROR(VALUE(_xll.BDH(G$4,"CURRENT_EV_TO_T12M_EBITDA",$B137,$B137)),VALUE(_xll.BDH(G$4,"CURRENT_EV_TO_T12M_EBITDA",$B137+1,$B137+1))),G138))</f>
        <v>0</v>
      </c>
      <c r="H137" s="548">
        <f ca="1">(IFERROR(IFERROR(VALUE(_xll.BDH(H$4,"CURRENT_EV_TO_T12M_EBITDA",$B137,$B137)),VALUE(_xll.BDH(H$4,"CURRENT_EV_TO_T12M_EBITDA",$B137+1,$B137+1))),H138))</f>
        <v>0</v>
      </c>
      <c r="I137" s="552">
        <f t="shared" ca="1" si="45"/>
        <v>45027</v>
      </c>
      <c r="J137" s="548">
        <f ca="1">(IFERROR(IFERROR(VALUE(_xll.BDH(J$4,"PE_RATIO",$B137,$B137)),VALUE(_xll.BDH(J$4,"PE_RATIO",$B137+1,$B137+1))),J138))</f>
        <v>0</v>
      </c>
      <c r="K137" s="548">
        <f ca="1">(IFERROR(IFERROR(VALUE(_xll.BDH(K$4,"PE_RATIO",$B137,$B137)),VALUE(_xll.BDH(K$4,"PE_RATIO",$B137+1,$B137+1))),K138))</f>
        <v>0</v>
      </c>
      <c r="L137" s="548">
        <f ca="1">(IFERROR(IFERROR(VALUE(_xll.BDH(L$4,"PE_RATIO",$B137,$B137)),VALUE(_xll.BDH(L$4,"PE_RATIO",$B137+1,$B137+1))),L138))</f>
        <v>0</v>
      </c>
      <c r="M137" s="548">
        <f ca="1">(IFERROR(IFERROR(VALUE(_xll.BDH(M$4,"PE_RATIO",$B137,$B137)),VALUE(_xll.BDH(M$4,"PE_RATIO",$B137+1,$B137+1))),M138))</f>
        <v>0</v>
      </c>
      <c r="N137" s="548">
        <f ca="1">(IFERROR(IFERROR(VALUE(_xll.BDH(N$4,"PE_RATIO",$B137,$B137)),VALUE(_xll.BDH(N$4,"PE_RATIO",$B137+1,$B137+1))),N138))</f>
        <v>0</v>
      </c>
      <c r="O137" s="548">
        <f ca="1">(IFERROR(IFERROR(VALUE(_xll.BDH(O$4,"PE_RATIO",$B137,$B137)),VALUE(_xll.BDH(O$4,"PE_RATIO",$B137+1,$B137+1))),O138))</f>
        <v>0</v>
      </c>
      <c r="P137" s="548"/>
      <c r="Q137" s="552">
        <f t="shared" ca="1" si="46"/>
        <v>45027</v>
      </c>
      <c r="R137" s="4">
        <v>209.36</v>
      </c>
      <c r="S137" s="4">
        <v>4045.64</v>
      </c>
      <c r="T137" s="4">
        <v>0</v>
      </c>
      <c r="U137" s="4">
        <v>1.0746329945590802</v>
      </c>
      <c r="V137" s="4">
        <v>1.128295803794044</v>
      </c>
      <c r="W137" s="4" t="e">
        <v>#DIV/0!</v>
      </c>
      <c r="Y137" s="548">
        <f t="shared" si="47"/>
        <v>209.36</v>
      </c>
      <c r="Z137" s="4">
        <f ca="1">IFERROR(VALUE(_xll.BDH(Z$4,"PX_LAST",$Q137,$Q137)),Z138)</f>
        <v>0</v>
      </c>
      <c r="AA137" s="4">
        <f ca="1">IFERROR(VALUE(_xll.BDH(AA$4,"PX_LAST",$Q137,$Q137)),AA138)</f>
        <v>0</v>
      </c>
      <c r="AB137" s="4">
        <f ca="1">IFERROR(VALUE(_xll.BDH(AB$4,"PX_LAST",$Q137,$Q137)),AB138)</f>
        <v>0</v>
      </c>
      <c r="AC137" s="4">
        <f ca="1">IFERROR(VALUE(_xll.BDH(AC$4,"PX_LAST",$Q137,$Q137)),AC138)</f>
        <v>0</v>
      </c>
      <c r="AD137" s="4">
        <f ca="1">IFERROR(VALUE(_xll.BDH(AD$4,"PX_LAST",$Q137,$Q137)),AD138)</f>
        <v>0</v>
      </c>
      <c r="AF137" s="4">
        <f t="shared" si="48"/>
        <v>1.0746329945590802</v>
      </c>
      <c r="AG137" s="4" t="e">
        <f t="shared" ca="1" si="49"/>
        <v>#DIV/0!</v>
      </c>
      <c r="AH137" s="4" t="e">
        <f t="shared" ca="1" si="50"/>
        <v>#DIV/0!</v>
      </c>
      <c r="AI137" s="4" t="e">
        <f t="shared" ca="1" si="51"/>
        <v>#DIV/0!</v>
      </c>
      <c r="AJ137" s="4" t="e">
        <f t="shared" ca="1" si="52"/>
        <v>#DIV/0!</v>
      </c>
      <c r="AK137" s="4" t="e">
        <f t="shared" ca="1" si="53"/>
        <v>#DIV/0!</v>
      </c>
      <c r="AM137" s="550">
        <f t="shared" ca="1" si="54"/>
        <v>45818</v>
      </c>
      <c r="AN137" s="551">
        <v>218.29</v>
      </c>
      <c r="AO137" s="551">
        <v>2926805</v>
      </c>
      <c r="AP137" s="551">
        <v>597.47560999999996</v>
      </c>
      <c r="AQ137" s="551">
        <v>130422.95090689999</v>
      </c>
      <c r="AR137" s="551">
        <v>5.4516999999999998</v>
      </c>
    </row>
    <row r="138" spans="2:44" x14ac:dyDescent="0.3">
      <c r="B138" s="552">
        <f t="shared" ca="1" si="55"/>
        <v>45020</v>
      </c>
      <c r="C138" s="548">
        <f ca="1">(IFERROR(IFERROR(VALUE(_xll.BDH(C$4,"CURRENT_EV_TO_T12M_EBITDA",$B138,$B138)),VALUE(_xll.BDH(C$4,"CURRENT_EV_TO_T12M_EBITDA",$B138+1,$B138+1))),C139))</f>
        <v>0</v>
      </c>
      <c r="D138" s="548">
        <f ca="1">(IFERROR(IFERROR(VALUE(_xll.BDH(D$4,"CURRENT_EV_TO_T12M_EBITDA",$B138,$B138)),VALUE(_xll.BDH(D$4,"CURRENT_EV_TO_T12M_EBITDA",$B138+1,$B138+1))),D139))</f>
        <v>0</v>
      </c>
      <c r="E138" s="548">
        <f ca="1">(IFERROR(IFERROR(VALUE(_xll.BDH(E$4,"CURRENT_EV_TO_T12M_EBITDA",$B138,$B138)),VALUE(_xll.BDH(E$4,"CURRENT_EV_TO_T12M_EBITDA",$B138+1,$B138+1))),E139))</f>
        <v>0</v>
      </c>
      <c r="F138" s="548">
        <f ca="1">(IFERROR(IFERROR(VALUE(_xll.BDH(F$4,"CURRENT_EV_TO_T12M_EBITDA",$B138,$B138)),VALUE(_xll.BDH(F$4,"CURRENT_EV_TO_T12M_EBITDA",$B138+1,$B138+1))),F139))</f>
        <v>0</v>
      </c>
      <c r="G138" s="548">
        <f ca="1">(IFERROR(IFERROR(VALUE(_xll.BDH(G$4,"CURRENT_EV_TO_T12M_EBITDA",$B138,$B138)),VALUE(_xll.BDH(G$4,"CURRENT_EV_TO_T12M_EBITDA",$B138+1,$B138+1))),G139))</f>
        <v>0</v>
      </c>
      <c r="H138" s="548">
        <f ca="1">(IFERROR(IFERROR(VALUE(_xll.BDH(H$4,"CURRENT_EV_TO_T12M_EBITDA",$B138,$B138)),VALUE(_xll.BDH(H$4,"CURRENT_EV_TO_T12M_EBITDA",$B138+1,$B138+1))),H139))</f>
        <v>0</v>
      </c>
      <c r="I138" s="552">
        <f t="shared" ca="1" si="45"/>
        <v>45020</v>
      </c>
      <c r="J138" s="548">
        <f ca="1">(IFERROR(IFERROR(VALUE(_xll.BDH(J$4,"PE_RATIO",$B138,$B138)),VALUE(_xll.BDH(J$4,"PE_RATIO",$B138+1,$B138+1))),J139))</f>
        <v>0</v>
      </c>
      <c r="K138" s="548">
        <f ca="1">(IFERROR(IFERROR(VALUE(_xll.BDH(K$4,"PE_RATIO",$B138,$B138)),VALUE(_xll.BDH(K$4,"PE_RATIO",$B138+1,$B138+1))),K139))</f>
        <v>0</v>
      </c>
      <c r="L138" s="548">
        <f ca="1">(IFERROR(IFERROR(VALUE(_xll.BDH(L$4,"PE_RATIO",$B138,$B138)),VALUE(_xll.BDH(L$4,"PE_RATIO",$B138+1,$B138+1))),L139))</f>
        <v>0</v>
      </c>
      <c r="M138" s="548">
        <f ca="1">(IFERROR(IFERROR(VALUE(_xll.BDH(M$4,"PE_RATIO",$B138,$B138)),VALUE(_xll.BDH(M$4,"PE_RATIO",$B138+1,$B138+1))),M139))</f>
        <v>0</v>
      </c>
      <c r="N138" s="548">
        <f ca="1">(IFERROR(IFERROR(VALUE(_xll.BDH(N$4,"PE_RATIO",$B138,$B138)),VALUE(_xll.BDH(N$4,"PE_RATIO",$B138+1,$B138+1))),N139))</f>
        <v>0</v>
      </c>
      <c r="O138" s="548">
        <f ca="1">(IFERROR(IFERROR(VALUE(_xll.BDH(O$4,"PE_RATIO",$B138,$B138)),VALUE(_xll.BDH(O$4,"PE_RATIO",$B138+1,$B138+1))),O139))</f>
        <v>0</v>
      </c>
      <c r="P138" s="548"/>
      <c r="Q138" s="552">
        <f t="shared" ca="1" si="46"/>
        <v>45020</v>
      </c>
      <c r="R138" s="4">
        <v>194.02</v>
      </c>
      <c r="S138" s="4">
        <v>3970.04</v>
      </c>
      <c r="T138" s="4">
        <v>0</v>
      </c>
      <c r="U138" s="4">
        <v>0.99589364541628178</v>
      </c>
      <c r="V138" s="4">
        <v>1.1072115840496204</v>
      </c>
      <c r="W138" s="4" t="e">
        <v>#DIV/0!</v>
      </c>
      <c r="Y138" s="548">
        <f t="shared" si="47"/>
        <v>194.02</v>
      </c>
      <c r="Z138" s="4">
        <f ca="1">IFERROR(VALUE(_xll.BDH(Z$4,"PX_LAST",$Q138,$Q138)),Z139)</f>
        <v>0</v>
      </c>
      <c r="AA138" s="4">
        <f ca="1">IFERROR(VALUE(_xll.BDH(AA$4,"PX_LAST",$Q138,$Q138)),AA139)</f>
        <v>0</v>
      </c>
      <c r="AB138" s="4">
        <f ca="1">IFERROR(VALUE(_xll.BDH(AB$4,"PX_LAST",$Q138,$Q138)),AB139)</f>
        <v>0</v>
      </c>
      <c r="AC138" s="4">
        <f ca="1">IFERROR(VALUE(_xll.BDH(AC$4,"PX_LAST",$Q138,$Q138)),AC139)</f>
        <v>0</v>
      </c>
      <c r="AD138" s="4">
        <f ca="1">IFERROR(VALUE(_xll.BDH(AD$4,"PX_LAST",$Q138,$Q138)),AD139)</f>
        <v>0</v>
      </c>
      <c r="AF138" s="4">
        <f t="shared" si="48"/>
        <v>0.99589364541628178</v>
      </c>
      <c r="AG138" s="4" t="e">
        <f t="shared" ca="1" si="49"/>
        <v>#DIV/0!</v>
      </c>
      <c r="AH138" s="4" t="e">
        <f t="shared" ca="1" si="50"/>
        <v>#DIV/0!</v>
      </c>
      <c r="AI138" s="4" t="e">
        <f t="shared" ca="1" si="51"/>
        <v>#DIV/0!</v>
      </c>
      <c r="AJ138" s="4" t="e">
        <f t="shared" ca="1" si="52"/>
        <v>#DIV/0!</v>
      </c>
      <c r="AK138" s="4" t="e">
        <f t="shared" ca="1" si="53"/>
        <v>#DIV/0!</v>
      </c>
      <c r="AM138" s="550">
        <f t="shared" ca="1" si="54"/>
        <v>45817</v>
      </c>
      <c r="AN138" s="551">
        <v>214.08</v>
      </c>
      <c r="AO138" s="551">
        <v>4458679</v>
      </c>
      <c r="AP138" s="551">
        <v>597.47560999999996</v>
      </c>
      <c r="AQ138" s="551">
        <v>127907.5785888</v>
      </c>
      <c r="AR138" s="551">
        <v>5.3464999999999998</v>
      </c>
    </row>
    <row r="139" spans="2:44" x14ac:dyDescent="0.3">
      <c r="B139" s="552">
        <f t="shared" ca="1" si="55"/>
        <v>45013</v>
      </c>
      <c r="C139" s="548">
        <f ca="1">(IFERROR(IFERROR(VALUE(_xll.BDH(C$4,"CURRENT_EV_TO_T12M_EBITDA",$B139,$B139)),VALUE(_xll.BDH(C$4,"CURRENT_EV_TO_T12M_EBITDA",$B139+1,$B139+1))),C140))</f>
        <v>0</v>
      </c>
      <c r="D139" s="548">
        <f ca="1">(IFERROR(IFERROR(VALUE(_xll.BDH(D$4,"CURRENT_EV_TO_T12M_EBITDA",$B139,$B139)),VALUE(_xll.BDH(D$4,"CURRENT_EV_TO_T12M_EBITDA",$B139+1,$B139+1))),D140))</f>
        <v>0</v>
      </c>
      <c r="E139" s="548">
        <f ca="1">(IFERROR(IFERROR(VALUE(_xll.BDH(E$4,"CURRENT_EV_TO_T12M_EBITDA",$B139,$B139)),VALUE(_xll.BDH(E$4,"CURRENT_EV_TO_T12M_EBITDA",$B139+1,$B139+1))),E140))</f>
        <v>0</v>
      </c>
      <c r="F139" s="548">
        <f ca="1">(IFERROR(IFERROR(VALUE(_xll.BDH(F$4,"CURRENT_EV_TO_T12M_EBITDA",$B139,$B139)),VALUE(_xll.BDH(F$4,"CURRENT_EV_TO_T12M_EBITDA",$B139+1,$B139+1))),F140))</f>
        <v>0</v>
      </c>
      <c r="G139" s="548">
        <f ca="1">(IFERROR(IFERROR(VALUE(_xll.BDH(G$4,"CURRENT_EV_TO_T12M_EBITDA",$B139,$B139)),VALUE(_xll.BDH(G$4,"CURRENT_EV_TO_T12M_EBITDA",$B139+1,$B139+1))),G140))</f>
        <v>0</v>
      </c>
      <c r="H139" s="548">
        <f ca="1">(IFERROR(IFERROR(VALUE(_xll.BDH(H$4,"CURRENT_EV_TO_T12M_EBITDA",$B139,$B139)),VALUE(_xll.BDH(H$4,"CURRENT_EV_TO_T12M_EBITDA",$B139+1,$B139+1))),H140))</f>
        <v>0</v>
      </c>
      <c r="I139" s="552">
        <f t="shared" ca="1" si="45"/>
        <v>45013</v>
      </c>
      <c r="J139" s="548">
        <f ca="1">(IFERROR(IFERROR(VALUE(_xll.BDH(J$4,"PE_RATIO",$B139,$B139)),VALUE(_xll.BDH(J$4,"PE_RATIO",$B139+1,$B139+1))),J140))</f>
        <v>0</v>
      </c>
      <c r="K139" s="548">
        <f ca="1">(IFERROR(IFERROR(VALUE(_xll.BDH(K$4,"PE_RATIO",$B139,$B139)),VALUE(_xll.BDH(K$4,"PE_RATIO",$B139+1,$B139+1))),K140))</f>
        <v>0</v>
      </c>
      <c r="L139" s="548">
        <f ca="1">(IFERROR(IFERROR(VALUE(_xll.BDH(L$4,"PE_RATIO",$B139,$B139)),VALUE(_xll.BDH(L$4,"PE_RATIO",$B139+1,$B139+1))),L140))</f>
        <v>0</v>
      </c>
      <c r="M139" s="548">
        <f ca="1">(IFERROR(IFERROR(VALUE(_xll.BDH(M$4,"PE_RATIO",$B139,$B139)),VALUE(_xll.BDH(M$4,"PE_RATIO",$B139+1,$B139+1))),M140))</f>
        <v>0</v>
      </c>
      <c r="N139" s="548">
        <f ca="1">(IFERROR(IFERROR(VALUE(_xll.BDH(N$4,"PE_RATIO",$B139,$B139)),VALUE(_xll.BDH(N$4,"PE_RATIO",$B139+1,$B139+1))),N140))</f>
        <v>0</v>
      </c>
      <c r="O139" s="548">
        <f ca="1">(IFERROR(IFERROR(VALUE(_xll.BDH(O$4,"PE_RATIO",$B139,$B139)),VALUE(_xll.BDH(O$4,"PE_RATIO",$B139+1,$B139+1))),O140))</f>
        <v>0</v>
      </c>
      <c r="P139" s="548"/>
      <c r="Q139" s="552">
        <f t="shared" ca="1" si="46"/>
        <v>45013</v>
      </c>
      <c r="R139" s="4">
        <v>201.59</v>
      </c>
      <c r="S139" s="4">
        <v>4079.09</v>
      </c>
      <c r="T139" s="4">
        <v>0</v>
      </c>
      <c r="U139" s="4">
        <v>1.0347500256647162</v>
      </c>
      <c r="V139" s="4">
        <v>1.1376247343555648</v>
      </c>
      <c r="W139" s="4" t="e">
        <v>#DIV/0!</v>
      </c>
      <c r="Y139" s="548">
        <f t="shared" si="47"/>
        <v>201.59</v>
      </c>
      <c r="Z139" s="4">
        <f ca="1">IFERROR(VALUE(_xll.BDH(Z$4,"PX_LAST",$Q139,$Q139)),Z140)</f>
        <v>0</v>
      </c>
      <c r="AA139" s="4">
        <f ca="1">IFERROR(VALUE(_xll.BDH(AA$4,"PX_LAST",$Q139,$Q139)),AA140)</f>
        <v>0</v>
      </c>
      <c r="AB139" s="4">
        <f ca="1">IFERROR(VALUE(_xll.BDH(AB$4,"PX_LAST",$Q139,$Q139)),AB140)</f>
        <v>0</v>
      </c>
      <c r="AC139" s="4">
        <f ca="1">IFERROR(VALUE(_xll.BDH(AC$4,"PX_LAST",$Q139,$Q139)),AC140)</f>
        <v>0</v>
      </c>
      <c r="AD139" s="4">
        <f ca="1">IFERROR(VALUE(_xll.BDH(AD$4,"PX_LAST",$Q139,$Q139)),AD140)</f>
        <v>0</v>
      </c>
      <c r="AF139" s="4">
        <f t="shared" si="48"/>
        <v>1.0347500256647162</v>
      </c>
      <c r="AG139" s="4" t="e">
        <f t="shared" ca="1" si="49"/>
        <v>#DIV/0!</v>
      </c>
      <c r="AH139" s="4" t="e">
        <f t="shared" ca="1" si="50"/>
        <v>#DIV/0!</v>
      </c>
      <c r="AI139" s="4" t="e">
        <f t="shared" ca="1" si="51"/>
        <v>#DIV/0!</v>
      </c>
      <c r="AJ139" s="4" t="e">
        <f t="shared" ca="1" si="52"/>
        <v>#DIV/0!</v>
      </c>
      <c r="AK139" s="4" t="e">
        <f t="shared" ca="1" si="53"/>
        <v>#DIV/0!</v>
      </c>
      <c r="AM139" s="550">
        <f t="shared" ca="1" si="54"/>
        <v>45816</v>
      </c>
      <c r="AN139" s="551">
        <v>215.66</v>
      </c>
      <c r="AO139" s="551">
        <v>3139236</v>
      </c>
      <c r="AP139" s="551">
        <v>597.47560999999996</v>
      </c>
      <c r="AQ139" s="551">
        <v>128851.59005259999</v>
      </c>
      <c r="AR139" s="551">
        <v>5.3860000000000001</v>
      </c>
    </row>
    <row r="140" spans="2:44" x14ac:dyDescent="0.3">
      <c r="B140" s="552">
        <f t="shared" ca="1" si="55"/>
        <v>45006</v>
      </c>
      <c r="C140" s="548">
        <f ca="1">(IFERROR(IFERROR(VALUE(_xll.BDH(C$4,"CURRENT_EV_TO_T12M_EBITDA",$B140,$B140)),VALUE(_xll.BDH(C$4,"CURRENT_EV_TO_T12M_EBITDA",$B140+1,$B140+1))),C141))</f>
        <v>0</v>
      </c>
      <c r="D140" s="548">
        <f ca="1">(IFERROR(IFERROR(VALUE(_xll.BDH(D$4,"CURRENT_EV_TO_T12M_EBITDA",$B140,$B140)),VALUE(_xll.BDH(D$4,"CURRENT_EV_TO_T12M_EBITDA",$B140+1,$B140+1))),D141))</f>
        <v>0</v>
      </c>
      <c r="E140" s="548">
        <f ca="1">(IFERROR(IFERROR(VALUE(_xll.BDH(E$4,"CURRENT_EV_TO_T12M_EBITDA",$B140,$B140)),VALUE(_xll.BDH(E$4,"CURRENT_EV_TO_T12M_EBITDA",$B140+1,$B140+1))),E141))</f>
        <v>0</v>
      </c>
      <c r="F140" s="548">
        <f ca="1">(IFERROR(IFERROR(VALUE(_xll.BDH(F$4,"CURRENT_EV_TO_T12M_EBITDA",$B140,$B140)),VALUE(_xll.BDH(F$4,"CURRENT_EV_TO_T12M_EBITDA",$B140+1,$B140+1))),F141))</f>
        <v>0</v>
      </c>
      <c r="G140" s="548">
        <f ca="1">(IFERROR(IFERROR(VALUE(_xll.BDH(G$4,"CURRENT_EV_TO_T12M_EBITDA",$B140,$B140)),VALUE(_xll.BDH(G$4,"CURRENT_EV_TO_T12M_EBITDA",$B140+1,$B140+1))),G141))</f>
        <v>0</v>
      </c>
      <c r="H140" s="548">
        <f ca="1">(IFERROR(IFERROR(VALUE(_xll.BDH(H$4,"CURRENT_EV_TO_T12M_EBITDA",$B140,$B140)),VALUE(_xll.BDH(H$4,"CURRENT_EV_TO_T12M_EBITDA",$B140+1,$B140+1))),H141))</f>
        <v>0</v>
      </c>
      <c r="I140" s="552">
        <f t="shared" ca="1" si="45"/>
        <v>45006</v>
      </c>
      <c r="J140" s="548">
        <f ca="1">(IFERROR(IFERROR(VALUE(_xll.BDH(J$4,"PE_RATIO",$B140,$B140)),VALUE(_xll.BDH(J$4,"PE_RATIO",$B140+1,$B140+1))),J141))</f>
        <v>0</v>
      </c>
      <c r="K140" s="548">
        <f ca="1">(IFERROR(IFERROR(VALUE(_xll.BDH(K$4,"PE_RATIO",$B140,$B140)),VALUE(_xll.BDH(K$4,"PE_RATIO",$B140+1,$B140+1))),K141))</f>
        <v>0</v>
      </c>
      <c r="L140" s="548">
        <f ca="1">(IFERROR(IFERROR(VALUE(_xll.BDH(L$4,"PE_RATIO",$B140,$B140)),VALUE(_xll.BDH(L$4,"PE_RATIO",$B140+1,$B140+1))),L141))</f>
        <v>0</v>
      </c>
      <c r="M140" s="548">
        <f ca="1">(IFERROR(IFERROR(VALUE(_xll.BDH(M$4,"PE_RATIO",$B140,$B140)),VALUE(_xll.BDH(M$4,"PE_RATIO",$B140+1,$B140+1))),M141))</f>
        <v>0</v>
      </c>
      <c r="N140" s="548">
        <f ca="1">(IFERROR(IFERROR(VALUE(_xll.BDH(N$4,"PE_RATIO",$B140,$B140)),VALUE(_xll.BDH(N$4,"PE_RATIO",$B140+1,$B140+1))),N141))</f>
        <v>0</v>
      </c>
      <c r="O140" s="548">
        <f ca="1">(IFERROR(IFERROR(VALUE(_xll.BDH(O$4,"PE_RATIO",$B140,$B140)),VALUE(_xll.BDH(O$4,"PE_RATIO",$B140+1,$B140+1))),O141))</f>
        <v>0</v>
      </c>
      <c r="P140" s="548"/>
      <c r="Q140" s="552">
        <f t="shared" ca="1" si="46"/>
        <v>45006</v>
      </c>
      <c r="R140" s="4">
        <v>205.5</v>
      </c>
      <c r="S140" s="4">
        <v>4090.46</v>
      </c>
      <c r="T140" s="4">
        <v>0</v>
      </c>
      <c r="U140" s="4">
        <v>1.0548198336926393</v>
      </c>
      <c r="V140" s="4">
        <v>1.1407957340710952</v>
      </c>
      <c r="W140" s="4" t="e">
        <v>#DIV/0!</v>
      </c>
      <c r="Y140" s="548">
        <f t="shared" si="47"/>
        <v>205.5</v>
      </c>
      <c r="Z140" s="4">
        <f ca="1">IFERROR(VALUE(_xll.BDH(Z$4,"PX_LAST",$Q140,$Q140)),Z141)</f>
        <v>0</v>
      </c>
      <c r="AA140" s="4">
        <f ca="1">IFERROR(VALUE(_xll.BDH(AA$4,"PX_LAST",$Q140,$Q140)),AA141)</f>
        <v>0</v>
      </c>
      <c r="AB140" s="4">
        <f ca="1">IFERROR(VALUE(_xll.BDH(AB$4,"PX_LAST",$Q140,$Q140)),AB141)</f>
        <v>0</v>
      </c>
      <c r="AC140" s="4">
        <f ca="1">IFERROR(VALUE(_xll.BDH(AC$4,"PX_LAST",$Q140,$Q140)),AC141)</f>
        <v>0</v>
      </c>
      <c r="AD140" s="4">
        <f ca="1">IFERROR(VALUE(_xll.BDH(AD$4,"PX_LAST",$Q140,$Q140)),AD141)</f>
        <v>0</v>
      </c>
      <c r="AF140" s="4">
        <f t="shared" si="48"/>
        <v>1.0548198336926393</v>
      </c>
      <c r="AG140" s="4" t="e">
        <f t="shared" ca="1" si="49"/>
        <v>#DIV/0!</v>
      </c>
      <c r="AH140" s="4" t="e">
        <f t="shared" ca="1" si="50"/>
        <v>#DIV/0!</v>
      </c>
      <c r="AI140" s="4" t="e">
        <f t="shared" ca="1" si="51"/>
        <v>#DIV/0!</v>
      </c>
      <c r="AJ140" s="4" t="e">
        <f t="shared" ca="1" si="52"/>
        <v>#DIV/0!</v>
      </c>
      <c r="AK140" s="4" t="e">
        <f t="shared" ca="1" si="53"/>
        <v>#DIV/0!</v>
      </c>
      <c r="AM140" s="550">
        <f t="shared" ca="1" si="54"/>
        <v>45815</v>
      </c>
      <c r="AN140" s="551">
        <v>214.54</v>
      </c>
      <c r="AO140" s="551">
        <v>2886387</v>
      </c>
      <c r="AP140" s="551">
        <v>597.47560999999996</v>
      </c>
      <c r="AQ140" s="551">
        <v>128182.41736939999</v>
      </c>
      <c r="AR140" s="551">
        <v>5.3579999999999997</v>
      </c>
    </row>
    <row r="141" spans="2:44" x14ac:dyDescent="0.3">
      <c r="B141" s="552">
        <f t="shared" ca="1" si="55"/>
        <v>44999</v>
      </c>
      <c r="C141" s="548">
        <f ca="1">(IFERROR(IFERROR(VALUE(_xll.BDH(C$4,"CURRENT_EV_TO_T12M_EBITDA",$B141,$B141)),VALUE(_xll.BDH(C$4,"CURRENT_EV_TO_T12M_EBITDA",$B141+1,$B141+1))),C142))</f>
        <v>0</v>
      </c>
      <c r="D141" s="548">
        <f ca="1">(IFERROR(IFERROR(VALUE(_xll.BDH(D$4,"CURRENT_EV_TO_T12M_EBITDA",$B141,$B141)),VALUE(_xll.BDH(D$4,"CURRENT_EV_TO_T12M_EBITDA",$B141+1,$B141+1))),D142))</f>
        <v>0</v>
      </c>
      <c r="E141" s="548">
        <f ca="1">(IFERROR(IFERROR(VALUE(_xll.BDH(E$4,"CURRENT_EV_TO_T12M_EBITDA",$B141,$B141)),VALUE(_xll.BDH(E$4,"CURRENT_EV_TO_T12M_EBITDA",$B141+1,$B141+1))),E142))</f>
        <v>0</v>
      </c>
      <c r="F141" s="548">
        <f ca="1">(IFERROR(IFERROR(VALUE(_xll.BDH(F$4,"CURRENT_EV_TO_T12M_EBITDA",$B141,$B141)),VALUE(_xll.BDH(F$4,"CURRENT_EV_TO_T12M_EBITDA",$B141+1,$B141+1))),F142))</f>
        <v>0</v>
      </c>
      <c r="G141" s="548">
        <f ca="1">(IFERROR(IFERROR(VALUE(_xll.BDH(G$4,"CURRENT_EV_TO_T12M_EBITDA",$B141,$B141)),VALUE(_xll.BDH(G$4,"CURRENT_EV_TO_T12M_EBITDA",$B141+1,$B141+1))),G142))</f>
        <v>0</v>
      </c>
      <c r="H141" s="548">
        <f ca="1">(IFERROR(IFERROR(VALUE(_xll.BDH(H$4,"CURRENT_EV_TO_T12M_EBITDA",$B141,$B141)),VALUE(_xll.BDH(H$4,"CURRENT_EV_TO_T12M_EBITDA",$B141+1,$B141+1))),H142))</f>
        <v>0</v>
      </c>
      <c r="I141" s="552">
        <f t="shared" ca="1" si="45"/>
        <v>44999</v>
      </c>
      <c r="J141" s="548">
        <f ca="1">(IFERROR(IFERROR(VALUE(_xll.BDH(J$4,"PE_RATIO",$B141,$B141)),VALUE(_xll.BDH(J$4,"PE_RATIO",$B141+1,$B141+1))),J142))</f>
        <v>0</v>
      </c>
      <c r="K141" s="548">
        <f ca="1">(IFERROR(IFERROR(VALUE(_xll.BDH(K$4,"PE_RATIO",$B141,$B141)),VALUE(_xll.BDH(K$4,"PE_RATIO",$B141+1,$B141+1))),K142))</f>
        <v>0</v>
      </c>
      <c r="L141" s="548">
        <f ca="1">(IFERROR(IFERROR(VALUE(_xll.BDH(L$4,"PE_RATIO",$B141,$B141)),VALUE(_xll.BDH(L$4,"PE_RATIO",$B141+1,$B141+1))),L142))</f>
        <v>0</v>
      </c>
      <c r="M141" s="548">
        <f ca="1">(IFERROR(IFERROR(VALUE(_xll.BDH(M$4,"PE_RATIO",$B141,$B141)),VALUE(_xll.BDH(M$4,"PE_RATIO",$B141+1,$B141+1))),M142))</f>
        <v>0</v>
      </c>
      <c r="N141" s="548">
        <f ca="1">(IFERROR(IFERROR(VALUE(_xll.BDH(N$4,"PE_RATIO",$B141,$B141)),VALUE(_xll.BDH(N$4,"PE_RATIO",$B141+1,$B141+1))),N142))</f>
        <v>0</v>
      </c>
      <c r="O141" s="548">
        <f ca="1">(IFERROR(IFERROR(VALUE(_xll.BDH(O$4,"PE_RATIO",$B141,$B141)),VALUE(_xll.BDH(O$4,"PE_RATIO",$B141+1,$B141+1))),O142))</f>
        <v>0</v>
      </c>
      <c r="P141" s="548"/>
      <c r="Q141" s="552">
        <f t="shared" ca="1" si="46"/>
        <v>44999</v>
      </c>
      <c r="R141" s="4">
        <v>210.29</v>
      </c>
      <c r="S141" s="4">
        <v>4136.4799999999996</v>
      </c>
      <c r="T141" s="4">
        <v>0</v>
      </c>
      <c r="U141" s="4">
        <v>1.0794066317626527</v>
      </c>
      <c r="V141" s="4">
        <v>1.1536303345028196</v>
      </c>
      <c r="W141" s="4" t="e">
        <v>#DIV/0!</v>
      </c>
      <c r="Y141" s="548">
        <f t="shared" si="47"/>
        <v>210.29</v>
      </c>
      <c r="Z141" s="4">
        <f ca="1">IFERROR(VALUE(_xll.BDH(Z$4,"PX_LAST",$Q141,$Q141)),Z142)</f>
        <v>0</v>
      </c>
      <c r="AA141" s="4">
        <f ca="1">IFERROR(VALUE(_xll.BDH(AA$4,"PX_LAST",$Q141,$Q141)),AA142)</f>
        <v>0</v>
      </c>
      <c r="AB141" s="4">
        <f ca="1">IFERROR(VALUE(_xll.BDH(AB$4,"PX_LAST",$Q141,$Q141)),AB142)</f>
        <v>0</v>
      </c>
      <c r="AC141" s="4">
        <f ca="1">IFERROR(VALUE(_xll.BDH(AC$4,"PX_LAST",$Q141,$Q141)),AC142)</f>
        <v>0</v>
      </c>
      <c r="AD141" s="4">
        <f ca="1">IFERROR(VALUE(_xll.BDH(AD$4,"PX_LAST",$Q141,$Q141)),AD142)</f>
        <v>0</v>
      </c>
      <c r="AF141" s="4">
        <f t="shared" si="48"/>
        <v>1.0794066317626527</v>
      </c>
      <c r="AG141" s="4" t="e">
        <f t="shared" ca="1" si="49"/>
        <v>#DIV/0!</v>
      </c>
      <c r="AH141" s="4" t="e">
        <f t="shared" ca="1" si="50"/>
        <v>#DIV/0!</v>
      </c>
      <c r="AI141" s="4" t="e">
        <f t="shared" ca="1" si="51"/>
        <v>#DIV/0!</v>
      </c>
      <c r="AJ141" s="4" t="e">
        <f t="shared" ca="1" si="52"/>
        <v>#DIV/0!</v>
      </c>
      <c r="AK141" s="4" t="e">
        <f t="shared" ca="1" si="53"/>
        <v>#DIV/0!</v>
      </c>
      <c r="AM141" s="550">
        <f t="shared" ca="1" si="54"/>
        <v>45814</v>
      </c>
      <c r="AN141" s="551">
        <v>212.61</v>
      </c>
      <c r="AO141" s="551">
        <v>3053371</v>
      </c>
      <c r="AP141" s="551">
        <v>597.47560999999996</v>
      </c>
      <c r="AQ141" s="551">
        <v>127029.28944209999</v>
      </c>
      <c r="AR141" s="551">
        <v>5.3098000000000001</v>
      </c>
    </row>
    <row r="142" spans="2:44" x14ac:dyDescent="0.3">
      <c r="B142" s="552">
        <f t="shared" ca="1" si="55"/>
        <v>44992</v>
      </c>
      <c r="C142" s="548">
        <f ca="1">(IFERROR(IFERROR(VALUE(_xll.BDH(C$4,"CURRENT_EV_TO_T12M_EBITDA",$B142,$B142)),VALUE(_xll.BDH(C$4,"CURRENT_EV_TO_T12M_EBITDA",$B142+1,$B142+1))),C143))</f>
        <v>0</v>
      </c>
      <c r="D142" s="548">
        <f ca="1">(IFERROR(IFERROR(VALUE(_xll.BDH(D$4,"CURRENT_EV_TO_T12M_EBITDA",$B142,$B142)),VALUE(_xll.BDH(D$4,"CURRENT_EV_TO_T12M_EBITDA",$B142+1,$B142+1))),D143))</f>
        <v>0</v>
      </c>
      <c r="E142" s="548">
        <f ca="1">(IFERROR(IFERROR(VALUE(_xll.BDH(E$4,"CURRENT_EV_TO_T12M_EBITDA",$B142,$B142)),VALUE(_xll.BDH(E$4,"CURRENT_EV_TO_T12M_EBITDA",$B142+1,$B142+1))),E143))</f>
        <v>0</v>
      </c>
      <c r="F142" s="548">
        <f ca="1">(IFERROR(IFERROR(VALUE(_xll.BDH(F$4,"CURRENT_EV_TO_T12M_EBITDA",$B142,$B142)),VALUE(_xll.BDH(F$4,"CURRENT_EV_TO_T12M_EBITDA",$B142+1,$B142+1))),F143))</f>
        <v>0</v>
      </c>
      <c r="G142" s="548">
        <f ca="1">(IFERROR(IFERROR(VALUE(_xll.BDH(G$4,"CURRENT_EV_TO_T12M_EBITDA",$B142,$B142)),VALUE(_xll.BDH(G$4,"CURRENT_EV_TO_T12M_EBITDA",$B142+1,$B142+1))),G143))</f>
        <v>0</v>
      </c>
      <c r="H142" s="548">
        <f ca="1">(IFERROR(IFERROR(VALUE(_xll.BDH(H$4,"CURRENT_EV_TO_T12M_EBITDA",$B142,$B142)),VALUE(_xll.BDH(H$4,"CURRENT_EV_TO_T12M_EBITDA",$B142+1,$B142+1))),H143))</f>
        <v>0</v>
      </c>
      <c r="I142" s="552">
        <f t="shared" ca="1" si="45"/>
        <v>44992</v>
      </c>
      <c r="J142" s="548">
        <f ca="1">(IFERROR(IFERROR(VALUE(_xll.BDH(J$4,"PE_RATIO",$B142,$B142)),VALUE(_xll.BDH(J$4,"PE_RATIO",$B142+1,$B142+1))),J143))</f>
        <v>0</v>
      </c>
      <c r="K142" s="548">
        <f ca="1">(IFERROR(IFERROR(VALUE(_xll.BDH(K$4,"PE_RATIO",$B142,$B142)),VALUE(_xll.BDH(K$4,"PE_RATIO",$B142+1,$B142+1))),K143))</f>
        <v>0</v>
      </c>
      <c r="L142" s="548">
        <f ca="1">(IFERROR(IFERROR(VALUE(_xll.BDH(L$4,"PE_RATIO",$B142,$B142)),VALUE(_xll.BDH(L$4,"PE_RATIO",$B142+1,$B142+1))),L143))</f>
        <v>0</v>
      </c>
      <c r="M142" s="548">
        <f ca="1">(IFERROR(IFERROR(VALUE(_xll.BDH(M$4,"PE_RATIO",$B142,$B142)),VALUE(_xll.BDH(M$4,"PE_RATIO",$B142+1,$B142+1))),M143))</f>
        <v>0</v>
      </c>
      <c r="N142" s="548">
        <f ca="1">(IFERROR(IFERROR(VALUE(_xll.BDH(N$4,"PE_RATIO",$B142,$B142)),VALUE(_xll.BDH(N$4,"PE_RATIO",$B142+1,$B142+1))),N143))</f>
        <v>0</v>
      </c>
      <c r="O142" s="548">
        <f ca="1">(IFERROR(IFERROR(VALUE(_xll.BDH(O$4,"PE_RATIO",$B142,$B142)),VALUE(_xll.BDH(O$4,"PE_RATIO",$B142+1,$B142+1))),O143))</f>
        <v>0</v>
      </c>
      <c r="P142" s="548"/>
      <c r="Q142" s="552">
        <f t="shared" ca="1" si="46"/>
        <v>44992</v>
      </c>
      <c r="R142" s="4">
        <v>202.39</v>
      </c>
      <c r="S142" s="4">
        <v>4070.56</v>
      </c>
      <c r="T142" s="4">
        <v>0</v>
      </c>
      <c r="U142" s="4">
        <v>1.0388563802484345</v>
      </c>
      <c r="V142" s="4">
        <v>1.1352457873394282</v>
      </c>
      <c r="W142" s="4" t="e">
        <v>#DIV/0!</v>
      </c>
      <c r="Y142" s="548">
        <f t="shared" si="47"/>
        <v>202.39</v>
      </c>
      <c r="Z142" s="4">
        <f ca="1">IFERROR(VALUE(_xll.BDH(Z$4,"PX_LAST",$Q142,$Q142)),Z143)</f>
        <v>0</v>
      </c>
      <c r="AA142" s="4">
        <f ca="1">IFERROR(VALUE(_xll.BDH(AA$4,"PX_LAST",$Q142,$Q142)),AA143)</f>
        <v>0</v>
      </c>
      <c r="AB142" s="4">
        <f ca="1">IFERROR(VALUE(_xll.BDH(AB$4,"PX_LAST",$Q142,$Q142)),AB143)</f>
        <v>0</v>
      </c>
      <c r="AC142" s="4">
        <f ca="1">IFERROR(VALUE(_xll.BDH(AC$4,"PX_LAST",$Q142,$Q142)),AC143)</f>
        <v>0</v>
      </c>
      <c r="AD142" s="4">
        <f ca="1">IFERROR(VALUE(_xll.BDH(AD$4,"PX_LAST",$Q142,$Q142)),AD143)</f>
        <v>0</v>
      </c>
      <c r="AF142" s="4">
        <f t="shared" si="48"/>
        <v>1.0388563802484345</v>
      </c>
      <c r="AG142" s="4" t="e">
        <f t="shared" ca="1" si="49"/>
        <v>#DIV/0!</v>
      </c>
      <c r="AH142" s="4" t="e">
        <f t="shared" ca="1" si="50"/>
        <v>#DIV/0!</v>
      </c>
      <c r="AI142" s="4" t="e">
        <f t="shared" ca="1" si="51"/>
        <v>#DIV/0!</v>
      </c>
      <c r="AJ142" s="4" t="e">
        <f t="shared" ca="1" si="52"/>
        <v>#DIV/0!</v>
      </c>
      <c r="AK142" s="4" t="e">
        <f t="shared" ca="1" si="53"/>
        <v>#DIV/0!</v>
      </c>
      <c r="AM142" s="550">
        <f t="shared" ca="1" si="54"/>
        <v>45813</v>
      </c>
      <c r="AN142" s="551">
        <v>213.29</v>
      </c>
      <c r="AO142" s="551">
        <v>3454911</v>
      </c>
      <c r="AP142" s="551">
        <v>597.47560999999996</v>
      </c>
      <c r="AQ142" s="551">
        <v>127435.57285689999</v>
      </c>
      <c r="AR142" s="551">
        <v>5.3268000000000004</v>
      </c>
    </row>
    <row r="143" spans="2:44" x14ac:dyDescent="0.3">
      <c r="B143" s="552">
        <f t="shared" ca="1" si="55"/>
        <v>44985</v>
      </c>
      <c r="C143" s="548">
        <f ca="1">(IFERROR(IFERROR(VALUE(_xll.BDH(C$4,"CURRENT_EV_TO_T12M_EBITDA",$B143,$B143)),VALUE(_xll.BDH(C$4,"CURRENT_EV_TO_T12M_EBITDA",$B143+1,$B143+1))),C144))</f>
        <v>0</v>
      </c>
      <c r="D143" s="548">
        <f ca="1">(IFERROR(IFERROR(VALUE(_xll.BDH(D$4,"CURRENT_EV_TO_T12M_EBITDA",$B143,$B143)),VALUE(_xll.BDH(D$4,"CURRENT_EV_TO_T12M_EBITDA",$B143+1,$B143+1))),D144))</f>
        <v>0</v>
      </c>
      <c r="E143" s="548">
        <f ca="1">(IFERROR(IFERROR(VALUE(_xll.BDH(E$4,"CURRENT_EV_TO_T12M_EBITDA",$B143,$B143)),VALUE(_xll.BDH(E$4,"CURRENT_EV_TO_T12M_EBITDA",$B143+1,$B143+1))),E144))</f>
        <v>0</v>
      </c>
      <c r="F143" s="548">
        <f ca="1">(IFERROR(IFERROR(VALUE(_xll.BDH(F$4,"CURRENT_EV_TO_T12M_EBITDA",$B143,$B143)),VALUE(_xll.BDH(F$4,"CURRENT_EV_TO_T12M_EBITDA",$B143+1,$B143+1))),F144))</f>
        <v>0</v>
      </c>
      <c r="G143" s="548">
        <f ca="1">(IFERROR(IFERROR(VALUE(_xll.BDH(G$4,"CURRENT_EV_TO_T12M_EBITDA",$B143,$B143)),VALUE(_xll.BDH(G$4,"CURRENT_EV_TO_T12M_EBITDA",$B143+1,$B143+1))),G144))</f>
        <v>0</v>
      </c>
      <c r="H143" s="548">
        <f ca="1">(IFERROR(IFERROR(VALUE(_xll.BDH(H$4,"CURRENT_EV_TO_T12M_EBITDA",$B143,$B143)),VALUE(_xll.BDH(H$4,"CURRENT_EV_TO_T12M_EBITDA",$B143+1,$B143+1))),H144))</f>
        <v>0</v>
      </c>
      <c r="I143" s="552">
        <f t="shared" ca="1" si="45"/>
        <v>44985</v>
      </c>
      <c r="J143" s="548">
        <f ca="1">(IFERROR(IFERROR(VALUE(_xll.BDH(J$4,"PE_RATIO",$B143,$B143)),VALUE(_xll.BDH(J$4,"PE_RATIO",$B143+1,$B143+1))),J144))</f>
        <v>0</v>
      </c>
      <c r="K143" s="548">
        <f ca="1">(IFERROR(IFERROR(VALUE(_xll.BDH(K$4,"PE_RATIO",$B143,$B143)),VALUE(_xll.BDH(K$4,"PE_RATIO",$B143+1,$B143+1))),K144))</f>
        <v>0</v>
      </c>
      <c r="L143" s="548">
        <f ca="1">(IFERROR(IFERROR(VALUE(_xll.BDH(L$4,"PE_RATIO",$B143,$B143)),VALUE(_xll.BDH(L$4,"PE_RATIO",$B143+1,$B143+1))),L144))</f>
        <v>0</v>
      </c>
      <c r="M143" s="548">
        <f ca="1">(IFERROR(IFERROR(VALUE(_xll.BDH(M$4,"PE_RATIO",$B143,$B143)),VALUE(_xll.BDH(M$4,"PE_RATIO",$B143+1,$B143+1))),M144))</f>
        <v>0</v>
      </c>
      <c r="N143" s="548">
        <f ca="1">(IFERROR(IFERROR(VALUE(_xll.BDH(N$4,"PE_RATIO",$B143,$B143)),VALUE(_xll.BDH(N$4,"PE_RATIO",$B143+1,$B143+1))),N144))</f>
        <v>0</v>
      </c>
      <c r="O143" s="548">
        <f ca="1">(IFERROR(IFERROR(VALUE(_xll.BDH(O$4,"PE_RATIO",$B143,$B143)),VALUE(_xll.BDH(O$4,"PE_RATIO",$B143+1,$B143+1))),O144))</f>
        <v>0</v>
      </c>
      <c r="P143" s="548"/>
      <c r="Q143" s="552">
        <f t="shared" ca="1" si="46"/>
        <v>44985</v>
      </c>
      <c r="R143" s="4">
        <v>208.66</v>
      </c>
      <c r="S143" s="4">
        <v>3972.61</v>
      </c>
      <c r="T143" s="4">
        <v>0</v>
      </c>
      <c r="U143" s="4">
        <v>1.0710399342983268</v>
      </c>
      <c r="V143" s="4">
        <v>1.1079283359642127</v>
      </c>
      <c r="W143" s="4" t="e">
        <v>#DIV/0!</v>
      </c>
      <c r="Y143" s="548">
        <f t="shared" si="47"/>
        <v>208.66</v>
      </c>
      <c r="Z143" s="4">
        <f ca="1">IFERROR(VALUE(_xll.BDH(Z$4,"PX_LAST",$Q143,$Q143)),Z144)</f>
        <v>0</v>
      </c>
      <c r="AA143" s="4">
        <f ca="1">IFERROR(VALUE(_xll.BDH(AA$4,"PX_LAST",$Q143,$Q143)),AA144)</f>
        <v>0</v>
      </c>
      <c r="AB143" s="4">
        <f ca="1">IFERROR(VALUE(_xll.BDH(AB$4,"PX_LAST",$Q143,$Q143)),AB144)</f>
        <v>0</v>
      </c>
      <c r="AC143" s="4">
        <f ca="1">IFERROR(VALUE(_xll.BDH(AC$4,"PX_LAST",$Q143,$Q143)),AC144)</f>
        <v>0</v>
      </c>
      <c r="AD143" s="4">
        <f ca="1">IFERROR(VALUE(_xll.BDH(AD$4,"PX_LAST",$Q143,$Q143)),AD144)</f>
        <v>0</v>
      </c>
      <c r="AF143" s="4">
        <f t="shared" si="48"/>
        <v>1.0710399342983268</v>
      </c>
      <c r="AG143" s="4" t="e">
        <f t="shared" ca="1" si="49"/>
        <v>#DIV/0!</v>
      </c>
      <c r="AH143" s="4" t="e">
        <f t="shared" ca="1" si="50"/>
        <v>#DIV/0!</v>
      </c>
      <c r="AI143" s="4" t="e">
        <f t="shared" ca="1" si="51"/>
        <v>#DIV/0!</v>
      </c>
      <c r="AJ143" s="4" t="e">
        <f t="shared" ca="1" si="52"/>
        <v>#DIV/0!</v>
      </c>
      <c r="AK143" s="4" t="e">
        <f t="shared" ca="1" si="53"/>
        <v>#DIV/0!</v>
      </c>
      <c r="AM143" s="550">
        <f t="shared" ca="1" si="54"/>
        <v>45812</v>
      </c>
      <c r="AN143" s="551">
        <v>213.29</v>
      </c>
      <c r="AO143" s="551">
        <v>3454911</v>
      </c>
      <c r="AP143" s="551">
        <v>597.47560999999996</v>
      </c>
      <c r="AQ143" s="551">
        <v>127435.57285689999</v>
      </c>
      <c r="AR143" s="551">
        <v>5.3268000000000004</v>
      </c>
    </row>
    <row r="144" spans="2:44" x14ac:dyDescent="0.3">
      <c r="B144" s="552">
        <f t="shared" ca="1" si="55"/>
        <v>44978</v>
      </c>
      <c r="C144" s="548">
        <f ca="1">(IFERROR(IFERROR(VALUE(_xll.BDH(C$4,"CURRENT_EV_TO_T12M_EBITDA",$B144,$B144)),VALUE(_xll.BDH(C$4,"CURRENT_EV_TO_T12M_EBITDA",$B144+1,$B144+1))),C145))</f>
        <v>0</v>
      </c>
      <c r="D144" s="548">
        <f ca="1">(IFERROR(IFERROR(VALUE(_xll.BDH(D$4,"CURRENT_EV_TO_T12M_EBITDA",$B144,$B144)),VALUE(_xll.BDH(D$4,"CURRENT_EV_TO_T12M_EBITDA",$B144+1,$B144+1))),D145))</f>
        <v>0</v>
      </c>
      <c r="E144" s="548">
        <f ca="1">(IFERROR(IFERROR(VALUE(_xll.BDH(E$4,"CURRENT_EV_TO_T12M_EBITDA",$B144,$B144)),VALUE(_xll.BDH(E$4,"CURRENT_EV_TO_T12M_EBITDA",$B144+1,$B144+1))),E145))</f>
        <v>0</v>
      </c>
      <c r="F144" s="548">
        <f ca="1">(IFERROR(IFERROR(VALUE(_xll.BDH(F$4,"CURRENT_EV_TO_T12M_EBITDA",$B144,$B144)),VALUE(_xll.BDH(F$4,"CURRENT_EV_TO_T12M_EBITDA",$B144+1,$B144+1))),F145))</f>
        <v>0</v>
      </c>
      <c r="G144" s="548">
        <f ca="1">(IFERROR(IFERROR(VALUE(_xll.BDH(G$4,"CURRENT_EV_TO_T12M_EBITDA",$B144,$B144)),VALUE(_xll.BDH(G$4,"CURRENT_EV_TO_T12M_EBITDA",$B144+1,$B144+1))),G145))</f>
        <v>0</v>
      </c>
      <c r="H144" s="548">
        <f ca="1">(IFERROR(IFERROR(VALUE(_xll.BDH(H$4,"CURRENT_EV_TO_T12M_EBITDA",$B144,$B144)),VALUE(_xll.BDH(H$4,"CURRENT_EV_TO_T12M_EBITDA",$B144+1,$B144+1))),H145))</f>
        <v>0</v>
      </c>
      <c r="I144" s="552">
        <f t="shared" ca="1" si="45"/>
        <v>44978</v>
      </c>
      <c r="J144" s="548">
        <f ca="1">(IFERROR(IFERROR(VALUE(_xll.BDH(J$4,"PE_RATIO",$B144,$B144)),VALUE(_xll.BDH(J$4,"PE_RATIO",$B144+1,$B144+1))),J145))</f>
        <v>0</v>
      </c>
      <c r="K144" s="548">
        <f ca="1">(IFERROR(IFERROR(VALUE(_xll.BDH(K$4,"PE_RATIO",$B144,$B144)),VALUE(_xll.BDH(K$4,"PE_RATIO",$B144+1,$B144+1))),K145))</f>
        <v>0</v>
      </c>
      <c r="L144" s="548">
        <f ca="1">(IFERROR(IFERROR(VALUE(_xll.BDH(L$4,"PE_RATIO",$B144,$B144)),VALUE(_xll.BDH(L$4,"PE_RATIO",$B144+1,$B144+1))),L145))</f>
        <v>0</v>
      </c>
      <c r="M144" s="548">
        <f ca="1">(IFERROR(IFERROR(VALUE(_xll.BDH(M$4,"PE_RATIO",$B144,$B144)),VALUE(_xll.BDH(M$4,"PE_RATIO",$B144+1,$B144+1))),M145))</f>
        <v>0</v>
      </c>
      <c r="N144" s="548">
        <f ca="1">(IFERROR(IFERROR(VALUE(_xll.BDH(N$4,"PE_RATIO",$B144,$B144)),VALUE(_xll.BDH(N$4,"PE_RATIO",$B144+1,$B144+1))),N145))</f>
        <v>0</v>
      </c>
      <c r="O144" s="548">
        <f ca="1">(IFERROR(IFERROR(VALUE(_xll.BDH(O$4,"PE_RATIO",$B144,$B144)),VALUE(_xll.BDH(O$4,"PE_RATIO",$B144+1,$B144+1))),O145))</f>
        <v>0</v>
      </c>
      <c r="P144" s="548"/>
      <c r="Q144" s="552">
        <f t="shared" ca="1" si="46"/>
        <v>44978</v>
      </c>
      <c r="R144" s="4">
        <v>213.23</v>
      </c>
      <c r="S144" s="4">
        <v>3999.09</v>
      </c>
      <c r="T144" s="4">
        <v>0</v>
      </c>
      <c r="U144" s="4">
        <v>1.0944974848578175</v>
      </c>
      <c r="V144" s="4">
        <v>1.1153133907106723</v>
      </c>
      <c r="W144" s="4" t="e">
        <v>#DIV/0!</v>
      </c>
      <c r="Y144" s="548">
        <f t="shared" si="47"/>
        <v>213.23</v>
      </c>
      <c r="Z144" s="4">
        <f ca="1">IFERROR(VALUE(_xll.BDH(Z$4,"PX_LAST",$Q144,$Q144)),Z145)</f>
        <v>0</v>
      </c>
      <c r="AA144" s="4">
        <f ca="1">IFERROR(VALUE(_xll.BDH(AA$4,"PX_LAST",$Q144,$Q144)),AA145)</f>
        <v>0</v>
      </c>
      <c r="AB144" s="4">
        <f ca="1">IFERROR(VALUE(_xll.BDH(AB$4,"PX_LAST",$Q144,$Q144)),AB145)</f>
        <v>0</v>
      </c>
      <c r="AC144" s="4">
        <f ca="1">IFERROR(VALUE(_xll.BDH(AC$4,"PX_LAST",$Q144,$Q144)),AC145)</f>
        <v>0</v>
      </c>
      <c r="AD144" s="4">
        <f ca="1">IFERROR(VALUE(_xll.BDH(AD$4,"PX_LAST",$Q144,$Q144)),AD145)</f>
        <v>0</v>
      </c>
      <c r="AF144" s="4">
        <f t="shared" si="48"/>
        <v>1.0944974848578175</v>
      </c>
      <c r="AG144" s="4" t="e">
        <f t="shared" ca="1" si="49"/>
        <v>#DIV/0!</v>
      </c>
      <c r="AH144" s="4" t="e">
        <f t="shared" ca="1" si="50"/>
        <v>#DIV/0!</v>
      </c>
      <c r="AI144" s="4" t="e">
        <f t="shared" ca="1" si="51"/>
        <v>#DIV/0!</v>
      </c>
      <c r="AJ144" s="4" t="e">
        <f t="shared" ca="1" si="52"/>
        <v>#DIV/0!</v>
      </c>
      <c r="AK144" s="4" t="e">
        <f t="shared" ca="1" si="53"/>
        <v>#DIV/0!</v>
      </c>
      <c r="AM144" s="550">
        <f t="shared" ca="1" si="54"/>
        <v>45811</v>
      </c>
      <c r="AN144" s="551">
        <v>213.29</v>
      </c>
      <c r="AO144" s="551">
        <v>3454911</v>
      </c>
      <c r="AP144" s="551">
        <v>597.47560999999996</v>
      </c>
      <c r="AQ144" s="551">
        <v>127435.57285689999</v>
      </c>
      <c r="AR144" s="551">
        <v>5.3268000000000004</v>
      </c>
    </row>
    <row r="145" spans="2:44" x14ac:dyDescent="0.3">
      <c r="B145" s="552">
        <f t="shared" ca="1" si="55"/>
        <v>44971</v>
      </c>
      <c r="C145" s="548">
        <f ca="1">(IFERROR(IFERROR(VALUE(_xll.BDH(C$4,"CURRENT_EV_TO_T12M_EBITDA",$B145,$B145)),VALUE(_xll.BDH(C$4,"CURRENT_EV_TO_T12M_EBITDA",$B145+1,$B145+1))),C146))</f>
        <v>0</v>
      </c>
      <c r="D145" s="548">
        <f ca="1">(IFERROR(IFERROR(VALUE(_xll.BDH(D$4,"CURRENT_EV_TO_T12M_EBITDA",$B145,$B145)),VALUE(_xll.BDH(D$4,"CURRENT_EV_TO_T12M_EBITDA",$B145+1,$B145+1))),D146))</f>
        <v>0</v>
      </c>
      <c r="E145" s="548">
        <f ca="1">(IFERROR(IFERROR(VALUE(_xll.BDH(E$4,"CURRENT_EV_TO_T12M_EBITDA",$B145,$B145)),VALUE(_xll.BDH(E$4,"CURRENT_EV_TO_T12M_EBITDA",$B145+1,$B145+1))),E146))</f>
        <v>0</v>
      </c>
      <c r="F145" s="548">
        <f ca="1">(IFERROR(IFERROR(VALUE(_xll.BDH(F$4,"CURRENT_EV_TO_T12M_EBITDA",$B145,$B145)),VALUE(_xll.BDH(F$4,"CURRENT_EV_TO_T12M_EBITDA",$B145+1,$B145+1))),F146))</f>
        <v>0</v>
      </c>
      <c r="G145" s="548">
        <f ca="1">(IFERROR(IFERROR(VALUE(_xll.BDH(G$4,"CURRENT_EV_TO_T12M_EBITDA",$B145,$B145)),VALUE(_xll.BDH(G$4,"CURRENT_EV_TO_T12M_EBITDA",$B145+1,$B145+1))),G146))</f>
        <v>0</v>
      </c>
      <c r="H145" s="548">
        <f ca="1">(IFERROR(IFERROR(VALUE(_xll.BDH(H$4,"CURRENT_EV_TO_T12M_EBITDA",$B145,$B145)),VALUE(_xll.BDH(H$4,"CURRENT_EV_TO_T12M_EBITDA",$B145+1,$B145+1))),H146))</f>
        <v>0</v>
      </c>
      <c r="I145" s="552">
        <f t="shared" ca="1" si="45"/>
        <v>44971</v>
      </c>
      <c r="J145" s="548">
        <f ca="1">(IFERROR(IFERROR(VALUE(_xll.BDH(J$4,"PE_RATIO",$B145,$B145)),VALUE(_xll.BDH(J$4,"PE_RATIO",$B145+1,$B145+1))),J146))</f>
        <v>0</v>
      </c>
      <c r="K145" s="548">
        <f ca="1">(IFERROR(IFERROR(VALUE(_xll.BDH(K$4,"PE_RATIO",$B145,$B145)),VALUE(_xll.BDH(K$4,"PE_RATIO",$B145+1,$B145+1))),K146))</f>
        <v>0</v>
      </c>
      <c r="L145" s="548">
        <f ca="1">(IFERROR(IFERROR(VALUE(_xll.BDH(L$4,"PE_RATIO",$B145,$B145)),VALUE(_xll.BDH(L$4,"PE_RATIO",$B145+1,$B145+1))),L146))</f>
        <v>0</v>
      </c>
      <c r="M145" s="548">
        <f ca="1">(IFERROR(IFERROR(VALUE(_xll.BDH(M$4,"PE_RATIO",$B145,$B145)),VALUE(_xll.BDH(M$4,"PE_RATIO",$B145+1,$B145+1))),M146))</f>
        <v>0</v>
      </c>
      <c r="N145" s="548">
        <f ca="1">(IFERROR(IFERROR(VALUE(_xll.BDH(N$4,"PE_RATIO",$B145,$B145)),VALUE(_xll.BDH(N$4,"PE_RATIO",$B145+1,$B145+1))),N146))</f>
        <v>0</v>
      </c>
      <c r="O145" s="548">
        <f ca="1">(IFERROR(IFERROR(VALUE(_xll.BDH(O$4,"PE_RATIO",$B145,$B145)),VALUE(_xll.BDH(O$4,"PE_RATIO",$B145+1,$B145+1))),O146))</f>
        <v>0</v>
      </c>
      <c r="P145" s="548"/>
      <c r="Q145" s="552">
        <f t="shared" ca="1" si="46"/>
        <v>44971</v>
      </c>
      <c r="R145" s="4">
        <v>212.01</v>
      </c>
      <c r="S145" s="4">
        <v>3895.08</v>
      </c>
      <c r="T145" s="4">
        <v>0</v>
      </c>
      <c r="U145" s="4">
        <v>1.088235294117647</v>
      </c>
      <c r="V145" s="4">
        <v>1.0863058550543561</v>
      </c>
      <c r="W145" s="4" t="e">
        <v>#DIV/0!</v>
      </c>
      <c r="Y145" s="548">
        <f t="shared" si="47"/>
        <v>212.01</v>
      </c>
      <c r="Z145" s="4">
        <f ca="1">IFERROR(VALUE(_xll.BDH(Z$4,"PX_LAST",$Q145,$Q145)),Z146)</f>
        <v>0</v>
      </c>
      <c r="AA145" s="4">
        <f ca="1">IFERROR(VALUE(_xll.BDH(AA$4,"PX_LAST",$Q145,$Q145)),AA146)</f>
        <v>0</v>
      </c>
      <c r="AB145" s="4">
        <f ca="1">IFERROR(VALUE(_xll.BDH(AB$4,"PX_LAST",$Q145,$Q145)),AB146)</f>
        <v>0</v>
      </c>
      <c r="AC145" s="4">
        <f ca="1">IFERROR(VALUE(_xll.BDH(AC$4,"PX_LAST",$Q145,$Q145)),AC146)</f>
        <v>0</v>
      </c>
      <c r="AD145" s="4">
        <f ca="1">IFERROR(VALUE(_xll.BDH(AD$4,"PX_LAST",$Q145,$Q145)),AD146)</f>
        <v>0</v>
      </c>
      <c r="AF145" s="4">
        <f t="shared" si="48"/>
        <v>1.088235294117647</v>
      </c>
      <c r="AG145" s="4" t="e">
        <f t="shared" ca="1" si="49"/>
        <v>#DIV/0!</v>
      </c>
      <c r="AH145" s="4" t="e">
        <f t="shared" ca="1" si="50"/>
        <v>#DIV/0!</v>
      </c>
      <c r="AI145" s="4" t="e">
        <f t="shared" ca="1" si="51"/>
        <v>#DIV/0!</v>
      </c>
      <c r="AJ145" s="4" t="e">
        <f t="shared" ca="1" si="52"/>
        <v>#DIV/0!</v>
      </c>
      <c r="AK145" s="4" t="e">
        <f t="shared" ca="1" si="53"/>
        <v>#DIV/0!</v>
      </c>
      <c r="AM145" s="550">
        <f t="shared" ca="1" si="54"/>
        <v>45810</v>
      </c>
      <c r="AN145" s="551">
        <v>215.45</v>
      </c>
      <c r="AO145" s="551">
        <v>5205201</v>
      </c>
      <c r="AP145" s="551">
        <v>597.47560999999996</v>
      </c>
      <c r="AQ145" s="551">
        <v>128726.12017449999</v>
      </c>
      <c r="AR145" s="551">
        <v>5.3807</v>
      </c>
    </row>
    <row r="146" spans="2:44" x14ac:dyDescent="0.3">
      <c r="B146" s="552">
        <f t="shared" ca="1" si="55"/>
        <v>44964</v>
      </c>
      <c r="C146" s="548">
        <f ca="1">(IFERROR(IFERROR(VALUE(_xll.BDH(C$4,"CURRENT_EV_TO_T12M_EBITDA",$B146,$B146)),VALUE(_xll.BDH(C$4,"CURRENT_EV_TO_T12M_EBITDA",$B146+1,$B146+1))),C147))</f>
        <v>0</v>
      </c>
      <c r="D146" s="548">
        <f ca="1">(IFERROR(IFERROR(VALUE(_xll.BDH(D$4,"CURRENT_EV_TO_T12M_EBITDA",$B146,$B146)),VALUE(_xll.BDH(D$4,"CURRENT_EV_TO_T12M_EBITDA",$B146+1,$B146+1))),D147))</f>
        <v>0</v>
      </c>
      <c r="E146" s="548">
        <f ca="1">(IFERROR(IFERROR(VALUE(_xll.BDH(E$4,"CURRENT_EV_TO_T12M_EBITDA",$B146,$B146)),VALUE(_xll.BDH(E$4,"CURRENT_EV_TO_T12M_EBITDA",$B146+1,$B146+1))),E147))</f>
        <v>0</v>
      </c>
      <c r="F146" s="548">
        <f ca="1">(IFERROR(IFERROR(VALUE(_xll.BDH(F$4,"CURRENT_EV_TO_T12M_EBITDA",$B146,$B146)),VALUE(_xll.BDH(F$4,"CURRENT_EV_TO_T12M_EBITDA",$B146+1,$B146+1))),F147))</f>
        <v>0</v>
      </c>
      <c r="G146" s="548">
        <f ca="1">(IFERROR(IFERROR(VALUE(_xll.BDH(G$4,"CURRENT_EV_TO_T12M_EBITDA",$B146,$B146)),VALUE(_xll.BDH(G$4,"CURRENT_EV_TO_T12M_EBITDA",$B146+1,$B146+1))),G147))</f>
        <v>0</v>
      </c>
      <c r="H146" s="548">
        <f ca="1">(IFERROR(IFERROR(VALUE(_xll.BDH(H$4,"CURRENT_EV_TO_T12M_EBITDA",$B146,$B146)),VALUE(_xll.BDH(H$4,"CURRENT_EV_TO_T12M_EBITDA",$B146+1,$B146+1))),H147))</f>
        <v>0</v>
      </c>
      <c r="I146" s="552">
        <f t="shared" ca="1" si="45"/>
        <v>44964</v>
      </c>
      <c r="J146" s="548">
        <f ca="1">(IFERROR(IFERROR(VALUE(_xll.BDH(J$4,"PE_RATIO",$B146,$B146)),VALUE(_xll.BDH(J$4,"PE_RATIO",$B146+1,$B146+1))),J147))</f>
        <v>0</v>
      </c>
      <c r="K146" s="548">
        <f ca="1">(IFERROR(IFERROR(VALUE(_xll.BDH(K$4,"PE_RATIO",$B146,$B146)),VALUE(_xll.BDH(K$4,"PE_RATIO",$B146+1,$B146+1))),K147))</f>
        <v>0</v>
      </c>
      <c r="L146" s="548">
        <f ca="1">(IFERROR(IFERROR(VALUE(_xll.BDH(L$4,"PE_RATIO",$B146,$B146)),VALUE(_xll.BDH(L$4,"PE_RATIO",$B146+1,$B146+1))),L147))</f>
        <v>0</v>
      </c>
      <c r="M146" s="548">
        <f ca="1">(IFERROR(IFERROR(VALUE(_xll.BDH(M$4,"PE_RATIO",$B146,$B146)),VALUE(_xll.BDH(M$4,"PE_RATIO",$B146+1,$B146+1))),M147))</f>
        <v>0</v>
      </c>
      <c r="N146" s="548">
        <f ca="1">(IFERROR(IFERROR(VALUE(_xll.BDH(N$4,"PE_RATIO",$B146,$B146)),VALUE(_xll.BDH(N$4,"PE_RATIO",$B146+1,$B146+1))),N147))</f>
        <v>0</v>
      </c>
      <c r="O146" s="548">
        <f ca="1">(IFERROR(IFERROR(VALUE(_xll.BDH(O$4,"PE_RATIO",$B146,$B146)),VALUE(_xll.BDH(O$4,"PE_RATIO",$B146+1,$B146+1))),O147))</f>
        <v>0</v>
      </c>
      <c r="P146" s="548"/>
      <c r="Q146" s="552">
        <f t="shared" ca="1" si="46"/>
        <v>44964</v>
      </c>
      <c r="R146" s="4">
        <v>207.07</v>
      </c>
      <c r="S146" s="4">
        <v>3839.5</v>
      </c>
      <c r="T146" s="4">
        <v>0</v>
      </c>
      <c r="U146" s="4">
        <v>1.0628785545631865</v>
      </c>
      <c r="V146" s="4">
        <v>1.0708050490570669</v>
      </c>
      <c r="W146" s="4" t="e">
        <v>#DIV/0!</v>
      </c>
      <c r="Y146" s="548">
        <f t="shared" si="47"/>
        <v>207.07</v>
      </c>
      <c r="Z146" s="4">
        <f ca="1">IFERROR(VALUE(_xll.BDH(Z$4,"PX_LAST",$Q146,$Q146)),Z147)</f>
        <v>0</v>
      </c>
      <c r="AA146" s="4">
        <f ca="1">IFERROR(VALUE(_xll.BDH(AA$4,"PX_LAST",$Q146,$Q146)),AA147)</f>
        <v>0</v>
      </c>
      <c r="AB146" s="4">
        <f ca="1">IFERROR(VALUE(_xll.BDH(AB$4,"PX_LAST",$Q146,$Q146)),AB147)</f>
        <v>0</v>
      </c>
      <c r="AC146" s="4">
        <f ca="1">IFERROR(VALUE(_xll.BDH(AC$4,"PX_LAST",$Q146,$Q146)),AC147)</f>
        <v>0</v>
      </c>
      <c r="AD146" s="4">
        <f ca="1">IFERROR(VALUE(_xll.BDH(AD$4,"PX_LAST",$Q146,$Q146)),AD147)</f>
        <v>0</v>
      </c>
      <c r="AF146" s="4">
        <f t="shared" si="48"/>
        <v>1.0628785545631865</v>
      </c>
      <c r="AG146" s="4" t="e">
        <f t="shared" ca="1" si="49"/>
        <v>#DIV/0!</v>
      </c>
      <c r="AH146" s="4" t="e">
        <f t="shared" ca="1" si="50"/>
        <v>#DIV/0!</v>
      </c>
      <c r="AI146" s="4" t="e">
        <f t="shared" ca="1" si="51"/>
        <v>#DIV/0!</v>
      </c>
      <c r="AJ146" s="4" t="e">
        <f t="shared" ca="1" si="52"/>
        <v>#DIV/0!</v>
      </c>
      <c r="AK146" s="4" t="e">
        <f t="shared" ca="1" si="53"/>
        <v>#DIV/0!</v>
      </c>
      <c r="AM146" s="550">
        <f t="shared" ca="1" si="54"/>
        <v>45809</v>
      </c>
      <c r="AN146" s="551">
        <v>219.78</v>
      </c>
      <c r="AO146" s="551">
        <v>3879639</v>
      </c>
      <c r="AP146" s="551">
        <v>599.31817999999998</v>
      </c>
      <c r="AQ146" s="551">
        <v>131718.14960040001</v>
      </c>
      <c r="AR146" s="551">
        <v>5.4889000000000001</v>
      </c>
    </row>
    <row r="147" spans="2:44" x14ac:dyDescent="0.3">
      <c r="B147" s="552">
        <f t="shared" ca="1" si="55"/>
        <v>44957</v>
      </c>
      <c r="C147" s="548">
        <f ca="1">(IFERROR(IFERROR(VALUE(_xll.BDH(C$4,"CURRENT_EV_TO_T12M_EBITDA",$B147,$B147)),VALUE(_xll.BDH(C$4,"CURRENT_EV_TO_T12M_EBITDA",$B147+1,$B147+1))),C148))</f>
        <v>0</v>
      </c>
      <c r="D147" s="548">
        <f ca="1">(IFERROR(IFERROR(VALUE(_xll.BDH(D$4,"CURRENT_EV_TO_T12M_EBITDA",$B147,$B147)),VALUE(_xll.BDH(D$4,"CURRENT_EV_TO_T12M_EBITDA",$B147+1,$B147+1))),D148))</f>
        <v>0</v>
      </c>
      <c r="E147" s="548">
        <f ca="1">(IFERROR(IFERROR(VALUE(_xll.BDH(E$4,"CURRENT_EV_TO_T12M_EBITDA",$B147,$B147)),VALUE(_xll.BDH(E$4,"CURRENT_EV_TO_T12M_EBITDA",$B147+1,$B147+1))),E148))</f>
        <v>0</v>
      </c>
      <c r="F147" s="548">
        <f ca="1">(IFERROR(IFERROR(VALUE(_xll.BDH(F$4,"CURRENT_EV_TO_T12M_EBITDA",$B147,$B147)),VALUE(_xll.BDH(F$4,"CURRENT_EV_TO_T12M_EBITDA",$B147+1,$B147+1))),F148))</f>
        <v>0</v>
      </c>
      <c r="G147" s="548">
        <f ca="1">(IFERROR(IFERROR(VALUE(_xll.BDH(G$4,"CURRENT_EV_TO_T12M_EBITDA",$B147,$B147)),VALUE(_xll.BDH(G$4,"CURRENT_EV_TO_T12M_EBITDA",$B147+1,$B147+1))),G148))</f>
        <v>0</v>
      </c>
      <c r="H147" s="548">
        <f ca="1">(IFERROR(IFERROR(VALUE(_xll.BDH(H$4,"CURRENT_EV_TO_T12M_EBITDA",$B147,$B147)),VALUE(_xll.BDH(H$4,"CURRENT_EV_TO_T12M_EBITDA",$B147+1,$B147+1))),H148))</f>
        <v>0</v>
      </c>
      <c r="I147" s="552">
        <f t="shared" ca="1" si="45"/>
        <v>44957</v>
      </c>
      <c r="J147" s="548">
        <f ca="1">(IFERROR(IFERROR(VALUE(_xll.BDH(J$4,"PE_RATIO",$B147,$B147)),VALUE(_xll.BDH(J$4,"PE_RATIO",$B147+1,$B147+1))),J148))</f>
        <v>0</v>
      </c>
      <c r="K147" s="548">
        <f ca="1">(IFERROR(IFERROR(VALUE(_xll.BDH(K$4,"PE_RATIO",$B147,$B147)),VALUE(_xll.BDH(K$4,"PE_RATIO",$B147+1,$B147+1))),K148))</f>
        <v>0</v>
      </c>
      <c r="L147" s="548">
        <f ca="1">(IFERROR(IFERROR(VALUE(_xll.BDH(L$4,"PE_RATIO",$B147,$B147)),VALUE(_xll.BDH(L$4,"PE_RATIO",$B147+1,$B147+1))),L148))</f>
        <v>0</v>
      </c>
      <c r="M147" s="548">
        <f ca="1">(IFERROR(IFERROR(VALUE(_xll.BDH(M$4,"PE_RATIO",$B147,$B147)),VALUE(_xll.BDH(M$4,"PE_RATIO",$B147+1,$B147+1))),M148))</f>
        <v>0</v>
      </c>
      <c r="N147" s="548">
        <f ca="1">(IFERROR(IFERROR(VALUE(_xll.BDH(N$4,"PE_RATIO",$B147,$B147)),VALUE(_xll.BDH(N$4,"PE_RATIO",$B147+1,$B147+1))),N148))</f>
        <v>0</v>
      </c>
      <c r="O147" s="548">
        <f ca="1">(IFERROR(IFERROR(VALUE(_xll.BDH(O$4,"PE_RATIO",$B147,$B147)),VALUE(_xll.BDH(O$4,"PE_RATIO",$B147+1,$B147+1))),O148))</f>
        <v>0</v>
      </c>
      <c r="P147" s="548"/>
      <c r="Q147" s="552">
        <f t="shared" ca="1" si="46"/>
        <v>44957</v>
      </c>
      <c r="R147" s="4">
        <v>209.91</v>
      </c>
      <c r="S147" s="4">
        <v>3844.82</v>
      </c>
      <c r="T147" s="4">
        <v>0</v>
      </c>
      <c r="U147" s="4">
        <v>1.0774561133353866</v>
      </c>
      <c r="V147" s="4">
        <v>1.0722887534094523</v>
      </c>
      <c r="W147" s="4" t="e">
        <v>#DIV/0!</v>
      </c>
      <c r="Y147" s="548">
        <f t="shared" si="47"/>
        <v>209.91</v>
      </c>
      <c r="Z147" s="4">
        <f ca="1">IFERROR(VALUE(_xll.BDH(Z$4,"PX_LAST",$Q147,$Q147)),Z148)</f>
        <v>0</v>
      </c>
      <c r="AA147" s="4">
        <f ca="1">IFERROR(VALUE(_xll.BDH(AA$4,"PX_LAST",$Q147,$Q147)),AA148)</f>
        <v>0</v>
      </c>
      <c r="AB147" s="4">
        <f ca="1">IFERROR(VALUE(_xll.BDH(AB$4,"PX_LAST",$Q147,$Q147)),AB148)</f>
        <v>0</v>
      </c>
      <c r="AC147" s="4">
        <f ca="1">IFERROR(VALUE(_xll.BDH(AC$4,"PX_LAST",$Q147,$Q147)),AC148)</f>
        <v>0</v>
      </c>
      <c r="AD147" s="4">
        <f ca="1">IFERROR(VALUE(_xll.BDH(AD$4,"PX_LAST",$Q147,$Q147)),AD148)</f>
        <v>0</v>
      </c>
      <c r="AF147" s="4">
        <f t="shared" si="48"/>
        <v>1.0774561133353866</v>
      </c>
      <c r="AG147" s="4" t="e">
        <f t="shared" ca="1" si="49"/>
        <v>#DIV/0!</v>
      </c>
      <c r="AH147" s="4" t="e">
        <f t="shared" ca="1" si="50"/>
        <v>#DIV/0!</v>
      </c>
      <c r="AI147" s="4" t="e">
        <f t="shared" ca="1" si="51"/>
        <v>#DIV/0!</v>
      </c>
      <c r="AJ147" s="4" t="e">
        <f t="shared" ca="1" si="52"/>
        <v>#DIV/0!</v>
      </c>
      <c r="AK147" s="4" t="e">
        <f t="shared" ca="1" si="53"/>
        <v>#DIV/0!</v>
      </c>
      <c r="AM147" s="550">
        <f t="shared" ca="1" si="54"/>
        <v>45808</v>
      </c>
      <c r="AN147" s="551">
        <v>216.9</v>
      </c>
      <c r="AO147" s="551">
        <v>3353333</v>
      </c>
      <c r="AP147" s="551">
        <v>599.31817999999998</v>
      </c>
      <c r="AQ147" s="551">
        <v>129992.11324200001</v>
      </c>
      <c r="AR147" s="551">
        <v>5.4169999999999998</v>
      </c>
    </row>
    <row r="148" spans="2:44" x14ac:dyDescent="0.3">
      <c r="B148" s="552">
        <f t="shared" ca="1" si="55"/>
        <v>44950</v>
      </c>
      <c r="C148" s="548">
        <f ca="1">(IFERROR(IFERROR(VALUE(_xll.BDH(C$4,"CURRENT_EV_TO_T12M_EBITDA",$B148,$B148)),VALUE(_xll.BDH(C$4,"CURRENT_EV_TO_T12M_EBITDA",$B148+1,$B148+1))),C149))</f>
        <v>0</v>
      </c>
      <c r="D148" s="548">
        <f ca="1">(IFERROR(IFERROR(VALUE(_xll.BDH(D$4,"CURRENT_EV_TO_T12M_EBITDA",$B148,$B148)),VALUE(_xll.BDH(D$4,"CURRENT_EV_TO_T12M_EBITDA",$B148+1,$B148+1))),D149))</f>
        <v>0</v>
      </c>
      <c r="E148" s="548">
        <f ca="1">(IFERROR(IFERROR(VALUE(_xll.BDH(E$4,"CURRENT_EV_TO_T12M_EBITDA",$B148,$B148)),VALUE(_xll.BDH(E$4,"CURRENT_EV_TO_T12M_EBITDA",$B148+1,$B148+1))),E149))</f>
        <v>0</v>
      </c>
      <c r="F148" s="548">
        <f ca="1">(IFERROR(IFERROR(VALUE(_xll.BDH(F$4,"CURRENT_EV_TO_T12M_EBITDA",$B148,$B148)),VALUE(_xll.BDH(F$4,"CURRENT_EV_TO_T12M_EBITDA",$B148+1,$B148+1))),F149))</f>
        <v>0</v>
      </c>
      <c r="G148" s="548">
        <f ca="1">(IFERROR(IFERROR(VALUE(_xll.BDH(G$4,"CURRENT_EV_TO_T12M_EBITDA",$B148,$B148)),VALUE(_xll.BDH(G$4,"CURRENT_EV_TO_T12M_EBITDA",$B148+1,$B148+1))),G149))</f>
        <v>0</v>
      </c>
      <c r="H148" s="548">
        <f ca="1">(IFERROR(IFERROR(VALUE(_xll.BDH(H$4,"CURRENT_EV_TO_T12M_EBITDA",$B148,$B148)),VALUE(_xll.BDH(H$4,"CURRENT_EV_TO_T12M_EBITDA",$B148+1,$B148+1))),H149))</f>
        <v>0</v>
      </c>
      <c r="I148" s="552">
        <f t="shared" ca="1" si="45"/>
        <v>44950</v>
      </c>
      <c r="J148" s="548">
        <f ca="1">(IFERROR(IFERROR(VALUE(_xll.BDH(J$4,"PE_RATIO",$B148,$B148)),VALUE(_xll.BDH(J$4,"PE_RATIO",$B148+1,$B148+1))),J149))</f>
        <v>0</v>
      </c>
      <c r="K148" s="548">
        <f ca="1">(IFERROR(IFERROR(VALUE(_xll.BDH(K$4,"PE_RATIO",$B148,$B148)),VALUE(_xll.BDH(K$4,"PE_RATIO",$B148+1,$B148+1))),K149))</f>
        <v>0</v>
      </c>
      <c r="L148" s="548">
        <f ca="1">(IFERROR(IFERROR(VALUE(_xll.BDH(L$4,"PE_RATIO",$B148,$B148)),VALUE(_xll.BDH(L$4,"PE_RATIO",$B148+1,$B148+1))),L149))</f>
        <v>0</v>
      </c>
      <c r="M148" s="548">
        <f ca="1">(IFERROR(IFERROR(VALUE(_xll.BDH(M$4,"PE_RATIO",$B148,$B148)),VALUE(_xll.BDH(M$4,"PE_RATIO",$B148+1,$B148+1))),M149))</f>
        <v>0</v>
      </c>
      <c r="N148" s="548">
        <f ca="1">(IFERROR(IFERROR(VALUE(_xll.BDH(N$4,"PE_RATIO",$B148,$B148)),VALUE(_xll.BDH(N$4,"PE_RATIO",$B148+1,$B148+1))),N149))</f>
        <v>0</v>
      </c>
      <c r="O148" s="548">
        <f ca="1">(IFERROR(IFERROR(VALUE(_xll.BDH(O$4,"PE_RATIO",$B148,$B148)),VALUE(_xll.BDH(O$4,"PE_RATIO",$B148+1,$B148+1))),O149))</f>
        <v>0</v>
      </c>
      <c r="P148" s="548"/>
      <c r="Q148" s="552">
        <f t="shared" ca="1" si="46"/>
        <v>44950</v>
      </c>
      <c r="R148" s="4">
        <v>210.21</v>
      </c>
      <c r="S148" s="4">
        <v>3852.36</v>
      </c>
      <c r="T148" s="4">
        <v>0</v>
      </c>
      <c r="U148" s="4">
        <v>1.078995996304281</v>
      </c>
      <c r="V148" s="4">
        <v>1.0743915975479834</v>
      </c>
      <c r="W148" s="4" t="e">
        <v>#DIV/0!</v>
      </c>
      <c r="Y148" s="548">
        <f t="shared" si="47"/>
        <v>210.21</v>
      </c>
      <c r="Z148" s="4">
        <f ca="1">IFERROR(VALUE(_xll.BDH(Z$4,"PX_LAST",$Q148,$Q148)),Z149)</f>
        <v>0</v>
      </c>
      <c r="AA148" s="4">
        <f ca="1">IFERROR(VALUE(_xll.BDH(AA$4,"PX_LAST",$Q148,$Q148)),AA149)</f>
        <v>0</v>
      </c>
      <c r="AB148" s="4">
        <f ca="1">IFERROR(VALUE(_xll.BDH(AB$4,"PX_LAST",$Q148,$Q148)),AB149)</f>
        <v>0</v>
      </c>
      <c r="AC148" s="4">
        <f ca="1">IFERROR(VALUE(_xll.BDH(AC$4,"PX_LAST",$Q148,$Q148)),AC149)</f>
        <v>0</v>
      </c>
      <c r="AD148" s="4">
        <f ca="1">IFERROR(VALUE(_xll.BDH(AD$4,"PX_LAST",$Q148,$Q148)),AD149)</f>
        <v>0</v>
      </c>
      <c r="AF148" s="4">
        <f t="shared" si="48"/>
        <v>1.078995996304281</v>
      </c>
      <c r="AG148" s="4" t="e">
        <f t="shared" ca="1" si="49"/>
        <v>#DIV/0!</v>
      </c>
      <c r="AH148" s="4" t="e">
        <f t="shared" ca="1" si="50"/>
        <v>#DIV/0!</v>
      </c>
      <c r="AI148" s="4" t="e">
        <f t="shared" ca="1" si="51"/>
        <v>#DIV/0!</v>
      </c>
      <c r="AJ148" s="4" t="e">
        <f t="shared" ca="1" si="52"/>
        <v>#DIV/0!</v>
      </c>
      <c r="AK148" s="4" t="e">
        <f t="shared" ca="1" si="53"/>
        <v>#DIV/0!</v>
      </c>
      <c r="AM148" s="550">
        <f t="shared" ca="1" si="54"/>
        <v>45807</v>
      </c>
      <c r="AN148" s="551">
        <v>216.05</v>
      </c>
      <c r="AO148" s="551">
        <v>3379656</v>
      </c>
      <c r="AP148" s="551">
        <v>599.31817999999998</v>
      </c>
      <c r="AQ148" s="551">
        <v>129482.69278900001</v>
      </c>
      <c r="AR148" s="551">
        <v>5.3956999999999997</v>
      </c>
    </row>
    <row r="149" spans="2:44" x14ac:dyDescent="0.3">
      <c r="B149" s="552">
        <f t="shared" ca="1" si="55"/>
        <v>44943</v>
      </c>
      <c r="C149" s="548">
        <f ca="1">(IFERROR(IFERROR(VALUE(_xll.BDH(C$4,"CURRENT_EV_TO_T12M_EBITDA",$B149,$B149)),VALUE(_xll.BDH(C$4,"CURRENT_EV_TO_T12M_EBITDA",$B149+1,$B149+1))),C150))</f>
        <v>0</v>
      </c>
      <c r="D149" s="548">
        <f ca="1">(IFERROR(IFERROR(VALUE(_xll.BDH(D$4,"CURRENT_EV_TO_T12M_EBITDA",$B149,$B149)),VALUE(_xll.BDH(D$4,"CURRENT_EV_TO_T12M_EBITDA",$B149+1,$B149+1))),D150))</f>
        <v>0</v>
      </c>
      <c r="E149" s="548">
        <f ca="1">(IFERROR(IFERROR(VALUE(_xll.BDH(E$4,"CURRENT_EV_TO_T12M_EBITDA",$B149,$B149)),VALUE(_xll.BDH(E$4,"CURRENT_EV_TO_T12M_EBITDA",$B149+1,$B149+1))),E150))</f>
        <v>0</v>
      </c>
      <c r="F149" s="548">
        <f ca="1">(IFERROR(IFERROR(VALUE(_xll.BDH(F$4,"CURRENT_EV_TO_T12M_EBITDA",$B149,$B149)),VALUE(_xll.BDH(F$4,"CURRENT_EV_TO_T12M_EBITDA",$B149+1,$B149+1))),F150))</f>
        <v>0</v>
      </c>
      <c r="G149" s="548">
        <f ca="1">(IFERROR(IFERROR(VALUE(_xll.BDH(G$4,"CURRENT_EV_TO_T12M_EBITDA",$B149,$B149)),VALUE(_xll.BDH(G$4,"CURRENT_EV_TO_T12M_EBITDA",$B149+1,$B149+1))),G150))</f>
        <v>0</v>
      </c>
      <c r="H149" s="548">
        <f ca="1">(IFERROR(IFERROR(VALUE(_xll.BDH(H$4,"CURRENT_EV_TO_T12M_EBITDA",$B149,$B149)),VALUE(_xll.BDH(H$4,"CURRENT_EV_TO_T12M_EBITDA",$B149+1,$B149+1))),H150))</f>
        <v>0</v>
      </c>
      <c r="I149" s="552">
        <f t="shared" ca="1" si="45"/>
        <v>44943</v>
      </c>
      <c r="J149" s="548">
        <f ca="1">(IFERROR(IFERROR(VALUE(_xll.BDH(J$4,"PE_RATIO",$B149,$B149)),VALUE(_xll.BDH(J$4,"PE_RATIO",$B149+1,$B149+1))),J150))</f>
        <v>0</v>
      </c>
      <c r="K149" s="548">
        <f ca="1">(IFERROR(IFERROR(VALUE(_xll.BDH(K$4,"PE_RATIO",$B149,$B149)),VALUE(_xll.BDH(K$4,"PE_RATIO",$B149+1,$B149+1))),K150))</f>
        <v>0</v>
      </c>
      <c r="L149" s="548">
        <f ca="1">(IFERROR(IFERROR(VALUE(_xll.BDH(L$4,"PE_RATIO",$B149,$B149)),VALUE(_xll.BDH(L$4,"PE_RATIO",$B149+1,$B149+1))),L150))</f>
        <v>0</v>
      </c>
      <c r="M149" s="548">
        <f ca="1">(IFERROR(IFERROR(VALUE(_xll.BDH(M$4,"PE_RATIO",$B149,$B149)),VALUE(_xll.BDH(M$4,"PE_RATIO",$B149+1,$B149+1))),M150))</f>
        <v>0</v>
      </c>
      <c r="N149" s="548">
        <f ca="1">(IFERROR(IFERROR(VALUE(_xll.BDH(N$4,"PE_RATIO",$B149,$B149)),VALUE(_xll.BDH(N$4,"PE_RATIO",$B149+1,$B149+1))),N150))</f>
        <v>0</v>
      </c>
      <c r="O149" s="548">
        <f ca="1">(IFERROR(IFERROR(VALUE(_xll.BDH(O$4,"PE_RATIO",$B149,$B149)),VALUE(_xll.BDH(O$4,"PE_RATIO",$B149+1,$B149+1))),O150))</f>
        <v>0</v>
      </c>
      <c r="P149" s="548"/>
      <c r="Q149" s="552">
        <f t="shared" ca="1" si="46"/>
        <v>44943</v>
      </c>
      <c r="R149" s="4">
        <v>211.35</v>
      </c>
      <c r="S149" s="4">
        <v>3934.38</v>
      </c>
      <c r="T149" s="4">
        <v>0</v>
      </c>
      <c r="U149" s="4">
        <v>1.0848475515860794</v>
      </c>
      <c r="V149" s="4">
        <v>1.0972663026199097</v>
      </c>
      <c r="W149" s="4" t="e">
        <v>#DIV/0!</v>
      </c>
      <c r="Y149" s="548">
        <f t="shared" si="47"/>
        <v>211.35</v>
      </c>
      <c r="Z149" s="4">
        <f ca="1">IFERROR(VALUE(_xll.BDH(Z$4,"PX_LAST",$Q149,$Q149)),Z150)</f>
        <v>0</v>
      </c>
      <c r="AA149" s="4">
        <f ca="1">IFERROR(VALUE(_xll.BDH(AA$4,"PX_LAST",$Q149,$Q149)),AA150)</f>
        <v>0</v>
      </c>
      <c r="AB149" s="4">
        <f ca="1">IFERROR(VALUE(_xll.BDH(AB$4,"PX_LAST",$Q149,$Q149)),AB150)</f>
        <v>0</v>
      </c>
      <c r="AC149" s="4">
        <f ca="1">IFERROR(VALUE(_xll.BDH(AC$4,"PX_LAST",$Q149,$Q149)),AC150)</f>
        <v>0</v>
      </c>
      <c r="AD149" s="4">
        <f ca="1">IFERROR(VALUE(_xll.BDH(AD$4,"PX_LAST",$Q149,$Q149)),AD150)</f>
        <v>0</v>
      </c>
      <c r="AF149" s="4">
        <f t="shared" si="48"/>
        <v>1.0848475515860794</v>
      </c>
      <c r="AG149" s="4" t="e">
        <f t="shared" ca="1" si="49"/>
        <v>#DIV/0!</v>
      </c>
      <c r="AH149" s="4" t="e">
        <f t="shared" ca="1" si="50"/>
        <v>#DIV/0!</v>
      </c>
      <c r="AI149" s="4" t="e">
        <f t="shared" ca="1" si="51"/>
        <v>#DIV/0!</v>
      </c>
      <c r="AJ149" s="4" t="e">
        <f t="shared" ca="1" si="52"/>
        <v>#DIV/0!</v>
      </c>
      <c r="AK149" s="4" t="e">
        <f t="shared" ca="1" si="53"/>
        <v>#DIV/0!</v>
      </c>
      <c r="AM149" s="550">
        <f t="shared" ca="1" si="54"/>
        <v>45806</v>
      </c>
      <c r="AN149" s="551">
        <v>220.26</v>
      </c>
      <c r="AO149" s="551">
        <v>4545781</v>
      </c>
      <c r="AP149" s="551">
        <v>599.31817999999998</v>
      </c>
      <c r="AQ149" s="551">
        <v>132005.8223268</v>
      </c>
      <c r="AR149" s="551">
        <v>5.5008999999999997</v>
      </c>
    </row>
    <row r="150" spans="2:44" x14ac:dyDescent="0.3">
      <c r="B150" s="552">
        <f t="shared" ca="1" si="55"/>
        <v>44936</v>
      </c>
      <c r="C150" s="548">
        <f ca="1">(IFERROR(IFERROR(VALUE(_xll.BDH(C$4,"CURRENT_EV_TO_T12M_EBITDA",$B150,$B150)),VALUE(_xll.BDH(C$4,"CURRENT_EV_TO_T12M_EBITDA",$B150+1,$B150+1))),C151))</f>
        <v>0</v>
      </c>
      <c r="D150" s="548">
        <f ca="1">(IFERROR(IFERROR(VALUE(_xll.BDH(D$4,"CURRENT_EV_TO_T12M_EBITDA",$B150,$B150)),VALUE(_xll.BDH(D$4,"CURRENT_EV_TO_T12M_EBITDA",$B150+1,$B150+1))),D151))</f>
        <v>0</v>
      </c>
      <c r="E150" s="548">
        <f ca="1">(IFERROR(IFERROR(VALUE(_xll.BDH(E$4,"CURRENT_EV_TO_T12M_EBITDA",$B150,$B150)),VALUE(_xll.BDH(E$4,"CURRENT_EV_TO_T12M_EBITDA",$B150+1,$B150+1))),E151))</f>
        <v>0</v>
      </c>
      <c r="F150" s="548">
        <f ca="1">(IFERROR(IFERROR(VALUE(_xll.BDH(F$4,"CURRENT_EV_TO_T12M_EBITDA",$B150,$B150)),VALUE(_xll.BDH(F$4,"CURRENT_EV_TO_T12M_EBITDA",$B150+1,$B150+1))),F151))</f>
        <v>0</v>
      </c>
      <c r="G150" s="548">
        <f ca="1">(IFERROR(IFERROR(VALUE(_xll.BDH(G$4,"CURRENT_EV_TO_T12M_EBITDA",$B150,$B150)),VALUE(_xll.BDH(G$4,"CURRENT_EV_TO_T12M_EBITDA",$B150+1,$B150+1))),G151))</f>
        <v>0</v>
      </c>
      <c r="H150" s="548">
        <f ca="1">(IFERROR(IFERROR(VALUE(_xll.BDH(H$4,"CURRENT_EV_TO_T12M_EBITDA",$B150,$B150)),VALUE(_xll.BDH(H$4,"CURRENT_EV_TO_T12M_EBITDA",$B150+1,$B150+1))),H151))</f>
        <v>0</v>
      </c>
      <c r="I150" s="552">
        <f t="shared" ca="1" si="45"/>
        <v>44936</v>
      </c>
      <c r="J150" s="548">
        <f ca="1">(IFERROR(IFERROR(VALUE(_xll.BDH(J$4,"PE_RATIO",$B150,$B150)),VALUE(_xll.BDH(J$4,"PE_RATIO",$B150+1,$B150+1))),J151))</f>
        <v>0</v>
      </c>
      <c r="K150" s="548">
        <f ca="1">(IFERROR(IFERROR(VALUE(_xll.BDH(K$4,"PE_RATIO",$B150,$B150)),VALUE(_xll.BDH(K$4,"PE_RATIO",$B150+1,$B150+1))),K151))</f>
        <v>0</v>
      </c>
      <c r="L150" s="548">
        <f ca="1">(IFERROR(IFERROR(VALUE(_xll.BDH(L$4,"PE_RATIO",$B150,$B150)),VALUE(_xll.BDH(L$4,"PE_RATIO",$B150+1,$B150+1))),L151))</f>
        <v>0</v>
      </c>
      <c r="M150" s="548">
        <f ca="1">(IFERROR(IFERROR(VALUE(_xll.BDH(M$4,"PE_RATIO",$B150,$B150)),VALUE(_xll.BDH(M$4,"PE_RATIO",$B150+1,$B150+1))),M151))</f>
        <v>0</v>
      </c>
      <c r="N150" s="548">
        <f ca="1">(IFERROR(IFERROR(VALUE(_xll.BDH(N$4,"PE_RATIO",$B150,$B150)),VALUE(_xll.BDH(N$4,"PE_RATIO",$B150+1,$B150+1))),N151))</f>
        <v>0</v>
      </c>
      <c r="O150" s="548">
        <f ca="1">(IFERROR(IFERROR(VALUE(_xll.BDH(O$4,"PE_RATIO",$B150,$B150)),VALUE(_xll.BDH(O$4,"PE_RATIO",$B150+1,$B150+1))),O151))</f>
        <v>0</v>
      </c>
      <c r="P150" s="548"/>
      <c r="Q150" s="552">
        <f t="shared" ca="1" si="46"/>
        <v>44936</v>
      </c>
      <c r="R150" s="4">
        <v>214.73</v>
      </c>
      <c r="S150" s="4">
        <v>4071.7</v>
      </c>
      <c r="T150" s="4">
        <v>0</v>
      </c>
      <c r="U150" s="4">
        <v>1.1021968997022893</v>
      </c>
      <c r="V150" s="4">
        <v>1.1355637239863678</v>
      </c>
      <c r="W150" s="4" t="e">
        <v>#DIV/0!</v>
      </c>
      <c r="Y150" s="548">
        <f t="shared" si="47"/>
        <v>214.73</v>
      </c>
      <c r="Z150" s="4">
        <f ca="1">IFERROR(VALUE(_xll.BDH(Z$4,"PX_LAST",$Q150,$Q150)),Z151)</f>
        <v>0</v>
      </c>
      <c r="AA150" s="4">
        <f ca="1">IFERROR(VALUE(_xll.BDH(AA$4,"PX_LAST",$Q150,$Q150)),AA151)</f>
        <v>0</v>
      </c>
      <c r="AB150" s="4">
        <f ca="1">IFERROR(VALUE(_xll.BDH(AB$4,"PX_LAST",$Q150,$Q150)),AB151)</f>
        <v>0</v>
      </c>
      <c r="AC150" s="4">
        <f ca="1">IFERROR(VALUE(_xll.BDH(AC$4,"PX_LAST",$Q150,$Q150)),AC151)</f>
        <v>0</v>
      </c>
      <c r="AD150" s="4">
        <f ca="1">IFERROR(VALUE(_xll.BDH(AD$4,"PX_LAST",$Q150,$Q150)),AD151)</f>
        <v>0</v>
      </c>
      <c r="AF150" s="4">
        <f t="shared" si="48"/>
        <v>1.1021968997022893</v>
      </c>
      <c r="AG150" s="4" t="e">
        <f t="shared" ca="1" si="49"/>
        <v>#DIV/0!</v>
      </c>
      <c r="AH150" s="4" t="e">
        <f t="shared" ca="1" si="50"/>
        <v>#DIV/0!</v>
      </c>
      <c r="AI150" s="4" t="e">
        <f t="shared" ca="1" si="51"/>
        <v>#DIV/0!</v>
      </c>
      <c r="AJ150" s="4" t="e">
        <f t="shared" ca="1" si="52"/>
        <v>#DIV/0!</v>
      </c>
      <c r="AK150" s="4" t="e">
        <f t="shared" ca="1" si="53"/>
        <v>#DIV/0!</v>
      </c>
      <c r="AM150" s="550">
        <f t="shared" ca="1" si="54"/>
        <v>45805</v>
      </c>
      <c r="AN150" s="551">
        <v>220.26</v>
      </c>
      <c r="AO150" s="551">
        <v>4545781</v>
      </c>
      <c r="AP150" s="551">
        <v>599.31817999999998</v>
      </c>
      <c r="AQ150" s="551">
        <v>132005.8223268</v>
      </c>
      <c r="AR150" s="551">
        <v>5.5008999999999997</v>
      </c>
    </row>
    <row r="151" spans="2:44" x14ac:dyDescent="0.3">
      <c r="B151" s="552">
        <f t="shared" ca="1" si="55"/>
        <v>44929</v>
      </c>
      <c r="C151" s="548">
        <f ca="1">(IFERROR(IFERROR(VALUE(_xll.BDH(C$4,"CURRENT_EV_TO_T12M_EBITDA",$B151,$B151)),VALUE(_xll.BDH(C$4,"CURRENT_EV_TO_T12M_EBITDA",$B151+1,$B151+1))),C152))</f>
        <v>0</v>
      </c>
      <c r="D151" s="548">
        <f ca="1">(IFERROR(IFERROR(VALUE(_xll.BDH(D$4,"CURRENT_EV_TO_T12M_EBITDA",$B151,$B151)),VALUE(_xll.BDH(D$4,"CURRENT_EV_TO_T12M_EBITDA",$B151+1,$B151+1))),D152))</f>
        <v>0</v>
      </c>
      <c r="E151" s="548">
        <f ca="1">(IFERROR(IFERROR(VALUE(_xll.BDH(E$4,"CURRENT_EV_TO_T12M_EBITDA",$B151,$B151)),VALUE(_xll.BDH(E$4,"CURRENT_EV_TO_T12M_EBITDA",$B151+1,$B151+1))),E152))</f>
        <v>0</v>
      </c>
      <c r="F151" s="548">
        <f ca="1">(IFERROR(IFERROR(VALUE(_xll.BDH(F$4,"CURRENT_EV_TO_T12M_EBITDA",$B151,$B151)),VALUE(_xll.BDH(F$4,"CURRENT_EV_TO_T12M_EBITDA",$B151+1,$B151+1))),F152))</f>
        <v>0</v>
      </c>
      <c r="G151" s="548">
        <f ca="1">(IFERROR(IFERROR(VALUE(_xll.BDH(G$4,"CURRENT_EV_TO_T12M_EBITDA",$B151,$B151)),VALUE(_xll.BDH(G$4,"CURRENT_EV_TO_T12M_EBITDA",$B151+1,$B151+1))),G152))</f>
        <v>0</v>
      </c>
      <c r="H151" s="548">
        <f ca="1">(IFERROR(IFERROR(VALUE(_xll.BDH(H$4,"CURRENT_EV_TO_T12M_EBITDA",$B151,$B151)),VALUE(_xll.BDH(H$4,"CURRENT_EV_TO_T12M_EBITDA",$B151+1,$B151+1))),H152))</f>
        <v>0</v>
      </c>
      <c r="I151" s="552">
        <f t="shared" ca="1" si="45"/>
        <v>44929</v>
      </c>
      <c r="J151" s="548">
        <f ca="1">(IFERROR(IFERROR(VALUE(_xll.BDH(J$4,"PE_RATIO",$B151,$B151)),VALUE(_xll.BDH(J$4,"PE_RATIO",$B151+1,$B151+1))),J152))</f>
        <v>0</v>
      </c>
      <c r="K151" s="548">
        <f ca="1">(IFERROR(IFERROR(VALUE(_xll.BDH(K$4,"PE_RATIO",$B151,$B151)),VALUE(_xll.BDH(K$4,"PE_RATIO",$B151+1,$B151+1))),K152))</f>
        <v>0</v>
      </c>
      <c r="L151" s="548">
        <f ca="1">(IFERROR(IFERROR(VALUE(_xll.BDH(L$4,"PE_RATIO",$B151,$B151)),VALUE(_xll.BDH(L$4,"PE_RATIO",$B151+1,$B151+1))),L152))</f>
        <v>0</v>
      </c>
      <c r="M151" s="548">
        <f ca="1">(IFERROR(IFERROR(VALUE(_xll.BDH(M$4,"PE_RATIO",$B151,$B151)),VALUE(_xll.BDH(M$4,"PE_RATIO",$B151+1,$B151+1))),M152))</f>
        <v>0</v>
      </c>
      <c r="N151" s="548">
        <f ca="1">(IFERROR(IFERROR(VALUE(_xll.BDH(N$4,"PE_RATIO",$B151,$B151)),VALUE(_xll.BDH(N$4,"PE_RATIO",$B151+1,$B151+1))),N152))</f>
        <v>0</v>
      </c>
      <c r="O151" s="548">
        <f ca="1">(IFERROR(IFERROR(VALUE(_xll.BDH(O$4,"PE_RATIO",$B151,$B151)),VALUE(_xll.BDH(O$4,"PE_RATIO",$B151+1,$B151+1))),O152))</f>
        <v>0</v>
      </c>
      <c r="P151" s="548"/>
      <c r="Q151" s="552">
        <f t="shared" ca="1" si="46"/>
        <v>44929</v>
      </c>
      <c r="R151" s="4">
        <v>213.33</v>
      </c>
      <c r="S151" s="4">
        <v>4026.12</v>
      </c>
      <c r="T151" s="4">
        <v>0</v>
      </c>
      <c r="U151" s="4">
        <v>1.0950107791807824</v>
      </c>
      <c r="V151" s="4">
        <v>1.1228518359446902</v>
      </c>
      <c r="W151" s="4" t="e">
        <v>#DIV/0!</v>
      </c>
      <c r="Y151" s="548">
        <f t="shared" si="47"/>
        <v>213.33</v>
      </c>
      <c r="Z151" s="4">
        <f ca="1">IFERROR(VALUE(_xll.BDH(Z$4,"PX_LAST",$Q151,$Q151)),Z152)</f>
        <v>0</v>
      </c>
      <c r="AA151" s="4">
        <f ca="1">IFERROR(VALUE(_xll.BDH(AA$4,"PX_LAST",$Q151,$Q151)),AA152)</f>
        <v>0</v>
      </c>
      <c r="AB151" s="4">
        <f ca="1">IFERROR(VALUE(_xll.BDH(AB$4,"PX_LAST",$Q151,$Q151)),AB152)</f>
        <v>0</v>
      </c>
      <c r="AC151" s="4">
        <f ca="1">IFERROR(VALUE(_xll.BDH(AC$4,"PX_LAST",$Q151,$Q151)),AC152)</f>
        <v>0</v>
      </c>
      <c r="AD151" s="4">
        <f ca="1">IFERROR(VALUE(_xll.BDH(AD$4,"PX_LAST",$Q151,$Q151)),AD152)</f>
        <v>0</v>
      </c>
      <c r="AF151" s="4">
        <f t="shared" si="48"/>
        <v>1.0950107791807824</v>
      </c>
      <c r="AG151" s="4" t="e">
        <f t="shared" ca="1" si="49"/>
        <v>#DIV/0!</v>
      </c>
      <c r="AH151" s="4" t="e">
        <f t="shared" ca="1" si="50"/>
        <v>#DIV/0!</v>
      </c>
      <c r="AI151" s="4" t="e">
        <f t="shared" ca="1" si="51"/>
        <v>#DIV/0!</v>
      </c>
      <c r="AJ151" s="4" t="e">
        <f t="shared" ca="1" si="52"/>
        <v>#DIV/0!</v>
      </c>
      <c r="AK151" s="4" t="e">
        <f t="shared" ca="1" si="53"/>
        <v>#DIV/0!</v>
      </c>
      <c r="AM151" s="550">
        <f t="shared" ca="1" si="54"/>
        <v>45804</v>
      </c>
      <c r="AN151" s="551">
        <v>220.26</v>
      </c>
      <c r="AO151" s="551">
        <v>4545781</v>
      </c>
      <c r="AP151" s="551">
        <v>599.31817999999998</v>
      </c>
      <c r="AQ151" s="551">
        <v>132005.8223268</v>
      </c>
      <c r="AR151" s="551">
        <v>5.5008999999999997</v>
      </c>
    </row>
    <row r="152" spans="2:44" x14ac:dyDescent="0.3">
      <c r="B152" s="552">
        <f t="shared" ca="1" si="55"/>
        <v>44922</v>
      </c>
      <c r="C152" s="548">
        <f ca="1">(IFERROR(IFERROR(VALUE(_xll.BDH(C$4,"CURRENT_EV_TO_T12M_EBITDA",$B152,$B152)),VALUE(_xll.BDH(C$4,"CURRENT_EV_TO_T12M_EBITDA",$B152+1,$B152+1))),C153))</f>
        <v>0</v>
      </c>
      <c r="D152" s="548">
        <f ca="1">(IFERROR(IFERROR(VALUE(_xll.BDH(D$4,"CURRENT_EV_TO_T12M_EBITDA",$B152,$B152)),VALUE(_xll.BDH(D$4,"CURRENT_EV_TO_T12M_EBITDA",$B152+1,$B152+1))),D153))</f>
        <v>0</v>
      </c>
      <c r="E152" s="548">
        <f ca="1">(IFERROR(IFERROR(VALUE(_xll.BDH(E$4,"CURRENT_EV_TO_T12M_EBITDA",$B152,$B152)),VALUE(_xll.BDH(E$4,"CURRENT_EV_TO_T12M_EBITDA",$B152+1,$B152+1))),E153))</f>
        <v>0</v>
      </c>
      <c r="F152" s="548">
        <f ca="1">(IFERROR(IFERROR(VALUE(_xll.BDH(F$4,"CURRENT_EV_TO_T12M_EBITDA",$B152,$B152)),VALUE(_xll.BDH(F$4,"CURRENT_EV_TO_T12M_EBITDA",$B152+1,$B152+1))),F153))</f>
        <v>0</v>
      </c>
      <c r="G152" s="548">
        <f ca="1">(IFERROR(IFERROR(VALUE(_xll.BDH(G$4,"CURRENT_EV_TO_T12M_EBITDA",$B152,$B152)),VALUE(_xll.BDH(G$4,"CURRENT_EV_TO_T12M_EBITDA",$B152+1,$B152+1))),G153))</f>
        <v>0</v>
      </c>
      <c r="H152" s="548">
        <f ca="1">(IFERROR(IFERROR(VALUE(_xll.BDH(H$4,"CURRENT_EV_TO_T12M_EBITDA",$B152,$B152)),VALUE(_xll.BDH(H$4,"CURRENT_EV_TO_T12M_EBITDA",$B152+1,$B152+1))),H153))</f>
        <v>0</v>
      </c>
      <c r="I152" s="552">
        <f t="shared" ca="1" si="45"/>
        <v>44922</v>
      </c>
      <c r="J152" s="548">
        <f ca="1">(IFERROR(IFERROR(VALUE(_xll.BDH(J$4,"PE_RATIO",$B152,$B152)),VALUE(_xll.BDH(J$4,"PE_RATIO",$B152+1,$B152+1))),J153))</f>
        <v>0</v>
      </c>
      <c r="K152" s="548">
        <f ca="1">(IFERROR(IFERROR(VALUE(_xll.BDH(K$4,"PE_RATIO",$B152,$B152)),VALUE(_xll.BDH(K$4,"PE_RATIO",$B152+1,$B152+1))),K153))</f>
        <v>0</v>
      </c>
      <c r="L152" s="548">
        <f ca="1">(IFERROR(IFERROR(VALUE(_xll.BDH(L$4,"PE_RATIO",$B152,$B152)),VALUE(_xll.BDH(L$4,"PE_RATIO",$B152+1,$B152+1))),L153))</f>
        <v>0</v>
      </c>
      <c r="M152" s="548">
        <f ca="1">(IFERROR(IFERROR(VALUE(_xll.BDH(M$4,"PE_RATIO",$B152,$B152)),VALUE(_xll.BDH(M$4,"PE_RATIO",$B152+1,$B152+1))),M153))</f>
        <v>0</v>
      </c>
      <c r="N152" s="548">
        <f ca="1">(IFERROR(IFERROR(VALUE(_xll.BDH(N$4,"PE_RATIO",$B152,$B152)),VALUE(_xll.BDH(N$4,"PE_RATIO",$B152+1,$B152+1))),N153))</f>
        <v>0</v>
      </c>
      <c r="O152" s="548">
        <f ca="1">(IFERROR(IFERROR(VALUE(_xll.BDH(O$4,"PE_RATIO",$B152,$B152)),VALUE(_xll.BDH(O$4,"PE_RATIO",$B152+1,$B152+1))),O153))</f>
        <v>0</v>
      </c>
      <c r="P152" s="548"/>
      <c r="Q152" s="552">
        <f t="shared" ca="1" si="46"/>
        <v>44922</v>
      </c>
      <c r="R152" s="4">
        <v>210.58</v>
      </c>
      <c r="S152" s="4">
        <v>3965.34</v>
      </c>
      <c r="T152" s="4">
        <v>0</v>
      </c>
      <c r="U152" s="4">
        <v>1.0808951852992508</v>
      </c>
      <c r="V152" s="4">
        <v>1.1059007926104831</v>
      </c>
      <c r="W152" s="4" t="e">
        <v>#DIV/0!</v>
      </c>
      <c r="Y152" s="548">
        <f t="shared" si="47"/>
        <v>210.58</v>
      </c>
      <c r="Z152" s="4">
        <f ca="1">IFERROR(VALUE(_xll.BDH(Z$4,"PX_LAST",$Q152,$Q152)),Z153)</f>
        <v>0</v>
      </c>
      <c r="AA152" s="4">
        <f ca="1">IFERROR(VALUE(_xll.BDH(AA$4,"PX_LAST",$Q152,$Q152)),AA153)</f>
        <v>0</v>
      </c>
      <c r="AB152" s="4">
        <f ca="1">IFERROR(VALUE(_xll.BDH(AB$4,"PX_LAST",$Q152,$Q152)),AB153)</f>
        <v>0</v>
      </c>
      <c r="AC152" s="4">
        <f ca="1">IFERROR(VALUE(_xll.BDH(AC$4,"PX_LAST",$Q152,$Q152)),AC153)</f>
        <v>0</v>
      </c>
      <c r="AD152" s="4">
        <f ca="1">IFERROR(VALUE(_xll.BDH(AD$4,"PX_LAST",$Q152,$Q152)),AD153)</f>
        <v>0</v>
      </c>
      <c r="AF152" s="4">
        <f t="shared" si="48"/>
        <v>1.0808951852992508</v>
      </c>
      <c r="AG152" s="4" t="e">
        <f t="shared" ca="1" si="49"/>
        <v>#DIV/0!</v>
      </c>
      <c r="AH152" s="4" t="e">
        <f t="shared" ca="1" si="50"/>
        <v>#DIV/0!</v>
      </c>
      <c r="AI152" s="4" t="e">
        <f t="shared" ca="1" si="51"/>
        <v>#DIV/0!</v>
      </c>
      <c r="AJ152" s="4" t="e">
        <f t="shared" ca="1" si="52"/>
        <v>#DIV/0!</v>
      </c>
      <c r="AK152" s="4" t="e">
        <f t="shared" ca="1" si="53"/>
        <v>#DIV/0!</v>
      </c>
      <c r="AM152" s="550">
        <f t="shared" ca="1" si="54"/>
        <v>45803</v>
      </c>
      <c r="AN152" s="551">
        <v>220.26</v>
      </c>
      <c r="AO152" s="551">
        <v>4545781</v>
      </c>
      <c r="AP152" s="551">
        <v>599.31817999999998</v>
      </c>
      <c r="AQ152" s="551">
        <v>132005.8223268</v>
      </c>
      <c r="AR152" s="551">
        <v>5.5008999999999997</v>
      </c>
    </row>
    <row r="153" spans="2:44" x14ac:dyDescent="0.3">
      <c r="B153" s="552">
        <f t="shared" ca="1" si="55"/>
        <v>44915</v>
      </c>
      <c r="C153" s="548">
        <f ca="1">(IFERROR(IFERROR(VALUE(_xll.BDH(C$4,"CURRENT_EV_TO_T12M_EBITDA",$B153,$B153)),VALUE(_xll.BDH(C$4,"CURRENT_EV_TO_T12M_EBITDA",$B153+1,$B153+1))),C154))</f>
        <v>0</v>
      </c>
      <c r="D153" s="548">
        <f ca="1">(IFERROR(IFERROR(VALUE(_xll.BDH(D$4,"CURRENT_EV_TO_T12M_EBITDA",$B153,$B153)),VALUE(_xll.BDH(D$4,"CURRENT_EV_TO_T12M_EBITDA",$B153+1,$B153+1))),D154))</f>
        <v>0</v>
      </c>
      <c r="E153" s="548">
        <f ca="1">(IFERROR(IFERROR(VALUE(_xll.BDH(E$4,"CURRENT_EV_TO_T12M_EBITDA",$B153,$B153)),VALUE(_xll.BDH(E$4,"CURRENT_EV_TO_T12M_EBITDA",$B153+1,$B153+1))),E154))</f>
        <v>0</v>
      </c>
      <c r="F153" s="548">
        <f ca="1">(IFERROR(IFERROR(VALUE(_xll.BDH(F$4,"CURRENT_EV_TO_T12M_EBITDA",$B153,$B153)),VALUE(_xll.BDH(F$4,"CURRENT_EV_TO_T12M_EBITDA",$B153+1,$B153+1))),F154))</f>
        <v>0</v>
      </c>
      <c r="G153" s="548">
        <f ca="1">(IFERROR(IFERROR(VALUE(_xll.BDH(G$4,"CURRENT_EV_TO_T12M_EBITDA",$B153,$B153)),VALUE(_xll.BDH(G$4,"CURRENT_EV_TO_T12M_EBITDA",$B153+1,$B153+1))),G154))</f>
        <v>0</v>
      </c>
      <c r="H153" s="548">
        <f ca="1">(IFERROR(IFERROR(VALUE(_xll.BDH(H$4,"CURRENT_EV_TO_T12M_EBITDA",$B153,$B153)),VALUE(_xll.BDH(H$4,"CURRENT_EV_TO_T12M_EBITDA",$B153+1,$B153+1))),H154))</f>
        <v>0</v>
      </c>
      <c r="I153" s="552">
        <f t="shared" ca="1" si="45"/>
        <v>44915</v>
      </c>
      <c r="J153" s="548">
        <f ca="1">(IFERROR(IFERROR(VALUE(_xll.BDH(J$4,"PE_RATIO",$B153,$B153)),VALUE(_xll.BDH(J$4,"PE_RATIO",$B153+1,$B153+1))),J154))</f>
        <v>0</v>
      </c>
      <c r="K153" s="548">
        <f ca="1">(IFERROR(IFERROR(VALUE(_xll.BDH(K$4,"PE_RATIO",$B153,$B153)),VALUE(_xll.BDH(K$4,"PE_RATIO",$B153+1,$B153+1))),K154))</f>
        <v>0</v>
      </c>
      <c r="L153" s="548">
        <f ca="1">(IFERROR(IFERROR(VALUE(_xll.BDH(L$4,"PE_RATIO",$B153,$B153)),VALUE(_xll.BDH(L$4,"PE_RATIO",$B153+1,$B153+1))),L154))</f>
        <v>0</v>
      </c>
      <c r="M153" s="548">
        <f ca="1">(IFERROR(IFERROR(VALUE(_xll.BDH(M$4,"PE_RATIO",$B153,$B153)),VALUE(_xll.BDH(M$4,"PE_RATIO",$B153+1,$B153+1))),M154))</f>
        <v>0</v>
      </c>
      <c r="N153" s="548">
        <f ca="1">(IFERROR(IFERROR(VALUE(_xll.BDH(N$4,"PE_RATIO",$B153,$B153)),VALUE(_xll.BDH(N$4,"PE_RATIO",$B153+1,$B153+1))),N154))</f>
        <v>0</v>
      </c>
      <c r="O153" s="548">
        <f ca="1">(IFERROR(IFERROR(VALUE(_xll.BDH(O$4,"PE_RATIO",$B153,$B153)),VALUE(_xll.BDH(O$4,"PE_RATIO",$B153+1,$B153+1))),O154))</f>
        <v>0</v>
      </c>
      <c r="P153" s="548"/>
      <c r="Q153" s="552">
        <f t="shared" ca="1" si="46"/>
        <v>44915</v>
      </c>
      <c r="R153" s="4">
        <v>217.5</v>
      </c>
      <c r="S153" s="4">
        <v>3992.93</v>
      </c>
      <c r="T153" s="4">
        <v>0</v>
      </c>
      <c r="U153" s="4">
        <v>1.116415152448414</v>
      </c>
      <c r="V153" s="4">
        <v>1.1135954172500153</v>
      </c>
      <c r="W153" s="4" t="e">
        <v>#DIV/0!</v>
      </c>
      <c r="Y153" s="548">
        <f t="shared" si="47"/>
        <v>217.5</v>
      </c>
      <c r="Z153" s="4">
        <f ca="1">IFERROR(VALUE(_xll.BDH(Z$4,"PX_LAST",$Q153,$Q153)),Z154)</f>
        <v>0</v>
      </c>
      <c r="AA153" s="4">
        <f ca="1">IFERROR(VALUE(_xll.BDH(AA$4,"PX_LAST",$Q153,$Q153)),AA154)</f>
        <v>0</v>
      </c>
      <c r="AB153" s="4">
        <f ca="1">IFERROR(VALUE(_xll.BDH(AB$4,"PX_LAST",$Q153,$Q153)),AB154)</f>
        <v>0</v>
      </c>
      <c r="AC153" s="4">
        <f ca="1">IFERROR(VALUE(_xll.BDH(AC$4,"PX_LAST",$Q153,$Q153)),AC154)</f>
        <v>0</v>
      </c>
      <c r="AD153" s="4">
        <f ca="1">IFERROR(VALUE(_xll.BDH(AD$4,"PX_LAST",$Q153,$Q153)),AD154)</f>
        <v>0</v>
      </c>
      <c r="AF153" s="4">
        <f t="shared" si="48"/>
        <v>1.116415152448414</v>
      </c>
      <c r="AG153" s="4" t="e">
        <f t="shared" ca="1" si="49"/>
        <v>#DIV/0!</v>
      </c>
      <c r="AH153" s="4" t="e">
        <f t="shared" ca="1" si="50"/>
        <v>#DIV/0!</v>
      </c>
      <c r="AI153" s="4" t="e">
        <f t="shared" ca="1" si="51"/>
        <v>#DIV/0!</v>
      </c>
      <c r="AJ153" s="4" t="e">
        <f t="shared" ca="1" si="52"/>
        <v>#DIV/0!</v>
      </c>
      <c r="AK153" s="4" t="e">
        <f t="shared" ca="1" si="53"/>
        <v>#DIV/0!</v>
      </c>
      <c r="AM153" s="550">
        <f t="shared" ca="1" si="54"/>
        <v>45802</v>
      </c>
      <c r="AN153" s="551">
        <v>216.6</v>
      </c>
      <c r="AO153" s="551">
        <v>3293598</v>
      </c>
      <c r="AP153" s="551">
        <v>599.31817999999998</v>
      </c>
      <c r="AQ153" s="551">
        <v>129812.317788</v>
      </c>
      <c r="AR153" s="551">
        <v>5.4095000000000004</v>
      </c>
    </row>
    <row r="154" spans="2:44" x14ac:dyDescent="0.3">
      <c r="B154" s="552">
        <f t="shared" ca="1" si="55"/>
        <v>44908</v>
      </c>
      <c r="C154" s="548">
        <f ca="1">(IFERROR(IFERROR(VALUE(_xll.BDH(C$4,"CURRENT_EV_TO_T12M_EBITDA",$B154,$B154)),VALUE(_xll.BDH(C$4,"CURRENT_EV_TO_T12M_EBITDA",$B154+1,$B154+1))),C155))</f>
        <v>0</v>
      </c>
      <c r="D154" s="548">
        <f ca="1">(IFERROR(IFERROR(VALUE(_xll.BDH(D$4,"CURRENT_EV_TO_T12M_EBITDA",$B154,$B154)),VALUE(_xll.BDH(D$4,"CURRENT_EV_TO_T12M_EBITDA",$B154+1,$B154+1))),D155))</f>
        <v>0</v>
      </c>
      <c r="E154" s="548">
        <f ca="1">(IFERROR(IFERROR(VALUE(_xll.BDH(E$4,"CURRENT_EV_TO_T12M_EBITDA",$B154,$B154)),VALUE(_xll.BDH(E$4,"CURRENT_EV_TO_T12M_EBITDA",$B154+1,$B154+1))),E155))</f>
        <v>0</v>
      </c>
      <c r="F154" s="548">
        <f ca="1">(IFERROR(IFERROR(VALUE(_xll.BDH(F$4,"CURRENT_EV_TO_T12M_EBITDA",$B154,$B154)),VALUE(_xll.BDH(F$4,"CURRENT_EV_TO_T12M_EBITDA",$B154+1,$B154+1))),F155))</f>
        <v>0</v>
      </c>
      <c r="G154" s="548">
        <f ca="1">(IFERROR(IFERROR(VALUE(_xll.BDH(G$4,"CURRENT_EV_TO_T12M_EBITDA",$B154,$B154)),VALUE(_xll.BDH(G$4,"CURRENT_EV_TO_T12M_EBITDA",$B154+1,$B154+1))),G155))</f>
        <v>0</v>
      </c>
      <c r="H154" s="548">
        <f ca="1">(IFERROR(IFERROR(VALUE(_xll.BDH(H$4,"CURRENT_EV_TO_T12M_EBITDA",$B154,$B154)),VALUE(_xll.BDH(H$4,"CURRENT_EV_TO_T12M_EBITDA",$B154+1,$B154+1))),H155))</f>
        <v>0</v>
      </c>
      <c r="I154" s="552">
        <f t="shared" ca="1" si="45"/>
        <v>44908</v>
      </c>
      <c r="J154" s="548">
        <f ca="1">(IFERROR(IFERROR(VALUE(_xll.BDH(J$4,"PE_RATIO",$B154,$B154)),VALUE(_xll.BDH(J$4,"PE_RATIO",$B154+1,$B154+1))),J155))</f>
        <v>0</v>
      </c>
      <c r="K154" s="548">
        <f ca="1">(IFERROR(IFERROR(VALUE(_xll.BDH(K$4,"PE_RATIO",$B154,$B154)),VALUE(_xll.BDH(K$4,"PE_RATIO",$B154+1,$B154+1))),K155))</f>
        <v>0</v>
      </c>
      <c r="L154" s="548">
        <f ca="1">(IFERROR(IFERROR(VALUE(_xll.BDH(L$4,"PE_RATIO",$B154,$B154)),VALUE(_xll.BDH(L$4,"PE_RATIO",$B154+1,$B154+1))),L155))</f>
        <v>0</v>
      </c>
      <c r="M154" s="548">
        <f ca="1">(IFERROR(IFERROR(VALUE(_xll.BDH(M$4,"PE_RATIO",$B154,$B154)),VALUE(_xll.BDH(M$4,"PE_RATIO",$B154+1,$B154+1))),M155))</f>
        <v>0</v>
      </c>
      <c r="N154" s="548">
        <f ca="1">(IFERROR(IFERROR(VALUE(_xll.BDH(N$4,"PE_RATIO",$B154,$B154)),VALUE(_xll.BDH(N$4,"PE_RATIO",$B154+1,$B154+1))),N155))</f>
        <v>0</v>
      </c>
      <c r="O154" s="548">
        <f ca="1">(IFERROR(IFERROR(VALUE(_xll.BDH(O$4,"PE_RATIO",$B154,$B154)),VALUE(_xll.BDH(O$4,"PE_RATIO",$B154+1,$B154+1))),O155))</f>
        <v>0</v>
      </c>
      <c r="P154" s="548"/>
      <c r="Q154" s="552">
        <f t="shared" ca="1" si="46"/>
        <v>44908</v>
      </c>
      <c r="R154" s="4">
        <v>196.7</v>
      </c>
      <c r="S154" s="4">
        <v>3770.55</v>
      </c>
      <c r="T154" s="4">
        <v>0</v>
      </c>
      <c r="U154" s="4">
        <v>1.0096499332717379</v>
      </c>
      <c r="V154" s="4">
        <v>1.0515754597531251</v>
      </c>
      <c r="W154" s="4" t="e">
        <v>#DIV/0!</v>
      </c>
      <c r="Y154" s="548">
        <f t="shared" si="47"/>
        <v>196.7</v>
      </c>
      <c r="Z154" s="4">
        <f ca="1">IFERROR(VALUE(_xll.BDH(Z$4,"PX_LAST",$Q154,$Q154)),Z155)</f>
        <v>0</v>
      </c>
      <c r="AA154" s="4">
        <f ca="1">IFERROR(VALUE(_xll.BDH(AA$4,"PX_LAST",$Q154,$Q154)),AA155)</f>
        <v>0</v>
      </c>
      <c r="AB154" s="4">
        <f ca="1">IFERROR(VALUE(_xll.BDH(AB$4,"PX_LAST",$Q154,$Q154)),AB155)</f>
        <v>0</v>
      </c>
      <c r="AC154" s="4">
        <f ca="1">IFERROR(VALUE(_xll.BDH(AC$4,"PX_LAST",$Q154,$Q154)),AC155)</f>
        <v>0</v>
      </c>
      <c r="AD154" s="4">
        <f ca="1">IFERROR(VALUE(_xll.BDH(AD$4,"PX_LAST",$Q154,$Q154)),AD155)</f>
        <v>0</v>
      </c>
      <c r="AF154" s="4">
        <f t="shared" si="48"/>
        <v>1.0096499332717379</v>
      </c>
      <c r="AG154" s="4" t="e">
        <f t="shared" ca="1" si="49"/>
        <v>#DIV/0!</v>
      </c>
      <c r="AH154" s="4" t="e">
        <f t="shared" ca="1" si="50"/>
        <v>#DIV/0!</v>
      </c>
      <c r="AI154" s="4" t="e">
        <f t="shared" ca="1" si="51"/>
        <v>#DIV/0!</v>
      </c>
      <c r="AJ154" s="4" t="e">
        <f t="shared" ca="1" si="52"/>
        <v>#DIV/0!</v>
      </c>
      <c r="AK154" s="4" t="e">
        <f t="shared" ca="1" si="53"/>
        <v>#DIV/0!</v>
      </c>
      <c r="AM154" s="550">
        <f t="shared" ca="1" si="54"/>
        <v>45801</v>
      </c>
      <c r="AN154" s="551">
        <v>220.08</v>
      </c>
      <c r="AO154" s="551">
        <v>2806966</v>
      </c>
      <c r="AP154" s="551">
        <v>599.31817999999998</v>
      </c>
      <c r="AQ154" s="551">
        <v>131897.94505440001</v>
      </c>
      <c r="AR154" s="551">
        <v>5.4964000000000004</v>
      </c>
    </row>
    <row r="155" spans="2:44" x14ac:dyDescent="0.3">
      <c r="B155" s="552">
        <f t="shared" ca="1" si="55"/>
        <v>44901</v>
      </c>
      <c r="C155" s="548">
        <f ca="1">(IFERROR(IFERROR(VALUE(_xll.BDH(C$4,"CURRENT_EV_TO_T12M_EBITDA",$B155,$B155)),VALUE(_xll.BDH(C$4,"CURRENT_EV_TO_T12M_EBITDA",$B155+1,$B155+1))),C156))</f>
        <v>0</v>
      </c>
      <c r="D155" s="548">
        <f ca="1">(IFERROR(IFERROR(VALUE(_xll.BDH(D$4,"CURRENT_EV_TO_T12M_EBITDA",$B155,$B155)),VALUE(_xll.BDH(D$4,"CURRENT_EV_TO_T12M_EBITDA",$B155+1,$B155+1))),D156))</f>
        <v>0</v>
      </c>
      <c r="E155" s="548">
        <f ca="1">(IFERROR(IFERROR(VALUE(_xll.BDH(E$4,"CURRENT_EV_TO_T12M_EBITDA",$B155,$B155)),VALUE(_xll.BDH(E$4,"CURRENT_EV_TO_T12M_EBITDA",$B155+1,$B155+1))),E156))</f>
        <v>0</v>
      </c>
      <c r="F155" s="548">
        <f ca="1">(IFERROR(IFERROR(VALUE(_xll.BDH(F$4,"CURRENT_EV_TO_T12M_EBITDA",$B155,$B155)),VALUE(_xll.BDH(F$4,"CURRENT_EV_TO_T12M_EBITDA",$B155+1,$B155+1))),F156))</f>
        <v>0</v>
      </c>
      <c r="G155" s="548">
        <f ca="1">(IFERROR(IFERROR(VALUE(_xll.BDH(G$4,"CURRENT_EV_TO_T12M_EBITDA",$B155,$B155)),VALUE(_xll.BDH(G$4,"CURRENT_EV_TO_T12M_EBITDA",$B155+1,$B155+1))),G156))</f>
        <v>0</v>
      </c>
      <c r="H155" s="548">
        <f ca="1">(IFERROR(IFERROR(VALUE(_xll.BDH(H$4,"CURRENT_EV_TO_T12M_EBITDA",$B155,$B155)),VALUE(_xll.BDH(H$4,"CURRENT_EV_TO_T12M_EBITDA",$B155+1,$B155+1))),H156))</f>
        <v>0</v>
      </c>
      <c r="I155" s="552">
        <f t="shared" ca="1" si="45"/>
        <v>44901</v>
      </c>
      <c r="J155" s="548">
        <f ca="1">(IFERROR(IFERROR(VALUE(_xll.BDH(J$4,"PE_RATIO",$B155,$B155)),VALUE(_xll.BDH(J$4,"PE_RATIO",$B155+1,$B155+1))),J156))</f>
        <v>0</v>
      </c>
      <c r="K155" s="548">
        <f ca="1">(IFERROR(IFERROR(VALUE(_xll.BDH(K$4,"PE_RATIO",$B155,$B155)),VALUE(_xll.BDH(K$4,"PE_RATIO",$B155+1,$B155+1))),K156))</f>
        <v>0</v>
      </c>
      <c r="L155" s="548">
        <f ca="1">(IFERROR(IFERROR(VALUE(_xll.BDH(L$4,"PE_RATIO",$B155,$B155)),VALUE(_xll.BDH(L$4,"PE_RATIO",$B155+1,$B155+1))),L156))</f>
        <v>0</v>
      </c>
      <c r="M155" s="548">
        <f ca="1">(IFERROR(IFERROR(VALUE(_xll.BDH(M$4,"PE_RATIO",$B155,$B155)),VALUE(_xll.BDH(M$4,"PE_RATIO",$B155+1,$B155+1))),M156))</f>
        <v>0</v>
      </c>
      <c r="N155" s="548">
        <f ca="1">(IFERROR(IFERROR(VALUE(_xll.BDH(N$4,"PE_RATIO",$B155,$B155)),VALUE(_xll.BDH(N$4,"PE_RATIO",$B155+1,$B155+1))),N156))</f>
        <v>0</v>
      </c>
      <c r="O155" s="548">
        <f ca="1">(IFERROR(IFERROR(VALUE(_xll.BDH(O$4,"PE_RATIO",$B155,$B155)),VALUE(_xll.BDH(O$4,"PE_RATIO",$B155+1,$B155+1))),O156))</f>
        <v>0</v>
      </c>
      <c r="P155" s="548"/>
      <c r="Q155" s="552">
        <f t="shared" ca="1" si="46"/>
        <v>44901</v>
      </c>
      <c r="R155" s="4">
        <v>198.65</v>
      </c>
      <c r="S155" s="4">
        <v>3901.06</v>
      </c>
      <c r="T155" s="4">
        <v>0</v>
      </c>
      <c r="U155" s="4">
        <v>1.0196591725695514</v>
      </c>
      <c r="V155" s="4">
        <v>1.0879736279918117</v>
      </c>
      <c r="W155" s="4" t="e">
        <v>#DIV/0!</v>
      </c>
      <c r="Y155" s="548">
        <f t="shared" si="47"/>
        <v>198.65</v>
      </c>
      <c r="Z155" s="4">
        <f ca="1">IFERROR(VALUE(_xll.BDH(Z$4,"PX_LAST",$Q155,$Q155)),Z156)</f>
        <v>0</v>
      </c>
      <c r="AA155" s="4">
        <f ca="1">IFERROR(VALUE(_xll.BDH(AA$4,"PX_LAST",$Q155,$Q155)),AA156)</f>
        <v>0</v>
      </c>
      <c r="AB155" s="4">
        <f ca="1">IFERROR(VALUE(_xll.BDH(AB$4,"PX_LAST",$Q155,$Q155)),AB156)</f>
        <v>0</v>
      </c>
      <c r="AC155" s="4">
        <f ca="1">IFERROR(VALUE(_xll.BDH(AC$4,"PX_LAST",$Q155,$Q155)),AC156)</f>
        <v>0</v>
      </c>
      <c r="AD155" s="4">
        <f ca="1">IFERROR(VALUE(_xll.BDH(AD$4,"PX_LAST",$Q155,$Q155)),AD156)</f>
        <v>0</v>
      </c>
      <c r="AF155" s="4">
        <f t="shared" si="48"/>
        <v>1.0196591725695514</v>
      </c>
      <c r="AG155" s="4" t="e">
        <f t="shared" ca="1" si="49"/>
        <v>#DIV/0!</v>
      </c>
      <c r="AH155" s="4" t="e">
        <f t="shared" ca="1" si="50"/>
        <v>#DIV/0!</v>
      </c>
      <c r="AI155" s="4" t="e">
        <f t="shared" ca="1" si="51"/>
        <v>#DIV/0!</v>
      </c>
      <c r="AJ155" s="4" t="e">
        <f t="shared" ca="1" si="52"/>
        <v>#DIV/0!</v>
      </c>
      <c r="AK155" s="4" t="e">
        <f t="shared" ca="1" si="53"/>
        <v>#DIV/0!</v>
      </c>
      <c r="AM155" s="550">
        <f t="shared" ca="1" si="54"/>
        <v>45800</v>
      </c>
      <c r="AN155" s="551">
        <v>222.27</v>
      </c>
      <c r="AO155" s="551">
        <v>3197705</v>
      </c>
      <c r="AP155" s="551">
        <v>599.31817999999998</v>
      </c>
      <c r="AQ155" s="551">
        <v>133210.45186860001</v>
      </c>
      <c r="AR155" s="551">
        <v>5.5510999999999999</v>
      </c>
    </row>
    <row r="156" spans="2:44" x14ac:dyDescent="0.3">
      <c r="B156" s="552">
        <f t="shared" ca="1" si="55"/>
        <v>44894</v>
      </c>
      <c r="C156" s="548">
        <f ca="1">(IFERROR(IFERROR(VALUE(_xll.BDH(C$4,"CURRENT_EV_TO_T12M_EBITDA",$B156,$B156)),VALUE(_xll.BDH(C$4,"CURRENT_EV_TO_T12M_EBITDA",$B156+1,$B156+1))),C157))</f>
        <v>0</v>
      </c>
      <c r="D156" s="548">
        <f ca="1">(IFERROR(IFERROR(VALUE(_xll.BDH(D$4,"CURRENT_EV_TO_T12M_EBITDA",$B156,$B156)),VALUE(_xll.BDH(D$4,"CURRENT_EV_TO_T12M_EBITDA",$B156+1,$B156+1))),D157))</f>
        <v>0</v>
      </c>
      <c r="E156" s="548">
        <f ca="1">(IFERROR(IFERROR(VALUE(_xll.BDH(E$4,"CURRENT_EV_TO_T12M_EBITDA",$B156,$B156)),VALUE(_xll.BDH(E$4,"CURRENT_EV_TO_T12M_EBITDA",$B156+1,$B156+1))),E157))</f>
        <v>0</v>
      </c>
      <c r="F156" s="548">
        <f ca="1">(IFERROR(IFERROR(VALUE(_xll.BDH(F$4,"CURRENT_EV_TO_T12M_EBITDA",$B156,$B156)),VALUE(_xll.BDH(F$4,"CURRENT_EV_TO_T12M_EBITDA",$B156+1,$B156+1))),F157))</f>
        <v>0</v>
      </c>
      <c r="G156" s="548">
        <f ca="1">(IFERROR(IFERROR(VALUE(_xll.BDH(G$4,"CURRENT_EV_TO_T12M_EBITDA",$B156,$B156)),VALUE(_xll.BDH(G$4,"CURRENT_EV_TO_T12M_EBITDA",$B156+1,$B156+1))),G157))</f>
        <v>0</v>
      </c>
      <c r="H156" s="548">
        <f ca="1">(IFERROR(IFERROR(VALUE(_xll.BDH(H$4,"CURRENT_EV_TO_T12M_EBITDA",$B156,$B156)),VALUE(_xll.BDH(H$4,"CURRENT_EV_TO_T12M_EBITDA",$B156+1,$B156+1))),H157))</f>
        <v>0</v>
      </c>
      <c r="I156" s="552">
        <f t="shared" ca="1" si="45"/>
        <v>44894</v>
      </c>
      <c r="J156" s="548">
        <f ca="1">(IFERROR(IFERROR(VALUE(_xll.BDH(J$4,"PE_RATIO",$B156,$B156)),VALUE(_xll.BDH(J$4,"PE_RATIO",$B156+1,$B156+1))),J157))</f>
        <v>0</v>
      </c>
      <c r="K156" s="548">
        <f ca="1">(IFERROR(IFERROR(VALUE(_xll.BDH(K$4,"PE_RATIO",$B156,$B156)),VALUE(_xll.BDH(K$4,"PE_RATIO",$B156+1,$B156+1))),K157))</f>
        <v>0</v>
      </c>
      <c r="L156" s="548">
        <f ca="1">(IFERROR(IFERROR(VALUE(_xll.BDH(L$4,"PE_RATIO",$B156,$B156)),VALUE(_xll.BDH(L$4,"PE_RATIO",$B156+1,$B156+1))),L157))</f>
        <v>0</v>
      </c>
      <c r="M156" s="548">
        <f ca="1">(IFERROR(IFERROR(VALUE(_xll.BDH(M$4,"PE_RATIO",$B156,$B156)),VALUE(_xll.BDH(M$4,"PE_RATIO",$B156+1,$B156+1))),M157))</f>
        <v>0</v>
      </c>
      <c r="N156" s="548">
        <f ca="1">(IFERROR(IFERROR(VALUE(_xll.BDH(N$4,"PE_RATIO",$B156,$B156)),VALUE(_xll.BDH(N$4,"PE_RATIO",$B156+1,$B156+1))),N157))</f>
        <v>0</v>
      </c>
      <c r="O156" s="548">
        <f ca="1">(IFERROR(IFERROR(VALUE(_xll.BDH(O$4,"PE_RATIO",$B156,$B156)),VALUE(_xll.BDH(O$4,"PE_RATIO",$B156+1,$B156+1))),O157))</f>
        <v>0</v>
      </c>
      <c r="P156" s="548"/>
      <c r="Q156" s="552">
        <f t="shared" ca="1" si="46"/>
        <v>44894</v>
      </c>
      <c r="R156" s="4">
        <v>190.53</v>
      </c>
      <c r="S156" s="4">
        <v>3752.75</v>
      </c>
      <c r="T156" s="4">
        <v>0</v>
      </c>
      <c r="U156" s="4">
        <v>0.97797967354481063</v>
      </c>
      <c r="V156" s="4">
        <v>1.0466111857921363</v>
      </c>
      <c r="W156" s="4" t="e">
        <v>#DIV/0!</v>
      </c>
      <c r="Y156" s="548">
        <f t="shared" si="47"/>
        <v>190.53</v>
      </c>
      <c r="Z156" s="4">
        <f ca="1">IFERROR(VALUE(_xll.BDH(Z$4,"PX_LAST",$Q156,$Q156)),Z157)</f>
        <v>0</v>
      </c>
      <c r="AA156" s="4">
        <f ca="1">IFERROR(VALUE(_xll.BDH(AA$4,"PX_LAST",$Q156,$Q156)),AA157)</f>
        <v>0</v>
      </c>
      <c r="AB156" s="4">
        <f ca="1">IFERROR(VALUE(_xll.BDH(AB$4,"PX_LAST",$Q156,$Q156)),AB157)</f>
        <v>0</v>
      </c>
      <c r="AC156" s="4">
        <f ca="1">IFERROR(VALUE(_xll.BDH(AC$4,"PX_LAST",$Q156,$Q156)),AC157)</f>
        <v>0</v>
      </c>
      <c r="AD156" s="4">
        <f ca="1">IFERROR(VALUE(_xll.BDH(AD$4,"PX_LAST",$Q156,$Q156)),AD157)</f>
        <v>0</v>
      </c>
      <c r="AF156" s="4">
        <f t="shared" si="48"/>
        <v>0.97797967354481063</v>
      </c>
      <c r="AG156" s="4" t="e">
        <f t="shared" ca="1" si="49"/>
        <v>#DIV/0!</v>
      </c>
      <c r="AH156" s="4" t="e">
        <f t="shared" ca="1" si="50"/>
        <v>#DIV/0!</v>
      </c>
      <c r="AI156" s="4" t="e">
        <f t="shared" ca="1" si="51"/>
        <v>#DIV/0!</v>
      </c>
      <c r="AJ156" s="4" t="e">
        <f t="shared" ca="1" si="52"/>
        <v>#DIV/0!</v>
      </c>
      <c r="AK156" s="4" t="e">
        <f t="shared" ca="1" si="53"/>
        <v>#DIV/0!</v>
      </c>
      <c r="AM156" s="550">
        <f t="shared" ca="1" si="54"/>
        <v>45799</v>
      </c>
      <c r="AN156" s="551">
        <v>218.59</v>
      </c>
      <c r="AO156" s="551">
        <v>2965014</v>
      </c>
      <c r="AP156" s="551">
        <v>599.31817999999998</v>
      </c>
      <c r="AQ156" s="551">
        <v>131004.9609662</v>
      </c>
      <c r="AR156" s="551">
        <v>5.4592000000000001</v>
      </c>
    </row>
    <row r="157" spans="2:44" x14ac:dyDescent="0.3">
      <c r="B157" s="552">
        <f t="shared" ca="1" si="55"/>
        <v>44887</v>
      </c>
      <c r="C157" s="548">
        <f ca="1">(IFERROR(IFERROR(VALUE(_xll.BDH(C$4,"CURRENT_EV_TO_T12M_EBITDA",$B157,$B157)),VALUE(_xll.BDH(C$4,"CURRENT_EV_TO_T12M_EBITDA",$B157+1,$B157+1))),C158))</f>
        <v>0</v>
      </c>
      <c r="D157" s="548">
        <f ca="1">(IFERROR(IFERROR(VALUE(_xll.BDH(D$4,"CURRENT_EV_TO_T12M_EBITDA",$B157,$B157)),VALUE(_xll.BDH(D$4,"CURRENT_EV_TO_T12M_EBITDA",$B157+1,$B157+1))),D158))</f>
        <v>0</v>
      </c>
      <c r="E157" s="548">
        <f ca="1">(IFERROR(IFERROR(VALUE(_xll.BDH(E$4,"CURRENT_EV_TO_T12M_EBITDA",$B157,$B157)),VALUE(_xll.BDH(E$4,"CURRENT_EV_TO_T12M_EBITDA",$B157+1,$B157+1))),E158))</f>
        <v>0</v>
      </c>
      <c r="F157" s="548">
        <f ca="1">(IFERROR(IFERROR(VALUE(_xll.BDH(F$4,"CURRENT_EV_TO_T12M_EBITDA",$B157,$B157)),VALUE(_xll.BDH(F$4,"CURRENT_EV_TO_T12M_EBITDA",$B157+1,$B157+1))),F158))</f>
        <v>0</v>
      </c>
      <c r="G157" s="548">
        <f ca="1">(IFERROR(IFERROR(VALUE(_xll.BDH(G$4,"CURRENT_EV_TO_T12M_EBITDA",$B157,$B157)),VALUE(_xll.BDH(G$4,"CURRENT_EV_TO_T12M_EBITDA",$B157+1,$B157+1))),G158))</f>
        <v>0</v>
      </c>
      <c r="H157" s="548">
        <f ca="1">(IFERROR(IFERROR(VALUE(_xll.BDH(H$4,"CURRENT_EV_TO_T12M_EBITDA",$B157,$B157)),VALUE(_xll.BDH(H$4,"CURRENT_EV_TO_T12M_EBITDA",$B157+1,$B157+1))),H158))</f>
        <v>0</v>
      </c>
      <c r="I157" s="552">
        <f t="shared" ca="1" si="45"/>
        <v>44887</v>
      </c>
      <c r="J157" s="548">
        <f ca="1">(IFERROR(IFERROR(VALUE(_xll.BDH(J$4,"PE_RATIO",$B157,$B157)),VALUE(_xll.BDH(J$4,"PE_RATIO",$B157+1,$B157+1))),J158))</f>
        <v>0</v>
      </c>
      <c r="K157" s="548">
        <f ca="1">(IFERROR(IFERROR(VALUE(_xll.BDH(K$4,"PE_RATIO",$B157,$B157)),VALUE(_xll.BDH(K$4,"PE_RATIO",$B157+1,$B157+1))),K158))</f>
        <v>0</v>
      </c>
      <c r="L157" s="548">
        <f ca="1">(IFERROR(IFERROR(VALUE(_xll.BDH(L$4,"PE_RATIO",$B157,$B157)),VALUE(_xll.BDH(L$4,"PE_RATIO",$B157+1,$B157+1))),L158))</f>
        <v>0</v>
      </c>
      <c r="M157" s="548">
        <f ca="1">(IFERROR(IFERROR(VALUE(_xll.BDH(M$4,"PE_RATIO",$B157,$B157)),VALUE(_xll.BDH(M$4,"PE_RATIO",$B157+1,$B157+1))),M158))</f>
        <v>0</v>
      </c>
      <c r="N157" s="548">
        <f ca="1">(IFERROR(IFERROR(VALUE(_xll.BDH(N$4,"PE_RATIO",$B157,$B157)),VALUE(_xll.BDH(N$4,"PE_RATIO",$B157+1,$B157+1))),N158))</f>
        <v>0</v>
      </c>
      <c r="O157" s="548">
        <f ca="1">(IFERROR(IFERROR(VALUE(_xll.BDH(O$4,"PE_RATIO",$B157,$B157)),VALUE(_xll.BDH(O$4,"PE_RATIO",$B157+1,$B157+1))),O158))</f>
        <v>0</v>
      </c>
      <c r="P157" s="548"/>
      <c r="Q157" s="552">
        <f t="shared" ca="1" si="46"/>
        <v>44887</v>
      </c>
      <c r="R157" s="4">
        <v>193.79</v>
      </c>
      <c r="S157" s="4">
        <v>3583.07</v>
      </c>
      <c r="T157" s="4">
        <v>0</v>
      </c>
      <c r="U157" s="4">
        <v>0.99471306847346264</v>
      </c>
      <c r="V157" s="4">
        <v>0.99928882592131907</v>
      </c>
      <c r="W157" s="4" t="e">
        <v>#DIV/0!</v>
      </c>
      <c r="Y157" s="548">
        <f t="shared" si="47"/>
        <v>193.79</v>
      </c>
      <c r="Z157" s="4">
        <f ca="1">IFERROR(VALUE(_xll.BDH(Z$4,"PX_LAST",$Q157,$Q157)),Z158)</f>
        <v>0</v>
      </c>
      <c r="AA157" s="4">
        <f ca="1">IFERROR(VALUE(_xll.BDH(AA$4,"PX_LAST",$Q157,$Q157)),AA158)</f>
        <v>0</v>
      </c>
      <c r="AB157" s="4">
        <f ca="1">IFERROR(VALUE(_xll.BDH(AB$4,"PX_LAST",$Q157,$Q157)),AB158)</f>
        <v>0</v>
      </c>
      <c r="AC157" s="4">
        <f ca="1">IFERROR(VALUE(_xll.BDH(AC$4,"PX_LAST",$Q157,$Q157)),AC158)</f>
        <v>0</v>
      </c>
      <c r="AD157" s="4">
        <f ca="1">IFERROR(VALUE(_xll.BDH(AD$4,"PX_LAST",$Q157,$Q157)),AD158)</f>
        <v>0</v>
      </c>
      <c r="AF157" s="4">
        <f t="shared" si="48"/>
        <v>0.99471306847346264</v>
      </c>
      <c r="AG157" s="4" t="e">
        <f t="shared" ca="1" si="49"/>
        <v>#DIV/0!</v>
      </c>
      <c r="AH157" s="4" t="e">
        <f t="shared" ca="1" si="50"/>
        <v>#DIV/0!</v>
      </c>
      <c r="AI157" s="4" t="e">
        <f t="shared" ca="1" si="51"/>
        <v>#DIV/0!</v>
      </c>
      <c r="AJ157" s="4" t="e">
        <f t="shared" ca="1" si="52"/>
        <v>#DIV/0!</v>
      </c>
      <c r="AK157" s="4" t="e">
        <f t="shared" ca="1" si="53"/>
        <v>#DIV/0!</v>
      </c>
      <c r="AM157" s="550">
        <f t="shared" ca="1" si="54"/>
        <v>45798</v>
      </c>
      <c r="AN157" s="551">
        <v>218.59</v>
      </c>
      <c r="AO157" s="551">
        <v>2965014</v>
      </c>
      <c r="AP157" s="551">
        <v>599.31817999999998</v>
      </c>
      <c r="AQ157" s="551">
        <v>131004.9609662</v>
      </c>
      <c r="AR157" s="551">
        <v>5.4592000000000001</v>
      </c>
    </row>
    <row r="158" spans="2:44" x14ac:dyDescent="0.3">
      <c r="B158" s="552">
        <f t="shared" ca="1" si="55"/>
        <v>44880</v>
      </c>
      <c r="C158" s="548">
        <f ca="1">(IFERROR(IFERROR(VALUE(_xll.BDH(C$4,"CURRENT_EV_TO_T12M_EBITDA",$B158,$B158)),VALUE(_xll.BDH(C$4,"CURRENT_EV_TO_T12M_EBITDA",$B158+1,$B158+1))),C159))</f>
        <v>0</v>
      </c>
      <c r="D158" s="548">
        <f ca="1">(IFERROR(IFERROR(VALUE(_xll.BDH(D$4,"CURRENT_EV_TO_T12M_EBITDA",$B158,$B158)),VALUE(_xll.BDH(D$4,"CURRENT_EV_TO_T12M_EBITDA",$B158+1,$B158+1))),D159))</f>
        <v>0</v>
      </c>
      <c r="E158" s="548">
        <f ca="1">(IFERROR(IFERROR(VALUE(_xll.BDH(E$4,"CURRENT_EV_TO_T12M_EBITDA",$B158,$B158)),VALUE(_xll.BDH(E$4,"CURRENT_EV_TO_T12M_EBITDA",$B158+1,$B158+1))),E159))</f>
        <v>0</v>
      </c>
      <c r="F158" s="548">
        <f ca="1">(IFERROR(IFERROR(VALUE(_xll.BDH(F$4,"CURRENT_EV_TO_T12M_EBITDA",$B158,$B158)),VALUE(_xll.BDH(F$4,"CURRENT_EV_TO_T12M_EBITDA",$B158+1,$B158+1))),F159))</f>
        <v>0</v>
      </c>
      <c r="G158" s="548">
        <f ca="1">(IFERROR(IFERROR(VALUE(_xll.BDH(G$4,"CURRENT_EV_TO_T12M_EBITDA",$B158,$B158)),VALUE(_xll.BDH(G$4,"CURRENT_EV_TO_T12M_EBITDA",$B158+1,$B158+1))),G159))</f>
        <v>0</v>
      </c>
      <c r="H158" s="548">
        <f ca="1">(IFERROR(IFERROR(VALUE(_xll.BDH(H$4,"CURRENT_EV_TO_T12M_EBITDA",$B158,$B158)),VALUE(_xll.BDH(H$4,"CURRENT_EV_TO_T12M_EBITDA",$B158+1,$B158+1))),H159))</f>
        <v>0</v>
      </c>
      <c r="I158" s="552">
        <f t="shared" ca="1" si="45"/>
        <v>44880</v>
      </c>
      <c r="J158" s="548">
        <f ca="1">(IFERROR(IFERROR(VALUE(_xll.BDH(J$4,"PE_RATIO",$B158,$B158)),VALUE(_xll.BDH(J$4,"PE_RATIO",$B158+1,$B158+1))),J159))</f>
        <v>0</v>
      </c>
      <c r="K158" s="548">
        <f ca="1">(IFERROR(IFERROR(VALUE(_xll.BDH(K$4,"PE_RATIO",$B158,$B158)),VALUE(_xll.BDH(K$4,"PE_RATIO",$B158+1,$B158+1))),K159))</f>
        <v>0</v>
      </c>
      <c r="L158" s="548">
        <f ca="1">(IFERROR(IFERROR(VALUE(_xll.BDH(L$4,"PE_RATIO",$B158,$B158)),VALUE(_xll.BDH(L$4,"PE_RATIO",$B158+1,$B158+1))),L159))</f>
        <v>0</v>
      </c>
      <c r="M158" s="548">
        <f ca="1">(IFERROR(IFERROR(VALUE(_xll.BDH(M$4,"PE_RATIO",$B158,$B158)),VALUE(_xll.BDH(M$4,"PE_RATIO",$B158+1,$B158+1))),M159))</f>
        <v>0</v>
      </c>
      <c r="N158" s="548">
        <f ca="1">(IFERROR(IFERROR(VALUE(_xll.BDH(N$4,"PE_RATIO",$B158,$B158)),VALUE(_xll.BDH(N$4,"PE_RATIO",$B158+1,$B158+1))),N159))</f>
        <v>0</v>
      </c>
      <c r="O158" s="548">
        <f ca="1">(IFERROR(IFERROR(VALUE(_xll.BDH(O$4,"PE_RATIO",$B158,$B158)),VALUE(_xll.BDH(O$4,"PE_RATIO",$B158+1,$B158+1))),O159))</f>
        <v>0</v>
      </c>
      <c r="P158" s="548"/>
      <c r="Q158" s="552">
        <f t="shared" ca="1" si="46"/>
        <v>44880</v>
      </c>
      <c r="R158" s="4">
        <v>195.62</v>
      </c>
      <c r="S158" s="4">
        <v>3639.66</v>
      </c>
      <c r="T158" s="4">
        <v>0</v>
      </c>
      <c r="U158" s="4">
        <v>1.0041063545837183</v>
      </c>
      <c r="V158" s="4">
        <v>1.0150713126321249</v>
      </c>
      <c r="W158" s="4" t="e">
        <v>#DIV/0!</v>
      </c>
      <c r="Y158" s="548">
        <f t="shared" si="47"/>
        <v>195.62</v>
      </c>
      <c r="Z158" s="4">
        <f ca="1">IFERROR(VALUE(_xll.BDH(Z$4,"PX_LAST",$Q158,$Q158)),Z159)</f>
        <v>0</v>
      </c>
      <c r="AA158" s="4">
        <f ca="1">IFERROR(VALUE(_xll.BDH(AA$4,"PX_LAST",$Q158,$Q158)),AA159)</f>
        <v>0</v>
      </c>
      <c r="AB158" s="4">
        <f ca="1">IFERROR(VALUE(_xll.BDH(AB$4,"PX_LAST",$Q158,$Q158)),AB159)</f>
        <v>0</v>
      </c>
      <c r="AC158" s="4">
        <f ca="1">IFERROR(VALUE(_xll.BDH(AC$4,"PX_LAST",$Q158,$Q158)),AC159)</f>
        <v>0</v>
      </c>
      <c r="AD158" s="4">
        <f ca="1">IFERROR(VALUE(_xll.BDH(AD$4,"PX_LAST",$Q158,$Q158)),AD159)</f>
        <v>0</v>
      </c>
      <c r="AF158" s="4">
        <f t="shared" si="48"/>
        <v>1.0041063545837183</v>
      </c>
      <c r="AG158" s="4" t="e">
        <f t="shared" ca="1" si="49"/>
        <v>#DIV/0!</v>
      </c>
      <c r="AH158" s="4" t="e">
        <f t="shared" ca="1" si="50"/>
        <v>#DIV/0!</v>
      </c>
      <c r="AI158" s="4" t="e">
        <f t="shared" ca="1" si="51"/>
        <v>#DIV/0!</v>
      </c>
      <c r="AJ158" s="4" t="e">
        <f t="shared" ca="1" si="52"/>
        <v>#DIV/0!</v>
      </c>
      <c r="AK158" s="4" t="e">
        <f t="shared" ca="1" si="53"/>
        <v>#DIV/0!</v>
      </c>
      <c r="AM158" s="550">
        <f t="shared" ca="1" si="54"/>
        <v>45797</v>
      </c>
      <c r="AN158" s="551">
        <v>218.59</v>
      </c>
      <c r="AO158" s="551">
        <v>2965014</v>
      </c>
      <c r="AP158" s="551">
        <v>599.31817999999998</v>
      </c>
      <c r="AQ158" s="551">
        <v>131004.9609662</v>
      </c>
      <c r="AR158" s="551">
        <v>5.4592000000000001</v>
      </c>
    </row>
    <row r="159" spans="2:44" x14ac:dyDescent="0.3">
      <c r="B159" s="552">
        <f t="shared" ca="1" si="55"/>
        <v>44873</v>
      </c>
      <c r="C159" s="548">
        <f ca="1">(IFERROR(IFERROR(VALUE(_xll.BDH(C$4,"CURRENT_EV_TO_T12M_EBITDA",$B159,$B159)),VALUE(_xll.BDH(C$4,"CURRENT_EV_TO_T12M_EBITDA",$B159+1,$B159+1))),C160))</f>
        <v>0</v>
      </c>
      <c r="D159" s="548">
        <f ca="1">(IFERROR(IFERROR(VALUE(_xll.BDH(D$4,"CURRENT_EV_TO_T12M_EBITDA",$B159,$B159)),VALUE(_xll.BDH(D$4,"CURRENT_EV_TO_T12M_EBITDA",$B159+1,$B159+1))),D160))</f>
        <v>0</v>
      </c>
      <c r="E159" s="548">
        <f ca="1">(IFERROR(IFERROR(VALUE(_xll.BDH(E$4,"CURRENT_EV_TO_T12M_EBITDA",$B159,$B159)),VALUE(_xll.BDH(E$4,"CURRENT_EV_TO_T12M_EBITDA",$B159+1,$B159+1))),E160))</f>
        <v>0</v>
      </c>
      <c r="F159" s="548">
        <f ca="1">(IFERROR(IFERROR(VALUE(_xll.BDH(F$4,"CURRENT_EV_TO_T12M_EBITDA",$B159,$B159)),VALUE(_xll.BDH(F$4,"CURRENT_EV_TO_T12M_EBITDA",$B159+1,$B159+1))),F160))</f>
        <v>0</v>
      </c>
      <c r="G159" s="548">
        <f ca="1">(IFERROR(IFERROR(VALUE(_xll.BDH(G$4,"CURRENT_EV_TO_T12M_EBITDA",$B159,$B159)),VALUE(_xll.BDH(G$4,"CURRENT_EV_TO_T12M_EBITDA",$B159+1,$B159+1))),G160))</f>
        <v>0</v>
      </c>
      <c r="H159" s="548">
        <f ca="1">(IFERROR(IFERROR(VALUE(_xll.BDH(H$4,"CURRENT_EV_TO_T12M_EBITDA",$B159,$B159)),VALUE(_xll.BDH(H$4,"CURRENT_EV_TO_T12M_EBITDA",$B159+1,$B159+1))),H160))</f>
        <v>0</v>
      </c>
      <c r="I159" s="552">
        <f t="shared" ca="1" si="45"/>
        <v>44873</v>
      </c>
      <c r="J159" s="548">
        <f ca="1">(IFERROR(IFERROR(VALUE(_xll.BDH(J$4,"PE_RATIO",$B159,$B159)),VALUE(_xll.BDH(J$4,"PE_RATIO",$B159+1,$B159+1))),J160))</f>
        <v>0</v>
      </c>
      <c r="K159" s="548">
        <f ca="1">(IFERROR(IFERROR(VALUE(_xll.BDH(K$4,"PE_RATIO",$B159,$B159)),VALUE(_xll.BDH(K$4,"PE_RATIO",$B159+1,$B159+1))),K160))</f>
        <v>0</v>
      </c>
      <c r="L159" s="548">
        <f ca="1">(IFERROR(IFERROR(VALUE(_xll.BDH(L$4,"PE_RATIO",$B159,$B159)),VALUE(_xll.BDH(L$4,"PE_RATIO",$B159+1,$B159+1))),L160))</f>
        <v>0</v>
      </c>
      <c r="M159" s="548">
        <f ca="1">(IFERROR(IFERROR(VALUE(_xll.BDH(M$4,"PE_RATIO",$B159,$B159)),VALUE(_xll.BDH(M$4,"PE_RATIO",$B159+1,$B159+1))),M160))</f>
        <v>0</v>
      </c>
      <c r="N159" s="548">
        <f ca="1">(IFERROR(IFERROR(VALUE(_xll.BDH(N$4,"PE_RATIO",$B159,$B159)),VALUE(_xll.BDH(N$4,"PE_RATIO",$B159+1,$B159+1))),N160))</f>
        <v>0</v>
      </c>
      <c r="O159" s="548">
        <f ca="1">(IFERROR(IFERROR(VALUE(_xll.BDH(O$4,"PE_RATIO",$B159,$B159)),VALUE(_xll.BDH(O$4,"PE_RATIO",$B159+1,$B159+1))),O160))</f>
        <v>0</v>
      </c>
      <c r="P159" s="548"/>
      <c r="Q159" s="552">
        <f t="shared" ca="1" si="46"/>
        <v>44873</v>
      </c>
      <c r="R159" s="4">
        <v>194.82</v>
      </c>
      <c r="S159" s="4">
        <v>3585.62</v>
      </c>
      <c r="T159" s="4">
        <v>0</v>
      </c>
      <c r="U159" s="4">
        <v>1</v>
      </c>
      <c r="V159" s="4">
        <v>1</v>
      </c>
      <c r="W159" s="4" t="e">
        <v>#DIV/0!</v>
      </c>
      <c r="Y159" s="548">
        <f t="shared" si="47"/>
        <v>194.82</v>
      </c>
      <c r="Z159" s="4">
        <f ca="1">IFERROR(VALUE(_xll.BDH(Z$4,"PX_LAST",$Q159,$Q159)),Z160)</f>
        <v>0</v>
      </c>
      <c r="AA159" s="4">
        <f ca="1">IFERROR(VALUE(_xll.BDH(AA$4,"PX_LAST",$Q159,$Q159)),AA160)</f>
        <v>0</v>
      </c>
      <c r="AB159" s="4">
        <f ca="1">IFERROR(VALUE(_xll.BDH(AB$4,"PX_LAST",$Q159,$Q159)),AB160)</f>
        <v>0</v>
      </c>
      <c r="AC159" s="4">
        <f ca="1">IFERROR(VALUE(_xll.BDH(AC$4,"PX_LAST",$Q159,$Q159)),AC160)</f>
        <v>0</v>
      </c>
      <c r="AD159" s="4">
        <f ca="1">IFERROR(VALUE(_xll.BDH(AD$4,"PX_LAST",$Q159,$Q159)),AD160)</f>
        <v>0</v>
      </c>
      <c r="AF159" s="4">
        <f t="shared" si="48"/>
        <v>1</v>
      </c>
      <c r="AG159" s="4" t="e">
        <f t="shared" ca="1" si="49"/>
        <v>#DIV/0!</v>
      </c>
      <c r="AH159" s="4" t="e">
        <f t="shared" ca="1" si="50"/>
        <v>#DIV/0!</v>
      </c>
      <c r="AI159" s="4" t="e">
        <f t="shared" ca="1" si="51"/>
        <v>#DIV/0!</v>
      </c>
      <c r="AJ159" s="4" t="e">
        <f t="shared" ca="1" si="52"/>
        <v>#DIV/0!</v>
      </c>
      <c r="AK159" s="4" t="e">
        <f t="shared" ca="1" si="53"/>
        <v>#DIV/0!</v>
      </c>
      <c r="AM159" s="550">
        <f t="shared" ca="1" si="54"/>
        <v>45796</v>
      </c>
      <c r="AN159" s="551">
        <v>219.32</v>
      </c>
      <c r="AO159" s="551">
        <v>5088841</v>
      </c>
      <c r="AP159" s="551">
        <v>599.31817999999998</v>
      </c>
      <c r="AQ159" s="551">
        <v>131442.46323759999</v>
      </c>
      <c r="AR159" s="551">
        <v>5.4774000000000003</v>
      </c>
    </row>
    <row r="160" spans="2:44" x14ac:dyDescent="0.3">
      <c r="B160" s="552">
        <f t="shared" ca="1" si="55"/>
        <v>44866</v>
      </c>
      <c r="I160" s="552">
        <f t="shared" ca="1" si="45"/>
        <v>44866</v>
      </c>
      <c r="Q160" s="552">
        <f t="shared" ca="1" si="46"/>
        <v>44866</v>
      </c>
      <c r="R160" s="4">
        <v>203.97</v>
      </c>
      <c r="S160" s="4">
        <v>3693.23</v>
      </c>
      <c r="T160" s="4">
        <v>0</v>
      </c>
      <c r="AM160" s="550">
        <f t="shared" ca="1" si="54"/>
        <v>45795</v>
      </c>
      <c r="AN160" s="551">
        <v>223.53</v>
      </c>
      <c r="AO160" s="551">
        <v>5360969</v>
      </c>
      <c r="AP160" s="551">
        <v>599.31817999999998</v>
      </c>
      <c r="AQ160" s="551">
        <v>133965.5927754</v>
      </c>
      <c r="AR160" s="551">
        <v>5.5824999999999996</v>
      </c>
    </row>
    <row r="161" spans="2:44" x14ac:dyDescent="0.3">
      <c r="B161" s="552">
        <f t="shared" ca="1" si="55"/>
        <v>44859</v>
      </c>
      <c r="I161" s="552">
        <f t="shared" ca="1" si="45"/>
        <v>44859</v>
      </c>
      <c r="Q161" s="552">
        <f t="shared" ca="1" si="46"/>
        <v>44859</v>
      </c>
      <c r="R161" s="4">
        <v>212</v>
      </c>
      <c r="S161" s="4">
        <v>3873.33</v>
      </c>
      <c r="T161" s="4">
        <v>0</v>
      </c>
      <c r="AM161" s="550">
        <f t="shared" ca="1" si="54"/>
        <v>45794</v>
      </c>
      <c r="AN161" s="551">
        <v>208.27</v>
      </c>
      <c r="AO161" s="551">
        <v>5126552</v>
      </c>
      <c r="AP161" s="551">
        <v>599.31817999999998</v>
      </c>
      <c r="AQ161" s="551">
        <v>124819.99734860001</v>
      </c>
      <c r="AR161" s="551">
        <v>5.2013999999999996</v>
      </c>
    </row>
    <row r="162" spans="2:44" x14ac:dyDescent="0.3">
      <c r="B162" s="552">
        <f t="shared" ca="1" si="55"/>
        <v>44852</v>
      </c>
      <c r="I162" s="552">
        <f t="shared" ca="1" si="45"/>
        <v>44852</v>
      </c>
      <c r="Q162" s="552">
        <f t="shared" ca="1" si="46"/>
        <v>44852</v>
      </c>
      <c r="R162" s="4">
        <v>231.88</v>
      </c>
      <c r="S162" s="4">
        <v>4067.36</v>
      </c>
      <c r="T162" s="4">
        <v>0</v>
      </c>
      <c r="AM162" s="550">
        <f t="shared" ca="1" si="54"/>
        <v>45793</v>
      </c>
      <c r="AN162" s="551">
        <v>209.97</v>
      </c>
      <c r="AO162" s="551">
        <v>5055864</v>
      </c>
      <c r="AP162" s="551">
        <v>599.31817999999998</v>
      </c>
      <c r="AQ162" s="551">
        <v>125838.83825459999</v>
      </c>
      <c r="AR162" s="551">
        <v>5.2439</v>
      </c>
    </row>
    <row r="163" spans="2:44" x14ac:dyDescent="0.3">
      <c r="AM163" s="550">
        <f t="shared" ca="1" si="54"/>
        <v>45792</v>
      </c>
      <c r="AN163" s="551">
        <v>213.26</v>
      </c>
      <c r="AO163" s="551">
        <v>6784517</v>
      </c>
      <c r="AP163" s="551">
        <v>599.31817999999998</v>
      </c>
      <c r="AQ163" s="551">
        <v>127810.59506679999</v>
      </c>
      <c r="AR163" s="551">
        <v>5.3259999999999996</v>
      </c>
    </row>
    <row r="164" spans="2:44" x14ac:dyDescent="0.3">
      <c r="B164" s="369" t="s">
        <v>22</v>
      </c>
      <c r="C164" s="542"/>
      <c r="D164" s="21"/>
      <c r="E164" s="1182" t="s">
        <v>1680</v>
      </c>
      <c r="F164" s="4" t="s">
        <v>1681</v>
      </c>
      <c r="AM164" s="550">
        <f t="shared" ca="1" si="54"/>
        <v>45791</v>
      </c>
      <c r="AN164" s="551">
        <v>213.26</v>
      </c>
      <c r="AO164" s="551">
        <v>6784517</v>
      </c>
      <c r="AP164" s="551">
        <v>599.31817999999998</v>
      </c>
      <c r="AQ164" s="551">
        <v>127810.59506679999</v>
      </c>
      <c r="AR164" s="551">
        <v>5.3259999999999996</v>
      </c>
    </row>
    <row r="165" spans="2:44" x14ac:dyDescent="0.3">
      <c r="B165" s="369" t="s">
        <v>23</v>
      </c>
      <c r="C165" s="21"/>
      <c r="D165" s="21"/>
      <c r="E165" s="1182" t="s">
        <v>1682</v>
      </c>
      <c r="F165" s="4" t="s">
        <v>1683</v>
      </c>
      <c r="AM165" s="550">
        <f t="shared" ca="1" si="54"/>
        <v>45790</v>
      </c>
      <c r="AN165" s="551">
        <v>213.26</v>
      </c>
      <c r="AO165" s="551">
        <v>6784517</v>
      </c>
      <c r="AP165" s="551">
        <v>599.31817999999998</v>
      </c>
      <c r="AQ165" s="551">
        <v>127810.59506679999</v>
      </c>
      <c r="AR165" s="551">
        <v>5.3259999999999996</v>
      </c>
    </row>
    <row r="166" spans="2:44" x14ac:dyDescent="0.3">
      <c r="B166" s="369" t="s">
        <v>24</v>
      </c>
      <c r="C166" s="21"/>
      <c r="D166" s="21"/>
      <c r="E166" s="1183">
        <v>2255855</v>
      </c>
      <c r="F166" s="4" t="s">
        <v>1684</v>
      </c>
      <c r="AM166" s="550">
        <f t="shared" ca="1" si="54"/>
        <v>45789</v>
      </c>
      <c r="AN166" s="551">
        <v>223.97</v>
      </c>
      <c r="AO166" s="551">
        <v>5754982</v>
      </c>
      <c r="AP166" s="551">
        <v>599.31817999999998</v>
      </c>
      <c r="AQ166" s="551">
        <v>134229.29277460001</v>
      </c>
      <c r="AR166" s="551">
        <v>5.5934999999999997</v>
      </c>
    </row>
    <row r="167" spans="2:44" x14ac:dyDescent="0.3">
      <c r="B167" s="369"/>
      <c r="C167" s="21"/>
      <c r="D167" s="21"/>
      <c r="E167" s="1182"/>
      <c r="AM167" s="550">
        <f t="shared" ca="1" si="54"/>
        <v>45788</v>
      </c>
      <c r="AN167" s="551">
        <v>238.46</v>
      </c>
      <c r="AO167" s="551">
        <v>2024018</v>
      </c>
      <c r="AP167" s="551">
        <v>599.31817999999998</v>
      </c>
      <c r="AQ167" s="551">
        <v>142913.4132028</v>
      </c>
      <c r="AR167" s="551">
        <v>5.9554</v>
      </c>
    </row>
    <row r="168" spans="2:44" x14ac:dyDescent="0.3">
      <c r="B168" s="369" t="s">
        <v>26</v>
      </c>
      <c r="C168" s="21"/>
      <c r="D168" s="21"/>
      <c r="E168" s="1182">
        <v>4889126</v>
      </c>
      <c r="F168" s="4" t="s">
        <v>1685</v>
      </c>
      <c r="AM168" s="550">
        <f t="shared" ca="1" si="54"/>
        <v>45787</v>
      </c>
      <c r="AN168" s="551">
        <v>237.17</v>
      </c>
      <c r="AO168" s="551">
        <v>2367309</v>
      </c>
      <c r="AP168" s="551">
        <v>599.31817999999998</v>
      </c>
      <c r="AQ168" s="551">
        <v>142140.2927506</v>
      </c>
      <c r="AR168" s="551">
        <v>5.9231999999999996</v>
      </c>
    </row>
    <row r="169" spans="2:44" x14ac:dyDescent="0.3">
      <c r="B169" s="369" t="s">
        <v>808</v>
      </c>
      <c r="C169" s="21"/>
      <c r="D169" s="21"/>
      <c r="E169" s="1183">
        <v>5930437</v>
      </c>
      <c r="F169" s="4" t="s">
        <v>1686</v>
      </c>
      <c r="AM169" s="550">
        <f t="shared" ca="1" si="54"/>
        <v>45786</v>
      </c>
      <c r="AN169" s="551">
        <v>236.24</v>
      </c>
      <c r="AO169" s="551">
        <v>3478077</v>
      </c>
      <c r="AP169" s="551">
        <v>599.31817999999998</v>
      </c>
      <c r="AQ169" s="551">
        <v>141582.9268432</v>
      </c>
      <c r="AR169" s="551">
        <v>5.9</v>
      </c>
    </row>
    <row r="170" spans="2:44" x14ac:dyDescent="0.3">
      <c r="B170" s="369" t="s">
        <v>30</v>
      </c>
      <c r="C170" s="21"/>
      <c r="D170" s="21"/>
      <c r="E170" s="1184">
        <v>0.99</v>
      </c>
      <c r="F170" s="4" t="s">
        <v>1687</v>
      </c>
      <c r="AM170" s="550">
        <f t="shared" ca="1" si="54"/>
        <v>45785</v>
      </c>
      <c r="AN170" s="551">
        <v>232.15</v>
      </c>
      <c r="AO170" s="551">
        <v>1917988</v>
      </c>
      <c r="AP170" s="551">
        <v>599.31817999999998</v>
      </c>
      <c r="AQ170" s="551">
        <v>139131.71548700001</v>
      </c>
      <c r="AR170" s="551">
        <v>5.8164999999999996</v>
      </c>
    </row>
    <row r="171" spans="2:44" x14ac:dyDescent="0.3">
      <c r="B171" s="369" t="s">
        <v>32</v>
      </c>
      <c r="C171" s="21"/>
      <c r="D171" s="21"/>
      <c r="E171" s="1184">
        <v>0.02</v>
      </c>
      <c r="F171" s="4" t="s">
        <v>1688</v>
      </c>
      <c r="AM171" s="550">
        <f ca="1">AM170-1</f>
        <v>45784</v>
      </c>
      <c r="AN171" s="551">
        <v>232.15</v>
      </c>
      <c r="AO171" s="551">
        <v>1917988</v>
      </c>
      <c r="AP171" s="551">
        <v>599.31817999999998</v>
      </c>
      <c r="AQ171" s="551">
        <v>139131.71548700001</v>
      </c>
      <c r="AR171" s="551">
        <v>5.8164999999999996</v>
      </c>
    </row>
    <row r="172" spans="2:44" x14ac:dyDescent="0.3">
      <c r="B172" s="369"/>
      <c r="C172" s="21"/>
      <c r="D172" s="21"/>
      <c r="E172" s="1182"/>
      <c r="AM172" s="550">
        <f t="shared" ca="1" si="54"/>
        <v>45783</v>
      </c>
      <c r="AN172" s="551">
        <v>232.15</v>
      </c>
      <c r="AO172" s="551">
        <v>1917988</v>
      </c>
      <c r="AP172" s="551">
        <v>599.31817999999998</v>
      </c>
      <c r="AQ172" s="551">
        <v>139131.71548700001</v>
      </c>
      <c r="AR172" s="551">
        <v>5.8164999999999996</v>
      </c>
    </row>
    <row r="173" spans="2:44" x14ac:dyDescent="0.3">
      <c r="B173" s="369" t="s">
        <v>1689</v>
      </c>
      <c r="C173" s="21"/>
      <c r="D173" s="21"/>
      <c r="E173" s="1184">
        <v>0</v>
      </c>
      <c r="F173" s="4" t="s">
        <v>1690</v>
      </c>
      <c r="AM173" s="550">
        <f t="shared" ca="1" si="54"/>
        <v>45782</v>
      </c>
      <c r="AN173" s="551">
        <v>235.97</v>
      </c>
      <c r="AO173" s="551">
        <v>1913929</v>
      </c>
      <c r="AP173" s="551">
        <v>599.31817999999998</v>
      </c>
      <c r="AQ173" s="551">
        <v>141421.1109346</v>
      </c>
      <c r="AR173" s="551">
        <v>5.9122000000000003</v>
      </c>
    </row>
    <row r="174" spans="2:44" x14ac:dyDescent="0.3">
      <c r="B174" s="369" t="s">
        <v>36</v>
      </c>
      <c r="C174" s="21"/>
      <c r="D174" s="21"/>
      <c r="E174" s="1184">
        <v>0.85</v>
      </c>
      <c r="F174" s="4" t="s">
        <v>1691</v>
      </c>
      <c r="AM174" s="550">
        <f t="shared" ca="1" si="54"/>
        <v>45781</v>
      </c>
      <c r="AN174" s="551">
        <v>238.03</v>
      </c>
      <c r="AO174" s="551">
        <v>1710005</v>
      </c>
      <c r="AP174" s="551">
        <v>599.31817999999998</v>
      </c>
      <c r="AQ174" s="551">
        <v>142655.7063854</v>
      </c>
      <c r="AR174" s="551">
        <v>5.9638</v>
      </c>
    </row>
    <row r="175" spans="2:44" x14ac:dyDescent="0.3">
      <c r="AM175" s="550">
        <f t="shared" ca="1" si="54"/>
        <v>45780</v>
      </c>
      <c r="AN175" s="551">
        <v>235.79</v>
      </c>
      <c r="AO175" s="551">
        <v>1849050</v>
      </c>
      <c r="AP175" s="551">
        <v>599.31817999999998</v>
      </c>
      <c r="AQ175" s="551">
        <v>141313.23366219999</v>
      </c>
      <c r="AR175" s="551">
        <v>5.9077000000000002</v>
      </c>
    </row>
    <row r="176" spans="2:44" x14ac:dyDescent="0.3">
      <c r="B176" s="369"/>
      <c r="C176" s="21"/>
      <c r="D176" s="21"/>
      <c r="AM176" s="550">
        <f t="shared" ca="1" si="54"/>
        <v>45779</v>
      </c>
      <c r="AN176" s="551">
        <v>235.2</v>
      </c>
      <c r="AO176" s="551">
        <v>3291175</v>
      </c>
      <c r="AP176" s="551">
        <v>604.28638000000001</v>
      </c>
      <c r="AQ176" s="551">
        <v>142128.15657600001</v>
      </c>
      <c r="AR176" s="551">
        <v>5.8929</v>
      </c>
    </row>
    <row r="177" spans="2:44" x14ac:dyDescent="0.3">
      <c r="B177" s="369"/>
      <c r="C177" s="21"/>
      <c r="D177" s="21"/>
      <c r="E177" s="573"/>
      <c r="AM177" s="550">
        <f t="shared" ca="1" si="54"/>
        <v>45778</v>
      </c>
      <c r="AN177" s="551">
        <v>233.88</v>
      </c>
      <c r="AO177" s="551">
        <v>4167749</v>
      </c>
      <c r="AP177" s="551">
        <v>604.28638000000001</v>
      </c>
      <c r="AQ177" s="551">
        <v>141330.49855439999</v>
      </c>
      <c r="AR177" s="551">
        <v>5.8597999999999999</v>
      </c>
    </row>
    <row r="178" spans="2:44" x14ac:dyDescent="0.3">
      <c r="B178" s="369"/>
      <c r="C178" s="21"/>
      <c r="D178" s="21"/>
      <c r="E178" s="573"/>
      <c r="AM178" s="550">
        <f t="shared" ca="1" si="54"/>
        <v>45777</v>
      </c>
      <c r="AN178" s="551">
        <v>233.88</v>
      </c>
      <c r="AO178" s="551">
        <v>4167749</v>
      </c>
      <c r="AP178" s="551">
        <v>604.28638000000001</v>
      </c>
      <c r="AQ178" s="551">
        <v>141330.49855439999</v>
      </c>
      <c r="AR178" s="551">
        <v>5.8597999999999999</v>
      </c>
    </row>
    <row r="179" spans="2:44" x14ac:dyDescent="0.3">
      <c r="B179" s="369"/>
      <c r="C179" s="21"/>
      <c r="D179" s="21"/>
      <c r="E179" s="573"/>
      <c r="AM179" s="550">
        <f t="shared" ca="1" si="54"/>
        <v>45776</v>
      </c>
      <c r="AN179" s="551">
        <v>233.88</v>
      </c>
      <c r="AO179" s="551">
        <v>4167749</v>
      </c>
      <c r="AP179" s="551">
        <v>604.28638000000001</v>
      </c>
      <c r="AQ179" s="551">
        <v>141330.49855439999</v>
      </c>
      <c r="AR179" s="551">
        <v>5.8597999999999999</v>
      </c>
    </row>
    <row r="180" spans="2:44" x14ac:dyDescent="0.3">
      <c r="AM180" s="550">
        <f t="shared" ca="1" si="54"/>
        <v>45775</v>
      </c>
      <c r="AN180" s="551">
        <v>234.79</v>
      </c>
      <c r="AO180" s="551">
        <v>2869475</v>
      </c>
      <c r="AP180" s="551">
        <v>604.28638000000001</v>
      </c>
      <c r="AQ180" s="551">
        <v>141880.3991602</v>
      </c>
      <c r="AR180" s="551">
        <v>5.8826000000000001</v>
      </c>
    </row>
    <row r="181" spans="2:44" x14ac:dyDescent="0.3">
      <c r="AM181" s="550">
        <f t="shared" ca="1" si="54"/>
        <v>45774</v>
      </c>
      <c r="AN181" s="551">
        <v>236.39</v>
      </c>
      <c r="AO181" s="551">
        <v>2058326</v>
      </c>
      <c r="AP181" s="551">
        <v>604.28638000000001</v>
      </c>
      <c r="AQ181" s="551">
        <v>142847.25736819999</v>
      </c>
      <c r="AR181" s="551">
        <v>5.9226999999999999</v>
      </c>
    </row>
    <row r="182" spans="2:44" x14ac:dyDescent="0.3">
      <c r="AM182" s="550">
        <f t="shared" ca="1" si="54"/>
        <v>45773</v>
      </c>
      <c r="AN182" s="551">
        <v>237.09</v>
      </c>
      <c r="AO182" s="551">
        <v>2184217</v>
      </c>
      <c r="AP182" s="551">
        <v>604.28638000000001</v>
      </c>
      <c r="AQ182" s="551">
        <v>143270.25783419999</v>
      </c>
      <c r="AR182" s="551">
        <v>5.9401999999999999</v>
      </c>
    </row>
    <row r="183" spans="2:44" x14ac:dyDescent="0.3">
      <c r="AM183" s="550">
        <f t="shared" ca="1" si="54"/>
        <v>45772</v>
      </c>
      <c r="AN183" s="551">
        <v>237.86</v>
      </c>
      <c r="AO183" s="551">
        <v>2138959</v>
      </c>
      <c r="AP183" s="551">
        <v>604.28638000000001</v>
      </c>
      <c r="AQ183" s="551">
        <v>143735.55834680001</v>
      </c>
      <c r="AR183" s="551">
        <v>5.9595000000000002</v>
      </c>
    </row>
    <row r="184" spans="2:44" x14ac:dyDescent="0.3">
      <c r="AM184" s="550">
        <f t="shared" ca="1" si="54"/>
        <v>45771</v>
      </c>
      <c r="AN184" s="551">
        <v>237.53</v>
      </c>
      <c r="AO184" s="551">
        <v>2116757</v>
      </c>
      <c r="AP184" s="551">
        <v>604.28638000000001</v>
      </c>
      <c r="AQ184" s="551">
        <v>143536.14384140001</v>
      </c>
      <c r="AR184" s="551">
        <v>5.9512999999999998</v>
      </c>
    </row>
    <row r="185" spans="2:44" x14ac:dyDescent="0.3">
      <c r="AM185" s="550">
        <f t="shared" ca="1" si="54"/>
        <v>45770</v>
      </c>
      <c r="AN185" s="551">
        <v>237.53</v>
      </c>
      <c r="AO185" s="551">
        <v>2116757</v>
      </c>
      <c r="AP185" s="551">
        <v>604.28638000000001</v>
      </c>
      <c r="AQ185" s="551">
        <v>143536.14384140001</v>
      </c>
      <c r="AR185" s="551">
        <v>5.9512999999999998</v>
      </c>
    </row>
    <row r="186" spans="2:44" x14ac:dyDescent="0.3">
      <c r="AM186" s="550">
        <f t="shared" ca="1" si="54"/>
        <v>45769</v>
      </c>
      <c r="AN186" s="551">
        <v>237.53</v>
      </c>
      <c r="AO186" s="551">
        <v>2116757</v>
      </c>
      <c r="AP186" s="551">
        <v>604.28638000000001</v>
      </c>
      <c r="AQ186" s="551">
        <v>143536.14384140001</v>
      </c>
      <c r="AR186" s="551">
        <v>5.9512999999999998</v>
      </c>
    </row>
    <row r="187" spans="2:44" x14ac:dyDescent="0.3">
      <c r="AM187" s="550">
        <f t="shared" ca="1" si="54"/>
        <v>45768</v>
      </c>
      <c r="AN187" s="551">
        <v>234.29</v>
      </c>
      <c r="AO187" s="551">
        <v>2399897</v>
      </c>
      <c r="AP187" s="551">
        <v>604.28638000000001</v>
      </c>
      <c r="AQ187" s="551">
        <v>141578.2559702</v>
      </c>
      <c r="AR187" s="551">
        <v>5.8700999999999999</v>
      </c>
    </row>
    <row r="188" spans="2:44" x14ac:dyDescent="0.3">
      <c r="AM188" s="550">
        <f t="shared" ca="1" si="54"/>
        <v>45767</v>
      </c>
      <c r="AN188" s="551">
        <v>237.49</v>
      </c>
      <c r="AO188" s="551">
        <v>1927522</v>
      </c>
      <c r="AP188" s="551">
        <v>604.28638000000001</v>
      </c>
      <c r="AQ188" s="551">
        <v>143511.97238620001</v>
      </c>
      <c r="AR188" s="551">
        <v>5.9503000000000004</v>
      </c>
    </row>
    <row r="189" spans="2:44" x14ac:dyDescent="0.3">
      <c r="AM189" s="550">
        <f t="shared" ca="1" si="54"/>
        <v>45766</v>
      </c>
      <c r="AN189" s="551">
        <v>237.78</v>
      </c>
      <c r="AO189" s="551">
        <v>3358098</v>
      </c>
      <c r="AP189" s="551">
        <v>604.28638000000001</v>
      </c>
      <c r="AQ189" s="551">
        <v>143687.2154364</v>
      </c>
      <c r="AR189" s="551">
        <v>5.9574999999999996</v>
      </c>
    </row>
    <row r="190" spans="2:44" x14ac:dyDescent="0.3">
      <c r="AM190" s="550">
        <f t="shared" ca="1" si="54"/>
        <v>45765</v>
      </c>
      <c r="AN190" s="551">
        <v>248.29</v>
      </c>
      <c r="AO190" s="551">
        <v>2420918</v>
      </c>
      <c r="AP190" s="551">
        <v>604.28638000000001</v>
      </c>
      <c r="AQ190" s="551">
        <v>150038.26529020001</v>
      </c>
      <c r="AR190" s="551">
        <v>6.2209000000000003</v>
      </c>
    </row>
    <row r="191" spans="2:44" x14ac:dyDescent="0.3">
      <c r="AM191" s="550">
        <f t="shared" ca="1" si="54"/>
        <v>45764</v>
      </c>
      <c r="AN191" s="551">
        <v>249.31</v>
      </c>
      <c r="AO191" s="551">
        <v>2835797</v>
      </c>
      <c r="AP191" s="551">
        <v>604.28638000000001</v>
      </c>
      <c r="AQ191" s="551">
        <v>150654.63739779999</v>
      </c>
      <c r="AR191" s="551">
        <v>6.2464000000000004</v>
      </c>
    </row>
    <row r="192" spans="2:44" x14ac:dyDescent="0.3">
      <c r="AM192" s="550">
        <f t="shared" ca="1" si="54"/>
        <v>45763</v>
      </c>
      <c r="AN192" s="551">
        <v>249.31</v>
      </c>
      <c r="AO192" s="551">
        <v>2835797</v>
      </c>
      <c r="AP192" s="551">
        <v>604.28638000000001</v>
      </c>
      <c r="AQ192" s="551">
        <v>150654.63739779999</v>
      </c>
      <c r="AR192" s="551">
        <v>6.2464000000000004</v>
      </c>
    </row>
    <row r="193" spans="39:44" x14ac:dyDescent="0.3">
      <c r="AM193" s="550">
        <f t="shared" ca="1" si="54"/>
        <v>45762</v>
      </c>
      <c r="AN193" s="551">
        <v>249.31</v>
      </c>
      <c r="AO193" s="551">
        <v>2835797</v>
      </c>
      <c r="AP193" s="551">
        <v>604.28638000000001</v>
      </c>
      <c r="AQ193" s="551">
        <v>150654.63739779999</v>
      </c>
      <c r="AR193" s="551">
        <v>6.2464000000000004</v>
      </c>
    </row>
    <row r="194" spans="39:44" x14ac:dyDescent="0.3">
      <c r="AM194" s="550">
        <f t="shared" ca="1" si="54"/>
        <v>45761</v>
      </c>
      <c r="AN194" s="551">
        <v>245.27</v>
      </c>
      <c r="AO194" s="551">
        <v>2311133</v>
      </c>
      <c r="AP194" s="551">
        <v>604.28638000000001</v>
      </c>
      <c r="AQ194" s="551">
        <v>148213.32042259999</v>
      </c>
      <c r="AR194" s="551">
        <v>6.1452</v>
      </c>
    </row>
    <row r="195" spans="39:44" x14ac:dyDescent="0.3">
      <c r="AM195" s="550">
        <f t="shared" ca="1" si="54"/>
        <v>45760</v>
      </c>
      <c r="AN195" s="551">
        <v>243.61</v>
      </c>
      <c r="AO195" s="551">
        <v>3051741</v>
      </c>
      <c r="AP195" s="551">
        <v>604.28638000000001</v>
      </c>
      <c r="AQ195" s="551">
        <v>147210.2050318</v>
      </c>
      <c r="AR195" s="551">
        <v>6.1036000000000001</v>
      </c>
    </row>
    <row r="196" spans="39:44" x14ac:dyDescent="0.3">
      <c r="AM196" s="550">
        <f t="shared" ca="1" si="54"/>
        <v>45759</v>
      </c>
      <c r="AN196" s="551">
        <v>241.52</v>
      </c>
      <c r="AO196" s="551">
        <v>3037894</v>
      </c>
      <c r="AP196" s="551">
        <v>604.28638000000001</v>
      </c>
      <c r="AQ196" s="551">
        <v>145947.24649760002</v>
      </c>
      <c r="AR196" s="551">
        <v>6.0511999999999997</v>
      </c>
    </row>
    <row r="197" spans="39:44" x14ac:dyDescent="0.3">
      <c r="AM197" s="550">
        <f t="shared" ref="AM197:AM260" ca="1" si="56">AM196-1</f>
        <v>45758</v>
      </c>
      <c r="AN197" s="551">
        <v>245.81</v>
      </c>
      <c r="AO197" s="551">
        <v>2218002</v>
      </c>
      <c r="AP197" s="551">
        <v>604.28638000000001</v>
      </c>
      <c r="AQ197" s="551">
        <v>148539.6350678</v>
      </c>
      <c r="AR197" s="551">
        <v>6.1586999999999996</v>
      </c>
    </row>
    <row r="198" spans="39:44" x14ac:dyDescent="0.3">
      <c r="AM198" s="550">
        <f t="shared" ca="1" si="56"/>
        <v>45757</v>
      </c>
      <c r="AN198" s="551">
        <v>246.69</v>
      </c>
      <c r="AO198" s="551">
        <v>3252614</v>
      </c>
      <c r="AP198" s="551">
        <v>604.28638000000001</v>
      </c>
      <c r="AQ198" s="551">
        <v>149071.40708219999</v>
      </c>
      <c r="AR198" s="551">
        <v>6.1807999999999996</v>
      </c>
    </row>
    <row r="199" spans="39:44" x14ac:dyDescent="0.3">
      <c r="AM199" s="550">
        <f t="shared" ca="1" si="56"/>
        <v>45756</v>
      </c>
      <c r="AN199" s="551">
        <v>246.69</v>
      </c>
      <c r="AO199" s="551">
        <v>3252614</v>
      </c>
      <c r="AP199" s="551">
        <v>604.28638000000001</v>
      </c>
      <c r="AQ199" s="551">
        <v>149071.40708219999</v>
      </c>
      <c r="AR199" s="551">
        <v>6.1807999999999996</v>
      </c>
    </row>
    <row r="200" spans="39:44" x14ac:dyDescent="0.3">
      <c r="AM200" s="550">
        <f t="shared" ca="1" si="56"/>
        <v>45755</v>
      </c>
      <c r="AN200" s="551">
        <v>246.69</v>
      </c>
      <c r="AO200" s="551">
        <v>3252614</v>
      </c>
      <c r="AP200" s="551">
        <v>604.28638000000001</v>
      </c>
      <c r="AQ200" s="551">
        <v>149071.40708219999</v>
      </c>
      <c r="AR200" s="551">
        <v>6.1807999999999996</v>
      </c>
    </row>
    <row r="201" spans="39:44" x14ac:dyDescent="0.3">
      <c r="AM201" s="550">
        <f t="shared" ca="1" si="56"/>
        <v>45754</v>
      </c>
      <c r="AN201" s="551">
        <v>245.07</v>
      </c>
      <c r="AO201" s="551">
        <v>3012423</v>
      </c>
      <c r="AP201" s="551">
        <v>604.28638000000001</v>
      </c>
      <c r="AQ201" s="551">
        <v>148092.4631466</v>
      </c>
      <c r="AR201" s="551">
        <v>6.1402000000000001</v>
      </c>
    </row>
    <row r="202" spans="39:44" x14ac:dyDescent="0.3">
      <c r="AM202" s="550">
        <f t="shared" ca="1" si="56"/>
        <v>45753</v>
      </c>
      <c r="AN202" s="551">
        <v>245.48</v>
      </c>
      <c r="AO202" s="551">
        <v>2476987</v>
      </c>
      <c r="AP202" s="551">
        <v>604.28638000000001</v>
      </c>
      <c r="AQ202" s="551">
        <v>148340.22056240001</v>
      </c>
      <c r="AR202" s="551">
        <v>6.1504000000000003</v>
      </c>
    </row>
    <row r="203" spans="39:44" x14ac:dyDescent="0.3">
      <c r="AM203" s="550">
        <f t="shared" ca="1" si="56"/>
        <v>45752</v>
      </c>
      <c r="AN203" s="551">
        <v>245.89</v>
      </c>
      <c r="AO203" s="551">
        <v>2911640</v>
      </c>
      <c r="AP203" s="551">
        <v>604.28638000000001</v>
      </c>
      <c r="AQ203" s="551">
        <v>148587.97797819998</v>
      </c>
      <c r="AR203" s="551">
        <v>6.1607000000000003</v>
      </c>
    </row>
    <row r="204" spans="39:44" x14ac:dyDescent="0.3">
      <c r="AM204" s="550">
        <f t="shared" ca="1" si="56"/>
        <v>45751</v>
      </c>
      <c r="AN204" s="551">
        <v>242.33</v>
      </c>
      <c r="AO204" s="551">
        <v>5576935</v>
      </c>
      <c r="AP204" s="551">
        <v>604.28638000000001</v>
      </c>
      <c r="AQ204" s="551">
        <v>146436.71846540002</v>
      </c>
      <c r="AR204" s="551">
        <v>6.0715000000000003</v>
      </c>
    </row>
    <row r="205" spans="39:44" x14ac:dyDescent="0.3">
      <c r="AM205" s="550">
        <f t="shared" ca="1" si="56"/>
        <v>45750</v>
      </c>
      <c r="AN205" s="551">
        <v>245.55</v>
      </c>
      <c r="AO205" s="551">
        <v>3292611</v>
      </c>
      <c r="AP205" s="551">
        <v>604.28638000000001</v>
      </c>
      <c r="AQ205" s="551">
        <v>148382.520609</v>
      </c>
      <c r="AR205" s="551">
        <v>6.1521999999999997</v>
      </c>
    </row>
    <row r="206" spans="39:44" x14ac:dyDescent="0.3">
      <c r="AM206" s="550">
        <f t="shared" ca="1" si="56"/>
        <v>45749</v>
      </c>
      <c r="AN206" s="551">
        <v>245.55</v>
      </c>
      <c r="AO206" s="551">
        <v>3292611</v>
      </c>
      <c r="AP206" s="551">
        <v>604.28638000000001</v>
      </c>
      <c r="AQ206" s="551">
        <v>148382.520609</v>
      </c>
      <c r="AR206" s="551">
        <v>6.1521999999999997</v>
      </c>
    </row>
    <row r="207" spans="39:44" x14ac:dyDescent="0.3">
      <c r="AM207" s="550">
        <f t="shared" ca="1" si="56"/>
        <v>45748</v>
      </c>
      <c r="AN207" s="551">
        <v>245.55</v>
      </c>
      <c r="AO207" s="551">
        <v>3292611</v>
      </c>
      <c r="AP207" s="551">
        <v>604.28638000000001</v>
      </c>
      <c r="AQ207" s="551">
        <v>148382.520609</v>
      </c>
      <c r="AR207" s="551">
        <v>6.1521999999999997</v>
      </c>
    </row>
    <row r="208" spans="39:44" x14ac:dyDescent="0.3">
      <c r="AM208" s="550">
        <f t="shared" ca="1" si="56"/>
        <v>45747</v>
      </c>
      <c r="AN208" s="551">
        <v>247.65</v>
      </c>
      <c r="AO208" s="551">
        <v>1425405</v>
      </c>
      <c r="AP208" s="551">
        <v>604.28638000000001</v>
      </c>
      <c r="AQ208" s="551">
        <v>149651.52200699999</v>
      </c>
      <c r="AR208" s="551">
        <v>6.2047999999999996</v>
      </c>
    </row>
    <row r="209" spans="39:44" x14ac:dyDescent="0.3">
      <c r="AM209" s="550">
        <f t="shared" ca="1" si="56"/>
        <v>45746</v>
      </c>
      <c r="AN209" s="551">
        <v>247.06</v>
      </c>
      <c r="AO209" s="551">
        <v>2488562</v>
      </c>
      <c r="AP209" s="551">
        <v>604.28638000000001</v>
      </c>
      <c r="AQ209" s="551">
        <v>149294.99304279999</v>
      </c>
      <c r="AR209" s="551">
        <v>6.19</v>
      </c>
    </row>
    <row r="210" spans="39:44" x14ac:dyDescent="0.3">
      <c r="AM210" s="550">
        <f t="shared" ca="1" si="56"/>
        <v>45745</v>
      </c>
      <c r="AN210" s="551">
        <v>251.17</v>
      </c>
      <c r="AO210" s="551">
        <v>1709307</v>
      </c>
      <c r="AP210" s="551">
        <v>604.28638000000001</v>
      </c>
      <c r="AQ210" s="551">
        <v>151778.61006459998</v>
      </c>
      <c r="AR210" s="551">
        <v>6.2930000000000001</v>
      </c>
    </row>
    <row r="211" spans="39:44" x14ac:dyDescent="0.3">
      <c r="AM211" s="550">
        <f t="shared" ca="1" si="56"/>
        <v>45744</v>
      </c>
      <c r="AN211" s="551">
        <v>249.22</v>
      </c>
      <c r="AO211" s="551">
        <v>1696372</v>
      </c>
      <c r="AP211" s="551">
        <v>604.28638000000001</v>
      </c>
      <c r="AQ211" s="551">
        <v>150600.25162359999</v>
      </c>
      <c r="AR211" s="551">
        <v>6.2442000000000002</v>
      </c>
    </row>
    <row r="212" spans="39:44" x14ac:dyDescent="0.3">
      <c r="AM212" s="550">
        <f t="shared" ca="1" si="56"/>
        <v>45743</v>
      </c>
      <c r="AN212" s="551">
        <v>249.22</v>
      </c>
      <c r="AO212" s="551">
        <v>1696372</v>
      </c>
      <c r="AP212" s="551">
        <v>604.28638000000001</v>
      </c>
      <c r="AQ212" s="551">
        <v>150600.25162359999</v>
      </c>
      <c r="AR212" s="551">
        <v>6.2442000000000002</v>
      </c>
    </row>
    <row r="213" spans="39:44" x14ac:dyDescent="0.3">
      <c r="AM213" s="550">
        <f t="shared" ca="1" si="56"/>
        <v>45742</v>
      </c>
      <c r="AN213" s="551">
        <v>249.22</v>
      </c>
      <c r="AO213" s="551">
        <v>1696372</v>
      </c>
      <c r="AP213" s="551">
        <v>604.28638000000001</v>
      </c>
      <c r="AQ213" s="551">
        <v>150600.25162359999</v>
      </c>
      <c r="AR213" s="551">
        <v>6.2442000000000002</v>
      </c>
    </row>
    <row r="214" spans="39:44" x14ac:dyDescent="0.3">
      <c r="AM214" s="550">
        <f t="shared" ca="1" si="56"/>
        <v>45741</v>
      </c>
      <c r="AN214" s="551">
        <v>249.22</v>
      </c>
      <c r="AO214" s="551">
        <v>1696372</v>
      </c>
      <c r="AP214" s="551">
        <v>604.28638000000001</v>
      </c>
      <c r="AQ214" s="551">
        <v>150600.25162359999</v>
      </c>
      <c r="AR214" s="551">
        <v>6.2442000000000002</v>
      </c>
    </row>
    <row r="215" spans="39:44" x14ac:dyDescent="0.3">
      <c r="AM215" s="550">
        <f t="shared" ca="1" si="56"/>
        <v>45740</v>
      </c>
      <c r="AN215" s="551">
        <v>250.97</v>
      </c>
      <c r="AO215" s="551">
        <v>2279805</v>
      </c>
      <c r="AP215" s="551">
        <v>604.28638000000001</v>
      </c>
      <c r="AQ215" s="551">
        <v>151657.75278859999</v>
      </c>
      <c r="AR215" s="551">
        <v>6.2880000000000003</v>
      </c>
    </row>
    <row r="216" spans="39:44" x14ac:dyDescent="0.3">
      <c r="AM216" s="550">
        <f t="shared" ca="1" si="56"/>
        <v>45739</v>
      </c>
      <c r="AN216" s="551">
        <v>248.51</v>
      </c>
      <c r="AO216" s="551">
        <v>2656900</v>
      </c>
      <c r="AP216" s="551">
        <v>604.28638000000001</v>
      </c>
      <c r="AQ216" s="551">
        <v>150171.20829380001</v>
      </c>
      <c r="AR216" s="551">
        <v>6.2263999999999999</v>
      </c>
    </row>
    <row r="217" spans="39:44" x14ac:dyDescent="0.3">
      <c r="AM217" s="550">
        <f t="shared" ca="1" si="56"/>
        <v>45738</v>
      </c>
      <c r="AN217" s="551">
        <v>247.73</v>
      </c>
      <c r="AO217" s="551">
        <v>2584900</v>
      </c>
      <c r="AP217" s="551">
        <v>604.28638000000001</v>
      </c>
      <c r="AQ217" s="551">
        <v>149699.8649174</v>
      </c>
      <c r="AR217" s="551">
        <v>6.2068000000000003</v>
      </c>
    </row>
    <row r="218" spans="39:44" x14ac:dyDescent="0.3">
      <c r="AM218" s="550">
        <f t="shared" ca="1" si="56"/>
        <v>45737</v>
      </c>
      <c r="AN218" s="551">
        <v>244.33</v>
      </c>
      <c r="AO218" s="551">
        <v>2315031</v>
      </c>
      <c r="AP218" s="551">
        <v>604.28638000000001</v>
      </c>
      <c r="AQ218" s="551">
        <v>147645.2912254</v>
      </c>
      <c r="AR218" s="551">
        <v>6.1215999999999999</v>
      </c>
    </row>
    <row r="219" spans="39:44" x14ac:dyDescent="0.3">
      <c r="AM219" s="550">
        <f t="shared" ca="1" si="56"/>
        <v>45736</v>
      </c>
      <c r="AN219" s="551">
        <v>242.08</v>
      </c>
      <c r="AO219" s="551">
        <v>2185539</v>
      </c>
      <c r="AP219" s="551">
        <v>604.28638000000001</v>
      </c>
      <c r="AQ219" s="551">
        <v>146285.6468704</v>
      </c>
      <c r="AR219" s="551">
        <v>6.0652999999999997</v>
      </c>
    </row>
    <row r="220" spans="39:44" x14ac:dyDescent="0.3">
      <c r="AM220" s="550">
        <f t="shared" ca="1" si="56"/>
        <v>45735</v>
      </c>
      <c r="AN220" s="551">
        <v>242.08</v>
      </c>
      <c r="AO220" s="551">
        <v>2185539</v>
      </c>
      <c r="AP220" s="551">
        <v>604.28638000000001</v>
      </c>
      <c r="AQ220" s="551">
        <v>146285.6468704</v>
      </c>
      <c r="AR220" s="551">
        <v>6.0652999999999997</v>
      </c>
    </row>
    <row r="221" spans="39:44" x14ac:dyDescent="0.3">
      <c r="AM221" s="550">
        <f t="shared" ca="1" si="56"/>
        <v>45734</v>
      </c>
      <c r="AN221" s="551">
        <v>242.08</v>
      </c>
      <c r="AO221" s="551">
        <v>2185539</v>
      </c>
      <c r="AP221" s="551">
        <v>604.28638000000001</v>
      </c>
      <c r="AQ221" s="551">
        <v>146285.6468704</v>
      </c>
      <c r="AR221" s="551">
        <v>6.0652999999999997</v>
      </c>
    </row>
    <row r="222" spans="39:44" x14ac:dyDescent="0.3">
      <c r="AM222" s="550">
        <f t="shared" ca="1" si="56"/>
        <v>45733</v>
      </c>
      <c r="AN222" s="551">
        <v>243.51</v>
      </c>
      <c r="AO222" s="551">
        <v>1574551</v>
      </c>
      <c r="AP222" s="551">
        <v>606.25662999999997</v>
      </c>
      <c r="AQ222" s="551">
        <v>147629.55197129998</v>
      </c>
      <c r="AR222" s="551">
        <v>6.1010999999999997</v>
      </c>
    </row>
    <row r="223" spans="39:44" x14ac:dyDescent="0.3">
      <c r="AM223" s="550">
        <f t="shared" ca="1" si="56"/>
        <v>45732</v>
      </c>
      <c r="AN223" s="551">
        <v>244.48</v>
      </c>
      <c r="AO223" s="551">
        <v>2436915</v>
      </c>
      <c r="AP223" s="551">
        <v>606.25662999999997</v>
      </c>
      <c r="AQ223" s="551">
        <v>148217.6209024</v>
      </c>
      <c r="AR223" s="551">
        <v>6.1254</v>
      </c>
    </row>
    <row r="224" spans="39:44" x14ac:dyDescent="0.3">
      <c r="AM224" s="550">
        <f t="shared" ca="1" si="56"/>
        <v>45731</v>
      </c>
      <c r="AN224" s="551">
        <v>243.5</v>
      </c>
      <c r="AO224" s="551">
        <v>2895151</v>
      </c>
      <c r="AP224" s="551">
        <v>606.25662999999997</v>
      </c>
      <c r="AQ224" s="551">
        <v>147623.489405</v>
      </c>
      <c r="AR224" s="551">
        <v>6.1007999999999996</v>
      </c>
    </row>
    <row r="225" spans="39:44" x14ac:dyDescent="0.3">
      <c r="AM225" s="550">
        <f t="shared" ca="1" si="56"/>
        <v>45730</v>
      </c>
      <c r="AN225" s="551">
        <v>243.02</v>
      </c>
      <c r="AO225" s="551">
        <v>3962281</v>
      </c>
      <c r="AP225" s="551">
        <v>606.25662999999997</v>
      </c>
      <c r="AQ225" s="551">
        <v>147332.48622260001</v>
      </c>
      <c r="AR225" s="551">
        <v>6.0888</v>
      </c>
    </row>
    <row r="226" spans="39:44" x14ac:dyDescent="0.3">
      <c r="AM226" s="550">
        <f t="shared" ca="1" si="56"/>
        <v>45729</v>
      </c>
      <c r="AN226" s="551">
        <v>247.79</v>
      </c>
      <c r="AO226" s="551">
        <v>2987299</v>
      </c>
      <c r="AP226" s="551">
        <v>606.25662999999997</v>
      </c>
      <c r="AQ226" s="551">
        <v>150224.33034769999</v>
      </c>
      <c r="AR226" s="551">
        <v>6.2083000000000004</v>
      </c>
    </row>
    <row r="227" spans="39:44" x14ac:dyDescent="0.3">
      <c r="AM227" s="550">
        <f t="shared" ca="1" si="56"/>
        <v>45728</v>
      </c>
      <c r="AN227" s="551">
        <v>247.79</v>
      </c>
      <c r="AO227" s="551">
        <v>2987299</v>
      </c>
      <c r="AP227" s="551">
        <v>606.25662999999997</v>
      </c>
      <c r="AQ227" s="551">
        <v>150224.33034769999</v>
      </c>
      <c r="AR227" s="551">
        <v>6.2083000000000004</v>
      </c>
    </row>
    <row r="228" spans="39:44" x14ac:dyDescent="0.3">
      <c r="AM228" s="550">
        <f t="shared" ca="1" si="56"/>
        <v>45727</v>
      </c>
      <c r="AN228" s="551">
        <v>247.79</v>
      </c>
      <c r="AO228" s="551">
        <v>2987299</v>
      </c>
      <c r="AP228" s="551">
        <v>606.25662999999997</v>
      </c>
      <c r="AQ228" s="551">
        <v>150224.33034769999</v>
      </c>
      <c r="AR228" s="551">
        <v>6.2083000000000004</v>
      </c>
    </row>
    <row r="229" spans="39:44" x14ac:dyDescent="0.3">
      <c r="AM229" s="550">
        <f t="shared" ca="1" si="56"/>
        <v>45726</v>
      </c>
      <c r="AN229" s="551">
        <v>249.92</v>
      </c>
      <c r="AO229" s="551">
        <v>2490554</v>
      </c>
      <c r="AP229" s="551">
        <v>606.25662999999997</v>
      </c>
      <c r="AQ229" s="551">
        <v>151515.65696959998</v>
      </c>
      <c r="AR229" s="551">
        <v>6.2617000000000003</v>
      </c>
    </row>
    <row r="230" spans="39:44" x14ac:dyDescent="0.3">
      <c r="AM230" s="550">
        <f t="shared" ca="1" si="56"/>
        <v>45725</v>
      </c>
      <c r="AN230" s="551">
        <v>249.55</v>
      </c>
      <c r="AO230" s="551">
        <v>3026887</v>
      </c>
      <c r="AP230" s="551">
        <v>606.25662999999997</v>
      </c>
      <c r="AQ230" s="551">
        <v>151291.34201650001</v>
      </c>
      <c r="AR230" s="551">
        <v>6.2523999999999997</v>
      </c>
    </row>
    <row r="231" spans="39:44" x14ac:dyDescent="0.3">
      <c r="AM231" s="550">
        <f t="shared" ca="1" si="56"/>
        <v>45724</v>
      </c>
      <c r="AN231" s="551">
        <v>249.16</v>
      </c>
      <c r="AO231" s="551">
        <v>3167242</v>
      </c>
      <c r="AP231" s="551">
        <v>606.25662999999997</v>
      </c>
      <c r="AQ231" s="551">
        <v>151054.9019308</v>
      </c>
      <c r="AR231" s="551">
        <v>6.2426000000000004</v>
      </c>
    </row>
    <row r="232" spans="39:44" x14ac:dyDescent="0.3">
      <c r="AM232" s="550">
        <f t="shared" ca="1" si="56"/>
        <v>45723</v>
      </c>
      <c r="AN232" s="551">
        <v>254.42</v>
      </c>
      <c r="AO232" s="551">
        <v>4537435</v>
      </c>
      <c r="AP232" s="551">
        <v>606.25662999999997</v>
      </c>
      <c r="AQ232" s="551">
        <v>154243.81180459997</v>
      </c>
      <c r="AR232" s="551">
        <v>6.3743999999999996</v>
      </c>
    </row>
    <row r="233" spans="39:44" x14ac:dyDescent="0.3">
      <c r="AM233" s="550">
        <f t="shared" ca="1" si="56"/>
        <v>45722</v>
      </c>
      <c r="AN233" s="551">
        <v>248.78</v>
      </c>
      <c r="AO233" s="551">
        <v>4048520</v>
      </c>
      <c r="AP233" s="551">
        <v>606.25662999999997</v>
      </c>
      <c r="AQ233" s="551">
        <v>150824.52441139999</v>
      </c>
      <c r="AR233" s="551">
        <v>6.2331000000000003</v>
      </c>
    </row>
    <row r="234" spans="39:44" x14ac:dyDescent="0.3">
      <c r="AM234" s="550">
        <f t="shared" ca="1" si="56"/>
        <v>45721</v>
      </c>
      <c r="AN234" s="551">
        <v>248.78</v>
      </c>
      <c r="AO234" s="551">
        <v>4048520</v>
      </c>
      <c r="AP234" s="551">
        <v>606.25662999999997</v>
      </c>
      <c r="AQ234" s="551">
        <v>150824.52441139999</v>
      </c>
      <c r="AR234" s="551">
        <v>6.2331000000000003</v>
      </c>
    </row>
    <row r="235" spans="39:44" x14ac:dyDescent="0.3">
      <c r="AM235" s="550">
        <f t="shared" ca="1" si="56"/>
        <v>45720</v>
      </c>
      <c r="AN235" s="551">
        <v>248.78</v>
      </c>
      <c r="AO235" s="551">
        <v>4048520</v>
      </c>
      <c r="AP235" s="551">
        <v>606.25662999999997</v>
      </c>
      <c r="AQ235" s="551">
        <v>150824.52441139999</v>
      </c>
      <c r="AR235" s="551">
        <v>6.2331000000000003</v>
      </c>
    </row>
    <row r="236" spans="39:44" x14ac:dyDescent="0.3">
      <c r="AM236" s="550">
        <f t="shared" ca="1" si="56"/>
        <v>45719</v>
      </c>
      <c r="AN236" s="551">
        <v>248.05</v>
      </c>
      <c r="AO236" s="551">
        <v>5226434</v>
      </c>
      <c r="AP236" s="551">
        <v>606.25662999999997</v>
      </c>
      <c r="AQ236" s="551">
        <v>150381.95707149999</v>
      </c>
      <c r="AR236" s="551">
        <v>6.2148000000000003</v>
      </c>
    </row>
    <row r="237" spans="39:44" x14ac:dyDescent="0.3">
      <c r="AM237" s="550">
        <f t="shared" ca="1" si="56"/>
        <v>45718</v>
      </c>
      <c r="AN237" s="551">
        <v>235.8</v>
      </c>
      <c r="AO237" s="551">
        <v>2757509</v>
      </c>
      <c r="AP237" s="551">
        <v>606.25662999999997</v>
      </c>
      <c r="AQ237" s="551">
        <v>142955.31335400001</v>
      </c>
      <c r="AR237" s="551">
        <v>5.9078999999999997</v>
      </c>
    </row>
    <row r="238" spans="39:44" x14ac:dyDescent="0.3">
      <c r="AM238" s="550">
        <f t="shared" ca="1" si="56"/>
        <v>45717</v>
      </c>
      <c r="AN238" s="551">
        <v>236.73</v>
      </c>
      <c r="AO238" s="551">
        <v>2630599</v>
      </c>
      <c r="AP238" s="551">
        <v>606.25662999999997</v>
      </c>
      <c r="AQ238" s="551">
        <v>143519.13201989999</v>
      </c>
      <c r="AR238" s="551">
        <v>5.9311999999999996</v>
      </c>
    </row>
    <row r="239" spans="39:44" x14ac:dyDescent="0.3">
      <c r="AM239" s="550">
        <f t="shared" ca="1" si="56"/>
        <v>45716</v>
      </c>
      <c r="AN239" s="551">
        <v>234.26</v>
      </c>
      <c r="AO239" s="551">
        <v>3643952</v>
      </c>
      <c r="AP239" s="551">
        <v>606.25662999999997</v>
      </c>
      <c r="AQ239" s="551">
        <v>142021.67814379997</v>
      </c>
      <c r="AR239" s="551">
        <v>5.8693</v>
      </c>
    </row>
    <row r="240" spans="39:44" x14ac:dyDescent="0.3">
      <c r="AM240" s="550">
        <f t="shared" ca="1" si="56"/>
        <v>45715</v>
      </c>
      <c r="AN240" s="551">
        <v>234.26</v>
      </c>
      <c r="AO240" s="551">
        <v>3643952</v>
      </c>
      <c r="AP240" s="551">
        <v>606.25662999999997</v>
      </c>
      <c r="AQ240" s="551">
        <v>142021.67814379997</v>
      </c>
      <c r="AR240" s="551">
        <v>5.8693</v>
      </c>
    </row>
    <row r="241" spans="39:44" x14ac:dyDescent="0.3">
      <c r="AM241" s="550">
        <f t="shared" ca="1" si="56"/>
        <v>45714</v>
      </c>
      <c r="AN241" s="551">
        <v>234.26</v>
      </c>
      <c r="AO241" s="551">
        <v>3643952</v>
      </c>
      <c r="AP241" s="551">
        <v>606.25662999999997</v>
      </c>
      <c r="AQ241" s="551">
        <v>142021.67814379997</v>
      </c>
      <c r="AR241" s="551">
        <v>5.8693</v>
      </c>
    </row>
    <row r="242" spans="39:44" x14ac:dyDescent="0.3">
      <c r="AM242" s="550">
        <f t="shared" ca="1" si="56"/>
        <v>45713</v>
      </c>
      <c r="AN242" s="551">
        <v>234.26</v>
      </c>
      <c r="AO242" s="551">
        <v>3643952</v>
      </c>
      <c r="AP242" s="551">
        <v>606.25662999999997</v>
      </c>
      <c r="AQ242" s="551">
        <v>142021.67814379997</v>
      </c>
      <c r="AR242" s="551">
        <v>5.8693</v>
      </c>
    </row>
    <row r="243" spans="39:44" x14ac:dyDescent="0.3">
      <c r="AM243" s="550">
        <f t="shared" ca="1" si="56"/>
        <v>45712</v>
      </c>
      <c r="AN243" s="551">
        <v>234.89</v>
      </c>
      <c r="AO243" s="551">
        <v>2297235</v>
      </c>
      <c r="AP243" s="551">
        <v>606.25662999999997</v>
      </c>
      <c r="AQ243" s="551">
        <v>142403.6198207</v>
      </c>
      <c r="AR243" s="551">
        <v>5.8851000000000004</v>
      </c>
    </row>
    <row r="244" spans="39:44" x14ac:dyDescent="0.3">
      <c r="AM244" s="550">
        <f t="shared" ca="1" si="56"/>
        <v>45711</v>
      </c>
      <c r="AN244" s="551">
        <v>230.86</v>
      </c>
      <c r="AO244" s="551">
        <v>1892352</v>
      </c>
      <c r="AP244" s="551">
        <v>606.25662999999997</v>
      </c>
      <c r="AQ244" s="551">
        <v>139960.40560180001</v>
      </c>
      <c r="AR244" s="551">
        <v>5.7840999999999996</v>
      </c>
    </row>
    <row r="245" spans="39:44" x14ac:dyDescent="0.3">
      <c r="AM245" s="550">
        <f t="shared" ca="1" si="56"/>
        <v>45710</v>
      </c>
      <c r="AN245" s="551">
        <v>229.38</v>
      </c>
      <c r="AO245" s="551">
        <v>1823354</v>
      </c>
      <c r="AP245" s="551">
        <v>606.25662999999997</v>
      </c>
      <c r="AQ245" s="551">
        <v>139063.14578940001</v>
      </c>
      <c r="AR245" s="551">
        <v>5.7470999999999997</v>
      </c>
    </row>
    <row r="246" spans="39:44" x14ac:dyDescent="0.3">
      <c r="AM246" s="550">
        <f t="shared" ca="1" si="56"/>
        <v>45709</v>
      </c>
      <c r="AN246" s="551">
        <v>226.76</v>
      </c>
      <c r="AO246" s="551">
        <v>2278105</v>
      </c>
      <c r="AP246" s="551">
        <v>606.25662999999997</v>
      </c>
      <c r="AQ246" s="551">
        <v>137474.75341879998</v>
      </c>
      <c r="AR246" s="551">
        <v>5.6814</v>
      </c>
    </row>
    <row r="247" spans="39:44" x14ac:dyDescent="0.3">
      <c r="AM247" s="550">
        <f t="shared" ca="1" si="56"/>
        <v>45708</v>
      </c>
      <c r="AN247" s="551">
        <v>225.21</v>
      </c>
      <c r="AO247" s="551">
        <v>2711357</v>
      </c>
      <c r="AP247" s="551">
        <v>606.25662999999997</v>
      </c>
      <c r="AQ247" s="551">
        <v>136535.05564229999</v>
      </c>
      <c r="AR247" s="551">
        <v>5.6425999999999998</v>
      </c>
    </row>
    <row r="248" spans="39:44" x14ac:dyDescent="0.3">
      <c r="AM248" s="550">
        <f t="shared" ca="1" si="56"/>
        <v>45707</v>
      </c>
      <c r="AN248" s="551">
        <v>225.21</v>
      </c>
      <c r="AO248" s="551">
        <v>2711357</v>
      </c>
      <c r="AP248" s="551">
        <v>606.25662999999997</v>
      </c>
      <c r="AQ248" s="551">
        <v>136535.05564229999</v>
      </c>
      <c r="AR248" s="551">
        <v>5.6425999999999998</v>
      </c>
    </row>
    <row r="249" spans="39:44" x14ac:dyDescent="0.3">
      <c r="AM249" s="550">
        <f t="shared" ca="1" si="56"/>
        <v>45706</v>
      </c>
      <c r="AN249" s="551">
        <v>225.21</v>
      </c>
      <c r="AO249" s="551">
        <v>2711357</v>
      </c>
      <c r="AP249" s="551">
        <v>606.25662999999997</v>
      </c>
      <c r="AQ249" s="551">
        <v>136535.05564229999</v>
      </c>
      <c r="AR249" s="551">
        <v>5.6425999999999998</v>
      </c>
    </row>
    <row r="250" spans="39:44" x14ac:dyDescent="0.3">
      <c r="AM250" s="550">
        <f t="shared" ca="1" si="56"/>
        <v>45705</v>
      </c>
      <c r="AN250" s="551">
        <v>231.82</v>
      </c>
      <c r="AO250" s="551">
        <v>2062858</v>
      </c>
      <c r="AP250" s="551">
        <v>606.25662999999997</v>
      </c>
      <c r="AQ250" s="551">
        <v>140542.41196659999</v>
      </c>
      <c r="AR250" s="551">
        <v>5.8082000000000003</v>
      </c>
    </row>
    <row r="251" spans="39:44" x14ac:dyDescent="0.3">
      <c r="AM251" s="550">
        <f t="shared" ca="1" si="56"/>
        <v>45704</v>
      </c>
      <c r="AN251" s="551">
        <v>231.82</v>
      </c>
      <c r="AO251" s="551">
        <v>2062858</v>
      </c>
      <c r="AP251" s="551">
        <v>606.25662999999997</v>
      </c>
      <c r="AQ251" s="551">
        <v>140542.41196659999</v>
      </c>
      <c r="AR251" s="551">
        <v>5.8082000000000003</v>
      </c>
    </row>
    <row r="252" spans="39:44" x14ac:dyDescent="0.3">
      <c r="AM252" s="550">
        <f t="shared" ca="1" si="56"/>
        <v>45703</v>
      </c>
      <c r="AN252" s="551">
        <v>230.54</v>
      </c>
      <c r="AO252" s="551">
        <v>2752689</v>
      </c>
      <c r="AP252" s="551">
        <v>606.25662999999997</v>
      </c>
      <c r="AQ252" s="551">
        <v>139766.40348019998</v>
      </c>
      <c r="AR252" s="551">
        <v>5.7760999999999996</v>
      </c>
    </row>
    <row r="253" spans="39:44" x14ac:dyDescent="0.3">
      <c r="AM253" s="550">
        <f t="shared" ca="1" si="56"/>
        <v>45702</v>
      </c>
      <c r="AN253" s="551">
        <v>230.01</v>
      </c>
      <c r="AO253" s="551">
        <v>2798779</v>
      </c>
      <c r="AP253" s="551">
        <v>606.25662999999997</v>
      </c>
      <c r="AQ253" s="551">
        <v>139445.0874663</v>
      </c>
      <c r="AR253" s="551">
        <v>5.7628000000000004</v>
      </c>
    </row>
    <row r="254" spans="39:44" x14ac:dyDescent="0.3">
      <c r="AM254" s="550">
        <f t="shared" ca="1" si="56"/>
        <v>45701</v>
      </c>
      <c r="AN254" s="551">
        <v>231.5</v>
      </c>
      <c r="AO254" s="551">
        <v>1994523</v>
      </c>
      <c r="AP254" s="551">
        <v>606.25662999999997</v>
      </c>
      <c r="AQ254" s="551">
        <v>140348.40984499999</v>
      </c>
      <c r="AR254" s="551">
        <v>5.8002000000000002</v>
      </c>
    </row>
    <row r="255" spans="39:44" x14ac:dyDescent="0.3">
      <c r="AM255" s="550">
        <f t="shared" ca="1" si="56"/>
        <v>45700</v>
      </c>
      <c r="AN255" s="551">
        <v>231.5</v>
      </c>
      <c r="AO255" s="551">
        <v>1994523</v>
      </c>
      <c r="AP255" s="551">
        <v>606.25662999999997</v>
      </c>
      <c r="AQ255" s="551">
        <v>140348.40984499999</v>
      </c>
      <c r="AR255" s="551">
        <v>5.8002000000000002</v>
      </c>
    </row>
    <row r="256" spans="39:44" x14ac:dyDescent="0.3">
      <c r="AM256" s="550">
        <f t="shared" ca="1" si="56"/>
        <v>45699</v>
      </c>
      <c r="AN256" s="551">
        <v>231.5</v>
      </c>
      <c r="AO256" s="551">
        <v>1994523</v>
      </c>
      <c r="AP256" s="551">
        <v>606.25662999999997</v>
      </c>
      <c r="AQ256" s="551">
        <v>140348.40984499999</v>
      </c>
      <c r="AR256" s="551">
        <v>5.8002000000000002</v>
      </c>
    </row>
    <row r="257" spans="39:44" x14ac:dyDescent="0.3">
      <c r="AM257" s="550">
        <f t="shared" ca="1" si="56"/>
        <v>45698</v>
      </c>
      <c r="AN257" s="551">
        <v>229.12</v>
      </c>
      <c r="AO257" s="551">
        <v>3177227</v>
      </c>
      <c r="AP257" s="551">
        <v>606.25662999999997</v>
      </c>
      <c r="AQ257" s="551">
        <v>138905.5190656</v>
      </c>
      <c r="AR257" s="551">
        <v>5.7405999999999997</v>
      </c>
    </row>
    <row r="258" spans="39:44" x14ac:dyDescent="0.3">
      <c r="AM258" s="550">
        <f t="shared" ca="1" si="56"/>
        <v>45697</v>
      </c>
      <c r="AN258" s="551">
        <v>228.04</v>
      </c>
      <c r="AO258" s="551">
        <v>1784776</v>
      </c>
      <c r="AP258" s="551">
        <v>606.25662999999997</v>
      </c>
      <c r="AQ258" s="551">
        <v>138250.76190519999</v>
      </c>
      <c r="AR258" s="551">
        <v>5.7134999999999998</v>
      </c>
    </row>
    <row r="259" spans="39:44" x14ac:dyDescent="0.3">
      <c r="AM259" s="550">
        <f t="shared" ca="1" si="56"/>
        <v>45696</v>
      </c>
      <c r="AN259" s="551">
        <v>228.04</v>
      </c>
      <c r="AO259" s="551">
        <v>1784776</v>
      </c>
      <c r="AP259" s="551">
        <v>606.25662999999997</v>
      </c>
      <c r="AQ259" s="551">
        <v>138250.76190519999</v>
      </c>
      <c r="AR259" s="551">
        <v>5.7134999999999998</v>
      </c>
    </row>
    <row r="260" spans="39:44" x14ac:dyDescent="0.3">
      <c r="AM260" s="550">
        <f t="shared" ca="1" si="56"/>
        <v>45695</v>
      </c>
      <c r="AN260" s="551">
        <v>227.79</v>
      </c>
      <c r="AO260" s="551">
        <v>1659696</v>
      </c>
      <c r="AP260" s="551">
        <v>606.25662999999997</v>
      </c>
      <c r="AQ260" s="551">
        <v>138099.19774769997</v>
      </c>
      <c r="AR260" s="551">
        <v>5.7095000000000002</v>
      </c>
    </row>
    <row r="261" spans="39:44" x14ac:dyDescent="0.3">
      <c r="AM261" s="550">
        <f t="shared" ref="AM261:AM324" ca="1" si="57">AM260-1</f>
        <v>45694</v>
      </c>
      <c r="AN261" s="551">
        <v>229.93</v>
      </c>
      <c r="AO261" s="551">
        <v>1455878</v>
      </c>
      <c r="AP261" s="551">
        <v>606.25662999999997</v>
      </c>
      <c r="AQ261" s="551">
        <v>139396.58693590001</v>
      </c>
      <c r="AR261" s="551">
        <v>5.7630999999999997</v>
      </c>
    </row>
    <row r="262" spans="39:44" x14ac:dyDescent="0.3">
      <c r="AM262" s="550">
        <f t="shared" ca="1" si="57"/>
        <v>45693</v>
      </c>
      <c r="AN262" s="551">
        <v>229.93</v>
      </c>
      <c r="AO262" s="551">
        <v>1455878</v>
      </c>
      <c r="AP262" s="551">
        <v>606.25662999999997</v>
      </c>
      <c r="AQ262" s="551">
        <v>139396.58693590001</v>
      </c>
      <c r="AR262" s="551">
        <v>5.7630999999999997</v>
      </c>
    </row>
    <row r="263" spans="39:44" x14ac:dyDescent="0.3">
      <c r="AM263" s="550">
        <f t="shared" ca="1" si="57"/>
        <v>45692</v>
      </c>
      <c r="AN263" s="551">
        <v>229.93</v>
      </c>
      <c r="AO263" s="551">
        <v>1455878</v>
      </c>
      <c r="AP263" s="551">
        <v>606.25662999999997</v>
      </c>
      <c r="AQ263" s="551">
        <v>139396.58693590001</v>
      </c>
      <c r="AR263" s="551">
        <v>5.7630999999999997</v>
      </c>
    </row>
    <row r="264" spans="39:44" x14ac:dyDescent="0.3">
      <c r="AM264" s="550">
        <f t="shared" ca="1" si="57"/>
        <v>45691</v>
      </c>
      <c r="AN264" s="551">
        <v>230.23</v>
      </c>
      <c r="AO264" s="551">
        <v>1021695</v>
      </c>
      <c r="AP264" s="551">
        <v>606.25662999999997</v>
      </c>
      <c r="AQ264" s="551">
        <v>139578.46392489999</v>
      </c>
      <c r="AR264" s="551">
        <v>5.7706</v>
      </c>
    </row>
    <row r="265" spans="39:44" x14ac:dyDescent="0.3">
      <c r="AM265" s="550">
        <f t="shared" ca="1" si="57"/>
        <v>45690</v>
      </c>
      <c r="AN265" s="551">
        <v>229.75</v>
      </c>
      <c r="AO265" s="551">
        <v>669028</v>
      </c>
      <c r="AP265" s="551">
        <v>606.25662999999997</v>
      </c>
      <c r="AQ265" s="551">
        <v>139287.4607425</v>
      </c>
      <c r="AR265" s="551">
        <v>5.7586000000000004</v>
      </c>
    </row>
    <row r="266" spans="39:44" x14ac:dyDescent="0.3">
      <c r="AM266" s="550">
        <f t="shared" ca="1" si="57"/>
        <v>45689</v>
      </c>
      <c r="AN266" s="551">
        <v>229.75</v>
      </c>
      <c r="AO266" s="551">
        <v>669028</v>
      </c>
      <c r="AP266" s="551">
        <v>606.25662999999997</v>
      </c>
      <c r="AQ266" s="551">
        <v>139287.4607425</v>
      </c>
      <c r="AR266" s="551">
        <v>5.7586000000000004</v>
      </c>
    </row>
    <row r="267" spans="39:44" x14ac:dyDescent="0.3">
      <c r="AM267" s="550">
        <f t="shared" ca="1" si="57"/>
        <v>45688</v>
      </c>
      <c r="AN267" s="551">
        <v>227.13</v>
      </c>
      <c r="AO267" s="551">
        <v>1939303</v>
      </c>
      <c r="AP267" s="551">
        <v>606.25662999999997</v>
      </c>
      <c r="AQ267" s="551">
        <v>137699.06837189998</v>
      </c>
      <c r="AR267" s="551">
        <v>5.6928999999999998</v>
      </c>
    </row>
    <row r="268" spans="39:44" x14ac:dyDescent="0.3">
      <c r="AM268" s="550">
        <f t="shared" ca="1" si="57"/>
        <v>45687</v>
      </c>
      <c r="AN268" s="551">
        <v>226.32</v>
      </c>
      <c r="AO268" s="551">
        <v>5949367</v>
      </c>
      <c r="AP268" s="551">
        <v>606.25662999999997</v>
      </c>
      <c r="AQ268" s="551">
        <v>137208.00050159998</v>
      </c>
      <c r="AR268" s="551">
        <v>5.6726000000000001</v>
      </c>
    </row>
    <row r="269" spans="39:44" x14ac:dyDescent="0.3">
      <c r="AM269" s="550">
        <f t="shared" ca="1" si="57"/>
        <v>45686</v>
      </c>
      <c r="AN269" s="551">
        <v>226.32</v>
      </c>
      <c r="AO269" s="551">
        <v>5949367</v>
      </c>
      <c r="AP269" s="551">
        <v>606.25662999999997</v>
      </c>
      <c r="AQ269" s="551">
        <v>137208.00050159998</v>
      </c>
      <c r="AR269" s="551">
        <v>5.6726000000000001</v>
      </c>
    </row>
    <row r="270" spans="39:44" x14ac:dyDescent="0.3">
      <c r="AM270" s="550">
        <f t="shared" ca="1" si="57"/>
        <v>45685</v>
      </c>
      <c r="AN270" s="551">
        <v>226.32</v>
      </c>
      <c r="AO270" s="551">
        <v>5949367</v>
      </c>
      <c r="AP270" s="551">
        <v>606.25662999999997</v>
      </c>
      <c r="AQ270" s="551">
        <v>137208.00050159998</v>
      </c>
      <c r="AR270" s="551">
        <v>5.6726000000000001</v>
      </c>
    </row>
    <row r="271" spans="39:44" x14ac:dyDescent="0.3">
      <c r="AM271" s="550">
        <f t="shared" ca="1" si="57"/>
        <v>45684</v>
      </c>
      <c r="AN271" s="551">
        <v>223.15</v>
      </c>
      <c r="AO271" s="551">
        <v>2785392</v>
      </c>
      <c r="AP271" s="551">
        <v>606.25662999999997</v>
      </c>
      <c r="AQ271" s="551">
        <v>135286.16698449999</v>
      </c>
      <c r="AR271" s="551">
        <v>5.5932000000000004</v>
      </c>
    </row>
    <row r="272" spans="39:44" x14ac:dyDescent="0.3">
      <c r="AM272" s="550">
        <f t="shared" ca="1" si="57"/>
        <v>45683</v>
      </c>
      <c r="AN272" s="551">
        <v>224.54</v>
      </c>
      <c r="AO272" s="551">
        <v>3582447</v>
      </c>
      <c r="AP272" s="551">
        <v>606.25662999999997</v>
      </c>
      <c r="AQ272" s="551">
        <v>136128.86370019999</v>
      </c>
      <c r="AR272" s="551">
        <v>5.6280000000000001</v>
      </c>
    </row>
    <row r="273" spans="39:44" x14ac:dyDescent="0.3">
      <c r="AM273" s="550">
        <f t="shared" ca="1" si="57"/>
        <v>45682</v>
      </c>
      <c r="AN273" s="551">
        <v>229.88</v>
      </c>
      <c r="AO273" s="551">
        <v>3642447</v>
      </c>
      <c r="AP273" s="551">
        <v>606.25662999999997</v>
      </c>
      <c r="AQ273" s="551">
        <v>139366.27410439998</v>
      </c>
      <c r="AR273" s="551">
        <v>5.7618999999999998</v>
      </c>
    </row>
    <row r="274" spans="39:44" x14ac:dyDescent="0.3">
      <c r="AM274" s="550">
        <f t="shared" ca="1" si="57"/>
        <v>45681</v>
      </c>
      <c r="AN274" s="551">
        <v>232.89</v>
      </c>
      <c r="AO274" s="551">
        <v>2839533</v>
      </c>
      <c r="AP274" s="551">
        <v>606.25662999999997</v>
      </c>
      <c r="AQ274" s="551">
        <v>141191.10656069999</v>
      </c>
      <c r="AR274" s="551">
        <v>5.8372999999999999</v>
      </c>
    </row>
    <row r="275" spans="39:44" x14ac:dyDescent="0.3">
      <c r="AM275" s="550">
        <f t="shared" ca="1" si="57"/>
        <v>45680</v>
      </c>
      <c r="AN275" s="551">
        <v>234.98</v>
      </c>
      <c r="AO275" s="551">
        <v>2715604</v>
      </c>
      <c r="AP275" s="551">
        <v>606.25662999999997</v>
      </c>
      <c r="AQ275" s="551">
        <v>142458.1829174</v>
      </c>
      <c r="AR275" s="551">
        <v>5.8897000000000004</v>
      </c>
    </row>
    <row r="276" spans="39:44" x14ac:dyDescent="0.3">
      <c r="AM276" s="550">
        <f t="shared" ca="1" si="57"/>
        <v>45679</v>
      </c>
      <c r="AN276" s="551">
        <v>234.98</v>
      </c>
      <c r="AO276" s="551">
        <v>2715604</v>
      </c>
      <c r="AP276" s="551">
        <v>606.25662999999997</v>
      </c>
      <c r="AQ276" s="551">
        <v>142458.1829174</v>
      </c>
      <c r="AR276" s="551">
        <v>5.8897000000000004</v>
      </c>
    </row>
    <row r="277" spans="39:44" x14ac:dyDescent="0.3">
      <c r="AM277" s="550">
        <f t="shared" ca="1" si="57"/>
        <v>45678</v>
      </c>
      <c r="AN277" s="551">
        <v>234.98</v>
      </c>
      <c r="AO277" s="551">
        <v>2715604</v>
      </c>
      <c r="AP277" s="551">
        <v>606.25662999999997</v>
      </c>
      <c r="AQ277" s="551">
        <v>142458.1829174</v>
      </c>
      <c r="AR277" s="551">
        <v>5.8897000000000004</v>
      </c>
    </row>
    <row r="278" spans="39:44" x14ac:dyDescent="0.3">
      <c r="AM278" s="550">
        <f t="shared" ca="1" si="57"/>
        <v>45677</v>
      </c>
      <c r="AN278" s="551">
        <v>233.71</v>
      </c>
      <c r="AO278" s="551">
        <v>2242668</v>
      </c>
      <c r="AP278" s="551">
        <v>606.25662999999997</v>
      </c>
      <c r="AQ278" s="551">
        <v>141688.2369973</v>
      </c>
      <c r="AR278" s="551">
        <v>5.8578999999999999</v>
      </c>
    </row>
    <row r="279" spans="39:44" x14ac:dyDescent="0.3">
      <c r="AM279" s="550">
        <f t="shared" ca="1" si="57"/>
        <v>45676</v>
      </c>
      <c r="AN279" s="551">
        <v>233.78</v>
      </c>
      <c r="AO279" s="551">
        <v>2862670</v>
      </c>
      <c r="AP279" s="551">
        <v>606.25662999999997</v>
      </c>
      <c r="AQ279" s="551">
        <v>141730.67496139999</v>
      </c>
      <c r="AR279" s="551">
        <v>5.8596000000000004</v>
      </c>
    </row>
    <row r="280" spans="39:44" x14ac:dyDescent="0.3">
      <c r="AM280" s="550">
        <f t="shared" ca="1" si="57"/>
        <v>45675</v>
      </c>
      <c r="AN280" s="551">
        <v>237.09</v>
      </c>
      <c r="AO280" s="551">
        <v>3092573</v>
      </c>
      <c r="AP280" s="551">
        <v>606.25662999999997</v>
      </c>
      <c r="AQ280" s="551">
        <v>143737.3844067</v>
      </c>
      <c r="AR280" s="551">
        <v>5.9425999999999997</v>
      </c>
    </row>
    <row r="281" spans="39:44" x14ac:dyDescent="0.3">
      <c r="AM281" s="550">
        <f t="shared" ca="1" si="57"/>
        <v>45674</v>
      </c>
      <c r="AN281" s="551">
        <v>233.54</v>
      </c>
      <c r="AO281" s="551">
        <v>3095763</v>
      </c>
      <c r="AP281" s="551">
        <v>606.25662999999997</v>
      </c>
      <c r="AQ281" s="551">
        <v>141585.17337019998</v>
      </c>
      <c r="AR281" s="551">
        <v>5.8536000000000001</v>
      </c>
    </row>
    <row r="282" spans="39:44" x14ac:dyDescent="0.3">
      <c r="AM282" s="550">
        <f t="shared" ca="1" si="57"/>
        <v>45673</v>
      </c>
      <c r="AN282" s="551">
        <v>233.57</v>
      </c>
      <c r="AO282" s="551">
        <v>2585152</v>
      </c>
      <c r="AP282" s="551">
        <v>606.25662999999997</v>
      </c>
      <c r="AQ282" s="551">
        <v>141603.36106909998</v>
      </c>
      <c r="AR282" s="551">
        <v>5.8544</v>
      </c>
    </row>
    <row r="283" spans="39:44" x14ac:dyDescent="0.3">
      <c r="AM283" s="550">
        <f t="shared" ca="1" si="57"/>
        <v>45672</v>
      </c>
      <c r="AN283" s="551">
        <v>233.57</v>
      </c>
      <c r="AO283" s="551">
        <v>2585152</v>
      </c>
      <c r="AP283" s="551">
        <v>606.25662999999997</v>
      </c>
      <c r="AQ283" s="551">
        <v>141603.36106909998</v>
      </c>
      <c r="AR283" s="551">
        <v>5.8544</v>
      </c>
    </row>
    <row r="284" spans="39:44" x14ac:dyDescent="0.3">
      <c r="AM284" s="550">
        <f t="shared" ca="1" si="57"/>
        <v>45671</v>
      </c>
      <c r="AN284" s="551">
        <v>233.57</v>
      </c>
      <c r="AO284" s="551">
        <v>2585152</v>
      </c>
      <c r="AP284" s="551">
        <v>606.25662999999997</v>
      </c>
      <c r="AQ284" s="551">
        <v>141603.36106909998</v>
      </c>
      <c r="AR284" s="551">
        <v>5.8544</v>
      </c>
    </row>
    <row r="285" spans="39:44" x14ac:dyDescent="0.3">
      <c r="AM285" s="550">
        <f t="shared" ca="1" si="57"/>
        <v>45670</v>
      </c>
      <c r="AN285" s="551">
        <v>234.63</v>
      </c>
      <c r="AO285" s="551">
        <v>2011403</v>
      </c>
      <c r="AP285" s="551">
        <v>606.25662999999997</v>
      </c>
      <c r="AQ285" s="551">
        <v>142245.9930969</v>
      </c>
      <c r="AR285" s="551">
        <v>5.8808999999999996</v>
      </c>
    </row>
    <row r="286" spans="39:44" x14ac:dyDescent="0.3">
      <c r="AM286" s="550">
        <f t="shared" ca="1" si="57"/>
        <v>45669</v>
      </c>
      <c r="AN286" s="551">
        <v>235</v>
      </c>
      <c r="AO286" s="551">
        <v>3264946</v>
      </c>
      <c r="AP286" s="551">
        <v>606.25662999999997</v>
      </c>
      <c r="AQ286" s="551">
        <v>142470.30804999999</v>
      </c>
      <c r="AR286" s="551">
        <v>5.8902000000000001</v>
      </c>
    </row>
    <row r="287" spans="39:44" x14ac:dyDescent="0.3">
      <c r="AM287" s="550">
        <f t="shared" ca="1" si="57"/>
        <v>45668</v>
      </c>
      <c r="AN287" s="551">
        <v>236.99</v>
      </c>
      <c r="AO287" s="551">
        <v>4196902</v>
      </c>
      <c r="AP287" s="551">
        <v>606.25662999999997</v>
      </c>
      <c r="AQ287" s="551">
        <v>143676.75874369999</v>
      </c>
      <c r="AR287" s="551">
        <v>5.9401000000000002</v>
      </c>
    </row>
    <row r="288" spans="39:44" x14ac:dyDescent="0.3">
      <c r="AM288" s="550">
        <f t="shared" ca="1" si="57"/>
        <v>45667</v>
      </c>
      <c r="AN288" s="551">
        <v>240.78</v>
      </c>
      <c r="AO288" s="551">
        <v>3100001</v>
      </c>
      <c r="AP288" s="551">
        <v>606.25662999999997</v>
      </c>
      <c r="AQ288" s="551">
        <v>145974.4713714</v>
      </c>
      <c r="AR288" s="551">
        <v>6.0350999999999999</v>
      </c>
    </row>
    <row r="289" spans="39:44" x14ac:dyDescent="0.3">
      <c r="AM289" s="550">
        <f t="shared" ca="1" si="57"/>
        <v>45666</v>
      </c>
      <c r="AN289" s="551">
        <v>244.66</v>
      </c>
      <c r="AO289" s="551">
        <v>1484850</v>
      </c>
      <c r="AP289" s="551">
        <v>606.25662999999997</v>
      </c>
      <c r="AQ289" s="551">
        <v>148326.7470958</v>
      </c>
      <c r="AR289" s="551">
        <v>6.1322999999999999</v>
      </c>
    </row>
    <row r="290" spans="39:44" x14ac:dyDescent="0.3">
      <c r="AM290" s="550">
        <f t="shared" ca="1" si="57"/>
        <v>45665</v>
      </c>
      <c r="AN290" s="551">
        <v>244.66</v>
      </c>
      <c r="AO290" s="551">
        <v>1484850</v>
      </c>
      <c r="AP290" s="551">
        <v>606.25662999999997</v>
      </c>
      <c r="AQ290" s="551">
        <v>148326.7470958</v>
      </c>
      <c r="AR290" s="551">
        <v>6.1322999999999999</v>
      </c>
    </row>
    <row r="291" spans="39:44" x14ac:dyDescent="0.3">
      <c r="AM291" s="550">
        <f t="shared" ca="1" si="57"/>
        <v>45664</v>
      </c>
      <c r="AN291" s="551">
        <v>244.66</v>
      </c>
      <c r="AO291" s="551">
        <v>1484850</v>
      </c>
      <c r="AP291" s="551">
        <v>606.25662999999997</v>
      </c>
      <c r="AQ291" s="551">
        <v>148326.7470958</v>
      </c>
      <c r="AR291" s="551">
        <v>6.1322999999999999</v>
      </c>
    </row>
    <row r="292" spans="39:44" x14ac:dyDescent="0.3">
      <c r="AM292" s="550">
        <f t="shared" ca="1" si="57"/>
        <v>45663</v>
      </c>
      <c r="AN292" s="551">
        <v>245.23</v>
      </c>
      <c r="AO292" s="551">
        <v>2040830</v>
      </c>
      <c r="AP292" s="551">
        <v>606.25662999999997</v>
      </c>
      <c r="AQ292" s="551">
        <v>148672.3133749</v>
      </c>
      <c r="AR292" s="551">
        <v>6.1466000000000003</v>
      </c>
    </row>
    <row r="293" spans="39:44" x14ac:dyDescent="0.3">
      <c r="AM293" s="550">
        <f t="shared" ca="1" si="57"/>
        <v>45662</v>
      </c>
      <c r="AN293" s="551">
        <v>245.23</v>
      </c>
      <c r="AO293" s="551">
        <v>2040830</v>
      </c>
      <c r="AP293" s="551">
        <v>606.25662999999997</v>
      </c>
      <c r="AQ293" s="551">
        <v>148672.3133749</v>
      </c>
      <c r="AR293" s="551">
        <v>6.1466000000000003</v>
      </c>
    </row>
    <row r="294" spans="39:44" x14ac:dyDescent="0.3">
      <c r="AM294" s="550">
        <f t="shared" ca="1" si="57"/>
        <v>45661</v>
      </c>
      <c r="AN294" s="551">
        <v>245.63</v>
      </c>
      <c r="AO294" s="551">
        <v>3305335</v>
      </c>
      <c r="AP294" s="551">
        <v>606.25662999999997</v>
      </c>
      <c r="AQ294" s="551">
        <v>148914.81602689999</v>
      </c>
      <c r="AR294" s="551">
        <v>6.1566000000000001</v>
      </c>
    </row>
    <row r="295" spans="39:44" x14ac:dyDescent="0.3">
      <c r="AM295" s="550">
        <f t="shared" ca="1" si="57"/>
        <v>45660</v>
      </c>
      <c r="AN295" s="551">
        <v>249.32</v>
      </c>
      <c r="AO295" s="551">
        <v>4224412</v>
      </c>
      <c r="AP295" s="551">
        <v>606.25662999999997</v>
      </c>
      <c r="AQ295" s="551">
        <v>151151.90299159999</v>
      </c>
      <c r="AR295" s="551">
        <v>6.2491000000000003</v>
      </c>
    </row>
    <row r="296" spans="39:44" x14ac:dyDescent="0.3">
      <c r="AM296" s="550">
        <f t="shared" ca="1" si="57"/>
        <v>45659</v>
      </c>
      <c r="AN296" s="551">
        <v>242.39</v>
      </c>
      <c r="AO296" s="551">
        <v>2664897</v>
      </c>
      <c r="AP296" s="551">
        <v>606.25662999999997</v>
      </c>
      <c r="AQ296" s="551">
        <v>146950.54454569999</v>
      </c>
      <c r="AR296" s="551">
        <v>6.0754000000000001</v>
      </c>
    </row>
    <row r="297" spans="39:44" x14ac:dyDescent="0.3">
      <c r="AM297" s="550">
        <f t="shared" ca="1" si="57"/>
        <v>45658</v>
      </c>
      <c r="AN297" s="551">
        <v>242.39</v>
      </c>
      <c r="AO297" s="551">
        <v>2664897</v>
      </c>
      <c r="AP297" s="551">
        <v>606.25662999999997</v>
      </c>
      <c r="AQ297" s="551">
        <v>146950.54454569999</v>
      </c>
      <c r="AR297" s="551">
        <v>6.0754000000000001</v>
      </c>
    </row>
    <row r="298" spans="39:44" x14ac:dyDescent="0.3">
      <c r="AM298" s="550">
        <f t="shared" ca="1" si="57"/>
        <v>45657</v>
      </c>
      <c r="AN298" s="551">
        <v>242.39</v>
      </c>
      <c r="AO298" s="551">
        <v>2664897</v>
      </c>
      <c r="AP298" s="551">
        <v>606.25662999999997</v>
      </c>
      <c r="AQ298" s="551">
        <v>146950.54454569999</v>
      </c>
      <c r="AR298" s="551">
        <v>6.0754000000000001</v>
      </c>
    </row>
    <row r="299" spans="39:44" x14ac:dyDescent="0.3">
      <c r="AM299" s="550">
        <f t="shared" ca="1" si="57"/>
        <v>45656</v>
      </c>
      <c r="AN299" s="551">
        <v>239.02</v>
      </c>
      <c r="AO299" s="551">
        <v>3490763</v>
      </c>
      <c r="AP299" s="551">
        <v>606.25662999999997</v>
      </c>
      <c r="AQ299" s="551">
        <v>144907.4597026</v>
      </c>
      <c r="AR299" s="551">
        <v>5.9909999999999997</v>
      </c>
    </row>
    <row r="300" spans="39:44" x14ac:dyDescent="0.3">
      <c r="AM300" s="550">
        <f t="shared" ca="1" si="57"/>
        <v>45655</v>
      </c>
      <c r="AN300" s="551">
        <v>233.56</v>
      </c>
      <c r="AO300" s="551">
        <v>1158041</v>
      </c>
      <c r="AP300" s="551">
        <v>606.25662999999997</v>
      </c>
      <c r="AQ300" s="551">
        <v>141597.2985028</v>
      </c>
      <c r="AR300" s="551">
        <v>5.8540999999999999</v>
      </c>
    </row>
    <row r="301" spans="39:44" x14ac:dyDescent="0.3">
      <c r="AM301" s="550">
        <f t="shared" ca="1" si="57"/>
        <v>45654</v>
      </c>
      <c r="AN301" s="551">
        <v>233.29</v>
      </c>
      <c r="AO301" s="551">
        <v>1774322</v>
      </c>
      <c r="AP301" s="551">
        <v>606.25662999999997</v>
      </c>
      <c r="AQ301" s="551">
        <v>141433.60921269999</v>
      </c>
      <c r="AR301" s="551">
        <v>5.8472999999999997</v>
      </c>
    </row>
    <row r="302" spans="39:44" x14ac:dyDescent="0.3">
      <c r="AM302" s="550">
        <f t="shared" ca="1" si="57"/>
        <v>45653</v>
      </c>
      <c r="AN302" s="551">
        <v>234.41</v>
      </c>
      <c r="AO302" s="551">
        <v>1401392</v>
      </c>
      <c r="AP302" s="551">
        <v>606.25662999999997</v>
      </c>
      <c r="AQ302" s="551">
        <v>142112.61663829998</v>
      </c>
      <c r="AR302" s="551">
        <v>5.8754</v>
      </c>
    </row>
    <row r="303" spans="39:44" x14ac:dyDescent="0.3">
      <c r="AM303" s="550">
        <f t="shared" ca="1" si="57"/>
        <v>45652</v>
      </c>
      <c r="AN303" s="551">
        <v>235.57</v>
      </c>
      <c r="AO303" s="551">
        <v>2068472</v>
      </c>
      <c r="AP303" s="551">
        <v>606.25662999999997</v>
      </c>
      <c r="AQ303" s="551">
        <v>142815.87432909998</v>
      </c>
      <c r="AR303" s="551">
        <v>5.9044999999999996</v>
      </c>
    </row>
    <row r="304" spans="39:44" x14ac:dyDescent="0.3">
      <c r="AM304" s="550">
        <f t="shared" ca="1" si="57"/>
        <v>45651</v>
      </c>
      <c r="AN304" s="551">
        <v>235.57</v>
      </c>
      <c r="AO304" s="551">
        <v>2068472</v>
      </c>
      <c r="AP304" s="551">
        <v>606.25662999999997</v>
      </c>
      <c r="AQ304" s="551">
        <v>142815.87432909998</v>
      </c>
      <c r="AR304" s="551">
        <v>5.9044999999999996</v>
      </c>
    </row>
    <row r="305" spans="39:44" x14ac:dyDescent="0.3">
      <c r="AM305" s="550">
        <f t="shared" ca="1" si="57"/>
        <v>45650</v>
      </c>
      <c r="AN305" s="551">
        <v>235.57</v>
      </c>
      <c r="AO305" s="551">
        <v>2068472</v>
      </c>
      <c r="AP305" s="551">
        <v>606.25662999999997</v>
      </c>
      <c r="AQ305" s="551">
        <v>142815.87432909998</v>
      </c>
      <c r="AR305" s="551">
        <v>5.9044999999999996</v>
      </c>
    </row>
    <row r="306" spans="39:44" x14ac:dyDescent="0.3">
      <c r="AM306" s="550">
        <f t="shared" ca="1" si="57"/>
        <v>45649</v>
      </c>
      <c r="AN306" s="551">
        <v>235.58</v>
      </c>
      <c r="AO306" s="551">
        <v>2766157</v>
      </c>
      <c r="AP306" s="551">
        <v>606.25662999999997</v>
      </c>
      <c r="AQ306" s="551">
        <v>142821.93689539999</v>
      </c>
      <c r="AR306" s="551">
        <v>5.9047000000000001</v>
      </c>
    </row>
    <row r="307" spans="39:44" x14ac:dyDescent="0.3">
      <c r="AM307" s="550">
        <f t="shared" ca="1" si="57"/>
        <v>45648</v>
      </c>
      <c r="AN307" s="551">
        <v>240.41</v>
      </c>
      <c r="AO307" s="551">
        <v>2564021</v>
      </c>
      <c r="AP307" s="551">
        <v>606.25662999999997</v>
      </c>
      <c r="AQ307" s="551">
        <v>145750.1564183</v>
      </c>
      <c r="AR307" s="551">
        <v>6.0258000000000003</v>
      </c>
    </row>
    <row r="308" spans="39:44" x14ac:dyDescent="0.3">
      <c r="AM308" s="550">
        <f t="shared" ca="1" si="57"/>
        <v>45647</v>
      </c>
      <c r="AN308" s="551">
        <v>238.91</v>
      </c>
      <c r="AO308" s="551">
        <v>2362867</v>
      </c>
      <c r="AP308" s="551">
        <v>606.25662999999997</v>
      </c>
      <c r="AQ308" s="551">
        <v>144840.7714733</v>
      </c>
      <c r="AR308" s="551">
        <v>5.9882</v>
      </c>
    </row>
    <row r="309" spans="39:44" x14ac:dyDescent="0.3">
      <c r="AM309" s="550">
        <f t="shared" ca="1" si="57"/>
        <v>45646</v>
      </c>
      <c r="AN309" s="551">
        <v>241.95</v>
      </c>
      <c r="AO309" s="551">
        <v>3299153</v>
      </c>
      <c r="AP309" s="551">
        <v>606.25662999999997</v>
      </c>
      <c r="AQ309" s="551">
        <v>146683.79162849998</v>
      </c>
      <c r="AR309" s="551">
        <v>6.0644</v>
      </c>
    </row>
    <row r="310" spans="39:44" x14ac:dyDescent="0.3">
      <c r="AM310" s="550">
        <f t="shared" ca="1" si="57"/>
        <v>45645</v>
      </c>
      <c r="AN310" s="551">
        <v>241.49</v>
      </c>
      <c r="AO310" s="551">
        <v>2209258</v>
      </c>
      <c r="AP310" s="551">
        <v>606.25662999999997</v>
      </c>
      <c r="AQ310" s="551">
        <v>146404.91357870001</v>
      </c>
      <c r="AR310" s="551">
        <v>6.0529000000000002</v>
      </c>
    </row>
    <row r="311" spans="39:44" x14ac:dyDescent="0.3">
      <c r="AM311" s="550">
        <f t="shared" ca="1" si="57"/>
        <v>45644</v>
      </c>
      <c r="AN311" s="551">
        <v>241.49</v>
      </c>
      <c r="AO311" s="551">
        <v>2209258</v>
      </c>
      <c r="AP311" s="551">
        <v>606.25662999999997</v>
      </c>
      <c r="AQ311" s="551">
        <v>146404.91357870001</v>
      </c>
      <c r="AR311" s="551">
        <v>6.0529000000000002</v>
      </c>
    </row>
    <row r="312" spans="39:44" x14ac:dyDescent="0.3">
      <c r="AM312" s="550">
        <f t="shared" ca="1" si="57"/>
        <v>45643</v>
      </c>
      <c r="AN312" s="551">
        <v>241.49</v>
      </c>
      <c r="AO312" s="551">
        <v>2209258</v>
      </c>
      <c r="AP312" s="551">
        <v>606.25662999999997</v>
      </c>
      <c r="AQ312" s="551">
        <v>146404.91357870001</v>
      </c>
      <c r="AR312" s="551">
        <v>6.0529000000000002</v>
      </c>
    </row>
    <row r="313" spans="39:44" x14ac:dyDescent="0.3">
      <c r="AM313" s="550">
        <f t="shared" ca="1" si="57"/>
        <v>45642</v>
      </c>
      <c r="AN313" s="551">
        <v>242.56</v>
      </c>
      <c r="AO313" s="551">
        <v>2921316</v>
      </c>
      <c r="AP313" s="551">
        <v>606.25662999999997</v>
      </c>
      <c r="AQ313" s="551">
        <v>147053.60817279998</v>
      </c>
      <c r="AR313" s="551">
        <v>6.0796999999999999</v>
      </c>
    </row>
    <row r="314" spans="39:44" x14ac:dyDescent="0.3">
      <c r="AM314" s="550">
        <f t="shared" ca="1" si="57"/>
        <v>45641</v>
      </c>
      <c r="AN314" s="551">
        <v>248.49</v>
      </c>
      <c r="AO314" s="551">
        <v>5318739</v>
      </c>
      <c r="AP314" s="551">
        <v>606.25662999999997</v>
      </c>
      <c r="AQ314" s="551">
        <v>150648.70998869999</v>
      </c>
      <c r="AR314" s="551">
        <v>6.2282999999999999</v>
      </c>
    </row>
    <row r="315" spans="39:44" x14ac:dyDescent="0.3">
      <c r="AM315" s="550">
        <f t="shared" ca="1" si="57"/>
        <v>45640</v>
      </c>
      <c r="AN315" s="551">
        <v>233.87</v>
      </c>
      <c r="AO315" s="551">
        <v>1483661</v>
      </c>
      <c r="AP315" s="551">
        <v>606.25662999999997</v>
      </c>
      <c r="AQ315" s="551">
        <v>141785.23805809999</v>
      </c>
      <c r="AR315" s="551">
        <v>5.8619000000000003</v>
      </c>
    </row>
    <row r="316" spans="39:44" x14ac:dyDescent="0.3">
      <c r="AM316" s="550">
        <f t="shared" ca="1" si="57"/>
        <v>45639</v>
      </c>
      <c r="AN316" s="551">
        <v>229.91</v>
      </c>
      <c r="AO316" s="551">
        <v>2195620</v>
      </c>
      <c r="AP316" s="551">
        <v>606.25662999999997</v>
      </c>
      <c r="AQ316" s="551">
        <v>139384.46180329999</v>
      </c>
      <c r="AR316" s="551">
        <v>5.7625999999999999</v>
      </c>
    </row>
    <row r="317" spans="39:44" x14ac:dyDescent="0.3">
      <c r="AM317" s="550">
        <f t="shared" ca="1" si="57"/>
        <v>45638</v>
      </c>
      <c r="AN317" s="551">
        <v>232.69</v>
      </c>
      <c r="AO317" s="551">
        <v>2653306</v>
      </c>
      <c r="AP317" s="551">
        <v>606.25662999999997</v>
      </c>
      <c r="AQ317" s="551">
        <v>141069.85523469999</v>
      </c>
      <c r="AR317" s="551">
        <v>5.8323</v>
      </c>
    </row>
    <row r="318" spans="39:44" x14ac:dyDescent="0.3">
      <c r="AM318" s="550">
        <f t="shared" ca="1" si="57"/>
        <v>45637</v>
      </c>
      <c r="AN318" s="551">
        <v>232.69</v>
      </c>
      <c r="AO318" s="551">
        <v>2653306</v>
      </c>
      <c r="AP318" s="551">
        <v>606.25662999999997</v>
      </c>
      <c r="AQ318" s="551">
        <v>141069.85523469999</v>
      </c>
      <c r="AR318" s="551">
        <v>5.8323</v>
      </c>
    </row>
    <row r="319" spans="39:44" x14ac:dyDescent="0.3">
      <c r="AM319" s="550">
        <f t="shared" ca="1" si="57"/>
        <v>45636</v>
      </c>
      <c r="AN319" s="551">
        <v>232.69</v>
      </c>
      <c r="AO319" s="551">
        <v>2653306</v>
      </c>
      <c r="AP319" s="551">
        <v>606.25662999999997</v>
      </c>
      <c r="AQ319" s="551">
        <v>141069.85523469999</v>
      </c>
      <c r="AR319" s="551">
        <v>5.8323</v>
      </c>
    </row>
    <row r="320" spans="39:44" x14ac:dyDescent="0.3">
      <c r="AM320" s="550">
        <f t="shared" ca="1" si="57"/>
        <v>45635</v>
      </c>
      <c r="AN320" s="551">
        <v>232.07</v>
      </c>
      <c r="AO320" s="551">
        <v>2594786</v>
      </c>
      <c r="AP320" s="551">
        <v>606.25662999999997</v>
      </c>
      <c r="AQ320" s="551">
        <v>140693.97612409998</v>
      </c>
      <c r="AR320" s="551">
        <v>5.8167999999999997</v>
      </c>
    </row>
    <row r="321" spans="39:44" x14ac:dyDescent="0.3">
      <c r="AM321" s="550">
        <f t="shared" ca="1" si="57"/>
        <v>45634</v>
      </c>
      <c r="AN321" s="551">
        <v>232.17</v>
      </c>
      <c r="AO321" s="551">
        <v>3079425</v>
      </c>
      <c r="AP321" s="551">
        <v>606.25662999999997</v>
      </c>
      <c r="AQ321" s="551">
        <v>140754.60178709999</v>
      </c>
      <c r="AR321" s="551">
        <v>5.8193000000000001</v>
      </c>
    </row>
    <row r="322" spans="39:44" x14ac:dyDescent="0.3">
      <c r="AM322" s="550">
        <f t="shared" ca="1" si="57"/>
        <v>45633</v>
      </c>
      <c r="AN322" s="551">
        <v>231.99</v>
      </c>
      <c r="AO322" s="551">
        <v>3682097</v>
      </c>
      <c r="AP322" s="551">
        <v>606.25662999999997</v>
      </c>
      <c r="AQ322" s="551">
        <v>140645.47559369999</v>
      </c>
      <c r="AR322" s="551">
        <v>5.8148</v>
      </c>
    </row>
    <row r="323" spans="39:44" x14ac:dyDescent="0.3">
      <c r="AM323" s="550">
        <f t="shared" ca="1" si="57"/>
        <v>45632</v>
      </c>
      <c r="AN323" s="551">
        <v>231.98</v>
      </c>
      <c r="AO323" s="551">
        <v>2492981</v>
      </c>
      <c r="AP323" s="551">
        <v>606.25662999999997</v>
      </c>
      <c r="AQ323" s="551">
        <v>140639.41302739998</v>
      </c>
      <c r="AR323" s="551">
        <v>5.8144999999999998</v>
      </c>
    </row>
    <row r="324" spans="39:44" x14ac:dyDescent="0.3">
      <c r="AM324" s="550">
        <f t="shared" ca="1" si="57"/>
        <v>45631</v>
      </c>
      <c r="AN324" s="551">
        <v>230.3</v>
      </c>
      <c r="AO324" s="551">
        <v>2952224</v>
      </c>
      <c r="AP324" s="551">
        <v>606.25662999999997</v>
      </c>
      <c r="AQ324" s="551">
        <v>139620.901889</v>
      </c>
      <c r="AR324" s="551">
        <v>5.7724000000000002</v>
      </c>
    </row>
    <row r="325" spans="39:44" x14ac:dyDescent="0.3">
      <c r="AM325" s="550">
        <f t="shared" ref="AM325:AM388" ca="1" si="58">AM324-1</f>
        <v>45630</v>
      </c>
      <c r="AN325" s="551">
        <v>230.3</v>
      </c>
      <c r="AO325" s="551">
        <v>2952224</v>
      </c>
      <c r="AP325" s="551">
        <v>606.25662999999997</v>
      </c>
      <c r="AQ325" s="551">
        <v>139620.901889</v>
      </c>
      <c r="AR325" s="551">
        <v>5.7724000000000002</v>
      </c>
    </row>
    <row r="326" spans="39:44" x14ac:dyDescent="0.3">
      <c r="AM326" s="550">
        <f t="shared" ca="1" si="58"/>
        <v>45629</v>
      </c>
      <c r="AN326" s="551">
        <v>230.3</v>
      </c>
      <c r="AO326" s="551">
        <v>2952224</v>
      </c>
      <c r="AP326" s="551">
        <v>606.25662999999997</v>
      </c>
      <c r="AQ326" s="551">
        <v>139620.901889</v>
      </c>
      <c r="AR326" s="551">
        <v>5.7724000000000002</v>
      </c>
    </row>
    <row r="327" spans="39:44" x14ac:dyDescent="0.3">
      <c r="AM327" s="550">
        <f t="shared" ca="1" si="58"/>
        <v>45628</v>
      </c>
      <c r="AN327" s="551">
        <v>230.75</v>
      </c>
      <c r="AO327" s="551">
        <v>5181142</v>
      </c>
      <c r="AP327" s="551">
        <v>606.25662999999997</v>
      </c>
      <c r="AQ327" s="551">
        <v>139893.71737249999</v>
      </c>
      <c r="AR327" s="551">
        <v>5.7836999999999996</v>
      </c>
    </row>
    <row r="328" spans="39:44" x14ac:dyDescent="0.3">
      <c r="AM328" s="550">
        <f t="shared" ca="1" si="58"/>
        <v>45627</v>
      </c>
      <c r="AN328" s="551">
        <v>241.35</v>
      </c>
      <c r="AO328" s="551">
        <v>2156278</v>
      </c>
      <c r="AP328" s="551">
        <v>609.19763</v>
      </c>
      <c r="AQ328" s="551">
        <v>147029.8480005</v>
      </c>
      <c r="AR328" s="551">
        <v>6.0494000000000003</v>
      </c>
    </row>
    <row r="329" spans="39:44" x14ac:dyDescent="0.3">
      <c r="AM329" s="550">
        <f t="shared" ca="1" si="58"/>
        <v>45626</v>
      </c>
      <c r="AN329" s="551">
        <v>241.45</v>
      </c>
      <c r="AO329" s="551">
        <v>1818425</v>
      </c>
      <c r="AP329" s="551">
        <v>609.19763</v>
      </c>
      <c r="AQ329" s="551">
        <v>147090.76776349999</v>
      </c>
      <c r="AR329" s="551">
        <v>6.0518999999999998</v>
      </c>
    </row>
    <row r="330" spans="39:44" x14ac:dyDescent="0.3">
      <c r="AM330" s="550">
        <f t="shared" ca="1" si="58"/>
        <v>45625</v>
      </c>
      <c r="AN330" s="551">
        <v>240.35</v>
      </c>
      <c r="AO330" s="551">
        <v>1547906</v>
      </c>
      <c r="AP330" s="551">
        <v>609.19763</v>
      </c>
      <c r="AQ330" s="551">
        <v>146420.65037049999</v>
      </c>
      <c r="AR330" s="551">
        <v>6.0243000000000002</v>
      </c>
    </row>
    <row r="331" spans="39:44" x14ac:dyDescent="0.3">
      <c r="AM331" s="550">
        <f t="shared" ca="1" si="58"/>
        <v>45624</v>
      </c>
      <c r="AN331" s="551">
        <v>244.1</v>
      </c>
      <c r="AO331" s="551">
        <v>2866129</v>
      </c>
      <c r="AP331" s="551">
        <v>609.19763</v>
      </c>
      <c r="AQ331" s="551">
        <v>148705.14148299998</v>
      </c>
      <c r="AR331" s="551">
        <v>6.1182999999999996</v>
      </c>
    </row>
    <row r="332" spans="39:44" x14ac:dyDescent="0.3">
      <c r="AM332" s="550">
        <f t="shared" ca="1" si="58"/>
        <v>45623</v>
      </c>
      <c r="AN332" s="551">
        <v>244.1</v>
      </c>
      <c r="AO332" s="551">
        <v>2866129</v>
      </c>
      <c r="AP332" s="551">
        <v>609.19763</v>
      </c>
      <c r="AQ332" s="551">
        <v>148705.14148299998</v>
      </c>
      <c r="AR332" s="551">
        <v>6.1182999999999996</v>
      </c>
    </row>
    <row r="333" spans="39:44" x14ac:dyDescent="0.3">
      <c r="AM333" s="550">
        <f t="shared" ca="1" si="58"/>
        <v>45622</v>
      </c>
      <c r="AN333" s="551">
        <v>244.1</v>
      </c>
      <c r="AO333" s="551">
        <v>2866129</v>
      </c>
      <c r="AP333" s="551">
        <v>609.19763</v>
      </c>
      <c r="AQ333" s="551">
        <v>148705.14148299998</v>
      </c>
      <c r="AR333" s="551">
        <v>6.1182999999999996</v>
      </c>
    </row>
    <row r="334" spans="39:44" x14ac:dyDescent="0.3">
      <c r="AM334" s="550">
        <f t="shared" ca="1" si="58"/>
        <v>45621</v>
      </c>
      <c r="AN334" s="551">
        <v>241.72</v>
      </c>
      <c r="AO334" s="551">
        <v>2177924</v>
      </c>
      <c r="AP334" s="551">
        <v>609.19763</v>
      </c>
      <c r="AQ334" s="551">
        <v>147255.2511236</v>
      </c>
      <c r="AR334" s="551">
        <v>6.0586000000000002</v>
      </c>
    </row>
    <row r="335" spans="39:44" x14ac:dyDescent="0.3">
      <c r="AM335" s="550">
        <f t="shared" ca="1" si="58"/>
        <v>45620</v>
      </c>
      <c r="AN335" s="551">
        <v>248.1</v>
      </c>
      <c r="AO335" s="551">
        <v>1500133</v>
      </c>
      <c r="AP335" s="551">
        <v>609.19763</v>
      </c>
      <c r="AQ335" s="551">
        <v>151141.93200299999</v>
      </c>
      <c r="AR335" s="551">
        <v>6.2186000000000003</v>
      </c>
    </row>
    <row r="336" spans="39:44" x14ac:dyDescent="0.3">
      <c r="AM336" s="550">
        <f t="shared" ca="1" si="58"/>
        <v>45619</v>
      </c>
      <c r="AN336" s="551">
        <v>245.79</v>
      </c>
      <c r="AO336" s="551">
        <v>1858037</v>
      </c>
      <c r="AP336" s="551">
        <v>609.19763</v>
      </c>
      <c r="AQ336" s="551">
        <v>149734.6854777</v>
      </c>
      <c r="AR336" s="551">
        <v>6.1607000000000003</v>
      </c>
    </row>
    <row r="337" spans="39:44" x14ac:dyDescent="0.3">
      <c r="AM337" s="550">
        <f t="shared" ca="1" si="58"/>
        <v>45618</v>
      </c>
      <c r="AN337" s="551">
        <v>245.27</v>
      </c>
      <c r="AO337" s="551">
        <v>1735882</v>
      </c>
      <c r="AP337" s="551">
        <v>609.19763</v>
      </c>
      <c r="AQ337" s="551">
        <v>149417.9027101</v>
      </c>
      <c r="AR337" s="551">
        <v>6.1475999999999997</v>
      </c>
    </row>
    <row r="338" spans="39:44" x14ac:dyDescent="0.3">
      <c r="AM338" s="550">
        <f t="shared" ca="1" si="58"/>
        <v>45617</v>
      </c>
      <c r="AN338" s="551">
        <v>242.31</v>
      </c>
      <c r="AO338" s="551">
        <v>1663835</v>
      </c>
      <c r="AP338" s="551">
        <v>609.19763</v>
      </c>
      <c r="AQ338" s="551">
        <v>147614.67772529999</v>
      </c>
      <c r="AR338" s="551">
        <v>6.0734000000000004</v>
      </c>
    </row>
    <row r="339" spans="39:44" x14ac:dyDescent="0.3">
      <c r="AM339" s="550">
        <f t="shared" ca="1" si="58"/>
        <v>45616</v>
      </c>
      <c r="AN339" s="551">
        <v>242.31</v>
      </c>
      <c r="AO339" s="551">
        <v>1663835</v>
      </c>
      <c r="AP339" s="551">
        <v>609.19763</v>
      </c>
      <c r="AQ339" s="551">
        <v>147614.67772529999</v>
      </c>
      <c r="AR339" s="551">
        <v>6.0734000000000004</v>
      </c>
    </row>
    <row r="340" spans="39:44" x14ac:dyDescent="0.3">
      <c r="AM340" s="550">
        <f t="shared" ca="1" si="58"/>
        <v>45615</v>
      </c>
      <c r="AN340" s="551">
        <v>242.31</v>
      </c>
      <c r="AO340" s="551">
        <v>1663835</v>
      </c>
      <c r="AP340" s="551">
        <v>609.19763</v>
      </c>
      <c r="AQ340" s="551">
        <v>147614.67772529999</v>
      </c>
      <c r="AR340" s="551">
        <v>6.0734000000000004</v>
      </c>
    </row>
    <row r="341" spans="39:44" x14ac:dyDescent="0.3">
      <c r="AM341" s="550">
        <f t="shared" ca="1" si="58"/>
        <v>45614</v>
      </c>
      <c r="AN341" s="551">
        <v>238.82</v>
      </c>
      <c r="AO341" s="551">
        <v>1900711</v>
      </c>
      <c r="AP341" s="551">
        <v>609.19763</v>
      </c>
      <c r="AQ341" s="551">
        <v>145488.57799659998</v>
      </c>
      <c r="AR341" s="551">
        <v>5.9859999999999998</v>
      </c>
    </row>
    <row r="342" spans="39:44" x14ac:dyDescent="0.3">
      <c r="AM342" s="550">
        <f t="shared" ca="1" si="58"/>
        <v>45613</v>
      </c>
      <c r="AN342" s="551">
        <v>237.68</v>
      </c>
      <c r="AO342" s="551">
        <v>2046736</v>
      </c>
      <c r="AP342" s="551">
        <v>609.19763</v>
      </c>
      <c r="AQ342" s="551">
        <v>144794.0926984</v>
      </c>
      <c r="AR342" s="551">
        <v>5.9573999999999998</v>
      </c>
    </row>
    <row r="343" spans="39:44" x14ac:dyDescent="0.3">
      <c r="AM343" s="550">
        <f t="shared" ca="1" si="58"/>
        <v>45612</v>
      </c>
      <c r="AN343" s="551">
        <v>237.56</v>
      </c>
      <c r="AO343" s="551">
        <v>1783213</v>
      </c>
      <c r="AP343" s="551">
        <v>609.19763</v>
      </c>
      <c r="AQ343" s="551">
        <v>144720.98898280002</v>
      </c>
      <c r="AR343" s="551">
        <v>5.9543999999999997</v>
      </c>
    </row>
    <row r="344" spans="39:44" x14ac:dyDescent="0.3">
      <c r="AM344" s="550">
        <f t="shared" ca="1" si="58"/>
        <v>45611</v>
      </c>
      <c r="AN344" s="551">
        <v>236.87</v>
      </c>
      <c r="AO344" s="551">
        <v>1684066</v>
      </c>
      <c r="AP344" s="551">
        <v>609.19763</v>
      </c>
      <c r="AQ344" s="551">
        <v>144300.64261810001</v>
      </c>
      <c r="AR344" s="551">
        <v>5.9371</v>
      </c>
    </row>
    <row r="345" spans="39:44" x14ac:dyDescent="0.3">
      <c r="AM345" s="550">
        <f t="shared" ca="1" si="58"/>
        <v>45610</v>
      </c>
      <c r="AN345" s="551">
        <v>238.86</v>
      </c>
      <c r="AO345" s="551">
        <v>2137949</v>
      </c>
      <c r="AP345" s="551">
        <v>609.19763</v>
      </c>
      <c r="AQ345" s="551">
        <v>145512.94590180001</v>
      </c>
      <c r="AR345" s="551">
        <v>5.9870000000000001</v>
      </c>
    </row>
    <row r="346" spans="39:44" x14ac:dyDescent="0.3">
      <c r="AM346" s="550">
        <f t="shared" ca="1" si="58"/>
        <v>45609</v>
      </c>
      <c r="AN346" s="551">
        <v>238.86</v>
      </c>
      <c r="AO346" s="551">
        <v>2137949</v>
      </c>
      <c r="AP346" s="551">
        <v>609.19763</v>
      </c>
      <c r="AQ346" s="551">
        <v>145512.94590180001</v>
      </c>
      <c r="AR346" s="551">
        <v>5.9870000000000001</v>
      </c>
    </row>
    <row r="347" spans="39:44" x14ac:dyDescent="0.3">
      <c r="AM347" s="550">
        <f t="shared" ca="1" si="58"/>
        <v>45608</v>
      </c>
      <c r="AN347" s="551">
        <v>238.86</v>
      </c>
      <c r="AO347" s="551">
        <v>2137949</v>
      </c>
      <c r="AP347" s="551">
        <v>609.19763</v>
      </c>
      <c r="AQ347" s="551">
        <v>145512.94590180001</v>
      </c>
      <c r="AR347" s="551">
        <v>5.9870000000000001</v>
      </c>
    </row>
    <row r="348" spans="39:44" x14ac:dyDescent="0.3">
      <c r="AM348" s="550">
        <f t="shared" ca="1" si="58"/>
        <v>45607</v>
      </c>
      <c r="AN348" s="551">
        <v>240.63</v>
      </c>
      <c r="AO348" s="551">
        <v>1990156</v>
      </c>
      <c r="AP348" s="551">
        <v>609.19763</v>
      </c>
      <c r="AQ348" s="551">
        <v>146591.2257069</v>
      </c>
      <c r="AR348" s="551">
        <v>6.0312999999999999</v>
      </c>
    </row>
    <row r="349" spans="39:44" x14ac:dyDescent="0.3">
      <c r="AM349" s="550">
        <f t="shared" ca="1" si="58"/>
        <v>45606</v>
      </c>
      <c r="AN349" s="551">
        <v>243.35</v>
      </c>
      <c r="AO349" s="551">
        <v>2568262</v>
      </c>
      <c r="AP349" s="551">
        <v>609.19763</v>
      </c>
      <c r="AQ349" s="551">
        <v>148248.24326049999</v>
      </c>
      <c r="AR349" s="551">
        <v>6.0994999999999999</v>
      </c>
    </row>
    <row r="350" spans="39:44" x14ac:dyDescent="0.3">
      <c r="AM350" s="550">
        <f t="shared" ca="1" si="58"/>
        <v>45605</v>
      </c>
      <c r="AN350" s="551">
        <v>245.55</v>
      </c>
      <c r="AO350" s="551">
        <v>1925000</v>
      </c>
      <c r="AP350" s="551">
        <v>609.19763</v>
      </c>
      <c r="AQ350" s="551">
        <v>149588.47804650001</v>
      </c>
      <c r="AR350" s="551">
        <v>6.1546000000000003</v>
      </c>
    </row>
    <row r="351" spans="39:44" x14ac:dyDescent="0.3">
      <c r="AM351" s="550">
        <f t="shared" ca="1" si="58"/>
        <v>45604</v>
      </c>
      <c r="AN351" s="551">
        <v>246.48</v>
      </c>
      <c r="AO351" s="551">
        <v>2923206</v>
      </c>
      <c r="AP351" s="551">
        <v>609.19763</v>
      </c>
      <c r="AQ351" s="551">
        <v>150155.0318424</v>
      </c>
      <c r="AR351" s="551">
        <v>6.1779000000000002</v>
      </c>
    </row>
    <row r="352" spans="39:44" x14ac:dyDescent="0.3">
      <c r="AM352" s="550">
        <f t="shared" ca="1" si="58"/>
        <v>45603</v>
      </c>
      <c r="AN352" s="551">
        <v>244.22</v>
      </c>
      <c r="AO352" s="551">
        <v>1954544</v>
      </c>
      <c r="AP352" s="551">
        <v>609.19763</v>
      </c>
      <c r="AQ352" s="551">
        <v>148778.24519859999</v>
      </c>
      <c r="AR352" s="551">
        <v>6.1622000000000003</v>
      </c>
    </row>
    <row r="353" spans="39:44" x14ac:dyDescent="0.3">
      <c r="AM353" s="550">
        <f t="shared" ca="1" si="58"/>
        <v>45602</v>
      </c>
      <c r="AN353" s="551">
        <v>244.22</v>
      </c>
      <c r="AO353" s="551">
        <v>1954544</v>
      </c>
      <c r="AP353" s="551">
        <v>609.19763</v>
      </c>
      <c r="AQ353" s="551">
        <v>148778.24519859999</v>
      </c>
      <c r="AR353" s="551">
        <v>6.1622000000000003</v>
      </c>
    </row>
    <row r="354" spans="39:44" x14ac:dyDescent="0.3">
      <c r="AM354" s="550">
        <f t="shared" ca="1" si="58"/>
        <v>45601</v>
      </c>
      <c r="AN354" s="551">
        <v>244.22</v>
      </c>
      <c r="AO354" s="551">
        <v>1954544</v>
      </c>
      <c r="AP354" s="551">
        <v>609.19763</v>
      </c>
      <c r="AQ354" s="551">
        <v>148778.24519859999</v>
      </c>
      <c r="AR354" s="551">
        <v>6.1622000000000003</v>
      </c>
    </row>
    <row r="355" spans="39:44" x14ac:dyDescent="0.3">
      <c r="AM355" s="550">
        <f t="shared" ca="1" si="58"/>
        <v>45600</v>
      </c>
      <c r="AN355" s="551">
        <v>243.23</v>
      </c>
      <c r="AO355" s="551">
        <v>2398738</v>
      </c>
      <c r="AP355" s="551">
        <v>609.19763</v>
      </c>
      <c r="AQ355" s="551">
        <v>148175.13954489998</v>
      </c>
      <c r="AR355" s="551">
        <v>6.1372</v>
      </c>
    </row>
    <row r="356" spans="39:44" x14ac:dyDescent="0.3">
      <c r="AM356" s="550">
        <f t="shared" ca="1" si="58"/>
        <v>45599</v>
      </c>
      <c r="AN356" s="551">
        <v>245.5</v>
      </c>
      <c r="AO356" s="551">
        <v>2347258</v>
      </c>
      <c r="AP356" s="551">
        <v>609.19763</v>
      </c>
      <c r="AQ356" s="551">
        <v>149558.01816499999</v>
      </c>
      <c r="AR356" s="551">
        <v>6.1944999999999997</v>
      </c>
    </row>
    <row r="357" spans="39:44" x14ac:dyDescent="0.3">
      <c r="AM357" s="550">
        <f t="shared" ca="1" si="58"/>
        <v>45598</v>
      </c>
      <c r="AN357" s="551">
        <v>248.96</v>
      </c>
      <c r="AO357" s="551">
        <v>2772711</v>
      </c>
      <c r="AP357" s="551">
        <v>609.19763</v>
      </c>
      <c r="AQ357" s="551">
        <v>151665.8419648</v>
      </c>
      <c r="AR357" s="551">
        <v>6.2817999999999996</v>
      </c>
    </row>
    <row r="358" spans="39:44" x14ac:dyDescent="0.3">
      <c r="AM358" s="550">
        <f t="shared" ca="1" si="58"/>
        <v>45597</v>
      </c>
      <c r="AN358" s="551">
        <v>244</v>
      </c>
      <c r="AO358" s="551">
        <v>2740567</v>
      </c>
      <c r="AP358" s="551">
        <v>609.19763</v>
      </c>
      <c r="AQ358" s="551">
        <v>148644.22172</v>
      </c>
      <c r="AR358" s="551">
        <v>6.1566000000000001</v>
      </c>
    </row>
    <row r="359" spans="39:44" x14ac:dyDescent="0.3">
      <c r="AM359" s="550">
        <f t="shared" ca="1" si="58"/>
        <v>45596</v>
      </c>
      <c r="AN359" s="551">
        <v>245.39</v>
      </c>
      <c r="AO359" s="551">
        <v>6802799</v>
      </c>
      <c r="AP359" s="551">
        <v>609.19763</v>
      </c>
      <c r="AQ359" s="551">
        <v>149491.0064257</v>
      </c>
      <c r="AR359" s="551">
        <v>6.1917</v>
      </c>
    </row>
    <row r="360" spans="39:44" x14ac:dyDescent="0.3">
      <c r="AM360" s="550">
        <f t="shared" ca="1" si="58"/>
        <v>45595</v>
      </c>
      <c r="AN360" s="551">
        <v>245.39</v>
      </c>
      <c r="AO360" s="551">
        <v>6802799</v>
      </c>
      <c r="AP360" s="551">
        <v>609.19763</v>
      </c>
      <c r="AQ360" s="551">
        <v>149491.0064257</v>
      </c>
      <c r="AR360" s="551">
        <v>6.1917</v>
      </c>
    </row>
    <row r="361" spans="39:44" x14ac:dyDescent="0.3">
      <c r="AM361" s="550">
        <f t="shared" ca="1" si="58"/>
        <v>45594</v>
      </c>
      <c r="AN361" s="551">
        <v>245.39</v>
      </c>
      <c r="AO361" s="551">
        <v>6802799</v>
      </c>
      <c r="AP361" s="551">
        <v>609.19763</v>
      </c>
      <c r="AQ361" s="551">
        <v>149491.0064257</v>
      </c>
      <c r="AR361" s="551">
        <v>6.1917</v>
      </c>
    </row>
    <row r="362" spans="39:44" x14ac:dyDescent="0.3">
      <c r="AM362" s="550">
        <f t="shared" ca="1" si="58"/>
        <v>45593</v>
      </c>
      <c r="AN362" s="551">
        <v>248.44</v>
      </c>
      <c r="AO362" s="551">
        <v>3406678</v>
      </c>
      <c r="AP362" s="551">
        <v>609.19763</v>
      </c>
      <c r="AQ362" s="551">
        <v>151349.0591972</v>
      </c>
      <c r="AR362" s="551">
        <v>6.2686000000000002</v>
      </c>
    </row>
    <row r="363" spans="39:44" x14ac:dyDescent="0.3">
      <c r="AM363" s="550">
        <f t="shared" ca="1" si="58"/>
        <v>45592</v>
      </c>
      <c r="AN363" s="551">
        <v>251.2</v>
      </c>
      <c r="AO363" s="551">
        <v>1568183</v>
      </c>
      <c r="AP363" s="551">
        <v>609.19763</v>
      </c>
      <c r="AQ363" s="551">
        <v>153030.44465600001</v>
      </c>
      <c r="AR363" s="551">
        <v>6.3383000000000003</v>
      </c>
    </row>
    <row r="364" spans="39:44" x14ac:dyDescent="0.3">
      <c r="AM364" s="550">
        <f t="shared" ca="1" si="58"/>
        <v>45591</v>
      </c>
      <c r="AN364" s="551">
        <v>253.55</v>
      </c>
      <c r="AO364" s="551">
        <v>1640445</v>
      </c>
      <c r="AP364" s="551">
        <v>609.19763</v>
      </c>
      <c r="AQ364" s="551">
        <v>154462.0590865</v>
      </c>
      <c r="AR364" s="551">
        <v>6.3975999999999997</v>
      </c>
    </row>
    <row r="365" spans="39:44" x14ac:dyDescent="0.3">
      <c r="AM365" s="550">
        <f t="shared" ca="1" si="58"/>
        <v>45590</v>
      </c>
      <c r="AN365" s="551">
        <v>252.43</v>
      </c>
      <c r="AO365" s="551">
        <v>1651114</v>
      </c>
      <c r="AP365" s="551">
        <v>609.19763</v>
      </c>
      <c r="AQ365" s="551">
        <v>153779.75774090001</v>
      </c>
      <c r="AR365" s="551">
        <v>6.3693</v>
      </c>
    </row>
    <row r="366" spans="39:44" x14ac:dyDescent="0.3">
      <c r="AM366" s="550">
        <f t="shared" ca="1" si="58"/>
        <v>45589</v>
      </c>
      <c r="AN366" s="551">
        <v>249.12</v>
      </c>
      <c r="AO366" s="551">
        <v>2267787</v>
      </c>
      <c r="AP366" s="551">
        <v>609.19763</v>
      </c>
      <c r="AQ366" s="551">
        <v>151763.3135856</v>
      </c>
      <c r="AR366" s="551">
        <v>6.2858000000000001</v>
      </c>
    </row>
    <row r="367" spans="39:44" x14ac:dyDescent="0.3">
      <c r="AM367" s="550">
        <f t="shared" ca="1" si="58"/>
        <v>45588</v>
      </c>
      <c r="AN367" s="551">
        <v>249.12</v>
      </c>
      <c r="AO367" s="551">
        <v>2267787</v>
      </c>
      <c r="AP367" s="551">
        <v>609.19763</v>
      </c>
      <c r="AQ367" s="551">
        <v>151763.3135856</v>
      </c>
      <c r="AR367" s="551">
        <v>6.2858000000000001</v>
      </c>
    </row>
    <row r="368" spans="39:44" x14ac:dyDescent="0.3">
      <c r="AM368" s="550">
        <f t="shared" ca="1" si="58"/>
        <v>45587</v>
      </c>
      <c r="AN368" s="551">
        <v>249.12</v>
      </c>
      <c r="AO368" s="551">
        <v>2267787</v>
      </c>
      <c r="AP368" s="551">
        <v>609.19763</v>
      </c>
      <c r="AQ368" s="551">
        <v>151763.3135856</v>
      </c>
      <c r="AR368" s="551">
        <v>6.2858000000000001</v>
      </c>
    </row>
    <row r="369" spans="39:44" x14ac:dyDescent="0.3">
      <c r="AM369" s="550">
        <f t="shared" ca="1" si="58"/>
        <v>45586</v>
      </c>
      <c r="AN369" s="551">
        <v>248.89</v>
      </c>
      <c r="AO369" s="551">
        <v>1867980</v>
      </c>
      <c r="AP369" s="551">
        <v>609.19763</v>
      </c>
      <c r="AQ369" s="551">
        <v>151623.19813069998</v>
      </c>
      <c r="AR369" s="551">
        <v>6.28</v>
      </c>
    </row>
    <row r="370" spans="39:44" x14ac:dyDescent="0.3">
      <c r="AM370" s="550">
        <f t="shared" ca="1" si="58"/>
        <v>45585</v>
      </c>
      <c r="AN370" s="551">
        <v>247.5</v>
      </c>
      <c r="AO370" s="551">
        <v>2372194</v>
      </c>
      <c r="AP370" s="551">
        <v>609.19763</v>
      </c>
      <c r="AQ370" s="551">
        <v>150776.41342500001</v>
      </c>
      <c r="AR370" s="551">
        <v>6.2449000000000003</v>
      </c>
    </row>
    <row r="371" spans="39:44" x14ac:dyDescent="0.3">
      <c r="AM371" s="550">
        <f t="shared" ca="1" si="58"/>
        <v>45584</v>
      </c>
      <c r="AN371" s="551">
        <v>252.58</v>
      </c>
      <c r="AO371" s="551">
        <v>1694658</v>
      </c>
      <c r="AP371" s="551">
        <v>609.19763</v>
      </c>
      <c r="AQ371" s="551">
        <v>153871.13738540001</v>
      </c>
      <c r="AR371" s="551">
        <v>6.3731</v>
      </c>
    </row>
    <row r="372" spans="39:44" x14ac:dyDescent="0.3">
      <c r="AM372" s="550">
        <f t="shared" ca="1" si="58"/>
        <v>45583</v>
      </c>
      <c r="AN372" s="551">
        <v>251.11</v>
      </c>
      <c r="AO372" s="551">
        <v>2162452</v>
      </c>
      <c r="AP372" s="551">
        <v>609.19763</v>
      </c>
      <c r="AQ372" s="551">
        <v>152975.61686930002</v>
      </c>
      <c r="AR372" s="551">
        <v>6.3360000000000003</v>
      </c>
    </row>
    <row r="373" spans="39:44" x14ac:dyDescent="0.3">
      <c r="AM373" s="550">
        <f t="shared" ca="1" si="58"/>
        <v>45582</v>
      </c>
      <c r="AN373" s="551">
        <v>249.63</v>
      </c>
      <c r="AO373" s="551">
        <v>2406225</v>
      </c>
      <c r="AP373" s="551">
        <v>609.19763</v>
      </c>
      <c r="AQ373" s="551">
        <v>152074.0043769</v>
      </c>
      <c r="AR373" s="551">
        <v>6.2987000000000002</v>
      </c>
    </row>
    <row r="374" spans="39:44" x14ac:dyDescent="0.3">
      <c r="AM374" s="550">
        <f t="shared" ca="1" si="58"/>
        <v>45581</v>
      </c>
      <c r="AN374" s="551">
        <v>249.63</v>
      </c>
      <c r="AO374" s="551">
        <v>2406225</v>
      </c>
      <c r="AP374" s="551">
        <v>609.19763</v>
      </c>
      <c r="AQ374" s="551">
        <v>152074.0043769</v>
      </c>
      <c r="AR374" s="551">
        <v>6.2987000000000002</v>
      </c>
    </row>
    <row r="375" spans="39:44" x14ac:dyDescent="0.3">
      <c r="AM375" s="550">
        <f t="shared" ca="1" si="58"/>
        <v>45580</v>
      </c>
      <c r="AN375" s="551">
        <v>249.63</v>
      </c>
      <c r="AO375" s="551">
        <v>2406225</v>
      </c>
      <c r="AP375" s="551">
        <v>609.19763</v>
      </c>
      <c r="AQ375" s="551">
        <v>152074.0043769</v>
      </c>
      <c r="AR375" s="551">
        <v>6.2987000000000002</v>
      </c>
    </row>
    <row r="376" spans="39:44" x14ac:dyDescent="0.3">
      <c r="AM376" s="550">
        <f t="shared" ca="1" si="58"/>
        <v>45579</v>
      </c>
      <c r="AN376" s="551">
        <v>251.53</v>
      </c>
      <c r="AO376" s="551">
        <v>2562529</v>
      </c>
      <c r="AP376" s="551">
        <v>609.19763</v>
      </c>
      <c r="AQ376" s="551">
        <v>153231.47987390001</v>
      </c>
      <c r="AR376" s="551">
        <v>6.3465999999999996</v>
      </c>
    </row>
    <row r="377" spans="39:44" x14ac:dyDescent="0.3">
      <c r="AM377" s="550">
        <f t="shared" ca="1" si="58"/>
        <v>45578</v>
      </c>
      <c r="AN377" s="551">
        <v>255.7</v>
      </c>
      <c r="AO377" s="551">
        <v>2880270</v>
      </c>
      <c r="AP377" s="551">
        <v>609.19763</v>
      </c>
      <c r="AQ377" s="551">
        <v>155771.83399099999</v>
      </c>
      <c r="AR377" s="551">
        <v>6.4518000000000004</v>
      </c>
    </row>
    <row r="378" spans="39:44" x14ac:dyDescent="0.3">
      <c r="AM378" s="550">
        <f t="shared" ca="1" si="58"/>
        <v>45577</v>
      </c>
      <c r="AN378" s="551">
        <v>255.21</v>
      </c>
      <c r="AO378" s="551">
        <v>2585798</v>
      </c>
      <c r="AP378" s="551">
        <v>609.19763</v>
      </c>
      <c r="AQ378" s="551">
        <v>155473.32715230001</v>
      </c>
      <c r="AR378" s="551">
        <v>6.4394999999999998</v>
      </c>
    </row>
    <row r="379" spans="39:44" x14ac:dyDescent="0.3">
      <c r="AM379" s="550">
        <f t="shared" ca="1" si="58"/>
        <v>45576</v>
      </c>
      <c r="AN379" s="551">
        <v>256.08999999999997</v>
      </c>
      <c r="AO379" s="551">
        <v>2386564</v>
      </c>
      <c r="AP379" s="551">
        <v>609.19763</v>
      </c>
      <c r="AQ379" s="551">
        <v>156009.42106669999</v>
      </c>
      <c r="AR379" s="551">
        <v>6.4617000000000004</v>
      </c>
    </row>
    <row r="380" spans="39:44" x14ac:dyDescent="0.3">
      <c r="AM380" s="550">
        <f t="shared" ca="1" si="58"/>
        <v>45575</v>
      </c>
      <c r="AN380" s="551">
        <v>256.08999999999997</v>
      </c>
      <c r="AO380" s="551">
        <v>2386564</v>
      </c>
      <c r="AP380" s="551">
        <v>609.19763</v>
      </c>
      <c r="AQ380" s="551">
        <v>156009.42106669999</v>
      </c>
      <c r="AR380" s="551">
        <v>6.4617000000000004</v>
      </c>
    </row>
    <row r="381" spans="39:44" x14ac:dyDescent="0.3">
      <c r="AM381" s="550">
        <f t="shared" ca="1" si="58"/>
        <v>45574</v>
      </c>
      <c r="AN381" s="551">
        <v>256.08999999999997</v>
      </c>
      <c r="AO381" s="551">
        <v>2386564</v>
      </c>
      <c r="AP381" s="551">
        <v>609.19763</v>
      </c>
      <c r="AQ381" s="551">
        <v>156009.42106669999</v>
      </c>
      <c r="AR381" s="551">
        <v>6.4617000000000004</v>
      </c>
    </row>
    <row r="382" spans="39:44" x14ac:dyDescent="0.3">
      <c r="AM382" s="550">
        <f t="shared" ca="1" si="58"/>
        <v>45573</v>
      </c>
      <c r="AN382" s="551">
        <v>256.08999999999997</v>
      </c>
      <c r="AO382" s="551">
        <v>2386564</v>
      </c>
      <c r="AP382" s="551">
        <v>609.19763</v>
      </c>
      <c r="AQ382" s="551">
        <v>156009.42106669999</v>
      </c>
      <c r="AR382" s="551">
        <v>6.4617000000000004</v>
      </c>
    </row>
    <row r="383" spans="39:44" x14ac:dyDescent="0.3">
      <c r="AM383" s="550">
        <f t="shared" ca="1" si="58"/>
        <v>45572</v>
      </c>
      <c r="AN383" s="551">
        <v>253.2</v>
      </c>
      <c r="AO383" s="551">
        <v>1287795</v>
      </c>
      <c r="AP383" s="551">
        <v>609.19763</v>
      </c>
      <c r="AQ383" s="551">
        <v>154248.839916</v>
      </c>
      <c r="AR383" s="551">
        <v>6.3887</v>
      </c>
    </row>
    <row r="384" spans="39:44" x14ac:dyDescent="0.3">
      <c r="AM384" s="550">
        <f t="shared" ca="1" si="58"/>
        <v>45571</v>
      </c>
      <c r="AN384" s="551">
        <v>252.67</v>
      </c>
      <c r="AO384" s="551">
        <v>2359782</v>
      </c>
      <c r="AP384" s="551">
        <v>609.19763</v>
      </c>
      <c r="AQ384" s="551">
        <v>153925.9651721</v>
      </c>
      <c r="AR384" s="551">
        <v>6.3754</v>
      </c>
    </row>
    <row r="385" spans="39:44" x14ac:dyDescent="0.3">
      <c r="AM385" s="550">
        <f t="shared" ca="1" si="58"/>
        <v>45570</v>
      </c>
      <c r="AN385" s="551">
        <v>250.35</v>
      </c>
      <c r="AO385" s="551">
        <v>1466246</v>
      </c>
      <c r="AP385" s="551">
        <v>609.19763</v>
      </c>
      <c r="AQ385" s="551">
        <v>152512.6266705</v>
      </c>
      <c r="AR385" s="551">
        <v>6.3167999999999997</v>
      </c>
    </row>
    <row r="386" spans="39:44" x14ac:dyDescent="0.3">
      <c r="AM386" s="550">
        <f t="shared" ca="1" si="58"/>
        <v>45569</v>
      </c>
      <c r="AN386" s="551">
        <v>247.84</v>
      </c>
      <c r="AO386" s="551">
        <v>1680550</v>
      </c>
      <c r="AP386" s="551">
        <v>609.19763</v>
      </c>
      <c r="AQ386" s="551">
        <v>150983.54061920001</v>
      </c>
      <c r="AR386" s="551">
        <v>6.2534999999999998</v>
      </c>
    </row>
    <row r="387" spans="39:44" x14ac:dyDescent="0.3">
      <c r="AM387" s="550">
        <f t="shared" ca="1" si="58"/>
        <v>45568</v>
      </c>
      <c r="AN387" s="551">
        <v>246.85</v>
      </c>
      <c r="AO387" s="551">
        <v>2449222</v>
      </c>
      <c r="AP387" s="551">
        <v>609.19763</v>
      </c>
      <c r="AQ387" s="551">
        <v>150380.4349655</v>
      </c>
      <c r="AR387" s="551">
        <v>6.2285000000000004</v>
      </c>
    </row>
    <row r="388" spans="39:44" x14ac:dyDescent="0.3">
      <c r="AM388" s="550">
        <f t="shared" ca="1" si="58"/>
        <v>45567</v>
      </c>
      <c r="AN388" s="551">
        <v>246.85</v>
      </c>
      <c r="AO388" s="551">
        <v>2449222</v>
      </c>
      <c r="AP388" s="551">
        <v>609.19763</v>
      </c>
      <c r="AQ388" s="551">
        <v>150380.4349655</v>
      </c>
      <c r="AR388" s="551">
        <v>6.2285000000000004</v>
      </c>
    </row>
    <row r="389" spans="39:44" x14ac:dyDescent="0.3">
      <c r="AM389" s="550">
        <f t="shared" ref="AM389:AM452" ca="1" si="59">AM388-1</f>
        <v>45566</v>
      </c>
      <c r="AN389" s="551">
        <v>246.85</v>
      </c>
      <c r="AO389" s="551">
        <v>2449222</v>
      </c>
      <c r="AP389" s="551">
        <v>609.19763</v>
      </c>
      <c r="AQ389" s="551">
        <v>150380.4349655</v>
      </c>
      <c r="AR389" s="551">
        <v>6.2285000000000004</v>
      </c>
    </row>
    <row r="390" spans="39:44" x14ac:dyDescent="0.3">
      <c r="AM390" s="550">
        <f t="shared" ca="1" si="59"/>
        <v>45565</v>
      </c>
      <c r="AN390" s="551">
        <v>244.32</v>
      </c>
      <c r="AO390" s="551">
        <v>2722350</v>
      </c>
      <c r="AP390" s="551">
        <v>609.19763</v>
      </c>
      <c r="AQ390" s="551">
        <v>148839.16496160001</v>
      </c>
      <c r="AR390" s="551">
        <v>6.1646999999999998</v>
      </c>
    </row>
    <row r="391" spans="39:44" x14ac:dyDescent="0.3">
      <c r="AM391" s="550">
        <f t="shared" ca="1" si="59"/>
        <v>45564</v>
      </c>
      <c r="AN391" s="551">
        <v>245.73</v>
      </c>
      <c r="AO391" s="551">
        <v>1482850</v>
      </c>
      <c r="AP391" s="551">
        <v>609.19763</v>
      </c>
      <c r="AQ391" s="551">
        <v>149698.13361990001</v>
      </c>
      <c r="AR391" s="551">
        <v>6.2003000000000004</v>
      </c>
    </row>
    <row r="392" spans="39:44" x14ac:dyDescent="0.3">
      <c r="AM392" s="550">
        <f t="shared" ca="1" si="59"/>
        <v>45563</v>
      </c>
      <c r="AN392" s="551">
        <v>246.5</v>
      </c>
      <c r="AO392" s="551">
        <v>1552013</v>
      </c>
      <c r="AP392" s="551">
        <v>609.19763</v>
      </c>
      <c r="AQ392" s="551">
        <v>150167.215795</v>
      </c>
      <c r="AR392" s="551">
        <v>6.2196999999999996</v>
      </c>
    </row>
    <row r="393" spans="39:44" x14ac:dyDescent="0.3">
      <c r="AM393" s="550">
        <f t="shared" ca="1" si="59"/>
        <v>45562</v>
      </c>
      <c r="AN393" s="551">
        <v>246.07</v>
      </c>
      <c r="AO393" s="551">
        <v>1686486</v>
      </c>
      <c r="AP393" s="551">
        <v>609.19763</v>
      </c>
      <c r="AQ393" s="551">
        <v>149905.26081410001</v>
      </c>
      <c r="AR393" s="551">
        <v>6.2088000000000001</v>
      </c>
    </row>
    <row r="394" spans="39:44" x14ac:dyDescent="0.3">
      <c r="AM394" s="550">
        <f t="shared" ca="1" si="59"/>
        <v>45561</v>
      </c>
      <c r="AN394" s="551">
        <v>244.53</v>
      </c>
      <c r="AO394" s="551">
        <v>1951386</v>
      </c>
      <c r="AP394" s="551">
        <v>609.19763</v>
      </c>
      <c r="AQ394" s="551">
        <v>148967.0964639</v>
      </c>
      <c r="AR394" s="551">
        <v>6.17</v>
      </c>
    </row>
    <row r="395" spans="39:44" x14ac:dyDescent="0.3">
      <c r="AM395" s="550">
        <f t="shared" ca="1" si="59"/>
        <v>45560</v>
      </c>
      <c r="AN395" s="551">
        <v>244.53</v>
      </c>
      <c r="AO395" s="551">
        <v>1951386</v>
      </c>
      <c r="AP395" s="551">
        <v>609.19763</v>
      </c>
      <c r="AQ395" s="551">
        <v>148967.0964639</v>
      </c>
      <c r="AR395" s="551">
        <v>6.17</v>
      </c>
    </row>
    <row r="396" spans="39:44" x14ac:dyDescent="0.3">
      <c r="AM396" s="550">
        <f t="shared" ca="1" si="59"/>
        <v>45559</v>
      </c>
      <c r="AN396" s="551">
        <v>244.53</v>
      </c>
      <c r="AO396" s="551">
        <v>1951386</v>
      </c>
      <c r="AP396" s="551">
        <v>609.19763</v>
      </c>
      <c r="AQ396" s="551">
        <v>148967.0964639</v>
      </c>
      <c r="AR396" s="551">
        <v>6.17</v>
      </c>
    </row>
    <row r="397" spans="39:44" x14ac:dyDescent="0.3">
      <c r="AM397" s="550">
        <f t="shared" ca="1" si="59"/>
        <v>45558</v>
      </c>
      <c r="AN397" s="551">
        <v>243.71</v>
      </c>
      <c r="AO397" s="551">
        <v>2127983</v>
      </c>
      <c r="AP397" s="551">
        <v>609.19763</v>
      </c>
      <c r="AQ397" s="551">
        <v>148467.55440730002</v>
      </c>
      <c r="AR397" s="551">
        <v>6.1493000000000002</v>
      </c>
    </row>
    <row r="398" spans="39:44" x14ac:dyDescent="0.3">
      <c r="AM398" s="550">
        <f t="shared" ca="1" si="59"/>
        <v>45557</v>
      </c>
      <c r="AN398" s="551">
        <v>241.22</v>
      </c>
      <c r="AO398" s="551">
        <v>1903113</v>
      </c>
      <c r="AP398" s="551">
        <v>609.19763</v>
      </c>
      <c r="AQ398" s="551">
        <v>146950.65230859999</v>
      </c>
      <c r="AR398" s="551">
        <v>6.0865</v>
      </c>
    </row>
    <row r="399" spans="39:44" x14ac:dyDescent="0.3">
      <c r="AM399" s="550">
        <f t="shared" ca="1" si="59"/>
        <v>45556</v>
      </c>
      <c r="AN399" s="551">
        <v>237.27</v>
      </c>
      <c r="AO399" s="551">
        <v>1486284</v>
      </c>
      <c r="AP399" s="551">
        <v>609.19763</v>
      </c>
      <c r="AQ399" s="551">
        <v>144544.32167010001</v>
      </c>
      <c r="AR399" s="551">
        <v>5.9867999999999997</v>
      </c>
    </row>
    <row r="400" spans="39:44" x14ac:dyDescent="0.3">
      <c r="AM400" s="550">
        <f t="shared" ca="1" si="59"/>
        <v>45555</v>
      </c>
      <c r="AN400" s="551">
        <v>236.75</v>
      </c>
      <c r="AO400" s="551">
        <v>1782063</v>
      </c>
      <c r="AP400" s="551">
        <v>609.19763</v>
      </c>
      <c r="AQ400" s="551">
        <v>144227.5389025</v>
      </c>
      <c r="AR400" s="551">
        <v>5.9737</v>
      </c>
    </row>
    <row r="401" spans="39:44" x14ac:dyDescent="0.3">
      <c r="AM401" s="550">
        <f t="shared" ca="1" si="59"/>
        <v>45554</v>
      </c>
      <c r="AN401" s="551">
        <v>237.52</v>
      </c>
      <c r="AO401" s="551">
        <v>1621058</v>
      </c>
      <c r="AP401" s="551">
        <v>609.19763</v>
      </c>
      <c r="AQ401" s="551">
        <v>144696.62107759999</v>
      </c>
      <c r="AR401" s="551">
        <v>5.9931000000000001</v>
      </c>
    </row>
    <row r="402" spans="39:44" x14ac:dyDescent="0.3">
      <c r="AM402" s="550">
        <f t="shared" ca="1" si="59"/>
        <v>45553</v>
      </c>
      <c r="AN402" s="551">
        <v>237.52</v>
      </c>
      <c r="AO402" s="551">
        <v>1621058</v>
      </c>
      <c r="AP402" s="551">
        <v>609.19763</v>
      </c>
      <c r="AQ402" s="551">
        <v>144696.62107759999</v>
      </c>
      <c r="AR402" s="551">
        <v>5.9931000000000001</v>
      </c>
    </row>
    <row r="403" spans="39:44" x14ac:dyDescent="0.3">
      <c r="AM403" s="550">
        <f t="shared" ca="1" si="59"/>
        <v>45552</v>
      </c>
      <c r="AN403" s="551">
        <v>237.52</v>
      </c>
      <c r="AO403" s="551">
        <v>1621058</v>
      </c>
      <c r="AP403" s="551">
        <v>609.19763</v>
      </c>
      <c r="AQ403" s="551">
        <v>144696.62107759999</v>
      </c>
      <c r="AR403" s="551">
        <v>5.9931000000000001</v>
      </c>
    </row>
    <row r="404" spans="39:44" x14ac:dyDescent="0.3">
      <c r="AM404" s="550">
        <f t="shared" ca="1" si="59"/>
        <v>45551</v>
      </c>
      <c r="AN404" s="551">
        <v>240.54</v>
      </c>
      <c r="AO404" s="551">
        <v>1444831</v>
      </c>
      <c r="AP404" s="551">
        <v>609.19763</v>
      </c>
      <c r="AQ404" s="551">
        <v>146536.39792019999</v>
      </c>
      <c r="AR404" s="551">
        <v>6.0693000000000001</v>
      </c>
    </row>
    <row r="405" spans="39:44" x14ac:dyDescent="0.3">
      <c r="AM405" s="550">
        <f t="shared" ca="1" si="59"/>
        <v>45550</v>
      </c>
      <c r="AN405" s="551">
        <v>236.84</v>
      </c>
      <c r="AO405" s="551">
        <v>1939343</v>
      </c>
      <c r="AP405" s="551">
        <v>609.19763</v>
      </c>
      <c r="AQ405" s="551">
        <v>144282.36668919999</v>
      </c>
      <c r="AR405" s="551">
        <v>5.9759000000000002</v>
      </c>
    </row>
    <row r="406" spans="39:44" x14ac:dyDescent="0.3">
      <c r="AM406" s="550">
        <f t="shared" ca="1" si="59"/>
        <v>45549</v>
      </c>
      <c r="AN406" s="551">
        <v>238.55</v>
      </c>
      <c r="AO406" s="551">
        <v>2514582</v>
      </c>
      <c r="AP406" s="551">
        <v>609.19763</v>
      </c>
      <c r="AQ406" s="551">
        <v>145324.0946365</v>
      </c>
      <c r="AR406" s="551">
        <v>6.0190999999999999</v>
      </c>
    </row>
    <row r="407" spans="39:44" x14ac:dyDescent="0.3">
      <c r="AM407" s="550">
        <f t="shared" ca="1" si="59"/>
        <v>45548</v>
      </c>
      <c r="AN407" s="551">
        <v>234.87</v>
      </c>
      <c r="AO407" s="551">
        <v>2494424</v>
      </c>
      <c r="AP407" s="551">
        <v>609.19763</v>
      </c>
      <c r="AQ407" s="551">
        <v>143082.24735809999</v>
      </c>
      <c r="AR407" s="551">
        <v>5.9261999999999997</v>
      </c>
    </row>
    <row r="408" spans="39:44" x14ac:dyDescent="0.3">
      <c r="AM408" s="550">
        <f t="shared" ca="1" si="59"/>
        <v>45547</v>
      </c>
      <c r="AN408" s="551">
        <v>239.97</v>
      </c>
      <c r="AO408" s="551">
        <v>2114653</v>
      </c>
      <c r="AP408" s="551">
        <v>609.19763</v>
      </c>
      <c r="AQ408" s="551">
        <v>146189.1552711</v>
      </c>
      <c r="AR408" s="551">
        <v>6.0548999999999999</v>
      </c>
    </row>
    <row r="409" spans="39:44" x14ac:dyDescent="0.3">
      <c r="AM409" s="550">
        <f t="shared" ca="1" si="59"/>
        <v>45546</v>
      </c>
      <c r="AN409" s="551">
        <v>239.97</v>
      </c>
      <c r="AO409" s="551">
        <v>2114653</v>
      </c>
      <c r="AP409" s="551">
        <v>609.19763</v>
      </c>
      <c r="AQ409" s="551">
        <v>146189.1552711</v>
      </c>
      <c r="AR409" s="551">
        <v>6.0548999999999999</v>
      </c>
    </row>
    <row r="410" spans="39:44" x14ac:dyDescent="0.3">
      <c r="AM410" s="550">
        <f t="shared" ca="1" si="59"/>
        <v>45545</v>
      </c>
      <c r="AN410" s="551">
        <v>239.97</v>
      </c>
      <c r="AO410" s="551">
        <v>2114653</v>
      </c>
      <c r="AP410" s="551">
        <v>609.19763</v>
      </c>
      <c r="AQ410" s="551">
        <v>146189.1552711</v>
      </c>
      <c r="AR410" s="551">
        <v>6.0548999999999999</v>
      </c>
    </row>
    <row r="411" spans="39:44" x14ac:dyDescent="0.3">
      <c r="AM411" s="550">
        <f t="shared" ca="1" si="59"/>
        <v>45544</v>
      </c>
      <c r="AN411" s="551">
        <v>244.47</v>
      </c>
      <c r="AO411" s="551">
        <v>2166090</v>
      </c>
      <c r="AP411" s="551">
        <v>609.19763</v>
      </c>
      <c r="AQ411" s="551">
        <v>148930.54460610001</v>
      </c>
      <c r="AR411" s="551">
        <v>6.1684999999999999</v>
      </c>
    </row>
    <row r="412" spans="39:44" x14ac:dyDescent="0.3">
      <c r="AM412" s="550">
        <f t="shared" ca="1" si="59"/>
        <v>45543</v>
      </c>
      <c r="AN412" s="551">
        <v>246.73</v>
      </c>
      <c r="AO412" s="551">
        <v>2285693</v>
      </c>
      <c r="AP412" s="551">
        <v>609.19763</v>
      </c>
      <c r="AQ412" s="551">
        <v>150307.33124989999</v>
      </c>
      <c r="AR412" s="551">
        <v>6.2255000000000003</v>
      </c>
    </row>
    <row r="413" spans="39:44" x14ac:dyDescent="0.3">
      <c r="AM413" s="550">
        <f t="shared" ca="1" si="59"/>
        <v>45542</v>
      </c>
      <c r="AN413" s="551">
        <v>245.43</v>
      </c>
      <c r="AO413" s="551">
        <v>1914371</v>
      </c>
      <c r="AP413" s="551">
        <v>609.19763</v>
      </c>
      <c r="AQ413" s="551">
        <v>149515.3743309</v>
      </c>
      <c r="AR413" s="551">
        <v>6.1927000000000003</v>
      </c>
    </row>
    <row r="414" spans="39:44" x14ac:dyDescent="0.3">
      <c r="AM414" s="550">
        <f t="shared" ca="1" si="59"/>
        <v>45541</v>
      </c>
      <c r="AN414" s="551">
        <v>242.15</v>
      </c>
      <c r="AO414" s="551">
        <v>2022953</v>
      </c>
      <c r="AP414" s="551">
        <v>609.19763</v>
      </c>
      <c r="AQ414" s="551">
        <v>147517.20610450002</v>
      </c>
      <c r="AR414" s="551">
        <v>6.1098999999999997</v>
      </c>
    </row>
    <row r="415" spans="39:44" x14ac:dyDescent="0.3">
      <c r="AM415" s="550">
        <f t="shared" ca="1" si="59"/>
        <v>45540</v>
      </c>
      <c r="AN415" s="551">
        <v>240.36</v>
      </c>
      <c r="AO415" s="551">
        <v>2818609</v>
      </c>
      <c r="AP415" s="551">
        <v>609.19763</v>
      </c>
      <c r="AQ415" s="551">
        <v>146426.74234680002</v>
      </c>
      <c r="AR415" s="551">
        <v>6.0648</v>
      </c>
    </row>
    <row r="416" spans="39:44" x14ac:dyDescent="0.3">
      <c r="AM416" s="550">
        <f t="shared" ca="1" si="59"/>
        <v>45539</v>
      </c>
      <c r="AN416" s="551">
        <v>240.36</v>
      </c>
      <c r="AO416" s="551">
        <v>2818609</v>
      </c>
      <c r="AP416" s="551">
        <v>609.19763</v>
      </c>
      <c r="AQ416" s="551">
        <v>146426.74234680002</v>
      </c>
      <c r="AR416" s="551">
        <v>6.0648</v>
      </c>
    </row>
    <row r="417" spans="39:44" x14ac:dyDescent="0.3">
      <c r="AM417" s="550">
        <f t="shared" ca="1" si="59"/>
        <v>45538</v>
      </c>
      <c r="AN417" s="551">
        <v>240.36</v>
      </c>
      <c r="AO417" s="551">
        <v>2818609</v>
      </c>
      <c r="AP417" s="551">
        <v>609.19763</v>
      </c>
      <c r="AQ417" s="551">
        <v>146426.74234680002</v>
      </c>
      <c r="AR417" s="551">
        <v>6.0648</v>
      </c>
    </row>
    <row r="418" spans="39:44" x14ac:dyDescent="0.3">
      <c r="AM418" s="550">
        <f t="shared" ca="1" si="59"/>
        <v>45537</v>
      </c>
      <c r="AN418" s="551">
        <v>235.35</v>
      </c>
      <c r="AO418" s="551">
        <v>3017631</v>
      </c>
      <c r="AP418" s="551">
        <v>609.19763</v>
      </c>
      <c r="AQ418" s="551">
        <v>143374.6622205</v>
      </c>
      <c r="AR418" s="551">
        <v>5.9383999999999997</v>
      </c>
    </row>
    <row r="419" spans="39:44" x14ac:dyDescent="0.3">
      <c r="AM419" s="550">
        <f t="shared" ca="1" si="59"/>
        <v>45536</v>
      </c>
      <c r="AN419" s="551">
        <v>237.38</v>
      </c>
      <c r="AO419" s="551">
        <v>3289032</v>
      </c>
      <c r="AP419" s="551">
        <v>610.12212</v>
      </c>
      <c r="AQ419" s="551">
        <v>144830.78884560001</v>
      </c>
      <c r="AR419" s="551">
        <v>5.9896000000000003</v>
      </c>
    </row>
    <row r="420" spans="39:44" x14ac:dyDescent="0.3">
      <c r="AM420" s="550">
        <f t="shared" ca="1" si="59"/>
        <v>45535</v>
      </c>
      <c r="AN420" s="551">
        <v>239.5</v>
      </c>
      <c r="AO420" s="551">
        <v>2538276</v>
      </c>
      <c r="AP420" s="551">
        <v>610.12212</v>
      </c>
      <c r="AQ420" s="551">
        <v>146124.24773999999</v>
      </c>
      <c r="AR420" s="551">
        <v>6.0430999999999999</v>
      </c>
    </row>
    <row r="421" spans="39:44" x14ac:dyDescent="0.3">
      <c r="AM421" s="550">
        <f t="shared" ca="1" si="59"/>
        <v>45534</v>
      </c>
      <c r="AN421" s="551">
        <v>243.27</v>
      </c>
      <c r="AO421" s="551">
        <v>2187038</v>
      </c>
      <c r="AP421" s="551">
        <v>610.12212</v>
      </c>
      <c r="AQ421" s="551">
        <v>148424.40813240001</v>
      </c>
      <c r="AR421" s="551">
        <v>6.1382000000000003</v>
      </c>
    </row>
    <row r="422" spans="39:44" x14ac:dyDescent="0.3">
      <c r="AM422" s="550">
        <f t="shared" ca="1" si="59"/>
        <v>45533</v>
      </c>
      <c r="AN422" s="551">
        <v>242.32</v>
      </c>
      <c r="AO422" s="551">
        <v>3870094</v>
      </c>
      <c r="AP422" s="551">
        <v>610.12212</v>
      </c>
      <c r="AQ422" s="551">
        <v>147844.79211839999</v>
      </c>
      <c r="AR422" s="551">
        <v>6.1142000000000003</v>
      </c>
    </row>
    <row r="423" spans="39:44" x14ac:dyDescent="0.3">
      <c r="AM423" s="550">
        <f t="shared" ca="1" si="59"/>
        <v>45532</v>
      </c>
      <c r="AN423" s="551">
        <v>242.32</v>
      </c>
      <c r="AO423" s="551">
        <v>3870094</v>
      </c>
      <c r="AP423" s="551">
        <v>610.12212</v>
      </c>
      <c r="AQ423" s="551">
        <v>147844.79211839999</v>
      </c>
      <c r="AR423" s="551">
        <v>6.1142000000000003</v>
      </c>
    </row>
    <row r="424" spans="39:44" x14ac:dyDescent="0.3">
      <c r="AM424" s="550">
        <f t="shared" ca="1" si="59"/>
        <v>45531</v>
      </c>
      <c r="AN424" s="551">
        <v>242.32</v>
      </c>
      <c r="AO424" s="551">
        <v>3870094</v>
      </c>
      <c r="AP424" s="551">
        <v>610.12212</v>
      </c>
      <c r="AQ424" s="551">
        <v>147844.79211839999</v>
      </c>
      <c r="AR424" s="551">
        <v>6.1142000000000003</v>
      </c>
    </row>
    <row r="425" spans="39:44" x14ac:dyDescent="0.3">
      <c r="AM425" s="550">
        <f t="shared" ca="1" si="59"/>
        <v>45530</v>
      </c>
      <c r="AN425" s="551">
        <v>243.01</v>
      </c>
      <c r="AO425" s="551">
        <v>2491272</v>
      </c>
      <c r="AP425" s="551">
        <v>610.12212</v>
      </c>
      <c r="AQ425" s="551">
        <v>148265.7763812</v>
      </c>
      <c r="AR425" s="551">
        <v>6.1315999999999997</v>
      </c>
    </row>
    <row r="426" spans="39:44" x14ac:dyDescent="0.3">
      <c r="AM426" s="550">
        <f t="shared" ca="1" si="59"/>
        <v>45529</v>
      </c>
      <c r="AN426" s="551">
        <v>243.89</v>
      </c>
      <c r="AO426" s="551">
        <v>2933013</v>
      </c>
      <c r="AP426" s="551">
        <v>610.12212</v>
      </c>
      <c r="AQ426" s="551">
        <v>148802.68384679998</v>
      </c>
      <c r="AR426" s="551">
        <v>6.1538000000000004</v>
      </c>
    </row>
    <row r="427" spans="39:44" x14ac:dyDescent="0.3">
      <c r="AM427" s="550">
        <f t="shared" ca="1" si="59"/>
        <v>45528</v>
      </c>
      <c r="AN427" s="551">
        <v>243.06</v>
      </c>
      <c r="AO427" s="551">
        <v>3417400</v>
      </c>
      <c r="AP427" s="551">
        <v>610.12212</v>
      </c>
      <c r="AQ427" s="551">
        <v>148296.28248719999</v>
      </c>
      <c r="AR427" s="551">
        <v>6.1329000000000002</v>
      </c>
    </row>
    <row r="428" spans="39:44" x14ac:dyDescent="0.3">
      <c r="AM428" s="550">
        <f t="shared" ca="1" si="59"/>
        <v>45527</v>
      </c>
      <c r="AN428" s="551">
        <v>235.99</v>
      </c>
      <c r="AO428" s="551">
        <v>2569467</v>
      </c>
      <c r="AP428" s="551">
        <v>610.12212</v>
      </c>
      <c r="AQ428" s="551">
        <v>143982.71909880001</v>
      </c>
      <c r="AR428" s="551">
        <v>5.9545000000000003</v>
      </c>
    </row>
    <row r="429" spans="39:44" x14ac:dyDescent="0.3">
      <c r="AM429" s="550">
        <f t="shared" ca="1" si="59"/>
        <v>45526</v>
      </c>
      <c r="AN429" s="551">
        <v>230.22</v>
      </c>
      <c r="AO429" s="551">
        <v>1912319</v>
      </c>
      <c r="AP429" s="551">
        <v>610.12212</v>
      </c>
      <c r="AQ429" s="551">
        <v>140462.31446639998</v>
      </c>
      <c r="AR429" s="551">
        <v>5.8089000000000004</v>
      </c>
    </row>
    <row r="430" spans="39:44" x14ac:dyDescent="0.3">
      <c r="AM430" s="550">
        <f t="shared" ca="1" si="59"/>
        <v>45525</v>
      </c>
      <c r="AN430" s="551">
        <v>230.22</v>
      </c>
      <c r="AO430" s="551">
        <v>1912319</v>
      </c>
      <c r="AP430" s="551">
        <v>610.12212</v>
      </c>
      <c r="AQ430" s="551">
        <v>140462.31446639998</v>
      </c>
      <c r="AR430" s="551">
        <v>5.8089000000000004</v>
      </c>
    </row>
    <row r="431" spans="39:44" x14ac:dyDescent="0.3">
      <c r="AM431" s="550">
        <f t="shared" ca="1" si="59"/>
        <v>45524</v>
      </c>
      <c r="AN431" s="551">
        <v>230.22</v>
      </c>
      <c r="AO431" s="551">
        <v>1912319</v>
      </c>
      <c r="AP431" s="551">
        <v>610.12212</v>
      </c>
      <c r="AQ431" s="551">
        <v>140462.31446639998</v>
      </c>
      <c r="AR431" s="551">
        <v>5.8089000000000004</v>
      </c>
    </row>
    <row r="432" spans="39:44" x14ac:dyDescent="0.3">
      <c r="AM432" s="550">
        <f t="shared" ca="1" si="59"/>
        <v>45523</v>
      </c>
      <c r="AN432" s="551">
        <v>228.72</v>
      </c>
      <c r="AO432" s="551">
        <v>1517930</v>
      </c>
      <c r="AP432" s="551">
        <v>610.12212</v>
      </c>
      <c r="AQ432" s="551">
        <v>139547.13128639999</v>
      </c>
      <c r="AR432" s="551">
        <v>5.7710999999999997</v>
      </c>
    </row>
    <row r="433" spans="39:44" x14ac:dyDescent="0.3">
      <c r="AM433" s="550">
        <f t="shared" ca="1" si="59"/>
        <v>45522</v>
      </c>
      <c r="AN433" s="551">
        <v>224.41</v>
      </c>
      <c r="AO433" s="551">
        <v>1832736</v>
      </c>
      <c r="AP433" s="551">
        <v>610.12212</v>
      </c>
      <c r="AQ433" s="551">
        <v>136917.5049492</v>
      </c>
      <c r="AR433" s="551">
        <v>5.6623000000000001</v>
      </c>
    </row>
    <row r="434" spans="39:44" x14ac:dyDescent="0.3">
      <c r="AM434" s="550">
        <f t="shared" ca="1" si="59"/>
        <v>45521</v>
      </c>
      <c r="AN434" s="551">
        <v>221.78</v>
      </c>
      <c r="AO434" s="551">
        <v>1514184</v>
      </c>
      <c r="AP434" s="551">
        <v>610.12212</v>
      </c>
      <c r="AQ434" s="551">
        <v>135312.88377360001</v>
      </c>
      <c r="AR434" s="551">
        <v>5.5960000000000001</v>
      </c>
    </row>
    <row r="435" spans="39:44" x14ac:dyDescent="0.3">
      <c r="AM435" s="550">
        <f t="shared" ca="1" si="59"/>
        <v>45520</v>
      </c>
      <c r="AN435" s="551">
        <v>223.39</v>
      </c>
      <c r="AO435" s="551">
        <v>1781645</v>
      </c>
      <c r="AP435" s="551">
        <v>610.12212</v>
      </c>
      <c r="AQ435" s="551">
        <v>136295.1803868</v>
      </c>
      <c r="AR435" s="551">
        <v>5.6365999999999996</v>
      </c>
    </row>
    <row r="436" spans="39:44" x14ac:dyDescent="0.3">
      <c r="AM436" s="550">
        <f t="shared" ca="1" si="59"/>
        <v>45519</v>
      </c>
      <c r="AN436" s="551">
        <v>225.17</v>
      </c>
      <c r="AO436" s="551">
        <v>1659395</v>
      </c>
      <c r="AP436" s="551">
        <v>610.12212</v>
      </c>
      <c r="AQ436" s="551">
        <v>137381.19776039998</v>
      </c>
      <c r="AR436" s="551">
        <v>5.6814999999999998</v>
      </c>
    </row>
    <row r="437" spans="39:44" x14ac:dyDescent="0.3">
      <c r="AM437" s="550">
        <f t="shared" ca="1" si="59"/>
        <v>45518</v>
      </c>
      <c r="AN437" s="551">
        <v>225.17</v>
      </c>
      <c r="AO437" s="551">
        <v>1659395</v>
      </c>
      <c r="AP437" s="551">
        <v>610.12212</v>
      </c>
      <c r="AQ437" s="551">
        <v>137381.19776039998</v>
      </c>
      <c r="AR437" s="551">
        <v>5.6814999999999998</v>
      </c>
    </row>
    <row r="438" spans="39:44" x14ac:dyDescent="0.3">
      <c r="AM438" s="550">
        <f t="shared" ca="1" si="59"/>
        <v>45517</v>
      </c>
      <c r="AN438" s="551">
        <v>225.17</v>
      </c>
      <c r="AO438" s="551">
        <v>1659395</v>
      </c>
      <c r="AP438" s="551">
        <v>610.12212</v>
      </c>
      <c r="AQ438" s="551">
        <v>137381.19776039998</v>
      </c>
      <c r="AR438" s="551">
        <v>5.6814999999999998</v>
      </c>
    </row>
    <row r="439" spans="39:44" x14ac:dyDescent="0.3">
      <c r="AM439" s="550">
        <f t="shared" ca="1" si="59"/>
        <v>45516</v>
      </c>
      <c r="AN439" s="551">
        <v>225.57</v>
      </c>
      <c r="AO439" s="551">
        <v>1219762</v>
      </c>
      <c r="AP439" s="551">
        <v>610.12212</v>
      </c>
      <c r="AQ439" s="551">
        <v>137625.24660839999</v>
      </c>
      <c r="AR439" s="551">
        <v>5.6916000000000002</v>
      </c>
    </row>
    <row r="440" spans="39:44" x14ac:dyDescent="0.3">
      <c r="AM440" s="550">
        <f t="shared" ca="1" si="59"/>
        <v>45515</v>
      </c>
      <c r="AN440" s="551">
        <v>225.57</v>
      </c>
      <c r="AO440" s="551">
        <v>1219762</v>
      </c>
      <c r="AP440" s="551">
        <v>610.12212</v>
      </c>
      <c r="AQ440" s="551">
        <v>137625.24660839999</v>
      </c>
      <c r="AR440" s="551">
        <v>5.6916000000000002</v>
      </c>
    </row>
    <row r="441" spans="39:44" x14ac:dyDescent="0.3">
      <c r="AM441" s="550">
        <f t="shared" ca="1" si="59"/>
        <v>45514</v>
      </c>
      <c r="AN441" s="551">
        <v>225.5</v>
      </c>
      <c r="AO441" s="551">
        <v>1530530</v>
      </c>
      <c r="AP441" s="551">
        <v>610.12212</v>
      </c>
      <c r="AQ441" s="551">
        <v>137582.53805999999</v>
      </c>
      <c r="AR441" s="551">
        <v>5.6898</v>
      </c>
    </row>
    <row r="442" spans="39:44" x14ac:dyDescent="0.3">
      <c r="AM442" s="550">
        <f t="shared" ca="1" si="59"/>
        <v>45513</v>
      </c>
      <c r="AN442" s="551">
        <v>224.86</v>
      </c>
      <c r="AO442" s="551">
        <v>1697337</v>
      </c>
      <c r="AP442" s="551">
        <v>610.12212</v>
      </c>
      <c r="AQ442" s="551">
        <v>137192.05990320002</v>
      </c>
      <c r="AR442" s="551">
        <v>5.6737000000000002</v>
      </c>
    </row>
    <row r="443" spans="39:44" x14ac:dyDescent="0.3">
      <c r="AM443" s="550">
        <f t="shared" ca="1" si="59"/>
        <v>45512</v>
      </c>
      <c r="AN443" s="551">
        <v>226.26</v>
      </c>
      <c r="AO443" s="551">
        <v>3492610</v>
      </c>
      <c r="AP443" s="551">
        <v>610.12212</v>
      </c>
      <c r="AQ443" s="551">
        <v>138046.23087119998</v>
      </c>
      <c r="AR443" s="551">
        <v>5.7178000000000004</v>
      </c>
    </row>
    <row r="444" spans="39:44" x14ac:dyDescent="0.3">
      <c r="AM444" s="550">
        <f t="shared" ca="1" si="59"/>
        <v>45511</v>
      </c>
      <c r="AN444" s="551">
        <v>226.26</v>
      </c>
      <c r="AO444" s="551">
        <v>3492610</v>
      </c>
      <c r="AP444" s="551">
        <v>610.12212</v>
      </c>
      <c r="AQ444" s="551">
        <v>138046.23087119998</v>
      </c>
      <c r="AR444" s="551">
        <v>5.7178000000000004</v>
      </c>
    </row>
    <row r="445" spans="39:44" x14ac:dyDescent="0.3">
      <c r="AM445" s="550">
        <f t="shared" ca="1" si="59"/>
        <v>45510</v>
      </c>
      <c r="AN445" s="551">
        <v>226.26</v>
      </c>
      <c r="AO445" s="551">
        <v>3492610</v>
      </c>
      <c r="AP445" s="551">
        <v>610.12212</v>
      </c>
      <c r="AQ445" s="551">
        <v>138046.23087119998</v>
      </c>
      <c r="AR445" s="551">
        <v>5.7178000000000004</v>
      </c>
    </row>
    <row r="446" spans="39:44" x14ac:dyDescent="0.3">
      <c r="AM446" s="550">
        <f t="shared" ca="1" si="59"/>
        <v>45509</v>
      </c>
      <c r="AN446" s="551">
        <v>223.47</v>
      </c>
      <c r="AO446" s="551">
        <v>1815037</v>
      </c>
      <c r="AP446" s="551">
        <v>610.12212</v>
      </c>
      <c r="AQ446" s="551">
        <v>136343.99015639999</v>
      </c>
      <c r="AR446" s="551">
        <v>5.6473000000000004</v>
      </c>
    </row>
    <row r="447" spans="39:44" x14ac:dyDescent="0.3">
      <c r="AM447" s="550">
        <f t="shared" ca="1" si="59"/>
        <v>45508</v>
      </c>
      <c r="AN447" s="551">
        <v>223.61</v>
      </c>
      <c r="AO447" s="551">
        <v>1921476</v>
      </c>
      <c r="AP447" s="551">
        <v>610.12212</v>
      </c>
      <c r="AQ447" s="551">
        <v>136429.40725320001</v>
      </c>
      <c r="AR447" s="551">
        <v>5.6508000000000003</v>
      </c>
    </row>
    <row r="448" spans="39:44" x14ac:dyDescent="0.3">
      <c r="AM448" s="550">
        <f t="shared" ca="1" si="59"/>
        <v>45507</v>
      </c>
      <c r="AN448" s="551">
        <v>224.06</v>
      </c>
      <c r="AO448" s="551">
        <v>3199922</v>
      </c>
      <c r="AP448" s="551">
        <v>610.12212</v>
      </c>
      <c r="AQ448" s="551">
        <v>136703.96220720001</v>
      </c>
      <c r="AR448" s="551">
        <v>5.6622000000000003</v>
      </c>
    </row>
    <row r="449" spans="39:44" x14ac:dyDescent="0.3">
      <c r="AM449" s="550">
        <f t="shared" ca="1" si="59"/>
        <v>45506</v>
      </c>
      <c r="AN449" s="551">
        <v>226.36</v>
      </c>
      <c r="AO449" s="551">
        <v>2407606</v>
      </c>
      <c r="AP449" s="551">
        <v>610.12212</v>
      </c>
      <c r="AQ449" s="551">
        <v>138107.24308320001</v>
      </c>
      <c r="AR449" s="551">
        <v>5.7202999999999999</v>
      </c>
    </row>
    <row r="450" spans="39:44" x14ac:dyDescent="0.3">
      <c r="AM450" s="550">
        <f t="shared" ca="1" si="59"/>
        <v>45505</v>
      </c>
      <c r="AN450" s="551">
        <v>226.11</v>
      </c>
      <c r="AO450" s="551">
        <v>3322635</v>
      </c>
      <c r="AP450" s="551">
        <v>610.12212</v>
      </c>
      <c r="AQ450" s="551">
        <v>137954.71255320002</v>
      </c>
      <c r="AR450" s="551">
        <v>5.7140000000000004</v>
      </c>
    </row>
    <row r="451" spans="39:44" x14ac:dyDescent="0.3">
      <c r="AM451" s="550">
        <f t="shared" ca="1" si="59"/>
        <v>45504</v>
      </c>
      <c r="AN451" s="551">
        <v>226.11</v>
      </c>
      <c r="AO451" s="551">
        <v>3322635</v>
      </c>
      <c r="AP451" s="551">
        <v>610.12212</v>
      </c>
      <c r="AQ451" s="551">
        <v>137954.71255320002</v>
      </c>
      <c r="AR451" s="551">
        <v>5.7140000000000004</v>
      </c>
    </row>
    <row r="452" spans="39:44" x14ac:dyDescent="0.3">
      <c r="AM452" s="550">
        <f t="shared" ca="1" si="59"/>
        <v>45503</v>
      </c>
      <c r="AN452" s="551">
        <v>226.11</v>
      </c>
      <c r="AO452" s="551">
        <v>3322635</v>
      </c>
      <c r="AP452" s="551">
        <v>610.12212</v>
      </c>
      <c r="AQ452" s="551">
        <v>137954.71255320002</v>
      </c>
      <c r="AR452" s="551">
        <v>5.7140000000000004</v>
      </c>
    </row>
    <row r="453" spans="39:44" x14ac:dyDescent="0.3">
      <c r="AM453" s="550">
        <f t="shared" ref="AM453:AM516" ca="1" si="60">AM452-1</f>
        <v>45502</v>
      </c>
      <c r="AN453" s="551">
        <v>225.17</v>
      </c>
      <c r="AO453" s="551">
        <v>2267817</v>
      </c>
      <c r="AP453" s="551">
        <v>610.12212</v>
      </c>
      <c r="AQ453" s="551">
        <v>137381.19776039998</v>
      </c>
      <c r="AR453" s="551">
        <v>5.6901999999999999</v>
      </c>
    </row>
    <row r="454" spans="39:44" x14ac:dyDescent="0.3">
      <c r="AM454" s="550">
        <f t="shared" ca="1" si="60"/>
        <v>45501</v>
      </c>
      <c r="AN454" s="551">
        <v>222.58</v>
      </c>
      <c r="AO454" s="551">
        <v>2057245</v>
      </c>
      <c r="AP454" s="551">
        <v>610.12212</v>
      </c>
      <c r="AQ454" s="551">
        <v>135800.9814696</v>
      </c>
      <c r="AR454" s="551">
        <v>5.6247999999999996</v>
      </c>
    </row>
    <row r="455" spans="39:44" x14ac:dyDescent="0.3">
      <c r="AM455" s="550">
        <f t="shared" ca="1" si="60"/>
        <v>45500</v>
      </c>
      <c r="AN455" s="551">
        <v>222.58</v>
      </c>
      <c r="AO455" s="551">
        <v>2057245</v>
      </c>
      <c r="AP455" s="551">
        <v>610.12212</v>
      </c>
      <c r="AQ455" s="551">
        <v>135800.9814696</v>
      </c>
      <c r="AR455" s="551">
        <v>5.6247999999999996</v>
      </c>
    </row>
    <row r="456" spans="39:44" x14ac:dyDescent="0.3">
      <c r="AM456" s="550">
        <f t="shared" ca="1" si="60"/>
        <v>45499</v>
      </c>
      <c r="AN456" s="551">
        <v>221.38</v>
      </c>
      <c r="AO456" s="551">
        <v>3134484</v>
      </c>
      <c r="AP456" s="551">
        <v>610.12212</v>
      </c>
      <c r="AQ456" s="551">
        <v>135068.83492560001</v>
      </c>
      <c r="AR456" s="551">
        <v>5.5945</v>
      </c>
    </row>
    <row r="457" spans="39:44" x14ac:dyDescent="0.3">
      <c r="AM457" s="550">
        <f t="shared" ca="1" si="60"/>
        <v>45498</v>
      </c>
      <c r="AN457" s="551">
        <v>222.1</v>
      </c>
      <c r="AO457" s="551">
        <v>2130498</v>
      </c>
      <c r="AP457" s="551">
        <v>610.12212</v>
      </c>
      <c r="AQ457" s="551">
        <v>135508.122852</v>
      </c>
      <c r="AR457" s="551">
        <v>5.6127000000000002</v>
      </c>
    </row>
    <row r="458" spans="39:44" x14ac:dyDescent="0.3">
      <c r="AM458" s="550">
        <f t="shared" ca="1" si="60"/>
        <v>45497</v>
      </c>
      <c r="AN458" s="551">
        <v>222.1</v>
      </c>
      <c r="AO458" s="551">
        <v>2130498</v>
      </c>
      <c r="AP458" s="551">
        <v>610.12212</v>
      </c>
      <c r="AQ458" s="551">
        <v>135508.122852</v>
      </c>
      <c r="AR458" s="551">
        <v>5.6127000000000002</v>
      </c>
    </row>
    <row r="459" spans="39:44" x14ac:dyDescent="0.3">
      <c r="AM459" s="550">
        <f t="shared" ca="1" si="60"/>
        <v>45496</v>
      </c>
      <c r="AN459" s="551">
        <v>222.1</v>
      </c>
      <c r="AO459" s="551">
        <v>2130498</v>
      </c>
      <c r="AP459" s="551">
        <v>610.12212</v>
      </c>
      <c r="AQ459" s="551">
        <v>135508.122852</v>
      </c>
      <c r="AR459" s="551">
        <v>5.6127000000000002</v>
      </c>
    </row>
    <row r="460" spans="39:44" x14ac:dyDescent="0.3">
      <c r="AM460" s="550">
        <f t="shared" ca="1" si="60"/>
        <v>45495</v>
      </c>
      <c r="AN460" s="551">
        <v>222.12</v>
      </c>
      <c r="AO460" s="551">
        <v>3283888</v>
      </c>
      <c r="AP460" s="551">
        <v>610.12212</v>
      </c>
      <c r="AQ460" s="551">
        <v>135520.32529440001</v>
      </c>
      <c r="AR460" s="551">
        <v>5.6132</v>
      </c>
    </row>
    <row r="461" spans="39:44" x14ac:dyDescent="0.3">
      <c r="AM461" s="550">
        <f t="shared" ca="1" si="60"/>
        <v>45494</v>
      </c>
      <c r="AN461" s="551">
        <v>226.47</v>
      </c>
      <c r="AO461" s="551">
        <v>1931892</v>
      </c>
      <c r="AP461" s="551">
        <v>610.12212</v>
      </c>
      <c r="AQ461" s="551">
        <v>138174.3565164</v>
      </c>
      <c r="AR461" s="551">
        <v>5.7230999999999996</v>
      </c>
    </row>
    <row r="462" spans="39:44" x14ac:dyDescent="0.3">
      <c r="AM462" s="550">
        <f t="shared" ca="1" si="60"/>
        <v>45493</v>
      </c>
      <c r="AN462" s="551">
        <v>227.41</v>
      </c>
      <c r="AO462" s="551">
        <v>1619895</v>
      </c>
      <c r="AP462" s="551">
        <v>610.12212</v>
      </c>
      <c r="AQ462" s="551">
        <v>138747.87130920001</v>
      </c>
      <c r="AR462" s="551">
        <v>5.7468000000000004</v>
      </c>
    </row>
    <row r="463" spans="39:44" x14ac:dyDescent="0.3">
      <c r="AM463" s="550">
        <f t="shared" ca="1" si="60"/>
        <v>45492</v>
      </c>
      <c r="AN463" s="551">
        <v>228.95</v>
      </c>
      <c r="AO463" s="551">
        <v>1884822</v>
      </c>
      <c r="AP463" s="551">
        <v>610.12212</v>
      </c>
      <c r="AQ463" s="551">
        <v>139687.459374</v>
      </c>
      <c r="AR463" s="551">
        <v>5.7858000000000001</v>
      </c>
    </row>
    <row r="464" spans="39:44" x14ac:dyDescent="0.3">
      <c r="AM464" s="550">
        <f t="shared" ca="1" si="60"/>
        <v>45491</v>
      </c>
      <c r="AN464" s="551">
        <v>227.97</v>
      </c>
      <c r="AO464" s="551">
        <v>2555622</v>
      </c>
      <c r="AP464" s="551">
        <v>610.12212</v>
      </c>
      <c r="AQ464" s="551">
        <v>139089.5396964</v>
      </c>
      <c r="AR464" s="551">
        <v>5.7610000000000001</v>
      </c>
    </row>
    <row r="465" spans="39:44" x14ac:dyDescent="0.3">
      <c r="AM465" s="550">
        <f t="shared" ca="1" si="60"/>
        <v>45490</v>
      </c>
      <c r="AN465" s="551">
        <v>227.97</v>
      </c>
      <c r="AO465" s="551">
        <v>2555622</v>
      </c>
      <c r="AP465" s="551">
        <v>610.12212</v>
      </c>
      <c r="AQ465" s="551">
        <v>139089.5396964</v>
      </c>
      <c r="AR465" s="551">
        <v>5.7610000000000001</v>
      </c>
    </row>
    <row r="466" spans="39:44" x14ac:dyDescent="0.3">
      <c r="AM466" s="550">
        <f t="shared" ca="1" si="60"/>
        <v>45489</v>
      </c>
      <c r="AN466" s="551">
        <v>227.97</v>
      </c>
      <c r="AO466" s="551">
        <v>2555622</v>
      </c>
      <c r="AP466" s="551">
        <v>610.12212</v>
      </c>
      <c r="AQ466" s="551">
        <v>139089.5396964</v>
      </c>
      <c r="AR466" s="551">
        <v>5.7610000000000001</v>
      </c>
    </row>
    <row r="467" spans="39:44" x14ac:dyDescent="0.3">
      <c r="AM467" s="550">
        <f t="shared" ca="1" si="60"/>
        <v>45488</v>
      </c>
      <c r="AN467" s="551">
        <v>228.31</v>
      </c>
      <c r="AO467" s="551">
        <v>2023241</v>
      </c>
      <c r="AP467" s="551">
        <v>610.12212</v>
      </c>
      <c r="AQ467" s="551">
        <v>139296.98121719999</v>
      </c>
      <c r="AR467" s="551">
        <v>5.7695999999999996</v>
      </c>
    </row>
    <row r="468" spans="39:44" x14ac:dyDescent="0.3">
      <c r="AM468" s="550">
        <f t="shared" ca="1" si="60"/>
        <v>45487</v>
      </c>
      <c r="AN468" s="551">
        <v>227.41</v>
      </c>
      <c r="AO468" s="551">
        <v>2920756</v>
      </c>
      <c r="AP468" s="551">
        <v>610.12212</v>
      </c>
      <c r="AQ468" s="551">
        <v>138747.87130920001</v>
      </c>
      <c r="AR468" s="551">
        <v>5.7468000000000004</v>
      </c>
    </row>
    <row r="469" spans="39:44" x14ac:dyDescent="0.3">
      <c r="AM469" s="550">
        <f t="shared" ca="1" si="60"/>
        <v>45486</v>
      </c>
      <c r="AN469" s="551">
        <v>227.62</v>
      </c>
      <c r="AO469" s="551">
        <v>1820824</v>
      </c>
      <c r="AP469" s="551">
        <v>610.12212</v>
      </c>
      <c r="AQ469" s="551">
        <v>138875.99695440001</v>
      </c>
      <c r="AR469" s="551">
        <v>5.7522000000000002</v>
      </c>
    </row>
    <row r="470" spans="39:44" x14ac:dyDescent="0.3">
      <c r="AM470" s="550">
        <f t="shared" ca="1" si="60"/>
        <v>45485</v>
      </c>
      <c r="AN470" s="551">
        <v>228.32</v>
      </c>
      <c r="AO470" s="551">
        <v>2593985</v>
      </c>
      <c r="AP470" s="551">
        <v>610.12212</v>
      </c>
      <c r="AQ470" s="551">
        <v>139303.08243839999</v>
      </c>
      <c r="AR470" s="551">
        <v>5.7698</v>
      </c>
    </row>
    <row r="471" spans="39:44" x14ac:dyDescent="0.3">
      <c r="AM471" s="550">
        <f t="shared" ca="1" si="60"/>
        <v>45484</v>
      </c>
      <c r="AN471" s="551">
        <v>232.82</v>
      </c>
      <c r="AO471" s="551">
        <v>5524511</v>
      </c>
      <c r="AP471" s="551">
        <v>610.12212</v>
      </c>
      <c r="AQ471" s="551">
        <v>142048.63197839999</v>
      </c>
      <c r="AR471" s="551">
        <v>5.8836000000000004</v>
      </c>
    </row>
    <row r="472" spans="39:44" x14ac:dyDescent="0.3">
      <c r="AM472" s="550">
        <f t="shared" ca="1" si="60"/>
        <v>45483</v>
      </c>
      <c r="AN472" s="551">
        <v>232.82</v>
      </c>
      <c r="AO472" s="551">
        <v>5524511</v>
      </c>
      <c r="AP472" s="551">
        <v>610.12212</v>
      </c>
      <c r="AQ472" s="551">
        <v>142048.63197839999</v>
      </c>
      <c r="AR472" s="551">
        <v>5.8836000000000004</v>
      </c>
    </row>
    <row r="473" spans="39:44" x14ac:dyDescent="0.3">
      <c r="AM473" s="550">
        <f t="shared" ca="1" si="60"/>
        <v>45482</v>
      </c>
      <c r="AN473" s="551">
        <v>232.82</v>
      </c>
      <c r="AO473" s="551">
        <v>5524511</v>
      </c>
      <c r="AP473" s="551">
        <v>610.12212</v>
      </c>
      <c r="AQ473" s="551">
        <v>142048.63197839999</v>
      </c>
      <c r="AR473" s="551">
        <v>5.8836000000000004</v>
      </c>
    </row>
    <row r="474" spans="39:44" x14ac:dyDescent="0.3">
      <c r="AM474" s="550">
        <f t="shared" ca="1" si="60"/>
        <v>45481</v>
      </c>
      <c r="AN474" s="551">
        <v>229.24</v>
      </c>
      <c r="AO474" s="551">
        <v>2840385</v>
      </c>
      <c r="AP474" s="551">
        <v>610.12212</v>
      </c>
      <c r="AQ474" s="551">
        <v>139864.39478880001</v>
      </c>
      <c r="AR474" s="551">
        <v>5.7930999999999999</v>
      </c>
    </row>
    <row r="475" spans="39:44" x14ac:dyDescent="0.3">
      <c r="AM475" s="550">
        <f t="shared" ca="1" si="60"/>
        <v>45480</v>
      </c>
      <c r="AN475" s="551">
        <v>225.88</v>
      </c>
      <c r="AO475" s="551">
        <v>3279065</v>
      </c>
      <c r="AP475" s="551">
        <v>610.12212</v>
      </c>
      <c r="AQ475" s="551">
        <v>137814.38446559999</v>
      </c>
      <c r="AR475" s="551">
        <v>5.7081999999999997</v>
      </c>
    </row>
    <row r="476" spans="39:44" x14ac:dyDescent="0.3">
      <c r="AM476" s="550">
        <f t="shared" ca="1" si="60"/>
        <v>45479</v>
      </c>
      <c r="AN476" s="551">
        <v>229.01</v>
      </c>
      <c r="AO476" s="551">
        <v>2480869</v>
      </c>
      <c r="AP476" s="551">
        <v>610.12212</v>
      </c>
      <c r="AQ476" s="551">
        <v>139724.0667012</v>
      </c>
      <c r="AR476" s="551">
        <v>5.7873000000000001</v>
      </c>
    </row>
    <row r="477" spans="39:44" x14ac:dyDescent="0.3">
      <c r="AM477" s="550">
        <f t="shared" ca="1" si="60"/>
        <v>45478</v>
      </c>
      <c r="AN477" s="551">
        <v>232.05</v>
      </c>
      <c r="AO477" s="551">
        <v>2305534</v>
      </c>
      <c r="AP477" s="551">
        <v>610.12212</v>
      </c>
      <c r="AQ477" s="551">
        <v>141578.83794600001</v>
      </c>
      <c r="AR477" s="551">
        <v>5.8640999999999996</v>
      </c>
    </row>
    <row r="478" spans="39:44" x14ac:dyDescent="0.3">
      <c r="AM478" s="550">
        <f t="shared" ca="1" si="60"/>
        <v>45477</v>
      </c>
      <c r="AN478" s="551">
        <v>232.05</v>
      </c>
      <c r="AO478" s="551">
        <v>2305534</v>
      </c>
      <c r="AP478" s="551">
        <v>610.12212</v>
      </c>
      <c r="AQ478" s="551">
        <v>141578.83794600001</v>
      </c>
      <c r="AR478" s="551">
        <v>5.8640999999999996</v>
      </c>
    </row>
    <row r="479" spans="39:44" x14ac:dyDescent="0.3">
      <c r="AM479" s="550">
        <f t="shared" ca="1" si="60"/>
        <v>45476</v>
      </c>
      <c r="AN479" s="551">
        <v>232.05</v>
      </c>
      <c r="AO479" s="551">
        <v>2305534</v>
      </c>
      <c r="AP479" s="551">
        <v>610.12212</v>
      </c>
      <c r="AQ479" s="551">
        <v>141578.83794600001</v>
      </c>
      <c r="AR479" s="551">
        <v>5.8640999999999996</v>
      </c>
    </row>
    <row r="480" spans="39:44" x14ac:dyDescent="0.3">
      <c r="AM480" s="550">
        <f t="shared" ca="1" si="60"/>
        <v>45475</v>
      </c>
      <c r="AN480" s="551">
        <v>232.05</v>
      </c>
      <c r="AO480" s="551">
        <v>2305534</v>
      </c>
      <c r="AP480" s="551">
        <v>610.12212</v>
      </c>
      <c r="AQ480" s="551">
        <v>141578.83794600001</v>
      </c>
      <c r="AR480" s="551">
        <v>5.8640999999999996</v>
      </c>
    </row>
    <row r="481" spans="39:44" x14ac:dyDescent="0.3">
      <c r="AM481" s="550">
        <f t="shared" ca="1" si="60"/>
        <v>45474</v>
      </c>
      <c r="AN481" s="551">
        <v>232.71</v>
      </c>
      <c r="AO481" s="551">
        <v>2815747</v>
      </c>
      <c r="AP481" s="551">
        <v>610.12212</v>
      </c>
      <c r="AQ481" s="551">
        <v>141981.5185452</v>
      </c>
      <c r="AR481" s="551">
        <v>5.8807999999999998</v>
      </c>
    </row>
    <row r="482" spans="39:44" x14ac:dyDescent="0.3">
      <c r="AM482" s="550">
        <f t="shared" ca="1" si="60"/>
        <v>45473</v>
      </c>
      <c r="AN482" s="551">
        <v>234.71</v>
      </c>
      <c r="AO482" s="551">
        <v>2634161</v>
      </c>
      <c r="AP482" s="551">
        <v>610.12212</v>
      </c>
      <c r="AQ482" s="551">
        <v>143201.7627852</v>
      </c>
      <c r="AR482" s="551">
        <v>5.9313000000000002</v>
      </c>
    </row>
    <row r="483" spans="39:44" x14ac:dyDescent="0.3">
      <c r="AM483" s="550">
        <f t="shared" ca="1" si="60"/>
        <v>45472</v>
      </c>
      <c r="AN483" s="551">
        <v>234.96</v>
      </c>
      <c r="AO483" s="551">
        <v>2967591</v>
      </c>
      <c r="AP483" s="551">
        <v>610.12212</v>
      </c>
      <c r="AQ483" s="551">
        <v>143354.29331519999</v>
      </c>
      <c r="AR483" s="551">
        <v>5.9375999999999998</v>
      </c>
    </row>
    <row r="484" spans="39:44" x14ac:dyDescent="0.3">
      <c r="AM484" s="550">
        <f t="shared" ca="1" si="60"/>
        <v>45471</v>
      </c>
      <c r="AN484" s="551">
        <v>243.63</v>
      </c>
      <c r="AO484" s="551">
        <v>1130283</v>
      </c>
      <c r="AP484" s="551">
        <v>610.12212</v>
      </c>
      <c r="AQ484" s="551">
        <v>148644.0520956</v>
      </c>
      <c r="AR484" s="551">
        <v>6.1566999999999998</v>
      </c>
    </row>
    <row r="485" spans="39:44" x14ac:dyDescent="0.3">
      <c r="AM485" s="550">
        <f t="shared" ca="1" si="60"/>
        <v>45470</v>
      </c>
      <c r="AN485" s="551">
        <v>244.97</v>
      </c>
      <c r="AO485" s="551">
        <v>2105806</v>
      </c>
      <c r="AP485" s="551">
        <v>610.12212</v>
      </c>
      <c r="AQ485" s="551">
        <v>149461.61573640001</v>
      </c>
      <c r="AR485" s="551">
        <v>6.1905999999999999</v>
      </c>
    </row>
    <row r="486" spans="39:44" x14ac:dyDescent="0.3">
      <c r="AM486" s="550">
        <f t="shared" ca="1" si="60"/>
        <v>45469</v>
      </c>
      <c r="AN486" s="551">
        <v>244.97</v>
      </c>
      <c r="AO486" s="551">
        <v>2105806</v>
      </c>
      <c r="AP486" s="551">
        <v>610.12212</v>
      </c>
      <c r="AQ486" s="551">
        <v>149461.61573640001</v>
      </c>
      <c r="AR486" s="551">
        <v>6.1905999999999999</v>
      </c>
    </row>
    <row r="487" spans="39:44" x14ac:dyDescent="0.3">
      <c r="AM487" s="550">
        <f t="shared" ca="1" si="60"/>
        <v>45468</v>
      </c>
      <c r="AN487" s="551">
        <v>244.97</v>
      </c>
      <c r="AO487" s="551">
        <v>2105806</v>
      </c>
      <c r="AP487" s="551">
        <v>610.12212</v>
      </c>
      <c r="AQ487" s="551">
        <v>149461.61573640001</v>
      </c>
      <c r="AR487" s="551">
        <v>6.1905999999999999</v>
      </c>
    </row>
    <row r="488" spans="39:44" x14ac:dyDescent="0.3">
      <c r="AM488" s="550">
        <f t="shared" ca="1" si="60"/>
        <v>45467</v>
      </c>
      <c r="AN488" s="551">
        <v>245.9</v>
      </c>
      <c r="AO488" s="551">
        <v>1526046</v>
      </c>
      <c r="AP488" s="551">
        <v>610.12212</v>
      </c>
      <c r="AQ488" s="551">
        <v>150029.029308</v>
      </c>
      <c r="AR488" s="551">
        <v>6.2141000000000002</v>
      </c>
    </row>
    <row r="489" spans="39:44" x14ac:dyDescent="0.3">
      <c r="AM489" s="550">
        <f t="shared" ca="1" si="60"/>
        <v>45466</v>
      </c>
      <c r="AN489" s="551">
        <v>246.54</v>
      </c>
      <c r="AO489" s="551">
        <v>1769238</v>
      </c>
      <c r="AP489" s="551">
        <v>610.12212</v>
      </c>
      <c r="AQ489" s="551">
        <v>150419.5074648</v>
      </c>
      <c r="AR489" s="551">
        <v>6.2302999999999997</v>
      </c>
    </row>
    <row r="490" spans="39:44" x14ac:dyDescent="0.3">
      <c r="AM490" s="550">
        <f t="shared" ca="1" si="60"/>
        <v>45465</v>
      </c>
      <c r="AN490" s="551">
        <v>244.94</v>
      </c>
      <c r="AO490" s="551">
        <v>1357477</v>
      </c>
      <c r="AP490" s="551">
        <v>610.12212</v>
      </c>
      <c r="AQ490" s="551">
        <v>149443.31207280001</v>
      </c>
      <c r="AR490" s="551">
        <v>6.1898</v>
      </c>
    </row>
    <row r="491" spans="39:44" x14ac:dyDescent="0.3">
      <c r="AM491" s="550">
        <f t="shared" ca="1" si="60"/>
        <v>45464</v>
      </c>
      <c r="AN491" s="551">
        <v>245.68</v>
      </c>
      <c r="AO491" s="551">
        <v>1317192</v>
      </c>
      <c r="AP491" s="551">
        <v>610.12212</v>
      </c>
      <c r="AQ491" s="551">
        <v>149894.80244160001</v>
      </c>
      <c r="AR491" s="551">
        <v>6.2084999999999999</v>
      </c>
    </row>
    <row r="492" spans="39:44" x14ac:dyDescent="0.3">
      <c r="AM492" s="550">
        <f t="shared" ca="1" si="60"/>
        <v>45463</v>
      </c>
      <c r="AN492" s="551">
        <v>247.4</v>
      </c>
      <c r="AO492" s="551">
        <v>1299524</v>
      </c>
      <c r="AP492" s="551">
        <v>610.12212</v>
      </c>
      <c r="AQ492" s="551">
        <v>150944.21248799999</v>
      </c>
      <c r="AR492" s="551">
        <v>6.2519999999999998</v>
      </c>
    </row>
    <row r="493" spans="39:44" x14ac:dyDescent="0.3">
      <c r="AM493" s="550">
        <f t="shared" ca="1" si="60"/>
        <v>45462</v>
      </c>
      <c r="AN493" s="551">
        <v>247.4</v>
      </c>
      <c r="AO493" s="551">
        <v>1299524</v>
      </c>
      <c r="AP493" s="551">
        <v>610.12212</v>
      </c>
      <c r="AQ493" s="551">
        <v>150944.21248799999</v>
      </c>
      <c r="AR493" s="551">
        <v>6.2519999999999998</v>
      </c>
    </row>
    <row r="494" spans="39:44" x14ac:dyDescent="0.3">
      <c r="AM494" s="550">
        <f t="shared" ca="1" si="60"/>
        <v>45461</v>
      </c>
      <c r="AN494" s="551">
        <v>247.4</v>
      </c>
      <c r="AO494" s="551">
        <v>1299524</v>
      </c>
      <c r="AP494" s="551">
        <v>610.12212</v>
      </c>
      <c r="AQ494" s="551">
        <v>150944.21248799999</v>
      </c>
      <c r="AR494" s="551">
        <v>6.2519999999999998</v>
      </c>
    </row>
    <row r="495" spans="39:44" x14ac:dyDescent="0.3">
      <c r="AM495" s="550">
        <f t="shared" ca="1" si="60"/>
        <v>45460</v>
      </c>
      <c r="AN495" s="551">
        <v>246.61</v>
      </c>
      <c r="AO495" s="551">
        <v>1765166</v>
      </c>
      <c r="AP495" s="551">
        <v>610.12212</v>
      </c>
      <c r="AQ495" s="551">
        <v>150462.2160132</v>
      </c>
      <c r="AR495" s="551">
        <v>6.2320000000000002</v>
      </c>
    </row>
    <row r="496" spans="39:44" x14ac:dyDescent="0.3">
      <c r="AM496" s="550">
        <f t="shared" ca="1" si="60"/>
        <v>45459</v>
      </c>
      <c r="AN496" s="551">
        <v>245.9</v>
      </c>
      <c r="AO496" s="551">
        <v>1739000</v>
      </c>
      <c r="AP496" s="551">
        <v>610.12212</v>
      </c>
      <c r="AQ496" s="551">
        <v>150029.029308</v>
      </c>
      <c r="AR496" s="551">
        <v>6.2141000000000002</v>
      </c>
    </row>
    <row r="497" spans="39:44" x14ac:dyDescent="0.3">
      <c r="AM497" s="550">
        <f t="shared" ca="1" si="60"/>
        <v>45458</v>
      </c>
      <c r="AN497" s="551">
        <v>242.38</v>
      </c>
      <c r="AO497" s="551">
        <v>1585332</v>
      </c>
      <c r="AP497" s="551">
        <v>610.12212</v>
      </c>
      <c r="AQ497" s="551">
        <v>147881.39944559999</v>
      </c>
      <c r="AR497" s="551">
        <v>6.1252000000000004</v>
      </c>
    </row>
    <row r="498" spans="39:44" x14ac:dyDescent="0.3">
      <c r="AM498" s="550">
        <f t="shared" ca="1" si="60"/>
        <v>45457</v>
      </c>
      <c r="AN498" s="551">
        <v>239.21</v>
      </c>
      <c r="AO498" s="551">
        <v>1527724</v>
      </c>
      <c r="AP498" s="551">
        <v>610.12212</v>
      </c>
      <c r="AQ498" s="551">
        <v>145947.31232520001</v>
      </c>
      <c r="AR498" s="551">
        <v>6.0449999999999999</v>
      </c>
    </row>
    <row r="499" spans="39:44" x14ac:dyDescent="0.3">
      <c r="AM499" s="550">
        <f t="shared" ca="1" si="60"/>
        <v>45456</v>
      </c>
      <c r="AN499" s="551">
        <v>240.36</v>
      </c>
      <c r="AO499" s="551">
        <v>2174714</v>
      </c>
      <c r="AP499" s="551">
        <v>610.12212</v>
      </c>
      <c r="AQ499" s="551">
        <v>146648.95276320001</v>
      </c>
      <c r="AR499" s="551">
        <v>6.0740999999999996</v>
      </c>
    </row>
    <row r="500" spans="39:44" x14ac:dyDescent="0.3">
      <c r="AM500" s="550">
        <f t="shared" ca="1" si="60"/>
        <v>45455</v>
      </c>
      <c r="AN500" s="551">
        <v>240.36</v>
      </c>
      <c r="AO500" s="551">
        <v>2174714</v>
      </c>
      <c r="AP500" s="551">
        <v>610.12212</v>
      </c>
      <c r="AQ500" s="551">
        <v>146648.95276320001</v>
      </c>
      <c r="AR500" s="551">
        <v>6.0740999999999996</v>
      </c>
    </row>
    <row r="501" spans="39:44" x14ac:dyDescent="0.3">
      <c r="AM501" s="550">
        <f t="shared" ca="1" si="60"/>
        <v>45454</v>
      </c>
      <c r="AN501" s="551">
        <v>240.36</v>
      </c>
      <c r="AO501" s="551">
        <v>2174714</v>
      </c>
      <c r="AP501" s="551">
        <v>610.12212</v>
      </c>
      <c r="AQ501" s="551">
        <v>146648.95276320001</v>
      </c>
      <c r="AR501" s="551">
        <v>6.0740999999999996</v>
      </c>
    </row>
    <row r="502" spans="39:44" x14ac:dyDescent="0.3">
      <c r="AM502" s="550">
        <f t="shared" ca="1" si="60"/>
        <v>45453</v>
      </c>
      <c r="AN502" s="551">
        <v>237.69</v>
      </c>
      <c r="AO502" s="551">
        <v>2440891</v>
      </c>
      <c r="AP502" s="551">
        <v>610.12212</v>
      </c>
      <c r="AQ502" s="551">
        <v>145019.9267028</v>
      </c>
      <c r="AR502" s="551">
        <v>6.0065999999999997</v>
      </c>
    </row>
    <row r="503" spans="39:44" x14ac:dyDescent="0.3">
      <c r="AM503" s="550">
        <f t="shared" ca="1" si="60"/>
        <v>45452</v>
      </c>
      <c r="AN503" s="551">
        <v>234.96</v>
      </c>
      <c r="AO503" s="551">
        <v>1651734</v>
      </c>
      <c r="AP503" s="551">
        <v>610.12212</v>
      </c>
      <c r="AQ503" s="551">
        <v>143354.29331519999</v>
      </c>
      <c r="AR503" s="551">
        <v>5.9375999999999998</v>
      </c>
    </row>
    <row r="504" spans="39:44" x14ac:dyDescent="0.3">
      <c r="AM504" s="550">
        <f t="shared" ca="1" si="60"/>
        <v>45451</v>
      </c>
      <c r="AN504" s="551">
        <v>237.16</v>
      </c>
      <c r="AO504" s="551">
        <v>1737008</v>
      </c>
      <c r="AP504" s="551">
        <v>610.12212</v>
      </c>
      <c r="AQ504" s="551">
        <v>144696.56197919999</v>
      </c>
      <c r="AR504" s="551">
        <v>5.9931999999999999</v>
      </c>
    </row>
    <row r="505" spans="39:44" x14ac:dyDescent="0.3">
      <c r="AM505" s="550">
        <f t="shared" ca="1" si="60"/>
        <v>45450</v>
      </c>
      <c r="AN505" s="551">
        <v>240.95</v>
      </c>
      <c r="AO505" s="551">
        <v>1730440</v>
      </c>
      <c r="AP505" s="551">
        <v>610.12212</v>
      </c>
      <c r="AQ505" s="551">
        <v>147008.924814</v>
      </c>
      <c r="AR505" s="551">
        <v>6.0890000000000004</v>
      </c>
    </row>
    <row r="506" spans="39:44" x14ac:dyDescent="0.3">
      <c r="AM506" s="550">
        <f t="shared" ca="1" si="60"/>
        <v>45449</v>
      </c>
      <c r="AN506" s="551">
        <v>242.79</v>
      </c>
      <c r="AO506" s="551">
        <v>2255458</v>
      </c>
      <c r="AP506" s="551">
        <v>610.12212</v>
      </c>
      <c r="AQ506" s="551">
        <v>148131.54951479999</v>
      </c>
      <c r="AR506" s="551">
        <v>6.1355000000000004</v>
      </c>
    </row>
    <row r="507" spans="39:44" x14ac:dyDescent="0.3">
      <c r="AM507" s="550">
        <f t="shared" ca="1" si="60"/>
        <v>45448</v>
      </c>
      <c r="AN507" s="551">
        <v>242.79</v>
      </c>
      <c r="AO507" s="551">
        <v>2255458</v>
      </c>
      <c r="AP507" s="551">
        <v>610.12212</v>
      </c>
      <c r="AQ507" s="551">
        <v>148131.54951479999</v>
      </c>
      <c r="AR507" s="551">
        <v>6.1355000000000004</v>
      </c>
    </row>
    <row r="508" spans="39:44" x14ac:dyDescent="0.3">
      <c r="AM508" s="550">
        <f t="shared" ca="1" si="60"/>
        <v>45447</v>
      </c>
      <c r="AN508" s="551">
        <v>242.79</v>
      </c>
      <c r="AO508" s="551">
        <v>2255458</v>
      </c>
      <c r="AP508" s="551">
        <v>610.12212</v>
      </c>
      <c r="AQ508" s="551">
        <v>148131.54951479999</v>
      </c>
      <c r="AR508" s="551">
        <v>6.1355000000000004</v>
      </c>
    </row>
    <row r="509" spans="39:44" x14ac:dyDescent="0.3">
      <c r="AM509" s="550">
        <f t="shared" ca="1" si="60"/>
        <v>45446</v>
      </c>
      <c r="AN509" s="551">
        <v>243.55</v>
      </c>
      <c r="AO509" s="551">
        <v>3897600</v>
      </c>
      <c r="AP509" s="551">
        <v>610.12212</v>
      </c>
      <c r="AQ509" s="551">
        <v>148595.24232600001</v>
      </c>
      <c r="AR509" s="551">
        <v>6.1547000000000001</v>
      </c>
    </row>
    <row r="510" spans="39:44" x14ac:dyDescent="0.3">
      <c r="AM510" s="550">
        <f t="shared" ca="1" si="60"/>
        <v>45445</v>
      </c>
      <c r="AN510" s="551">
        <v>231.98</v>
      </c>
      <c r="AO510" s="551">
        <v>2951169</v>
      </c>
      <c r="AP510" s="551">
        <v>610.09636</v>
      </c>
      <c r="AQ510" s="551">
        <v>141530.15359279999</v>
      </c>
      <c r="AR510" s="551">
        <v>5.8623000000000003</v>
      </c>
    </row>
    <row r="511" spans="39:44" x14ac:dyDescent="0.3">
      <c r="AM511" s="550">
        <f t="shared" ca="1" si="60"/>
        <v>45444</v>
      </c>
      <c r="AN511" s="551">
        <v>236.29</v>
      </c>
      <c r="AO511" s="551">
        <v>1980828</v>
      </c>
      <c r="AP511" s="551">
        <v>610.09636</v>
      </c>
      <c r="AQ511" s="551">
        <v>144159.66890439999</v>
      </c>
      <c r="AR511" s="551">
        <v>5.9713000000000003</v>
      </c>
    </row>
    <row r="512" spans="39:44" x14ac:dyDescent="0.3">
      <c r="AM512" s="550">
        <f t="shared" ca="1" si="60"/>
        <v>45443</v>
      </c>
      <c r="AN512" s="551">
        <v>234.47</v>
      </c>
      <c r="AO512" s="551">
        <v>2200025</v>
      </c>
      <c r="AP512" s="551">
        <v>610.09636</v>
      </c>
      <c r="AQ512" s="551">
        <v>143049.29352919999</v>
      </c>
      <c r="AR512" s="551">
        <v>5.9253</v>
      </c>
    </row>
    <row r="513" spans="39:44" x14ac:dyDescent="0.3">
      <c r="AM513" s="550">
        <f t="shared" ca="1" si="60"/>
        <v>45442</v>
      </c>
      <c r="AN513" s="551">
        <v>232.08</v>
      </c>
      <c r="AO513" s="551">
        <v>2971911</v>
      </c>
      <c r="AP513" s="551">
        <v>610.09636</v>
      </c>
      <c r="AQ513" s="551">
        <v>141591.1632288</v>
      </c>
      <c r="AR513" s="551">
        <v>5.8648999999999996</v>
      </c>
    </row>
    <row r="514" spans="39:44" x14ac:dyDescent="0.3">
      <c r="AM514" s="550">
        <f t="shared" ca="1" si="60"/>
        <v>45441</v>
      </c>
      <c r="AN514" s="551">
        <v>232.08</v>
      </c>
      <c r="AO514" s="551">
        <v>2971911</v>
      </c>
      <c r="AP514" s="551">
        <v>610.09636</v>
      </c>
      <c r="AQ514" s="551">
        <v>141591.1632288</v>
      </c>
      <c r="AR514" s="551">
        <v>5.8648999999999996</v>
      </c>
    </row>
    <row r="515" spans="39:44" x14ac:dyDescent="0.3">
      <c r="AM515" s="550">
        <f t="shared" ca="1" si="60"/>
        <v>45440</v>
      </c>
      <c r="AN515" s="551">
        <v>232.08</v>
      </c>
      <c r="AO515" s="551">
        <v>2971911</v>
      </c>
      <c r="AP515" s="551">
        <v>610.09636</v>
      </c>
      <c r="AQ515" s="551">
        <v>141591.1632288</v>
      </c>
      <c r="AR515" s="551">
        <v>5.8648999999999996</v>
      </c>
    </row>
    <row r="516" spans="39:44" x14ac:dyDescent="0.3">
      <c r="AM516" s="550">
        <f t="shared" ca="1" si="60"/>
        <v>45439</v>
      </c>
      <c r="AN516" s="551">
        <v>229.81</v>
      </c>
      <c r="AO516" s="551">
        <v>1570176</v>
      </c>
      <c r="AP516" s="551">
        <v>610.09636</v>
      </c>
      <c r="AQ516" s="551">
        <v>140206.24449159999</v>
      </c>
      <c r="AR516" s="551">
        <v>5.8075000000000001</v>
      </c>
    </row>
    <row r="517" spans="39:44" x14ac:dyDescent="0.3">
      <c r="AM517" s="550">
        <f t="shared" ref="AM517:AM580" ca="1" si="61">AM516-1</f>
        <v>45438</v>
      </c>
      <c r="AN517" s="551">
        <v>229.23</v>
      </c>
      <c r="AO517" s="551">
        <v>1997011</v>
      </c>
      <c r="AP517" s="551">
        <v>610.09636</v>
      </c>
      <c r="AQ517" s="551">
        <v>139852.3886028</v>
      </c>
      <c r="AR517" s="551">
        <v>5.7927999999999997</v>
      </c>
    </row>
    <row r="518" spans="39:44" x14ac:dyDescent="0.3">
      <c r="AM518" s="550">
        <f t="shared" ca="1" si="61"/>
        <v>45437</v>
      </c>
      <c r="AN518" s="551">
        <v>231.26</v>
      </c>
      <c r="AO518" s="551">
        <v>2025415</v>
      </c>
      <c r="AP518" s="551">
        <v>610.09636</v>
      </c>
      <c r="AQ518" s="551">
        <v>141090.88421359999</v>
      </c>
      <c r="AR518" s="551">
        <v>5.8441000000000001</v>
      </c>
    </row>
    <row r="519" spans="39:44" x14ac:dyDescent="0.3">
      <c r="AM519" s="550">
        <f t="shared" ca="1" si="61"/>
        <v>45436</v>
      </c>
      <c r="AN519" s="551">
        <v>233.94</v>
      </c>
      <c r="AO519" s="551">
        <v>2297997</v>
      </c>
      <c r="AP519" s="551">
        <v>610.09636</v>
      </c>
      <c r="AQ519" s="551">
        <v>142725.94245840001</v>
      </c>
      <c r="AR519" s="551">
        <v>5.9119000000000002</v>
      </c>
    </row>
    <row r="520" spans="39:44" x14ac:dyDescent="0.3">
      <c r="AM520" s="550">
        <f t="shared" ca="1" si="61"/>
        <v>45435</v>
      </c>
      <c r="AN520" s="551">
        <v>234.4</v>
      </c>
      <c r="AO520" s="551">
        <v>2594970</v>
      </c>
      <c r="AP520" s="551">
        <v>610.09636</v>
      </c>
      <c r="AQ520" s="551">
        <v>143006.58678400001</v>
      </c>
      <c r="AR520" s="551">
        <v>5.9234999999999998</v>
      </c>
    </row>
    <row r="521" spans="39:44" x14ac:dyDescent="0.3">
      <c r="AM521" s="550">
        <f t="shared" ca="1" si="61"/>
        <v>45434</v>
      </c>
      <c r="AN521" s="551">
        <v>234.4</v>
      </c>
      <c r="AO521" s="551">
        <v>2594970</v>
      </c>
      <c r="AP521" s="551">
        <v>610.09636</v>
      </c>
      <c r="AQ521" s="551">
        <v>143006.58678400001</v>
      </c>
      <c r="AR521" s="551">
        <v>5.9234999999999998</v>
      </c>
    </row>
    <row r="522" spans="39:44" x14ac:dyDescent="0.3">
      <c r="AM522" s="550">
        <f t="shared" ca="1" si="61"/>
        <v>45433</v>
      </c>
      <c r="AN522" s="551">
        <v>234.4</v>
      </c>
      <c r="AO522" s="551">
        <v>2594970</v>
      </c>
      <c r="AP522" s="551">
        <v>610.09636</v>
      </c>
      <c r="AQ522" s="551">
        <v>143006.58678400001</v>
      </c>
      <c r="AR522" s="551">
        <v>5.9234999999999998</v>
      </c>
    </row>
    <row r="523" spans="39:44" x14ac:dyDescent="0.3">
      <c r="AM523" s="550">
        <f t="shared" ca="1" si="61"/>
        <v>45432</v>
      </c>
      <c r="AN523" s="551">
        <v>236.16</v>
      </c>
      <c r="AO523" s="551">
        <v>1692360</v>
      </c>
      <c r="AP523" s="551">
        <v>610.09636</v>
      </c>
      <c r="AQ523" s="551">
        <v>144080.35637759999</v>
      </c>
      <c r="AR523" s="551">
        <v>5.968</v>
      </c>
    </row>
    <row r="524" spans="39:44" x14ac:dyDescent="0.3">
      <c r="AM524" s="550">
        <f t="shared" ca="1" si="61"/>
        <v>45431</v>
      </c>
      <c r="AN524" s="551">
        <v>236.85</v>
      </c>
      <c r="AO524" s="551">
        <v>2181008</v>
      </c>
      <c r="AP524" s="551">
        <v>610.09636</v>
      </c>
      <c r="AQ524" s="551">
        <v>144501.322866</v>
      </c>
      <c r="AR524" s="551">
        <v>5.9854000000000003</v>
      </c>
    </row>
    <row r="525" spans="39:44" x14ac:dyDescent="0.3">
      <c r="AM525" s="550">
        <f t="shared" ca="1" si="61"/>
        <v>45430</v>
      </c>
      <c r="AN525" s="551">
        <v>240.79</v>
      </c>
      <c r="AO525" s="551">
        <v>1736948</v>
      </c>
      <c r="AP525" s="551">
        <v>610.09636</v>
      </c>
      <c r="AQ525" s="551">
        <v>146905.10252439999</v>
      </c>
      <c r="AR525" s="551">
        <v>6.085</v>
      </c>
    </row>
    <row r="526" spans="39:44" x14ac:dyDescent="0.3">
      <c r="AM526" s="550">
        <f t="shared" ca="1" si="61"/>
        <v>45429</v>
      </c>
      <c r="AN526" s="551">
        <v>240.29</v>
      </c>
      <c r="AO526" s="551">
        <v>2139221</v>
      </c>
      <c r="AP526" s="551">
        <v>610.09636</v>
      </c>
      <c r="AQ526" s="551">
        <v>146600.05434440001</v>
      </c>
      <c r="AR526" s="551">
        <v>6.0723000000000003</v>
      </c>
    </row>
    <row r="527" spans="39:44" x14ac:dyDescent="0.3">
      <c r="AM527" s="550">
        <f t="shared" ca="1" si="61"/>
        <v>45428</v>
      </c>
      <c r="AN527" s="551">
        <v>242.01</v>
      </c>
      <c r="AO527" s="551">
        <v>1503722</v>
      </c>
      <c r="AP527" s="551">
        <v>610.09636</v>
      </c>
      <c r="AQ527" s="551">
        <v>147649.42008360001</v>
      </c>
      <c r="AR527" s="551">
        <v>6.1158000000000001</v>
      </c>
    </row>
    <row r="528" spans="39:44" x14ac:dyDescent="0.3">
      <c r="AM528" s="550">
        <f t="shared" ca="1" si="61"/>
        <v>45427</v>
      </c>
      <c r="AN528" s="551">
        <v>242.01</v>
      </c>
      <c r="AO528" s="551">
        <v>1503722</v>
      </c>
      <c r="AP528" s="551">
        <v>610.09636</v>
      </c>
      <c r="AQ528" s="551">
        <v>147649.42008360001</v>
      </c>
      <c r="AR528" s="551">
        <v>6.1158000000000001</v>
      </c>
    </row>
    <row r="529" spans="39:44" x14ac:dyDescent="0.3">
      <c r="AM529" s="550">
        <f t="shared" ca="1" si="61"/>
        <v>45426</v>
      </c>
      <c r="AN529" s="551">
        <v>242.01</v>
      </c>
      <c r="AO529" s="551">
        <v>1503722</v>
      </c>
      <c r="AP529" s="551">
        <v>610.09636</v>
      </c>
      <c r="AQ529" s="551">
        <v>147649.42008360001</v>
      </c>
      <c r="AR529" s="551">
        <v>6.1158000000000001</v>
      </c>
    </row>
    <row r="530" spans="39:44" x14ac:dyDescent="0.3">
      <c r="AM530" s="550">
        <f t="shared" ca="1" si="61"/>
        <v>45425</v>
      </c>
      <c r="AN530" s="551">
        <v>240.69</v>
      </c>
      <c r="AO530" s="551">
        <v>2062525</v>
      </c>
      <c r="AP530" s="551">
        <v>610.09636</v>
      </c>
      <c r="AQ530" s="551">
        <v>146844.09288839999</v>
      </c>
      <c r="AR530" s="551">
        <v>6.0823999999999998</v>
      </c>
    </row>
    <row r="531" spans="39:44" x14ac:dyDescent="0.3">
      <c r="AM531" s="550">
        <f t="shared" ca="1" si="61"/>
        <v>45424</v>
      </c>
      <c r="AN531" s="551">
        <v>241.55</v>
      </c>
      <c r="AO531" s="551">
        <v>2097225</v>
      </c>
      <c r="AP531" s="551">
        <v>610.09636</v>
      </c>
      <c r="AQ531" s="551">
        <v>147368.775758</v>
      </c>
      <c r="AR531" s="551">
        <v>6.1041999999999996</v>
      </c>
    </row>
    <row r="532" spans="39:44" x14ac:dyDescent="0.3">
      <c r="AM532" s="550">
        <f t="shared" ca="1" si="61"/>
        <v>45423</v>
      </c>
      <c r="AN532" s="551">
        <v>242.53</v>
      </c>
      <c r="AO532" s="551">
        <v>2019453</v>
      </c>
      <c r="AP532" s="551">
        <v>610.09636</v>
      </c>
      <c r="AQ532" s="551">
        <v>147966.67019080001</v>
      </c>
      <c r="AR532" s="551">
        <v>6.1288999999999998</v>
      </c>
    </row>
    <row r="533" spans="39:44" x14ac:dyDescent="0.3">
      <c r="AM533" s="550">
        <f t="shared" ca="1" si="61"/>
        <v>45422</v>
      </c>
      <c r="AN533" s="551">
        <v>243.3</v>
      </c>
      <c r="AO533" s="551">
        <v>2493861</v>
      </c>
      <c r="AP533" s="551">
        <v>610.09636</v>
      </c>
      <c r="AQ533" s="551">
        <v>148436.444388</v>
      </c>
      <c r="AR533" s="551">
        <v>6.1483999999999996</v>
      </c>
    </row>
    <row r="534" spans="39:44" x14ac:dyDescent="0.3">
      <c r="AM534" s="550">
        <f t="shared" ca="1" si="61"/>
        <v>45421</v>
      </c>
      <c r="AN534" s="551">
        <v>245.93</v>
      </c>
      <c r="AO534" s="551">
        <v>2265924</v>
      </c>
      <c r="AP534" s="551">
        <v>610.09636</v>
      </c>
      <c r="AQ534" s="551">
        <v>150040.99781480001</v>
      </c>
      <c r="AR534" s="551">
        <v>6.2119999999999997</v>
      </c>
    </row>
    <row r="535" spans="39:44" x14ac:dyDescent="0.3">
      <c r="AM535" s="550">
        <f t="shared" ca="1" si="61"/>
        <v>45420</v>
      </c>
      <c r="AN535" s="551">
        <v>245.93</v>
      </c>
      <c r="AO535" s="551">
        <v>2265924</v>
      </c>
      <c r="AP535" s="551">
        <v>610.09636</v>
      </c>
      <c r="AQ535" s="551">
        <v>150040.99781480001</v>
      </c>
      <c r="AR535" s="551">
        <v>6.2119999999999997</v>
      </c>
    </row>
    <row r="536" spans="39:44" x14ac:dyDescent="0.3">
      <c r="AM536" s="550">
        <f t="shared" ca="1" si="61"/>
        <v>45419</v>
      </c>
      <c r="AN536" s="551">
        <v>245.93</v>
      </c>
      <c r="AO536" s="551">
        <v>2265924</v>
      </c>
      <c r="AP536" s="551">
        <v>610.09636</v>
      </c>
      <c r="AQ536" s="551">
        <v>150040.99781480001</v>
      </c>
      <c r="AR536" s="551">
        <v>6.2119999999999997</v>
      </c>
    </row>
    <row r="537" spans="39:44" x14ac:dyDescent="0.3">
      <c r="AM537" s="550">
        <f t="shared" ca="1" si="61"/>
        <v>45418</v>
      </c>
      <c r="AN537" s="551">
        <v>245.93</v>
      </c>
      <c r="AO537" s="551">
        <v>2265924</v>
      </c>
      <c r="AP537" s="551">
        <v>610.09636</v>
      </c>
      <c r="AQ537" s="551">
        <v>150040.99781480001</v>
      </c>
      <c r="AR537" s="551">
        <v>6.2119999999999997</v>
      </c>
    </row>
    <row r="538" spans="39:44" x14ac:dyDescent="0.3">
      <c r="AM538" s="550">
        <f t="shared" ca="1" si="61"/>
        <v>45417</v>
      </c>
      <c r="AN538" s="551">
        <v>244.63</v>
      </c>
      <c r="AO538" s="551">
        <v>2150556</v>
      </c>
      <c r="AP538" s="551">
        <v>610.09636</v>
      </c>
      <c r="AQ538" s="551">
        <v>149247.8725468</v>
      </c>
      <c r="AR538" s="551">
        <v>6.1791999999999998</v>
      </c>
    </row>
    <row r="539" spans="39:44" x14ac:dyDescent="0.3">
      <c r="AM539" s="550">
        <f t="shared" ca="1" si="61"/>
        <v>45416</v>
      </c>
      <c r="AN539" s="551">
        <v>240.69</v>
      </c>
      <c r="AO539" s="551">
        <v>2801961</v>
      </c>
      <c r="AP539" s="551">
        <v>609.77791000000002</v>
      </c>
      <c r="AQ539" s="551">
        <v>146767.44515790002</v>
      </c>
      <c r="AR539" s="551">
        <v>6.0796000000000001</v>
      </c>
    </row>
    <row r="540" spans="39:44" x14ac:dyDescent="0.3">
      <c r="AM540" s="550">
        <f t="shared" ca="1" si="61"/>
        <v>45415</v>
      </c>
      <c r="AN540" s="551">
        <v>243.85</v>
      </c>
      <c r="AO540" s="551">
        <v>1974723</v>
      </c>
      <c r="AP540" s="551">
        <v>609.77791000000002</v>
      </c>
      <c r="AQ540" s="551">
        <v>148694.34335350001</v>
      </c>
      <c r="AR540" s="551">
        <v>6.1595000000000004</v>
      </c>
    </row>
    <row r="541" spans="39:44" x14ac:dyDescent="0.3">
      <c r="AM541" s="550">
        <f t="shared" ca="1" si="61"/>
        <v>45414</v>
      </c>
      <c r="AN541" s="551">
        <v>244.97</v>
      </c>
      <c r="AO541" s="551">
        <v>1676987</v>
      </c>
      <c r="AP541" s="551">
        <v>609.77791000000002</v>
      </c>
      <c r="AQ541" s="551">
        <v>149377.2946127</v>
      </c>
      <c r="AR541" s="551">
        <v>6.1878000000000002</v>
      </c>
    </row>
    <row r="542" spans="39:44" x14ac:dyDescent="0.3">
      <c r="AM542" s="550">
        <f t="shared" ca="1" si="61"/>
        <v>45413</v>
      </c>
      <c r="AN542" s="551">
        <v>244.97</v>
      </c>
      <c r="AO542" s="551">
        <v>1676987</v>
      </c>
      <c r="AP542" s="551">
        <v>609.77791000000002</v>
      </c>
      <c r="AQ542" s="551">
        <v>149377.2946127</v>
      </c>
      <c r="AR542" s="551">
        <v>6.1878000000000002</v>
      </c>
    </row>
    <row r="543" spans="39:44" x14ac:dyDescent="0.3">
      <c r="AM543" s="550">
        <f t="shared" ca="1" si="61"/>
        <v>45412</v>
      </c>
      <c r="AN543" s="551">
        <v>244.97</v>
      </c>
      <c r="AO543" s="551">
        <v>1676987</v>
      </c>
      <c r="AP543" s="551">
        <v>609.77791000000002</v>
      </c>
      <c r="AQ543" s="551">
        <v>149377.2946127</v>
      </c>
      <c r="AR543" s="551">
        <v>6.1878000000000002</v>
      </c>
    </row>
    <row r="544" spans="39:44" x14ac:dyDescent="0.3">
      <c r="AM544" s="550">
        <f t="shared" ca="1" si="61"/>
        <v>45411</v>
      </c>
      <c r="AN544" s="551">
        <v>248.11</v>
      </c>
      <c r="AO544" s="551">
        <v>3215458</v>
      </c>
      <c r="AP544" s="551">
        <v>609.77791000000002</v>
      </c>
      <c r="AQ544" s="551">
        <v>151291.99725010002</v>
      </c>
      <c r="AR544" s="551">
        <v>6.2671000000000001</v>
      </c>
    </row>
    <row r="545" spans="39:44" x14ac:dyDescent="0.3">
      <c r="AM545" s="550">
        <f t="shared" ca="1" si="61"/>
        <v>45410</v>
      </c>
      <c r="AN545" s="551">
        <v>246.31</v>
      </c>
      <c r="AO545" s="551">
        <v>2564836</v>
      </c>
      <c r="AP545" s="551">
        <v>609.77791000000002</v>
      </c>
      <c r="AQ545" s="551">
        <v>150194.3970121</v>
      </c>
      <c r="AR545" s="551">
        <v>6.2215999999999996</v>
      </c>
    </row>
    <row r="546" spans="39:44" x14ac:dyDescent="0.3">
      <c r="AM546" s="550">
        <f t="shared" ca="1" si="61"/>
        <v>45409</v>
      </c>
      <c r="AN546" s="551">
        <v>242.71</v>
      </c>
      <c r="AO546" s="551">
        <v>3244316</v>
      </c>
      <c r="AP546" s="551">
        <v>609.77791000000002</v>
      </c>
      <c r="AQ546" s="551">
        <v>147999.1965361</v>
      </c>
      <c r="AR546" s="551">
        <v>6.1307</v>
      </c>
    </row>
    <row r="547" spans="39:44" x14ac:dyDescent="0.3">
      <c r="AM547" s="550">
        <f t="shared" ca="1" si="61"/>
        <v>45408</v>
      </c>
      <c r="AN547" s="551">
        <v>244.36</v>
      </c>
      <c r="AO547" s="551">
        <v>2280848</v>
      </c>
      <c r="AP547" s="551">
        <v>609.77791000000002</v>
      </c>
      <c r="AQ547" s="551">
        <v>149005.33008760001</v>
      </c>
      <c r="AR547" s="551">
        <v>6.1722999999999999</v>
      </c>
    </row>
    <row r="548" spans="39:44" x14ac:dyDescent="0.3">
      <c r="AM548" s="550">
        <f t="shared" ca="1" si="61"/>
        <v>45407</v>
      </c>
      <c r="AN548" s="551">
        <v>244.13</v>
      </c>
      <c r="AO548" s="551">
        <v>3258911</v>
      </c>
      <c r="AP548" s="551">
        <v>609.77791000000002</v>
      </c>
      <c r="AQ548" s="551">
        <v>148865.08116830001</v>
      </c>
      <c r="AR548" s="551">
        <v>6.1665000000000001</v>
      </c>
    </row>
    <row r="549" spans="39:44" x14ac:dyDescent="0.3">
      <c r="AM549" s="550">
        <f t="shared" ca="1" si="61"/>
        <v>45406</v>
      </c>
      <c r="AN549" s="551">
        <v>244.13</v>
      </c>
      <c r="AO549" s="551">
        <v>3258911</v>
      </c>
      <c r="AP549" s="551">
        <v>609.77791000000002</v>
      </c>
      <c r="AQ549" s="551">
        <v>148865.08116830001</v>
      </c>
      <c r="AR549" s="551">
        <v>6.1665000000000001</v>
      </c>
    </row>
    <row r="550" spans="39:44" x14ac:dyDescent="0.3">
      <c r="AM550" s="550">
        <f t="shared" ca="1" si="61"/>
        <v>45405</v>
      </c>
      <c r="AN550" s="551">
        <v>244.13</v>
      </c>
      <c r="AO550" s="551">
        <v>3258911</v>
      </c>
      <c r="AP550" s="551">
        <v>609.77791000000002</v>
      </c>
      <c r="AQ550" s="551">
        <v>148865.08116830001</v>
      </c>
      <c r="AR550" s="551">
        <v>6.1665000000000001</v>
      </c>
    </row>
    <row r="551" spans="39:44" x14ac:dyDescent="0.3">
      <c r="AM551" s="550">
        <f t="shared" ca="1" si="61"/>
        <v>45404</v>
      </c>
      <c r="AN551" s="551">
        <v>246.06</v>
      </c>
      <c r="AO551" s="551">
        <v>2519663</v>
      </c>
      <c r="AP551" s="551">
        <v>609.77791000000002</v>
      </c>
      <c r="AQ551" s="551">
        <v>150041.95253460002</v>
      </c>
      <c r="AR551" s="551">
        <v>6.2153</v>
      </c>
    </row>
    <row r="552" spans="39:44" x14ac:dyDescent="0.3">
      <c r="AM552" s="550">
        <f t="shared" ca="1" si="61"/>
        <v>45403</v>
      </c>
      <c r="AN552" s="551">
        <v>249.25</v>
      </c>
      <c r="AO552" s="551">
        <v>2129046</v>
      </c>
      <c r="AP552" s="551">
        <v>609.77791000000002</v>
      </c>
      <c r="AQ552" s="551">
        <v>151987.14406750002</v>
      </c>
      <c r="AR552" s="551">
        <v>6.2958999999999996</v>
      </c>
    </row>
    <row r="553" spans="39:44" x14ac:dyDescent="0.3">
      <c r="AM553" s="550">
        <f t="shared" ca="1" si="61"/>
        <v>45402</v>
      </c>
      <c r="AN553" s="551">
        <v>251.18</v>
      </c>
      <c r="AO553" s="551">
        <v>1633862</v>
      </c>
      <c r="AP553" s="551">
        <v>609.77791000000002</v>
      </c>
      <c r="AQ553" s="551">
        <v>153164.0154338</v>
      </c>
      <c r="AR553" s="551">
        <v>6.3445999999999998</v>
      </c>
    </row>
    <row r="554" spans="39:44" x14ac:dyDescent="0.3">
      <c r="AM554" s="550">
        <f t="shared" ca="1" si="61"/>
        <v>45401</v>
      </c>
      <c r="AN554" s="551">
        <v>249.87</v>
      </c>
      <c r="AO554" s="551">
        <v>1539550</v>
      </c>
      <c r="AP554" s="551">
        <v>609.77791000000002</v>
      </c>
      <c r="AQ554" s="551">
        <v>152365.20637170001</v>
      </c>
      <c r="AR554" s="551">
        <v>6.3114999999999997</v>
      </c>
    </row>
    <row r="555" spans="39:44" x14ac:dyDescent="0.3">
      <c r="AM555" s="550">
        <f t="shared" ca="1" si="61"/>
        <v>45400</v>
      </c>
      <c r="AN555" s="551">
        <v>250.96</v>
      </c>
      <c r="AO555" s="551">
        <v>2409115</v>
      </c>
      <c r="AP555" s="551">
        <v>609.77791000000002</v>
      </c>
      <c r="AQ555" s="551">
        <v>153029.8642936</v>
      </c>
      <c r="AR555" s="551">
        <v>6.3391000000000002</v>
      </c>
    </row>
    <row r="556" spans="39:44" x14ac:dyDescent="0.3">
      <c r="AM556" s="550">
        <f t="shared" ca="1" si="61"/>
        <v>45399</v>
      </c>
      <c r="AN556" s="551">
        <v>250.96</v>
      </c>
      <c r="AO556" s="551">
        <v>2409115</v>
      </c>
      <c r="AP556" s="551">
        <v>609.77791000000002</v>
      </c>
      <c r="AQ556" s="551">
        <v>153029.8642936</v>
      </c>
      <c r="AR556" s="551">
        <v>6.3391000000000002</v>
      </c>
    </row>
    <row r="557" spans="39:44" x14ac:dyDescent="0.3">
      <c r="AM557" s="550">
        <f t="shared" ca="1" si="61"/>
        <v>45398</v>
      </c>
      <c r="AN557" s="551">
        <v>250.96</v>
      </c>
      <c r="AO557" s="551">
        <v>2409115</v>
      </c>
      <c r="AP557" s="551">
        <v>609.77791000000002</v>
      </c>
      <c r="AQ557" s="551">
        <v>153029.8642936</v>
      </c>
      <c r="AR557" s="551">
        <v>6.3391000000000002</v>
      </c>
    </row>
    <row r="558" spans="39:44" x14ac:dyDescent="0.3">
      <c r="AM558" s="550">
        <f t="shared" ca="1" si="61"/>
        <v>45397</v>
      </c>
      <c r="AN558" s="551">
        <v>249.04</v>
      </c>
      <c r="AO558" s="551">
        <v>2395772</v>
      </c>
      <c r="AP558" s="551">
        <v>609.77791000000002</v>
      </c>
      <c r="AQ558" s="551">
        <v>151859.09070639999</v>
      </c>
      <c r="AR558" s="551">
        <v>6.2906000000000004</v>
      </c>
    </row>
    <row r="559" spans="39:44" x14ac:dyDescent="0.3">
      <c r="AM559" s="550">
        <f t="shared" ca="1" si="61"/>
        <v>45396</v>
      </c>
      <c r="AN559" s="551">
        <v>251</v>
      </c>
      <c r="AO559" s="551">
        <v>1911012</v>
      </c>
      <c r="AP559" s="551">
        <v>609.77791000000002</v>
      </c>
      <c r="AQ559" s="551">
        <v>153054.25541000001</v>
      </c>
      <c r="AR559" s="551">
        <v>6.3400999999999996</v>
      </c>
    </row>
    <row r="560" spans="39:44" x14ac:dyDescent="0.3">
      <c r="AM560" s="550">
        <f t="shared" ca="1" si="61"/>
        <v>45395</v>
      </c>
      <c r="AN560" s="551">
        <v>253.7</v>
      </c>
      <c r="AO560" s="551">
        <v>1368806</v>
      </c>
      <c r="AP560" s="551">
        <v>609.77791000000002</v>
      </c>
      <c r="AQ560" s="551">
        <v>154700.65576699999</v>
      </c>
      <c r="AR560" s="551">
        <v>6.4082999999999997</v>
      </c>
    </row>
    <row r="561" spans="39:44" x14ac:dyDescent="0.3">
      <c r="AM561" s="550">
        <f t="shared" ca="1" si="61"/>
        <v>45394</v>
      </c>
      <c r="AN561" s="551">
        <v>253.47</v>
      </c>
      <c r="AO561" s="551">
        <v>1834919</v>
      </c>
      <c r="AP561" s="551">
        <v>609.77791000000002</v>
      </c>
      <c r="AQ561" s="551">
        <v>154560.40684770001</v>
      </c>
      <c r="AR561" s="551">
        <v>6.4024999999999999</v>
      </c>
    </row>
    <row r="562" spans="39:44" x14ac:dyDescent="0.3">
      <c r="AM562" s="550">
        <f t="shared" ca="1" si="61"/>
        <v>45393</v>
      </c>
      <c r="AN562" s="551">
        <v>252.98</v>
      </c>
      <c r="AO562" s="551">
        <v>2811430</v>
      </c>
      <c r="AP562" s="551">
        <v>609.77791000000002</v>
      </c>
      <c r="AQ562" s="551">
        <v>154261.61567180001</v>
      </c>
      <c r="AR562" s="551">
        <v>6.3901000000000003</v>
      </c>
    </row>
    <row r="563" spans="39:44" x14ac:dyDescent="0.3">
      <c r="AM563" s="550">
        <f t="shared" ca="1" si="61"/>
        <v>45392</v>
      </c>
      <c r="AN563" s="551">
        <v>252.98</v>
      </c>
      <c r="AO563" s="551">
        <v>2811430</v>
      </c>
      <c r="AP563" s="551">
        <v>609.77791000000002</v>
      </c>
      <c r="AQ563" s="551">
        <v>154261.61567180001</v>
      </c>
      <c r="AR563" s="551">
        <v>6.3901000000000003</v>
      </c>
    </row>
    <row r="564" spans="39:44" x14ac:dyDescent="0.3">
      <c r="AM564" s="550">
        <f t="shared" ca="1" si="61"/>
        <v>45391</v>
      </c>
      <c r="AN564" s="551">
        <v>252.98</v>
      </c>
      <c r="AO564" s="551">
        <v>2811430</v>
      </c>
      <c r="AP564" s="551">
        <v>609.77791000000002</v>
      </c>
      <c r="AQ564" s="551">
        <v>154261.61567180001</v>
      </c>
      <c r="AR564" s="551">
        <v>6.3901000000000003</v>
      </c>
    </row>
    <row r="565" spans="39:44" x14ac:dyDescent="0.3">
      <c r="AM565" s="550">
        <f t="shared" ca="1" si="61"/>
        <v>45390</v>
      </c>
      <c r="AN565" s="551">
        <v>253.69</v>
      </c>
      <c r="AO565" s="551">
        <v>3022146</v>
      </c>
      <c r="AP565" s="551">
        <v>609.77791000000002</v>
      </c>
      <c r="AQ565" s="551">
        <v>154694.55798790001</v>
      </c>
      <c r="AR565" s="551">
        <v>6.4080000000000004</v>
      </c>
    </row>
    <row r="566" spans="39:44" x14ac:dyDescent="0.3">
      <c r="AM566" s="550">
        <f t="shared" ca="1" si="61"/>
        <v>45389</v>
      </c>
      <c r="AN566" s="551">
        <v>253.99</v>
      </c>
      <c r="AO566" s="551">
        <v>1885806</v>
      </c>
      <c r="AP566" s="551">
        <v>609.77791000000002</v>
      </c>
      <c r="AQ566" s="551">
        <v>154877.49136090002</v>
      </c>
      <c r="AR566" s="551">
        <v>6.4156000000000004</v>
      </c>
    </row>
    <row r="567" spans="39:44" x14ac:dyDescent="0.3">
      <c r="AM567" s="550">
        <f t="shared" ca="1" si="61"/>
        <v>45388</v>
      </c>
      <c r="AN567" s="551">
        <v>253.29</v>
      </c>
      <c r="AO567" s="551">
        <v>2206372</v>
      </c>
      <c r="AP567" s="551">
        <v>609.77791000000002</v>
      </c>
      <c r="AQ567" s="551">
        <v>154450.6468239</v>
      </c>
      <c r="AR567" s="551">
        <v>6.3978999999999999</v>
      </c>
    </row>
    <row r="568" spans="39:44" x14ac:dyDescent="0.3">
      <c r="AM568" s="550">
        <f t="shared" ca="1" si="61"/>
        <v>45387</v>
      </c>
      <c r="AN568" s="551">
        <v>252.64</v>
      </c>
      <c r="AO568" s="551">
        <v>2806401</v>
      </c>
      <c r="AP568" s="551">
        <v>609.77791000000002</v>
      </c>
      <c r="AQ568" s="551">
        <v>154054.29118239999</v>
      </c>
      <c r="AR568" s="551">
        <v>6.3815</v>
      </c>
    </row>
    <row r="569" spans="39:44" x14ac:dyDescent="0.3">
      <c r="AM569" s="550">
        <f t="shared" ca="1" si="61"/>
        <v>45386</v>
      </c>
      <c r="AN569" s="551">
        <v>256.91000000000003</v>
      </c>
      <c r="AO569" s="551">
        <v>1943469</v>
      </c>
      <c r="AP569" s="551">
        <v>609.77791000000002</v>
      </c>
      <c r="AQ569" s="551">
        <v>156658.04285810003</v>
      </c>
      <c r="AR569" s="551">
        <v>6.4893000000000001</v>
      </c>
    </row>
    <row r="570" spans="39:44" x14ac:dyDescent="0.3">
      <c r="AM570" s="550">
        <f t="shared" ca="1" si="61"/>
        <v>45385</v>
      </c>
      <c r="AN570" s="551">
        <v>256.91000000000003</v>
      </c>
      <c r="AO570" s="551">
        <v>1943469</v>
      </c>
      <c r="AP570" s="551">
        <v>609.77791000000002</v>
      </c>
      <c r="AQ570" s="551">
        <v>156658.04285810003</v>
      </c>
      <c r="AR570" s="551">
        <v>6.4893000000000001</v>
      </c>
    </row>
    <row r="571" spans="39:44" x14ac:dyDescent="0.3">
      <c r="AM571" s="550">
        <f t="shared" ca="1" si="61"/>
        <v>45384</v>
      </c>
      <c r="AN571" s="551">
        <v>256.91000000000003</v>
      </c>
      <c r="AO571" s="551">
        <v>1943469</v>
      </c>
      <c r="AP571" s="551">
        <v>609.77791000000002</v>
      </c>
      <c r="AQ571" s="551">
        <v>156658.04285810003</v>
      </c>
      <c r="AR571" s="551">
        <v>6.4893000000000001</v>
      </c>
    </row>
    <row r="572" spans="39:44" x14ac:dyDescent="0.3">
      <c r="AM572" s="550">
        <f t="shared" ca="1" si="61"/>
        <v>45383</v>
      </c>
      <c r="AN572" s="551">
        <v>254.51</v>
      </c>
      <c r="AO572" s="551">
        <v>2507769</v>
      </c>
      <c r="AP572" s="551">
        <v>609.77791000000002</v>
      </c>
      <c r="AQ572" s="551">
        <v>155194.5758741</v>
      </c>
      <c r="AR572" s="551">
        <v>6.4287000000000001</v>
      </c>
    </row>
    <row r="573" spans="39:44" x14ac:dyDescent="0.3">
      <c r="AM573" s="550">
        <f t="shared" ca="1" si="61"/>
        <v>45382</v>
      </c>
      <c r="AN573" s="551">
        <v>251.32</v>
      </c>
      <c r="AO573" s="551">
        <v>1721897</v>
      </c>
      <c r="AP573" s="551">
        <v>609.77791000000002</v>
      </c>
      <c r="AQ573" s="551">
        <v>153249.3843412</v>
      </c>
      <c r="AR573" s="551">
        <v>6.3480999999999996</v>
      </c>
    </row>
    <row r="574" spans="39:44" x14ac:dyDescent="0.3">
      <c r="AM574" s="550">
        <f t="shared" ca="1" si="61"/>
        <v>45381</v>
      </c>
      <c r="AN574" s="551">
        <v>247.14</v>
      </c>
      <c r="AO574" s="551">
        <v>1907246</v>
      </c>
      <c r="AP574" s="551">
        <v>609.77791000000002</v>
      </c>
      <c r="AQ574" s="551">
        <v>150700.51267739999</v>
      </c>
      <c r="AR574" s="551">
        <v>6.2426000000000004</v>
      </c>
    </row>
    <row r="575" spans="39:44" x14ac:dyDescent="0.3">
      <c r="AM575" s="550">
        <f t="shared" ca="1" si="61"/>
        <v>45380</v>
      </c>
      <c r="AN575" s="551">
        <v>246.59</v>
      </c>
      <c r="AO575" s="551">
        <v>2202364</v>
      </c>
      <c r="AP575" s="551">
        <v>609.77791000000002</v>
      </c>
      <c r="AQ575" s="551">
        <v>150365.1348269</v>
      </c>
      <c r="AR575" s="551">
        <v>6.2286999999999999</v>
      </c>
    </row>
    <row r="576" spans="39:44" x14ac:dyDescent="0.3">
      <c r="AM576" s="550">
        <f t="shared" ca="1" si="61"/>
        <v>45379</v>
      </c>
      <c r="AN576" s="551">
        <v>246.59</v>
      </c>
      <c r="AO576" s="551">
        <v>2202364</v>
      </c>
      <c r="AP576" s="551">
        <v>609.77791000000002</v>
      </c>
      <c r="AQ576" s="551">
        <v>150365.1348269</v>
      </c>
      <c r="AR576" s="551">
        <v>6.2286999999999999</v>
      </c>
    </row>
    <row r="577" spans="39:44" x14ac:dyDescent="0.3">
      <c r="AM577" s="550">
        <f t="shared" ca="1" si="61"/>
        <v>45378</v>
      </c>
      <c r="AN577" s="551">
        <v>246.59</v>
      </c>
      <c r="AO577" s="551">
        <v>2202364</v>
      </c>
      <c r="AP577" s="551">
        <v>609.77791000000002</v>
      </c>
      <c r="AQ577" s="551">
        <v>150365.1348269</v>
      </c>
      <c r="AR577" s="551">
        <v>6.2286999999999999</v>
      </c>
    </row>
    <row r="578" spans="39:44" x14ac:dyDescent="0.3">
      <c r="AM578" s="550">
        <f t="shared" ca="1" si="61"/>
        <v>45377</v>
      </c>
      <c r="AN578" s="551">
        <v>246.59</v>
      </c>
      <c r="AO578" s="551">
        <v>2202364</v>
      </c>
      <c r="AP578" s="551">
        <v>609.77791000000002</v>
      </c>
      <c r="AQ578" s="551">
        <v>150365.1348269</v>
      </c>
      <c r="AR578" s="551">
        <v>6.2286999999999999</v>
      </c>
    </row>
    <row r="579" spans="39:44" x14ac:dyDescent="0.3">
      <c r="AM579" s="550">
        <f t="shared" ca="1" si="61"/>
        <v>45376</v>
      </c>
      <c r="AN579" s="551">
        <v>250.55</v>
      </c>
      <c r="AO579" s="551">
        <v>2252309</v>
      </c>
      <c r="AP579" s="551">
        <v>609.77791000000002</v>
      </c>
      <c r="AQ579" s="551">
        <v>152779.8553505</v>
      </c>
      <c r="AR579" s="551">
        <v>6.3287000000000004</v>
      </c>
    </row>
    <row r="580" spans="39:44" x14ac:dyDescent="0.3">
      <c r="AM580" s="550">
        <f t="shared" ca="1" si="61"/>
        <v>45375</v>
      </c>
      <c r="AN580" s="551">
        <v>250.11</v>
      </c>
      <c r="AO580" s="551">
        <v>2579556</v>
      </c>
      <c r="AP580" s="551">
        <v>609.77791000000002</v>
      </c>
      <c r="AQ580" s="551">
        <v>152511.55307010002</v>
      </c>
      <c r="AR580" s="551">
        <v>6.3175999999999997</v>
      </c>
    </row>
    <row r="581" spans="39:44" x14ac:dyDescent="0.3">
      <c r="AM581" s="550">
        <f t="shared" ref="AM581:AM644" ca="1" si="62">AM580-1</f>
        <v>45374</v>
      </c>
      <c r="AN581" s="551">
        <v>245.61</v>
      </c>
      <c r="AO581" s="551">
        <v>2664132</v>
      </c>
      <c r="AP581" s="551">
        <v>609.77791000000002</v>
      </c>
      <c r="AQ581" s="551">
        <v>149767.5524751</v>
      </c>
      <c r="AR581" s="551">
        <v>6.2039</v>
      </c>
    </row>
    <row r="582" spans="39:44" x14ac:dyDescent="0.3">
      <c r="AM582" s="550">
        <f t="shared" ca="1" si="62"/>
        <v>45373</v>
      </c>
      <c r="AN582" s="551">
        <v>247.4</v>
      </c>
      <c r="AO582" s="551">
        <v>2259572</v>
      </c>
      <c r="AP582" s="551">
        <v>609.77791000000002</v>
      </c>
      <c r="AQ582" s="551">
        <v>150859.05493400001</v>
      </c>
      <c r="AR582" s="551">
        <v>6.2491000000000003</v>
      </c>
    </row>
    <row r="583" spans="39:44" x14ac:dyDescent="0.3">
      <c r="AM583" s="550">
        <f t="shared" ca="1" si="62"/>
        <v>45372</v>
      </c>
      <c r="AN583" s="551">
        <v>249.45</v>
      </c>
      <c r="AO583" s="551">
        <v>2012493</v>
      </c>
      <c r="AP583" s="551">
        <v>609.77791000000002</v>
      </c>
      <c r="AQ583" s="551">
        <v>152109.09964949999</v>
      </c>
      <c r="AR583" s="551">
        <v>6.3009000000000004</v>
      </c>
    </row>
    <row r="584" spans="39:44" x14ac:dyDescent="0.3">
      <c r="AM584" s="550">
        <f t="shared" ca="1" si="62"/>
        <v>45371</v>
      </c>
      <c r="AN584" s="551">
        <v>249.45</v>
      </c>
      <c r="AO584" s="551">
        <v>2012493</v>
      </c>
      <c r="AP584" s="551">
        <v>609.77791000000002</v>
      </c>
      <c r="AQ584" s="551">
        <v>152109.09964949999</v>
      </c>
      <c r="AR584" s="551">
        <v>6.3009000000000004</v>
      </c>
    </row>
    <row r="585" spans="39:44" x14ac:dyDescent="0.3">
      <c r="AM585" s="550">
        <f t="shared" ca="1" si="62"/>
        <v>45370</v>
      </c>
      <c r="AN585" s="551">
        <v>249.45</v>
      </c>
      <c r="AO585" s="551">
        <v>2012493</v>
      </c>
      <c r="AP585" s="551">
        <v>609.77791000000002</v>
      </c>
      <c r="AQ585" s="551">
        <v>152109.09964949999</v>
      </c>
      <c r="AR585" s="551">
        <v>6.3009000000000004</v>
      </c>
    </row>
    <row r="586" spans="39:44" x14ac:dyDescent="0.3">
      <c r="AM586" s="550">
        <f t="shared" ca="1" si="62"/>
        <v>45369</v>
      </c>
      <c r="AN586" s="551">
        <v>248.82</v>
      </c>
      <c r="AO586" s="551">
        <v>1871559</v>
      </c>
      <c r="AP586" s="551">
        <v>609.59749999999997</v>
      </c>
      <c r="AQ586" s="551">
        <v>151680.04994999999</v>
      </c>
      <c r="AR586" s="551">
        <v>6.2850000000000001</v>
      </c>
    </row>
    <row r="587" spans="39:44" x14ac:dyDescent="0.3">
      <c r="AM587" s="550">
        <f t="shared" ca="1" si="62"/>
        <v>45368</v>
      </c>
      <c r="AN587" s="551">
        <v>249.16</v>
      </c>
      <c r="AO587" s="551">
        <v>2337204</v>
      </c>
      <c r="AP587" s="551">
        <v>609.59749999999997</v>
      </c>
      <c r="AQ587" s="551">
        <v>151887.3131</v>
      </c>
      <c r="AR587" s="551">
        <v>6.2935999999999996</v>
      </c>
    </row>
    <row r="588" spans="39:44" x14ac:dyDescent="0.3">
      <c r="AM588" s="550">
        <f t="shared" ca="1" si="62"/>
        <v>45367</v>
      </c>
      <c r="AN588" s="551">
        <v>249.87</v>
      </c>
      <c r="AO588" s="551">
        <v>2357338</v>
      </c>
      <c r="AP588" s="551">
        <v>609.59749999999997</v>
      </c>
      <c r="AQ588" s="551">
        <v>152320.12732500001</v>
      </c>
      <c r="AR588" s="551">
        <v>6.3114999999999997</v>
      </c>
    </row>
    <row r="589" spans="39:44" x14ac:dyDescent="0.3">
      <c r="AM589" s="550">
        <f t="shared" ca="1" si="62"/>
        <v>45366</v>
      </c>
      <c r="AN589" s="551">
        <v>246.64</v>
      </c>
      <c r="AO589" s="551">
        <v>2701337</v>
      </c>
      <c r="AP589" s="551">
        <v>609.59749999999997</v>
      </c>
      <c r="AQ589" s="551">
        <v>150351.1274</v>
      </c>
      <c r="AR589" s="551">
        <v>6.2298999999999998</v>
      </c>
    </row>
    <row r="590" spans="39:44" x14ac:dyDescent="0.3">
      <c r="AM590" s="550">
        <f t="shared" ca="1" si="62"/>
        <v>45365</v>
      </c>
      <c r="AN590" s="551">
        <v>248.33</v>
      </c>
      <c r="AO590" s="551">
        <v>1994229</v>
      </c>
      <c r="AP590" s="551">
        <v>609.59749999999997</v>
      </c>
      <c r="AQ590" s="551">
        <v>151381.347175</v>
      </c>
      <c r="AR590" s="551">
        <v>6.2725999999999997</v>
      </c>
    </row>
    <row r="591" spans="39:44" x14ac:dyDescent="0.3">
      <c r="AM591" s="550">
        <f t="shared" ca="1" si="62"/>
        <v>45364</v>
      </c>
      <c r="AN591" s="551">
        <v>248.33</v>
      </c>
      <c r="AO591" s="551">
        <v>1994229</v>
      </c>
      <c r="AP591" s="551">
        <v>609.59749999999997</v>
      </c>
      <c r="AQ591" s="551">
        <v>151381.347175</v>
      </c>
      <c r="AR591" s="551">
        <v>6.2725999999999997</v>
      </c>
    </row>
    <row r="592" spans="39:44" x14ac:dyDescent="0.3">
      <c r="AM592" s="550">
        <f t="shared" ca="1" si="62"/>
        <v>45363</v>
      </c>
      <c r="AN592" s="551">
        <v>248.33</v>
      </c>
      <c r="AO592" s="551">
        <v>1994229</v>
      </c>
      <c r="AP592" s="551">
        <v>609.59749999999997</v>
      </c>
      <c r="AQ592" s="551">
        <v>151381.347175</v>
      </c>
      <c r="AR592" s="551">
        <v>6.2725999999999997</v>
      </c>
    </row>
    <row r="593" spans="39:44" x14ac:dyDescent="0.3">
      <c r="AM593" s="550">
        <f t="shared" ca="1" si="62"/>
        <v>45362</v>
      </c>
      <c r="AN593" s="551">
        <v>249.27</v>
      </c>
      <c r="AO593" s="551">
        <v>2116306</v>
      </c>
      <c r="AP593" s="551">
        <v>609.59749999999997</v>
      </c>
      <c r="AQ593" s="551">
        <v>151954.36882500001</v>
      </c>
      <c r="AR593" s="551">
        <v>6.2964000000000002</v>
      </c>
    </row>
    <row r="594" spans="39:44" x14ac:dyDescent="0.3">
      <c r="AM594" s="550">
        <f t="shared" ca="1" si="62"/>
        <v>45361</v>
      </c>
      <c r="AN594" s="551">
        <v>243.93</v>
      </c>
      <c r="AO594" s="551">
        <v>2799053</v>
      </c>
      <c r="AP594" s="551">
        <v>609.59749999999997</v>
      </c>
      <c r="AQ594" s="551">
        <v>148699.11817500001</v>
      </c>
      <c r="AR594" s="551">
        <v>6.1615000000000002</v>
      </c>
    </row>
    <row r="595" spans="39:44" x14ac:dyDescent="0.3">
      <c r="AM595" s="550">
        <f t="shared" ca="1" si="62"/>
        <v>45360</v>
      </c>
      <c r="AN595" s="551">
        <v>246.7</v>
      </c>
      <c r="AO595" s="551">
        <v>2435616</v>
      </c>
      <c r="AP595" s="551">
        <v>609.59749999999997</v>
      </c>
      <c r="AQ595" s="551">
        <v>150387.70324999999</v>
      </c>
      <c r="AR595" s="551">
        <v>6.2313999999999998</v>
      </c>
    </row>
    <row r="596" spans="39:44" x14ac:dyDescent="0.3">
      <c r="AM596" s="550">
        <f t="shared" ca="1" si="62"/>
        <v>45359</v>
      </c>
      <c r="AN596" s="551">
        <v>245.17</v>
      </c>
      <c r="AO596" s="551">
        <v>2844561</v>
      </c>
      <c r="AP596" s="551">
        <v>609.59749999999997</v>
      </c>
      <c r="AQ596" s="551">
        <v>149455.01907499999</v>
      </c>
      <c r="AR596" s="551">
        <v>6.1928000000000001</v>
      </c>
    </row>
    <row r="597" spans="39:44" x14ac:dyDescent="0.3">
      <c r="AM597" s="550">
        <f t="shared" ca="1" si="62"/>
        <v>45358</v>
      </c>
      <c r="AN597" s="551">
        <v>240.39</v>
      </c>
      <c r="AO597" s="551">
        <v>2493459</v>
      </c>
      <c r="AP597" s="551">
        <v>609.59749999999997</v>
      </c>
      <c r="AQ597" s="551">
        <v>146541.143025</v>
      </c>
      <c r="AR597" s="551">
        <v>6.0720999999999998</v>
      </c>
    </row>
    <row r="598" spans="39:44" x14ac:dyDescent="0.3">
      <c r="AM598" s="550">
        <f t="shared" ca="1" si="62"/>
        <v>45357</v>
      </c>
      <c r="AN598" s="551">
        <v>240.39</v>
      </c>
      <c r="AO598" s="551">
        <v>2493459</v>
      </c>
      <c r="AP598" s="551">
        <v>609.59749999999997</v>
      </c>
      <c r="AQ598" s="551">
        <v>146541.143025</v>
      </c>
      <c r="AR598" s="551">
        <v>6.0720999999999998</v>
      </c>
    </row>
    <row r="599" spans="39:44" x14ac:dyDescent="0.3">
      <c r="AM599" s="550">
        <f t="shared" ca="1" si="62"/>
        <v>45356</v>
      </c>
      <c r="AN599" s="551">
        <v>240.39</v>
      </c>
      <c r="AO599" s="551">
        <v>2493459</v>
      </c>
      <c r="AP599" s="551">
        <v>609.59749999999997</v>
      </c>
      <c r="AQ599" s="551">
        <v>146541.143025</v>
      </c>
      <c r="AR599" s="551">
        <v>6.0720999999999998</v>
      </c>
    </row>
    <row r="600" spans="39:44" x14ac:dyDescent="0.3">
      <c r="AM600" s="550">
        <f t="shared" ca="1" si="62"/>
        <v>45355</v>
      </c>
      <c r="AN600" s="551">
        <v>241.57</v>
      </c>
      <c r="AO600" s="551">
        <v>4154618</v>
      </c>
      <c r="AP600" s="551">
        <v>609.59749999999997</v>
      </c>
      <c r="AQ600" s="551">
        <v>147260.46807499998</v>
      </c>
      <c r="AR600" s="551">
        <v>6.1018999999999997</v>
      </c>
    </row>
    <row r="601" spans="39:44" x14ac:dyDescent="0.3">
      <c r="AM601" s="550">
        <f t="shared" ca="1" si="62"/>
        <v>45354</v>
      </c>
      <c r="AN601" s="551">
        <v>242.33</v>
      </c>
      <c r="AO601" s="551">
        <v>2843494</v>
      </c>
      <c r="AP601" s="551">
        <v>609.59749999999997</v>
      </c>
      <c r="AQ601" s="551">
        <v>147723.76217500001</v>
      </c>
      <c r="AR601" s="551">
        <v>6.1211000000000002</v>
      </c>
    </row>
    <row r="602" spans="39:44" x14ac:dyDescent="0.3">
      <c r="AM602" s="550">
        <f t="shared" ca="1" si="62"/>
        <v>45353</v>
      </c>
      <c r="AN602" s="551">
        <v>243.33</v>
      </c>
      <c r="AO602" s="551">
        <v>2398297</v>
      </c>
      <c r="AP602" s="551">
        <v>609.59749999999997</v>
      </c>
      <c r="AQ602" s="551">
        <v>148333.35967500001</v>
      </c>
      <c r="AR602" s="551">
        <v>6.1463000000000001</v>
      </c>
    </row>
    <row r="603" spans="39:44" x14ac:dyDescent="0.3">
      <c r="AM603" s="550">
        <f t="shared" ca="1" si="62"/>
        <v>45352</v>
      </c>
      <c r="AN603" s="551">
        <v>243.11</v>
      </c>
      <c r="AO603" s="551">
        <v>3005342</v>
      </c>
      <c r="AP603" s="551">
        <v>609.59749999999997</v>
      </c>
      <c r="AQ603" s="551">
        <v>148199.24822499999</v>
      </c>
      <c r="AR603" s="551">
        <v>6.1407999999999996</v>
      </c>
    </row>
    <row r="604" spans="39:44" x14ac:dyDescent="0.3">
      <c r="AM604" s="550">
        <f t="shared" ca="1" si="62"/>
        <v>45351</v>
      </c>
      <c r="AN604" s="551">
        <v>239.27</v>
      </c>
      <c r="AO604" s="551">
        <v>2272098</v>
      </c>
      <c r="AP604" s="551">
        <v>609.59749999999997</v>
      </c>
      <c r="AQ604" s="551">
        <v>145858.39382500001</v>
      </c>
      <c r="AR604" s="551">
        <v>6.0438000000000001</v>
      </c>
    </row>
    <row r="605" spans="39:44" x14ac:dyDescent="0.3">
      <c r="AM605" s="550">
        <f t="shared" ca="1" si="62"/>
        <v>45350</v>
      </c>
      <c r="AN605" s="551">
        <v>239.27</v>
      </c>
      <c r="AO605" s="551">
        <v>2272098</v>
      </c>
      <c r="AP605" s="551">
        <v>609.59749999999997</v>
      </c>
      <c r="AQ605" s="551">
        <v>145858.39382500001</v>
      </c>
      <c r="AR605" s="551">
        <v>6.0438000000000001</v>
      </c>
    </row>
    <row r="606" spans="39:44" x14ac:dyDescent="0.3">
      <c r="AM606" s="550">
        <f t="shared" ca="1" si="62"/>
        <v>45349</v>
      </c>
      <c r="AN606" s="551">
        <v>239.27</v>
      </c>
      <c r="AO606" s="551">
        <v>2272098</v>
      </c>
      <c r="AP606" s="551">
        <v>609.59749999999997</v>
      </c>
      <c r="AQ606" s="551">
        <v>145858.39382500001</v>
      </c>
      <c r="AR606" s="551">
        <v>6.0438000000000001</v>
      </c>
    </row>
    <row r="607" spans="39:44" x14ac:dyDescent="0.3">
      <c r="AM607" s="550">
        <f t="shared" ca="1" si="62"/>
        <v>45348</v>
      </c>
      <c r="AN607" s="551">
        <v>237.99</v>
      </c>
      <c r="AO607" s="551">
        <v>2326484</v>
      </c>
      <c r="AP607" s="551">
        <v>609.59749999999997</v>
      </c>
      <c r="AQ607" s="551">
        <v>145078.10902500001</v>
      </c>
      <c r="AR607" s="551">
        <v>6.0114000000000001</v>
      </c>
    </row>
    <row r="608" spans="39:44" x14ac:dyDescent="0.3">
      <c r="AM608" s="550">
        <f t="shared" ca="1" si="62"/>
        <v>45347</v>
      </c>
      <c r="AN608" s="551">
        <v>235.81</v>
      </c>
      <c r="AO608" s="551">
        <v>2311158</v>
      </c>
      <c r="AP608" s="551">
        <v>609.59749999999997</v>
      </c>
      <c r="AQ608" s="551">
        <v>143749.18647499999</v>
      </c>
      <c r="AR608" s="551">
        <v>5.9564000000000004</v>
      </c>
    </row>
    <row r="609" spans="39:44" x14ac:dyDescent="0.3">
      <c r="AM609" s="550">
        <f t="shared" ca="1" si="62"/>
        <v>45346</v>
      </c>
      <c r="AN609" s="551">
        <v>236.21</v>
      </c>
      <c r="AO609" s="551">
        <v>2578748</v>
      </c>
      <c r="AP609" s="551">
        <v>609.59749999999997</v>
      </c>
      <c r="AQ609" s="551">
        <v>143993.025475</v>
      </c>
      <c r="AR609" s="551">
        <v>5.9664999999999999</v>
      </c>
    </row>
    <row r="610" spans="39:44" x14ac:dyDescent="0.3">
      <c r="AM610" s="550">
        <f t="shared" ca="1" si="62"/>
        <v>45345</v>
      </c>
      <c r="AN610" s="551">
        <v>237.71</v>
      </c>
      <c r="AO610" s="551">
        <v>3018743</v>
      </c>
      <c r="AP610" s="551">
        <v>609.59749999999997</v>
      </c>
      <c r="AQ610" s="551">
        <v>144907.42172499999</v>
      </c>
      <c r="AR610" s="551">
        <v>6.0044000000000004</v>
      </c>
    </row>
    <row r="611" spans="39:44" x14ac:dyDescent="0.3">
      <c r="AM611" s="550">
        <f t="shared" ca="1" si="62"/>
        <v>45344</v>
      </c>
      <c r="AN611" s="551">
        <v>237.71</v>
      </c>
      <c r="AO611" s="551">
        <v>3018743</v>
      </c>
      <c r="AP611" s="551">
        <v>609.59749999999997</v>
      </c>
      <c r="AQ611" s="551">
        <v>144907.42172499999</v>
      </c>
      <c r="AR611" s="551">
        <v>6.0044000000000004</v>
      </c>
    </row>
    <row r="612" spans="39:44" x14ac:dyDescent="0.3">
      <c r="AM612" s="550">
        <f t="shared" ca="1" si="62"/>
        <v>45343</v>
      </c>
      <c r="AN612" s="551">
        <v>237.71</v>
      </c>
      <c r="AO612" s="551">
        <v>3018743</v>
      </c>
      <c r="AP612" s="551">
        <v>609.59749999999997</v>
      </c>
      <c r="AQ612" s="551">
        <v>144907.42172499999</v>
      </c>
      <c r="AR612" s="551">
        <v>6.0044000000000004</v>
      </c>
    </row>
    <row r="613" spans="39:44" x14ac:dyDescent="0.3">
      <c r="AM613" s="550">
        <f t="shared" ca="1" si="62"/>
        <v>45342</v>
      </c>
      <c r="AN613" s="551">
        <v>237.71</v>
      </c>
      <c r="AO613" s="551">
        <v>3018743</v>
      </c>
      <c r="AP613" s="551">
        <v>609.59749999999997</v>
      </c>
      <c r="AQ613" s="551">
        <v>144907.42172499999</v>
      </c>
      <c r="AR613" s="551">
        <v>6.0044000000000004</v>
      </c>
    </row>
    <row r="614" spans="39:44" x14ac:dyDescent="0.3">
      <c r="AM614" s="550">
        <f t="shared" ca="1" si="62"/>
        <v>45341</v>
      </c>
      <c r="AN614" s="551">
        <v>236.38</v>
      </c>
      <c r="AO614" s="551">
        <v>2219342</v>
      </c>
      <c r="AP614" s="551">
        <v>609.59749999999997</v>
      </c>
      <c r="AQ614" s="551">
        <v>144096.65704999998</v>
      </c>
      <c r="AR614" s="551">
        <v>5.9707999999999997</v>
      </c>
    </row>
    <row r="615" spans="39:44" x14ac:dyDescent="0.3">
      <c r="AM615" s="550">
        <f t="shared" ca="1" si="62"/>
        <v>45340</v>
      </c>
      <c r="AN615" s="551">
        <v>239</v>
      </c>
      <c r="AO615" s="551">
        <v>1683519</v>
      </c>
      <c r="AP615" s="551">
        <v>609.59749999999997</v>
      </c>
      <c r="AQ615" s="551">
        <v>145693.80249999999</v>
      </c>
      <c r="AR615" s="551">
        <v>6.0369999999999999</v>
      </c>
    </row>
    <row r="616" spans="39:44" x14ac:dyDescent="0.3">
      <c r="AM616" s="550">
        <f t="shared" ca="1" si="62"/>
        <v>45339</v>
      </c>
      <c r="AN616" s="551">
        <v>237.41</v>
      </c>
      <c r="AO616" s="551">
        <v>2055185</v>
      </c>
      <c r="AP616" s="551">
        <v>609.59749999999997</v>
      </c>
      <c r="AQ616" s="551">
        <v>144724.54247499999</v>
      </c>
      <c r="AR616" s="551">
        <v>5.9968000000000004</v>
      </c>
    </row>
    <row r="617" spans="39:44" x14ac:dyDescent="0.3">
      <c r="AM617" s="550">
        <f t="shared" ca="1" si="62"/>
        <v>45338</v>
      </c>
      <c r="AN617" s="551">
        <v>240.62</v>
      </c>
      <c r="AO617" s="551">
        <v>2567784</v>
      </c>
      <c r="AP617" s="551">
        <v>609.59749999999997</v>
      </c>
      <c r="AQ617" s="551">
        <v>146681.35045</v>
      </c>
      <c r="AR617" s="551">
        <v>6.0778999999999996</v>
      </c>
    </row>
    <row r="618" spans="39:44" x14ac:dyDescent="0.3">
      <c r="AM618" s="550">
        <f t="shared" ca="1" si="62"/>
        <v>45337</v>
      </c>
      <c r="AN618" s="551">
        <v>239.91</v>
      </c>
      <c r="AO618" s="551">
        <v>2316918</v>
      </c>
      <c r="AP618" s="551">
        <v>609.59749999999997</v>
      </c>
      <c r="AQ618" s="551">
        <v>146248.53622499999</v>
      </c>
      <c r="AR618" s="551">
        <v>6.0598999999999998</v>
      </c>
    </row>
    <row r="619" spans="39:44" x14ac:dyDescent="0.3">
      <c r="AM619" s="550">
        <f t="shared" ca="1" si="62"/>
        <v>45336</v>
      </c>
      <c r="AN619" s="551">
        <v>239.91</v>
      </c>
      <c r="AO619" s="551">
        <v>2316918</v>
      </c>
      <c r="AP619" s="551">
        <v>609.59749999999997</v>
      </c>
      <c r="AQ619" s="551">
        <v>146248.53622499999</v>
      </c>
      <c r="AR619" s="551">
        <v>6.0598999999999998</v>
      </c>
    </row>
    <row r="620" spans="39:44" x14ac:dyDescent="0.3">
      <c r="AM620" s="550">
        <f t="shared" ca="1" si="62"/>
        <v>45335</v>
      </c>
      <c r="AN620" s="551">
        <v>239.91</v>
      </c>
      <c r="AO620" s="551">
        <v>2316918</v>
      </c>
      <c r="AP620" s="551">
        <v>609.59749999999997</v>
      </c>
      <c r="AQ620" s="551">
        <v>146248.53622499999</v>
      </c>
      <c r="AR620" s="551">
        <v>6.0598999999999998</v>
      </c>
    </row>
    <row r="621" spans="39:44" x14ac:dyDescent="0.3">
      <c r="AM621" s="550">
        <f t="shared" ca="1" si="62"/>
        <v>45334</v>
      </c>
      <c r="AN621" s="551">
        <v>241.06</v>
      </c>
      <c r="AO621" s="551">
        <v>2305436</v>
      </c>
      <c r="AP621" s="551">
        <v>609.59749999999997</v>
      </c>
      <c r="AQ621" s="551">
        <v>146949.57334999999</v>
      </c>
      <c r="AR621" s="551">
        <v>6.0890000000000004</v>
      </c>
    </row>
    <row r="622" spans="39:44" x14ac:dyDescent="0.3">
      <c r="AM622" s="550">
        <f t="shared" ca="1" si="62"/>
        <v>45333</v>
      </c>
      <c r="AN622" s="551">
        <v>241.7</v>
      </c>
      <c r="AO622" s="551">
        <v>1748272</v>
      </c>
      <c r="AP622" s="551">
        <v>609.59749999999997</v>
      </c>
      <c r="AQ622" s="551">
        <v>147339.71574999997</v>
      </c>
      <c r="AR622" s="551">
        <v>6.1052</v>
      </c>
    </row>
    <row r="623" spans="39:44" x14ac:dyDescent="0.3">
      <c r="AM623" s="550">
        <f t="shared" ca="1" si="62"/>
        <v>45332</v>
      </c>
      <c r="AN623" s="551">
        <v>243.43</v>
      </c>
      <c r="AO623" s="551">
        <v>2622215</v>
      </c>
      <c r="AP623" s="551">
        <v>609.59749999999997</v>
      </c>
      <c r="AQ623" s="551">
        <v>148394.31942499999</v>
      </c>
      <c r="AR623" s="551">
        <v>6.1489000000000003</v>
      </c>
    </row>
    <row r="624" spans="39:44" x14ac:dyDescent="0.3">
      <c r="AM624" s="550">
        <f t="shared" ca="1" si="62"/>
        <v>45331</v>
      </c>
      <c r="AN624" s="551">
        <v>245.62</v>
      </c>
      <c r="AO624" s="551">
        <v>1228687</v>
      </c>
      <c r="AP624" s="551">
        <v>609.59749999999997</v>
      </c>
      <c r="AQ624" s="551">
        <v>149729.33794999999</v>
      </c>
      <c r="AR624" s="551">
        <v>6.2085999999999997</v>
      </c>
    </row>
    <row r="625" spans="39:44" x14ac:dyDescent="0.3">
      <c r="AM625" s="550">
        <f t="shared" ca="1" si="62"/>
        <v>45330</v>
      </c>
      <c r="AN625" s="551">
        <v>245.62</v>
      </c>
      <c r="AO625" s="551">
        <v>1228687</v>
      </c>
      <c r="AP625" s="551">
        <v>609.59749999999997</v>
      </c>
      <c r="AQ625" s="551">
        <v>149729.33794999999</v>
      </c>
      <c r="AR625" s="551">
        <v>6.2085999999999997</v>
      </c>
    </row>
    <row r="626" spans="39:44" x14ac:dyDescent="0.3">
      <c r="AM626" s="550">
        <f t="shared" ca="1" si="62"/>
        <v>45329</v>
      </c>
      <c r="AN626" s="551">
        <v>245.62</v>
      </c>
      <c r="AO626" s="551">
        <v>1228687</v>
      </c>
      <c r="AP626" s="551">
        <v>609.59749999999997</v>
      </c>
      <c r="AQ626" s="551">
        <v>149729.33794999999</v>
      </c>
      <c r="AR626" s="551">
        <v>6.2085999999999997</v>
      </c>
    </row>
    <row r="627" spans="39:44" x14ac:dyDescent="0.3">
      <c r="AM627" s="550">
        <f t="shared" ca="1" si="62"/>
        <v>45328</v>
      </c>
      <c r="AN627" s="551">
        <v>245.62</v>
      </c>
      <c r="AO627" s="551">
        <v>1228687</v>
      </c>
      <c r="AP627" s="551">
        <v>609.59749999999997</v>
      </c>
      <c r="AQ627" s="551">
        <v>149729.33794999999</v>
      </c>
      <c r="AR627" s="551">
        <v>6.2085999999999997</v>
      </c>
    </row>
    <row r="628" spans="39:44" x14ac:dyDescent="0.3">
      <c r="AM628" s="550">
        <f t="shared" ca="1" si="62"/>
        <v>45327</v>
      </c>
      <c r="AN628" s="551">
        <v>246.02</v>
      </c>
      <c r="AO628" s="551">
        <v>1208598</v>
      </c>
      <c r="AP628" s="551">
        <v>609.59749999999997</v>
      </c>
      <c r="AQ628" s="551">
        <v>149973.17694999999</v>
      </c>
      <c r="AR628" s="551">
        <v>6.2187000000000001</v>
      </c>
    </row>
    <row r="629" spans="39:44" x14ac:dyDescent="0.3">
      <c r="AM629" s="550">
        <f t="shared" ca="1" si="62"/>
        <v>45326</v>
      </c>
      <c r="AN629" s="551">
        <v>245.81</v>
      </c>
      <c r="AO629" s="551">
        <v>2205986</v>
      </c>
      <c r="AP629" s="551">
        <v>609.59749999999997</v>
      </c>
      <c r="AQ629" s="551">
        <v>149845.161475</v>
      </c>
      <c r="AR629" s="551">
        <v>6.2134</v>
      </c>
    </row>
    <row r="630" spans="39:44" x14ac:dyDescent="0.3">
      <c r="AM630" s="550">
        <f t="shared" ca="1" si="62"/>
        <v>45325</v>
      </c>
      <c r="AN630" s="551">
        <v>245.29</v>
      </c>
      <c r="AO630" s="551">
        <v>1454117</v>
      </c>
      <c r="AP630" s="551">
        <v>609.59749999999997</v>
      </c>
      <c r="AQ630" s="551">
        <v>149528.17077499998</v>
      </c>
      <c r="AR630" s="551">
        <v>6.2003000000000004</v>
      </c>
    </row>
    <row r="631" spans="39:44" x14ac:dyDescent="0.3">
      <c r="AM631" s="550">
        <f t="shared" ca="1" si="62"/>
        <v>45324</v>
      </c>
      <c r="AN631" s="551">
        <v>243.58</v>
      </c>
      <c r="AO631" s="551">
        <v>1824809</v>
      </c>
      <c r="AP631" s="551">
        <v>609.59749999999997</v>
      </c>
      <c r="AQ631" s="551">
        <v>148485.75904999999</v>
      </c>
      <c r="AR631" s="551">
        <v>6.1570999999999998</v>
      </c>
    </row>
    <row r="632" spans="39:44" x14ac:dyDescent="0.3">
      <c r="AM632" s="550">
        <f t="shared" ca="1" si="62"/>
        <v>45323</v>
      </c>
      <c r="AN632" s="551">
        <v>243.58</v>
      </c>
      <c r="AO632" s="551">
        <v>1824809</v>
      </c>
      <c r="AP632" s="551">
        <v>609.59749999999997</v>
      </c>
      <c r="AQ632" s="551">
        <v>148485.75904999999</v>
      </c>
      <c r="AR632" s="551">
        <v>6.1570999999999998</v>
      </c>
    </row>
    <row r="633" spans="39:44" x14ac:dyDescent="0.3">
      <c r="AM633" s="550">
        <f t="shared" ca="1" si="62"/>
        <v>45322</v>
      </c>
      <c r="AN633" s="551">
        <v>243.58</v>
      </c>
      <c r="AO633" s="551">
        <v>1824809</v>
      </c>
      <c r="AP633" s="551">
        <v>609.59749999999997</v>
      </c>
      <c r="AQ633" s="551">
        <v>148485.75904999999</v>
      </c>
      <c r="AR633" s="551">
        <v>6.1570999999999998</v>
      </c>
    </row>
    <row r="634" spans="39:44" x14ac:dyDescent="0.3">
      <c r="AM634" s="550">
        <f t="shared" ca="1" si="62"/>
        <v>45321</v>
      </c>
      <c r="AN634" s="551">
        <v>243.58</v>
      </c>
      <c r="AO634" s="551">
        <v>1824809</v>
      </c>
      <c r="AP634" s="551">
        <v>609.59749999999997</v>
      </c>
      <c r="AQ634" s="551">
        <v>148485.75904999999</v>
      </c>
      <c r="AR634" s="551">
        <v>6.1570999999999998</v>
      </c>
    </row>
    <row r="635" spans="39:44" x14ac:dyDescent="0.3">
      <c r="AM635" s="550">
        <f t="shared" ca="1" si="62"/>
        <v>45320</v>
      </c>
      <c r="AN635" s="551">
        <v>242.11</v>
      </c>
      <c r="AO635" s="551">
        <v>2603197</v>
      </c>
      <c r="AP635" s="551">
        <v>609.59749999999997</v>
      </c>
      <c r="AQ635" s="551">
        <v>147589.65072500001</v>
      </c>
      <c r="AR635" s="551">
        <v>6.1199000000000003</v>
      </c>
    </row>
    <row r="636" spans="39:44" x14ac:dyDescent="0.3">
      <c r="AM636" s="550">
        <f t="shared" ca="1" si="62"/>
        <v>45319</v>
      </c>
      <c r="AN636" s="551">
        <v>237.84</v>
      </c>
      <c r="AO636" s="551">
        <v>2724760</v>
      </c>
      <c r="AP636" s="551">
        <v>609.59749999999997</v>
      </c>
      <c r="AQ636" s="551">
        <v>144986.66939999998</v>
      </c>
      <c r="AR636" s="551">
        <v>6.0119999999999996</v>
      </c>
    </row>
    <row r="637" spans="39:44" x14ac:dyDescent="0.3">
      <c r="AM637" s="550">
        <f t="shared" ca="1" si="62"/>
        <v>45318</v>
      </c>
      <c r="AN637" s="551">
        <v>242.65</v>
      </c>
      <c r="AO637" s="551">
        <v>2314244</v>
      </c>
      <c r="AP637" s="551">
        <v>609.59749999999997</v>
      </c>
      <c r="AQ637" s="551">
        <v>147918.83337499999</v>
      </c>
      <c r="AR637" s="551">
        <v>6.1336000000000004</v>
      </c>
    </row>
    <row r="638" spans="39:44" x14ac:dyDescent="0.3">
      <c r="AM638" s="550">
        <f t="shared" ca="1" si="62"/>
        <v>45317</v>
      </c>
      <c r="AN638" s="551">
        <v>241.1</v>
      </c>
      <c r="AO638" s="551">
        <v>2457617</v>
      </c>
      <c r="AP638" s="551">
        <v>609.59749999999997</v>
      </c>
      <c r="AQ638" s="551">
        <v>146973.95724999998</v>
      </c>
      <c r="AR638" s="551">
        <v>6.0944000000000003</v>
      </c>
    </row>
    <row r="639" spans="39:44" x14ac:dyDescent="0.3">
      <c r="AM639" s="550">
        <f t="shared" ca="1" si="62"/>
        <v>45316</v>
      </c>
      <c r="AN639" s="551">
        <v>241.98</v>
      </c>
      <c r="AO639" s="551">
        <v>4768518</v>
      </c>
      <c r="AP639" s="551">
        <v>609.59749999999997</v>
      </c>
      <c r="AQ639" s="551">
        <v>147510.40304999999</v>
      </c>
      <c r="AR639" s="551">
        <v>6.1166</v>
      </c>
    </row>
    <row r="640" spans="39:44" x14ac:dyDescent="0.3">
      <c r="AM640" s="550">
        <f t="shared" ca="1" si="62"/>
        <v>45315</v>
      </c>
      <c r="AN640" s="551">
        <v>241.98</v>
      </c>
      <c r="AO640" s="551">
        <v>4768518</v>
      </c>
      <c r="AP640" s="551">
        <v>609.59749999999997</v>
      </c>
      <c r="AQ640" s="551">
        <v>147510.40304999999</v>
      </c>
      <c r="AR640" s="551">
        <v>6.1166</v>
      </c>
    </row>
    <row r="641" spans="39:44" x14ac:dyDescent="0.3">
      <c r="AM641" s="550">
        <f t="shared" ca="1" si="62"/>
        <v>45314</v>
      </c>
      <c r="AN641" s="551">
        <v>241.98</v>
      </c>
      <c r="AO641" s="551">
        <v>4768518</v>
      </c>
      <c r="AP641" s="551">
        <v>609.59749999999997</v>
      </c>
      <c r="AQ641" s="551">
        <v>147510.40304999999</v>
      </c>
      <c r="AR641" s="551">
        <v>6.1166</v>
      </c>
    </row>
    <row r="642" spans="39:44" x14ac:dyDescent="0.3">
      <c r="AM642" s="550">
        <f t="shared" ca="1" si="62"/>
        <v>45313</v>
      </c>
      <c r="AN642" s="551">
        <v>242.86</v>
      </c>
      <c r="AO642" s="551">
        <v>4863594</v>
      </c>
      <c r="AP642" s="551">
        <v>609.59749999999997</v>
      </c>
      <c r="AQ642" s="551">
        <v>148046.84885000001</v>
      </c>
      <c r="AR642" s="551">
        <v>6.1388999999999996</v>
      </c>
    </row>
    <row r="643" spans="39:44" x14ac:dyDescent="0.3">
      <c r="AM643" s="550">
        <f t="shared" ca="1" si="62"/>
        <v>45312</v>
      </c>
      <c r="AN643" s="551">
        <v>236.69</v>
      </c>
      <c r="AO643" s="551">
        <v>3926716</v>
      </c>
      <c r="AP643" s="551">
        <v>609.59749999999997</v>
      </c>
      <c r="AQ643" s="551">
        <v>144285.63227499998</v>
      </c>
      <c r="AR643" s="551">
        <v>5.9828999999999999</v>
      </c>
    </row>
    <row r="644" spans="39:44" x14ac:dyDescent="0.3">
      <c r="AM644" s="550">
        <f t="shared" ca="1" si="62"/>
        <v>45311</v>
      </c>
      <c r="AN644" s="551">
        <v>232.91</v>
      </c>
      <c r="AO644" s="551">
        <v>2427466</v>
      </c>
      <c r="AP644" s="551">
        <v>609.59749999999997</v>
      </c>
      <c r="AQ644" s="551">
        <v>141981.35372499999</v>
      </c>
      <c r="AR644" s="551">
        <v>5.8874000000000004</v>
      </c>
    </row>
    <row r="645" spans="39:44" x14ac:dyDescent="0.3">
      <c r="AM645" s="550">
        <f t="shared" ref="AM645:AM708" ca="1" si="63">AM644-1</f>
        <v>45310</v>
      </c>
      <c r="AN645" s="551">
        <v>232.03</v>
      </c>
      <c r="AO645" s="551">
        <v>1810413</v>
      </c>
      <c r="AP645" s="551">
        <v>609.59749999999997</v>
      </c>
      <c r="AQ645" s="551">
        <v>141444.90792500001</v>
      </c>
      <c r="AR645" s="551">
        <v>5.8651</v>
      </c>
    </row>
    <row r="646" spans="39:44" x14ac:dyDescent="0.3">
      <c r="AM646" s="550">
        <f t="shared" ca="1" si="63"/>
        <v>45309</v>
      </c>
      <c r="AN646" s="551">
        <v>229.77</v>
      </c>
      <c r="AO646" s="551">
        <v>2544779</v>
      </c>
      <c r="AP646" s="551">
        <v>609.59749999999997</v>
      </c>
      <c r="AQ646" s="551">
        <v>140067.21757499999</v>
      </c>
      <c r="AR646" s="551">
        <v>5.8079999999999998</v>
      </c>
    </row>
    <row r="647" spans="39:44" x14ac:dyDescent="0.3">
      <c r="AM647" s="550">
        <f t="shared" ca="1" si="63"/>
        <v>45308</v>
      </c>
      <c r="AN647" s="551">
        <v>229.77</v>
      </c>
      <c r="AO647" s="551">
        <v>2544779</v>
      </c>
      <c r="AP647" s="551">
        <v>609.59749999999997</v>
      </c>
      <c r="AQ647" s="551">
        <v>140067.21757499999</v>
      </c>
      <c r="AR647" s="551">
        <v>5.8079999999999998</v>
      </c>
    </row>
    <row r="648" spans="39:44" x14ac:dyDescent="0.3">
      <c r="AM648" s="550">
        <f t="shared" ca="1" si="63"/>
        <v>45307</v>
      </c>
      <c r="AN648" s="551">
        <v>229.77</v>
      </c>
      <c r="AO648" s="551">
        <v>2544779</v>
      </c>
      <c r="AP648" s="551">
        <v>609.59749999999997</v>
      </c>
      <c r="AQ648" s="551">
        <v>140067.21757499999</v>
      </c>
      <c r="AR648" s="551">
        <v>5.8079999999999998</v>
      </c>
    </row>
    <row r="649" spans="39:44" x14ac:dyDescent="0.3">
      <c r="AM649" s="550">
        <f t="shared" ca="1" si="63"/>
        <v>45306</v>
      </c>
      <c r="AN649" s="551">
        <v>231.49</v>
      </c>
      <c r="AO649" s="551">
        <v>2075095</v>
      </c>
      <c r="AP649" s="551">
        <v>609.59749999999997</v>
      </c>
      <c r="AQ649" s="551">
        <v>141115.725275</v>
      </c>
      <c r="AR649" s="551">
        <v>5.8514999999999997</v>
      </c>
    </row>
    <row r="650" spans="39:44" x14ac:dyDescent="0.3">
      <c r="AM650" s="550">
        <f t="shared" ca="1" si="63"/>
        <v>45305</v>
      </c>
      <c r="AN650" s="551">
        <v>232.97</v>
      </c>
      <c r="AO650" s="551">
        <v>1804898</v>
      </c>
      <c r="AP650" s="551">
        <v>609.59749999999997</v>
      </c>
      <c r="AQ650" s="551">
        <v>142017.92957499999</v>
      </c>
      <c r="AR650" s="551">
        <v>5.8888999999999996</v>
      </c>
    </row>
    <row r="651" spans="39:44" x14ac:dyDescent="0.3">
      <c r="AM651" s="550">
        <f t="shared" ca="1" si="63"/>
        <v>45304</v>
      </c>
      <c r="AN651" s="551">
        <v>232.17</v>
      </c>
      <c r="AO651" s="551">
        <v>2632486</v>
      </c>
      <c r="AP651" s="551">
        <v>609.59749999999997</v>
      </c>
      <c r="AQ651" s="551">
        <v>141530.25157499997</v>
      </c>
      <c r="AR651" s="551">
        <v>5.8686999999999996</v>
      </c>
    </row>
    <row r="652" spans="39:44" x14ac:dyDescent="0.3">
      <c r="AM652" s="550">
        <f t="shared" ca="1" si="63"/>
        <v>45303</v>
      </c>
      <c r="AN652" s="551">
        <v>233.9</v>
      </c>
      <c r="AO652" s="551">
        <v>3881955</v>
      </c>
      <c r="AP652" s="551">
        <v>609.59749999999997</v>
      </c>
      <c r="AQ652" s="551">
        <v>142584.85524999999</v>
      </c>
      <c r="AR652" s="551">
        <v>5.9123999999999999</v>
      </c>
    </row>
    <row r="653" spans="39:44" x14ac:dyDescent="0.3">
      <c r="AM653" s="550">
        <f t="shared" ca="1" si="63"/>
        <v>45302</v>
      </c>
      <c r="AN653" s="551">
        <v>231.37</v>
      </c>
      <c r="AO653" s="551">
        <v>3239020</v>
      </c>
      <c r="AP653" s="551">
        <v>609.59749999999997</v>
      </c>
      <c r="AQ653" s="551">
        <v>141042.57357499999</v>
      </c>
      <c r="AR653" s="551">
        <v>5.8483999999999998</v>
      </c>
    </row>
    <row r="654" spans="39:44" x14ac:dyDescent="0.3">
      <c r="AM654" s="550">
        <f t="shared" ca="1" si="63"/>
        <v>45301</v>
      </c>
      <c r="AN654" s="551">
        <v>231.37</v>
      </c>
      <c r="AO654" s="551">
        <v>3239020</v>
      </c>
      <c r="AP654" s="551">
        <v>609.59749999999997</v>
      </c>
      <c r="AQ654" s="551">
        <v>141042.57357499999</v>
      </c>
      <c r="AR654" s="551">
        <v>5.8483999999999998</v>
      </c>
    </row>
    <row r="655" spans="39:44" x14ac:dyDescent="0.3">
      <c r="AM655" s="550">
        <f t="shared" ca="1" si="63"/>
        <v>45300</v>
      </c>
      <c r="AN655" s="551">
        <v>231.37</v>
      </c>
      <c r="AO655" s="551">
        <v>3239020</v>
      </c>
      <c r="AP655" s="551">
        <v>609.59749999999997</v>
      </c>
      <c r="AQ655" s="551">
        <v>141042.57357499999</v>
      </c>
      <c r="AR655" s="551">
        <v>5.8483999999999998</v>
      </c>
    </row>
    <row r="656" spans="39:44" x14ac:dyDescent="0.3">
      <c r="AM656" s="550">
        <f t="shared" ca="1" si="63"/>
        <v>45299</v>
      </c>
      <c r="AN656" s="551">
        <v>225.27</v>
      </c>
      <c r="AO656" s="551">
        <v>4430060</v>
      </c>
      <c r="AP656" s="551">
        <v>609.59749999999997</v>
      </c>
      <c r="AQ656" s="551">
        <v>137324.02882499999</v>
      </c>
      <c r="AR656" s="551">
        <v>5.6942000000000004</v>
      </c>
    </row>
    <row r="657" spans="39:44" x14ac:dyDescent="0.3">
      <c r="AM657" s="550">
        <f t="shared" ca="1" si="63"/>
        <v>45298</v>
      </c>
      <c r="AN657" s="551">
        <v>221.47</v>
      </c>
      <c r="AO657" s="551">
        <v>1228889</v>
      </c>
      <c r="AP657" s="551">
        <v>609.59749999999997</v>
      </c>
      <c r="AQ657" s="551">
        <v>135007.55832499999</v>
      </c>
      <c r="AR657" s="551">
        <v>5.5982000000000003</v>
      </c>
    </row>
    <row r="658" spans="39:44" x14ac:dyDescent="0.3">
      <c r="AM658" s="550">
        <f t="shared" ca="1" si="63"/>
        <v>45297</v>
      </c>
      <c r="AN658" s="551">
        <v>221.23</v>
      </c>
      <c r="AO658" s="551">
        <v>1827572</v>
      </c>
      <c r="AP658" s="551">
        <v>609.59749999999997</v>
      </c>
      <c r="AQ658" s="551">
        <v>134861.25492499999</v>
      </c>
      <c r="AR658" s="551">
        <v>5.5921000000000003</v>
      </c>
    </row>
    <row r="659" spans="39:44" x14ac:dyDescent="0.3">
      <c r="AM659" s="550">
        <f t="shared" ca="1" si="63"/>
        <v>45296</v>
      </c>
      <c r="AN659" s="551">
        <v>219.85</v>
      </c>
      <c r="AO659" s="551">
        <v>2369208</v>
      </c>
      <c r="AP659" s="551">
        <v>609.59749999999997</v>
      </c>
      <c r="AQ659" s="551">
        <v>134020.01037499998</v>
      </c>
      <c r="AR659" s="551">
        <v>5.5571999999999999</v>
      </c>
    </row>
    <row r="660" spans="39:44" x14ac:dyDescent="0.3">
      <c r="AM660" s="550">
        <f t="shared" ca="1" si="63"/>
        <v>45295</v>
      </c>
      <c r="AN660" s="551">
        <v>224.28</v>
      </c>
      <c r="AO660" s="551">
        <v>1045594</v>
      </c>
      <c r="AP660" s="551">
        <v>609.59749999999997</v>
      </c>
      <c r="AQ660" s="551">
        <v>136720.52729999999</v>
      </c>
      <c r="AR660" s="551">
        <v>5.6692</v>
      </c>
    </row>
    <row r="661" spans="39:44" x14ac:dyDescent="0.3">
      <c r="AM661" s="550">
        <f t="shared" ca="1" si="63"/>
        <v>45294</v>
      </c>
      <c r="AN661" s="551">
        <v>224.28</v>
      </c>
      <c r="AO661" s="551">
        <v>1045594</v>
      </c>
      <c r="AP661" s="551">
        <v>609.59749999999997</v>
      </c>
      <c r="AQ661" s="551">
        <v>136720.52729999999</v>
      </c>
      <c r="AR661" s="551">
        <v>5.6692</v>
      </c>
    </row>
    <row r="662" spans="39:44" x14ac:dyDescent="0.3">
      <c r="AM662" s="550">
        <f t="shared" ca="1" si="63"/>
        <v>45293</v>
      </c>
      <c r="AN662" s="551">
        <v>224.28</v>
      </c>
      <c r="AO662" s="551">
        <v>1045594</v>
      </c>
      <c r="AP662" s="551">
        <v>609.59749999999997</v>
      </c>
      <c r="AQ662" s="551">
        <v>136720.52729999999</v>
      </c>
      <c r="AR662" s="551">
        <v>5.6692</v>
      </c>
    </row>
    <row r="663" spans="39:44" x14ac:dyDescent="0.3">
      <c r="AM663" s="550">
        <f t="shared" ca="1" si="63"/>
        <v>45292</v>
      </c>
      <c r="AN663" s="551">
        <v>223.49</v>
      </c>
      <c r="AO663" s="551">
        <v>1716193</v>
      </c>
      <c r="AP663" s="551">
        <v>609.59749999999997</v>
      </c>
      <c r="AQ663" s="551">
        <v>136238.94527500001</v>
      </c>
      <c r="AR663" s="551">
        <v>5.6492000000000004</v>
      </c>
    </row>
    <row r="664" spans="39:44" x14ac:dyDescent="0.3">
      <c r="AM664" s="550">
        <f t="shared" ca="1" si="63"/>
        <v>45291</v>
      </c>
      <c r="AN664" s="551">
        <v>223.49</v>
      </c>
      <c r="AO664" s="551">
        <v>1716193</v>
      </c>
      <c r="AP664" s="551">
        <v>609.59749999999997</v>
      </c>
      <c r="AQ664" s="551">
        <v>136238.94527500001</v>
      </c>
      <c r="AR664" s="551">
        <v>5.6492000000000004</v>
      </c>
    </row>
    <row r="665" spans="39:44" x14ac:dyDescent="0.3">
      <c r="AM665" s="550">
        <f t="shared" ca="1" si="63"/>
        <v>45290</v>
      </c>
      <c r="AN665" s="551">
        <v>222</v>
      </c>
      <c r="AO665" s="551">
        <v>2422331</v>
      </c>
      <c r="AP665" s="551">
        <v>609.59749999999997</v>
      </c>
      <c r="AQ665" s="551">
        <v>135330.64499999999</v>
      </c>
      <c r="AR665" s="551">
        <v>5.6116000000000001</v>
      </c>
    </row>
    <row r="666" spans="39:44" x14ac:dyDescent="0.3">
      <c r="AM666" s="550">
        <f t="shared" ca="1" si="63"/>
        <v>45289</v>
      </c>
      <c r="AN666" s="551">
        <v>221.1</v>
      </c>
      <c r="AO666" s="551">
        <v>2548124</v>
      </c>
      <c r="AP666" s="551">
        <v>609.59749999999997</v>
      </c>
      <c r="AQ666" s="551">
        <v>134782.00725</v>
      </c>
      <c r="AR666" s="551">
        <v>5.5888</v>
      </c>
    </row>
    <row r="667" spans="39:44" x14ac:dyDescent="0.3">
      <c r="AM667" s="550">
        <f t="shared" ca="1" si="63"/>
        <v>45288</v>
      </c>
      <c r="AN667" s="551">
        <v>219.21</v>
      </c>
      <c r="AO667" s="551">
        <v>2005354</v>
      </c>
      <c r="AP667" s="551">
        <v>609.59749999999997</v>
      </c>
      <c r="AQ667" s="551">
        <v>133629.867975</v>
      </c>
      <c r="AR667" s="551">
        <v>5.5411000000000001</v>
      </c>
    </row>
    <row r="668" spans="39:44" x14ac:dyDescent="0.3">
      <c r="AM668" s="550">
        <f t="shared" ca="1" si="63"/>
        <v>45287</v>
      </c>
      <c r="AN668" s="551">
        <v>219.21</v>
      </c>
      <c r="AO668" s="551">
        <v>2005354</v>
      </c>
      <c r="AP668" s="551">
        <v>609.59749999999997</v>
      </c>
      <c r="AQ668" s="551">
        <v>133629.867975</v>
      </c>
      <c r="AR668" s="551">
        <v>5.5411000000000001</v>
      </c>
    </row>
    <row r="669" spans="39:44" x14ac:dyDescent="0.3">
      <c r="AM669" s="550">
        <f t="shared" ca="1" si="63"/>
        <v>45286</v>
      </c>
      <c r="AN669" s="551">
        <v>219.21</v>
      </c>
      <c r="AO669" s="551">
        <v>2005354</v>
      </c>
      <c r="AP669" s="551">
        <v>609.59749999999997</v>
      </c>
      <c r="AQ669" s="551">
        <v>133629.867975</v>
      </c>
      <c r="AR669" s="551">
        <v>5.5411000000000001</v>
      </c>
    </row>
    <row r="670" spans="39:44" x14ac:dyDescent="0.3">
      <c r="AM670" s="550">
        <f t="shared" ca="1" si="63"/>
        <v>45285</v>
      </c>
      <c r="AN670" s="551">
        <v>219.36</v>
      </c>
      <c r="AO670" s="551">
        <v>1438333</v>
      </c>
      <c r="AP670" s="551">
        <v>609.59749999999997</v>
      </c>
      <c r="AQ670" s="551">
        <v>133721.3076</v>
      </c>
      <c r="AR670" s="551">
        <v>5.5448000000000004</v>
      </c>
    </row>
    <row r="671" spans="39:44" x14ac:dyDescent="0.3">
      <c r="AM671" s="550">
        <f t="shared" ca="1" si="63"/>
        <v>45284</v>
      </c>
      <c r="AN671" s="551">
        <v>218.08</v>
      </c>
      <c r="AO671" s="551">
        <v>2709674</v>
      </c>
      <c r="AP671" s="551">
        <v>609.59749999999997</v>
      </c>
      <c r="AQ671" s="551">
        <v>132941.02280000001</v>
      </c>
      <c r="AR671" s="551">
        <v>5.5125000000000002</v>
      </c>
    </row>
    <row r="672" spans="39:44" x14ac:dyDescent="0.3">
      <c r="AM672" s="550">
        <f t="shared" ca="1" si="63"/>
        <v>45283</v>
      </c>
      <c r="AN672" s="551">
        <v>215.69</v>
      </c>
      <c r="AO672" s="551">
        <v>2610451</v>
      </c>
      <c r="AP672" s="551">
        <v>609.59749999999997</v>
      </c>
      <c r="AQ672" s="551">
        <v>131484.084775</v>
      </c>
      <c r="AR672" s="551">
        <v>5.4520999999999997</v>
      </c>
    </row>
    <row r="673" spans="39:44" x14ac:dyDescent="0.3">
      <c r="AM673" s="550">
        <f t="shared" ca="1" si="63"/>
        <v>45282</v>
      </c>
      <c r="AN673" s="551">
        <v>209.4</v>
      </c>
      <c r="AO673" s="551">
        <v>2185064</v>
      </c>
      <c r="AP673" s="551">
        <v>609.59749999999997</v>
      </c>
      <c r="AQ673" s="551">
        <v>127649.71649999999</v>
      </c>
      <c r="AR673" s="551">
        <v>5.2930999999999999</v>
      </c>
    </row>
    <row r="674" spans="39:44" x14ac:dyDescent="0.3">
      <c r="AM674" s="550">
        <f t="shared" ca="1" si="63"/>
        <v>45281</v>
      </c>
      <c r="AN674" s="551">
        <v>211.49</v>
      </c>
      <c r="AO674" s="551">
        <v>2673601</v>
      </c>
      <c r="AP674" s="551">
        <v>609.59749999999997</v>
      </c>
      <c r="AQ674" s="551">
        <v>128923.77527499999</v>
      </c>
      <c r="AR674" s="551">
        <v>5.3459000000000003</v>
      </c>
    </row>
    <row r="675" spans="39:44" x14ac:dyDescent="0.3">
      <c r="AM675" s="550">
        <f t="shared" ca="1" si="63"/>
        <v>45280</v>
      </c>
      <c r="AN675" s="551">
        <v>211.49</v>
      </c>
      <c r="AO675" s="551">
        <v>2673601</v>
      </c>
      <c r="AP675" s="551">
        <v>609.59749999999997</v>
      </c>
      <c r="AQ675" s="551">
        <v>128923.77527499999</v>
      </c>
      <c r="AR675" s="551">
        <v>5.3459000000000003</v>
      </c>
    </row>
    <row r="676" spans="39:44" x14ac:dyDescent="0.3">
      <c r="AM676" s="550">
        <f t="shared" ca="1" si="63"/>
        <v>45279</v>
      </c>
      <c r="AN676" s="551">
        <v>211.49</v>
      </c>
      <c r="AO676" s="551">
        <v>2673601</v>
      </c>
      <c r="AP676" s="551">
        <v>609.59749999999997</v>
      </c>
      <c r="AQ676" s="551">
        <v>128923.77527499999</v>
      </c>
      <c r="AR676" s="551">
        <v>5.3459000000000003</v>
      </c>
    </row>
    <row r="677" spans="39:44" x14ac:dyDescent="0.3">
      <c r="AM677" s="550">
        <f t="shared" ca="1" si="63"/>
        <v>45278</v>
      </c>
      <c r="AN677" s="551">
        <v>210.23</v>
      </c>
      <c r="AO677" s="551">
        <v>1496386</v>
      </c>
      <c r="AP677" s="551">
        <v>609.59749999999997</v>
      </c>
      <c r="AQ677" s="551">
        <v>128155.68242499999</v>
      </c>
      <c r="AR677" s="551">
        <v>5.3140999999999998</v>
      </c>
    </row>
    <row r="678" spans="39:44" x14ac:dyDescent="0.3">
      <c r="AM678" s="550">
        <f t="shared" ca="1" si="63"/>
        <v>45277</v>
      </c>
      <c r="AN678" s="551">
        <v>212</v>
      </c>
      <c r="AO678" s="551">
        <v>2483137</v>
      </c>
      <c r="AP678" s="551">
        <v>609.59749999999997</v>
      </c>
      <c r="AQ678" s="551">
        <v>129234.67</v>
      </c>
      <c r="AR678" s="551">
        <v>5.3587999999999996</v>
      </c>
    </row>
    <row r="679" spans="39:44" x14ac:dyDescent="0.3">
      <c r="AM679" s="550">
        <f t="shared" ca="1" si="63"/>
        <v>45276</v>
      </c>
      <c r="AN679" s="551">
        <v>211.41</v>
      </c>
      <c r="AO679" s="551">
        <v>2324175</v>
      </c>
      <c r="AP679" s="551">
        <v>609.59749999999997</v>
      </c>
      <c r="AQ679" s="551">
        <v>128875.00747499999</v>
      </c>
      <c r="AR679" s="551">
        <v>5.3438999999999997</v>
      </c>
    </row>
    <row r="680" spans="39:44" x14ac:dyDescent="0.3">
      <c r="AM680" s="550">
        <f t="shared" ca="1" si="63"/>
        <v>45275</v>
      </c>
      <c r="AN680" s="551">
        <v>213.1</v>
      </c>
      <c r="AO680" s="551">
        <v>1547283</v>
      </c>
      <c r="AP680" s="551">
        <v>609.59749999999997</v>
      </c>
      <c r="AQ680" s="551">
        <v>129905.22725</v>
      </c>
      <c r="AR680" s="551">
        <v>5.3865999999999996</v>
      </c>
    </row>
    <row r="681" spans="39:44" x14ac:dyDescent="0.3">
      <c r="AM681" s="550">
        <f t="shared" ca="1" si="63"/>
        <v>45274</v>
      </c>
      <c r="AN681" s="551">
        <v>212.13</v>
      </c>
      <c r="AO681" s="551">
        <v>1634891</v>
      </c>
      <c r="AP681" s="551">
        <v>609.59749999999997</v>
      </c>
      <c r="AQ681" s="551">
        <v>129313.91767499999</v>
      </c>
      <c r="AR681" s="551">
        <v>5.3620999999999999</v>
      </c>
    </row>
    <row r="682" spans="39:44" x14ac:dyDescent="0.3">
      <c r="AM682" s="550">
        <f t="shared" ca="1" si="63"/>
        <v>45273</v>
      </c>
      <c r="AN682" s="551">
        <v>212.13</v>
      </c>
      <c r="AO682" s="551">
        <v>1634891</v>
      </c>
      <c r="AP682" s="551">
        <v>609.59749999999997</v>
      </c>
      <c r="AQ682" s="551">
        <v>129313.91767499999</v>
      </c>
      <c r="AR682" s="551">
        <v>5.3620999999999999</v>
      </c>
    </row>
    <row r="683" spans="39:44" x14ac:dyDescent="0.3">
      <c r="AM683" s="550">
        <f t="shared" ca="1" si="63"/>
        <v>45272</v>
      </c>
      <c r="AN683" s="551">
        <v>212.13</v>
      </c>
      <c r="AO683" s="551">
        <v>1634891</v>
      </c>
      <c r="AP683" s="551">
        <v>609.59749999999997</v>
      </c>
      <c r="AQ683" s="551">
        <v>129313.91767499999</v>
      </c>
      <c r="AR683" s="551">
        <v>5.3620999999999999</v>
      </c>
    </row>
    <row r="684" spans="39:44" x14ac:dyDescent="0.3">
      <c r="AM684" s="550">
        <f t="shared" ca="1" si="63"/>
        <v>45271</v>
      </c>
      <c r="AN684" s="551">
        <v>211.39</v>
      </c>
      <c r="AO684" s="551">
        <v>1776659</v>
      </c>
      <c r="AP684" s="551">
        <v>609.59749999999997</v>
      </c>
      <c r="AQ684" s="551">
        <v>128862.81552499998</v>
      </c>
      <c r="AR684" s="551">
        <v>5.3433999999999999</v>
      </c>
    </row>
    <row r="685" spans="39:44" x14ac:dyDescent="0.3">
      <c r="AM685" s="550">
        <f t="shared" ca="1" si="63"/>
        <v>45270</v>
      </c>
      <c r="AN685" s="551">
        <v>207.56</v>
      </c>
      <c r="AO685" s="551">
        <v>2444310</v>
      </c>
      <c r="AP685" s="551">
        <v>609.59749999999997</v>
      </c>
      <c r="AQ685" s="551">
        <v>126528.05709999999</v>
      </c>
      <c r="AR685" s="551">
        <v>5.2465999999999999</v>
      </c>
    </row>
    <row r="686" spans="39:44" x14ac:dyDescent="0.3">
      <c r="AM686" s="550">
        <f t="shared" ca="1" si="63"/>
        <v>45269</v>
      </c>
      <c r="AN686" s="551">
        <v>207.61</v>
      </c>
      <c r="AO686" s="551">
        <v>2057825</v>
      </c>
      <c r="AP686" s="551">
        <v>609.59749999999997</v>
      </c>
      <c r="AQ686" s="551">
        <v>126558.536975</v>
      </c>
      <c r="AR686" s="551">
        <v>5.2477999999999998</v>
      </c>
    </row>
    <row r="687" spans="39:44" x14ac:dyDescent="0.3">
      <c r="AM687" s="550">
        <f t="shared" ca="1" si="63"/>
        <v>45268</v>
      </c>
      <c r="AN687" s="551">
        <v>205.8</v>
      </c>
      <c r="AO687" s="551">
        <v>2230121</v>
      </c>
      <c r="AP687" s="551">
        <v>609.59749999999997</v>
      </c>
      <c r="AQ687" s="551">
        <v>125455.1655</v>
      </c>
      <c r="AR687" s="551">
        <v>5.2020999999999997</v>
      </c>
    </row>
    <row r="688" spans="39:44" x14ac:dyDescent="0.3">
      <c r="AM688" s="550">
        <f t="shared" ca="1" si="63"/>
        <v>45267</v>
      </c>
      <c r="AN688" s="551">
        <v>201.72</v>
      </c>
      <c r="AO688" s="551">
        <v>2427576</v>
      </c>
      <c r="AP688" s="551">
        <v>609.59749999999997</v>
      </c>
      <c r="AQ688" s="551">
        <v>122968.00769999999</v>
      </c>
      <c r="AR688" s="551">
        <v>5.0990000000000002</v>
      </c>
    </row>
    <row r="689" spans="39:44" x14ac:dyDescent="0.3">
      <c r="AM689" s="550">
        <f t="shared" ca="1" si="63"/>
        <v>45266</v>
      </c>
      <c r="AN689" s="551">
        <v>201.72</v>
      </c>
      <c r="AO689" s="551">
        <v>2427576</v>
      </c>
      <c r="AP689" s="551">
        <v>609.59749999999997</v>
      </c>
      <c r="AQ689" s="551">
        <v>122968.00769999999</v>
      </c>
      <c r="AR689" s="551">
        <v>5.0990000000000002</v>
      </c>
    </row>
    <row r="690" spans="39:44" x14ac:dyDescent="0.3">
      <c r="AM690" s="550">
        <f t="shared" ca="1" si="63"/>
        <v>45265</v>
      </c>
      <c r="AN690" s="551">
        <v>201.72</v>
      </c>
      <c r="AO690" s="551">
        <v>2427576</v>
      </c>
      <c r="AP690" s="551">
        <v>609.59749999999997</v>
      </c>
      <c r="AQ690" s="551">
        <v>122968.00769999999</v>
      </c>
      <c r="AR690" s="551">
        <v>5.0990000000000002</v>
      </c>
    </row>
    <row r="691" spans="39:44" x14ac:dyDescent="0.3">
      <c r="AM691" s="550">
        <f t="shared" ca="1" si="63"/>
        <v>45264</v>
      </c>
      <c r="AN691" s="551">
        <v>202.24</v>
      </c>
      <c r="AO691" s="551">
        <v>2626352</v>
      </c>
      <c r="AP691" s="551">
        <v>609.59749999999997</v>
      </c>
      <c r="AQ691" s="551">
        <v>123284.9984</v>
      </c>
      <c r="AR691" s="551">
        <v>5.1120999999999999</v>
      </c>
    </row>
    <row r="692" spans="39:44" x14ac:dyDescent="0.3">
      <c r="AM692" s="550">
        <f t="shared" ca="1" si="63"/>
        <v>45263</v>
      </c>
      <c r="AN692" s="551">
        <v>205.22</v>
      </c>
      <c r="AO692" s="551">
        <v>2457397</v>
      </c>
      <c r="AP692" s="551">
        <v>609.59749999999997</v>
      </c>
      <c r="AQ692" s="551">
        <v>125101.59895</v>
      </c>
      <c r="AR692" s="551">
        <v>5.1874000000000002</v>
      </c>
    </row>
    <row r="693" spans="39:44" x14ac:dyDescent="0.3">
      <c r="AM693" s="550">
        <f t="shared" ca="1" si="63"/>
        <v>45262</v>
      </c>
      <c r="AN693" s="551">
        <v>205.44</v>
      </c>
      <c r="AO693" s="551">
        <v>2937514</v>
      </c>
      <c r="AP693" s="551">
        <v>609.59749999999997</v>
      </c>
      <c r="AQ693" s="551">
        <v>125235.7104</v>
      </c>
      <c r="AR693" s="551">
        <v>5.1929999999999996</v>
      </c>
    </row>
    <row r="694" spans="39:44" x14ac:dyDescent="0.3">
      <c r="AM694" s="550">
        <f t="shared" ca="1" si="63"/>
        <v>45261</v>
      </c>
      <c r="AN694" s="551">
        <v>207.76</v>
      </c>
      <c r="AO694" s="551">
        <v>2576547</v>
      </c>
      <c r="AP694" s="551">
        <v>609.59749999999997</v>
      </c>
      <c r="AQ694" s="551">
        <v>126649.97659999999</v>
      </c>
      <c r="AR694" s="551">
        <v>5.2515999999999998</v>
      </c>
    </row>
    <row r="695" spans="39:44" x14ac:dyDescent="0.3">
      <c r="AM695" s="550">
        <f t="shared" ca="1" si="63"/>
        <v>45260</v>
      </c>
      <c r="AN695" s="551">
        <v>211.34</v>
      </c>
      <c r="AO695" s="551">
        <v>5485718</v>
      </c>
      <c r="AP695" s="551">
        <v>609.59749999999997</v>
      </c>
      <c r="AQ695" s="551">
        <v>128832.33564999999</v>
      </c>
      <c r="AR695" s="551">
        <v>5.3421000000000003</v>
      </c>
    </row>
    <row r="696" spans="39:44" x14ac:dyDescent="0.3">
      <c r="AM696" s="550">
        <f t="shared" ca="1" si="63"/>
        <v>45259</v>
      </c>
      <c r="AN696" s="551">
        <v>211.34</v>
      </c>
      <c r="AO696" s="551">
        <v>5485718</v>
      </c>
      <c r="AP696" s="551">
        <v>609.59749999999997</v>
      </c>
      <c r="AQ696" s="551">
        <v>128832.33564999999</v>
      </c>
      <c r="AR696" s="551">
        <v>5.3421000000000003</v>
      </c>
    </row>
    <row r="697" spans="39:44" x14ac:dyDescent="0.3">
      <c r="AM697" s="550">
        <f t="shared" ca="1" si="63"/>
        <v>45258</v>
      </c>
      <c r="AN697" s="551">
        <v>211.34</v>
      </c>
      <c r="AO697" s="551">
        <v>5485718</v>
      </c>
      <c r="AP697" s="551">
        <v>609.59749999999997</v>
      </c>
      <c r="AQ697" s="551">
        <v>128832.33564999999</v>
      </c>
      <c r="AR697" s="551">
        <v>5.3421000000000003</v>
      </c>
    </row>
    <row r="698" spans="39:44" x14ac:dyDescent="0.3">
      <c r="AM698" s="550">
        <f t="shared" ca="1" si="63"/>
        <v>45257</v>
      </c>
      <c r="AN698" s="551">
        <v>210.33</v>
      </c>
      <c r="AO698" s="551">
        <v>6031009</v>
      </c>
      <c r="AP698" s="551">
        <v>609.59749999999997</v>
      </c>
      <c r="AQ698" s="551">
        <v>128216.642175</v>
      </c>
      <c r="AR698" s="551">
        <v>5.3166000000000002</v>
      </c>
    </row>
    <row r="699" spans="39:44" x14ac:dyDescent="0.3">
      <c r="AM699" s="550">
        <f t="shared" ca="1" si="63"/>
        <v>45256</v>
      </c>
      <c r="AN699" s="551">
        <v>205.92</v>
      </c>
      <c r="AO699" s="551">
        <v>3487168</v>
      </c>
      <c r="AP699" s="551">
        <v>609.45622000000003</v>
      </c>
      <c r="AQ699" s="551">
        <v>125499.22482239999</v>
      </c>
      <c r="AR699" s="551">
        <v>5.2050999999999998</v>
      </c>
    </row>
    <row r="700" spans="39:44" x14ac:dyDescent="0.3">
      <c r="AM700" s="550">
        <f t="shared" ca="1" si="63"/>
        <v>45255</v>
      </c>
      <c r="AN700" s="551">
        <v>211.34</v>
      </c>
      <c r="AO700" s="551">
        <v>2479917</v>
      </c>
      <c r="AP700" s="551">
        <v>609.45622000000003</v>
      </c>
      <c r="AQ700" s="551">
        <v>128802.47753480001</v>
      </c>
      <c r="AR700" s="551">
        <v>5.3421000000000003</v>
      </c>
    </row>
    <row r="701" spans="39:44" x14ac:dyDescent="0.3">
      <c r="AM701" s="550">
        <f t="shared" ca="1" si="63"/>
        <v>45254</v>
      </c>
      <c r="AN701" s="551">
        <v>210.83</v>
      </c>
      <c r="AO701" s="551">
        <v>2358876</v>
      </c>
      <c r="AP701" s="551">
        <v>609.45622000000003</v>
      </c>
      <c r="AQ701" s="551">
        <v>128491.65486260001</v>
      </c>
      <c r="AR701" s="551">
        <v>5.3292000000000002</v>
      </c>
    </row>
    <row r="702" spans="39:44" x14ac:dyDescent="0.3">
      <c r="AM702" s="550">
        <f t="shared" ca="1" si="63"/>
        <v>45253</v>
      </c>
      <c r="AN702" s="551">
        <v>207.75</v>
      </c>
      <c r="AO702" s="551">
        <v>1874659</v>
      </c>
      <c r="AP702" s="551">
        <v>609.45622000000003</v>
      </c>
      <c r="AQ702" s="551">
        <v>126614.52970500001</v>
      </c>
      <c r="AR702" s="551">
        <v>5.2514000000000003</v>
      </c>
    </row>
    <row r="703" spans="39:44" x14ac:dyDescent="0.3">
      <c r="AM703" s="550">
        <f t="shared" ca="1" si="63"/>
        <v>45252</v>
      </c>
      <c r="AN703" s="551">
        <v>207.75</v>
      </c>
      <c r="AO703" s="551">
        <v>1874659</v>
      </c>
      <c r="AP703" s="551">
        <v>609.45622000000003</v>
      </c>
      <c r="AQ703" s="551">
        <v>126614.52970500001</v>
      </c>
      <c r="AR703" s="551">
        <v>5.2514000000000003</v>
      </c>
    </row>
    <row r="704" spans="39:44" x14ac:dyDescent="0.3">
      <c r="AM704" s="550">
        <f t="shared" ca="1" si="63"/>
        <v>45251</v>
      </c>
      <c r="AN704" s="551">
        <v>207.75</v>
      </c>
      <c r="AO704" s="551">
        <v>1874659</v>
      </c>
      <c r="AP704" s="551">
        <v>609.45622000000003</v>
      </c>
      <c r="AQ704" s="551">
        <v>126614.52970500001</v>
      </c>
      <c r="AR704" s="551">
        <v>5.2514000000000003</v>
      </c>
    </row>
    <row r="705" spans="39:44" x14ac:dyDescent="0.3">
      <c r="AM705" s="550">
        <f t="shared" ca="1" si="63"/>
        <v>45250</v>
      </c>
      <c r="AN705" s="551">
        <v>207.99</v>
      </c>
      <c r="AO705" s="551">
        <v>1851217</v>
      </c>
      <c r="AP705" s="551">
        <v>609.45622000000003</v>
      </c>
      <c r="AQ705" s="551">
        <v>126760.79919780001</v>
      </c>
      <c r="AR705" s="551">
        <v>5.2573999999999996</v>
      </c>
    </row>
    <row r="706" spans="39:44" x14ac:dyDescent="0.3">
      <c r="AM706" s="550">
        <f t="shared" ca="1" si="63"/>
        <v>45249</v>
      </c>
      <c r="AN706" s="551">
        <v>209.48</v>
      </c>
      <c r="AO706" s="551">
        <v>2851136</v>
      </c>
      <c r="AP706" s="551">
        <v>609.45622000000003</v>
      </c>
      <c r="AQ706" s="551">
        <v>127668.8889656</v>
      </c>
      <c r="AR706" s="551">
        <v>5.2950999999999997</v>
      </c>
    </row>
    <row r="707" spans="39:44" x14ac:dyDescent="0.3">
      <c r="AM707" s="550">
        <f t="shared" ca="1" si="63"/>
        <v>45248</v>
      </c>
      <c r="AN707" s="551">
        <v>206.35</v>
      </c>
      <c r="AO707" s="551">
        <v>1972894</v>
      </c>
      <c r="AP707" s="551">
        <v>609.45622000000003</v>
      </c>
      <c r="AQ707" s="551">
        <v>125761.290997</v>
      </c>
      <c r="AR707" s="551">
        <v>5.2160000000000002</v>
      </c>
    </row>
    <row r="708" spans="39:44" x14ac:dyDescent="0.3">
      <c r="AM708" s="550">
        <f t="shared" ca="1" si="63"/>
        <v>45247</v>
      </c>
      <c r="AN708" s="551">
        <v>204.3</v>
      </c>
      <c r="AO708" s="551">
        <v>1557697</v>
      </c>
      <c r="AP708" s="551">
        <v>609.45622000000003</v>
      </c>
      <c r="AQ708" s="551">
        <v>124511.90574600002</v>
      </c>
      <c r="AR708" s="551">
        <v>5.1642000000000001</v>
      </c>
    </row>
    <row r="709" spans="39:44" x14ac:dyDescent="0.3">
      <c r="AM709" s="550">
        <f t="shared" ref="AM709:AM772" ca="1" si="64">AM708-1</f>
        <v>45246</v>
      </c>
      <c r="AN709" s="551">
        <v>202.46</v>
      </c>
      <c r="AO709" s="551">
        <v>1760470</v>
      </c>
      <c r="AP709" s="551">
        <v>609.45622000000003</v>
      </c>
      <c r="AQ709" s="551">
        <v>123390.50630120002</v>
      </c>
      <c r="AR709" s="551">
        <v>5.1177000000000001</v>
      </c>
    </row>
    <row r="710" spans="39:44" x14ac:dyDescent="0.3">
      <c r="AM710" s="550">
        <f t="shared" ca="1" si="64"/>
        <v>45245</v>
      </c>
      <c r="AN710" s="551">
        <v>202.46</v>
      </c>
      <c r="AO710" s="551">
        <v>1760470</v>
      </c>
      <c r="AP710" s="551">
        <v>609.45622000000003</v>
      </c>
      <c r="AQ710" s="551">
        <v>123390.50630120002</v>
      </c>
      <c r="AR710" s="551">
        <v>5.1177000000000001</v>
      </c>
    </row>
    <row r="711" spans="39:44" x14ac:dyDescent="0.3">
      <c r="AM711" s="550">
        <f t="shared" ca="1" si="64"/>
        <v>45244</v>
      </c>
      <c r="AN711" s="551">
        <v>202.46</v>
      </c>
      <c r="AO711" s="551">
        <v>1760470</v>
      </c>
      <c r="AP711" s="551">
        <v>609.45622000000003</v>
      </c>
      <c r="AQ711" s="551">
        <v>123390.50630120002</v>
      </c>
      <c r="AR711" s="551">
        <v>5.1177000000000001</v>
      </c>
    </row>
    <row r="712" spans="39:44" x14ac:dyDescent="0.3">
      <c r="AM712" s="550">
        <f t="shared" ca="1" si="64"/>
        <v>45243</v>
      </c>
      <c r="AN712" s="551">
        <v>200.64</v>
      </c>
      <c r="AO712" s="551">
        <v>2037234</v>
      </c>
      <c r="AP712" s="551">
        <v>609.45622000000003</v>
      </c>
      <c r="AQ712" s="551">
        <v>122281.2959808</v>
      </c>
      <c r="AR712" s="551">
        <v>5.0716999999999999</v>
      </c>
    </row>
    <row r="713" spans="39:44" x14ac:dyDescent="0.3">
      <c r="AM713" s="550">
        <f t="shared" ca="1" si="64"/>
        <v>45242</v>
      </c>
      <c r="AN713" s="551">
        <v>202.27</v>
      </c>
      <c r="AO713" s="551">
        <v>1911966</v>
      </c>
      <c r="AP713" s="551">
        <v>609.45622000000003</v>
      </c>
      <c r="AQ713" s="551">
        <v>123274.70961940002</v>
      </c>
      <c r="AR713" s="551">
        <v>5.1128999999999998</v>
      </c>
    </row>
    <row r="714" spans="39:44" x14ac:dyDescent="0.3">
      <c r="AM714" s="550">
        <f t="shared" ca="1" si="64"/>
        <v>45241</v>
      </c>
      <c r="AN714" s="551">
        <v>203.78</v>
      </c>
      <c r="AO714" s="551">
        <v>2087538</v>
      </c>
      <c r="AP714" s="551">
        <v>609.45622000000003</v>
      </c>
      <c r="AQ714" s="551">
        <v>124194.98851160001</v>
      </c>
      <c r="AR714" s="551">
        <v>5.1509999999999998</v>
      </c>
    </row>
    <row r="715" spans="39:44" x14ac:dyDescent="0.3">
      <c r="AM715" s="550">
        <f t="shared" ca="1" si="64"/>
        <v>45240</v>
      </c>
      <c r="AN715" s="551">
        <v>202.64</v>
      </c>
      <c r="AO715" s="551">
        <v>1887953</v>
      </c>
      <c r="AP715" s="551">
        <v>609.45622000000003</v>
      </c>
      <c r="AQ715" s="551">
        <v>123500.2084208</v>
      </c>
      <c r="AR715" s="551">
        <v>5.1222000000000003</v>
      </c>
    </row>
    <row r="716" spans="39:44" x14ac:dyDescent="0.3">
      <c r="AM716" s="550">
        <f t="shared" ca="1" si="64"/>
        <v>45239</v>
      </c>
      <c r="AN716" s="551">
        <v>203.63</v>
      </c>
      <c r="AO716" s="551">
        <v>2246711</v>
      </c>
      <c r="AP716" s="551">
        <v>609.45622000000003</v>
      </c>
      <c r="AQ716" s="551">
        <v>124103.57007860001</v>
      </c>
      <c r="AR716" s="551">
        <v>5.0423</v>
      </c>
    </row>
    <row r="717" spans="39:44" x14ac:dyDescent="0.3">
      <c r="AM717" s="550">
        <f t="shared" ca="1" si="64"/>
        <v>45238</v>
      </c>
      <c r="AN717" s="551">
        <v>203.63</v>
      </c>
      <c r="AO717" s="551">
        <v>2246711</v>
      </c>
      <c r="AP717" s="551">
        <v>609.45622000000003</v>
      </c>
      <c r="AQ717" s="551">
        <v>124103.57007860001</v>
      </c>
      <c r="AR717" s="551">
        <v>5.0423</v>
      </c>
    </row>
    <row r="718" spans="39:44" x14ac:dyDescent="0.3">
      <c r="AM718" s="550">
        <f t="shared" ca="1" si="64"/>
        <v>45237</v>
      </c>
      <c r="AN718" s="551">
        <v>203.63</v>
      </c>
      <c r="AO718" s="551">
        <v>2246711</v>
      </c>
      <c r="AP718" s="551">
        <v>609.45622000000003</v>
      </c>
      <c r="AQ718" s="551">
        <v>124103.57007860001</v>
      </c>
      <c r="AR718" s="551">
        <v>5.0423</v>
      </c>
    </row>
    <row r="719" spans="39:44" x14ac:dyDescent="0.3">
      <c r="AM719" s="550">
        <f t="shared" ca="1" si="64"/>
        <v>45236</v>
      </c>
      <c r="AN719" s="551">
        <v>204.11</v>
      </c>
      <c r="AO719" s="551">
        <v>2112814</v>
      </c>
      <c r="AP719" s="551">
        <v>609.45622000000003</v>
      </c>
      <c r="AQ719" s="551">
        <v>124396.10906420002</v>
      </c>
      <c r="AR719" s="551">
        <v>5.0541999999999998</v>
      </c>
    </row>
    <row r="720" spans="39:44" x14ac:dyDescent="0.3">
      <c r="AM720" s="550">
        <f t="shared" ca="1" si="64"/>
        <v>45235</v>
      </c>
      <c r="AN720" s="551">
        <v>202.4</v>
      </c>
      <c r="AO720" s="551">
        <v>2760561</v>
      </c>
      <c r="AP720" s="551">
        <v>609.45622000000003</v>
      </c>
      <c r="AQ720" s="551">
        <v>123353.938928</v>
      </c>
      <c r="AR720" s="551">
        <v>5.0118</v>
      </c>
    </row>
    <row r="721" spans="39:44" x14ac:dyDescent="0.3">
      <c r="AM721" s="550">
        <f t="shared" ca="1" si="64"/>
        <v>45234</v>
      </c>
      <c r="AN721" s="551">
        <v>204.84</v>
      </c>
      <c r="AO721" s="551">
        <v>1990363</v>
      </c>
      <c r="AP721" s="551">
        <v>609.45622000000003</v>
      </c>
      <c r="AQ721" s="551">
        <v>124841.01210480001</v>
      </c>
      <c r="AR721" s="551">
        <v>5.0723000000000003</v>
      </c>
    </row>
    <row r="722" spans="39:44" x14ac:dyDescent="0.3">
      <c r="AM722" s="550">
        <f t="shared" ca="1" si="64"/>
        <v>45233</v>
      </c>
      <c r="AN722" s="551">
        <v>208.48</v>
      </c>
      <c r="AO722" s="551">
        <v>1427524</v>
      </c>
      <c r="AP722" s="551">
        <v>609.45622000000003</v>
      </c>
      <c r="AQ722" s="551">
        <v>127059.4327456</v>
      </c>
      <c r="AR722" s="551">
        <v>5.1623999999999999</v>
      </c>
    </row>
    <row r="723" spans="39:44" x14ac:dyDescent="0.3">
      <c r="AM723" s="550">
        <f t="shared" ca="1" si="64"/>
        <v>45232</v>
      </c>
      <c r="AN723" s="551">
        <v>209.24</v>
      </c>
      <c r="AO723" s="551">
        <v>2416555</v>
      </c>
      <c r="AP723" s="551">
        <v>609.45622000000003</v>
      </c>
      <c r="AQ723" s="551">
        <v>127522.61947280001</v>
      </c>
      <c r="AR723" s="551">
        <v>5.1811999999999996</v>
      </c>
    </row>
    <row r="724" spans="39:44" x14ac:dyDescent="0.3">
      <c r="AM724" s="550">
        <f t="shared" ca="1" si="64"/>
        <v>45231</v>
      </c>
      <c r="AN724" s="551">
        <v>209.24</v>
      </c>
      <c r="AO724" s="551">
        <v>2416555</v>
      </c>
      <c r="AP724" s="551">
        <v>609.45622000000003</v>
      </c>
      <c r="AQ724" s="551">
        <v>127522.61947280001</v>
      </c>
      <c r="AR724" s="551">
        <v>5.1811999999999996</v>
      </c>
    </row>
    <row r="725" spans="39:44" x14ac:dyDescent="0.3">
      <c r="AM725" s="550">
        <f t="shared" ca="1" si="64"/>
        <v>45230</v>
      </c>
      <c r="AN725" s="551">
        <v>209.24</v>
      </c>
      <c r="AO725" s="551">
        <v>2416555</v>
      </c>
      <c r="AP725" s="551">
        <v>609.45622000000003</v>
      </c>
      <c r="AQ725" s="551">
        <v>127522.61947280001</v>
      </c>
      <c r="AR725" s="551">
        <v>5.1811999999999996</v>
      </c>
    </row>
    <row r="726" spans="39:44" x14ac:dyDescent="0.3">
      <c r="AM726" s="550">
        <f t="shared" ca="1" si="64"/>
        <v>45229</v>
      </c>
      <c r="AN726" s="551">
        <v>211.4</v>
      </c>
      <c r="AO726" s="551">
        <v>2370335</v>
      </c>
      <c r="AP726" s="551">
        <v>609.45622000000003</v>
      </c>
      <c r="AQ726" s="551">
        <v>128839.04490800001</v>
      </c>
      <c r="AR726" s="551">
        <v>5.2347000000000001</v>
      </c>
    </row>
    <row r="727" spans="39:44" x14ac:dyDescent="0.3">
      <c r="AM727" s="550">
        <f t="shared" ca="1" si="64"/>
        <v>45228</v>
      </c>
      <c r="AN727" s="551">
        <v>212.98</v>
      </c>
      <c r="AO727" s="551">
        <v>2116790</v>
      </c>
      <c r="AP727" s="551">
        <v>609.45622000000003</v>
      </c>
      <c r="AQ727" s="551">
        <v>129801.9857356</v>
      </c>
      <c r="AR727" s="551">
        <v>5.2737999999999996</v>
      </c>
    </row>
    <row r="728" spans="39:44" x14ac:dyDescent="0.3">
      <c r="AM728" s="550">
        <f t="shared" ca="1" si="64"/>
        <v>45227</v>
      </c>
      <c r="AN728" s="551">
        <v>211.77</v>
      </c>
      <c r="AO728" s="551">
        <v>2156024</v>
      </c>
      <c r="AP728" s="551">
        <v>609.45622000000003</v>
      </c>
      <c r="AQ728" s="551">
        <v>129064.54370940001</v>
      </c>
      <c r="AR728" s="551">
        <v>5.2439</v>
      </c>
    </row>
    <row r="729" spans="39:44" x14ac:dyDescent="0.3">
      <c r="AM729" s="550">
        <f t="shared" ca="1" si="64"/>
        <v>45226</v>
      </c>
      <c r="AN729" s="551">
        <v>213.15</v>
      </c>
      <c r="AO729" s="551">
        <v>2206786</v>
      </c>
      <c r="AP729" s="551">
        <v>609.45622000000003</v>
      </c>
      <c r="AQ729" s="551">
        <v>129905.59329300001</v>
      </c>
      <c r="AR729" s="551">
        <v>5.2779999999999996</v>
      </c>
    </row>
    <row r="730" spans="39:44" x14ac:dyDescent="0.3">
      <c r="AM730" s="550">
        <f t="shared" ca="1" si="64"/>
        <v>45225</v>
      </c>
      <c r="AN730" s="551">
        <v>213.32</v>
      </c>
      <c r="AO730" s="551">
        <v>4222810</v>
      </c>
      <c r="AP730" s="551">
        <v>609.45622000000003</v>
      </c>
      <c r="AQ730" s="551">
        <v>130009.2008504</v>
      </c>
      <c r="AR730" s="551">
        <v>5.2821999999999996</v>
      </c>
    </row>
    <row r="731" spans="39:44" x14ac:dyDescent="0.3">
      <c r="AM731" s="550">
        <f t="shared" ca="1" si="64"/>
        <v>45224</v>
      </c>
      <c r="AN731" s="551">
        <v>213.32</v>
      </c>
      <c r="AO731" s="551">
        <v>4222810</v>
      </c>
      <c r="AP731" s="551">
        <v>609.45622000000003</v>
      </c>
      <c r="AQ731" s="551">
        <v>130009.2008504</v>
      </c>
      <c r="AR731" s="551">
        <v>5.2821999999999996</v>
      </c>
    </row>
    <row r="732" spans="39:44" x14ac:dyDescent="0.3">
      <c r="AM732" s="550">
        <f t="shared" ca="1" si="64"/>
        <v>45223</v>
      </c>
      <c r="AN732" s="551">
        <v>213.32</v>
      </c>
      <c r="AO732" s="551">
        <v>4222810</v>
      </c>
      <c r="AP732" s="551">
        <v>609.45622000000003</v>
      </c>
      <c r="AQ732" s="551">
        <v>130009.2008504</v>
      </c>
      <c r="AR732" s="551">
        <v>5.2821999999999996</v>
      </c>
    </row>
    <row r="733" spans="39:44" x14ac:dyDescent="0.3">
      <c r="AM733" s="550">
        <f t="shared" ca="1" si="64"/>
        <v>45222</v>
      </c>
      <c r="AN733" s="551">
        <v>215.7</v>
      </c>
      <c r="AO733" s="551">
        <v>2798780</v>
      </c>
      <c r="AP733" s="551">
        <v>609.45622000000003</v>
      </c>
      <c r="AQ733" s="551">
        <v>131459.70665400001</v>
      </c>
      <c r="AR733" s="551">
        <v>5.3411999999999997</v>
      </c>
    </row>
    <row r="734" spans="39:44" x14ac:dyDescent="0.3">
      <c r="AM734" s="550">
        <f t="shared" ca="1" si="64"/>
        <v>45221</v>
      </c>
      <c r="AN734" s="551">
        <v>212.13</v>
      </c>
      <c r="AO734" s="551">
        <v>2919766</v>
      </c>
      <c r="AP734" s="551">
        <v>609.45622000000003</v>
      </c>
      <c r="AQ734" s="551">
        <v>129283.94794860001</v>
      </c>
      <c r="AR734" s="551">
        <v>5.2527999999999997</v>
      </c>
    </row>
    <row r="735" spans="39:44" x14ac:dyDescent="0.3">
      <c r="AM735" s="550">
        <f t="shared" ca="1" si="64"/>
        <v>45220</v>
      </c>
      <c r="AN735" s="551">
        <v>213.87</v>
      </c>
      <c r="AO735" s="551">
        <v>2828205</v>
      </c>
      <c r="AP735" s="551">
        <v>609.45622000000003</v>
      </c>
      <c r="AQ735" s="551">
        <v>130344.40177140001</v>
      </c>
      <c r="AR735" s="551">
        <v>5.2958999999999996</v>
      </c>
    </row>
    <row r="736" spans="39:44" x14ac:dyDescent="0.3">
      <c r="AM736" s="550">
        <f t="shared" ca="1" si="64"/>
        <v>45219</v>
      </c>
      <c r="AN736" s="551">
        <v>211.61</v>
      </c>
      <c r="AO736" s="551">
        <v>1943935</v>
      </c>
      <c r="AP736" s="551">
        <v>609.45622000000003</v>
      </c>
      <c r="AQ736" s="551">
        <v>128967.03071420001</v>
      </c>
      <c r="AR736" s="551">
        <v>5.2398999999999996</v>
      </c>
    </row>
    <row r="737" spans="39:44" x14ac:dyDescent="0.3">
      <c r="AM737" s="550">
        <f t="shared" ca="1" si="64"/>
        <v>45218</v>
      </c>
      <c r="AN737" s="551">
        <v>211.8</v>
      </c>
      <c r="AO737" s="551">
        <v>3188225</v>
      </c>
      <c r="AP737" s="551">
        <v>609.45622000000003</v>
      </c>
      <c r="AQ737" s="551">
        <v>129082.82739600001</v>
      </c>
      <c r="AR737" s="551">
        <v>5.2446000000000002</v>
      </c>
    </row>
    <row r="738" spans="39:44" x14ac:dyDescent="0.3">
      <c r="AM738" s="550">
        <f t="shared" ca="1" si="64"/>
        <v>45217</v>
      </c>
      <c r="AN738" s="551">
        <v>211.8</v>
      </c>
      <c r="AO738" s="551">
        <v>3188225</v>
      </c>
      <c r="AP738" s="551">
        <v>609.45622000000003</v>
      </c>
      <c r="AQ738" s="551">
        <v>129082.82739600001</v>
      </c>
      <c r="AR738" s="551">
        <v>5.2446000000000002</v>
      </c>
    </row>
    <row r="739" spans="39:44" x14ac:dyDescent="0.3">
      <c r="AM739" s="550">
        <f t="shared" ca="1" si="64"/>
        <v>45216</v>
      </c>
      <c r="AN739" s="551">
        <v>211.8</v>
      </c>
      <c r="AO739" s="551">
        <v>3188225</v>
      </c>
      <c r="AP739" s="551">
        <v>609.45622000000003</v>
      </c>
      <c r="AQ739" s="551">
        <v>129082.82739600001</v>
      </c>
      <c r="AR739" s="551">
        <v>5.2446000000000002</v>
      </c>
    </row>
    <row r="740" spans="39:44" x14ac:dyDescent="0.3">
      <c r="AM740" s="550">
        <f t="shared" ca="1" si="64"/>
        <v>45215</v>
      </c>
      <c r="AN740" s="551">
        <v>210.57</v>
      </c>
      <c r="AO740" s="551">
        <v>2882117</v>
      </c>
      <c r="AP740" s="551">
        <v>609.45622000000003</v>
      </c>
      <c r="AQ740" s="551">
        <v>128333.1962454</v>
      </c>
      <c r="AR740" s="551">
        <v>5.2141000000000002</v>
      </c>
    </row>
    <row r="741" spans="39:44" x14ac:dyDescent="0.3">
      <c r="AM741" s="550">
        <f t="shared" ca="1" si="64"/>
        <v>45214</v>
      </c>
      <c r="AN741" s="551">
        <v>212.83</v>
      </c>
      <c r="AO741" s="551">
        <v>2344807</v>
      </c>
      <c r="AP741" s="551">
        <v>609.45622000000003</v>
      </c>
      <c r="AQ741" s="551">
        <v>129710.56730260001</v>
      </c>
      <c r="AR741" s="551">
        <v>5.2701000000000002</v>
      </c>
    </row>
    <row r="742" spans="39:44" x14ac:dyDescent="0.3">
      <c r="AM742" s="550">
        <f t="shared" ca="1" si="64"/>
        <v>45213</v>
      </c>
      <c r="AN742" s="551">
        <v>215.71</v>
      </c>
      <c r="AO742" s="551">
        <v>2679776</v>
      </c>
      <c r="AP742" s="551">
        <v>609.45622000000003</v>
      </c>
      <c r="AQ742" s="551">
        <v>131465.80121620002</v>
      </c>
      <c r="AR742" s="551">
        <v>5.3414000000000001</v>
      </c>
    </row>
    <row r="743" spans="39:44" x14ac:dyDescent="0.3">
      <c r="AM743" s="550">
        <f t="shared" ca="1" si="64"/>
        <v>45212</v>
      </c>
      <c r="AN743" s="551">
        <v>221.03</v>
      </c>
      <c r="AO743" s="551">
        <v>2303754</v>
      </c>
      <c r="AP743" s="551">
        <v>609.45622000000003</v>
      </c>
      <c r="AQ743" s="551">
        <v>134708.10830660001</v>
      </c>
      <c r="AR743" s="551">
        <v>5.4732000000000003</v>
      </c>
    </row>
    <row r="744" spans="39:44" x14ac:dyDescent="0.3">
      <c r="AM744" s="550">
        <f t="shared" ca="1" si="64"/>
        <v>45211</v>
      </c>
      <c r="AN744" s="551">
        <v>221.03</v>
      </c>
      <c r="AO744" s="551">
        <v>2303754</v>
      </c>
      <c r="AP744" s="551">
        <v>609.45622000000003</v>
      </c>
      <c r="AQ744" s="551">
        <v>134708.10830660001</v>
      </c>
      <c r="AR744" s="551">
        <v>5.4732000000000003</v>
      </c>
    </row>
    <row r="745" spans="39:44" x14ac:dyDescent="0.3">
      <c r="AM745" s="550">
        <f t="shared" ca="1" si="64"/>
        <v>45210</v>
      </c>
      <c r="AN745" s="551">
        <v>221.03</v>
      </c>
      <c r="AO745" s="551">
        <v>2303754</v>
      </c>
      <c r="AP745" s="551">
        <v>609.45622000000003</v>
      </c>
      <c r="AQ745" s="551">
        <v>134708.10830660001</v>
      </c>
      <c r="AR745" s="551">
        <v>5.4732000000000003</v>
      </c>
    </row>
    <row r="746" spans="39:44" x14ac:dyDescent="0.3">
      <c r="AM746" s="550">
        <f t="shared" ca="1" si="64"/>
        <v>45209</v>
      </c>
      <c r="AN746" s="551">
        <v>221.03</v>
      </c>
      <c r="AO746" s="551">
        <v>2303754</v>
      </c>
      <c r="AP746" s="551">
        <v>609.45622000000003</v>
      </c>
      <c r="AQ746" s="551">
        <v>134708.10830660001</v>
      </c>
      <c r="AR746" s="551">
        <v>5.4732000000000003</v>
      </c>
    </row>
    <row r="747" spans="39:44" x14ac:dyDescent="0.3">
      <c r="AM747" s="550">
        <f t="shared" ca="1" si="64"/>
        <v>45208</v>
      </c>
      <c r="AN747" s="551">
        <v>220.57</v>
      </c>
      <c r="AO747" s="551">
        <v>2410322</v>
      </c>
      <c r="AP747" s="551">
        <v>609.45622000000003</v>
      </c>
      <c r="AQ747" s="551">
        <v>134427.75844539999</v>
      </c>
      <c r="AR747" s="551">
        <v>5.4618000000000002</v>
      </c>
    </row>
    <row r="748" spans="39:44" x14ac:dyDescent="0.3">
      <c r="AM748" s="550">
        <f t="shared" ca="1" si="64"/>
        <v>45207</v>
      </c>
      <c r="AN748" s="551">
        <v>222.89</v>
      </c>
      <c r="AO748" s="551">
        <v>2690894</v>
      </c>
      <c r="AP748" s="551">
        <v>609.45622000000003</v>
      </c>
      <c r="AQ748" s="551">
        <v>135841.6968758</v>
      </c>
      <c r="AR748" s="551">
        <v>5.5191999999999997</v>
      </c>
    </row>
    <row r="749" spans="39:44" x14ac:dyDescent="0.3">
      <c r="AM749" s="550">
        <f t="shared" ca="1" si="64"/>
        <v>45206</v>
      </c>
      <c r="AN749" s="551">
        <v>223.44</v>
      </c>
      <c r="AO749" s="551">
        <v>2362183</v>
      </c>
      <c r="AP749" s="551">
        <v>609.45622000000003</v>
      </c>
      <c r="AQ749" s="551">
        <v>136176.89779680001</v>
      </c>
      <c r="AR749" s="551">
        <v>5.5327999999999999</v>
      </c>
    </row>
    <row r="750" spans="39:44" x14ac:dyDescent="0.3">
      <c r="AM750" s="550">
        <f t="shared" ca="1" si="64"/>
        <v>45205</v>
      </c>
      <c r="AN750" s="551">
        <v>224.54</v>
      </c>
      <c r="AO750" s="551">
        <v>1731439</v>
      </c>
      <c r="AP750" s="551">
        <v>609.45622000000003</v>
      </c>
      <c r="AQ750" s="551">
        <v>136847.2996388</v>
      </c>
      <c r="AR750" s="551">
        <v>5.5601000000000003</v>
      </c>
    </row>
    <row r="751" spans="39:44" x14ac:dyDescent="0.3">
      <c r="AM751" s="550">
        <f t="shared" ca="1" si="64"/>
        <v>45204</v>
      </c>
      <c r="AN751" s="551">
        <v>224.18</v>
      </c>
      <c r="AO751" s="551">
        <v>1609912</v>
      </c>
      <c r="AP751" s="551">
        <v>609.45622000000003</v>
      </c>
      <c r="AQ751" s="551">
        <v>136627.89539960001</v>
      </c>
      <c r="AR751" s="551">
        <v>5.5511999999999997</v>
      </c>
    </row>
    <row r="752" spans="39:44" x14ac:dyDescent="0.3">
      <c r="AM752" s="550">
        <f t="shared" ca="1" si="64"/>
        <v>45203</v>
      </c>
      <c r="AN752" s="551">
        <v>224.18</v>
      </c>
      <c r="AO752" s="551">
        <v>1609912</v>
      </c>
      <c r="AP752" s="551">
        <v>609.45622000000003</v>
      </c>
      <c r="AQ752" s="551">
        <v>136627.89539960001</v>
      </c>
      <c r="AR752" s="551">
        <v>5.5511999999999997</v>
      </c>
    </row>
    <row r="753" spans="39:44" x14ac:dyDescent="0.3">
      <c r="AM753" s="550">
        <f t="shared" ca="1" si="64"/>
        <v>45202</v>
      </c>
      <c r="AN753" s="551">
        <v>224.18</v>
      </c>
      <c r="AO753" s="551">
        <v>1609912</v>
      </c>
      <c r="AP753" s="551">
        <v>609.45622000000003</v>
      </c>
      <c r="AQ753" s="551">
        <v>136627.89539960001</v>
      </c>
      <c r="AR753" s="551">
        <v>5.5511999999999997</v>
      </c>
    </row>
    <row r="754" spans="39:44" x14ac:dyDescent="0.3">
      <c r="AM754" s="550">
        <f t="shared" ca="1" si="64"/>
        <v>45201</v>
      </c>
      <c r="AN754" s="551">
        <v>222.52</v>
      </c>
      <c r="AO754" s="551">
        <v>1738925</v>
      </c>
      <c r="AP754" s="551">
        <v>609.45622000000003</v>
      </c>
      <c r="AQ754" s="551">
        <v>135616.19807440002</v>
      </c>
      <c r="AR754" s="551">
        <v>5.51</v>
      </c>
    </row>
    <row r="755" spans="39:44" x14ac:dyDescent="0.3">
      <c r="AM755" s="550">
        <f t="shared" ca="1" si="64"/>
        <v>45200</v>
      </c>
      <c r="AN755" s="551">
        <v>223.13</v>
      </c>
      <c r="AO755" s="551">
        <v>2026467</v>
      </c>
      <c r="AP755" s="551">
        <v>609.45622000000003</v>
      </c>
      <c r="AQ755" s="551">
        <v>135987.9663686</v>
      </c>
      <c r="AR755" s="551">
        <v>5.5251999999999999</v>
      </c>
    </row>
    <row r="756" spans="39:44" x14ac:dyDescent="0.3">
      <c r="AM756" s="550">
        <f t="shared" ca="1" si="64"/>
        <v>45199</v>
      </c>
      <c r="AN756" s="551">
        <v>222.41</v>
      </c>
      <c r="AO756" s="551">
        <v>1636243</v>
      </c>
      <c r="AP756" s="551">
        <v>609.45622000000003</v>
      </c>
      <c r="AQ756" s="551">
        <v>135549.1578902</v>
      </c>
      <c r="AR756" s="551">
        <v>5.5072999999999999</v>
      </c>
    </row>
    <row r="757" spans="39:44" x14ac:dyDescent="0.3">
      <c r="AM757" s="550">
        <f t="shared" ca="1" si="64"/>
        <v>45198</v>
      </c>
      <c r="AN757" s="551">
        <v>223.97</v>
      </c>
      <c r="AO757" s="551">
        <v>2000616</v>
      </c>
      <c r="AP757" s="551">
        <v>609.45622000000003</v>
      </c>
      <c r="AQ757" s="551">
        <v>136499.90959339999</v>
      </c>
      <c r="AR757" s="551">
        <v>5.5460000000000003</v>
      </c>
    </row>
    <row r="758" spans="39:44" x14ac:dyDescent="0.3">
      <c r="AM758" s="550">
        <f t="shared" ca="1" si="64"/>
        <v>45197</v>
      </c>
      <c r="AN758" s="551">
        <v>225.26</v>
      </c>
      <c r="AO758" s="551">
        <v>1660324</v>
      </c>
      <c r="AP758" s="551">
        <v>609.45622000000003</v>
      </c>
      <c r="AQ758" s="551">
        <v>137286.1081172</v>
      </c>
      <c r="AR758" s="551">
        <v>5.5778999999999996</v>
      </c>
    </row>
    <row r="759" spans="39:44" x14ac:dyDescent="0.3">
      <c r="AM759" s="550">
        <f t="shared" ca="1" si="64"/>
        <v>45196</v>
      </c>
      <c r="AN759" s="551">
        <v>225.26</v>
      </c>
      <c r="AO759" s="551">
        <v>1660324</v>
      </c>
      <c r="AP759" s="551">
        <v>609.45622000000003</v>
      </c>
      <c r="AQ759" s="551">
        <v>137286.1081172</v>
      </c>
      <c r="AR759" s="551">
        <v>5.5778999999999996</v>
      </c>
    </row>
    <row r="760" spans="39:44" x14ac:dyDescent="0.3">
      <c r="AM760" s="550">
        <f t="shared" ca="1" si="64"/>
        <v>45195</v>
      </c>
      <c r="AN760" s="551">
        <v>225.26</v>
      </c>
      <c r="AO760" s="551">
        <v>1660324</v>
      </c>
      <c r="AP760" s="551">
        <v>609.45622000000003</v>
      </c>
      <c r="AQ760" s="551">
        <v>137286.1081172</v>
      </c>
      <c r="AR760" s="551">
        <v>5.5778999999999996</v>
      </c>
    </row>
    <row r="761" spans="39:44" x14ac:dyDescent="0.3">
      <c r="AM761" s="550">
        <f t="shared" ca="1" si="64"/>
        <v>45194</v>
      </c>
      <c r="AN761" s="551">
        <v>224.38</v>
      </c>
      <c r="AO761" s="551">
        <v>2075375</v>
      </c>
      <c r="AP761" s="551">
        <v>609.45622000000003</v>
      </c>
      <c r="AQ761" s="551">
        <v>136749.7866436</v>
      </c>
      <c r="AR761" s="551">
        <v>5.5560999999999998</v>
      </c>
    </row>
    <row r="762" spans="39:44" x14ac:dyDescent="0.3">
      <c r="AM762" s="550">
        <f t="shared" ca="1" si="64"/>
        <v>45193</v>
      </c>
      <c r="AN762" s="551">
        <v>224.62</v>
      </c>
      <c r="AO762" s="551">
        <v>2169224</v>
      </c>
      <c r="AP762" s="551">
        <v>609.45622000000003</v>
      </c>
      <c r="AQ762" s="551">
        <v>136896.0561364</v>
      </c>
      <c r="AR762" s="551">
        <v>5.5620000000000003</v>
      </c>
    </row>
    <row r="763" spans="39:44" x14ac:dyDescent="0.3">
      <c r="AM763" s="550">
        <f t="shared" ca="1" si="64"/>
        <v>45192</v>
      </c>
      <c r="AN763" s="551">
        <v>225.54</v>
      </c>
      <c r="AO763" s="551">
        <v>2146190</v>
      </c>
      <c r="AP763" s="551">
        <v>609.45622000000003</v>
      </c>
      <c r="AQ763" s="551">
        <v>137456.7558588</v>
      </c>
      <c r="AR763" s="551">
        <v>5.5848000000000004</v>
      </c>
    </row>
    <row r="764" spans="39:44" x14ac:dyDescent="0.3">
      <c r="AM764" s="550">
        <f t="shared" ca="1" si="64"/>
        <v>45191</v>
      </c>
      <c r="AN764" s="551">
        <v>229.8</v>
      </c>
      <c r="AO764" s="551">
        <v>1682076</v>
      </c>
      <c r="AP764" s="551">
        <v>609.45622000000003</v>
      </c>
      <c r="AQ764" s="551">
        <v>140053.03935600002</v>
      </c>
      <c r="AR764" s="551">
        <v>5.6902999999999997</v>
      </c>
    </row>
    <row r="765" spans="39:44" x14ac:dyDescent="0.3">
      <c r="AM765" s="550">
        <f t="shared" ca="1" si="64"/>
        <v>45190</v>
      </c>
      <c r="AN765" s="551">
        <v>229.49</v>
      </c>
      <c r="AO765" s="551">
        <v>2346223</v>
      </c>
      <c r="AP765" s="551">
        <v>609.45622000000003</v>
      </c>
      <c r="AQ765" s="551">
        <v>139864.10792780001</v>
      </c>
      <c r="AR765" s="551">
        <v>5.6825999999999999</v>
      </c>
    </row>
    <row r="766" spans="39:44" x14ac:dyDescent="0.3">
      <c r="AM766" s="550">
        <f t="shared" ca="1" si="64"/>
        <v>45189</v>
      </c>
      <c r="AN766" s="551">
        <v>229.49</v>
      </c>
      <c r="AO766" s="551">
        <v>2346223</v>
      </c>
      <c r="AP766" s="551">
        <v>609.45622000000003</v>
      </c>
      <c r="AQ766" s="551">
        <v>139864.10792780001</v>
      </c>
      <c r="AR766" s="551">
        <v>5.6825999999999999</v>
      </c>
    </row>
    <row r="767" spans="39:44" x14ac:dyDescent="0.3">
      <c r="AM767" s="550">
        <f t="shared" ca="1" si="64"/>
        <v>45188</v>
      </c>
      <c r="AN767" s="551">
        <v>229.49</v>
      </c>
      <c r="AO767" s="551">
        <v>2346223</v>
      </c>
      <c r="AP767" s="551">
        <v>609.45622000000003</v>
      </c>
      <c r="AQ767" s="551">
        <v>139864.10792780001</v>
      </c>
      <c r="AR767" s="551">
        <v>5.6825999999999999</v>
      </c>
    </row>
    <row r="768" spans="39:44" x14ac:dyDescent="0.3">
      <c r="AM768" s="550">
        <f t="shared" ca="1" si="64"/>
        <v>45187</v>
      </c>
      <c r="AN768" s="551">
        <v>230.3</v>
      </c>
      <c r="AO768" s="551">
        <v>2737654</v>
      </c>
      <c r="AP768" s="551">
        <v>609.45622000000003</v>
      </c>
      <c r="AQ768" s="551">
        <v>140357.76746600002</v>
      </c>
      <c r="AR768" s="551">
        <v>5.7027000000000001</v>
      </c>
    </row>
    <row r="769" spans="39:44" x14ac:dyDescent="0.3">
      <c r="AM769" s="550">
        <f t="shared" ca="1" si="64"/>
        <v>45186</v>
      </c>
      <c r="AN769" s="551">
        <v>229.25</v>
      </c>
      <c r="AO769" s="551">
        <v>2562528</v>
      </c>
      <c r="AP769" s="551">
        <v>609.45622000000003</v>
      </c>
      <c r="AQ769" s="551">
        <v>139717.83843500001</v>
      </c>
      <c r="AR769" s="551">
        <v>5.6767000000000003</v>
      </c>
    </row>
    <row r="770" spans="39:44" x14ac:dyDescent="0.3">
      <c r="AM770" s="550">
        <f t="shared" ca="1" si="64"/>
        <v>45185</v>
      </c>
      <c r="AN770" s="551">
        <v>228.63</v>
      </c>
      <c r="AO770" s="551">
        <v>2513703</v>
      </c>
      <c r="AP770" s="551">
        <v>609.45622000000003</v>
      </c>
      <c r="AQ770" s="551">
        <v>139339.97557860002</v>
      </c>
      <c r="AR770" s="551">
        <v>5.6612999999999998</v>
      </c>
    </row>
    <row r="771" spans="39:44" x14ac:dyDescent="0.3">
      <c r="AM771" s="550">
        <f t="shared" ca="1" si="64"/>
        <v>45184</v>
      </c>
      <c r="AN771" s="551">
        <v>229.7</v>
      </c>
      <c r="AO771" s="551">
        <v>2211303</v>
      </c>
      <c r="AP771" s="551">
        <v>609.45622000000003</v>
      </c>
      <c r="AQ771" s="551">
        <v>139992.09373399999</v>
      </c>
      <c r="AR771" s="551">
        <v>5.6878000000000002</v>
      </c>
    </row>
    <row r="772" spans="39:44" x14ac:dyDescent="0.3">
      <c r="AM772" s="550">
        <f t="shared" ca="1" si="64"/>
        <v>45183</v>
      </c>
      <c r="AN772" s="551">
        <v>228.53</v>
      </c>
      <c r="AO772" s="551">
        <v>3176349</v>
      </c>
      <c r="AP772" s="551">
        <v>609.45622000000003</v>
      </c>
      <c r="AQ772" s="551">
        <v>139279.02995660002</v>
      </c>
      <c r="AR772" s="551">
        <v>5.6589</v>
      </c>
    </row>
    <row r="773" spans="39:44" x14ac:dyDescent="0.3">
      <c r="AM773" s="550">
        <f t="shared" ref="AM773:AM836" ca="1" si="65">AM772-1</f>
        <v>45182</v>
      </c>
      <c r="AN773" s="551">
        <v>228.53</v>
      </c>
      <c r="AO773" s="551">
        <v>3176349</v>
      </c>
      <c r="AP773" s="551">
        <v>609.45622000000003</v>
      </c>
      <c r="AQ773" s="551">
        <v>139279.02995660002</v>
      </c>
      <c r="AR773" s="551">
        <v>5.6589</v>
      </c>
    </row>
    <row r="774" spans="39:44" x14ac:dyDescent="0.3">
      <c r="AM774" s="550">
        <f t="shared" ca="1" si="65"/>
        <v>45181</v>
      </c>
      <c r="AN774" s="551">
        <v>228.53</v>
      </c>
      <c r="AO774" s="551">
        <v>3176349</v>
      </c>
      <c r="AP774" s="551">
        <v>609.45622000000003</v>
      </c>
      <c r="AQ774" s="551">
        <v>139279.02995660002</v>
      </c>
      <c r="AR774" s="551">
        <v>5.6589</v>
      </c>
    </row>
    <row r="775" spans="39:44" x14ac:dyDescent="0.3">
      <c r="AM775" s="550">
        <f t="shared" ca="1" si="65"/>
        <v>45180</v>
      </c>
      <c r="AN775" s="551">
        <v>229.89</v>
      </c>
      <c r="AO775" s="551">
        <v>1914121</v>
      </c>
      <c r="AP775" s="551">
        <v>609.45622000000003</v>
      </c>
      <c r="AQ775" s="551">
        <v>140107.89041580001</v>
      </c>
      <c r="AR775" s="551">
        <v>5.6924999999999999</v>
      </c>
    </row>
    <row r="776" spans="39:44" x14ac:dyDescent="0.3">
      <c r="AM776" s="550">
        <f t="shared" ca="1" si="65"/>
        <v>45179</v>
      </c>
      <c r="AN776" s="551">
        <v>230.2</v>
      </c>
      <c r="AO776" s="551">
        <v>2740446</v>
      </c>
      <c r="AP776" s="551">
        <v>609.45622000000003</v>
      </c>
      <c r="AQ776" s="551">
        <v>140296.82184399999</v>
      </c>
      <c r="AR776" s="551">
        <v>5.7001999999999997</v>
      </c>
    </row>
    <row r="777" spans="39:44" x14ac:dyDescent="0.3">
      <c r="AM777" s="550">
        <f t="shared" ca="1" si="65"/>
        <v>45178</v>
      </c>
      <c r="AN777" s="551">
        <v>231.5</v>
      </c>
      <c r="AO777" s="551">
        <v>3486302</v>
      </c>
      <c r="AP777" s="551">
        <v>609.45622000000003</v>
      </c>
      <c r="AQ777" s="551">
        <v>141089.11493000001</v>
      </c>
      <c r="AR777" s="551">
        <v>5.7324000000000002</v>
      </c>
    </row>
    <row r="778" spans="39:44" x14ac:dyDescent="0.3">
      <c r="AM778" s="550">
        <f t="shared" ca="1" si="65"/>
        <v>45177</v>
      </c>
      <c r="AN778" s="551">
        <v>232.02</v>
      </c>
      <c r="AO778" s="551">
        <v>2988783</v>
      </c>
      <c r="AP778" s="551">
        <v>609.45622000000003</v>
      </c>
      <c r="AQ778" s="551">
        <v>141406.03216440001</v>
      </c>
      <c r="AR778" s="551">
        <v>5.7453000000000003</v>
      </c>
    </row>
    <row r="779" spans="39:44" x14ac:dyDescent="0.3">
      <c r="AM779" s="550">
        <f t="shared" ca="1" si="65"/>
        <v>45176</v>
      </c>
      <c r="AN779" s="551">
        <v>232.77</v>
      </c>
      <c r="AO779" s="551">
        <v>3595798</v>
      </c>
      <c r="AP779" s="551">
        <v>609.45622000000003</v>
      </c>
      <c r="AQ779" s="551">
        <v>141863.12432940002</v>
      </c>
      <c r="AR779" s="551">
        <v>5.7638999999999996</v>
      </c>
    </row>
    <row r="780" spans="39:44" x14ac:dyDescent="0.3">
      <c r="AM780" s="550">
        <f t="shared" ca="1" si="65"/>
        <v>45175</v>
      </c>
      <c r="AN780" s="551">
        <v>232.77</v>
      </c>
      <c r="AO780" s="551">
        <v>3595798</v>
      </c>
      <c r="AP780" s="551">
        <v>609.45622000000003</v>
      </c>
      <c r="AQ780" s="551">
        <v>141863.12432940002</v>
      </c>
      <c r="AR780" s="551">
        <v>5.7638999999999996</v>
      </c>
    </row>
    <row r="781" spans="39:44" x14ac:dyDescent="0.3">
      <c r="AM781" s="550">
        <f t="shared" ca="1" si="65"/>
        <v>45174</v>
      </c>
      <c r="AN781" s="551">
        <v>232.77</v>
      </c>
      <c r="AO781" s="551">
        <v>3595798</v>
      </c>
      <c r="AP781" s="551">
        <v>609.45622000000003</v>
      </c>
      <c r="AQ781" s="551">
        <v>141863.12432940002</v>
      </c>
      <c r="AR781" s="551">
        <v>5.7638999999999996</v>
      </c>
    </row>
    <row r="782" spans="39:44" x14ac:dyDescent="0.3">
      <c r="AM782" s="550">
        <f t="shared" ca="1" si="65"/>
        <v>45173</v>
      </c>
      <c r="AN782" s="551">
        <v>232.1</v>
      </c>
      <c r="AO782" s="551">
        <v>5806689</v>
      </c>
      <c r="AP782" s="551">
        <v>609.45622000000003</v>
      </c>
      <c r="AQ782" s="551">
        <v>141454.78866200001</v>
      </c>
      <c r="AR782" s="551">
        <v>5.7473000000000001</v>
      </c>
    </row>
    <row r="783" spans="39:44" x14ac:dyDescent="0.3">
      <c r="AM783" s="550">
        <f t="shared" ca="1" si="65"/>
        <v>45172</v>
      </c>
      <c r="AN783" s="551">
        <v>238</v>
      </c>
      <c r="AO783" s="551">
        <v>14540741</v>
      </c>
      <c r="AP783" s="551">
        <v>609.45622000000003</v>
      </c>
      <c r="AQ783" s="551">
        <v>145050.58036000002</v>
      </c>
      <c r="AR783" s="551">
        <v>5.8933999999999997</v>
      </c>
    </row>
    <row r="784" spans="39:44" x14ac:dyDescent="0.3">
      <c r="AM784" s="550">
        <f t="shared" ca="1" si="65"/>
        <v>45171</v>
      </c>
      <c r="AN784" s="551">
        <v>215.55</v>
      </c>
      <c r="AO784" s="551">
        <v>2766183</v>
      </c>
      <c r="AP784" s="551">
        <v>609.69545000000005</v>
      </c>
      <c r="AQ784" s="551">
        <v>131419.85424750001</v>
      </c>
      <c r="AR784" s="551">
        <v>5.3375000000000004</v>
      </c>
    </row>
    <row r="785" spans="39:44" x14ac:dyDescent="0.3">
      <c r="AM785" s="550">
        <f t="shared" ca="1" si="65"/>
        <v>45170</v>
      </c>
      <c r="AN785" s="551">
        <v>216.94</v>
      </c>
      <c r="AO785" s="551">
        <v>2165244</v>
      </c>
      <c r="AP785" s="551">
        <v>609.69545000000005</v>
      </c>
      <c r="AQ785" s="551">
        <v>132267.330923</v>
      </c>
      <c r="AR785" s="551">
        <v>5.3719000000000001</v>
      </c>
    </row>
    <row r="786" spans="39:44" x14ac:dyDescent="0.3">
      <c r="AM786" s="550">
        <f t="shared" ca="1" si="65"/>
        <v>45169</v>
      </c>
      <c r="AN786" s="551">
        <v>216.78</v>
      </c>
      <c r="AO786" s="551">
        <v>6040181</v>
      </c>
      <c r="AP786" s="551">
        <v>609.69545000000005</v>
      </c>
      <c r="AQ786" s="551">
        <v>132169.77965100002</v>
      </c>
      <c r="AR786" s="551">
        <v>5.3678999999999997</v>
      </c>
    </row>
    <row r="787" spans="39:44" x14ac:dyDescent="0.3">
      <c r="AM787" s="550">
        <f t="shared" ca="1" si="65"/>
        <v>45168</v>
      </c>
      <c r="AN787" s="551">
        <v>216.78</v>
      </c>
      <c r="AO787" s="551">
        <v>6040181</v>
      </c>
      <c r="AP787" s="551">
        <v>609.69545000000005</v>
      </c>
      <c r="AQ787" s="551">
        <v>132169.77965100002</v>
      </c>
      <c r="AR787" s="551">
        <v>5.3678999999999997</v>
      </c>
    </row>
    <row r="788" spans="39:44" x14ac:dyDescent="0.3">
      <c r="AM788" s="550">
        <f t="shared" ca="1" si="65"/>
        <v>45167</v>
      </c>
      <c r="AN788" s="551">
        <v>216.78</v>
      </c>
      <c r="AO788" s="551">
        <v>6040181</v>
      </c>
      <c r="AP788" s="551">
        <v>609.69545000000005</v>
      </c>
      <c r="AQ788" s="551">
        <v>132169.77965100002</v>
      </c>
      <c r="AR788" s="551">
        <v>5.3678999999999997</v>
      </c>
    </row>
    <row r="789" spans="39:44" x14ac:dyDescent="0.3">
      <c r="AM789" s="550">
        <f t="shared" ca="1" si="65"/>
        <v>45166</v>
      </c>
      <c r="AN789" s="551">
        <v>216.78</v>
      </c>
      <c r="AO789" s="551">
        <v>3137644</v>
      </c>
      <c r="AP789" s="551">
        <v>609.69545000000005</v>
      </c>
      <c r="AQ789" s="551">
        <v>132169.77965100002</v>
      </c>
      <c r="AR789" s="551">
        <v>5.3678999999999997</v>
      </c>
    </row>
    <row r="790" spans="39:44" x14ac:dyDescent="0.3">
      <c r="AM790" s="550">
        <f t="shared" ca="1" si="65"/>
        <v>45165</v>
      </c>
      <c r="AN790" s="551">
        <v>214.25</v>
      </c>
      <c r="AO790" s="551">
        <v>2036692</v>
      </c>
      <c r="AP790" s="551">
        <v>609.69545000000005</v>
      </c>
      <c r="AQ790" s="551">
        <v>130627.25016250001</v>
      </c>
      <c r="AR790" s="551">
        <v>5.3052999999999999</v>
      </c>
    </row>
    <row r="791" spans="39:44" x14ac:dyDescent="0.3">
      <c r="AM791" s="550">
        <f t="shared" ca="1" si="65"/>
        <v>45164</v>
      </c>
      <c r="AN791" s="551">
        <v>212.62</v>
      </c>
      <c r="AO791" s="551">
        <v>1893637</v>
      </c>
      <c r="AP791" s="551">
        <v>609.69545000000005</v>
      </c>
      <c r="AQ791" s="551">
        <v>129633.44657900001</v>
      </c>
      <c r="AR791" s="551">
        <v>5.2648999999999999</v>
      </c>
    </row>
    <row r="792" spans="39:44" x14ac:dyDescent="0.3">
      <c r="AM792" s="550">
        <f t="shared" ca="1" si="65"/>
        <v>45163</v>
      </c>
      <c r="AN792" s="551">
        <v>209.86</v>
      </c>
      <c r="AO792" s="551">
        <v>1471705</v>
      </c>
      <c r="AP792" s="551">
        <v>609.69545000000005</v>
      </c>
      <c r="AQ792" s="551">
        <v>127950.68713700002</v>
      </c>
      <c r="AR792" s="551">
        <v>5.1966000000000001</v>
      </c>
    </row>
    <row r="793" spans="39:44" x14ac:dyDescent="0.3">
      <c r="AM793" s="550">
        <f t="shared" ca="1" si="65"/>
        <v>45162</v>
      </c>
      <c r="AN793" s="551">
        <v>210.99</v>
      </c>
      <c r="AO793" s="551">
        <v>1603021</v>
      </c>
      <c r="AP793" s="551">
        <v>609.69545000000005</v>
      </c>
      <c r="AQ793" s="551">
        <v>128639.64299550002</v>
      </c>
      <c r="AR793" s="551">
        <v>5.2244999999999999</v>
      </c>
    </row>
    <row r="794" spans="39:44" x14ac:dyDescent="0.3">
      <c r="AM794" s="550">
        <f t="shared" ca="1" si="65"/>
        <v>45161</v>
      </c>
      <c r="AN794" s="551">
        <v>210.99</v>
      </c>
      <c r="AO794" s="551">
        <v>1603021</v>
      </c>
      <c r="AP794" s="551">
        <v>609.69545000000005</v>
      </c>
      <c r="AQ794" s="551">
        <v>128639.64299550002</v>
      </c>
      <c r="AR794" s="551">
        <v>5.2244999999999999</v>
      </c>
    </row>
    <row r="795" spans="39:44" x14ac:dyDescent="0.3">
      <c r="AM795" s="550">
        <f t="shared" ca="1" si="65"/>
        <v>45160</v>
      </c>
      <c r="AN795" s="551">
        <v>210.99</v>
      </c>
      <c r="AO795" s="551">
        <v>1603021</v>
      </c>
      <c r="AP795" s="551">
        <v>609.69545000000005</v>
      </c>
      <c r="AQ795" s="551">
        <v>128639.64299550002</v>
      </c>
      <c r="AR795" s="551">
        <v>5.2244999999999999</v>
      </c>
    </row>
    <row r="796" spans="39:44" x14ac:dyDescent="0.3">
      <c r="AM796" s="550">
        <f t="shared" ca="1" si="65"/>
        <v>45159</v>
      </c>
      <c r="AN796" s="551">
        <v>210.61</v>
      </c>
      <c r="AO796" s="551">
        <v>2214270</v>
      </c>
      <c r="AP796" s="551">
        <v>609.69545000000005</v>
      </c>
      <c r="AQ796" s="551">
        <v>128407.95872450001</v>
      </c>
      <c r="AR796" s="551">
        <v>5.2150999999999996</v>
      </c>
    </row>
    <row r="797" spans="39:44" x14ac:dyDescent="0.3">
      <c r="AM797" s="550">
        <f t="shared" ca="1" si="65"/>
        <v>45158</v>
      </c>
      <c r="AN797" s="551">
        <v>208.92</v>
      </c>
      <c r="AO797" s="551">
        <v>3261515</v>
      </c>
      <c r="AP797" s="551">
        <v>609.69545000000005</v>
      </c>
      <c r="AQ797" s="551">
        <v>127377.573414</v>
      </c>
      <c r="AR797" s="551">
        <v>5.1733000000000002</v>
      </c>
    </row>
    <row r="798" spans="39:44" x14ac:dyDescent="0.3">
      <c r="AM798" s="550">
        <f t="shared" ca="1" si="65"/>
        <v>45157</v>
      </c>
      <c r="AN798" s="551">
        <v>206.79</v>
      </c>
      <c r="AO798" s="551">
        <v>2101076</v>
      </c>
      <c r="AP798" s="551">
        <v>609.69545000000005</v>
      </c>
      <c r="AQ798" s="551">
        <v>126078.92210550001</v>
      </c>
      <c r="AR798" s="551">
        <v>5.1204999999999998</v>
      </c>
    </row>
    <row r="799" spans="39:44" x14ac:dyDescent="0.3">
      <c r="AM799" s="550">
        <f t="shared" ca="1" si="65"/>
        <v>45156</v>
      </c>
      <c r="AN799" s="551">
        <v>204.86</v>
      </c>
      <c r="AO799" s="551">
        <v>2025215</v>
      </c>
      <c r="AP799" s="551">
        <v>609.69545000000005</v>
      </c>
      <c r="AQ799" s="551">
        <v>124902.20988700002</v>
      </c>
      <c r="AR799" s="551">
        <v>5.0728</v>
      </c>
    </row>
    <row r="800" spans="39:44" x14ac:dyDescent="0.3">
      <c r="AM800" s="550">
        <f t="shared" ca="1" si="65"/>
        <v>45155</v>
      </c>
      <c r="AN800" s="551">
        <v>202.82</v>
      </c>
      <c r="AO800" s="551">
        <v>2074819</v>
      </c>
      <c r="AP800" s="551">
        <v>609.69545000000005</v>
      </c>
      <c r="AQ800" s="551">
        <v>123658.431169</v>
      </c>
      <c r="AR800" s="551">
        <v>5.0221999999999998</v>
      </c>
    </row>
    <row r="801" spans="39:44" x14ac:dyDescent="0.3">
      <c r="AM801" s="550">
        <f t="shared" ca="1" si="65"/>
        <v>45154</v>
      </c>
      <c r="AN801" s="551">
        <v>202.82</v>
      </c>
      <c r="AO801" s="551">
        <v>2074819</v>
      </c>
      <c r="AP801" s="551">
        <v>609.69545000000005</v>
      </c>
      <c r="AQ801" s="551">
        <v>123658.431169</v>
      </c>
      <c r="AR801" s="551">
        <v>5.0221999999999998</v>
      </c>
    </row>
    <row r="802" spans="39:44" x14ac:dyDescent="0.3">
      <c r="AM802" s="550">
        <f t="shared" ca="1" si="65"/>
        <v>45153</v>
      </c>
      <c r="AN802" s="551">
        <v>202.82</v>
      </c>
      <c r="AO802" s="551">
        <v>2074819</v>
      </c>
      <c r="AP802" s="551">
        <v>609.69545000000005</v>
      </c>
      <c r="AQ802" s="551">
        <v>123658.431169</v>
      </c>
      <c r="AR802" s="551">
        <v>5.0221999999999998</v>
      </c>
    </row>
    <row r="803" spans="39:44" x14ac:dyDescent="0.3">
      <c r="AM803" s="550">
        <f t="shared" ca="1" si="65"/>
        <v>45152</v>
      </c>
      <c r="AN803" s="551">
        <v>202.51</v>
      </c>
      <c r="AO803" s="551">
        <v>1518543</v>
      </c>
      <c r="AP803" s="551">
        <v>609.69545000000005</v>
      </c>
      <c r="AQ803" s="551">
        <v>123469.42557950001</v>
      </c>
      <c r="AR803" s="551">
        <v>5.0145999999999997</v>
      </c>
    </row>
    <row r="804" spans="39:44" x14ac:dyDescent="0.3">
      <c r="AM804" s="550">
        <f t="shared" ca="1" si="65"/>
        <v>45151</v>
      </c>
      <c r="AN804" s="551">
        <v>203.91</v>
      </c>
      <c r="AO804" s="551">
        <v>1818128</v>
      </c>
      <c r="AP804" s="551">
        <v>609.69545000000005</v>
      </c>
      <c r="AQ804" s="551">
        <v>124322.99920950001</v>
      </c>
      <c r="AR804" s="551">
        <v>5.0491999999999999</v>
      </c>
    </row>
    <row r="805" spans="39:44" x14ac:dyDescent="0.3">
      <c r="AM805" s="550">
        <f t="shared" ca="1" si="65"/>
        <v>45150</v>
      </c>
      <c r="AN805" s="551">
        <v>206.13</v>
      </c>
      <c r="AO805" s="551">
        <v>1057362</v>
      </c>
      <c r="AP805" s="551">
        <v>609.69545000000005</v>
      </c>
      <c r="AQ805" s="551">
        <v>125676.52310850001</v>
      </c>
      <c r="AR805" s="551">
        <v>5.1041999999999996</v>
      </c>
    </row>
    <row r="806" spans="39:44" x14ac:dyDescent="0.3">
      <c r="AM806" s="550">
        <f t="shared" ca="1" si="65"/>
        <v>45149</v>
      </c>
      <c r="AN806" s="551">
        <v>206.13</v>
      </c>
      <c r="AO806" s="551">
        <v>1057362</v>
      </c>
      <c r="AP806" s="551">
        <v>609.69545000000005</v>
      </c>
      <c r="AQ806" s="551">
        <v>125676.52310850001</v>
      </c>
      <c r="AR806" s="551">
        <v>5.1041999999999996</v>
      </c>
    </row>
    <row r="807" spans="39:44" x14ac:dyDescent="0.3">
      <c r="AM807" s="550">
        <f t="shared" ca="1" si="65"/>
        <v>45148</v>
      </c>
      <c r="AN807" s="551">
        <v>204.62</v>
      </c>
      <c r="AO807" s="551">
        <v>2298746</v>
      </c>
      <c r="AP807" s="551">
        <v>609.69545000000005</v>
      </c>
      <c r="AQ807" s="551">
        <v>124755.88297900002</v>
      </c>
      <c r="AR807" s="551">
        <v>5.0667999999999997</v>
      </c>
    </row>
    <row r="808" spans="39:44" x14ac:dyDescent="0.3">
      <c r="AM808" s="550">
        <f t="shared" ca="1" si="65"/>
        <v>45147</v>
      </c>
      <c r="AN808" s="551">
        <v>204.62</v>
      </c>
      <c r="AO808" s="551">
        <v>2298746</v>
      </c>
      <c r="AP808" s="551">
        <v>609.69545000000005</v>
      </c>
      <c r="AQ808" s="551">
        <v>124755.88297900002</v>
      </c>
      <c r="AR808" s="551">
        <v>5.0667999999999997</v>
      </c>
    </row>
    <row r="809" spans="39:44" x14ac:dyDescent="0.3">
      <c r="AM809" s="550">
        <f t="shared" ca="1" si="65"/>
        <v>45146</v>
      </c>
      <c r="AN809" s="551">
        <v>204.62</v>
      </c>
      <c r="AO809" s="551">
        <v>2298746</v>
      </c>
      <c r="AP809" s="551">
        <v>609.69545000000005</v>
      </c>
      <c r="AQ809" s="551">
        <v>124755.88297900002</v>
      </c>
      <c r="AR809" s="551">
        <v>5.0667999999999997</v>
      </c>
    </row>
    <row r="810" spans="39:44" x14ac:dyDescent="0.3">
      <c r="AM810" s="550">
        <f t="shared" ca="1" si="65"/>
        <v>45145</v>
      </c>
      <c r="AN810" s="551">
        <v>204.65</v>
      </c>
      <c r="AO810" s="551">
        <v>1957394</v>
      </c>
      <c r="AP810" s="551">
        <v>609.69545000000005</v>
      </c>
      <c r="AQ810" s="551">
        <v>124774.17384250001</v>
      </c>
      <c r="AR810" s="551">
        <v>5.0395000000000003</v>
      </c>
    </row>
    <row r="811" spans="39:44" x14ac:dyDescent="0.3">
      <c r="AM811" s="550">
        <f t="shared" ca="1" si="65"/>
        <v>45144</v>
      </c>
      <c r="AN811" s="551">
        <v>203.09</v>
      </c>
      <c r="AO811" s="551">
        <v>2498258</v>
      </c>
      <c r="AP811" s="551">
        <v>609.69545000000005</v>
      </c>
      <c r="AQ811" s="551">
        <v>123823.04894050001</v>
      </c>
      <c r="AR811" s="551">
        <v>5.0011000000000001</v>
      </c>
    </row>
    <row r="812" spans="39:44" x14ac:dyDescent="0.3">
      <c r="AM812" s="550">
        <f t="shared" ca="1" si="65"/>
        <v>45143</v>
      </c>
      <c r="AN812" s="551">
        <v>202.98</v>
      </c>
      <c r="AO812" s="551">
        <v>2433951</v>
      </c>
      <c r="AP812" s="551">
        <v>609.69545000000005</v>
      </c>
      <c r="AQ812" s="551">
        <v>123755.982441</v>
      </c>
      <c r="AR812" s="551">
        <v>4.9984000000000002</v>
      </c>
    </row>
    <row r="813" spans="39:44" x14ac:dyDescent="0.3">
      <c r="AM813" s="550">
        <f t="shared" ca="1" si="65"/>
        <v>45142</v>
      </c>
      <c r="AN813" s="551">
        <v>201.33</v>
      </c>
      <c r="AO813" s="551">
        <v>1764809</v>
      </c>
      <c r="AP813" s="551">
        <v>609.69545000000005</v>
      </c>
      <c r="AQ813" s="551">
        <v>122749.98494850002</v>
      </c>
      <c r="AR813" s="551">
        <v>4.9577999999999998</v>
      </c>
    </row>
    <row r="814" spans="39:44" x14ac:dyDescent="0.3">
      <c r="AM814" s="550">
        <f t="shared" ca="1" si="65"/>
        <v>45141</v>
      </c>
      <c r="AN814" s="551">
        <v>199.89</v>
      </c>
      <c r="AO814" s="551">
        <v>7413977</v>
      </c>
      <c r="AP814" s="551">
        <v>609.69545000000005</v>
      </c>
      <c r="AQ814" s="551">
        <v>121872.0235005</v>
      </c>
      <c r="AR814" s="551">
        <v>4.9222999999999999</v>
      </c>
    </row>
    <row r="815" spans="39:44" x14ac:dyDescent="0.3">
      <c r="AM815" s="550">
        <f t="shared" ca="1" si="65"/>
        <v>45140</v>
      </c>
      <c r="AN815" s="551">
        <v>199.89</v>
      </c>
      <c r="AO815" s="551">
        <v>7413977</v>
      </c>
      <c r="AP815" s="551">
        <v>609.69545000000005</v>
      </c>
      <c r="AQ815" s="551">
        <v>121872.0235005</v>
      </c>
      <c r="AR815" s="551">
        <v>4.9222999999999999</v>
      </c>
    </row>
    <row r="816" spans="39:44" x14ac:dyDescent="0.3">
      <c r="AM816" s="550">
        <f t="shared" ca="1" si="65"/>
        <v>45139</v>
      </c>
      <c r="AN816" s="551">
        <v>199.89</v>
      </c>
      <c r="AO816" s="551">
        <v>7413977</v>
      </c>
      <c r="AP816" s="551">
        <v>609.69545000000005</v>
      </c>
      <c r="AQ816" s="551">
        <v>121872.0235005</v>
      </c>
      <c r="AR816" s="551">
        <v>4.9222999999999999</v>
      </c>
    </row>
    <row r="817" spans="39:44" x14ac:dyDescent="0.3">
      <c r="AM817" s="550">
        <f t="shared" ca="1" si="65"/>
        <v>45138</v>
      </c>
      <c r="AN817" s="551">
        <v>203.37</v>
      </c>
      <c r="AO817" s="551">
        <v>1809283</v>
      </c>
      <c r="AP817" s="551">
        <v>609.69545000000005</v>
      </c>
      <c r="AQ817" s="551">
        <v>123993.76366650002</v>
      </c>
      <c r="AR817" s="551">
        <v>5.008</v>
      </c>
    </row>
    <row r="818" spans="39:44" x14ac:dyDescent="0.3">
      <c r="AM818" s="550">
        <f t="shared" ca="1" si="65"/>
        <v>45137</v>
      </c>
      <c r="AN818" s="551">
        <v>203.65</v>
      </c>
      <c r="AO818" s="551">
        <v>2191438</v>
      </c>
      <c r="AP818" s="551">
        <v>609.69545000000005</v>
      </c>
      <c r="AQ818" s="551">
        <v>124164.47839250001</v>
      </c>
      <c r="AR818" s="551">
        <v>5.0148999999999999</v>
      </c>
    </row>
    <row r="819" spans="39:44" x14ac:dyDescent="0.3">
      <c r="AM819" s="550">
        <f t="shared" ca="1" si="65"/>
        <v>45136</v>
      </c>
      <c r="AN819" s="551">
        <v>201.38</v>
      </c>
      <c r="AO819" s="551">
        <v>2412765</v>
      </c>
      <c r="AP819" s="551">
        <v>609.69545000000005</v>
      </c>
      <c r="AQ819" s="551">
        <v>122780.469721</v>
      </c>
      <c r="AR819" s="551">
        <v>4.9589999999999996</v>
      </c>
    </row>
    <row r="820" spans="39:44" x14ac:dyDescent="0.3">
      <c r="AM820" s="550">
        <f t="shared" ca="1" si="65"/>
        <v>45135</v>
      </c>
      <c r="AN820" s="551">
        <v>204.67</v>
      </c>
      <c r="AO820" s="551">
        <v>4139868</v>
      </c>
      <c r="AP820" s="551">
        <v>609.69545000000005</v>
      </c>
      <c r="AQ820" s="551">
        <v>124786.3677515</v>
      </c>
      <c r="AR820" s="551">
        <v>5.04</v>
      </c>
    </row>
    <row r="821" spans="39:44" x14ac:dyDescent="0.3">
      <c r="AM821" s="550">
        <f t="shared" ca="1" si="65"/>
        <v>45134</v>
      </c>
      <c r="AN821" s="551">
        <v>204.67</v>
      </c>
      <c r="AO821" s="551">
        <v>4139868</v>
      </c>
      <c r="AP821" s="551">
        <v>609.69545000000005</v>
      </c>
      <c r="AQ821" s="551">
        <v>124786.3677515</v>
      </c>
      <c r="AR821" s="551">
        <v>5.04</v>
      </c>
    </row>
    <row r="822" spans="39:44" x14ac:dyDescent="0.3">
      <c r="AM822" s="550">
        <f t="shared" ca="1" si="65"/>
        <v>45133</v>
      </c>
      <c r="AN822" s="551">
        <v>204.67</v>
      </c>
      <c r="AO822" s="551">
        <v>4139868</v>
      </c>
      <c r="AP822" s="551">
        <v>609.69545000000005</v>
      </c>
      <c r="AQ822" s="551">
        <v>124786.3677515</v>
      </c>
      <c r="AR822" s="551">
        <v>5.04</v>
      </c>
    </row>
    <row r="823" spans="39:44" x14ac:dyDescent="0.3">
      <c r="AM823" s="550">
        <f t="shared" ca="1" si="65"/>
        <v>45132</v>
      </c>
      <c r="AN823" s="551">
        <v>204.67</v>
      </c>
      <c r="AO823" s="551">
        <v>4139868</v>
      </c>
      <c r="AP823" s="551">
        <v>609.69545000000005</v>
      </c>
      <c r="AQ823" s="551">
        <v>124786.3677515</v>
      </c>
      <c r="AR823" s="551">
        <v>5.04</v>
      </c>
    </row>
    <row r="824" spans="39:44" x14ac:dyDescent="0.3">
      <c r="AM824" s="550">
        <f t="shared" ca="1" si="65"/>
        <v>45131</v>
      </c>
      <c r="AN824" s="551">
        <v>205.92</v>
      </c>
      <c r="AO824" s="551">
        <v>2288571</v>
      </c>
      <c r="AP824" s="551">
        <v>609.69545000000005</v>
      </c>
      <c r="AQ824" s="551">
        <v>125548.487064</v>
      </c>
      <c r="AR824" s="551">
        <v>5.0708000000000002</v>
      </c>
    </row>
    <row r="825" spans="39:44" x14ac:dyDescent="0.3">
      <c r="AM825" s="550">
        <f t="shared" ca="1" si="65"/>
        <v>45130</v>
      </c>
      <c r="AN825" s="551">
        <v>202.74</v>
      </c>
      <c r="AO825" s="551">
        <v>3259385</v>
      </c>
      <c r="AP825" s="551">
        <v>609.69545000000005</v>
      </c>
      <c r="AQ825" s="551">
        <v>123609.65553300001</v>
      </c>
      <c r="AR825" s="551">
        <v>4.9924999999999997</v>
      </c>
    </row>
    <row r="826" spans="39:44" x14ac:dyDescent="0.3">
      <c r="AM826" s="550">
        <f t="shared" ca="1" si="65"/>
        <v>45129</v>
      </c>
      <c r="AN826" s="551">
        <v>198.93</v>
      </c>
      <c r="AO826" s="551">
        <v>3577856</v>
      </c>
      <c r="AP826" s="551">
        <v>609.69545000000005</v>
      </c>
      <c r="AQ826" s="551">
        <v>121286.71586850002</v>
      </c>
      <c r="AR826" s="551">
        <v>4.8986999999999998</v>
      </c>
    </row>
    <row r="827" spans="39:44" x14ac:dyDescent="0.3">
      <c r="AM827" s="550">
        <f t="shared" ca="1" si="65"/>
        <v>45128</v>
      </c>
      <c r="AN827" s="551">
        <v>198.96</v>
      </c>
      <c r="AO827" s="551">
        <v>2096381</v>
      </c>
      <c r="AP827" s="551">
        <v>609.69545000000005</v>
      </c>
      <c r="AQ827" s="551">
        <v>121305.00673200001</v>
      </c>
      <c r="AR827" s="551">
        <v>4.8994</v>
      </c>
    </row>
    <row r="828" spans="39:44" x14ac:dyDescent="0.3">
      <c r="AM828" s="550">
        <f t="shared" ca="1" si="65"/>
        <v>45127</v>
      </c>
      <c r="AN828" s="551">
        <v>199.67</v>
      </c>
      <c r="AO828" s="551">
        <v>1806829</v>
      </c>
      <c r="AP828" s="551">
        <v>609.69545000000005</v>
      </c>
      <c r="AQ828" s="551">
        <v>121737.89050150001</v>
      </c>
      <c r="AR828" s="551">
        <v>4.9169</v>
      </c>
    </row>
    <row r="829" spans="39:44" x14ac:dyDescent="0.3">
      <c r="AM829" s="550">
        <f t="shared" ca="1" si="65"/>
        <v>45126</v>
      </c>
      <c r="AN829" s="551">
        <v>199.67</v>
      </c>
      <c r="AO829" s="551">
        <v>1806829</v>
      </c>
      <c r="AP829" s="551">
        <v>609.69545000000005</v>
      </c>
      <c r="AQ829" s="551">
        <v>121737.89050150001</v>
      </c>
      <c r="AR829" s="551">
        <v>4.9169</v>
      </c>
    </row>
    <row r="830" spans="39:44" x14ac:dyDescent="0.3">
      <c r="AM830" s="550">
        <f t="shared" ca="1" si="65"/>
        <v>45125</v>
      </c>
      <c r="AN830" s="551">
        <v>199.67</v>
      </c>
      <c r="AO830" s="551">
        <v>1806829</v>
      </c>
      <c r="AP830" s="551">
        <v>609.69545000000005</v>
      </c>
      <c r="AQ830" s="551">
        <v>121737.89050150001</v>
      </c>
      <c r="AR830" s="551">
        <v>4.9169</v>
      </c>
    </row>
    <row r="831" spans="39:44" x14ac:dyDescent="0.3">
      <c r="AM831" s="550">
        <f t="shared" ca="1" si="65"/>
        <v>45124</v>
      </c>
      <c r="AN831" s="551">
        <v>200.99</v>
      </c>
      <c r="AO831" s="551">
        <v>2180656</v>
      </c>
      <c r="AP831" s="551">
        <v>609.69545000000005</v>
      </c>
      <c r="AQ831" s="551">
        <v>122542.68849550001</v>
      </c>
      <c r="AR831" s="551">
        <v>4.9493999999999998</v>
      </c>
    </row>
    <row r="832" spans="39:44" x14ac:dyDescent="0.3">
      <c r="AM832" s="550">
        <f t="shared" ca="1" si="65"/>
        <v>45123</v>
      </c>
      <c r="AN832" s="551">
        <v>201.46</v>
      </c>
      <c r="AO832" s="551">
        <v>2582847</v>
      </c>
      <c r="AP832" s="551">
        <v>609.69545000000005</v>
      </c>
      <c r="AQ832" s="551">
        <v>122829.24535700002</v>
      </c>
      <c r="AR832" s="551">
        <v>4.9610000000000003</v>
      </c>
    </row>
    <row r="833" spans="39:44" x14ac:dyDescent="0.3">
      <c r="AM833" s="550">
        <f t="shared" ca="1" si="65"/>
        <v>45122</v>
      </c>
      <c r="AN833" s="551">
        <v>196.36</v>
      </c>
      <c r="AO833" s="551">
        <v>2341901</v>
      </c>
      <c r="AP833" s="551">
        <v>609.69545000000005</v>
      </c>
      <c r="AQ833" s="551">
        <v>119719.79856200003</v>
      </c>
      <c r="AR833" s="551">
        <v>4.8353999999999999</v>
      </c>
    </row>
    <row r="834" spans="39:44" x14ac:dyDescent="0.3">
      <c r="AM834" s="550">
        <f t="shared" ca="1" si="65"/>
        <v>45121</v>
      </c>
      <c r="AN834" s="551">
        <v>198.73</v>
      </c>
      <c r="AO834" s="551">
        <v>2693846</v>
      </c>
      <c r="AP834" s="551">
        <v>609.69545000000005</v>
      </c>
      <c r="AQ834" s="551">
        <v>121164.7767785</v>
      </c>
      <c r="AR834" s="551">
        <v>4.8937999999999997</v>
      </c>
    </row>
    <row r="835" spans="39:44" x14ac:dyDescent="0.3">
      <c r="AM835" s="550">
        <f t="shared" ca="1" si="65"/>
        <v>45120</v>
      </c>
      <c r="AN835" s="551">
        <v>198.66</v>
      </c>
      <c r="AO835" s="551">
        <v>2522701</v>
      </c>
      <c r="AP835" s="551">
        <v>609.69545000000005</v>
      </c>
      <c r="AQ835" s="551">
        <v>121122.09809700001</v>
      </c>
      <c r="AR835" s="551">
        <v>4.8920000000000003</v>
      </c>
    </row>
    <row r="836" spans="39:44" x14ac:dyDescent="0.3">
      <c r="AM836" s="550">
        <f t="shared" ca="1" si="65"/>
        <v>45119</v>
      </c>
      <c r="AN836" s="551">
        <v>198.66</v>
      </c>
      <c r="AO836" s="551">
        <v>2522701</v>
      </c>
      <c r="AP836" s="551">
        <v>609.69545000000005</v>
      </c>
      <c r="AQ836" s="551">
        <v>121122.09809700001</v>
      </c>
      <c r="AR836" s="551">
        <v>4.8920000000000003</v>
      </c>
    </row>
    <row r="837" spans="39:44" x14ac:dyDescent="0.3">
      <c r="AM837" s="550">
        <f t="shared" ref="AM837:AM900" ca="1" si="66">AM836-1</f>
        <v>45118</v>
      </c>
      <c r="AN837" s="551">
        <v>198.66</v>
      </c>
      <c r="AO837" s="551">
        <v>2522701</v>
      </c>
      <c r="AP837" s="551">
        <v>609.69545000000005</v>
      </c>
      <c r="AQ837" s="551">
        <v>121122.09809700001</v>
      </c>
      <c r="AR837" s="551">
        <v>4.8920000000000003</v>
      </c>
    </row>
    <row r="838" spans="39:44" x14ac:dyDescent="0.3">
      <c r="AM838" s="550">
        <f t="shared" ca="1" si="66"/>
        <v>45117</v>
      </c>
      <c r="AN838" s="551">
        <v>195.68</v>
      </c>
      <c r="AO838" s="551">
        <v>2713762</v>
      </c>
      <c r="AP838" s="551">
        <v>609.69545000000005</v>
      </c>
      <c r="AQ838" s="551">
        <v>119305.20565600002</v>
      </c>
      <c r="AR838" s="551">
        <v>4.8186</v>
      </c>
    </row>
    <row r="839" spans="39:44" x14ac:dyDescent="0.3">
      <c r="AM839" s="550">
        <f t="shared" ca="1" si="66"/>
        <v>45116</v>
      </c>
      <c r="AN839" s="551">
        <v>192.52</v>
      </c>
      <c r="AO839" s="551">
        <v>3569282</v>
      </c>
      <c r="AP839" s="551">
        <v>609.69545000000005</v>
      </c>
      <c r="AQ839" s="551">
        <v>117378.56803400001</v>
      </c>
      <c r="AR839" s="551">
        <v>4.7408000000000001</v>
      </c>
    </row>
    <row r="840" spans="39:44" x14ac:dyDescent="0.3">
      <c r="AM840" s="550">
        <f t="shared" ca="1" si="66"/>
        <v>45115</v>
      </c>
      <c r="AN840" s="551">
        <v>194.2</v>
      </c>
      <c r="AO840" s="551">
        <v>2453568</v>
      </c>
      <c r="AP840" s="551">
        <v>609.69545000000005</v>
      </c>
      <c r="AQ840" s="551">
        <v>118402.85639</v>
      </c>
      <c r="AR840" s="551">
        <v>4.7821999999999996</v>
      </c>
    </row>
    <row r="841" spans="39:44" x14ac:dyDescent="0.3">
      <c r="AM841" s="550">
        <f t="shared" ca="1" si="66"/>
        <v>45114</v>
      </c>
      <c r="AN841" s="551">
        <v>193.1</v>
      </c>
      <c r="AO841" s="551">
        <v>2287366</v>
      </c>
      <c r="AP841" s="551">
        <v>609.69545000000005</v>
      </c>
      <c r="AQ841" s="551">
        <v>117732.191395</v>
      </c>
      <c r="AR841" s="551">
        <v>4.7550999999999997</v>
      </c>
    </row>
    <row r="842" spans="39:44" x14ac:dyDescent="0.3">
      <c r="AM842" s="550">
        <f t="shared" ca="1" si="66"/>
        <v>45113</v>
      </c>
      <c r="AN842" s="551">
        <v>193.1</v>
      </c>
      <c r="AO842" s="551">
        <v>2287366</v>
      </c>
      <c r="AP842" s="551">
        <v>609.69545000000005</v>
      </c>
      <c r="AQ842" s="551">
        <v>117732.191395</v>
      </c>
      <c r="AR842" s="551">
        <v>4.7550999999999997</v>
      </c>
    </row>
    <row r="843" spans="39:44" x14ac:dyDescent="0.3">
      <c r="AM843" s="550">
        <f t="shared" ca="1" si="66"/>
        <v>45112</v>
      </c>
      <c r="AN843" s="551">
        <v>193.1</v>
      </c>
      <c r="AO843" s="551">
        <v>2287366</v>
      </c>
      <c r="AP843" s="551">
        <v>609.69545000000005</v>
      </c>
      <c r="AQ843" s="551">
        <v>117732.191395</v>
      </c>
      <c r="AR843" s="551">
        <v>4.7550999999999997</v>
      </c>
    </row>
    <row r="844" spans="39:44" x14ac:dyDescent="0.3">
      <c r="AM844" s="550">
        <f t="shared" ca="1" si="66"/>
        <v>45111</v>
      </c>
      <c r="AN844" s="551">
        <v>193.1</v>
      </c>
      <c r="AO844" s="551">
        <v>2287366</v>
      </c>
      <c r="AP844" s="551">
        <v>609.69545000000005</v>
      </c>
      <c r="AQ844" s="551">
        <v>117732.191395</v>
      </c>
      <c r="AR844" s="551">
        <v>4.7550999999999997</v>
      </c>
    </row>
    <row r="845" spans="39:44" x14ac:dyDescent="0.3">
      <c r="AM845" s="550">
        <f t="shared" ca="1" si="66"/>
        <v>45110</v>
      </c>
      <c r="AN845" s="551">
        <v>193.21</v>
      </c>
      <c r="AO845" s="551">
        <v>2467636</v>
      </c>
      <c r="AP845" s="551">
        <v>609.69545000000005</v>
      </c>
      <c r="AQ845" s="551">
        <v>117799.25789450001</v>
      </c>
      <c r="AR845" s="551">
        <v>4.7577999999999996</v>
      </c>
    </row>
    <row r="846" spans="39:44" x14ac:dyDescent="0.3">
      <c r="AM846" s="550">
        <f t="shared" ca="1" si="66"/>
        <v>45109</v>
      </c>
      <c r="AN846" s="551">
        <v>191.91</v>
      </c>
      <c r="AO846" s="551">
        <v>2970979</v>
      </c>
      <c r="AP846" s="551">
        <v>609.69545000000005</v>
      </c>
      <c r="AQ846" s="551">
        <v>117006.65380950001</v>
      </c>
      <c r="AR846" s="551">
        <v>4.7257999999999996</v>
      </c>
    </row>
    <row r="847" spans="39:44" x14ac:dyDescent="0.3">
      <c r="AM847" s="550">
        <f t="shared" ca="1" si="66"/>
        <v>45108</v>
      </c>
      <c r="AN847" s="551">
        <v>196.38</v>
      </c>
      <c r="AO847" s="551">
        <v>2434146</v>
      </c>
      <c r="AP847" s="551">
        <v>609.69545000000005</v>
      </c>
      <c r="AQ847" s="551">
        <v>119731.99247100001</v>
      </c>
      <c r="AR847" s="551">
        <v>4.8358999999999996</v>
      </c>
    </row>
    <row r="848" spans="39:44" x14ac:dyDescent="0.3">
      <c r="AM848" s="550">
        <f t="shared" ca="1" si="66"/>
        <v>45107</v>
      </c>
      <c r="AN848" s="551">
        <v>198.29</v>
      </c>
      <c r="AO848" s="551">
        <v>1744063</v>
      </c>
      <c r="AP848" s="551">
        <v>609.69545000000005</v>
      </c>
      <c r="AQ848" s="551">
        <v>120896.5107805</v>
      </c>
      <c r="AR848" s="551">
        <v>4.8829000000000002</v>
      </c>
    </row>
    <row r="849" spans="39:44" x14ac:dyDescent="0.3">
      <c r="AM849" s="550">
        <f t="shared" ca="1" si="66"/>
        <v>45106</v>
      </c>
      <c r="AN849" s="551">
        <v>198.97</v>
      </c>
      <c r="AO849" s="551">
        <v>1798839</v>
      </c>
      <c r="AP849" s="551">
        <v>609.69545000000005</v>
      </c>
      <c r="AQ849" s="551">
        <v>121311.10368650001</v>
      </c>
      <c r="AR849" s="551">
        <v>4.8997000000000002</v>
      </c>
    </row>
    <row r="850" spans="39:44" x14ac:dyDescent="0.3">
      <c r="AM850" s="550">
        <f t="shared" ca="1" si="66"/>
        <v>45105</v>
      </c>
      <c r="AN850" s="551">
        <v>198.97</v>
      </c>
      <c r="AO850" s="551">
        <v>1798839</v>
      </c>
      <c r="AP850" s="551">
        <v>609.69545000000005</v>
      </c>
      <c r="AQ850" s="551">
        <v>121311.10368650001</v>
      </c>
      <c r="AR850" s="551">
        <v>4.8997000000000002</v>
      </c>
    </row>
    <row r="851" spans="39:44" x14ac:dyDescent="0.3">
      <c r="AM851" s="550">
        <f t="shared" ca="1" si="66"/>
        <v>45104</v>
      </c>
      <c r="AN851" s="551">
        <v>198.97</v>
      </c>
      <c r="AO851" s="551">
        <v>1798839</v>
      </c>
      <c r="AP851" s="551">
        <v>609.69545000000005</v>
      </c>
      <c r="AQ851" s="551">
        <v>121311.10368650001</v>
      </c>
      <c r="AR851" s="551">
        <v>4.8997000000000002</v>
      </c>
    </row>
    <row r="852" spans="39:44" x14ac:dyDescent="0.3">
      <c r="AM852" s="550">
        <f t="shared" ca="1" si="66"/>
        <v>45103</v>
      </c>
      <c r="AN852" s="551">
        <v>198.81</v>
      </c>
      <c r="AO852" s="551">
        <v>1947796</v>
      </c>
      <c r="AP852" s="551">
        <v>609.69545000000005</v>
      </c>
      <c r="AQ852" s="551">
        <v>121213.55241450001</v>
      </c>
      <c r="AR852" s="551">
        <v>4.8956999999999997</v>
      </c>
    </row>
    <row r="853" spans="39:44" x14ac:dyDescent="0.3">
      <c r="AM853" s="550">
        <f t="shared" ca="1" si="66"/>
        <v>45102</v>
      </c>
      <c r="AN853" s="551">
        <v>198.84</v>
      </c>
      <c r="AO853" s="551">
        <v>2273080</v>
      </c>
      <c r="AP853" s="551">
        <v>609.69545000000005</v>
      </c>
      <c r="AQ853" s="551">
        <v>121231.84327800001</v>
      </c>
      <c r="AR853" s="551">
        <v>4.8964999999999996</v>
      </c>
    </row>
    <row r="854" spans="39:44" x14ac:dyDescent="0.3">
      <c r="AM854" s="550">
        <f t="shared" ca="1" si="66"/>
        <v>45101</v>
      </c>
      <c r="AN854" s="551">
        <v>196.87</v>
      </c>
      <c r="AO854" s="551">
        <v>1893958</v>
      </c>
      <c r="AP854" s="551">
        <v>609.69545000000005</v>
      </c>
      <c r="AQ854" s="551">
        <v>120030.74324150001</v>
      </c>
      <c r="AR854" s="551">
        <v>4.8479999999999999</v>
      </c>
    </row>
    <row r="855" spans="39:44" x14ac:dyDescent="0.3">
      <c r="AM855" s="550">
        <f t="shared" ca="1" si="66"/>
        <v>45100</v>
      </c>
      <c r="AN855" s="551">
        <v>199.64</v>
      </c>
      <c r="AO855" s="551">
        <v>1630515</v>
      </c>
      <c r="AP855" s="551">
        <v>609.69545000000005</v>
      </c>
      <c r="AQ855" s="551">
        <v>121719.599638</v>
      </c>
      <c r="AR855" s="551">
        <v>4.9161999999999999</v>
      </c>
    </row>
    <row r="856" spans="39:44" x14ac:dyDescent="0.3">
      <c r="AM856" s="550">
        <f t="shared" ca="1" si="66"/>
        <v>45099</v>
      </c>
      <c r="AN856" s="551">
        <v>198.99</v>
      </c>
      <c r="AO856" s="551">
        <v>1459512</v>
      </c>
      <c r="AP856" s="551">
        <v>609.69545000000005</v>
      </c>
      <c r="AQ856" s="551">
        <v>121323.29759550001</v>
      </c>
      <c r="AR856" s="551">
        <v>4.9001999999999999</v>
      </c>
    </row>
    <row r="857" spans="39:44" x14ac:dyDescent="0.3">
      <c r="AM857" s="550">
        <f t="shared" ca="1" si="66"/>
        <v>45098</v>
      </c>
      <c r="AN857" s="551">
        <v>198.99</v>
      </c>
      <c r="AO857" s="551">
        <v>1459512</v>
      </c>
      <c r="AP857" s="551">
        <v>609.69545000000005</v>
      </c>
      <c r="AQ857" s="551">
        <v>121323.29759550001</v>
      </c>
      <c r="AR857" s="551">
        <v>4.9001999999999999</v>
      </c>
    </row>
    <row r="858" spans="39:44" x14ac:dyDescent="0.3">
      <c r="AM858" s="550">
        <f t="shared" ca="1" si="66"/>
        <v>45097</v>
      </c>
      <c r="AN858" s="551">
        <v>198.99</v>
      </c>
      <c r="AO858" s="551">
        <v>1459512</v>
      </c>
      <c r="AP858" s="551">
        <v>609.69545000000005</v>
      </c>
      <c r="AQ858" s="551">
        <v>121323.29759550001</v>
      </c>
      <c r="AR858" s="551">
        <v>4.9001999999999999</v>
      </c>
    </row>
    <row r="859" spans="39:44" x14ac:dyDescent="0.3">
      <c r="AM859" s="550">
        <f t="shared" ca="1" si="66"/>
        <v>45096</v>
      </c>
      <c r="AN859" s="551">
        <v>198.08</v>
      </c>
      <c r="AO859" s="551">
        <v>1397331</v>
      </c>
      <c r="AP859" s="551">
        <v>609.69545000000005</v>
      </c>
      <c r="AQ859" s="551">
        <v>120768.47473600002</v>
      </c>
      <c r="AR859" s="551">
        <v>4.8776999999999999</v>
      </c>
    </row>
    <row r="860" spans="39:44" x14ac:dyDescent="0.3">
      <c r="AM860" s="550">
        <f t="shared" ca="1" si="66"/>
        <v>45095</v>
      </c>
      <c r="AN860" s="551">
        <v>199.06</v>
      </c>
      <c r="AO860" s="551">
        <v>1703530</v>
      </c>
      <c r="AP860" s="551">
        <v>609.69545000000005</v>
      </c>
      <c r="AQ860" s="551">
        <v>121365.97627700001</v>
      </c>
      <c r="AR860" s="551">
        <v>4.9019000000000004</v>
      </c>
    </row>
    <row r="861" spans="39:44" x14ac:dyDescent="0.3">
      <c r="AM861" s="550">
        <f t="shared" ca="1" si="66"/>
        <v>45094</v>
      </c>
      <c r="AN861" s="551">
        <v>200.59</v>
      </c>
      <c r="AO861" s="551">
        <v>1606740</v>
      </c>
      <c r="AP861" s="551">
        <v>609.69545000000005</v>
      </c>
      <c r="AQ861" s="551">
        <v>122298.81031550001</v>
      </c>
      <c r="AR861" s="551">
        <v>4.9396000000000004</v>
      </c>
    </row>
    <row r="862" spans="39:44" x14ac:dyDescent="0.3">
      <c r="AM862" s="550">
        <f t="shared" ca="1" si="66"/>
        <v>45093</v>
      </c>
      <c r="AN862" s="551">
        <v>199.94</v>
      </c>
      <c r="AO862" s="551">
        <v>1973045</v>
      </c>
      <c r="AP862" s="551">
        <v>609.69545000000005</v>
      </c>
      <c r="AQ862" s="551">
        <v>121902.50827300001</v>
      </c>
      <c r="AR862" s="551">
        <v>4.9236000000000004</v>
      </c>
    </row>
    <row r="863" spans="39:44" x14ac:dyDescent="0.3">
      <c r="AM863" s="550">
        <f t="shared" ca="1" si="66"/>
        <v>45092</v>
      </c>
      <c r="AN863" s="551">
        <v>201.23</v>
      </c>
      <c r="AO863" s="551">
        <v>2065019</v>
      </c>
      <c r="AP863" s="551">
        <v>609.69545000000005</v>
      </c>
      <c r="AQ863" s="551">
        <v>122689.0154035</v>
      </c>
      <c r="AR863" s="551">
        <v>4.9553000000000003</v>
      </c>
    </row>
    <row r="864" spans="39:44" x14ac:dyDescent="0.3">
      <c r="AM864" s="550">
        <f t="shared" ca="1" si="66"/>
        <v>45091</v>
      </c>
      <c r="AN864" s="551">
        <v>201.23</v>
      </c>
      <c r="AO864" s="551">
        <v>2065019</v>
      </c>
      <c r="AP864" s="551">
        <v>609.69545000000005</v>
      </c>
      <c r="AQ864" s="551">
        <v>122689.0154035</v>
      </c>
      <c r="AR864" s="551">
        <v>4.9553000000000003</v>
      </c>
    </row>
    <row r="865" spans="39:44" x14ac:dyDescent="0.3">
      <c r="AM865" s="550">
        <f t="shared" ca="1" si="66"/>
        <v>45090</v>
      </c>
      <c r="AN865" s="551">
        <v>201.23</v>
      </c>
      <c r="AO865" s="551">
        <v>2065019</v>
      </c>
      <c r="AP865" s="551">
        <v>609.69545000000005</v>
      </c>
      <c r="AQ865" s="551">
        <v>122689.0154035</v>
      </c>
      <c r="AR865" s="551">
        <v>4.9553000000000003</v>
      </c>
    </row>
    <row r="866" spans="39:44" x14ac:dyDescent="0.3">
      <c r="AM866" s="550">
        <f t="shared" ca="1" si="66"/>
        <v>45089</v>
      </c>
      <c r="AN866" s="551">
        <v>197.06</v>
      </c>
      <c r="AO866" s="551">
        <v>1866347</v>
      </c>
      <c r="AP866" s="551">
        <v>609.69545000000005</v>
      </c>
      <c r="AQ866" s="551">
        <v>120146.58537700001</v>
      </c>
      <c r="AR866" s="551">
        <v>4.8525999999999998</v>
      </c>
    </row>
    <row r="867" spans="39:44" x14ac:dyDescent="0.3">
      <c r="AM867" s="550">
        <f t="shared" ca="1" si="66"/>
        <v>45088</v>
      </c>
      <c r="AN867" s="551">
        <v>195.33</v>
      </c>
      <c r="AO867" s="551">
        <v>2017445</v>
      </c>
      <c r="AP867" s="551">
        <v>609.69545000000005</v>
      </c>
      <c r="AQ867" s="551">
        <v>119091.81224850002</v>
      </c>
      <c r="AR867" s="551">
        <v>4.8099999999999996</v>
      </c>
    </row>
    <row r="868" spans="39:44" x14ac:dyDescent="0.3">
      <c r="AM868" s="550">
        <f t="shared" ca="1" si="66"/>
        <v>45087</v>
      </c>
      <c r="AN868" s="551">
        <v>196.07</v>
      </c>
      <c r="AO868" s="551">
        <v>2693796</v>
      </c>
      <c r="AP868" s="551">
        <v>609.69545000000005</v>
      </c>
      <c r="AQ868" s="551">
        <v>119542.98688150001</v>
      </c>
      <c r="AR868" s="551">
        <v>4.8282999999999996</v>
      </c>
    </row>
    <row r="869" spans="39:44" x14ac:dyDescent="0.3">
      <c r="AM869" s="550">
        <f t="shared" ca="1" si="66"/>
        <v>45086</v>
      </c>
      <c r="AN869" s="551">
        <v>198.63</v>
      </c>
      <c r="AO869" s="551">
        <v>2195008</v>
      </c>
      <c r="AP869" s="551">
        <v>609.69545000000005</v>
      </c>
      <c r="AQ869" s="551">
        <v>121103.8072335</v>
      </c>
      <c r="AR869" s="551">
        <v>4.8913000000000002</v>
      </c>
    </row>
    <row r="870" spans="39:44" x14ac:dyDescent="0.3">
      <c r="AM870" s="550">
        <f t="shared" ca="1" si="66"/>
        <v>45085</v>
      </c>
      <c r="AN870" s="551">
        <v>195.7</v>
      </c>
      <c r="AO870" s="551">
        <v>1814933</v>
      </c>
      <c r="AP870" s="551">
        <v>609.69545000000005</v>
      </c>
      <c r="AQ870" s="551">
        <v>119317.399565</v>
      </c>
      <c r="AR870" s="551">
        <v>4.8190999999999997</v>
      </c>
    </row>
    <row r="871" spans="39:44" x14ac:dyDescent="0.3">
      <c r="AM871" s="550">
        <f t="shared" ca="1" si="66"/>
        <v>45084</v>
      </c>
      <c r="AN871" s="551">
        <v>195.7</v>
      </c>
      <c r="AO871" s="551">
        <v>1814933</v>
      </c>
      <c r="AP871" s="551">
        <v>609.69545000000005</v>
      </c>
      <c r="AQ871" s="551">
        <v>119317.399565</v>
      </c>
      <c r="AR871" s="551">
        <v>4.8190999999999997</v>
      </c>
    </row>
    <row r="872" spans="39:44" x14ac:dyDescent="0.3">
      <c r="AM872" s="550">
        <f t="shared" ca="1" si="66"/>
        <v>45083</v>
      </c>
      <c r="AN872" s="551">
        <v>195.7</v>
      </c>
      <c r="AO872" s="551">
        <v>1814933</v>
      </c>
      <c r="AP872" s="551">
        <v>609.69545000000005</v>
      </c>
      <c r="AQ872" s="551">
        <v>119317.399565</v>
      </c>
      <c r="AR872" s="551">
        <v>4.8190999999999997</v>
      </c>
    </row>
    <row r="873" spans="39:44" x14ac:dyDescent="0.3">
      <c r="AM873" s="550">
        <f t="shared" ca="1" si="66"/>
        <v>45082</v>
      </c>
      <c r="AN873" s="551">
        <v>193.54</v>
      </c>
      <c r="AO873" s="551">
        <v>2287459</v>
      </c>
      <c r="AP873" s="551">
        <v>609.69545000000005</v>
      </c>
      <c r="AQ873" s="551">
        <v>118000.457393</v>
      </c>
      <c r="AR873" s="551">
        <v>4.766</v>
      </c>
    </row>
    <row r="874" spans="39:44" x14ac:dyDescent="0.3">
      <c r="AM874" s="550">
        <f t="shared" ca="1" si="66"/>
        <v>45081</v>
      </c>
      <c r="AN874" s="551">
        <v>191.5</v>
      </c>
      <c r="AO874" s="551">
        <v>2377528</v>
      </c>
      <c r="AP874" s="551">
        <v>609.69545000000005</v>
      </c>
      <c r="AQ874" s="551">
        <v>116756.678675</v>
      </c>
      <c r="AR874" s="551">
        <v>4.7157</v>
      </c>
    </row>
    <row r="875" spans="39:44" x14ac:dyDescent="0.3">
      <c r="AM875" s="550">
        <f t="shared" ca="1" si="66"/>
        <v>45080</v>
      </c>
      <c r="AN875" s="551">
        <v>194.75</v>
      </c>
      <c r="AO875" s="551">
        <v>2594380</v>
      </c>
      <c r="AP875" s="551">
        <v>609.69545000000005</v>
      </c>
      <c r="AQ875" s="551">
        <v>118738.18888750001</v>
      </c>
      <c r="AR875" s="551">
        <v>4.7957000000000001</v>
      </c>
    </row>
    <row r="876" spans="39:44" x14ac:dyDescent="0.3">
      <c r="AM876" s="550">
        <f t="shared" ca="1" si="66"/>
        <v>45079</v>
      </c>
      <c r="AN876" s="551">
        <v>200.28</v>
      </c>
      <c r="AO876" s="551">
        <v>2723705</v>
      </c>
      <c r="AP876" s="551">
        <v>609.69545000000005</v>
      </c>
      <c r="AQ876" s="551">
        <v>122109.80472600002</v>
      </c>
      <c r="AR876" s="551">
        <v>4.9318999999999997</v>
      </c>
    </row>
    <row r="877" spans="39:44" x14ac:dyDescent="0.3">
      <c r="AM877" s="550">
        <f t="shared" ca="1" si="66"/>
        <v>45078</v>
      </c>
      <c r="AN877" s="551">
        <v>198.85</v>
      </c>
      <c r="AO877" s="551">
        <v>6029405</v>
      </c>
      <c r="AP877" s="551">
        <v>609.69545000000005</v>
      </c>
      <c r="AQ877" s="551">
        <v>121237.94023250001</v>
      </c>
      <c r="AR877" s="551">
        <v>4.8967000000000001</v>
      </c>
    </row>
    <row r="878" spans="39:44" x14ac:dyDescent="0.3">
      <c r="AM878" s="550">
        <f t="shared" ca="1" si="66"/>
        <v>45077</v>
      </c>
      <c r="AN878" s="551">
        <v>198.85</v>
      </c>
      <c r="AO878" s="551">
        <v>6029405</v>
      </c>
      <c r="AP878" s="551">
        <v>609.69545000000005</v>
      </c>
      <c r="AQ878" s="551">
        <v>121237.94023250001</v>
      </c>
      <c r="AR878" s="551">
        <v>4.8967000000000001</v>
      </c>
    </row>
    <row r="879" spans="39:44" x14ac:dyDescent="0.3">
      <c r="AM879" s="550">
        <f t="shared" ca="1" si="66"/>
        <v>45076</v>
      </c>
      <c r="AN879" s="551">
        <v>198.85</v>
      </c>
      <c r="AO879" s="551">
        <v>6029405</v>
      </c>
      <c r="AP879" s="551">
        <v>609.69545000000005</v>
      </c>
      <c r="AQ879" s="551">
        <v>121237.94023250001</v>
      </c>
      <c r="AR879" s="551">
        <v>4.8967000000000001</v>
      </c>
    </row>
    <row r="880" spans="39:44" x14ac:dyDescent="0.3">
      <c r="AM880" s="550">
        <f t="shared" ca="1" si="66"/>
        <v>45075</v>
      </c>
      <c r="AN880" s="551">
        <v>202.6</v>
      </c>
      <c r="AO880" s="551">
        <v>2989244</v>
      </c>
      <c r="AP880" s="551">
        <v>609.69545000000005</v>
      </c>
      <c r="AQ880" s="551">
        <v>123524.29817000001</v>
      </c>
      <c r="AR880" s="551">
        <v>4.9890999999999996</v>
      </c>
    </row>
    <row r="881" spans="39:44" x14ac:dyDescent="0.3">
      <c r="AM881" s="550">
        <f t="shared" ca="1" si="66"/>
        <v>45074</v>
      </c>
      <c r="AN881" s="551">
        <v>202</v>
      </c>
      <c r="AO881" s="551">
        <v>2619794</v>
      </c>
      <c r="AP881" s="551">
        <v>610.25336000000004</v>
      </c>
      <c r="AQ881" s="551">
        <v>123271.17872000001</v>
      </c>
      <c r="AR881" s="551">
        <v>4.9743000000000004</v>
      </c>
    </row>
    <row r="882" spans="39:44" x14ac:dyDescent="0.3">
      <c r="AM882" s="550">
        <f t="shared" ca="1" si="66"/>
        <v>45073</v>
      </c>
      <c r="AN882" s="551">
        <v>199.47</v>
      </c>
      <c r="AO882" s="551">
        <v>2388104</v>
      </c>
      <c r="AP882" s="551">
        <v>610.25336000000004</v>
      </c>
      <c r="AQ882" s="551">
        <v>121727.23771920001</v>
      </c>
      <c r="AR882" s="551">
        <v>4.9119999999999999</v>
      </c>
    </row>
    <row r="883" spans="39:44" x14ac:dyDescent="0.3">
      <c r="AM883" s="550">
        <f t="shared" ca="1" si="66"/>
        <v>45072</v>
      </c>
      <c r="AN883" s="551">
        <v>200.04</v>
      </c>
      <c r="AO883" s="551">
        <v>2740855</v>
      </c>
      <c r="AP883" s="551">
        <v>610.25336000000004</v>
      </c>
      <c r="AQ883" s="551">
        <v>122075.0821344</v>
      </c>
      <c r="AR883" s="551">
        <v>4.9260000000000002</v>
      </c>
    </row>
    <row r="884" spans="39:44" x14ac:dyDescent="0.3">
      <c r="AM884" s="550">
        <f t="shared" ca="1" si="66"/>
        <v>45071</v>
      </c>
      <c r="AN884" s="551">
        <v>198.53</v>
      </c>
      <c r="AO884" s="551">
        <v>1947985</v>
      </c>
      <c r="AP884" s="551">
        <v>610.25336000000004</v>
      </c>
      <c r="AQ884" s="551">
        <v>121153.59956080001</v>
      </c>
      <c r="AR884" s="551">
        <v>4.8887999999999998</v>
      </c>
    </row>
    <row r="885" spans="39:44" x14ac:dyDescent="0.3">
      <c r="AM885" s="550">
        <f t="shared" ca="1" si="66"/>
        <v>45070</v>
      </c>
      <c r="AN885" s="551">
        <v>198.53</v>
      </c>
      <c r="AO885" s="551">
        <v>1947985</v>
      </c>
      <c r="AP885" s="551">
        <v>610.25336000000004</v>
      </c>
      <c r="AQ885" s="551">
        <v>121153.59956080001</v>
      </c>
      <c r="AR885" s="551">
        <v>4.8887999999999998</v>
      </c>
    </row>
    <row r="886" spans="39:44" x14ac:dyDescent="0.3">
      <c r="AM886" s="550">
        <f t="shared" ca="1" si="66"/>
        <v>45069</v>
      </c>
      <c r="AN886" s="551">
        <v>198.53</v>
      </c>
      <c r="AO886" s="551">
        <v>1947985</v>
      </c>
      <c r="AP886" s="551">
        <v>610.25336000000004</v>
      </c>
      <c r="AQ886" s="551">
        <v>121153.59956080001</v>
      </c>
      <c r="AR886" s="551">
        <v>4.8887999999999998</v>
      </c>
    </row>
    <row r="887" spans="39:44" x14ac:dyDescent="0.3">
      <c r="AM887" s="550">
        <f t="shared" ca="1" si="66"/>
        <v>45068</v>
      </c>
      <c r="AN887" s="551">
        <v>197.92</v>
      </c>
      <c r="AO887" s="551">
        <v>2894415</v>
      </c>
      <c r="AP887" s="551">
        <v>610.25336000000004</v>
      </c>
      <c r="AQ887" s="551">
        <v>120781.3450112</v>
      </c>
      <c r="AR887" s="551">
        <v>4.8738000000000001</v>
      </c>
    </row>
    <row r="888" spans="39:44" x14ac:dyDescent="0.3">
      <c r="AM888" s="550">
        <f t="shared" ca="1" si="66"/>
        <v>45067</v>
      </c>
      <c r="AN888" s="551">
        <v>198.73</v>
      </c>
      <c r="AO888" s="551">
        <v>2315454</v>
      </c>
      <c r="AP888" s="551">
        <v>610.25336000000004</v>
      </c>
      <c r="AQ888" s="551">
        <v>121275.65023280001</v>
      </c>
      <c r="AR888" s="551">
        <v>4.8937999999999997</v>
      </c>
    </row>
    <row r="889" spans="39:44" x14ac:dyDescent="0.3">
      <c r="AM889" s="550">
        <f t="shared" ca="1" si="66"/>
        <v>45066</v>
      </c>
      <c r="AN889" s="551">
        <v>198.9</v>
      </c>
      <c r="AO889" s="551">
        <v>3597985</v>
      </c>
      <c r="AP889" s="551">
        <v>610.25336000000004</v>
      </c>
      <c r="AQ889" s="551">
        <v>121379.39330400001</v>
      </c>
      <c r="AR889" s="551">
        <v>4.8978999999999999</v>
      </c>
    </row>
    <row r="890" spans="39:44" x14ac:dyDescent="0.3">
      <c r="AM890" s="550">
        <f t="shared" ca="1" si="66"/>
        <v>45065</v>
      </c>
      <c r="AN890" s="551">
        <v>198.37</v>
      </c>
      <c r="AO890" s="551">
        <v>2401952</v>
      </c>
      <c r="AP890" s="551">
        <v>610.25336000000004</v>
      </c>
      <c r="AQ890" s="551">
        <v>121055.9590232</v>
      </c>
      <c r="AR890" s="551">
        <v>4.8849</v>
      </c>
    </row>
    <row r="891" spans="39:44" x14ac:dyDescent="0.3">
      <c r="AM891" s="550">
        <f t="shared" ca="1" si="66"/>
        <v>45064</v>
      </c>
      <c r="AN891" s="551">
        <v>198.64</v>
      </c>
      <c r="AO891" s="551">
        <v>3280101</v>
      </c>
      <c r="AP891" s="551">
        <v>610.25336000000004</v>
      </c>
      <c r="AQ891" s="551">
        <v>121220.7274304</v>
      </c>
      <c r="AR891" s="551">
        <v>4.8914999999999997</v>
      </c>
    </row>
    <row r="892" spans="39:44" x14ac:dyDescent="0.3">
      <c r="AM892" s="550">
        <f t="shared" ca="1" si="66"/>
        <v>45063</v>
      </c>
      <c r="AN892" s="551">
        <v>198.64</v>
      </c>
      <c r="AO892" s="551">
        <v>3280101</v>
      </c>
      <c r="AP892" s="551">
        <v>610.25336000000004</v>
      </c>
      <c r="AQ892" s="551">
        <v>121220.7274304</v>
      </c>
      <c r="AR892" s="551">
        <v>4.8914999999999997</v>
      </c>
    </row>
    <row r="893" spans="39:44" x14ac:dyDescent="0.3">
      <c r="AM893" s="550">
        <f t="shared" ca="1" si="66"/>
        <v>45062</v>
      </c>
      <c r="AN893" s="551">
        <v>198.64</v>
      </c>
      <c r="AO893" s="551">
        <v>3280101</v>
      </c>
      <c r="AP893" s="551">
        <v>610.25336000000004</v>
      </c>
      <c r="AQ893" s="551">
        <v>121220.7274304</v>
      </c>
      <c r="AR893" s="551">
        <v>4.8914999999999997</v>
      </c>
    </row>
    <row r="894" spans="39:44" x14ac:dyDescent="0.3">
      <c r="AM894" s="550">
        <f t="shared" ca="1" si="66"/>
        <v>45061</v>
      </c>
      <c r="AN894" s="551">
        <v>198.64</v>
      </c>
      <c r="AO894" s="551">
        <v>3280101</v>
      </c>
      <c r="AP894" s="551">
        <v>610.25336000000004</v>
      </c>
      <c r="AQ894" s="551">
        <v>121220.7274304</v>
      </c>
      <c r="AR894" s="551">
        <v>4.8914999999999997</v>
      </c>
    </row>
    <row r="895" spans="39:44" x14ac:dyDescent="0.3">
      <c r="AM895" s="550">
        <f t="shared" ca="1" si="66"/>
        <v>45060</v>
      </c>
      <c r="AN895" s="551">
        <v>194.21</v>
      </c>
      <c r="AO895" s="551">
        <v>2382265</v>
      </c>
      <c r="AP895" s="551">
        <v>611.87297999999998</v>
      </c>
      <c r="AQ895" s="551">
        <v>118831.8514458</v>
      </c>
      <c r="AR895" s="551">
        <v>4.7824999999999998</v>
      </c>
    </row>
    <row r="896" spans="39:44" x14ac:dyDescent="0.3">
      <c r="AM896" s="550">
        <f t="shared" ca="1" si="66"/>
        <v>45059</v>
      </c>
      <c r="AN896" s="551">
        <v>195.88</v>
      </c>
      <c r="AO896" s="551">
        <v>3556701</v>
      </c>
      <c r="AP896" s="551">
        <v>611.87297999999998</v>
      </c>
      <c r="AQ896" s="551">
        <v>119853.6793224</v>
      </c>
      <c r="AR896" s="551">
        <v>4.8235999999999999</v>
      </c>
    </row>
    <row r="897" spans="39:44" x14ac:dyDescent="0.3">
      <c r="AM897" s="550">
        <f t="shared" ca="1" si="66"/>
        <v>45058</v>
      </c>
      <c r="AN897" s="551">
        <v>199.54</v>
      </c>
      <c r="AO897" s="551">
        <v>1908433</v>
      </c>
      <c r="AP897" s="551">
        <v>611.87297999999998</v>
      </c>
      <c r="AQ897" s="551">
        <v>122093.13442919998</v>
      </c>
      <c r="AR897" s="551">
        <v>4.9137000000000004</v>
      </c>
    </row>
    <row r="898" spans="39:44" x14ac:dyDescent="0.3">
      <c r="AM898" s="550">
        <f t="shared" ca="1" si="66"/>
        <v>45057</v>
      </c>
      <c r="AN898" s="551">
        <v>201.26</v>
      </c>
      <c r="AO898" s="551">
        <v>3422593</v>
      </c>
      <c r="AP898" s="551">
        <v>611.87297999999998</v>
      </c>
      <c r="AQ898" s="551">
        <v>123145.55595479999</v>
      </c>
      <c r="AR898" s="551">
        <v>4.9561000000000002</v>
      </c>
    </row>
    <row r="899" spans="39:44" x14ac:dyDescent="0.3">
      <c r="AM899" s="550">
        <f t="shared" ca="1" si="66"/>
        <v>45056</v>
      </c>
      <c r="AN899" s="551">
        <v>201.26</v>
      </c>
      <c r="AO899" s="551">
        <v>3422593</v>
      </c>
      <c r="AP899" s="551">
        <v>611.87297999999998</v>
      </c>
      <c r="AQ899" s="551">
        <v>123145.55595479999</v>
      </c>
      <c r="AR899" s="551">
        <v>4.9561000000000002</v>
      </c>
    </row>
    <row r="900" spans="39:44" x14ac:dyDescent="0.3">
      <c r="AM900" s="550">
        <f t="shared" ca="1" si="66"/>
        <v>45055</v>
      </c>
      <c r="AN900" s="551">
        <v>201.26</v>
      </c>
      <c r="AO900" s="551">
        <v>3422593</v>
      </c>
      <c r="AP900" s="551">
        <v>611.87297999999998</v>
      </c>
      <c r="AQ900" s="551">
        <v>123145.55595479999</v>
      </c>
      <c r="AR900" s="551">
        <v>4.9561000000000002</v>
      </c>
    </row>
    <row r="901" spans="39:44" x14ac:dyDescent="0.3">
      <c r="AM901" s="550">
        <f t="shared" ref="AM901:AM964" ca="1" si="67">AM900-1</f>
        <v>45054</v>
      </c>
      <c r="AN901" s="551">
        <v>198.36</v>
      </c>
      <c r="AO901" s="551">
        <v>3050708</v>
      </c>
      <c r="AP901" s="551">
        <v>611.87297999999998</v>
      </c>
      <c r="AQ901" s="551">
        <v>121371.12431280001</v>
      </c>
      <c r="AR901" s="551">
        <v>4.9640000000000004</v>
      </c>
    </row>
    <row r="902" spans="39:44" x14ac:dyDescent="0.3">
      <c r="AM902" s="550">
        <f t="shared" ca="1" si="67"/>
        <v>45053</v>
      </c>
      <c r="AN902" s="551">
        <v>199.09</v>
      </c>
      <c r="AO902" s="551">
        <v>3152243</v>
      </c>
      <c r="AP902" s="551">
        <v>611.87297999999998</v>
      </c>
      <c r="AQ902" s="551">
        <v>121817.79158819999</v>
      </c>
      <c r="AR902" s="551">
        <v>4.9821999999999997</v>
      </c>
    </row>
    <row r="903" spans="39:44" x14ac:dyDescent="0.3">
      <c r="AM903" s="550">
        <f t="shared" ca="1" si="67"/>
        <v>45052</v>
      </c>
      <c r="AN903" s="551">
        <v>196.58</v>
      </c>
      <c r="AO903" s="551">
        <v>5635275</v>
      </c>
      <c r="AP903" s="551">
        <v>611.87297999999998</v>
      </c>
      <c r="AQ903" s="551">
        <v>120281.9904084</v>
      </c>
      <c r="AR903" s="551">
        <v>4.9194000000000004</v>
      </c>
    </row>
    <row r="904" spans="39:44" x14ac:dyDescent="0.3">
      <c r="AM904" s="550">
        <f t="shared" ca="1" si="67"/>
        <v>45051</v>
      </c>
      <c r="AN904" s="551">
        <v>193.23</v>
      </c>
      <c r="AO904" s="551">
        <v>3666756</v>
      </c>
      <c r="AP904" s="551">
        <v>611.87297999999998</v>
      </c>
      <c r="AQ904" s="551">
        <v>118232.21592539999</v>
      </c>
      <c r="AR904" s="551">
        <v>4.8356000000000003</v>
      </c>
    </row>
    <row r="905" spans="39:44" x14ac:dyDescent="0.3">
      <c r="AM905" s="550">
        <f t="shared" ca="1" si="67"/>
        <v>45050</v>
      </c>
      <c r="AN905" s="551">
        <v>188.51</v>
      </c>
      <c r="AO905" s="551">
        <v>4263667</v>
      </c>
      <c r="AP905" s="551">
        <v>611.87297999999998</v>
      </c>
      <c r="AQ905" s="551">
        <v>115344.1754598</v>
      </c>
      <c r="AR905" s="551">
        <v>4.7175000000000002</v>
      </c>
    </row>
    <row r="906" spans="39:44" x14ac:dyDescent="0.3">
      <c r="AM906" s="550">
        <f t="shared" ca="1" si="67"/>
        <v>45049</v>
      </c>
      <c r="AN906" s="551">
        <v>188.51</v>
      </c>
      <c r="AO906" s="551">
        <v>4263667</v>
      </c>
      <c r="AP906" s="551">
        <v>611.87297999999998</v>
      </c>
      <c r="AQ906" s="551">
        <v>115344.1754598</v>
      </c>
      <c r="AR906" s="551">
        <v>4.7175000000000002</v>
      </c>
    </row>
    <row r="907" spans="39:44" x14ac:dyDescent="0.3">
      <c r="AM907" s="550">
        <f t="shared" ca="1" si="67"/>
        <v>45048</v>
      </c>
      <c r="AN907" s="551">
        <v>188.51</v>
      </c>
      <c r="AO907" s="551">
        <v>4263667</v>
      </c>
      <c r="AP907" s="551">
        <v>611.87297999999998</v>
      </c>
      <c r="AQ907" s="551">
        <v>115344.1754598</v>
      </c>
      <c r="AR907" s="551">
        <v>4.7175000000000002</v>
      </c>
    </row>
    <row r="908" spans="39:44" x14ac:dyDescent="0.3">
      <c r="AM908" s="550">
        <f t="shared" ca="1" si="67"/>
        <v>45047</v>
      </c>
      <c r="AN908" s="551">
        <v>186.2</v>
      </c>
      <c r="AO908" s="551">
        <v>3854882</v>
      </c>
      <c r="AP908" s="551">
        <v>611.87297999999998</v>
      </c>
      <c r="AQ908" s="551">
        <v>113930.74887599998</v>
      </c>
      <c r="AR908" s="551">
        <v>4.6597</v>
      </c>
    </row>
    <row r="909" spans="39:44" x14ac:dyDescent="0.3">
      <c r="AM909" s="550">
        <f t="shared" ca="1" si="67"/>
        <v>45046</v>
      </c>
      <c r="AN909" s="551">
        <v>185.72</v>
      </c>
      <c r="AO909" s="551">
        <v>3325512</v>
      </c>
      <c r="AP909" s="551">
        <v>611.87297999999998</v>
      </c>
      <c r="AQ909" s="551">
        <v>113637.04984559999</v>
      </c>
      <c r="AR909" s="551">
        <v>4.6475999999999997</v>
      </c>
    </row>
    <row r="910" spans="39:44" x14ac:dyDescent="0.3">
      <c r="AM910" s="550">
        <f t="shared" ca="1" si="67"/>
        <v>45045</v>
      </c>
      <c r="AN910" s="551">
        <v>189.54</v>
      </c>
      <c r="AO910" s="551">
        <v>3339047</v>
      </c>
      <c r="AP910" s="551">
        <v>611.87297999999998</v>
      </c>
      <c r="AQ910" s="551">
        <v>115974.4046292</v>
      </c>
      <c r="AR910" s="551">
        <v>4.7431999999999999</v>
      </c>
    </row>
    <row r="911" spans="39:44" x14ac:dyDescent="0.3">
      <c r="AM911" s="550">
        <f t="shared" ca="1" si="67"/>
        <v>45044</v>
      </c>
      <c r="AN911" s="551">
        <v>189.69</v>
      </c>
      <c r="AO911" s="551">
        <v>2956844</v>
      </c>
      <c r="AP911" s="551">
        <v>611.87297999999998</v>
      </c>
      <c r="AQ911" s="551">
        <v>116066.18557619999</v>
      </c>
      <c r="AR911" s="551">
        <v>4.7469999999999999</v>
      </c>
    </row>
    <row r="912" spans="39:44" x14ac:dyDescent="0.3">
      <c r="AM912" s="550">
        <f t="shared" ca="1" si="67"/>
        <v>45043</v>
      </c>
      <c r="AN912" s="551">
        <v>190.01</v>
      </c>
      <c r="AO912" s="551">
        <v>11852820</v>
      </c>
      <c r="AP912" s="551">
        <v>611.87297999999998</v>
      </c>
      <c r="AQ912" s="551">
        <v>116261.98492979999</v>
      </c>
      <c r="AR912" s="551">
        <v>4.7549999999999999</v>
      </c>
    </row>
    <row r="913" spans="39:44" x14ac:dyDescent="0.3">
      <c r="AM913" s="550">
        <f t="shared" ca="1" si="67"/>
        <v>45042</v>
      </c>
      <c r="AN913" s="551">
        <v>190.01</v>
      </c>
      <c r="AO913" s="551">
        <v>11852820</v>
      </c>
      <c r="AP913" s="551">
        <v>611.87297999999998</v>
      </c>
      <c r="AQ913" s="551">
        <v>116261.98492979999</v>
      </c>
      <c r="AR913" s="551">
        <v>4.7549999999999999</v>
      </c>
    </row>
    <row r="914" spans="39:44" x14ac:dyDescent="0.3">
      <c r="AM914" s="550">
        <f t="shared" ca="1" si="67"/>
        <v>45041</v>
      </c>
      <c r="AN914" s="551">
        <v>190.01</v>
      </c>
      <c r="AO914" s="551">
        <v>11852820</v>
      </c>
      <c r="AP914" s="551">
        <v>611.87297999999998</v>
      </c>
      <c r="AQ914" s="551">
        <v>116261.98492979999</v>
      </c>
      <c r="AR914" s="551">
        <v>4.7549999999999999</v>
      </c>
    </row>
    <row r="915" spans="39:44" x14ac:dyDescent="0.3">
      <c r="AM915" s="550">
        <f t="shared" ca="1" si="67"/>
        <v>45040</v>
      </c>
      <c r="AN915" s="551">
        <v>192.91</v>
      </c>
      <c r="AO915" s="551">
        <v>6357226</v>
      </c>
      <c r="AP915" s="551">
        <v>611.87297999999998</v>
      </c>
      <c r="AQ915" s="551">
        <v>118036.4165718</v>
      </c>
      <c r="AR915" s="551">
        <v>4.8276000000000003</v>
      </c>
    </row>
    <row r="916" spans="39:44" x14ac:dyDescent="0.3">
      <c r="AM916" s="550">
        <f t="shared" ca="1" si="67"/>
        <v>45039</v>
      </c>
      <c r="AN916" s="551">
        <v>192.04</v>
      </c>
      <c r="AO916" s="551">
        <v>5749675</v>
      </c>
      <c r="AP916" s="551">
        <v>611.87297999999998</v>
      </c>
      <c r="AQ916" s="551">
        <v>117504.08707919999</v>
      </c>
      <c r="AR916" s="551">
        <v>4.8057999999999996</v>
      </c>
    </row>
    <row r="917" spans="39:44" x14ac:dyDescent="0.3">
      <c r="AM917" s="550">
        <f t="shared" ca="1" si="67"/>
        <v>45038</v>
      </c>
      <c r="AN917" s="551">
        <v>195.15</v>
      </c>
      <c r="AO917" s="551">
        <v>3168876</v>
      </c>
      <c r="AP917" s="551">
        <v>611.87297999999998</v>
      </c>
      <c r="AQ917" s="551">
        <v>119407.012047</v>
      </c>
      <c r="AR917" s="551">
        <v>4.8836000000000004</v>
      </c>
    </row>
    <row r="918" spans="39:44" x14ac:dyDescent="0.3">
      <c r="AM918" s="550">
        <f t="shared" ca="1" si="67"/>
        <v>45037</v>
      </c>
      <c r="AN918" s="551">
        <v>195.1</v>
      </c>
      <c r="AO918" s="551">
        <v>2774713</v>
      </c>
      <c r="AP918" s="551">
        <v>611.87297999999998</v>
      </c>
      <c r="AQ918" s="551">
        <v>119376.41839799999</v>
      </c>
      <c r="AR918" s="551">
        <v>4.8823999999999996</v>
      </c>
    </row>
    <row r="919" spans="39:44" x14ac:dyDescent="0.3">
      <c r="AM919" s="550">
        <f t="shared" ca="1" si="67"/>
        <v>45036</v>
      </c>
      <c r="AN919" s="551">
        <v>196.06</v>
      </c>
      <c r="AO919" s="551">
        <v>3909532</v>
      </c>
      <c r="AP919" s="551">
        <v>611.87297999999998</v>
      </c>
      <c r="AQ919" s="551">
        <v>119963.81645879999</v>
      </c>
      <c r="AR919" s="551">
        <v>4.9063999999999997</v>
      </c>
    </row>
    <row r="920" spans="39:44" x14ac:dyDescent="0.3">
      <c r="AM920" s="550">
        <f t="shared" ca="1" si="67"/>
        <v>45035</v>
      </c>
      <c r="AN920" s="551">
        <v>196.06</v>
      </c>
      <c r="AO920" s="551">
        <v>3909532</v>
      </c>
      <c r="AP920" s="551">
        <v>611.87297999999998</v>
      </c>
      <c r="AQ920" s="551">
        <v>119963.81645879999</v>
      </c>
      <c r="AR920" s="551">
        <v>4.9063999999999997</v>
      </c>
    </row>
    <row r="921" spans="39:44" x14ac:dyDescent="0.3">
      <c r="AM921" s="550">
        <f t="shared" ca="1" si="67"/>
        <v>45034</v>
      </c>
      <c r="AN921" s="551">
        <v>196.06</v>
      </c>
      <c r="AO921" s="551">
        <v>3909532</v>
      </c>
      <c r="AP921" s="551">
        <v>611.87297999999998</v>
      </c>
      <c r="AQ921" s="551">
        <v>119963.81645879999</v>
      </c>
      <c r="AR921" s="551">
        <v>4.9063999999999997</v>
      </c>
    </row>
    <row r="922" spans="39:44" x14ac:dyDescent="0.3">
      <c r="AM922" s="550">
        <f t="shared" ca="1" si="67"/>
        <v>45033</v>
      </c>
      <c r="AN922" s="551">
        <v>199.57</v>
      </c>
      <c r="AO922" s="551">
        <v>3342106</v>
      </c>
      <c r="AP922" s="551">
        <v>611.87297999999998</v>
      </c>
      <c r="AQ922" s="551">
        <v>122111.49061859999</v>
      </c>
      <c r="AR922" s="551">
        <v>4.9942000000000002</v>
      </c>
    </row>
    <row r="923" spans="39:44" x14ac:dyDescent="0.3">
      <c r="AM923" s="550">
        <f t="shared" ca="1" si="67"/>
        <v>45032</v>
      </c>
      <c r="AN923" s="551">
        <v>203.57</v>
      </c>
      <c r="AO923" s="551">
        <v>2980839</v>
      </c>
      <c r="AP923" s="551">
        <v>611.87297999999998</v>
      </c>
      <c r="AQ923" s="551">
        <v>124558.98253859999</v>
      </c>
      <c r="AR923" s="551">
        <v>5.0942999999999996</v>
      </c>
    </row>
    <row r="924" spans="39:44" x14ac:dyDescent="0.3">
      <c r="AM924" s="550">
        <f t="shared" ca="1" si="67"/>
        <v>45031</v>
      </c>
      <c r="AN924" s="551">
        <v>205.4</v>
      </c>
      <c r="AO924" s="551">
        <v>3897988</v>
      </c>
      <c r="AP924" s="551">
        <v>611.87297999999998</v>
      </c>
      <c r="AQ924" s="551">
        <v>125678.71009199999</v>
      </c>
      <c r="AR924" s="551">
        <v>5.1401000000000003</v>
      </c>
    </row>
    <row r="925" spans="39:44" x14ac:dyDescent="0.3">
      <c r="AM925" s="550">
        <f t="shared" ca="1" si="67"/>
        <v>45030</v>
      </c>
      <c r="AN925" s="551">
        <v>208.83</v>
      </c>
      <c r="AO925" s="551">
        <v>2300367</v>
      </c>
      <c r="AP925" s="551">
        <v>611.87297999999998</v>
      </c>
      <c r="AQ925" s="551">
        <v>127777.4344134</v>
      </c>
      <c r="AR925" s="551">
        <v>5.226</v>
      </c>
    </row>
    <row r="926" spans="39:44" x14ac:dyDescent="0.3">
      <c r="AM926" s="550">
        <f t="shared" ca="1" si="67"/>
        <v>45029</v>
      </c>
      <c r="AN926" s="551">
        <v>209.36</v>
      </c>
      <c r="AO926" s="551">
        <v>3665921</v>
      </c>
      <c r="AP926" s="551">
        <v>611.87297999999998</v>
      </c>
      <c r="AQ926" s="551">
        <v>128101.72709280001</v>
      </c>
      <c r="AR926" s="551">
        <v>5.2392000000000003</v>
      </c>
    </row>
    <row r="927" spans="39:44" x14ac:dyDescent="0.3">
      <c r="AM927" s="550">
        <f t="shared" ca="1" si="67"/>
        <v>45028</v>
      </c>
      <c r="AN927" s="551">
        <v>209.36</v>
      </c>
      <c r="AO927" s="551">
        <v>3665921</v>
      </c>
      <c r="AP927" s="551">
        <v>611.87297999999998</v>
      </c>
      <c r="AQ927" s="551">
        <v>128101.72709280001</v>
      </c>
      <c r="AR927" s="551">
        <v>5.2392000000000003</v>
      </c>
    </row>
    <row r="928" spans="39:44" x14ac:dyDescent="0.3">
      <c r="AM928" s="550">
        <f t="shared" ca="1" si="67"/>
        <v>45027</v>
      </c>
      <c r="AN928" s="551">
        <v>209.36</v>
      </c>
      <c r="AO928" s="551">
        <v>3665921</v>
      </c>
      <c r="AP928" s="551">
        <v>611.87297999999998</v>
      </c>
      <c r="AQ928" s="551">
        <v>128101.72709280001</v>
      </c>
      <c r="AR928" s="551">
        <v>5.2392000000000003</v>
      </c>
    </row>
    <row r="929" spans="39:44" x14ac:dyDescent="0.3">
      <c r="AM929" s="550">
        <f t="shared" ca="1" si="67"/>
        <v>45026</v>
      </c>
      <c r="AN929" s="551">
        <v>211.36</v>
      </c>
      <c r="AO929" s="551">
        <v>2813075</v>
      </c>
      <c r="AP929" s="551">
        <v>611.87297999999998</v>
      </c>
      <c r="AQ929" s="551">
        <v>129325.47305280001</v>
      </c>
      <c r="AR929" s="551">
        <v>5.2892999999999999</v>
      </c>
    </row>
    <row r="930" spans="39:44" x14ac:dyDescent="0.3">
      <c r="AM930" s="550">
        <f t="shared" ca="1" si="67"/>
        <v>45025</v>
      </c>
      <c r="AN930" s="551">
        <v>207.99</v>
      </c>
      <c r="AO930" s="551">
        <v>2775151</v>
      </c>
      <c r="AP930" s="551">
        <v>611.87297999999998</v>
      </c>
      <c r="AQ930" s="551">
        <v>127263.46111020001</v>
      </c>
      <c r="AR930" s="551">
        <v>5.2050000000000001</v>
      </c>
    </row>
    <row r="931" spans="39:44" x14ac:dyDescent="0.3">
      <c r="AM931" s="550">
        <f t="shared" ca="1" si="67"/>
        <v>45024</v>
      </c>
      <c r="AN931" s="551">
        <v>207.28</v>
      </c>
      <c r="AO931" s="551">
        <v>6091169</v>
      </c>
      <c r="AP931" s="551">
        <v>611.87297999999998</v>
      </c>
      <c r="AQ931" s="551">
        <v>126829.0312944</v>
      </c>
      <c r="AR931" s="551">
        <v>5.1871999999999998</v>
      </c>
    </row>
    <row r="932" spans="39:44" x14ac:dyDescent="0.3">
      <c r="AM932" s="550">
        <f t="shared" ca="1" si="67"/>
        <v>45023</v>
      </c>
      <c r="AN932" s="551">
        <v>212.17</v>
      </c>
      <c r="AO932" s="551">
        <v>12140437</v>
      </c>
      <c r="AP932" s="551">
        <v>611.87297999999998</v>
      </c>
      <c r="AQ932" s="551">
        <v>129821.09016659998</v>
      </c>
      <c r="AR932" s="551">
        <v>5.3095999999999997</v>
      </c>
    </row>
    <row r="933" spans="39:44" x14ac:dyDescent="0.3">
      <c r="AM933" s="550">
        <f t="shared" ca="1" si="67"/>
        <v>45022</v>
      </c>
      <c r="AN933" s="551">
        <v>194.02</v>
      </c>
      <c r="AO933" s="551">
        <v>3371368</v>
      </c>
      <c r="AP933" s="551">
        <v>611.87297999999998</v>
      </c>
      <c r="AQ933" s="551">
        <v>118715.59557960001</v>
      </c>
      <c r="AR933" s="551">
        <v>4.8554000000000004</v>
      </c>
    </row>
    <row r="934" spans="39:44" x14ac:dyDescent="0.3">
      <c r="AM934" s="550">
        <f t="shared" ca="1" si="67"/>
        <v>45021</v>
      </c>
      <c r="AN934" s="551">
        <v>194.02</v>
      </c>
      <c r="AO934" s="551">
        <v>3371368</v>
      </c>
      <c r="AP934" s="551">
        <v>611.87297999999998</v>
      </c>
      <c r="AQ934" s="551">
        <v>118715.59557960001</v>
      </c>
      <c r="AR934" s="551">
        <v>4.8554000000000004</v>
      </c>
    </row>
    <row r="935" spans="39:44" x14ac:dyDescent="0.3">
      <c r="AM935" s="550">
        <f t="shared" ca="1" si="67"/>
        <v>45020</v>
      </c>
      <c r="AN935" s="551">
        <v>194.02</v>
      </c>
      <c r="AO935" s="551">
        <v>3371368</v>
      </c>
      <c r="AP935" s="551">
        <v>611.87297999999998</v>
      </c>
      <c r="AQ935" s="551">
        <v>118715.59557960001</v>
      </c>
      <c r="AR935" s="551">
        <v>4.8554000000000004</v>
      </c>
    </row>
    <row r="936" spans="39:44" x14ac:dyDescent="0.3">
      <c r="AM936" s="550">
        <f t="shared" ca="1" si="67"/>
        <v>45019</v>
      </c>
      <c r="AN936" s="551">
        <v>193.32</v>
      </c>
      <c r="AO936" s="551">
        <v>3125450</v>
      </c>
      <c r="AP936" s="551">
        <v>611.87297999999998</v>
      </c>
      <c r="AQ936" s="551">
        <v>118287.28449359999</v>
      </c>
      <c r="AR936" s="551">
        <v>4.8377999999999997</v>
      </c>
    </row>
    <row r="937" spans="39:44" x14ac:dyDescent="0.3">
      <c r="AM937" s="550">
        <f t="shared" ca="1" si="67"/>
        <v>45018</v>
      </c>
      <c r="AN937" s="551">
        <v>191.38</v>
      </c>
      <c r="AO937" s="551">
        <v>5815964</v>
      </c>
      <c r="AP937" s="551">
        <v>611.87297999999998</v>
      </c>
      <c r="AQ937" s="551">
        <v>117100.25091239999</v>
      </c>
      <c r="AR937" s="551">
        <v>4.7892999999999999</v>
      </c>
    </row>
    <row r="938" spans="39:44" x14ac:dyDescent="0.3">
      <c r="AM938" s="550">
        <f t="shared" ca="1" si="67"/>
        <v>45017</v>
      </c>
      <c r="AN938" s="551">
        <v>193.75</v>
      </c>
      <c r="AO938" s="551">
        <v>4462390</v>
      </c>
      <c r="AP938" s="551">
        <v>611.87297999999998</v>
      </c>
      <c r="AQ938" s="551">
        <v>118550.38987499999</v>
      </c>
      <c r="AR938" s="551">
        <v>4.8486000000000002</v>
      </c>
    </row>
    <row r="939" spans="39:44" x14ac:dyDescent="0.3">
      <c r="AM939" s="550">
        <f t="shared" ca="1" si="67"/>
        <v>45016</v>
      </c>
      <c r="AN939" s="551">
        <v>201.59</v>
      </c>
      <c r="AO939" s="551">
        <v>7063859</v>
      </c>
      <c r="AP939" s="551">
        <v>611.87297999999998</v>
      </c>
      <c r="AQ939" s="551">
        <v>123347.4740382</v>
      </c>
      <c r="AR939" s="551">
        <v>5.0448000000000004</v>
      </c>
    </row>
    <row r="940" spans="39:44" x14ac:dyDescent="0.3">
      <c r="AM940" s="550">
        <f t="shared" ca="1" si="67"/>
        <v>45015</v>
      </c>
      <c r="AN940" s="551">
        <v>201.59</v>
      </c>
      <c r="AO940" s="551">
        <v>7063859</v>
      </c>
      <c r="AP940" s="551">
        <v>611.87297999999998</v>
      </c>
      <c r="AQ940" s="551">
        <v>123347.4740382</v>
      </c>
      <c r="AR940" s="551">
        <v>5.0448000000000004</v>
      </c>
    </row>
    <row r="941" spans="39:44" x14ac:dyDescent="0.3">
      <c r="AM941" s="550">
        <f t="shared" ca="1" si="67"/>
        <v>45014</v>
      </c>
      <c r="AN941" s="551">
        <v>201.59</v>
      </c>
      <c r="AO941" s="551">
        <v>7063859</v>
      </c>
      <c r="AP941" s="551">
        <v>611.87297999999998</v>
      </c>
      <c r="AQ941" s="551">
        <v>123347.4740382</v>
      </c>
      <c r="AR941" s="551">
        <v>5.0448000000000004</v>
      </c>
    </row>
    <row r="942" spans="39:44" x14ac:dyDescent="0.3">
      <c r="AM942" s="550">
        <f t="shared" ca="1" si="67"/>
        <v>45013</v>
      </c>
      <c r="AN942" s="551">
        <v>201.59</v>
      </c>
      <c r="AO942" s="551">
        <v>7063859</v>
      </c>
      <c r="AP942" s="551">
        <v>611.87297999999998</v>
      </c>
      <c r="AQ942" s="551">
        <v>123347.4740382</v>
      </c>
      <c r="AR942" s="551">
        <v>5.0448000000000004</v>
      </c>
    </row>
    <row r="943" spans="39:44" x14ac:dyDescent="0.3">
      <c r="AM943" s="550">
        <f t="shared" ca="1" si="67"/>
        <v>45012</v>
      </c>
      <c r="AN943" s="551">
        <v>200.52</v>
      </c>
      <c r="AO943" s="551">
        <v>3375082</v>
      </c>
      <c r="AP943" s="551">
        <v>611.87297999999998</v>
      </c>
      <c r="AQ943" s="551">
        <v>122692.7699496</v>
      </c>
      <c r="AR943" s="551">
        <v>5.0179999999999998</v>
      </c>
    </row>
    <row r="944" spans="39:44" x14ac:dyDescent="0.3">
      <c r="AM944" s="550">
        <f t="shared" ca="1" si="67"/>
        <v>45011</v>
      </c>
      <c r="AN944" s="551">
        <v>203.11</v>
      </c>
      <c r="AO944" s="551">
        <v>2880025</v>
      </c>
      <c r="AP944" s="551">
        <v>611.87297999999998</v>
      </c>
      <c r="AQ944" s="551">
        <v>124277.52096780001</v>
      </c>
      <c r="AR944" s="551">
        <v>5.0827999999999998</v>
      </c>
    </row>
    <row r="945" spans="39:44" x14ac:dyDescent="0.3">
      <c r="AM945" s="550">
        <f t="shared" ca="1" si="67"/>
        <v>45010</v>
      </c>
      <c r="AN945" s="551">
        <v>204.03</v>
      </c>
      <c r="AO945" s="551">
        <v>2174728</v>
      </c>
      <c r="AP945" s="551">
        <v>611.87297999999998</v>
      </c>
      <c r="AQ945" s="551">
        <v>124840.44410939999</v>
      </c>
      <c r="AR945" s="551">
        <v>5.1059000000000001</v>
      </c>
    </row>
    <row r="946" spans="39:44" x14ac:dyDescent="0.3">
      <c r="AM946" s="550">
        <f t="shared" ca="1" si="67"/>
        <v>45009</v>
      </c>
      <c r="AN946" s="551">
        <v>206.05</v>
      </c>
      <c r="AO946" s="551">
        <v>4095466</v>
      </c>
      <c r="AP946" s="551">
        <v>611.87297999999998</v>
      </c>
      <c r="AQ946" s="551">
        <v>126076.42752900001</v>
      </c>
      <c r="AR946" s="551">
        <v>5.1563999999999997</v>
      </c>
    </row>
    <row r="947" spans="39:44" x14ac:dyDescent="0.3">
      <c r="AM947" s="550">
        <f t="shared" ca="1" si="67"/>
        <v>45008</v>
      </c>
      <c r="AN947" s="551">
        <v>205.5</v>
      </c>
      <c r="AO947" s="551">
        <v>2599968</v>
      </c>
      <c r="AP947" s="551">
        <v>611.87297999999998</v>
      </c>
      <c r="AQ947" s="551">
        <v>125739.89739</v>
      </c>
      <c r="AR947" s="551">
        <v>5.1425999999999998</v>
      </c>
    </row>
    <row r="948" spans="39:44" x14ac:dyDescent="0.3">
      <c r="AM948" s="550">
        <f t="shared" ca="1" si="67"/>
        <v>45007</v>
      </c>
      <c r="AN948" s="551">
        <v>205.5</v>
      </c>
      <c r="AO948" s="551">
        <v>2599968</v>
      </c>
      <c r="AP948" s="551">
        <v>611.87297999999998</v>
      </c>
      <c r="AQ948" s="551">
        <v>125739.89739</v>
      </c>
      <c r="AR948" s="551">
        <v>5.1425999999999998</v>
      </c>
    </row>
    <row r="949" spans="39:44" x14ac:dyDescent="0.3">
      <c r="AM949" s="550">
        <f t="shared" ca="1" si="67"/>
        <v>45006</v>
      </c>
      <c r="AN949" s="551">
        <v>205.5</v>
      </c>
      <c r="AO949" s="551">
        <v>2599968</v>
      </c>
      <c r="AP949" s="551">
        <v>611.87297999999998</v>
      </c>
      <c r="AQ949" s="551">
        <v>125739.89739</v>
      </c>
      <c r="AR949" s="551">
        <v>5.1425999999999998</v>
      </c>
    </row>
    <row r="950" spans="39:44" x14ac:dyDescent="0.3">
      <c r="AM950" s="550">
        <f t="shared" ca="1" si="67"/>
        <v>45005</v>
      </c>
      <c r="AN950" s="551">
        <v>202.81</v>
      </c>
      <c r="AO950" s="551">
        <v>2989953</v>
      </c>
      <c r="AP950" s="551">
        <v>614.80079999999998</v>
      </c>
      <c r="AQ950" s="551">
        <v>124687.750248</v>
      </c>
      <c r="AR950" s="551">
        <v>5.0753000000000004</v>
      </c>
    </row>
    <row r="951" spans="39:44" x14ac:dyDescent="0.3">
      <c r="AM951" s="550">
        <f t="shared" ca="1" si="67"/>
        <v>45004</v>
      </c>
      <c r="AN951" s="551">
        <v>207.14</v>
      </c>
      <c r="AO951" s="551">
        <v>1805093</v>
      </c>
      <c r="AP951" s="551">
        <v>614.80079999999998</v>
      </c>
      <c r="AQ951" s="551">
        <v>127349.83771199999</v>
      </c>
      <c r="AR951" s="551">
        <v>5.1837</v>
      </c>
    </row>
    <row r="952" spans="39:44" x14ac:dyDescent="0.3">
      <c r="AM952" s="550">
        <f t="shared" ca="1" si="67"/>
        <v>45003</v>
      </c>
      <c r="AN952" s="551">
        <v>209.04</v>
      </c>
      <c r="AO952" s="551">
        <v>2067646</v>
      </c>
      <c r="AP952" s="551">
        <v>614.80079999999998</v>
      </c>
      <c r="AQ952" s="551">
        <v>128517.95923199999</v>
      </c>
      <c r="AR952" s="551">
        <v>5.2312000000000003</v>
      </c>
    </row>
    <row r="953" spans="39:44" x14ac:dyDescent="0.3">
      <c r="AM953" s="550">
        <f t="shared" ca="1" si="67"/>
        <v>45002</v>
      </c>
      <c r="AN953" s="551">
        <v>208.96</v>
      </c>
      <c r="AO953" s="551">
        <v>1665617</v>
      </c>
      <c r="AP953" s="551">
        <v>614.80079999999998</v>
      </c>
      <c r="AQ953" s="551">
        <v>128468.77516800001</v>
      </c>
      <c r="AR953" s="551">
        <v>5.2291999999999996</v>
      </c>
    </row>
    <row r="954" spans="39:44" x14ac:dyDescent="0.3">
      <c r="AM954" s="550">
        <f t="shared" ca="1" si="67"/>
        <v>45001</v>
      </c>
      <c r="AN954" s="551">
        <v>210.29</v>
      </c>
      <c r="AO954" s="551">
        <v>2142139</v>
      </c>
      <c r="AP954" s="551">
        <v>614.80079999999998</v>
      </c>
      <c r="AQ954" s="551">
        <v>129286.460232</v>
      </c>
      <c r="AR954" s="551">
        <v>5.2625000000000002</v>
      </c>
    </row>
    <row r="955" spans="39:44" x14ac:dyDescent="0.3">
      <c r="AM955" s="550">
        <f t="shared" ca="1" si="67"/>
        <v>45000</v>
      </c>
      <c r="AN955" s="551">
        <v>210.29</v>
      </c>
      <c r="AO955" s="551">
        <v>2142139</v>
      </c>
      <c r="AP955" s="551">
        <v>614.80079999999998</v>
      </c>
      <c r="AQ955" s="551">
        <v>129286.460232</v>
      </c>
      <c r="AR955" s="551">
        <v>5.2625000000000002</v>
      </c>
    </row>
    <row r="956" spans="39:44" x14ac:dyDescent="0.3">
      <c r="AM956" s="550">
        <f t="shared" ca="1" si="67"/>
        <v>44999</v>
      </c>
      <c r="AN956" s="551">
        <v>210.29</v>
      </c>
      <c r="AO956" s="551">
        <v>2142139</v>
      </c>
      <c r="AP956" s="551">
        <v>614.80079999999998</v>
      </c>
      <c r="AQ956" s="551">
        <v>129286.460232</v>
      </c>
      <c r="AR956" s="551">
        <v>5.2625000000000002</v>
      </c>
    </row>
    <row r="957" spans="39:44" x14ac:dyDescent="0.3">
      <c r="AM957" s="550">
        <f t="shared" ca="1" si="67"/>
        <v>44998</v>
      </c>
      <c r="AN957" s="551">
        <v>213.41</v>
      </c>
      <c r="AO957" s="551">
        <v>3445976</v>
      </c>
      <c r="AP957" s="551">
        <v>614.80079999999998</v>
      </c>
      <c r="AQ957" s="551">
        <v>131204.63872799999</v>
      </c>
      <c r="AR957" s="551">
        <v>5.3406000000000002</v>
      </c>
    </row>
    <row r="958" spans="39:44" x14ac:dyDescent="0.3">
      <c r="AM958" s="550">
        <f t="shared" ca="1" si="67"/>
        <v>44997</v>
      </c>
      <c r="AN958" s="551">
        <v>207.93</v>
      </c>
      <c r="AO958" s="551">
        <v>3080126</v>
      </c>
      <c r="AP958" s="551">
        <v>614.80079999999998</v>
      </c>
      <c r="AQ958" s="551">
        <v>127835.530344</v>
      </c>
      <c r="AR958" s="551">
        <v>5.2035</v>
      </c>
    </row>
    <row r="959" spans="39:44" x14ac:dyDescent="0.3">
      <c r="AM959" s="550">
        <f t="shared" ca="1" si="67"/>
        <v>44996</v>
      </c>
      <c r="AN959" s="551">
        <v>204.19</v>
      </c>
      <c r="AO959" s="551">
        <v>2958732</v>
      </c>
      <c r="AP959" s="551">
        <v>614.80079999999998</v>
      </c>
      <c r="AQ959" s="551">
        <v>125536.17535199999</v>
      </c>
      <c r="AR959" s="551">
        <v>5.1098999999999997</v>
      </c>
    </row>
    <row r="960" spans="39:44" x14ac:dyDescent="0.3">
      <c r="AM960" s="550">
        <f t="shared" ca="1" si="67"/>
        <v>44995</v>
      </c>
      <c r="AN960" s="551">
        <v>200.2</v>
      </c>
      <c r="AO960" s="551">
        <v>2617604</v>
      </c>
      <c r="AP960" s="551">
        <v>614.80079999999998</v>
      </c>
      <c r="AQ960" s="551">
        <v>123083.12015999999</v>
      </c>
      <c r="AR960" s="551">
        <v>5.01</v>
      </c>
    </row>
    <row r="961" spans="39:44" x14ac:dyDescent="0.3">
      <c r="AM961" s="550">
        <f t="shared" ca="1" si="67"/>
        <v>44994</v>
      </c>
      <c r="AN961" s="551">
        <v>202.39</v>
      </c>
      <c r="AO961" s="551">
        <v>3429453</v>
      </c>
      <c r="AP961" s="551">
        <v>614.80079999999998</v>
      </c>
      <c r="AQ961" s="551">
        <v>124429.53391199998</v>
      </c>
      <c r="AR961" s="551">
        <v>5.0648</v>
      </c>
    </row>
    <row r="962" spans="39:44" x14ac:dyDescent="0.3">
      <c r="AM962" s="550">
        <f t="shared" ca="1" si="67"/>
        <v>44993</v>
      </c>
      <c r="AN962" s="551">
        <v>202.39</v>
      </c>
      <c r="AO962" s="551">
        <v>3429453</v>
      </c>
      <c r="AP962" s="551">
        <v>614.80079999999998</v>
      </c>
      <c r="AQ962" s="551">
        <v>124429.53391199998</v>
      </c>
      <c r="AR962" s="551">
        <v>5.0648</v>
      </c>
    </row>
    <row r="963" spans="39:44" x14ac:dyDescent="0.3">
      <c r="AM963" s="550">
        <f t="shared" ca="1" si="67"/>
        <v>44992</v>
      </c>
      <c r="AN963" s="551">
        <v>202.39</v>
      </c>
      <c r="AO963" s="551">
        <v>3429453</v>
      </c>
      <c r="AP963" s="551">
        <v>614.80079999999998</v>
      </c>
      <c r="AQ963" s="551">
        <v>124429.53391199998</v>
      </c>
      <c r="AR963" s="551">
        <v>5.0648</v>
      </c>
    </row>
    <row r="964" spans="39:44" x14ac:dyDescent="0.3">
      <c r="AM964" s="550">
        <f t="shared" ca="1" si="67"/>
        <v>44991</v>
      </c>
      <c r="AN964" s="551">
        <v>201.48</v>
      </c>
      <c r="AO964" s="551">
        <v>4207024</v>
      </c>
      <c r="AP964" s="551">
        <v>614.80079999999998</v>
      </c>
      <c r="AQ964" s="551">
        <v>123870.06518399999</v>
      </c>
      <c r="AR964" s="551">
        <v>5.0419999999999998</v>
      </c>
    </row>
    <row r="965" spans="39:44" x14ac:dyDescent="0.3">
      <c r="AM965" s="550">
        <f t="shared" ref="AM965:AM1028" ca="1" si="68">AM964-1</f>
        <v>44990</v>
      </c>
      <c r="AN965" s="551">
        <v>200.12</v>
      </c>
      <c r="AO965" s="551">
        <v>4163884</v>
      </c>
      <c r="AP965" s="551">
        <v>614.80079999999998</v>
      </c>
      <c r="AQ965" s="551">
        <v>123033.936096</v>
      </c>
      <c r="AR965" s="551">
        <v>5.008</v>
      </c>
    </row>
    <row r="966" spans="39:44" x14ac:dyDescent="0.3">
      <c r="AM966" s="550">
        <f t="shared" ca="1" si="68"/>
        <v>44989</v>
      </c>
      <c r="AN966" s="551">
        <v>203.18</v>
      </c>
      <c r="AO966" s="551">
        <v>4462622</v>
      </c>
      <c r="AP966" s="551">
        <v>614.80079999999998</v>
      </c>
      <c r="AQ966" s="551">
        <v>124915.226544</v>
      </c>
      <c r="AR966" s="551">
        <v>5.0846</v>
      </c>
    </row>
    <row r="967" spans="39:44" x14ac:dyDescent="0.3">
      <c r="AM967" s="550">
        <f t="shared" ca="1" si="68"/>
        <v>44988</v>
      </c>
      <c r="AN967" s="551">
        <v>210.13</v>
      </c>
      <c r="AO967" s="551">
        <v>3155615</v>
      </c>
      <c r="AP967" s="551">
        <v>614.80079999999998</v>
      </c>
      <c r="AQ967" s="551">
        <v>129188.092104</v>
      </c>
      <c r="AR967" s="551">
        <v>5.2584999999999997</v>
      </c>
    </row>
    <row r="968" spans="39:44" x14ac:dyDescent="0.3">
      <c r="AM968" s="550">
        <f t="shared" ca="1" si="68"/>
        <v>44987</v>
      </c>
      <c r="AN968" s="551">
        <v>208.66</v>
      </c>
      <c r="AO968" s="551">
        <v>5344028</v>
      </c>
      <c r="AP968" s="551">
        <v>614.80079999999998</v>
      </c>
      <c r="AQ968" s="551">
        <v>128284.334928</v>
      </c>
      <c r="AR968" s="551">
        <v>5.2217000000000002</v>
      </c>
    </row>
    <row r="969" spans="39:44" x14ac:dyDescent="0.3">
      <c r="AM969" s="550">
        <f t="shared" ca="1" si="68"/>
        <v>44986</v>
      </c>
      <c r="AN969" s="551">
        <v>208.66</v>
      </c>
      <c r="AO969" s="551">
        <v>5344028</v>
      </c>
      <c r="AP969" s="551">
        <v>614.80079999999998</v>
      </c>
      <c r="AQ969" s="551">
        <v>128284.334928</v>
      </c>
      <c r="AR969" s="551">
        <v>5.2217000000000002</v>
      </c>
    </row>
    <row r="970" spans="39:44" x14ac:dyDescent="0.3">
      <c r="AM970" s="550">
        <f t="shared" ca="1" si="68"/>
        <v>44985</v>
      </c>
      <c r="AN970" s="551">
        <v>208.66</v>
      </c>
      <c r="AO970" s="551">
        <v>5344028</v>
      </c>
      <c r="AP970" s="551">
        <v>614.80079999999998</v>
      </c>
      <c r="AQ970" s="551">
        <v>128284.334928</v>
      </c>
      <c r="AR970" s="551">
        <v>5.2217000000000002</v>
      </c>
    </row>
    <row r="971" spans="39:44" x14ac:dyDescent="0.3">
      <c r="AM971" s="550">
        <f t="shared" ca="1" si="68"/>
        <v>44984</v>
      </c>
      <c r="AN971" s="551">
        <v>205.5</v>
      </c>
      <c r="AO971" s="551">
        <v>3065607</v>
      </c>
      <c r="AP971" s="551">
        <v>614.80079999999998</v>
      </c>
      <c r="AQ971" s="551">
        <v>126341.5644</v>
      </c>
      <c r="AR971" s="551">
        <v>5.1425999999999998</v>
      </c>
    </row>
    <row r="972" spans="39:44" x14ac:dyDescent="0.3">
      <c r="AM972" s="550">
        <f t="shared" ca="1" si="68"/>
        <v>44983</v>
      </c>
      <c r="AN972" s="551">
        <v>209.48</v>
      </c>
      <c r="AO972" s="551">
        <v>2719595</v>
      </c>
      <c r="AP972" s="551">
        <v>614.80079999999998</v>
      </c>
      <c r="AQ972" s="551">
        <v>128788.47158399998</v>
      </c>
      <c r="AR972" s="551">
        <v>5.2422000000000004</v>
      </c>
    </row>
    <row r="973" spans="39:44" x14ac:dyDescent="0.3">
      <c r="AM973" s="550">
        <f t="shared" ca="1" si="68"/>
        <v>44982</v>
      </c>
      <c r="AN973" s="551">
        <v>214.31</v>
      </c>
      <c r="AO973" s="551">
        <v>2186165</v>
      </c>
      <c r="AP973" s="551">
        <v>614.80079999999998</v>
      </c>
      <c r="AQ973" s="551">
        <v>131757.95944800001</v>
      </c>
      <c r="AR973" s="551">
        <v>5.3631000000000002</v>
      </c>
    </row>
    <row r="974" spans="39:44" x14ac:dyDescent="0.3">
      <c r="AM974" s="550">
        <f t="shared" ca="1" si="68"/>
        <v>44981</v>
      </c>
      <c r="AN974" s="551">
        <v>213.23</v>
      </c>
      <c r="AO974" s="551">
        <v>1693498</v>
      </c>
      <c r="AP974" s="551">
        <v>614.80079999999998</v>
      </c>
      <c r="AQ974" s="551">
        <v>131093.97458399998</v>
      </c>
      <c r="AR974" s="551">
        <v>5.3361000000000001</v>
      </c>
    </row>
    <row r="975" spans="39:44" x14ac:dyDescent="0.3">
      <c r="AM975" s="550">
        <f t="shared" ca="1" si="68"/>
        <v>44980</v>
      </c>
      <c r="AN975" s="551">
        <v>213.23</v>
      </c>
      <c r="AO975" s="551">
        <v>1693498</v>
      </c>
      <c r="AP975" s="551">
        <v>614.80079999999998</v>
      </c>
      <c r="AQ975" s="551">
        <v>131093.97458399998</v>
      </c>
      <c r="AR975" s="551">
        <v>5.3361000000000001</v>
      </c>
    </row>
    <row r="976" spans="39:44" x14ac:dyDescent="0.3">
      <c r="AM976" s="550">
        <f t="shared" ca="1" si="68"/>
        <v>44979</v>
      </c>
      <c r="AN976" s="551">
        <v>213.23</v>
      </c>
      <c r="AO976" s="551">
        <v>1693498</v>
      </c>
      <c r="AP976" s="551">
        <v>614.80079999999998</v>
      </c>
      <c r="AQ976" s="551">
        <v>131093.97458399998</v>
      </c>
      <c r="AR976" s="551">
        <v>5.3361000000000001</v>
      </c>
    </row>
    <row r="977" spans="39:44" x14ac:dyDescent="0.3">
      <c r="AM977" s="550">
        <f t="shared" ca="1" si="68"/>
        <v>44978</v>
      </c>
      <c r="AN977" s="551">
        <v>213.23</v>
      </c>
      <c r="AO977" s="551">
        <v>1693498</v>
      </c>
      <c r="AP977" s="551">
        <v>614.80079999999998</v>
      </c>
      <c r="AQ977" s="551">
        <v>131093.97458399998</v>
      </c>
      <c r="AR977" s="551">
        <v>5.3361000000000001</v>
      </c>
    </row>
    <row r="978" spans="39:44" x14ac:dyDescent="0.3">
      <c r="AM978" s="550">
        <f t="shared" ca="1" si="68"/>
        <v>44977</v>
      </c>
      <c r="AN978" s="551">
        <v>214.69</v>
      </c>
      <c r="AO978" s="551">
        <v>2034572</v>
      </c>
      <c r="AP978" s="551">
        <v>614.80079999999998</v>
      </c>
      <c r="AQ978" s="551">
        <v>131991.58375200001</v>
      </c>
      <c r="AR978" s="551">
        <v>5.3726000000000003</v>
      </c>
    </row>
    <row r="979" spans="39:44" x14ac:dyDescent="0.3">
      <c r="AM979" s="550">
        <f t="shared" ca="1" si="68"/>
        <v>44976</v>
      </c>
      <c r="AN979" s="551">
        <v>214.26</v>
      </c>
      <c r="AO979" s="551">
        <v>1840537</v>
      </c>
      <c r="AP979" s="551">
        <v>614.80079999999998</v>
      </c>
      <c r="AQ979" s="551">
        <v>131727.219408</v>
      </c>
      <c r="AR979" s="551">
        <v>5.3619000000000003</v>
      </c>
    </row>
    <row r="980" spans="39:44" x14ac:dyDescent="0.3">
      <c r="AM980" s="550">
        <f t="shared" ca="1" si="68"/>
        <v>44975</v>
      </c>
      <c r="AN980" s="551">
        <v>212.28</v>
      </c>
      <c r="AO980" s="551">
        <v>1225298</v>
      </c>
      <c r="AP980" s="551">
        <v>614.80079999999998</v>
      </c>
      <c r="AQ980" s="551">
        <v>130509.913824</v>
      </c>
      <c r="AR980" s="551">
        <v>5.3122999999999996</v>
      </c>
    </row>
    <row r="981" spans="39:44" x14ac:dyDescent="0.3">
      <c r="AM981" s="550">
        <f t="shared" ca="1" si="68"/>
        <v>44974</v>
      </c>
      <c r="AN981" s="551">
        <v>211.46</v>
      </c>
      <c r="AO981" s="551">
        <v>2259504</v>
      </c>
      <c r="AP981" s="551">
        <v>614.80079999999998</v>
      </c>
      <c r="AQ981" s="551">
        <v>130005.777168</v>
      </c>
      <c r="AR981" s="551">
        <v>5.2918000000000003</v>
      </c>
    </row>
    <row r="982" spans="39:44" x14ac:dyDescent="0.3">
      <c r="AM982" s="550">
        <f t="shared" ca="1" si="68"/>
        <v>44973</v>
      </c>
      <c r="AN982" s="551">
        <v>212.01</v>
      </c>
      <c r="AO982" s="551">
        <v>3375200</v>
      </c>
      <c r="AP982" s="551">
        <v>614.80079999999998</v>
      </c>
      <c r="AQ982" s="551">
        <v>130343.91760799999</v>
      </c>
      <c r="AR982" s="551">
        <v>5.3056000000000001</v>
      </c>
    </row>
    <row r="983" spans="39:44" x14ac:dyDescent="0.3">
      <c r="AM983" s="550">
        <f t="shared" ca="1" si="68"/>
        <v>44972</v>
      </c>
      <c r="AN983" s="551">
        <v>212.01</v>
      </c>
      <c r="AO983" s="551">
        <v>3375200</v>
      </c>
      <c r="AP983" s="551">
        <v>614.80079999999998</v>
      </c>
      <c r="AQ983" s="551">
        <v>130343.91760799999</v>
      </c>
      <c r="AR983" s="551">
        <v>5.3056000000000001</v>
      </c>
    </row>
    <row r="984" spans="39:44" x14ac:dyDescent="0.3">
      <c r="AM984" s="550">
        <f t="shared" ca="1" si="68"/>
        <v>44971</v>
      </c>
      <c r="AN984" s="551">
        <v>212.01</v>
      </c>
      <c r="AO984" s="551">
        <v>3375200</v>
      </c>
      <c r="AP984" s="551">
        <v>614.80079999999998</v>
      </c>
      <c r="AQ984" s="551">
        <v>130343.91760799999</v>
      </c>
      <c r="AR984" s="551">
        <v>5.3056000000000001</v>
      </c>
    </row>
    <row r="985" spans="39:44" x14ac:dyDescent="0.3">
      <c r="AM985" s="550">
        <f t="shared" ca="1" si="68"/>
        <v>44970</v>
      </c>
      <c r="AN985" s="551">
        <v>203.08</v>
      </c>
      <c r="AO985" s="551">
        <v>2317577</v>
      </c>
      <c r="AP985" s="551">
        <v>614.80079999999998</v>
      </c>
      <c r="AQ985" s="551">
        <v>124853.74646400001</v>
      </c>
      <c r="AR985" s="551">
        <v>5.0820999999999996</v>
      </c>
    </row>
    <row r="986" spans="39:44" x14ac:dyDescent="0.3">
      <c r="AM986" s="550">
        <f t="shared" ca="1" si="68"/>
        <v>44969</v>
      </c>
      <c r="AN986" s="551">
        <v>209.24</v>
      </c>
      <c r="AO986" s="551">
        <v>1830877</v>
      </c>
      <c r="AP986" s="551">
        <v>614.80079999999998</v>
      </c>
      <c r="AQ986" s="551">
        <v>128640.919392</v>
      </c>
      <c r="AR986" s="551">
        <v>5.2362000000000002</v>
      </c>
    </row>
    <row r="987" spans="39:44" x14ac:dyDescent="0.3">
      <c r="AM987" s="550">
        <f t="shared" ca="1" si="68"/>
        <v>44968</v>
      </c>
      <c r="AN987" s="551">
        <v>207.58</v>
      </c>
      <c r="AO987" s="551">
        <v>1766261</v>
      </c>
      <c r="AP987" s="551">
        <v>614.80079999999998</v>
      </c>
      <c r="AQ987" s="551">
        <v>127620.350064</v>
      </c>
      <c r="AR987" s="551">
        <v>5.1947000000000001</v>
      </c>
    </row>
    <row r="988" spans="39:44" x14ac:dyDescent="0.3">
      <c r="AM988" s="550">
        <f t="shared" ca="1" si="68"/>
        <v>44967</v>
      </c>
      <c r="AN988" s="551">
        <v>207.07</v>
      </c>
      <c r="AO988" s="551">
        <v>1554192</v>
      </c>
      <c r="AP988" s="551">
        <v>614.80079999999998</v>
      </c>
      <c r="AQ988" s="551">
        <v>127306.801656</v>
      </c>
      <c r="AR988" s="551">
        <v>5.3333000000000004</v>
      </c>
    </row>
    <row r="989" spans="39:44" x14ac:dyDescent="0.3">
      <c r="AM989" s="550">
        <f t="shared" ca="1" si="68"/>
        <v>44966</v>
      </c>
      <c r="AN989" s="551">
        <v>207.07</v>
      </c>
      <c r="AO989" s="551">
        <v>1554192</v>
      </c>
      <c r="AP989" s="551">
        <v>614.80079999999998</v>
      </c>
      <c r="AQ989" s="551">
        <v>127306.801656</v>
      </c>
      <c r="AR989" s="551">
        <v>5.3333000000000004</v>
      </c>
    </row>
    <row r="990" spans="39:44" x14ac:dyDescent="0.3">
      <c r="AM990" s="550">
        <f t="shared" ca="1" si="68"/>
        <v>44965</v>
      </c>
      <c r="AN990" s="551">
        <v>207.07</v>
      </c>
      <c r="AO990" s="551">
        <v>1554192</v>
      </c>
      <c r="AP990" s="551">
        <v>614.80079999999998</v>
      </c>
      <c r="AQ990" s="551">
        <v>127306.801656</v>
      </c>
      <c r="AR990" s="551">
        <v>5.3333000000000004</v>
      </c>
    </row>
    <row r="991" spans="39:44" x14ac:dyDescent="0.3">
      <c r="AM991" s="550">
        <f t="shared" ca="1" si="68"/>
        <v>44964</v>
      </c>
      <c r="AN991" s="551">
        <v>207.07</v>
      </c>
      <c r="AO991" s="551">
        <v>1554192</v>
      </c>
      <c r="AP991" s="551">
        <v>614.80079999999998</v>
      </c>
      <c r="AQ991" s="551">
        <v>127306.801656</v>
      </c>
      <c r="AR991" s="551">
        <v>5.3333000000000004</v>
      </c>
    </row>
    <row r="992" spans="39:44" x14ac:dyDescent="0.3">
      <c r="AM992" s="550">
        <f t="shared" ca="1" si="68"/>
        <v>44963</v>
      </c>
      <c r="AN992" s="551">
        <v>209.22</v>
      </c>
      <c r="AO992" s="551">
        <v>1484796</v>
      </c>
      <c r="AP992" s="551">
        <v>614.80079999999998</v>
      </c>
      <c r="AQ992" s="551">
        <v>128628.62337599999</v>
      </c>
      <c r="AR992" s="551">
        <v>5.3887</v>
      </c>
    </row>
    <row r="993" spans="39:44" x14ac:dyDescent="0.3">
      <c r="AM993" s="550">
        <f t="shared" ca="1" si="68"/>
        <v>44962</v>
      </c>
      <c r="AN993" s="551">
        <v>206.87</v>
      </c>
      <c r="AO993" s="551">
        <v>1631188</v>
      </c>
      <c r="AP993" s="551">
        <v>614.80079999999998</v>
      </c>
      <c r="AQ993" s="551">
        <v>127183.84149599999</v>
      </c>
      <c r="AR993" s="551">
        <v>5.3281999999999998</v>
      </c>
    </row>
    <row r="994" spans="39:44" x14ac:dyDescent="0.3">
      <c r="AM994" s="550">
        <f t="shared" ca="1" si="68"/>
        <v>44961</v>
      </c>
      <c r="AN994" s="551">
        <v>210.32</v>
      </c>
      <c r="AO994" s="551">
        <v>1139698</v>
      </c>
      <c r="AP994" s="551">
        <v>614.80079999999998</v>
      </c>
      <c r="AQ994" s="551">
        <v>129304.90425599999</v>
      </c>
      <c r="AR994" s="551">
        <v>5.4169999999999998</v>
      </c>
    </row>
    <row r="995" spans="39:44" x14ac:dyDescent="0.3">
      <c r="AM995" s="550">
        <f t="shared" ca="1" si="68"/>
        <v>44960</v>
      </c>
      <c r="AN995" s="551">
        <v>209.91</v>
      </c>
      <c r="AO995" s="551">
        <v>1639486</v>
      </c>
      <c r="AP995" s="551">
        <v>614.80079999999998</v>
      </c>
      <c r="AQ995" s="551">
        <v>129052.835928</v>
      </c>
      <c r="AR995" s="551">
        <v>5.4065000000000003</v>
      </c>
    </row>
    <row r="996" spans="39:44" x14ac:dyDescent="0.3">
      <c r="AM996" s="550">
        <f t="shared" ca="1" si="68"/>
        <v>44959</v>
      </c>
      <c r="AN996" s="551">
        <v>209.91</v>
      </c>
      <c r="AO996" s="551">
        <v>1639486</v>
      </c>
      <c r="AP996" s="551">
        <v>614.80079999999998</v>
      </c>
      <c r="AQ996" s="551">
        <v>129052.835928</v>
      </c>
      <c r="AR996" s="551">
        <v>5.4065000000000003</v>
      </c>
    </row>
    <row r="997" spans="39:44" x14ac:dyDescent="0.3">
      <c r="AM997" s="550">
        <f t="shared" ca="1" si="68"/>
        <v>44958</v>
      </c>
      <c r="AN997" s="551">
        <v>209.91</v>
      </c>
      <c r="AO997" s="551">
        <v>1639486</v>
      </c>
      <c r="AP997" s="551">
        <v>614.80079999999998</v>
      </c>
      <c r="AQ997" s="551">
        <v>129052.835928</v>
      </c>
      <c r="AR997" s="551">
        <v>5.4065000000000003</v>
      </c>
    </row>
    <row r="998" spans="39:44" x14ac:dyDescent="0.3">
      <c r="AM998" s="550">
        <f t="shared" ca="1" si="68"/>
        <v>44957</v>
      </c>
      <c r="AN998" s="551">
        <v>209.91</v>
      </c>
      <c r="AO998" s="551">
        <v>1639486</v>
      </c>
      <c r="AP998" s="551">
        <v>614.80079999999998</v>
      </c>
      <c r="AQ998" s="551">
        <v>129052.835928</v>
      </c>
      <c r="AR998" s="551">
        <v>5.4065000000000003</v>
      </c>
    </row>
    <row r="999" spans="39:44" x14ac:dyDescent="0.3">
      <c r="AM999" s="550">
        <f t="shared" ca="1" si="68"/>
        <v>44956</v>
      </c>
      <c r="AN999" s="551">
        <v>208.66</v>
      </c>
      <c r="AO999" s="551">
        <v>2399255</v>
      </c>
      <c r="AP999" s="551">
        <v>614.80079999999998</v>
      </c>
      <c r="AQ999" s="551">
        <v>128284.334928</v>
      </c>
      <c r="AR999" s="551">
        <v>5.3742999999999999</v>
      </c>
    </row>
    <row r="1000" spans="39:44" x14ac:dyDescent="0.3">
      <c r="AM1000" s="550">
        <f t="shared" ca="1" si="68"/>
        <v>44955</v>
      </c>
      <c r="AN1000" s="551">
        <v>208.42</v>
      </c>
      <c r="AO1000" s="551">
        <v>2756387</v>
      </c>
      <c r="AP1000" s="551">
        <v>614.80079999999998</v>
      </c>
      <c r="AQ1000" s="551">
        <v>128136.78273599999</v>
      </c>
      <c r="AR1000" s="551">
        <v>5.3681000000000001</v>
      </c>
    </row>
    <row r="1001" spans="39:44" x14ac:dyDescent="0.3">
      <c r="AM1001" s="550">
        <f t="shared" ca="1" si="68"/>
        <v>44954</v>
      </c>
      <c r="AN1001" s="551">
        <v>205.41</v>
      </c>
      <c r="AO1001" s="551">
        <v>4081886</v>
      </c>
      <c r="AP1001" s="551">
        <v>614.80079999999998</v>
      </c>
      <c r="AQ1001" s="551">
        <v>126286.232328</v>
      </c>
      <c r="AR1001" s="551">
        <v>5.2906000000000004</v>
      </c>
    </row>
    <row r="1002" spans="39:44" x14ac:dyDescent="0.3">
      <c r="AM1002" s="550">
        <f t="shared" ca="1" si="68"/>
        <v>44953</v>
      </c>
      <c r="AN1002" s="551">
        <v>206.39</v>
      </c>
      <c r="AO1002" s="551">
        <v>2355271</v>
      </c>
      <c r="AP1002" s="551">
        <v>614.80079999999998</v>
      </c>
      <c r="AQ1002" s="551">
        <v>126888.73711199999</v>
      </c>
      <c r="AR1002" s="551">
        <v>5.3158000000000003</v>
      </c>
    </row>
    <row r="1003" spans="39:44" x14ac:dyDescent="0.3">
      <c r="AM1003" s="550">
        <f t="shared" ca="1" si="68"/>
        <v>44952</v>
      </c>
      <c r="AN1003" s="551">
        <v>210.21</v>
      </c>
      <c r="AO1003" s="551">
        <v>5194324</v>
      </c>
      <c r="AP1003" s="551">
        <v>614.80079999999998</v>
      </c>
      <c r="AQ1003" s="551">
        <v>129237.276168</v>
      </c>
      <c r="AR1003" s="551">
        <v>5.4142000000000001</v>
      </c>
    </row>
    <row r="1004" spans="39:44" x14ac:dyDescent="0.3">
      <c r="AM1004" s="550">
        <f t="shared" ca="1" si="68"/>
        <v>44951</v>
      </c>
      <c r="AN1004" s="551">
        <v>210.21</v>
      </c>
      <c r="AO1004" s="551">
        <v>5194324</v>
      </c>
      <c r="AP1004" s="551">
        <v>614.80079999999998</v>
      </c>
      <c r="AQ1004" s="551">
        <v>129237.276168</v>
      </c>
      <c r="AR1004" s="551">
        <v>5.4142000000000001</v>
      </c>
    </row>
    <row r="1005" spans="39:44" x14ac:dyDescent="0.3">
      <c r="AM1005" s="550">
        <f t="shared" ca="1" si="68"/>
        <v>44950</v>
      </c>
      <c r="AN1005" s="551">
        <v>210.21</v>
      </c>
      <c r="AO1005" s="551">
        <v>5194324</v>
      </c>
      <c r="AP1005" s="551">
        <v>614.80079999999998</v>
      </c>
      <c r="AQ1005" s="551">
        <v>129237.276168</v>
      </c>
      <c r="AR1005" s="551">
        <v>5.4142000000000001</v>
      </c>
    </row>
    <row r="1006" spans="39:44" x14ac:dyDescent="0.3">
      <c r="AM1006" s="550">
        <f t="shared" ca="1" si="68"/>
        <v>44949</v>
      </c>
      <c r="AN1006" s="551">
        <v>212.31</v>
      </c>
      <c r="AO1006" s="551">
        <v>3373406</v>
      </c>
      <c r="AP1006" s="551">
        <v>614.80079999999998</v>
      </c>
      <c r="AQ1006" s="551">
        <v>130528.357848</v>
      </c>
      <c r="AR1006" s="551">
        <v>5.4683000000000002</v>
      </c>
    </row>
    <row r="1007" spans="39:44" x14ac:dyDescent="0.3">
      <c r="AM1007" s="550">
        <f t="shared" ca="1" si="68"/>
        <v>44948</v>
      </c>
      <c r="AN1007" s="551">
        <v>217.58</v>
      </c>
      <c r="AO1007" s="551">
        <v>2749841</v>
      </c>
      <c r="AP1007" s="551">
        <v>614.80079999999998</v>
      </c>
      <c r="AQ1007" s="551">
        <v>133768.358064</v>
      </c>
      <c r="AR1007" s="551">
        <v>5.6040000000000001</v>
      </c>
    </row>
    <row r="1008" spans="39:44" x14ac:dyDescent="0.3">
      <c r="AM1008" s="550">
        <f t="shared" ca="1" si="68"/>
        <v>44947</v>
      </c>
      <c r="AN1008" s="551">
        <v>218.02</v>
      </c>
      <c r="AO1008" s="551">
        <v>3585150</v>
      </c>
      <c r="AP1008" s="551">
        <v>614.80079999999998</v>
      </c>
      <c r="AQ1008" s="551">
        <v>134038.87041599999</v>
      </c>
      <c r="AR1008" s="551">
        <v>5.6154000000000002</v>
      </c>
    </row>
    <row r="1009" spans="39:44" x14ac:dyDescent="0.3">
      <c r="AM1009" s="550">
        <f t="shared" ca="1" si="68"/>
        <v>44946</v>
      </c>
      <c r="AN1009" s="551">
        <v>215.83</v>
      </c>
      <c r="AO1009" s="551">
        <v>3017615</v>
      </c>
      <c r="AP1009" s="551">
        <v>614.80079999999998</v>
      </c>
      <c r="AQ1009" s="551">
        <v>132692.456664</v>
      </c>
      <c r="AR1009" s="551">
        <v>5.5589000000000004</v>
      </c>
    </row>
    <row r="1010" spans="39:44" x14ac:dyDescent="0.3">
      <c r="AM1010" s="550">
        <f t="shared" ca="1" si="68"/>
        <v>44945</v>
      </c>
      <c r="AN1010" s="551">
        <v>211.35</v>
      </c>
      <c r="AO1010" s="551">
        <v>2334478</v>
      </c>
      <c r="AP1010" s="551">
        <v>614.80079999999998</v>
      </c>
      <c r="AQ1010" s="551">
        <v>129938.14907999999</v>
      </c>
      <c r="AR1010" s="551">
        <v>5.4436</v>
      </c>
    </row>
    <row r="1011" spans="39:44" x14ac:dyDescent="0.3">
      <c r="AM1011" s="550">
        <f t="shared" ca="1" si="68"/>
        <v>44944</v>
      </c>
      <c r="AN1011" s="551">
        <v>211.35</v>
      </c>
      <c r="AO1011" s="551">
        <v>2334478</v>
      </c>
      <c r="AP1011" s="551">
        <v>614.80079999999998</v>
      </c>
      <c r="AQ1011" s="551">
        <v>129938.14907999999</v>
      </c>
      <c r="AR1011" s="551">
        <v>5.4436</v>
      </c>
    </row>
    <row r="1012" spans="39:44" x14ac:dyDescent="0.3">
      <c r="AM1012" s="550">
        <f t="shared" ca="1" si="68"/>
        <v>44943</v>
      </c>
      <c r="AN1012" s="551">
        <v>211.35</v>
      </c>
      <c r="AO1012" s="551">
        <v>2334478</v>
      </c>
      <c r="AP1012" s="551">
        <v>614.80079999999998</v>
      </c>
      <c r="AQ1012" s="551">
        <v>129938.14907999999</v>
      </c>
      <c r="AR1012" s="551">
        <v>5.4436</v>
      </c>
    </row>
    <row r="1013" spans="39:44" x14ac:dyDescent="0.3">
      <c r="AM1013" s="550">
        <f t="shared" ca="1" si="68"/>
        <v>44942</v>
      </c>
      <c r="AN1013" s="551">
        <v>213.03</v>
      </c>
      <c r="AO1013" s="551">
        <v>1585388</v>
      </c>
      <c r="AP1013" s="551">
        <v>614.80079999999998</v>
      </c>
      <c r="AQ1013" s="551">
        <v>130971.01442399999</v>
      </c>
      <c r="AR1013" s="551">
        <v>5.4867999999999997</v>
      </c>
    </row>
    <row r="1014" spans="39:44" x14ac:dyDescent="0.3">
      <c r="AM1014" s="550">
        <f t="shared" ca="1" si="68"/>
        <v>44941</v>
      </c>
      <c r="AN1014" s="551">
        <v>212.22</v>
      </c>
      <c r="AO1014" s="551">
        <v>2828743</v>
      </c>
      <c r="AP1014" s="551">
        <v>614.80079999999998</v>
      </c>
      <c r="AQ1014" s="551">
        <v>130473.02577599999</v>
      </c>
      <c r="AR1014" s="551">
        <v>5.4660000000000002</v>
      </c>
    </row>
    <row r="1015" spans="39:44" x14ac:dyDescent="0.3">
      <c r="AM1015" s="550">
        <f t="shared" ca="1" si="68"/>
        <v>44940</v>
      </c>
      <c r="AN1015" s="551">
        <v>211.14</v>
      </c>
      <c r="AO1015" s="551">
        <v>3097620</v>
      </c>
      <c r="AP1015" s="551">
        <v>614.80079999999998</v>
      </c>
      <c r="AQ1015" s="551">
        <v>129809.04091199998</v>
      </c>
      <c r="AR1015" s="551">
        <v>5.4381000000000004</v>
      </c>
    </row>
    <row r="1016" spans="39:44" x14ac:dyDescent="0.3">
      <c r="AM1016" s="550">
        <f t="shared" ca="1" si="68"/>
        <v>44939</v>
      </c>
      <c r="AN1016" s="551">
        <v>211.06</v>
      </c>
      <c r="AO1016" s="551">
        <v>2504481</v>
      </c>
      <c r="AP1016" s="551">
        <v>614.80079999999998</v>
      </c>
      <c r="AQ1016" s="551">
        <v>129759.856848</v>
      </c>
      <c r="AR1016" s="551">
        <v>5.4360999999999997</v>
      </c>
    </row>
    <row r="1017" spans="39:44" x14ac:dyDescent="0.3">
      <c r="AM1017" s="550">
        <f t="shared" ca="1" si="68"/>
        <v>44938</v>
      </c>
      <c r="AN1017" s="551">
        <v>214.73</v>
      </c>
      <c r="AO1017" s="551">
        <v>1759997</v>
      </c>
      <c r="AP1017" s="551">
        <v>614.80079999999998</v>
      </c>
      <c r="AQ1017" s="551">
        <v>132016.17578399999</v>
      </c>
      <c r="AR1017" s="551">
        <v>5.5305999999999997</v>
      </c>
    </row>
    <row r="1018" spans="39:44" x14ac:dyDescent="0.3">
      <c r="AM1018" s="550">
        <f t="shared" ca="1" si="68"/>
        <v>44937</v>
      </c>
      <c r="AN1018" s="551">
        <v>214.73</v>
      </c>
      <c r="AO1018" s="551">
        <v>1759997</v>
      </c>
      <c r="AP1018" s="551">
        <v>614.80079999999998</v>
      </c>
      <c r="AQ1018" s="551">
        <v>132016.17578399999</v>
      </c>
      <c r="AR1018" s="551">
        <v>5.5305999999999997</v>
      </c>
    </row>
    <row r="1019" spans="39:44" x14ac:dyDescent="0.3">
      <c r="AM1019" s="550">
        <f t="shared" ca="1" si="68"/>
        <v>44936</v>
      </c>
      <c r="AN1019" s="551">
        <v>214.73</v>
      </c>
      <c r="AO1019" s="551">
        <v>1759997</v>
      </c>
      <c r="AP1019" s="551">
        <v>614.80079999999998</v>
      </c>
      <c r="AQ1019" s="551">
        <v>132016.17578399999</v>
      </c>
      <c r="AR1019" s="551">
        <v>5.5305999999999997</v>
      </c>
    </row>
    <row r="1020" spans="39:44" x14ac:dyDescent="0.3">
      <c r="AM1020" s="550">
        <f t="shared" ca="1" si="68"/>
        <v>44935</v>
      </c>
      <c r="AN1020" s="551">
        <v>215.93</v>
      </c>
      <c r="AO1020" s="551">
        <v>2638443</v>
      </c>
      <c r="AP1020" s="551">
        <v>614.80079999999998</v>
      </c>
      <c r="AQ1020" s="551">
        <v>132753.93674400001</v>
      </c>
      <c r="AR1020" s="551">
        <v>5.5614999999999997</v>
      </c>
    </row>
    <row r="1021" spans="39:44" x14ac:dyDescent="0.3">
      <c r="AM1021" s="550">
        <f t="shared" ca="1" si="68"/>
        <v>44934</v>
      </c>
      <c r="AN1021" s="551">
        <v>217.43</v>
      </c>
      <c r="AO1021" s="551">
        <v>5173079</v>
      </c>
      <c r="AP1021" s="551">
        <v>614.80079999999998</v>
      </c>
      <c r="AQ1021" s="551">
        <v>133676.13794399999</v>
      </c>
      <c r="AR1021" s="551">
        <v>5.6002000000000001</v>
      </c>
    </row>
    <row r="1022" spans="39:44" x14ac:dyDescent="0.3">
      <c r="AM1022" s="550">
        <f t="shared" ca="1" si="68"/>
        <v>44933</v>
      </c>
      <c r="AN1022" s="551">
        <v>212.77</v>
      </c>
      <c r="AO1022" s="551">
        <v>2280770</v>
      </c>
      <c r="AP1022" s="551">
        <v>614.80079999999998</v>
      </c>
      <c r="AQ1022" s="551">
        <v>130811.166216</v>
      </c>
      <c r="AR1022" s="551">
        <v>5.4801000000000002</v>
      </c>
    </row>
    <row r="1023" spans="39:44" x14ac:dyDescent="0.3">
      <c r="AM1023" s="550">
        <f t="shared" ca="1" si="68"/>
        <v>44932</v>
      </c>
      <c r="AN1023" s="551">
        <v>208.52</v>
      </c>
      <c r="AO1023" s="551">
        <v>2755386</v>
      </c>
      <c r="AP1023" s="551">
        <v>614.80079999999998</v>
      </c>
      <c r="AQ1023" s="551">
        <v>128198.262816</v>
      </c>
      <c r="AR1023" s="551">
        <v>5.3707000000000003</v>
      </c>
    </row>
    <row r="1024" spans="39:44" x14ac:dyDescent="0.3">
      <c r="AM1024" s="550">
        <f t="shared" ca="1" si="68"/>
        <v>44931</v>
      </c>
      <c r="AN1024" s="551">
        <v>213.33</v>
      </c>
      <c r="AO1024" s="551">
        <v>1101944</v>
      </c>
      <c r="AP1024" s="551">
        <v>614.80079999999998</v>
      </c>
      <c r="AQ1024" s="551">
        <v>131155.45466399999</v>
      </c>
      <c r="AR1024" s="551">
        <v>5.4946000000000002</v>
      </c>
    </row>
    <row r="1025" spans="39:44" x14ac:dyDescent="0.3">
      <c r="AM1025" s="550">
        <f t="shared" ca="1" si="68"/>
        <v>44930</v>
      </c>
      <c r="AN1025" s="551">
        <v>213.33</v>
      </c>
      <c r="AO1025" s="551">
        <v>1101944</v>
      </c>
      <c r="AP1025" s="551">
        <v>614.80079999999998</v>
      </c>
      <c r="AQ1025" s="551">
        <v>131155.45466399999</v>
      </c>
      <c r="AR1025" s="551">
        <v>5.4946000000000002</v>
      </c>
    </row>
    <row r="1026" spans="39:44" x14ac:dyDescent="0.3">
      <c r="AM1026" s="550">
        <f t="shared" ca="1" si="68"/>
        <v>44929</v>
      </c>
      <c r="AN1026" s="551">
        <v>213.33</v>
      </c>
      <c r="AO1026" s="551">
        <v>1101944</v>
      </c>
      <c r="AP1026" s="551">
        <v>614.80079999999998</v>
      </c>
      <c r="AQ1026" s="551">
        <v>131155.45466399999</v>
      </c>
      <c r="AR1026" s="551">
        <v>5.4946000000000002</v>
      </c>
    </row>
    <row r="1027" spans="39:44" x14ac:dyDescent="0.3">
      <c r="AM1027" s="550">
        <f t="shared" ca="1" si="68"/>
        <v>44928</v>
      </c>
      <c r="AN1027" s="551">
        <v>212.52</v>
      </c>
      <c r="AO1027" s="551">
        <v>2405280</v>
      </c>
      <c r="AP1027" s="551">
        <v>614.80079999999998</v>
      </c>
      <c r="AQ1027" s="551">
        <v>130657.46601600001</v>
      </c>
      <c r="AR1027" s="551">
        <v>5.4737</v>
      </c>
    </row>
    <row r="1028" spans="39:44" x14ac:dyDescent="0.3">
      <c r="AM1028" s="550">
        <f t="shared" ca="1" si="68"/>
        <v>44927</v>
      </c>
      <c r="AN1028" s="551">
        <v>212.52</v>
      </c>
      <c r="AO1028" s="551">
        <v>2405280</v>
      </c>
      <c r="AP1028" s="551">
        <v>614.80079999999998</v>
      </c>
      <c r="AQ1028" s="551">
        <v>130657.46601600001</v>
      </c>
      <c r="AR1028" s="551">
        <v>5.4737</v>
      </c>
    </row>
    <row r="1029" spans="39:44" x14ac:dyDescent="0.3">
      <c r="AM1029" s="550">
        <f t="shared" ref="AM1029:AM1051" ca="1" si="69">AM1028-1</f>
        <v>44926</v>
      </c>
      <c r="AN1029" s="551">
        <v>213.2</v>
      </c>
      <c r="AO1029" s="551">
        <v>2962536</v>
      </c>
      <c r="AP1029" s="551">
        <v>614.80079999999998</v>
      </c>
      <c r="AQ1029" s="551">
        <v>131075.53055999998</v>
      </c>
      <c r="AR1029" s="551">
        <v>5.4912000000000001</v>
      </c>
    </row>
    <row r="1030" spans="39:44" x14ac:dyDescent="0.3">
      <c r="AM1030" s="550">
        <f t="shared" ca="1" si="69"/>
        <v>44925</v>
      </c>
      <c r="AN1030" s="551">
        <v>212.27</v>
      </c>
      <c r="AO1030" s="551">
        <v>2365469</v>
      </c>
      <c r="AP1030" s="551">
        <v>614.80079999999998</v>
      </c>
      <c r="AQ1030" s="551">
        <v>130503.765816</v>
      </c>
      <c r="AR1030" s="551">
        <v>5.4672999999999998</v>
      </c>
    </row>
    <row r="1031" spans="39:44" x14ac:dyDescent="0.3">
      <c r="AM1031" s="550">
        <f t="shared" ca="1" si="69"/>
        <v>44924</v>
      </c>
      <c r="AN1031" s="551">
        <v>210.58</v>
      </c>
      <c r="AO1031" s="551">
        <v>2499551</v>
      </c>
      <c r="AP1031" s="551">
        <v>614.80079999999998</v>
      </c>
      <c r="AQ1031" s="551">
        <v>129464.752464</v>
      </c>
      <c r="AR1031" s="551">
        <v>5.4237000000000002</v>
      </c>
    </row>
    <row r="1032" spans="39:44" x14ac:dyDescent="0.3">
      <c r="AM1032" s="550">
        <f t="shared" ca="1" si="69"/>
        <v>44923</v>
      </c>
      <c r="AN1032" s="551">
        <v>210.58</v>
      </c>
      <c r="AO1032" s="551">
        <v>2499551</v>
      </c>
      <c r="AP1032" s="551">
        <v>614.80079999999998</v>
      </c>
      <c r="AQ1032" s="551">
        <v>129464.752464</v>
      </c>
      <c r="AR1032" s="551">
        <v>5.4237000000000002</v>
      </c>
    </row>
    <row r="1033" spans="39:44" x14ac:dyDescent="0.3">
      <c r="AM1033" s="550">
        <f t="shared" ca="1" si="69"/>
        <v>44922</v>
      </c>
      <c r="AN1033" s="551">
        <v>210.58</v>
      </c>
      <c r="AO1033" s="551">
        <v>2499551</v>
      </c>
      <c r="AP1033" s="551">
        <v>614.80079999999998</v>
      </c>
      <c r="AQ1033" s="551">
        <v>129464.752464</v>
      </c>
      <c r="AR1033" s="551">
        <v>5.4237000000000002</v>
      </c>
    </row>
    <row r="1034" spans="39:44" x14ac:dyDescent="0.3">
      <c r="AM1034" s="550">
        <f t="shared" ca="1" si="69"/>
        <v>44921</v>
      </c>
      <c r="AN1034" s="551">
        <v>209.82</v>
      </c>
      <c r="AO1034" s="551">
        <v>4561638</v>
      </c>
      <c r="AP1034" s="551">
        <v>614.80079999999998</v>
      </c>
      <c r="AQ1034" s="551">
        <v>128997.503856</v>
      </c>
      <c r="AR1034" s="551">
        <v>5.4042000000000003</v>
      </c>
    </row>
    <row r="1035" spans="39:44" x14ac:dyDescent="0.3">
      <c r="AM1035" s="550">
        <f t="shared" ca="1" si="69"/>
        <v>44920</v>
      </c>
      <c r="AN1035" s="551">
        <v>212.27</v>
      </c>
      <c r="AO1035" s="551">
        <v>3864580</v>
      </c>
      <c r="AP1035" s="551">
        <v>614.80079999999998</v>
      </c>
      <c r="AQ1035" s="551">
        <v>130503.765816</v>
      </c>
      <c r="AR1035" s="551">
        <v>5.4672999999999998</v>
      </c>
    </row>
    <row r="1036" spans="39:44" x14ac:dyDescent="0.3">
      <c r="AM1036" s="550">
        <f t="shared" ca="1" si="69"/>
        <v>44919</v>
      </c>
      <c r="AN1036" s="551">
        <v>210.66</v>
      </c>
      <c r="AO1036" s="551">
        <v>6235236</v>
      </c>
      <c r="AP1036" s="551">
        <v>614.80079999999998</v>
      </c>
      <c r="AQ1036" s="551">
        <v>129513.93652799999</v>
      </c>
      <c r="AR1036" s="551">
        <v>5.4257999999999997</v>
      </c>
    </row>
    <row r="1037" spans="39:44" x14ac:dyDescent="0.3">
      <c r="AM1037" s="550">
        <f t="shared" ca="1" si="69"/>
        <v>44918</v>
      </c>
      <c r="AN1037" s="551">
        <v>216.95</v>
      </c>
      <c r="AO1037" s="551">
        <v>3945919</v>
      </c>
      <c r="AP1037" s="551">
        <v>614.80079999999998</v>
      </c>
      <c r="AQ1037" s="551">
        <v>133381.03355999998</v>
      </c>
      <c r="AR1037" s="551">
        <v>5.5877999999999997</v>
      </c>
    </row>
    <row r="1038" spans="39:44" x14ac:dyDescent="0.3">
      <c r="AM1038" s="550">
        <f t="shared" ca="1" si="69"/>
        <v>44917</v>
      </c>
      <c r="AN1038" s="551">
        <v>217.5</v>
      </c>
      <c r="AO1038" s="551">
        <v>5176484</v>
      </c>
      <c r="AP1038" s="551">
        <v>614.80079999999998</v>
      </c>
      <c r="AQ1038" s="551">
        <v>133719.174</v>
      </c>
      <c r="AR1038" s="551">
        <v>5.6020000000000003</v>
      </c>
    </row>
    <row r="1039" spans="39:44" x14ac:dyDescent="0.3">
      <c r="AM1039" s="550">
        <f t="shared" ca="1" si="69"/>
        <v>44916</v>
      </c>
      <c r="AN1039" s="551">
        <v>217.5</v>
      </c>
      <c r="AO1039" s="551">
        <v>5176484</v>
      </c>
      <c r="AP1039" s="551">
        <v>614.80079999999998</v>
      </c>
      <c r="AQ1039" s="551">
        <v>133719.174</v>
      </c>
      <c r="AR1039" s="551">
        <v>5.6020000000000003</v>
      </c>
    </row>
    <row r="1040" spans="39:44" x14ac:dyDescent="0.3">
      <c r="AM1040" s="550">
        <f t="shared" ca="1" si="69"/>
        <v>44915</v>
      </c>
      <c r="AN1040" s="551">
        <v>217.5</v>
      </c>
      <c r="AO1040" s="551">
        <v>5176484</v>
      </c>
      <c r="AP1040" s="551">
        <v>614.80079999999998</v>
      </c>
      <c r="AQ1040" s="551">
        <v>133719.174</v>
      </c>
      <c r="AR1040" s="551">
        <v>5.6020000000000003</v>
      </c>
    </row>
    <row r="1041" spans="39:44" x14ac:dyDescent="0.3">
      <c r="AM1041" s="550">
        <f t="shared" ca="1" si="69"/>
        <v>44914</v>
      </c>
      <c r="AN1041" s="551">
        <v>212.99</v>
      </c>
      <c r="AO1041" s="551">
        <v>4923461</v>
      </c>
      <c r="AP1041" s="551">
        <v>614.80079999999998</v>
      </c>
      <c r="AQ1041" s="551">
        <v>130946.42239200001</v>
      </c>
      <c r="AR1041" s="551">
        <v>5.4858000000000002</v>
      </c>
    </row>
    <row r="1042" spans="39:44" x14ac:dyDescent="0.3">
      <c r="AM1042" s="550">
        <f t="shared" ca="1" si="69"/>
        <v>44913</v>
      </c>
      <c r="AN1042" s="551">
        <v>203.41</v>
      </c>
      <c r="AO1042" s="551">
        <v>4682778</v>
      </c>
      <c r="AP1042" s="551">
        <v>614.80079999999998</v>
      </c>
      <c r="AQ1042" s="551">
        <v>125056.63072799999</v>
      </c>
      <c r="AR1042" s="551">
        <v>5.2390999999999996</v>
      </c>
    </row>
    <row r="1043" spans="39:44" x14ac:dyDescent="0.3">
      <c r="AM1043" s="550">
        <f t="shared" ca="1" si="69"/>
        <v>44912</v>
      </c>
      <c r="AN1043" s="551">
        <v>204.01</v>
      </c>
      <c r="AO1043" s="551">
        <v>6285142</v>
      </c>
      <c r="AP1043" s="551">
        <v>614.80079999999998</v>
      </c>
      <c r="AQ1043" s="551">
        <v>125425.511208</v>
      </c>
      <c r="AR1043" s="551">
        <v>5.2545000000000002</v>
      </c>
    </row>
    <row r="1044" spans="39:44" x14ac:dyDescent="0.3">
      <c r="AM1044" s="550">
        <f t="shared" ca="1" si="69"/>
        <v>44911</v>
      </c>
      <c r="AN1044" s="551">
        <v>196.3</v>
      </c>
      <c r="AO1044" s="551">
        <v>3757786</v>
      </c>
      <c r="AP1044" s="551">
        <v>614.80079999999998</v>
      </c>
      <c r="AQ1044" s="551">
        <v>120685.39704</v>
      </c>
      <c r="AR1044" s="551">
        <v>5.0559000000000003</v>
      </c>
    </row>
    <row r="1045" spans="39:44" x14ac:dyDescent="0.3">
      <c r="AM1045" s="550">
        <f t="shared" ca="1" si="69"/>
        <v>44910</v>
      </c>
      <c r="AN1045" s="551">
        <v>196.7</v>
      </c>
      <c r="AO1045" s="551">
        <v>3334012</v>
      </c>
      <c r="AP1045" s="551">
        <v>614.80079999999998</v>
      </c>
      <c r="AQ1045" s="551">
        <v>120931.31735999999</v>
      </c>
      <c r="AR1045" s="551">
        <v>5.0662000000000003</v>
      </c>
    </row>
    <row r="1046" spans="39:44" x14ac:dyDescent="0.3">
      <c r="AM1046" s="550">
        <f t="shared" ca="1" si="69"/>
        <v>44909</v>
      </c>
      <c r="AN1046" s="551">
        <v>196.7</v>
      </c>
      <c r="AO1046" s="551">
        <v>3334012</v>
      </c>
      <c r="AP1046" s="551">
        <v>614.80079999999998</v>
      </c>
      <c r="AQ1046" s="551">
        <v>120931.31735999999</v>
      </c>
      <c r="AR1046" s="551">
        <v>5.0662000000000003</v>
      </c>
    </row>
    <row r="1047" spans="39:44" x14ac:dyDescent="0.3">
      <c r="AM1047" s="550">
        <f t="shared" ca="1" si="69"/>
        <v>44908</v>
      </c>
      <c r="AN1047" s="551">
        <v>196.7</v>
      </c>
      <c r="AO1047" s="551">
        <v>3334012</v>
      </c>
      <c r="AP1047" s="551">
        <v>614.80079999999998</v>
      </c>
      <c r="AQ1047" s="551">
        <v>120931.31735999999</v>
      </c>
      <c r="AR1047" s="551">
        <v>5.0662000000000003</v>
      </c>
    </row>
    <row r="1048" spans="39:44" x14ac:dyDescent="0.3">
      <c r="AM1048" s="550">
        <f t="shared" ca="1" si="69"/>
        <v>44907</v>
      </c>
      <c r="AN1048" s="551">
        <v>193.19</v>
      </c>
      <c r="AO1048" s="551">
        <v>3238902</v>
      </c>
      <c r="AP1048" s="551">
        <v>614.80079999999998</v>
      </c>
      <c r="AQ1048" s="551">
        <v>118773.36655199999</v>
      </c>
      <c r="AR1048" s="551">
        <v>4.9757999999999996</v>
      </c>
    </row>
    <row r="1049" spans="39:44" x14ac:dyDescent="0.3">
      <c r="AM1049" s="550">
        <f t="shared" ca="1" si="69"/>
        <v>44906</v>
      </c>
      <c r="AN1049" s="551">
        <v>192.53</v>
      </c>
      <c r="AO1049" s="551">
        <v>3019993</v>
      </c>
      <c r="AP1049" s="551">
        <v>614.80079999999998</v>
      </c>
      <c r="AQ1049" s="551">
        <v>118367.59802399999</v>
      </c>
      <c r="AR1049" s="551">
        <v>4.9588000000000001</v>
      </c>
    </row>
    <row r="1050" spans="39:44" x14ac:dyDescent="0.3">
      <c r="AM1050" s="550">
        <f t="shared" ca="1" si="69"/>
        <v>44905</v>
      </c>
      <c r="AN1050" s="551">
        <v>196.82</v>
      </c>
      <c r="AO1050" s="551">
        <v>3042352</v>
      </c>
      <c r="AP1050" s="551">
        <v>614.80079999999998</v>
      </c>
      <c r="AQ1050" s="551">
        <v>121005.09345599999</v>
      </c>
      <c r="AR1050" s="551">
        <v>5.0693000000000001</v>
      </c>
    </row>
    <row r="1051" spans="39:44" x14ac:dyDescent="0.3">
      <c r="AM1051" s="550">
        <f t="shared" ca="1" si="69"/>
        <v>44904</v>
      </c>
      <c r="AN1051" s="551">
        <v>197.14</v>
      </c>
      <c r="AO1051" s="551">
        <v>3130344</v>
      </c>
      <c r="AP1051" s="551">
        <v>614.80079999999998</v>
      </c>
      <c r="AQ1051" s="551">
        <v>121201.82971199999</v>
      </c>
      <c r="AR1051" s="551">
        <v>5.0776000000000003</v>
      </c>
    </row>
  </sheetData>
  <mergeCells count="5">
    <mergeCell ref="C3:H3"/>
    <mergeCell ref="J3:O3"/>
    <mergeCell ref="Y3:AD3"/>
    <mergeCell ref="AF3:AK3"/>
    <mergeCell ref="R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64BB988D-8D01-4A93-B497-E21446BB3F17}">
  <ds:schemaRefs>
    <ds:schemaRef ds:uri="http://schemas.microsoft.com/sharepoint/v3/contenttype/forms"/>
  </ds:schemaRefs>
</ds:datastoreItem>
</file>

<file path=customXml/itemProps2.xml><?xml version="1.0" encoding="utf-8"?>
<ds:datastoreItem xmlns:ds="http://schemas.openxmlformats.org/officeDocument/2006/customXml" ds:itemID="{093DF00D-4254-468B-A586-339D96CFA6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79CB92-5331-4E6D-BCCA-3ED810C77402}">
  <ds:schemaRefs>
    <ds:schemaRef ds:uri="http://schemas.microsoft.com/office/2006/documentManagement/types"/>
    <ds:schemaRef ds:uri="6ba73c8a-1af7-4183-b158-1cd1291da2b6"/>
    <ds:schemaRef ds:uri="http://www.w3.org/XML/1998/namespace"/>
    <ds:schemaRef ds:uri="http://purl.org/dc/elements/1.1/"/>
    <ds:schemaRef ds:uri="http://schemas.microsoft.com/office/2006/metadata/properties"/>
    <ds:schemaRef ds:uri="http://purl.org/dc/dcmitype/"/>
    <ds:schemaRef ds:uri="http://schemas.openxmlformats.org/package/2006/metadata/core-properties"/>
    <ds:schemaRef ds:uri="http://schemas.microsoft.com/office/infopath/2007/PartnerControls"/>
    <ds:schemaRef ds:uri="8c89d0e4-a8d9-42ba-a773-c59a56f7723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Dashboard</vt:lpstr>
      <vt:lpstr>Key Info</vt:lpstr>
      <vt:lpstr>ESG</vt:lpstr>
      <vt:lpstr>Industry</vt:lpstr>
      <vt:lpstr>Segments</vt:lpstr>
      <vt:lpstr>Peers</vt:lpstr>
      <vt:lpstr>Trading Comps</vt:lpstr>
      <vt:lpstr>WACC</vt:lpstr>
      <vt:lpstr>FCFF</vt:lpstr>
      <vt:lpstr>Anexo_projections</vt:lpstr>
      <vt:lpstr>LBO</vt:lpstr>
      <vt:lpstr>Sensitivity</vt:lpstr>
      <vt:lpstr>IS</vt:lpstr>
      <vt:lpstr>BS</vt:lpstr>
      <vt:lpstr>CF</vt:lpstr>
      <vt:lpstr>Error Check</vt:lpstr>
      <vt:lpstr>Inputs</vt:lpstr>
      <vt:lpstr>Stock Data</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Mafalda Joana Ferreira da Silva Bento</cp:lastModifiedBy>
  <cp:revision/>
  <dcterms:created xsi:type="dcterms:W3CDTF">2025-02-25T16:23:47Z</dcterms:created>
  <dcterms:modified xsi:type="dcterms:W3CDTF">2025-10-21T18:34:23Z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