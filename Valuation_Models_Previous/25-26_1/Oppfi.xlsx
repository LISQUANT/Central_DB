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jpe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omments4.xml" ContentType="application/vnd.openxmlformats-officedocument.spreadsheetml.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6.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5-26/1st cycle/Team 10 - Mariana Zhu/"/>
    </mc:Choice>
  </mc:AlternateContent>
  <xr:revisionPtr revIDLastSave="3313" documentId="8_{F277296D-CD26-4931-A3B2-87EFEA253EB4}" xr6:coauthVersionLast="47" xr6:coauthVersionMax="47" xr10:uidLastSave="{90C30581-FD9C-BE4D-9074-DBA48F8F1B45}"/>
  <bookViews>
    <workbookView xWindow="160" yWindow="500" windowWidth="28800" windowHeight="16080" tabRatio="723" firstSheet="1" activeTab="8" xr2:uid="{00000000-000D-0000-FFFF-FFFF00000000}"/>
  </bookViews>
  <sheets>
    <sheet name="Dashboard" sheetId="66" r:id="rId1"/>
    <sheet name="Key Info" sheetId="85" r:id="rId2"/>
    <sheet name="Industry" sheetId="3" r:id="rId3"/>
    <sheet name="ESG" sheetId="2" r:id="rId4"/>
    <sheet name="Segments" sheetId="84" r:id="rId5"/>
    <sheet name="Peers" sheetId="89" r:id="rId6"/>
    <sheet name="Trading Comps" sheetId="87" r:id="rId7"/>
    <sheet name="WACC" sheetId="6" r:id="rId8"/>
    <sheet name="FCFF" sheetId="78" r:id="rId9"/>
    <sheet name="LBO" sheetId="65" r:id="rId10"/>
    <sheet name="Sensitivity" sheetId="91" r:id="rId11"/>
    <sheet name="IS" sheetId="74" r:id="rId12"/>
    <sheet name="BS" sheetId="76" r:id="rId13"/>
    <sheet name="CF" sheetId="77" r:id="rId14"/>
    <sheet name="Error Check" sheetId="79" r:id="rId15"/>
    <sheet name="Inputs" sheetId="83" r:id="rId16"/>
    <sheet name="Sheet1" sheetId="92" r:id="rId17"/>
    <sheet name="Stock Data" sheetId="86" r:id="rId18"/>
  </sheets>
  <definedNames>
    <definedName name="COOLFUCNTION" comment="No description available" localSheetId="12">_xlfn.LAMBDA(_xldudf_BOARDFLARE_EXEC("workbook-settings:coolfucntion"))</definedName>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3">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7">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2" hidden="1">{"'Sheet1'!$A$1:$H$145"}</definedName>
    <definedName name="HTML_Control" localSheetId="13" hidden="1">{"'Sheet1'!$A$1:$H$145"}</definedName>
    <definedName name="HTML_Control" localSheetId="14" hidden="1">{"'Sheet1'!$A$1:$H$145"}</definedName>
    <definedName name="HTML_Control" localSheetId="3" hidden="1">{"'Sheet1'!$A$1:$H$145"}</definedName>
    <definedName name="HTML_Control" localSheetId="8" hidden="1">{"'Sheet1'!$A$1:$H$145"}</definedName>
    <definedName name="HTML_Control" localSheetId="2" hidden="1">{"'Sheet1'!$A$1:$H$145"}</definedName>
    <definedName name="HTML_Control" localSheetId="11" hidden="1">{"'Sheet1'!$A$1:$H$145"}</definedName>
    <definedName name="HTML_Control" localSheetId="9" hidden="1">{"'Sheet1'!$A$1:$H$145"}</definedName>
    <definedName name="HTML_Control" localSheetId="4" hidden="1">{"'Sheet1'!$A$1:$H$145"}</definedName>
    <definedName name="HTML_Control" localSheetId="7"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2">#REF!</definedName>
    <definedName name="Sectors" localSheetId="13">#REF!</definedName>
    <definedName name="Sectors" localSheetId="14">#REF!</definedName>
    <definedName name="Sectors" localSheetId="3">#REF!</definedName>
    <definedName name="Sectors" localSheetId="8">#REF!</definedName>
    <definedName name="Sectors" localSheetId="11">#REF!</definedName>
    <definedName name="Sectors" localSheetId="4">#REF!</definedName>
    <definedName name="Sectors">#REF!</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2" i="78" l="1"/>
  <c r="K15" i="87"/>
  <c r="I15" i="87"/>
  <c r="I52" i="87"/>
  <c r="D40" i="87"/>
  <c r="Z15" i="87"/>
  <c r="Z16" i="87"/>
  <c r="M17" i="87"/>
  <c r="J15" i="87"/>
  <c r="I17" i="87"/>
  <c r="Z17" i="87"/>
  <c r="X15" i="87"/>
  <c r="X16" i="87"/>
  <c r="X17" i="87"/>
  <c r="W15" i="87"/>
  <c r="W16" i="87"/>
  <c r="W17" i="87"/>
  <c r="V15" i="87"/>
  <c r="V16" i="87"/>
  <c r="V17" i="87"/>
  <c r="T15" i="87"/>
  <c r="T16" i="87"/>
  <c r="T17" i="87"/>
  <c r="S15" i="87"/>
  <c r="S16" i="87"/>
  <c r="S17" i="87"/>
  <c r="Q14" i="87"/>
  <c r="Q15" i="87"/>
  <c r="Q16" i="87"/>
  <c r="Q17" i="87"/>
  <c r="P15" i="87"/>
  <c r="P16" i="87"/>
  <c r="P17" i="87"/>
  <c r="O15" i="87"/>
  <c r="O16" i="87"/>
  <c r="O17" i="87"/>
  <c r="N14" i="87"/>
  <c r="N15" i="87"/>
  <c r="N16" i="87"/>
  <c r="N17" i="87"/>
  <c r="M15" i="87"/>
  <c r="M16" i="87"/>
  <c r="L15" i="87"/>
  <c r="L16" i="87"/>
  <c r="L17" i="87"/>
  <c r="I16" i="87"/>
  <c r="J16" i="87"/>
  <c r="J17" i="87"/>
  <c r="K16" i="87"/>
  <c r="K17" i="87"/>
  <c r="D35" i="6"/>
  <c r="D29" i="6"/>
  <c r="X42" i="91" a="1"/>
  <c r="X42" i="91" s="1"/>
  <c r="J104" i="78"/>
  <c r="E32" i="78"/>
  <c r="G171" i="83"/>
  <c r="L171" i="83"/>
  <c r="J144" i="83"/>
  <c r="J135" i="83"/>
  <c r="J153" i="83"/>
  <c r="G153" i="83"/>
  <c r="G144" i="83"/>
  <c r="L135" i="83"/>
  <c r="G135" i="83"/>
  <c r="E68" i="83"/>
  <c r="E63" i="83"/>
  <c r="F67" i="83"/>
  <c r="K171" i="83"/>
  <c r="I153" i="83"/>
  <c r="I162" i="83"/>
  <c r="I135" i="83"/>
  <c r="N153" i="83"/>
  <c r="N162" i="83"/>
  <c r="N171" i="83"/>
  <c r="I171" i="83"/>
  <c r="N68" i="83"/>
  <c r="I63" i="83"/>
  <c r="I67" i="83"/>
  <c r="L63" i="83"/>
  <c r="L64" i="83"/>
  <c r="G67" i="83"/>
  <c r="J171" i="83"/>
  <c r="H63" i="83"/>
  <c r="H64" i="83"/>
  <c r="H67" i="83"/>
  <c r="H68" i="83"/>
  <c r="M162" i="83"/>
  <c r="M144" i="83"/>
  <c r="K144" i="83"/>
  <c r="K153" i="83"/>
  <c r="H162" i="83"/>
  <c r="H135" i="83"/>
  <c r="M171" i="83"/>
  <c r="H171" i="83"/>
  <c r="M64" i="83"/>
  <c r="J64" i="83"/>
  <c r="J52" i="87" l="1"/>
  <c r="J51" i="87"/>
  <c r="E168" i="86" a="1"/>
  <c r="E168" i="86" s="1"/>
  <c r="G66" i="83"/>
  <c r="J66" i="83"/>
  <c r="F65" i="83"/>
  <c r="E174" i="86" a="1"/>
  <c r="E174" i="86" s="1"/>
  <c r="D18" i="83"/>
  <c r="E164" i="86" a="1"/>
  <c r="E164" i="86" s="1"/>
  <c r="F66" i="83"/>
  <c r="I65" i="83"/>
  <c r="N66" i="83"/>
  <c r="E169" i="86" a="1"/>
  <c r="E169" i="86" s="1"/>
  <c r="M65" i="83"/>
  <c r="L66" i="83"/>
  <c r="E171" i="86" a="1"/>
  <c r="E171" i="86" s="1"/>
  <c r="K65" i="83"/>
  <c r="J65" i="83"/>
  <c r="E170" i="86" a="1"/>
  <c r="E170" i="86" s="1"/>
  <c r="G65" i="83"/>
  <c r="E165" i="86" a="1"/>
  <c r="E165" i="86" s="1"/>
  <c r="E173" i="86" a="1"/>
  <c r="E173" i="86" s="1"/>
  <c r="S7" i="83"/>
  <c r="B171" i="83"/>
  <c r="B162" i="83"/>
  <c r="B153" i="83"/>
  <c r="B144" i="83"/>
  <c r="B135" i="83"/>
  <c r="I66" i="83"/>
  <c r="K66" i="83"/>
  <c r="N65" i="83"/>
  <c r="E66" i="83"/>
  <c r="M66" i="83"/>
  <c r="H66" i="83"/>
  <c r="H65" i="83"/>
  <c r="E166" i="86" a="1"/>
  <c r="E166" i="86" s="1"/>
  <c r="E65" i="83"/>
  <c r="L65" i="83"/>
  <c r="M135" i="83"/>
  <c r="M63" i="83"/>
  <c r="N67" i="83"/>
  <c r="G63" i="83"/>
  <c r="F64" i="83"/>
  <c r="H153" i="83"/>
  <c r="K135" i="83"/>
  <c r="F63" i="83"/>
  <c r="I64" i="83"/>
  <c r="M68" i="83"/>
  <c r="L153" i="83"/>
  <c r="K63" i="83"/>
  <c r="N63" i="83"/>
  <c r="N64" i="83"/>
  <c r="F68" i="83"/>
  <c r="M67" i="83"/>
  <c r="K162" i="83"/>
  <c r="K67" i="83"/>
  <c r="J67" i="83"/>
  <c r="G64" i="83"/>
  <c r="K64" i="83"/>
  <c r="N135" i="83"/>
  <c r="K68" i="83"/>
  <c r="I68" i="83"/>
  <c r="J63" i="83"/>
  <c r="G68" i="83"/>
  <c r="M153" i="83"/>
  <c r="J68" i="83"/>
  <c r="J162" i="83"/>
  <c r="L67" i="83"/>
  <c r="L68" i="83"/>
  <c r="E64" i="83"/>
  <c r="I144" i="83"/>
  <c r="N144" i="83"/>
  <c r="G162" i="83"/>
  <c r="L162" i="83"/>
  <c r="H144" i="83"/>
  <c r="L144" i="83"/>
  <c r="E67" i="83"/>
  <c r="M15" i="83" l="1"/>
  <c r="AF161" i="78"/>
  <c r="AJ61" i="78"/>
  <c r="AL61" i="78"/>
  <c r="AH61" i="78"/>
  <c r="X62" i="78"/>
  <c r="Y62" i="78"/>
  <c r="X61" i="78"/>
  <c r="X122" i="78"/>
  <c r="AL164" i="78"/>
  <c r="V126" i="78"/>
  <c r="D104" i="78"/>
  <c r="X44" i="78"/>
  <c r="E31" i="6"/>
  <c r="D13" i="6"/>
  <c r="AL12" i="78"/>
  <c r="AH14" i="78"/>
  <c r="AJ14" i="78"/>
  <c r="AL14" i="78"/>
  <c r="AD14" i="78"/>
  <c r="AE14" i="78"/>
  <c r="AC14" i="78"/>
  <c r="AB14" i="78"/>
  <c r="Z14" i="78"/>
  <c r="AF14" i="78"/>
  <c r="Z15" i="78"/>
  <c r="Z11" i="78"/>
  <c r="AC59" i="78"/>
  <c r="AD59" i="78"/>
  <c r="AE59" i="78"/>
  <c r="AB59" i="78"/>
  <c r="AL50" i="78"/>
  <c r="AJ50" i="78"/>
  <c r="AH50" i="78"/>
  <c r="AE50" i="78"/>
  <c r="AD50" i="78"/>
  <c r="AC50" i="78"/>
  <c r="AB50" i="78"/>
  <c r="Y50" i="78"/>
  <c r="X50" i="78"/>
  <c r="W95" i="78"/>
  <c r="T95" i="78"/>
  <c r="Z164" i="78"/>
  <c r="Y146" i="78"/>
  <c r="D31" i="6"/>
  <c r="D30" i="6" s="1"/>
  <c r="D28" i="6"/>
  <c r="AF17" i="84"/>
  <c r="AE17" i="84"/>
  <c r="AD17" i="84"/>
  <c r="AC17" i="84"/>
  <c r="AB17" i="84"/>
  <c r="Z17" i="84"/>
  <c r="Y17" i="84"/>
  <c r="X17" i="84"/>
  <c r="W17" i="84"/>
  <c r="V17" i="84"/>
  <c r="T17" i="84"/>
  <c r="S17" i="84"/>
  <c r="R17" i="84"/>
  <c r="Q17" i="84"/>
  <c r="P17" i="84"/>
  <c r="N17" i="84"/>
  <c r="M17" i="84"/>
  <c r="L17" i="84"/>
  <c r="K17" i="84"/>
  <c r="J17" i="84"/>
  <c r="D16" i="6"/>
  <c r="J18" i="83"/>
  <c r="H17" i="84"/>
  <c r="AE124" i="78"/>
  <c r="AD124" i="78"/>
  <c r="AC124" i="78"/>
  <c r="AB124" i="78"/>
  <c r="Y124" i="78"/>
  <c r="X124" i="78"/>
  <c r="W124" i="78"/>
  <c r="X106" i="78"/>
  <c r="Y107" i="78"/>
  <c r="X107" i="78"/>
  <c r="Y99" i="78"/>
  <c r="X99" i="78"/>
  <c r="AK18" i="74"/>
  <c r="AM18" i="74"/>
  <c r="AS18" i="74"/>
  <c r="AU18" i="74"/>
  <c r="AW18" i="74"/>
  <c r="AJ18" i="74"/>
  <c r="V37" i="78"/>
  <c r="W37" i="78"/>
  <c r="X37" i="78"/>
  <c r="Y37" i="78"/>
  <c r="P37" i="78"/>
  <c r="Q37" i="78"/>
  <c r="R37" i="78"/>
  <c r="S37" i="78"/>
  <c r="T37" i="78"/>
  <c r="Q21" i="74"/>
  <c r="E34" i="78" s="1"/>
  <c r="U21" i="74"/>
  <c r="V21" i="74"/>
  <c r="J34" i="78" s="1"/>
  <c r="X21" i="74"/>
  <c r="L34" i="78" s="1"/>
  <c r="AA21" i="74"/>
  <c r="AD21" i="74"/>
  <c r="AF21" i="74"/>
  <c r="T34" i="78" s="1"/>
  <c r="AG21" i="74"/>
  <c r="R34" i="78"/>
  <c r="Z37" i="78"/>
  <c r="AA37" i="78"/>
  <c r="AB37" i="78"/>
  <c r="AC37" i="78"/>
  <c r="AD37" i="78"/>
  <c r="AE37" i="78"/>
  <c r="AF37" i="78"/>
  <c r="AG37" i="78"/>
  <c r="AH37" i="78"/>
  <c r="AI37" i="78"/>
  <c r="AJ37" i="78"/>
  <c r="AK37" i="78"/>
  <c r="AL37" i="78"/>
  <c r="K16" i="3"/>
  <c r="J16" i="3"/>
  <c r="I16" i="3"/>
  <c r="H16" i="3"/>
  <c r="H14" i="3"/>
  <c r="K12" i="3"/>
  <c r="J12" i="3"/>
  <c r="I12" i="3"/>
  <c r="H12" i="3"/>
  <c r="J14" i="3"/>
  <c r="I14" i="3"/>
  <c r="D130" i="78"/>
  <c r="Z80" i="78"/>
  <c r="AI76" i="74"/>
  <c r="AI24" i="74" s="1"/>
  <c r="AG75" i="74"/>
  <c r="AG76" i="74" s="1"/>
  <c r="AG24" i="74" s="1"/>
  <c r="AH75" i="74"/>
  <c r="AH21" i="74" s="1"/>
  <c r="V34" i="78" s="1"/>
  <c r="AI75" i="74"/>
  <c r="AI21" i="74" s="1"/>
  <c r="W34" i="78" s="1"/>
  <c r="W86" i="78" s="1"/>
  <c r="AE73" i="74"/>
  <c r="AA24" i="74"/>
  <c r="AD24" i="74"/>
  <c r="T76" i="74"/>
  <c r="T24" i="74" s="1"/>
  <c r="U76" i="74"/>
  <c r="U24" i="74" s="1"/>
  <c r="V76" i="74"/>
  <c r="V24" i="74" s="1"/>
  <c r="AD76" i="74"/>
  <c r="S72" i="74"/>
  <c r="S74" i="74"/>
  <c r="Q75" i="74"/>
  <c r="Q76" i="74" s="1"/>
  <c r="Q24" i="74" s="1"/>
  <c r="R75" i="74"/>
  <c r="R21" i="74" s="1"/>
  <c r="F34" i="78" s="1"/>
  <c r="S75" i="74"/>
  <c r="S21" i="74" s="1"/>
  <c r="G34" i="78" s="1"/>
  <c r="T75" i="74"/>
  <c r="T21" i="74" s="1"/>
  <c r="H34" i="78" s="1"/>
  <c r="V75" i="74"/>
  <c r="W75" i="74"/>
  <c r="W76" i="74" s="1"/>
  <c r="W24" i="74" s="1"/>
  <c r="X75" i="74"/>
  <c r="X76" i="74" s="1"/>
  <c r="X24" i="74" s="1"/>
  <c r="Z75" i="74"/>
  <c r="Z21" i="74" s="1"/>
  <c r="N34" i="78" s="1"/>
  <c r="AB75" i="74"/>
  <c r="AB76" i="74" s="1"/>
  <c r="AB24" i="74" s="1"/>
  <c r="AC75" i="74"/>
  <c r="AC21" i="74" s="1"/>
  <c r="Q34" i="78" s="1"/>
  <c r="AD75" i="74"/>
  <c r="AF75" i="74"/>
  <c r="AF76" i="74" s="1"/>
  <c r="AF24" i="74" s="1"/>
  <c r="P75" i="74"/>
  <c r="P76" i="74" s="1"/>
  <c r="P24" i="74" s="1"/>
  <c r="Y74" i="74"/>
  <c r="Y75" i="74" s="1"/>
  <c r="Y73" i="74"/>
  <c r="S73" i="74"/>
  <c r="AE74" i="74"/>
  <c r="AE72" i="74"/>
  <c r="AE75" i="74" s="1"/>
  <c r="Y72" i="74"/>
  <c r="AH18" i="78"/>
  <c r="AJ18" i="78"/>
  <c r="AL18" i="78"/>
  <c r="AL17" i="78"/>
  <c r="T18" i="78"/>
  <c r="V18" i="78"/>
  <c r="AC17" i="78"/>
  <c r="AF16" i="78"/>
  <c r="E10" i="78"/>
  <c r="F10" i="78"/>
  <c r="G10" i="78"/>
  <c r="H10" i="78"/>
  <c r="J10" i="78"/>
  <c r="K10" i="78"/>
  <c r="L10" i="78"/>
  <c r="N10" i="78"/>
  <c r="P10" i="78"/>
  <c r="Q10" i="78"/>
  <c r="R10" i="78"/>
  <c r="S10" i="78"/>
  <c r="V10" i="78"/>
  <c r="W10" i="78"/>
  <c r="D10" i="78"/>
  <c r="S17" i="78"/>
  <c r="G17" i="78"/>
  <c r="M17" i="78"/>
  <c r="S16" i="78"/>
  <c r="Y16" i="78" s="1"/>
  <c r="Z16" i="78" s="1"/>
  <c r="G16" i="78"/>
  <c r="M16" i="78"/>
  <c r="N18" i="78"/>
  <c r="W18" i="78"/>
  <c r="M11" i="78"/>
  <c r="M10" i="78" s="1"/>
  <c r="T11" i="78"/>
  <c r="F18" i="78"/>
  <c r="H18" i="78"/>
  <c r="J18" i="78"/>
  <c r="K18" i="78"/>
  <c r="L18" i="78"/>
  <c r="P18" i="78"/>
  <c r="Q18" i="78"/>
  <c r="R18" i="78"/>
  <c r="E18" i="78"/>
  <c r="D18" i="78"/>
  <c r="G14" i="78"/>
  <c r="S14" i="78"/>
  <c r="S13" i="78"/>
  <c r="M13" i="78"/>
  <c r="M14" i="78"/>
  <c r="G15" i="78"/>
  <c r="G18" i="78" s="1"/>
  <c r="S15" i="78"/>
  <c r="S18" i="78" s="1"/>
  <c r="M15" i="78"/>
  <c r="M18" i="78" s="1"/>
  <c r="Z9" i="86"/>
  <c r="AA9" i="86"/>
  <c r="AD9" i="86"/>
  <c r="AC9" i="86"/>
  <c r="AB9" i="86"/>
  <c r="AB5" i="86"/>
  <c r="AC5" i="86"/>
  <c r="AD5" i="86"/>
  <c r="AA5" i="86"/>
  <c r="Z7" i="86"/>
  <c r="AC7" i="86"/>
  <c r="AB7" i="86"/>
  <c r="AD7" i="86"/>
  <c r="AA7" i="86"/>
  <c r="AA10" i="86"/>
  <c r="AC10" i="86"/>
  <c r="AB10" i="86"/>
  <c r="Z10" i="86"/>
  <c r="AD10" i="86"/>
  <c r="AC6" i="86"/>
  <c r="AB6" i="86"/>
  <c r="AA6" i="86"/>
  <c r="AD6" i="86"/>
  <c r="Z6" i="86"/>
  <c r="Z5" i="86"/>
  <c r="Z8" i="86"/>
  <c r="AA8" i="86"/>
  <c r="AB8" i="86"/>
  <c r="AC8" i="86"/>
  <c r="AD8" i="86"/>
  <c r="AB13" i="86"/>
  <c r="AD13" i="86"/>
  <c r="AA13" i="86"/>
  <c r="AC13" i="86"/>
  <c r="Z13" i="86"/>
  <c r="AC11" i="86"/>
  <c r="Z11" i="86"/>
  <c r="AA11" i="86"/>
  <c r="AD11" i="86"/>
  <c r="AB11" i="86"/>
  <c r="AB12" i="86"/>
  <c r="AD12" i="86"/>
  <c r="Z12" i="86"/>
  <c r="AA12" i="86"/>
  <c r="AC12" i="86"/>
  <c r="AB19" i="86"/>
  <c r="AD19" i="86"/>
  <c r="AA19" i="86"/>
  <c r="Z19" i="86"/>
  <c r="AC19" i="86"/>
  <c r="AC16" i="86"/>
  <c r="AA16" i="86"/>
  <c r="Z16" i="86"/>
  <c r="AD16" i="86"/>
  <c r="AA15" i="86"/>
  <c r="AB16" i="86"/>
  <c r="AD15" i="86"/>
  <c r="AC15" i="86"/>
  <c r="AB15" i="86"/>
  <c r="Z15" i="86"/>
  <c r="AA14" i="86"/>
  <c r="AC14" i="86"/>
  <c r="AD14" i="86"/>
  <c r="AB14" i="86"/>
  <c r="Z14" i="86"/>
  <c r="Z18" i="86"/>
  <c r="AA18" i="86"/>
  <c r="AD18" i="86"/>
  <c r="AB18" i="86"/>
  <c r="AC18" i="86"/>
  <c r="AD17" i="86"/>
  <c r="AA17" i="86"/>
  <c r="AB17" i="86"/>
  <c r="AC17" i="86"/>
  <c r="Z17" i="86"/>
  <c r="AD23" i="86"/>
  <c r="AA23" i="86"/>
  <c r="AB23" i="86"/>
  <c r="Z23" i="86"/>
  <c r="AC23" i="86"/>
  <c r="AC21" i="86"/>
  <c r="AA21" i="86"/>
  <c r="AD21" i="86"/>
  <c r="Z21" i="86"/>
  <c r="AA20" i="86"/>
  <c r="AB21" i="86"/>
  <c r="Z20" i="86"/>
  <c r="AB20" i="86"/>
  <c r="AC20" i="86"/>
  <c r="AD20" i="86"/>
  <c r="AA22" i="86"/>
  <c r="Z22" i="86"/>
  <c r="AB22" i="86"/>
  <c r="AC22" i="86"/>
  <c r="AD22" i="86"/>
  <c r="AD25" i="86"/>
  <c r="AA25" i="86"/>
  <c r="AC25" i="86"/>
  <c r="AB25" i="86"/>
  <c r="Z25" i="86"/>
  <c r="Z24" i="86"/>
  <c r="AB24" i="86"/>
  <c r="AA24" i="86"/>
  <c r="AC24" i="86"/>
  <c r="AD24" i="86"/>
  <c r="AD28" i="86"/>
  <c r="AC28" i="86"/>
  <c r="AB28" i="86"/>
  <c r="Z28" i="86"/>
  <c r="AA28" i="86"/>
  <c r="AB26" i="86"/>
  <c r="AC26" i="86"/>
  <c r="AD26" i="86"/>
  <c r="AA26" i="86"/>
  <c r="Z26" i="86"/>
  <c r="AA27" i="86"/>
  <c r="AC27" i="86"/>
  <c r="Z27" i="86"/>
  <c r="AD27" i="86"/>
  <c r="AB27" i="86"/>
  <c r="AC31" i="86"/>
  <c r="AB31" i="86"/>
  <c r="Z31" i="86"/>
  <c r="AD31" i="86"/>
  <c r="AD30" i="86"/>
  <c r="AB30" i="86"/>
  <c r="AC30" i="86"/>
  <c r="AA30" i="86"/>
  <c r="Z30" i="86"/>
  <c r="AA29" i="86"/>
  <c r="AB29" i="86"/>
  <c r="AD29" i="86"/>
  <c r="Z29" i="86"/>
  <c r="AC29" i="86"/>
  <c r="AC32" i="86"/>
  <c r="AB32" i="86"/>
  <c r="AA32" i="86"/>
  <c r="Z32" i="86"/>
  <c r="AD32" i="86"/>
  <c r="AA31" i="86"/>
  <c r="AC33" i="86"/>
  <c r="Z33" i="86"/>
  <c r="AB33" i="86"/>
  <c r="AD33" i="86"/>
  <c r="AA33" i="86"/>
  <c r="AC36" i="86"/>
  <c r="AD36" i="86"/>
  <c r="AB36" i="86"/>
  <c r="Z36" i="86"/>
  <c r="AA36" i="86"/>
  <c r="AB39" i="86"/>
  <c r="AA39" i="86"/>
  <c r="AD39" i="86"/>
  <c r="AC39" i="86"/>
  <c r="Z39" i="86"/>
  <c r="Z35" i="86"/>
  <c r="Z34" i="86" s="1"/>
  <c r="AC35" i="86"/>
  <c r="AC34" i="86" s="1"/>
  <c r="AA35" i="86"/>
  <c r="AA34" i="86" s="1"/>
  <c r="AD35" i="86"/>
  <c r="AD34" i="86" s="1"/>
  <c r="AB35" i="86"/>
  <c r="AB34" i="86" s="1"/>
  <c r="AC42" i="86"/>
  <c r="Z42" i="86"/>
  <c r="AA42" i="86"/>
  <c r="AB42" i="86"/>
  <c r="AD42" i="86"/>
  <c r="Z43" i="86"/>
  <c r="AB43" i="86"/>
  <c r="AA43" i="86"/>
  <c r="AC43" i="86"/>
  <c r="AD43" i="86"/>
  <c r="AA40" i="86"/>
  <c r="AB40" i="86"/>
  <c r="AC40" i="86"/>
  <c r="AD40" i="86"/>
  <c r="Z40" i="86"/>
  <c r="Z41" i="86"/>
  <c r="AD41" i="86"/>
  <c r="AA41" i="86"/>
  <c r="AC41" i="86"/>
  <c r="AB41" i="86"/>
  <c r="AC37" i="86"/>
  <c r="AD37" i="86"/>
  <c r="AB37" i="86"/>
  <c r="AA37" i="86"/>
  <c r="Z37" i="86"/>
  <c r="Z44" i="86"/>
  <c r="AC44" i="86"/>
  <c r="AA44" i="86"/>
  <c r="AD44" i="86"/>
  <c r="AB44" i="86"/>
  <c r="AA45" i="86"/>
  <c r="AD45" i="86"/>
  <c r="AC45" i="86"/>
  <c r="Z45" i="86"/>
  <c r="AB45" i="86"/>
  <c r="AA46" i="86"/>
  <c r="AD46" i="86"/>
  <c r="AC46" i="86"/>
  <c r="AB46" i="86"/>
  <c r="Z46" i="86"/>
  <c r="Z47" i="86"/>
  <c r="AC49" i="86"/>
  <c r="AB49" i="86"/>
  <c r="AA49" i="86"/>
  <c r="Z49" i="86"/>
  <c r="AD47" i="86"/>
  <c r="AA47" i="86"/>
  <c r="AB47" i="86"/>
  <c r="AC47" i="86"/>
  <c r="Z48" i="86"/>
  <c r="AA48" i="86"/>
  <c r="AC48" i="86"/>
  <c r="AB48" i="86"/>
  <c r="AD48" i="86"/>
  <c r="AD49" i="86"/>
  <c r="AB52" i="86"/>
  <c r="AC52" i="86"/>
  <c r="AD52" i="86"/>
  <c r="Z52" i="86"/>
  <c r="AA52" i="86"/>
  <c r="AC51" i="86"/>
  <c r="AB51" i="86"/>
  <c r="AD51" i="86"/>
  <c r="AA51" i="86"/>
  <c r="Z51" i="86"/>
  <c r="AD50" i="86"/>
  <c r="AB50" i="86"/>
  <c r="AC50" i="86"/>
  <c r="AA50" i="86"/>
  <c r="Z50" i="86"/>
  <c r="AD57" i="86"/>
  <c r="AC57" i="86"/>
  <c r="Z57" i="86"/>
  <c r="AA57" i="86"/>
  <c r="AD54" i="86"/>
  <c r="AB54" i="86"/>
  <c r="Z54" i="86"/>
  <c r="AA54" i="86"/>
  <c r="AC54" i="86"/>
  <c r="AB57" i="86"/>
  <c r="AB53" i="86"/>
  <c r="AA53" i="86"/>
  <c r="AC53" i="86"/>
  <c r="Z53" i="86"/>
  <c r="AD53" i="86"/>
  <c r="AC55" i="86"/>
  <c r="AB55" i="86"/>
  <c r="Z55" i="86"/>
  <c r="AD55" i="86"/>
  <c r="AA55" i="86"/>
  <c r="AD59" i="86"/>
  <c r="AD58" i="86" s="1"/>
  <c r="AC59" i="86"/>
  <c r="AC58" i="86" s="1"/>
  <c r="Z59" i="86"/>
  <c r="Z58" i="86" s="1"/>
  <c r="AA59" i="86"/>
  <c r="AA58" i="86" s="1"/>
  <c r="AB59" i="86"/>
  <c r="AB58" i="86" s="1"/>
  <c r="AB56" i="86"/>
  <c r="Z56" i="86"/>
  <c r="AD56" i="86"/>
  <c r="AC56" i="86"/>
  <c r="AA56" i="86"/>
  <c r="AD61" i="86"/>
  <c r="Z61" i="86"/>
  <c r="AC61" i="86"/>
  <c r="AB61" i="86"/>
  <c r="AA61" i="86"/>
  <c r="Z62" i="86"/>
  <c r="AA62" i="86"/>
  <c r="AC62" i="86"/>
  <c r="AB62" i="86"/>
  <c r="AD62" i="86"/>
  <c r="AC60" i="86"/>
  <c r="AB60" i="86"/>
  <c r="Z60" i="86"/>
  <c r="AA60" i="86"/>
  <c r="AD60" i="86"/>
  <c r="AD64" i="86"/>
  <c r="AB64" i="86"/>
  <c r="AC63" i="86"/>
  <c r="AC64" i="86"/>
  <c r="Z63" i="86"/>
  <c r="Z64" i="86"/>
  <c r="AA64" i="86"/>
  <c r="AD63" i="86"/>
  <c r="AA63" i="86"/>
  <c r="AB63" i="86"/>
  <c r="AC66" i="86"/>
  <c r="AB66" i="86"/>
  <c r="Z66" i="86"/>
  <c r="AA66" i="86"/>
  <c r="AC70" i="86"/>
  <c r="AD70" i="86"/>
  <c r="AA70" i="86"/>
  <c r="Z70" i="86"/>
  <c r="AB70" i="86"/>
  <c r="AB69" i="86"/>
  <c r="AD69" i="86"/>
  <c r="AC69" i="86"/>
  <c r="AA69" i="86"/>
  <c r="Z69" i="86"/>
  <c r="AA67" i="86"/>
  <c r="AD67" i="86"/>
  <c r="AC67" i="86"/>
  <c r="Z67" i="86"/>
  <c r="AB67" i="86"/>
  <c r="AD66" i="86"/>
  <c r="AC71" i="86"/>
  <c r="AB71" i="86"/>
  <c r="AD71" i="86"/>
  <c r="AA71" i="86"/>
  <c r="Z71" i="86"/>
  <c r="Z65" i="86"/>
  <c r="AA65" i="86"/>
  <c r="AC65" i="86"/>
  <c r="AD65" i="86"/>
  <c r="AB65" i="86"/>
  <c r="AC73" i="86"/>
  <c r="AA73" i="86"/>
  <c r="AB73" i="86"/>
  <c r="AD73" i="86"/>
  <c r="Z73" i="86"/>
  <c r="AA74" i="86"/>
  <c r="AD74" i="86"/>
  <c r="AC74" i="86"/>
  <c r="Z74" i="86"/>
  <c r="AB74" i="86"/>
  <c r="AC68" i="86"/>
  <c r="AD68" i="86"/>
  <c r="Z68" i="86"/>
  <c r="AA68" i="86"/>
  <c r="AB68" i="86"/>
  <c r="AD75" i="86"/>
  <c r="AB75" i="86"/>
  <c r="AC75" i="86"/>
  <c r="Z75" i="86"/>
  <c r="AA75" i="86"/>
  <c r="AA72" i="86"/>
  <c r="AC72" i="86"/>
  <c r="AB72" i="86"/>
  <c r="AD72" i="86"/>
  <c r="Z72" i="86"/>
  <c r="AD76" i="86"/>
  <c r="Z76" i="86"/>
  <c r="AC76" i="86"/>
  <c r="AB76" i="86"/>
  <c r="AA76" i="86"/>
  <c r="AC77" i="86"/>
  <c r="AB77" i="86"/>
  <c r="AA77" i="86"/>
  <c r="AD77" i="86"/>
  <c r="Z77" i="86"/>
  <c r="AA78" i="86"/>
  <c r="AB78" i="86"/>
  <c r="Z78" i="86"/>
  <c r="AD78" i="86"/>
  <c r="AC78" i="86"/>
  <c r="AA80" i="86"/>
  <c r="AD80" i="86"/>
  <c r="AC80" i="86"/>
  <c r="Z80" i="86"/>
  <c r="AB80" i="86"/>
  <c r="AD79" i="86"/>
  <c r="AB79" i="86"/>
  <c r="AA79" i="86"/>
  <c r="Z79" i="86"/>
  <c r="AC79" i="86"/>
  <c r="AD84" i="86"/>
  <c r="AA84" i="86"/>
  <c r="Z84" i="86"/>
  <c r="AB84" i="86"/>
  <c r="AB83" i="86"/>
  <c r="Z83" i="86"/>
  <c r="AA83" i="86"/>
  <c r="AA81" i="86"/>
  <c r="AC83" i="86"/>
  <c r="AD83" i="86"/>
  <c r="AC81" i="86"/>
  <c r="AD81" i="86"/>
  <c r="AB81" i="86"/>
  <c r="Z81" i="86"/>
  <c r="AC82" i="86"/>
  <c r="AD82" i="86"/>
  <c r="AB82" i="86"/>
  <c r="AA82" i="86"/>
  <c r="Z82" i="86"/>
  <c r="AC84" i="86"/>
  <c r="Z87" i="86"/>
  <c r="AB87" i="86"/>
  <c r="AC87" i="86"/>
  <c r="AA87" i="86"/>
  <c r="AD87" i="86"/>
  <c r="AB85" i="86"/>
  <c r="AD85" i="86"/>
  <c r="AC85" i="86"/>
  <c r="Z85" i="86"/>
  <c r="AA85" i="86"/>
  <c r="AC88" i="86"/>
  <c r="AA88" i="86"/>
  <c r="Z88" i="86"/>
  <c r="AB88" i="86"/>
  <c r="AD88" i="86"/>
  <c r="AB90" i="86"/>
  <c r="AD90" i="86"/>
  <c r="AA90" i="86"/>
  <c r="Z90" i="86"/>
  <c r="AC90" i="86"/>
  <c r="Z92" i="86"/>
  <c r="AA92" i="86"/>
  <c r="AD92" i="86"/>
  <c r="AC92" i="86"/>
  <c r="AB92" i="86"/>
  <c r="AB91" i="86"/>
  <c r="AC91" i="86"/>
  <c r="Z91" i="86"/>
  <c r="AA91" i="86"/>
  <c r="AD91" i="86"/>
  <c r="AA89" i="86"/>
  <c r="AD89" i="86"/>
  <c r="AC89" i="86"/>
  <c r="Z89" i="86"/>
  <c r="AB89" i="86"/>
  <c r="Z95" i="86"/>
  <c r="AC95" i="86"/>
  <c r="AD95" i="86"/>
  <c r="AA95" i="86"/>
  <c r="AC94" i="86"/>
  <c r="AC93" i="86" s="1"/>
  <c r="AA94" i="86"/>
  <c r="AA93" i="86" s="1"/>
  <c r="AD94" i="86"/>
  <c r="AD93" i="86" s="1"/>
  <c r="Z94" i="86"/>
  <c r="Z93" i="86" s="1"/>
  <c r="AB95" i="86"/>
  <c r="AB94" i="86" s="1"/>
  <c r="AB93" i="86" s="1"/>
  <c r="AD96" i="86"/>
  <c r="Z96" i="86"/>
  <c r="AC96" i="86"/>
  <c r="AA96" i="86"/>
  <c r="AB96" i="86"/>
  <c r="AC100" i="86"/>
  <c r="AA100" i="86"/>
  <c r="AB100" i="86"/>
  <c r="Z100" i="86"/>
  <c r="AD100" i="86"/>
  <c r="AA101" i="86"/>
  <c r="AC101" i="86"/>
  <c r="AD101" i="86"/>
  <c r="Z101" i="86"/>
  <c r="AB101" i="86"/>
  <c r="AA102" i="86"/>
  <c r="AB102" i="86"/>
  <c r="AC102" i="86"/>
  <c r="AD102" i="86"/>
  <c r="Z102" i="86"/>
  <c r="AA97" i="86"/>
  <c r="AD97" i="86"/>
  <c r="Z97" i="86"/>
  <c r="AB97" i="86"/>
  <c r="AC97" i="86"/>
  <c r="AD104" i="86"/>
  <c r="AC104" i="86"/>
  <c r="AA104" i="86"/>
  <c r="AB104" i="86"/>
  <c r="Z104" i="86"/>
  <c r="AD98" i="86"/>
  <c r="AB98" i="86"/>
  <c r="Z98" i="86"/>
  <c r="AC98" i="86"/>
  <c r="AA98" i="86"/>
  <c r="AD99" i="86"/>
  <c r="AB99" i="86"/>
  <c r="AA99" i="86"/>
  <c r="Z99" i="86"/>
  <c r="AC99" i="86"/>
  <c r="AD103" i="86"/>
  <c r="Z103" i="86"/>
  <c r="AA103" i="86"/>
  <c r="AC103" i="86"/>
  <c r="AB103" i="86"/>
  <c r="Z107" i="86"/>
  <c r="AB107" i="86"/>
  <c r="AD107" i="86"/>
  <c r="AA107" i="86"/>
  <c r="AC107" i="86"/>
  <c r="AC106" i="86"/>
  <c r="AD106" i="86"/>
  <c r="Z106" i="86"/>
  <c r="AA106" i="86"/>
  <c r="AB106" i="86"/>
  <c r="AB110" i="86"/>
  <c r="AA111" i="86"/>
  <c r="AA110" i="86" s="1"/>
  <c r="AC111" i="86"/>
  <c r="AC110" i="86" s="1"/>
  <c r="AD111" i="86"/>
  <c r="AD110" i="86" s="1"/>
  <c r="Z111" i="86"/>
  <c r="Z110" i="86" s="1"/>
  <c r="AD105" i="86"/>
  <c r="AA105" i="86"/>
  <c r="AC105" i="86"/>
  <c r="Z105" i="86"/>
  <c r="AB105" i="86"/>
  <c r="AB111" i="86"/>
  <c r="AA109" i="86"/>
  <c r="AC109" i="86"/>
  <c r="AB109" i="86"/>
  <c r="Z109" i="86"/>
  <c r="AD109" i="86"/>
  <c r="Z108" i="86"/>
  <c r="AC108" i="86"/>
  <c r="AD108" i="86"/>
  <c r="AB108" i="86"/>
  <c r="AA108" i="86"/>
  <c r="AC113" i="86"/>
  <c r="AD113" i="86"/>
  <c r="Z113" i="86"/>
  <c r="AA113" i="86"/>
  <c r="AB113" i="86"/>
  <c r="M120" i="83"/>
  <c r="M77" i="83"/>
  <c r="M87" i="83"/>
  <c r="M76" i="83"/>
  <c r="M109" i="83"/>
  <c r="M110" i="83"/>
  <c r="M99" i="83"/>
  <c r="M121" i="83"/>
  <c r="M88" i="83"/>
  <c r="M98" i="83"/>
  <c r="Z115" i="86"/>
  <c r="AA115" i="86"/>
  <c r="AB115" i="86"/>
  <c r="AC115" i="86"/>
  <c r="AA112" i="86"/>
  <c r="AD112" i="86"/>
  <c r="AB112" i="86"/>
  <c r="AC112" i="86"/>
  <c r="Z112" i="86"/>
  <c r="AD115" i="86"/>
  <c r="AA114" i="86"/>
  <c r="Z114" i="86"/>
  <c r="AD114" i="86"/>
  <c r="AC114" i="86"/>
  <c r="AB114" i="86"/>
  <c r="AB122" i="86"/>
  <c r="AA122" i="86"/>
  <c r="Z122" i="86"/>
  <c r="AD122" i="86"/>
  <c r="AC122" i="86"/>
  <c r="AC116" i="86"/>
  <c r="AA116" i="86"/>
  <c r="AB116" i="86"/>
  <c r="Z116" i="86"/>
  <c r="AC123" i="86"/>
  <c r="AD123" i="86"/>
  <c r="AB123" i="86"/>
  <c r="AA123" i="86"/>
  <c r="AA118" i="86"/>
  <c r="Z118" i="86"/>
  <c r="AD118" i="86"/>
  <c r="AB118" i="86"/>
  <c r="AC118" i="86"/>
  <c r="Z117" i="86"/>
  <c r="AC117" i="86"/>
  <c r="AB117" i="86"/>
  <c r="AD117" i="86"/>
  <c r="AA117" i="86"/>
  <c r="AD116" i="86"/>
  <c r="AD119" i="86"/>
  <c r="AB121" i="86"/>
  <c r="Z119" i="86"/>
  <c r="Z121" i="86"/>
  <c r="Z123" i="86"/>
  <c r="AB119" i="86"/>
  <c r="AA121" i="86"/>
  <c r="AA119" i="86"/>
  <c r="AC119" i="86"/>
  <c r="AD121" i="86"/>
  <c r="AC121" i="86"/>
  <c r="AD120" i="86"/>
  <c r="AA120" i="86"/>
  <c r="Z120" i="86"/>
  <c r="AC120" i="86"/>
  <c r="AB120" i="86"/>
  <c r="AB125" i="86"/>
  <c r="AC125" i="86"/>
  <c r="AA125" i="86"/>
  <c r="AD125" i="86"/>
  <c r="Z125" i="86"/>
  <c r="AB124" i="86"/>
  <c r="AD124" i="86"/>
  <c r="AA124" i="86"/>
  <c r="Z124" i="86"/>
  <c r="AC124" i="86"/>
  <c r="AD126" i="86"/>
  <c r="AB126" i="86"/>
  <c r="AA126" i="86"/>
  <c r="AC126" i="86"/>
  <c r="Z126" i="86"/>
  <c r="Z127" i="86"/>
  <c r="AA127" i="86"/>
  <c r="AC127" i="86"/>
  <c r="AD127" i="86"/>
  <c r="AB127" i="86"/>
  <c r="AD132" i="86"/>
  <c r="AB132" i="86"/>
  <c r="Z132" i="86"/>
  <c r="AC132" i="86"/>
  <c r="AA132" i="86"/>
  <c r="AA131" i="86"/>
  <c r="Z131" i="86"/>
  <c r="AD131" i="86"/>
  <c r="AB131" i="86"/>
  <c r="AA128" i="86"/>
  <c r="Z128" i="86"/>
  <c r="AC128" i="86"/>
  <c r="AD128" i="86"/>
  <c r="AB128" i="86"/>
  <c r="N87" i="83"/>
  <c r="N88" i="83"/>
  <c r="N77" i="83"/>
  <c r="N109" i="83"/>
  <c r="N99" i="83"/>
  <c r="N120" i="83"/>
  <c r="N98" i="83"/>
  <c r="N110" i="83"/>
  <c r="N121" i="83"/>
  <c r="N76" i="83"/>
  <c r="AB130" i="86"/>
  <c r="AC130" i="86"/>
  <c r="AA130" i="86"/>
  <c r="Z130" i="86"/>
  <c r="AA133" i="86"/>
  <c r="AD130" i="86"/>
  <c r="Z133" i="86"/>
  <c r="AB133" i="86"/>
  <c r="AD133" i="86"/>
  <c r="AC133" i="86"/>
  <c r="AC131" i="86"/>
  <c r="Z136" i="86"/>
  <c r="AA136" i="86"/>
  <c r="AC136" i="86"/>
  <c r="AB136" i="86"/>
  <c r="AD136" i="86"/>
  <c r="AA129" i="86"/>
  <c r="Z129" i="86"/>
  <c r="AC129" i="86"/>
  <c r="AD129" i="86"/>
  <c r="AB129" i="86"/>
  <c r="AC140" i="86"/>
  <c r="AD140" i="86"/>
  <c r="Z140" i="86"/>
  <c r="AA140" i="86"/>
  <c r="AD134" i="86"/>
  <c r="AC134" i="86"/>
  <c r="AB134" i="86"/>
  <c r="Z134" i="86"/>
  <c r="AA134" i="86"/>
  <c r="Z137" i="86"/>
  <c r="AB137" i="86"/>
  <c r="AD137" i="86"/>
  <c r="AC137" i="86"/>
  <c r="AA137" i="86"/>
  <c r="Z135" i="86"/>
  <c r="AA135" i="86"/>
  <c r="AC135" i="86"/>
  <c r="AD135" i="86"/>
  <c r="AB135" i="86"/>
  <c r="AB140" i="86"/>
  <c r="AD141" i="86"/>
  <c r="AC141" i="86"/>
  <c r="AB141" i="86"/>
  <c r="AA141" i="86"/>
  <c r="Z141" i="86"/>
  <c r="Z139" i="86"/>
  <c r="Z138" i="86" s="1"/>
  <c r="AC139" i="86"/>
  <c r="AC138" i="86" s="1"/>
  <c r="AD139" i="86"/>
  <c r="AD138" i="86" s="1"/>
  <c r="AA139" i="86"/>
  <c r="AA138" i="86" s="1"/>
  <c r="AB139" i="86"/>
  <c r="AB138" i="86" s="1"/>
  <c r="AD142" i="86"/>
  <c r="AA142" i="86"/>
  <c r="AC142" i="86"/>
  <c r="AB142" i="86"/>
  <c r="Z142" i="86"/>
  <c r="E109" i="83"/>
  <c r="E98" i="83"/>
  <c r="E77" i="83"/>
  <c r="E99" i="83"/>
  <c r="E110" i="83"/>
  <c r="E121" i="83"/>
  <c r="E87" i="83"/>
  <c r="E76" i="83"/>
  <c r="E120" i="83"/>
  <c r="E88" i="83"/>
  <c r="AC143" i="86"/>
  <c r="Z143" i="86"/>
  <c r="AD143" i="86"/>
  <c r="AA143" i="86"/>
  <c r="AB143" i="86"/>
  <c r="L121" i="83"/>
  <c r="L77" i="83"/>
  <c r="L76" i="83"/>
  <c r="L98" i="83"/>
  <c r="L88" i="83"/>
  <c r="L109" i="83"/>
  <c r="L99" i="83"/>
  <c r="L87" i="83"/>
  <c r="L120" i="83"/>
  <c r="L110" i="83"/>
  <c r="AC144" i="86"/>
  <c r="Z144" i="86"/>
  <c r="AA144" i="86"/>
  <c r="AD144" i="86"/>
  <c r="AB144" i="86"/>
  <c r="F109" i="83"/>
  <c r="F121" i="83"/>
  <c r="F87" i="83"/>
  <c r="F88" i="83"/>
  <c r="F76" i="83"/>
  <c r="F77" i="83"/>
  <c r="F98" i="83"/>
  <c r="F99" i="83"/>
  <c r="F110" i="83"/>
  <c r="F120" i="83"/>
  <c r="Z147" i="86"/>
  <c r="Z146" i="86" s="1"/>
  <c r="AB147" i="86"/>
  <c r="AB146" i="86" s="1"/>
  <c r="AA147" i="86"/>
  <c r="AA146" i="86" s="1"/>
  <c r="AD147" i="86"/>
  <c r="AD146" i="86" s="1"/>
  <c r="AC147" i="86"/>
  <c r="AC146" i="86" s="1"/>
  <c r="AA145" i="86"/>
  <c r="AC145" i="86"/>
  <c r="AD145" i="86"/>
  <c r="Z145" i="86"/>
  <c r="J98" i="83"/>
  <c r="J120" i="83"/>
  <c r="J110" i="83"/>
  <c r="J76" i="83"/>
  <c r="J77" i="83"/>
  <c r="J87" i="83"/>
  <c r="J99" i="83"/>
  <c r="J88" i="83"/>
  <c r="J121" i="83"/>
  <c r="AB145" i="86"/>
  <c r="J109" i="83"/>
  <c r="G121" i="83"/>
  <c r="G88" i="83"/>
  <c r="G110" i="83"/>
  <c r="G99" i="83"/>
  <c r="G98" i="83"/>
  <c r="G87" i="83"/>
  <c r="G120" i="83"/>
  <c r="G76" i="83"/>
  <c r="G77" i="83"/>
  <c r="G109" i="83"/>
  <c r="I98" i="83"/>
  <c r="I120" i="83"/>
  <c r="I77" i="83"/>
  <c r="I121" i="83"/>
  <c r="I110" i="83"/>
  <c r="I109" i="83"/>
  <c r="I99" i="83"/>
  <c r="I76" i="83"/>
  <c r="I87" i="83"/>
  <c r="I88" i="83"/>
  <c r="AC148" i="86"/>
  <c r="AD148" i="86"/>
  <c r="AA148" i="86"/>
  <c r="AB148" i="86"/>
  <c r="Z148" i="86"/>
  <c r="AB151" i="86"/>
  <c r="AA151" i="86"/>
  <c r="Z151" i="86"/>
  <c r="AD151" i="86"/>
  <c r="AC151" i="86"/>
  <c r="AC149" i="86"/>
  <c r="AD149" i="86"/>
  <c r="AA149" i="86"/>
  <c r="Z149" i="86"/>
  <c r="AB149" i="86"/>
  <c r="K99" i="83"/>
  <c r="K88" i="83"/>
  <c r="K98" i="83"/>
  <c r="K110" i="83"/>
  <c r="K87" i="83"/>
  <c r="K120" i="83"/>
  <c r="K121" i="83"/>
  <c r="K76" i="83"/>
  <c r="K109" i="83"/>
  <c r="K77" i="83"/>
  <c r="AC150" i="86"/>
  <c r="AA150" i="86"/>
  <c r="Z150" i="86"/>
  <c r="AB150" i="86"/>
  <c r="AD150" i="86"/>
  <c r="L165" i="83"/>
  <c r="L156" i="83"/>
  <c r="L138" i="83"/>
  <c r="L147" i="83"/>
  <c r="L145" i="83"/>
  <c r="L163" i="83"/>
  <c r="L136" i="83"/>
  <c r="L154" i="83"/>
  <c r="L167" i="83"/>
  <c r="L158" i="83"/>
  <c r="L140" i="83"/>
  <c r="L149" i="83"/>
  <c r="L137" i="83"/>
  <c r="L155" i="83"/>
  <c r="L164" i="83"/>
  <c r="L146" i="83"/>
  <c r="AB156" i="86"/>
  <c r="AC156" i="86"/>
  <c r="AD156" i="86"/>
  <c r="Z156" i="86"/>
  <c r="AA156" i="86"/>
  <c r="L166" i="83"/>
  <c r="L148" i="83"/>
  <c r="L157" i="83"/>
  <c r="L139" i="83"/>
  <c r="AC154" i="86"/>
  <c r="AB154" i="86"/>
  <c r="AD154" i="86"/>
  <c r="Z154" i="86"/>
  <c r="AA154" i="86"/>
  <c r="AA152" i="86"/>
  <c r="Z152" i="86"/>
  <c r="AC152" i="86"/>
  <c r="AD152" i="86"/>
  <c r="AB152" i="86"/>
  <c r="H76" i="83"/>
  <c r="H99" i="83"/>
  <c r="H98" i="83"/>
  <c r="H109" i="83"/>
  <c r="H110" i="83"/>
  <c r="H77" i="83"/>
  <c r="H88" i="83"/>
  <c r="H87" i="83"/>
  <c r="H121" i="83"/>
  <c r="H120" i="83"/>
  <c r="L111" i="83"/>
  <c r="L112" i="83"/>
  <c r="L108" i="83"/>
  <c r="L107" i="83"/>
  <c r="L122" i="83"/>
  <c r="L123" i="83"/>
  <c r="L118" i="83"/>
  <c r="L75" i="83"/>
  <c r="L79" i="83"/>
  <c r="L78" i="83"/>
  <c r="L119" i="83"/>
  <c r="L74" i="83"/>
  <c r="L89" i="83"/>
  <c r="L90" i="83"/>
  <c r="L86" i="83"/>
  <c r="L85" i="83"/>
  <c r="Z155" i="86"/>
  <c r="AA155" i="86"/>
  <c r="AC155" i="86"/>
  <c r="AD155" i="86"/>
  <c r="AB155" i="86"/>
  <c r="M85" i="83"/>
  <c r="M89" i="83"/>
  <c r="M90" i="83"/>
  <c r="M86" i="83"/>
  <c r="M79" i="83"/>
  <c r="M75" i="83"/>
  <c r="M74" i="83"/>
  <c r="M78" i="83"/>
  <c r="M118" i="83"/>
  <c r="M119" i="83"/>
  <c r="M107" i="83"/>
  <c r="M112" i="83"/>
  <c r="M122" i="83"/>
  <c r="M111" i="83"/>
  <c r="M108" i="83"/>
  <c r="M123" i="83"/>
  <c r="AB157" i="86"/>
  <c r="Z157" i="86"/>
  <c r="AA157" i="86"/>
  <c r="AC157" i="86"/>
  <c r="M100" i="83"/>
  <c r="M97" i="83"/>
  <c r="M96" i="83"/>
  <c r="AD157" i="86"/>
  <c r="M101" i="83"/>
  <c r="L96" i="83"/>
  <c r="L100" i="83"/>
  <c r="L97" i="83"/>
  <c r="L101" i="83"/>
  <c r="Z153" i="86"/>
  <c r="AC153" i="86"/>
  <c r="AB153" i="86"/>
  <c r="AD153" i="86"/>
  <c r="AA153" i="86"/>
  <c r="I86" i="83"/>
  <c r="I75" i="83"/>
  <c r="I79" i="83"/>
  <c r="I118" i="83"/>
  <c r="I111" i="83"/>
  <c r="I112" i="83"/>
  <c r="I85" i="83"/>
  <c r="I107" i="83"/>
  <c r="I122" i="83"/>
  <c r="I90" i="83"/>
  <c r="I108" i="83"/>
  <c r="I89" i="83"/>
  <c r="I78" i="83"/>
  <c r="I123" i="83"/>
  <c r="I74" i="83"/>
  <c r="I119" i="83"/>
  <c r="Z158" i="86"/>
  <c r="AD158" i="86"/>
  <c r="AC158" i="86"/>
  <c r="AB158" i="86"/>
  <c r="AA158" i="86"/>
  <c r="I101" i="83"/>
  <c r="I96" i="83"/>
  <c r="I100" i="83"/>
  <c r="I97" i="83"/>
  <c r="Z159" i="86"/>
  <c r="AA159" i="86"/>
  <c r="AC159" i="86"/>
  <c r="AB159" i="86"/>
  <c r="AD159" i="86"/>
  <c r="H146" i="83"/>
  <c r="H155" i="83"/>
  <c r="H164" i="83"/>
  <c r="H137" i="83"/>
  <c r="H158" i="83"/>
  <c r="H140" i="83"/>
  <c r="H167" i="83"/>
  <c r="H149" i="83"/>
  <c r="H165" i="83"/>
  <c r="H156" i="83"/>
  <c r="H138" i="83"/>
  <c r="H147" i="83"/>
  <c r="H145" i="83"/>
  <c r="H163" i="83"/>
  <c r="H154" i="83"/>
  <c r="H136" i="83"/>
  <c r="H148" i="83"/>
  <c r="H166" i="83"/>
  <c r="H157" i="83"/>
  <c r="H139" i="83"/>
  <c r="J163" i="83"/>
  <c r="J139" i="83"/>
  <c r="J166" i="83"/>
  <c r="J148" i="83"/>
  <c r="J136" i="83"/>
  <c r="J145" i="83"/>
  <c r="J154" i="83"/>
  <c r="J157" i="83"/>
  <c r="J146" i="83"/>
  <c r="J138" i="83"/>
  <c r="J158" i="83"/>
  <c r="J167" i="83"/>
  <c r="J140" i="83"/>
  <c r="J156" i="83"/>
  <c r="J137" i="83"/>
  <c r="J155" i="83"/>
  <c r="J164" i="83"/>
  <c r="J165" i="83"/>
  <c r="J149" i="83"/>
  <c r="J147" i="83"/>
  <c r="G165" i="83"/>
  <c r="G138" i="83"/>
  <c r="G156" i="83"/>
  <c r="G147" i="83"/>
  <c r="G154" i="83"/>
  <c r="G145" i="83"/>
  <c r="G163" i="83"/>
  <c r="G136" i="83"/>
  <c r="G164" i="83"/>
  <c r="G155" i="83"/>
  <c r="G146" i="83"/>
  <c r="G137" i="83"/>
  <c r="G139" i="83"/>
  <c r="G166" i="83"/>
  <c r="G157" i="83"/>
  <c r="G148" i="83"/>
  <c r="G167" i="83"/>
  <c r="G140" i="83"/>
  <c r="G158" i="83"/>
  <c r="G149" i="83"/>
  <c r="I154" i="83"/>
  <c r="I145" i="83"/>
  <c r="I136" i="83"/>
  <c r="I163" i="83"/>
  <c r="I146" i="83"/>
  <c r="I165" i="83"/>
  <c r="I148" i="83"/>
  <c r="I158" i="83"/>
  <c r="I149" i="83"/>
  <c r="I167" i="83"/>
  <c r="I164" i="83"/>
  <c r="I155" i="83"/>
  <c r="I156" i="83"/>
  <c r="I139" i="83"/>
  <c r="I157" i="83"/>
  <c r="I147" i="83"/>
  <c r="I138" i="83"/>
  <c r="I137" i="83"/>
  <c r="I166" i="83"/>
  <c r="I140" i="83"/>
  <c r="K164" i="83"/>
  <c r="K156" i="83"/>
  <c r="K147" i="83"/>
  <c r="K165" i="83"/>
  <c r="K136" i="83"/>
  <c r="K137" i="83"/>
  <c r="K138" i="83"/>
  <c r="K149" i="83"/>
  <c r="K158" i="83"/>
  <c r="K154" i="83"/>
  <c r="K163" i="83"/>
  <c r="K140" i="83"/>
  <c r="K146" i="83"/>
  <c r="K145" i="83"/>
  <c r="K167" i="83"/>
  <c r="K155" i="83"/>
  <c r="K85" i="83"/>
  <c r="K89" i="83"/>
  <c r="K86" i="83"/>
  <c r="K90" i="83"/>
  <c r="K123" i="83"/>
  <c r="K118" i="83"/>
  <c r="K122" i="83"/>
  <c r="K119" i="83"/>
  <c r="K96" i="83"/>
  <c r="K101" i="83"/>
  <c r="K97" i="83"/>
  <c r="K107" i="83"/>
  <c r="K108" i="83"/>
  <c r="K112" i="83"/>
  <c r="K111" i="83"/>
  <c r="K100" i="83"/>
  <c r="N164" i="83"/>
  <c r="N146" i="83"/>
  <c r="N137" i="83"/>
  <c r="N155" i="83"/>
  <c r="N166" i="83"/>
  <c r="N157" i="83"/>
  <c r="N139" i="83"/>
  <c r="N148" i="83"/>
  <c r="N163" i="83"/>
  <c r="N156" i="83"/>
  <c r="N165" i="83"/>
  <c r="N154" i="83"/>
  <c r="N147" i="83"/>
  <c r="N145" i="83"/>
  <c r="N138" i="83"/>
  <c r="N136" i="83"/>
  <c r="N158" i="83"/>
  <c r="N140" i="83"/>
  <c r="N167" i="83"/>
  <c r="N149" i="83"/>
  <c r="K148" i="83"/>
  <c r="K166" i="83"/>
  <c r="K157" i="83"/>
  <c r="K139" i="83"/>
  <c r="K78" i="83"/>
  <c r="K75" i="83"/>
  <c r="K74" i="83"/>
  <c r="K79" i="83"/>
  <c r="M167" i="83"/>
  <c r="M149" i="83"/>
  <c r="M158" i="83"/>
  <c r="M140" i="83"/>
  <c r="M136" i="83"/>
  <c r="M154" i="83"/>
  <c r="M163" i="83"/>
  <c r="M145" i="83"/>
  <c r="M164" i="83"/>
  <c r="M146" i="83"/>
  <c r="M137" i="83"/>
  <c r="M155" i="83"/>
  <c r="M147" i="83"/>
  <c r="M156" i="83"/>
  <c r="M166" i="83"/>
  <c r="M148" i="83"/>
  <c r="M138" i="83"/>
  <c r="M165" i="83"/>
  <c r="M157" i="83"/>
  <c r="M139" i="83"/>
  <c r="H78" i="83"/>
  <c r="H90" i="83"/>
  <c r="H74" i="83"/>
  <c r="H97" i="83"/>
  <c r="H112" i="83"/>
  <c r="H86" i="83"/>
  <c r="H85" i="83"/>
  <c r="H108" i="83"/>
  <c r="H101" i="83"/>
  <c r="H79" i="83"/>
  <c r="H100" i="83"/>
  <c r="H96" i="83"/>
  <c r="H107" i="83"/>
  <c r="H75" i="83"/>
  <c r="H111" i="83"/>
  <c r="H89" i="83"/>
  <c r="H118" i="83"/>
  <c r="H119" i="83"/>
  <c r="H122" i="83"/>
  <c r="H123" i="83"/>
  <c r="J123" i="83"/>
  <c r="J119" i="83"/>
  <c r="J122" i="83"/>
  <c r="J118" i="83"/>
  <c r="J101" i="83"/>
  <c r="J96" i="83"/>
  <c r="J75" i="83"/>
  <c r="J78" i="83"/>
  <c r="J79" i="83"/>
  <c r="J100" i="83"/>
  <c r="J74" i="83"/>
  <c r="J97" i="83"/>
  <c r="J108" i="83"/>
  <c r="J112" i="83"/>
  <c r="J90" i="83"/>
  <c r="J111" i="83"/>
  <c r="J107" i="83"/>
  <c r="J85" i="83"/>
  <c r="J89" i="83"/>
  <c r="J86" i="83"/>
  <c r="F74" i="83"/>
  <c r="F79" i="83"/>
  <c r="F78" i="83"/>
  <c r="F75" i="83"/>
  <c r="F111" i="83"/>
  <c r="F107" i="83"/>
  <c r="F112" i="83"/>
  <c r="F108" i="83"/>
  <c r="F122" i="83"/>
  <c r="F118" i="83"/>
  <c r="F96" i="83"/>
  <c r="F97" i="83"/>
  <c r="F123" i="83"/>
  <c r="F100" i="83"/>
  <c r="F101" i="83"/>
  <c r="F119" i="83"/>
  <c r="F86" i="83"/>
  <c r="F90" i="83"/>
  <c r="F89" i="83"/>
  <c r="F85" i="83"/>
  <c r="M173" i="83"/>
  <c r="M175" i="83"/>
  <c r="M174" i="83"/>
  <c r="M172" i="83"/>
  <c r="N175" i="83"/>
  <c r="N174" i="83"/>
  <c r="N173" i="83"/>
  <c r="N172" i="83"/>
  <c r="N176" i="83"/>
  <c r="J174" i="83"/>
  <c r="J175" i="83"/>
  <c r="J173" i="83"/>
  <c r="J176" i="83"/>
  <c r="J172" i="83"/>
  <c r="E123" i="83"/>
  <c r="E100" i="83"/>
  <c r="E90" i="83"/>
  <c r="E86" i="83"/>
  <c r="E96" i="83"/>
  <c r="E97" i="83"/>
  <c r="E122" i="83"/>
  <c r="E119" i="83"/>
  <c r="E89" i="83"/>
  <c r="E85" i="83"/>
  <c r="E118" i="83"/>
  <c r="E101" i="83"/>
  <c r="E111" i="83"/>
  <c r="E78" i="83"/>
  <c r="E75" i="83"/>
  <c r="E108" i="83"/>
  <c r="E79" i="83"/>
  <c r="E74" i="83"/>
  <c r="E112" i="83"/>
  <c r="E107" i="83"/>
  <c r="K172" i="83"/>
  <c r="K175" i="83"/>
  <c r="K176" i="83"/>
  <c r="K174" i="83"/>
  <c r="N119" i="83"/>
  <c r="N122" i="83"/>
  <c r="N118" i="83"/>
  <c r="N123" i="83"/>
  <c r="N78" i="83"/>
  <c r="N79" i="83"/>
  <c r="N74" i="83"/>
  <c r="N75" i="83"/>
  <c r="N97" i="83"/>
  <c r="N96" i="83"/>
  <c r="N100" i="83"/>
  <c r="N101" i="83"/>
  <c r="N108" i="83"/>
  <c r="N112" i="83"/>
  <c r="N107" i="83"/>
  <c r="N111" i="83"/>
  <c r="N85" i="83"/>
  <c r="N86" i="83"/>
  <c r="N90" i="83"/>
  <c r="N89" i="83"/>
  <c r="M176" i="83"/>
  <c r="K173" i="83"/>
  <c r="H173" i="83"/>
  <c r="H176" i="83"/>
  <c r="H175" i="83"/>
  <c r="H172" i="83"/>
  <c r="H174" i="83"/>
  <c r="I173" i="83"/>
  <c r="I172" i="83"/>
  <c r="I174" i="83"/>
  <c r="I176" i="83"/>
  <c r="I175" i="83"/>
  <c r="L176" i="83"/>
  <c r="L172" i="83"/>
  <c r="L175" i="83"/>
  <c r="L174" i="83"/>
  <c r="L173" i="83"/>
  <c r="G173" i="83"/>
  <c r="G175" i="83"/>
  <c r="G176" i="83"/>
  <c r="G172" i="83"/>
  <c r="G174" i="83"/>
  <c r="G74" i="83"/>
  <c r="G75" i="83"/>
  <c r="G78" i="83"/>
  <c r="G79" i="83"/>
  <c r="G89" i="83"/>
  <c r="G96" i="83"/>
  <c r="G108" i="83"/>
  <c r="G85" i="83"/>
  <c r="G112" i="83"/>
  <c r="G100" i="83"/>
  <c r="G119" i="83"/>
  <c r="G101" i="83"/>
  <c r="G97" i="83"/>
  <c r="G122" i="83"/>
  <c r="G90" i="83"/>
  <c r="G118" i="83"/>
  <c r="G111" i="83"/>
  <c r="G86" i="83"/>
  <c r="G107" i="83"/>
  <c r="G123" i="83"/>
  <c r="F18" i="87"/>
  <c r="F17" i="87"/>
  <c r="F29" i="87"/>
  <c r="G16" i="87"/>
  <c r="F19" i="87"/>
  <c r="F41" i="87"/>
  <c r="F27" i="87"/>
  <c r="G41" i="87"/>
  <c r="G40" i="87"/>
  <c r="F40" i="87"/>
  <c r="G17" i="87"/>
  <c r="G39" i="87"/>
  <c r="F39" i="87"/>
  <c r="F16" i="87"/>
  <c r="G19" i="87"/>
  <c r="F28" i="87"/>
  <c r="G29" i="87"/>
  <c r="G18" i="87"/>
  <c r="G27" i="87"/>
  <c r="G28" i="87"/>
  <c r="K39" i="87"/>
  <c r="N22" i="83"/>
  <c r="E27" i="87"/>
  <c r="D27" i="87"/>
  <c r="D43" i="87"/>
  <c r="T29" i="87"/>
  <c r="D41" i="87"/>
  <c r="C29" i="87"/>
  <c r="H21" i="83"/>
  <c r="C18" i="87"/>
  <c r="E43" i="87"/>
  <c r="E41" i="87"/>
  <c r="E30" i="87"/>
  <c r="D39" i="87"/>
  <c r="D30" i="87"/>
  <c r="C40" i="87"/>
  <c r="T40" i="87"/>
  <c r="C41" i="87"/>
  <c r="C27" i="87"/>
  <c r="H22" i="83"/>
  <c r="D29" i="87"/>
  <c r="T19" i="87"/>
  <c r="D28" i="87"/>
  <c r="E19" i="87"/>
  <c r="D19" i="87"/>
  <c r="H23" i="83"/>
  <c r="T28" i="87"/>
  <c r="E29" i="87"/>
  <c r="E18" i="87"/>
  <c r="D18" i="87"/>
  <c r="C30" i="87"/>
  <c r="T27" i="87"/>
  <c r="C43" i="87"/>
  <c r="T18" i="87"/>
  <c r="N21" i="83"/>
  <c r="E39" i="87"/>
  <c r="E40" i="87"/>
  <c r="E28" i="87"/>
  <c r="T39" i="87"/>
  <c r="T41" i="87"/>
  <c r="N25" i="83"/>
  <c r="C28" i="87"/>
  <c r="T30" i="87"/>
  <c r="B24" i="83"/>
  <c r="B175" i="83"/>
  <c r="B166" i="83"/>
  <c r="B157" i="83"/>
  <c r="B148" i="83"/>
  <c r="B139" i="83"/>
  <c r="C19" i="87"/>
  <c r="T43" i="87"/>
  <c r="B25" i="83"/>
  <c r="B176" i="83"/>
  <c r="B167" i="83"/>
  <c r="B158" i="83"/>
  <c r="B149" i="83"/>
  <c r="B140" i="83"/>
  <c r="C39" i="87"/>
  <c r="N23" i="83"/>
  <c r="H24" i="83"/>
  <c r="N39" i="87"/>
  <c r="S30" i="87"/>
  <c r="Z30" i="87"/>
  <c r="F42" i="87"/>
  <c r="G15" i="87"/>
  <c r="F15" i="87"/>
  <c r="G42" i="87"/>
  <c r="G43" i="87"/>
  <c r="G31" i="87"/>
  <c r="F30" i="87"/>
  <c r="F43" i="87"/>
  <c r="F31" i="87"/>
  <c r="G30" i="87"/>
  <c r="W31" i="87"/>
  <c r="K31" i="87"/>
  <c r="O31" i="87"/>
  <c r="Q41" i="87"/>
  <c r="S41" i="87"/>
  <c r="L41" i="87"/>
  <c r="I41" i="87"/>
  <c r="Z41" i="87"/>
  <c r="S27" i="87"/>
  <c r="I27" i="87"/>
  <c r="Z27" i="87"/>
  <c r="L27" i="87"/>
  <c r="Z40" i="87"/>
  <c r="K40" i="87"/>
  <c r="Z18" i="87"/>
  <c r="K19" i="87"/>
  <c r="B22" i="83"/>
  <c r="B173" i="83"/>
  <c r="B164" i="83"/>
  <c r="B155" i="83"/>
  <c r="B146" i="83"/>
  <c r="B137" i="83"/>
  <c r="C16" i="87"/>
  <c r="E15" i="87"/>
  <c r="C17" i="87"/>
  <c r="D15" i="87"/>
  <c r="D16" i="87"/>
  <c r="D17" i="87"/>
  <c r="C15" i="87"/>
  <c r="E17" i="87"/>
  <c r="E16" i="87"/>
  <c r="B21" i="83"/>
  <c r="B172" i="83"/>
  <c r="B163" i="83"/>
  <c r="B154" i="83"/>
  <c r="B145" i="83"/>
  <c r="B136" i="83"/>
  <c r="S29" i="87"/>
  <c r="I29" i="87"/>
  <c r="B23" i="83"/>
  <c r="B174" i="83"/>
  <c r="B165" i="83"/>
  <c r="B156" i="83"/>
  <c r="B147" i="83"/>
  <c r="B138" i="83"/>
  <c r="L29" i="87"/>
  <c r="Z29" i="87"/>
  <c r="S18" i="87"/>
  <c r="L18" i="87"/>
  <c r="I18" i="87"/>
  <c r="Z39" i="87"/>
  <c r="S39" i="87"/>
  <c r="I39" i="87"/>
  <c r="L39" i="87"/>
  <c r="S19" i="87"/>
  <c r="I19" i="87"/>
  <c r="T31" i="87"/>
  <c r="T42" i="87"/>
  <c r="C31" i="87"/>
  <c r="D31" i="87"/>
  <c r="D42" i="87"/>
  <c r="E31" i="87"/>
  <c r="E42" i="87"/>
  <c r="H25" i="83"/>
  <c r="N24" i="83"/>
  <c r="C42" i="87"/>
  <c r="L19" i="87"/>
  <c r="Z19" i="87"/>
  <c r="S31" i="87"/>
  <c r="L31" i="87"/>
  <c r="I31" i="87"/>
  <c r="Z31" i="87"/>
  <c r="S43" i="87"/>
  <c r="L43" i="87"/>
  <c r="Z43" i="87"/>
  <c r="I43" i="87"/>
  <c r="Z42" i="87"/>
  <c r="S40" i="87"/>
  <c r="L40" i="87"/>
  <c r="I40" i="87"/>
  <c r="S42" i="87"/>
  <c r="I42" i="87"/>
  <c r="L42" i="87"/>
  <c r="Z28" i="87"/>
  <c r="K28" i="87"/>
  <c r="M28" i="87"/>
  <c r="S28" i="87"/>
  <c r="J28" i="87"/>
  <c r="I28" i="87"/>
  <c r="W28" i="87"/>
  <c r="N28" i="87"/>
  <c r="Q28" i="87"/>
  <c r="P28" i="87"/>
  <c r="X28" i="87"/>
  <c r="V28" i="87"/>
  <c r="O28" i="87"/>
  <c r="L28" i="87"/>
  <c r="W18" i="87"/>
  <c r="V18" i="87"/>
  <c r="X18" i="87"/>
  <c r="V29" i="87"/>
  <c r="X29" i="87"/>
  <c r="W29" i="87"/>
  <c r="W19" i="87"/>
  <c r="V19" i="87"/>
  <c r="X19" i="87"/>
  <c r="V41" i="87"/>
  <c r="X41" i="87"/>
  <c r="W41" i="87"/>
  <c r="V27" i="87"/>
  <c r="W27" i="87"/>
  <c r="X27" i="87"/>
  <c r="J41" i="87"/>
  <c r="N41" i="87"/>
  <c r="P41" i="87"/>
  <c r="K41" i="87"/>
  <c r="O41" i="87"/>
  <c r="M41" i="87"/>
  <c r="J40" i="87"/>
  <c r="M40" i="87"/>
  <c r="P40" i="87"/>
  <c r="O40" i="87"/>
  <c r="Q40" i="87"/>
  <c r="N40" i="87"/>
  <c r="V40" i="87"/>
  <c r="W40" i="87"/>
  <c r="X40" i="87"/>
  <c r="P39" i="87"/>
  <c r="J39" i="87"/>
  <c r="O39" i="87"/>
  <c r="M39" i="87"/>
  <c r="Q39" i="87"/>
  <c r="X39" i="87"/>
  <c r="W39" i="87"/>
  <c r="V39" i="87"/>
  <c r="M19" i="87"/>
  <c r="N19" i="87"/>
  <c r="J19" i="87"/>
  <c r="O19" i="87"/>
  <c r="P19" i="87"/>
  <c r="Q19" i="87"/>
  <c r="K29" i="87"/>
  <c r="P29" i="87"/>
  <c r="O29" i="87"/>
  <c r="M29" i="87"/>
  <c r="Q29" i="87"/>
  <c r="J29" i="87"/>
  <c r="N29" i="87"/>
  <c r="J18" i="87"/>
  <c r="Q18" i="87"/>
  <c r="P18" i="87"/>
  <c r="O18" i="87"/>
  <c r="K18" i="87"/>
  <c r="N18" i="87"/>
  <c r="M18" i="87"/>
  <c r="P27" i="87"/>
  <c r="K27" i="87"/>
  <c r="O27" i="87"/>
  <c r="N27" i="87"/>
  <c r="Q27" i="87"/>
  <c r="M27" i="87"/>
  <c r="J27" i="87"/>
  <c r="V42" i="87"/>
  <c r="X42" i="87"/>
  <c r="W42" i="87"/>
  <c r="Q42" i="87"/>
  <c r="O42" i="87"/>
  <c r="J42" i="87"/>
  <c r="K42" i="87"/>
  <c r="N42" i="87"/>
  <c r="M42" i="87"/>
  <c r="P42" i="87"/>
  <c r="N43" i="87"/>
  <c r="J43" i="87"/>
  <c r="Q43" i="87"/>
  <c r="P43" i="87"/>
  <c r="O43" i="87"/>
  <c r="M43" i="87"/>
  <c r="K43" i="87"/>
  <c r="M31" i="87"/>
  <c r="Q31" i="87"/>
  <c r="P31" i="87"/>
  <c r="N31" i="87"/>
  <c r="J31" i="87"/>
  <c r="X30" i="87"/>
  <c r="V30" i="87"/>
  <c r="W30" i="87"/>
  <c r="W43" i="87"/>
  <c r="V43" i="87"/>
  <c r="X43" i="87"/>
  <c r="X31" i="87"/>
  <c r="V31" i="87"/>
  <c r="L30" i="87"/>
  <c r="I30" i="87"/>
  <c r="Q30" i="87"/>
  <c r="M30" i="87"/>
  <c r="P30" i="87"/>
  <c r="N30" i="87"/>
  <c r="J30" i="87"/>
  <c r="O30" i="87"/>
  <c r="K30" i="87"/>
  <c r="AB62" i="78" l="1"/>
  <c r="Y61" i="78"/>
  <c r="Y44" i="78"/>
  <c r="AB44" i="78" s="1"/>
  <c r="AC44" i="78" s="1"/>
  <c r="AE76" i="74"/>
  <c r="AE24" i="74" s="1"/>
  <c r="AE21" i="74"/>
  <c r="S34" i="78" s="1"/>
  <c r="Y76" i="74"/>
  <c r="Y24" i="74" s="1"/>
  <c r="Y21" i="74"/>
  <c r="M34" i="78" s="1"/>
  <c r="AC76" i="74"/>
  <c r="AC24" i="74" s="1"/>
  <c r="W21" i="74"/>
  <c r="K34" i="78" s="1"/>
  <c r="S76" i="74"/>
  <c r="S24" i="74" s="1"/>
  <c r="AH76" i="74"/>
  <c r="AH24" i="74" s="1"/>
  <c r="Z76" i="74"/>
  <c r="Z24" i="74" s="1"/>
  <c r="R76" i="74"/>
  <c r="R24" i="74" s="1"/>
  <c r="P21" i="74"/>
  <c r="D34" i="78" s="1"/>
  <c r="AB21" i="74"/>
  <c r="P34" i="78" s="1"/>
  <c r="X13" i="78"/>
  <c r="X14" i="78"/>
  <c r="Y14" i="78" s="1"/>
  <c r="X18" i="78"/>
  <c r="T10" i="78"/>
  <c r="X17" i="78"/>
  <c r="Y17" i="78" s="1"/>
  <c r="AB17" i="78"/>
  <c r="Y18" i="78"/>
  <c r="D31" i="78"/>
  <c r="D32" i="78" s="1"/>
  <c r="AC62" i="78" l="1"/>
  <c r="AC61" i="78" s="1"/>
  <c r="AD62" i="78"/>
  <c r="AD61" i="78" s="1"/>
  <c r="AE62" i="78"/>
  <c r="AE61" i="78" s="1"/>
  <c r="AF62" i="78"/>
  <c r="AB61" i="78"/>
  <c r="AF61" i="78" s="1"/>
  <c r="AD44" i="78"/>
  <c r="AE44" i="78"/>
  <c r="X15" i="78"/>
  <c r="X12" i="78" s="1"/>
  <c r="Y13" i="78"/>
  <c r="Y11" i="78"/>
  <c r="X10" i="78"/>
  <c r="X21" i="78" s="1"/>
  <c r="X31" i="78" s="1"/>
  <c r="Z17" i="78"/>
  <c r="AD17" i="78"/>
  <c r="AE17" i="78" s="1"/>
  <c r="AB18" i="78"/>
  <c r="R18" i="83"/>
  <c r="R17" i="83"/>
  <c r="O14" i="83"/>
  <c r="O13" i="83"/>
  <c r="X32" i="78" l="1"/>
  <c r="AB13" i="78"/>
  <c r="Z13" i="78"/>
  <c r="Y15" i="78"/>
  <c r="Y10" i="78" s="1"/>
  <c r="Y21" i="78" s="1"/>
  <c r="Y31" i="78" s="1"/>
  <c r="AB11" i="78"/>
  <c r="Z12" i="78"/>
  <c r="AF11" i="78" s="1"/>
  <c r="AC18" i="78"/>
  <c r="Z10" i="78" l="1"/>
  <c r="AC13" i="78"/>
  <c r="AB15" i="78"/>
  <c r="AB12" i="78"/>
  <c r="AB10" i="78" s="1"/>
  <c r="AF17" i="78"/>
  <c r="AD18" i="78"/>
  <c r="AF15" i="78" l="1"/>
  <c r="AF12" i="78" s="1"/>
  <c r="Z21" i="78"/>
  <c r="Z31" i="78" s="1"/>
  <c r="AL18" i="74" s="1"/>
  <c r="AD13" i="78"/>
  <c r="AE13" i="78" s="1"/>
  <c r="AF13" i="78" s="1"/>
  <c r="AH13" i="78" s="1"/>
  <c r="AJ13" i="78" s="1"/>
  <c r="AL13" i="78" s="1"/>
  <c r="AC11" i="78"/>
  <c r="AB21" i="78"/>
  <c r="AB31" i="78" s="1"/>
  <c r="AB58" i="78" s="1"/>
  <c r="AH17" i="78"/>
  <c r="AE18" i="78"/>
  <c r="AF10" i="78" l="1"/>
  <c r="AC15" i="78"/>
  <c r="AC12" i="78" s="1"/>
  <c r="AN18" i="74"/>
  <c r="AB106" i="78"/>
  <c r="AJ17" i="78"/>
  <c r="AD11" i="78" l="1"/>
  <c r="AC10" i="78"/>
  <c r="AC21" i="78" s="1"/>
  <c r="AC31" i="78" s="1"/>
  <c r="AD15" i="78" l="1"/>
  <c r="AD12" i="78" s="1"/>
  <c r="AO18" i="74"/>
  <c r="AC106" i="78"/>
  <c r="AH11" i="78"/>
  <c r="AF21" i="78"/>
  <c r="AF31" i="78" s="1"/>
  <c r="AE11" i="78" l="1"/>
  <c r="AD10" i="78"/>
  <c r="AD21" i="78" s="1"/>
  <c r="AD31" i="78" s="1"/>
  <c r="AR18" i="74"/>
  <c r="AF32" i="78"/>
  <c r="AH15" i="78"/>
  <c r="AH12" i="78"/>
  <c r="AH10" i="78" s="1"/>
  <c r="AE15" i="78" l="1"/>
  <c r="AE12" i="78" s="1"/>
  <c r="AE10" i="78" s="1"/>
  <c r="AE21" i="78" s="1"/>
  <c r="AE31" i="78" s="1"/>
  <c r="AD32" i="78"/>
  <c r="AD106" i="78"/>
  <c r="AP18" i="74"/>
  <c r="AJ11" i="78"/>
  <c r="AH21" i="78"/>
  <c r="AH31" i="78" s="1"/>
  <c r="AQ18" i="74" l="1"/>
  <c r="AE106" i="78"/>
  <c r="AE32" i="78"/>
  <c r="AT18" i="74"/>
  <c r="AH32" i="78"/>
  <c r="AJ15" i="78"/>
  <c r="AJ12" i="78" s="1"/>
  <c r="AL11" i="78" l="1"/>
  <c r="AJ10" i="78"/>
  <c r="AJ21" i="78" s="1"/>
  <c r="AJ31" i="78" s="1"/>
  <c r="AL15" i="78" l="1"/>
  <c r="AL10" i="78" s="1"/>
  <c r="AL21" i="78" s="1"/>
  <c r="AL31" i="78" s="1"/>
  <c r="AX18" i="74" s="1"/>
  <c r="AJ106" i="78"/>
  <c r="AV18" i="74"/>
  <c r="AF115" i="78" l="1"/>
  <c r="AT15" i="78" l="1"/>
  <c r="AU15" i="78" s="1"/>
  <c r="AV15" i="78" s="1"/>
  <c r="AW15" i="78" s="1"/>
  <c r="AX15" i="78" s="1"/>
  <c r="AY15" i="78" s="1"/>
  <c r="AZ15" i="78" s="1"/>
  <c r="R161" i="78"/>
  <c r="AL106" i="78" l="1"/>
  <c r="AL109" i="78" s="1"/>
  <c r="G115" i="78" l="1"/>
  <c r="L115" i="78"/>
  <c r="E115" i="78"/>
  <c r="Q115" i="78"/>
  <c r="M112" i="78"/>
  <c r="R112" i="78"/>
  <c r="J112" i="78"/>
  <c r="D115" i="78"/>
  <c r="V112" i="78"/>
  <c r="F112" i="78"/>
  <c r="N112" i="78"/>
  <c r="M115" i="78"/>
  <c r="P115" i="78"/>
  <c r="W115" i="78"/>
  <c r="F115" i="78"/>
  <c r="V115" i="78"/>
  <c r="E112" i="78"/>
  <c r="H112" i="78"/>
  <c r="D112" i="78"/>
  <c r="R115" i="78"/>
  <c r="S112" i="78"/>
  <c r="Q112" i="78"/>
  <c r="P112" i="78"/>
  <c r="N115" i="78"/>
  <c r="L112" i="78"/>
  <c r="S115" i="78"/>
  <c r="G112" i="78"/>
  <c r="K115" i="78"/>
  <c r="K112" i="78"/>
  <c r="W112" i="78"/>
  <c r="J115" i="78"/>
  <c r="T115" i="78"/>
  <c r="T112" i="78"/>
  <c r="H115" i="78"/>
  <c r="X109" i="78"/>
  <c r="Y106" i="78"/>
  <c r="Y109" i="78" s="1"/>
  <c r="AB109" i="78"/>
  <c r="AC109" i="78"/>
  <c r="AD109" i="78"/>
  <c r="AE109" i="78"/>
  <c r="AH106" i="78"/>
  <c r="AH109" i="78" s="1"/>
  <c r="AJ109" i="78"/>
  <c r="Z115" i="78" l="1"/>
  <c r="J82" i="78"/>
  <c r="M82" i="78"/>
  <c r="D82" i="78"/>
  <c r="D83" i="78" s="1"/>
  <c r="V82" i="78"/>
  <c r="Q82" i="78"/>
  <c r="E82" i="78"/>
  <c r="K82" i="78"/>
  <c r="P82" i="78"/>
  <c r="W82" i="78"/>
  <c r="F82" i="78"/>
  <c r="L82" i="78"/>
  <c r="G82" i="78"/>
  <c r="S82" i="78"/>
  <c r="R82" i="78"/>
  <c r="D52" i="78" l="1"/>
  <c r="Q133" i="83" l="1"/>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B7" i="87" l="1"/>
  <c r="S55" i="87"/>
  <c r="R55" i="87"/>
  <c r="S54" i="87"/>
  <c r="R54" i="87"/>
  <c r="S52" i="87"/>
  <c r="S51" i="87"/>
  <c r="S46" i="87"/>
  <c r="S45" i="87"/>
  <c r="S34" i="87"/>
  <c r="S33" i="87"/>
  <c r="S22" i="87"/>
  <c r="S21" i="87"/>
  <c r="J34" i="87" l="1"/>
  <c r="L34" i="87"/>
  <c r="L33" i="87"/>
  <c r="L54" i="87"/>
  <c r="O55" i="87"/>
  <c r="V33" i="87"/>
  <c r="W55" i="87"/>
  <c r="M33" i="87"/>
  <c r="X34" i="87"/>
  <c r="X33" i="87"/>
  <c r="W22" i="87"/>
  <c r="O34" i="87"/>
  <c r="N45" i="87"/>
  <c r="N55" i="87"/>
  <c r="N52" i="87"/>
  <c r="N54" i="87"/>
  <c r="N51" i="87"/>
  <c r="N46" i="87"/>
  <c r="N34" i="87"/>
  <c r="K55" i="87"/>
  <c r="V22" i="87"/>
  <c r="V21" i="87"/>
  <c r="T33" i="87"/>
  <c r="Q33" i="87"/>
  <c r="X55" i="87"/>
  <c r="X51" i="87"/>
  <c r="X54" i="87"/>
  <c r="X52" i="87"/>
  <c r="X45" i="87"/>
  <c r="X46" i="87"/>
  <c r="P33" i="87"/>
  <c r="V55" i="87"/>
  <c r="V52" i="87"/>
  <c r="I33" i="87"/>
  <c r="K33" i="87"/>
  <c r="J45" i="87"/>
  <c r="Z22" i="87"/>
  <c r="M45" i="87"/>
  <c r="Z52" i="87"/>
  <c r="T45" i="87"/>
  <c r="W34" i="87"/>
  <c r="T22" i="87"/>
  <c r="Z33" i="87"/>
  <c r="X22" i="87"/>
  <c r="P51" i="87"/>
  <c r="W45" i="87"/>
  <c r="V46" i="87"/>
  <c r="V45" i="87"/>
  <c r="V51" i="87"/>
  <c r="V54" i="87"/>
  <c r="W46" i="87"/>
  <c r="W54" i="87"/>
  <c r="W52" i="87"/>
  <c r="W51" i="87"/>
  <c r="M52" i="87"/>
  <c r="M51" i="87"/>
  <c r="M55" i="87"/>
  <c r="M54" i="87"/>
  <c r="N33" i="87"/>
  <c r="P54" i="87"/>
  <c r="P55" i="87"/>
  <c r="P52" i="87"/>
  <c r="P46" i="87"/>
  <c r="V34" i="87"/>
  <c r="M46" i="87"/>
  <c r="P45" i="87"/>
  <c r="K34" i="87"/>
  <c r="W33" i="87"/>
  <c r="W21" i="87"/>
  <c r="P34" i="87"/>
  <c r="O33" i="87"/>
  <c r="L46" i="87"/>
  <c r="L52" i="87"/>
  <c r="O46" i="87"/>
  <c r="Q34" i="87"/>
  <c r="L51" i="87"/>
  <c r="O51" i="87"/>
  <c r="J54" i="87"/>
  <c r="M34" i="87"/>
  <c r="J55" i="87"/>
  <c r="K45" i="87"/>
  <c r="O52" i="87"/>
  <c r="L45" i="87"/>
  <c r="J46" i="87"/>
  <c r="O45" i="87"/>
  <c r="O54" i="87"/>
  <c r="L55" i="87"/>
  <c r="X21" i="87"/>
  <c r="K52" i="87"/>
  <c r="I34" i="87"/>
  <c r="K46" i="87"/>
  <c r="K54" i="87"/>
  <c r="K51" i="87"/>
  <c r="T52" i="87"/>
  <c r="T55" i="87"/>
  <c r="Z55" i="87"/>
  <c r="J33" i="87"/>
  <c r="Z34" i="87"/>
  <c r="I45" i="87"/>
  <c r="I51" i="87"/>
  <c r="I54" i="87"/>
  <c r="I55" i="87"/>
  <c r="I46" i="87"/>
  <c r="Z46" i="87"/>
  <c r="Q45" i="87"/>
  <c r="Q51" i="87"/>
  <c r="Q55" i="87"/>
  <c r="T21" i="87"/>
  <c r="T34" i="87"/>
  <c r="Q46" i="87"/>
  <c r="Q54" i="87"/>
  <c r="Z45" i="87"/>
  <c r="Z54" i="87"/>
  <c r="Z51" i="87"/>
  <c r="Q52" i="87"/>
  <c r="Z21" i="87"/>
  <c r="T51" i="87"/>
  <c r="T54" i="87"/>
  <c r="T46" i="87"/>
  <c r="Q22" i="87"/>
  <c r="Q21" i="87"/>
  <c r="P22" i="87"/>
  <c r="P21" i="87"/>
  <c r="O22" i="87"/>
  <c r="O21" i="87"/>
  <c r="N21" i="87"/>
  <c r="N22" i="87"/>
  <c r="M22" i="87"/>
  <c r="M21" i="87"/>
  <c r="L22" i="87"/>
  <c r="L21" i="87"/>
  <c r="K21" i="87"/>
  <c r="K22" i="87"/>
  <c r="J22" i="87"/>
  <c r="J21" i="87"/>
  <c r="I22" i="87"/>
  <c r="I21" i="87"/>
  <c r="H32" i="6"/>
  <c r="G32" i="6"/>
  <c r="F32" i="6"/>
  <c r="K12" i="6"/>
  <c r="O9" i="6"/>
  <c r="P9" i="6" s="1"/>
  <c r="Q9" i="6" s="1"/>
  <c r="R9" i="6" s="1"/>
  <c r="F31" i="6"/>
  <c r="G31" i="6"/>
  <c r="H31" i="6"/>
  <c r="E9" i="6"/>
  <c r="F9" i="6" s="1"/>
  <c r="G9" i="6" s="1"/>
  <c r="H9" i="6" s="1"/>
  <c r="H33" i="6" l="1"/>
  <c r="G33" i="6"/>
  <c r="F33" i="6"/>
  <c r="B27" i="87" l="1"/>
  <c r="B28" i="87"/>
  <c r="B29" i="87"/>
  <c r="B30" i="87"/>
  <c r="B31" i="87"/>
  <c r="B41" i="87"/>
  <c r="B42" i="87"/>
  <c r="B43" i="87"/>
  <c r="B39" i="87"/>
  <c r="B40" i="87"/>
  <c r="B15" i="87"/>
  <c r="B16" i="87"/>
  <c r="B17" i="87"/>
  <c r="B18" i="87"/>
  <c r="B19" i="87"/>
  <c r="C176" i="83"/>
  <c r="C175" i="83" l="1"/>
  <c r="C174" i="83"/>
  <c r="C173" i="83"/>
  <c r="C172" i="83"/>
  <c r="C171" i="83"/>
  <c r="H169" i="83"/>
  <c r="I169" i="83" s="1"/>
  <c r="J169" i="83" s="1"/>
  <c r="K169" i="83" s="1"/>
  <c r="L169" i="83" s="1"/>
  <c r="M169" i="83" s="1"/>
  <c r="N169" i="83" s="1"/>
  <c r="C167" i="83"/>
  <c r="C166" i="83"/>
  <c r="C165" i="83"/>
  <c r="C164" i="83"/>
  <c r="C163" i="83"/>
  <c r="C162" i="83"/>
  <c r="H160" i="83"/>
  <c r="I160" i="83" s="1"/>
  <c r="J160" i="83" s="1"/>
  <c r="K160" i="83" s="1"/>
  <c r="L160" i="83" s="1"/>
  <c r="M160" i="83" s="1"/>
  <c r="N160" i="83" s="1"/>
  <c r="C158" i="83"/>
  <c r="C157" i="83"/>
  <c r="C156" i="83"/>
  <c r="C155" i="83"/>
  <c r="C154" i="83"/>
  <c r="C153" i="83"/>
  <c r="H151" i="83"/>
  <c r="I151" i="83" s="1"/>
  <c r="J151" i="83" s="1"/>
  <c r="K151" i="83" s="1"/>
  <c r="L151" i="83" s="1"/>
  <c r="M151" i="83" s="1"/>
  <c r="N151" i="83" s="1"/>
  <c r="C149" i="83"/>
  <c r="C148" i="83"/>
  <c r="C147" i="83"/>
  <c r="C146" i="83"/>
  <c r="C145" i="83"/>
  <c r="C144" i="83"/>
  <c r="H142" i="83"/>
  <c r="I142" i="83" s="1"/>
  <c r="J142" i="83" s="1"/>
  <c r="K142" i="83" s="1"/>
  <c r="L142" i="83" s="1"/>
  <c r="M142" i="83" s="1"/>
  <c r="N142" i="83" s="1"/>
  <c r="C140" i="83"/>
  <c r="P149" i="83" l="1"/>
  <c r="P140" i="83"/>
  <c r="P158" i="83"/>
  <c r="P167" i="83"/>
  <c r="C139" i="83"/>
  <c r="P148" i="83" l="1"/>
  <c r="P139" i="83"/>
  <c r="P166" i="83"/>
  <c r="P157" i="83"/>
  <c r="C138" i="83"/>
  <c r="P156" i="83" l="1"/>
  <c r="P147" i="83"/>
  <c r="P165" i="83"/>
  <c r="P138" i="83"/>
  <c r="C137" i="83"/>
  <c r="P164" i="83" l="1"/>
  <c r="P137" i="83"/>
  <c r="P146" i="83"/>
  <c r="P155" i="83"/>
  <c r="C136" i="83"/>
  <c r="P145" i="83" l="1"/>
  <c r="P136" i="83"/>
  <c r="P163" i="83"/>
  <c r="P154" i="83"/>
  <c r="C135" i="83"/>
  <c r="P144" i="83" l="1"/>
  <c r="P135" i="83"/>
  <c r="P153" i="83"/>
  <c r="P162" i="83"/>
  <c r="H133" i="83"/>
  <c r="B5" i="86"/>
  <c r="I133" i="83" l="1"/>
  <c r="B6" i="86"/>
  <c r="I5" i="86"/>
  <c r="Q140" i="83" l="1"/>
  <c r="Q156" i="83"/>
  <c r="Q137" i="83"/>
  <c r="Q154" i="83"/>
  <c r="Q155" i="83"/>
  <c r="Q136" i="83"/>
  <c r="Q147" i="83"/>
  <c r="Q135" i="83"/>
  <c r="Q162" i="83"/>
  <c r="Q144" i="83"/>
  <c r="Q153" i="83"/>
  <c r="Q163" i="83"/>
  <c r="Q158" i="83"/>
  <c r="Q145" i="83"/>
  <c r="Q166" i="83"/>
  <c r="Q164" i="83"/>
  <c r="Q149" i="83"/>
  <c r="Q146" i="83"/>
  <c r="Q157" i="83"/>
  <c r="Q167" i="83"/>
  <c r="Q165" i="83"/>
  <c r="Q139" i="83"/>
  <c r="Q138" i="83"/>
  <c r="Q148" i="83"/>
  <c r="J133" i="83"/>
  <c r="B7" i="86"/>
  <c r="I6" i="86"/>
  <c r="A61" i="83"/>
  <c r="M16" i="3"/>
  <c r="M14" i="3"/>
  <c r="M12"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C193" i="66" l="1"/>
  <c r="C192" i="66" s="1"/>
  <c r="R137" i="83"/>
  <c r="R155" i="83"/>
  <c r="R164" i="83"/>
  <c r="R162" i="83"/>
  <c r="R146" i="83"/>
  <c r="R165" i="83"/>
  <c r="R145" i="83"/>
  <c r="R138" i="83"/>
  <c r="R147" i="83"/>
  <c r="R154" i="83"/>
  <c r="R144" i="83"/>
  <c r="R135" i="83"/>
  <c r="R166" i="83"/>
  <c r="R139" i="83"/>
  <c r="R163" i="83"/>
  <c r="R140" i="83"/>
  <c r="R158" i="83"/>
  <c r="R156" i="83"/>
  <c r="R157" i="83"/>
  <c r="R148" i="83"/>
  <c r="R149" i="83"/>
  <c r="R167" i="83"/>
  <c r="R153" i="83"/>
  <c r="R136" i="83"/>
  <c r="N17" i="79"/>
  <c r="AF13" i="79"/>
  <c r="AF17" i="79"/>
  <c r="AL16" i="79"/>
  <c r="AR15" i="79"/>
  <c r="N14" i="79"/>
  <c r="T13" i="79"/>
  <c r="T17" i="79"/>
  <c r="Z16" i="79"/>
  <c r="AF15" i="79"/>
  <c r="AR13" i="79"/>
  <c r="AR17" i="79"/>
  <c r="K133" i="83"/>
  <c r="B8" i="86"/>
  <c r="I7" i="86"/>
  <c r="AF16" i="79"/>
  <c r="H17" i="79"/>
  <c r="N16" i="79"/>
  <c r="T16" i="79"/>
  <c r="N15" i="79"/>
  <c r="T14" i="79"/>
  <c r="Z13" i="79"/>
  <c r="Z17" i="79"/>
  <c r="AL15" i="79"/>
  <c r="Z15" i="79"/>
  <c r="AR16" i="79"/>
  <c r="T15" i="79"/>
  <c r="N13" i="79"/>
  <c r="AL17" i="79"/>
  <c r="AR14" i="79"/>
  <c r="AL13" i="79"/>
  <c r="AL14" i="79"/>
  <c r="AF14" i="79"/>
  <c r="Z14" i="79"/>
  <c r="C194" i="66" l="1"/>
  <c r="C191" i="66"/>
  <c r="S144" i="83"/>
  <c r="S166" i="83"/>
  <c r="S167" i="83"/>
  <c r="S155" i="83"/>
  <c r="S140" i="83"/>
  <c r="S156" i="83"/>
  <c r="S137" i="83"/>
  <c r="S139" i="83"/>
  <c r="S146" i="83"/>
  <c r="S147" i="83"/>
  <c r="S138" i="83"/>
  <c r="S162" i="83"/>
  <c r="S148" i="83"/>
  <c r="S135" i="83"/>
  <c r="S163" i="83"/>
  <c r="S136" i="83"/>
  <c r="S149" i="83"/>
  <c r="S154" i="83"/>
  <c r="S153" i="83"/>
  <c r="S158" i="83"/>
  <c r="S157" i="83"/>
  <c r="S145" i="83"/>
  <c r="S165" i="83"/>
  <c r="S164" i="83"/>
  <c r="L133" i="83"/>
  <c r="B9" i="86"/>
  <c r="I8" i="86"/>
  <c r="C195" i="66" l="1"/>
  <c r="C190" i="66"/>
  <c r="T155" i="83"/>
  <c r="T158" i="83"/>
  <c r="T164" i="83"/>
  <c r="T149" i="83"/>
  <c r="T146" i="83"/>
  <c r="T167" i="83"/>
  <c r="T147" i="83"/>
  <c r="T135" i="83"/>
  <c r="T138" i="83"/>
  <c r="T162" i="83"/>
  <c r="T163" i="83"/>
  <c r="T145" i="83"/>
  <c r="T148" i="83"/>
  <c r="T166" i="83"/>
  <c r="T137" i="83"/>
  <c r="T157" i="83"/>
  <c r="T139" i="83"/>
  <c r="T156" i="83"/>
  <c r="T153" i="83"/>
  <c r="T165" i="83"/>
  <c r="T136" i="83"/>
  <c r="T140" i="83"/>
  <c r="T154" i="83"/>
  <c r="T144" i="83"/>
  <c r="M133" i="83"/>
  <c r="B10" i="86"/>
  <c r="I9" i="86"/>
  <c r="L59" i="65"/>
  <c r="L108" i="65" s="1"/>
  <c r="K59" i="65"/>
  <c r="K102" i="65" s="1"/>
  <c r="J59" i="65"/>
  <c r="J108" i="65" s="1"/>
  <c r="I59" i="65"/>
  <c r="I71" i="65" s="1"/>
  <c r="I120" i="65" s="1"/>
  <c r="H59" i="65"/>
  <c r="H71" i="65" s="1"/>
  <c r="H120" i="65" s="1"/>
  <c r="G112" i="65"/>
  <c r="F112" i="65"/>
  <c r="E112" i="65"/>
  <c r="C196" i="66" l="1"/>
  <c r="C189" i="66"/>
  <c r="U167" i="83"/>
  <c r="U146" i="83"/>
  <c r="U155" i="83"/>
  <c r="U138" i="83"/>
  <c r="U165" i="83"/>
  <c r="U154" i="83"/>
  <c r="U140" i="83"/>
  <c r="U144" i="83"/>
  <c r="U136" i="83"/>
  <c r="U149" i="83"/>
  <c r="U164" i="83"/>
  <c r="U156" i="83"/>
  <c r="U137" i="83"/>
  <c r="U147" i="83"/>
  <c r="U158" i="83"/>
  <c r="U135" i="83"/>
  <c r="U163" i="83"/>
  <c r="U145" i="83"/>
  <c r="U139" i="83"/>
  <c r="U148" i="83"/>
  <c r="U166" i="83"/>
  <c r="U157" i="83"/>
  <c r="U162" i="83"/>
  <c r="U153" i="83"/>
  <c r="N133" i="83"/>
  <c r="B11" i="86"/>
  <c r="I10" i="86"/>
  <c r="H131" i="65"/>
  <c r="I131" i="65"/>
  <c r="J131" i="65"/>
  <c r="K131" i="65"/>
  <c r="L131" i="65"/>
  <c r="J71" i="65"/>
  <c r="J120" i="65" s="1"/>
  <c r="K71" i="65"/>
  <c r="K120" i="65" s="1"/>
  <c r="L71" i="65"/>
  <c r="L120" i="65" s="1"/>
  <c r="H108" i="65"/>
  <c r="J102" i="65"/>
  <c r="K108" i="65"/>
  <c r="J60" i="65"/>
  <c r="L60" i="65"/>
  <c r="L102" i="65"/>
  <c r="I108" i="65"/>
  <c r="I60" i="65"/>
  <c r="K60" i="65"/>
  <c r="H102" i="65"/>
  <c r="I102" i="65"/>
  <c r="C197" i="66" l="1"/>
  <c r="C188" i="66"/>
  <c r="V148" i="83"/>
  <c r="V167" i="83"/>
  <c r="V158" i="83"/>
  <c r="V154" i="83"/>
  <c r="V145" i="83"/>
  <c r="V138" i="83"/>
  <c r="V136" i="83"/>
  <c r="V137" i="83"/>
  <c r="V163" i="83"/>
  <c r="V157" i="83"/>
  <c r="V164" i="83"/>
  <c r="V166" i="83"/>
  <c r="V135" i="83"/>
  <c r="V139" i="83"/>
  <c r="V165" i="83"/>
  <c r="V155" i="83"/>
  <c r="V156" i="83"/>
  <c r="V153" i="83"/>
  <c r="V140" i="83"/>
  <c r="V144" i="83"/>
  <c r="V149" i="83"/>
  <c r="V146" i="83"/>
  <c r="V162" i="83"/>
  <c r="V147" i="83"/>
  <c r="B12" i="86"/>
  <c r="I11" i="86"/>
  <c r="C198" i="66" l="1"/>
  <c r="C187" i="66"/>
  <c r="W138" i="83"/>
  <c r="W146" i="83"/>
  <c r="W163" i="83"/>
  <c r="W139" i="83"/>
  <c r="W137" i="83"/>
  <c r="W164" i="83"/>
  <c r="W155" i="83"/>
  <c r="W166" i="83"/>
  <c r="W145" i="83"/>
  <c r="W135" i="83"/>
  <c r="W136" i="83"/>
  <c r="W140" i="83"/>
  <c r="W148" i="83"/>
  <c r="W162" i="83"/>
  <c r="W144" i="83"/>
  <c r="W147" i="83"/>
  <c r="W153" i="83"/>
  <c r="W156" i="83"/>
  <c r="W158" i="83"/>
  <c r="W157" i="83"/>
  <c r="W165" i="83"/>
  <c r="W149" i="83"/>
  <c r="W167" i="83"/>
  <c r="W154" i="83"/>
  <c r="B13" i="86"/>
  <c r="I12" i="86"/>
  <c r="C199" i="66" l="1"/>
  <c r="C186" i="66"/>
  <c r="B14" i="86"/>
  <c r="I13" i="86"/>
  <c r="C200" i="66" l="1"/>
  <c r="C185" i="66"/>
  <c r="B15" i="86"/>
  <c r="I14" i="86"/>
  <c r="C201" i="66" l="1"/>
  <c r="C184" i="66"/>
  <c r="B16" i="86"/>
  <c r="I15" i="86"/>
  <c r="C202" i="66" l="1"/>
  <c r="C183" i="66"/>
  <c r="B17" i="86"/>
  <c r="I16" i="86"/>
  <c r="C203" i="66" l="1"/>
  <c r="C182" i="66"/>
  <c r="B18" i="86"/>
  <c r="I17" i="86"/>
  <c r="Q63" i="83"/>
  <c r="C181" i="66" l="1"/>
  <c r="C204" i="66"/>
  <c r="B19" i="86"/>
  <c r="I18" i="86"/>
  <c r="Q64" i="83"/>
  <c r="C205" i="66" l="1"/>
  <c r="C180" i="66"/>
  <c r="Q65" i="83"/>
  <c r="B20" i="86"/>
  <c r="I19" i="86"/>
  <c r="C206" i="66" l="1"/>
  <c r="C179" i="66"/>
  <c r="Q66" i="83"/>
  <c r="B21" i="86"/>
  <c r="I20" i="86"/>
  <c r="B30" i="83"/>
  <c r="E14" i="65"/>
  <c r="B62" i="83"/>
  <c r="B73" i="83"/>
  <c r="F73" i="83"/>
  <c r="G73" i="83" s="1"/>
  <c r="H73" i="83" s="1"/>
  <c r="I73" i="83" s="1"/>
  <c r="J73" i="83" s="1"/>
  <c r="K73" i="83" s="1"/>
  <c r="L73" i="83" s="1"/>
  <c r="M73" i="83" s="1"/>
  <c r="N73" i="83" s="1"/>
  <c r="C207" i="66" l="1"/>
  <c r="C178" i="66"/>
  <c r="D4" i="86"/>
  <c r="K4" i="86" s="1"/>
  <c r="C4" i="86"/>
  <c r="Q67" i="83"/>
  <c r="B22" i="86"/>
  <c r="I21" i="86"/>
  <c r="AD14" i="84"/>
  <c r="AD18" i="84"/>
  <c r="AD68" i="79"/>
  <c r="R18" i="84"/>
  <c r="R14" i="84"/>
  <c r="R68" i="79"/>
  <c r="F18" i="84"/>
  <c r="F14" i="84"/>
  <c r="F68" i="79"/>
  <c r="X18" i="84"/>
  <c r="X14" i="84"/>
  <c r="X68" i="79"/>
  <c r="L14" i="84"/>
  <c r="L18" i="84"/>
  <c r="L68" i="79"/>
  <c r="AL146" i="78"/>
  <c r="AJ146" i="78"/>
  <c r="AH146" i="78"/>
  <c r="AE146" i="78"/>
  <c r="AD146" i="78"/>
  <c r="AC146" i="78"/>
  <c r="AB146" i="78"/>
  <c r="E69" i="83"/>
  <c r="E81" i="83"/>
  <c r="E80" i="83"/>
  <c r="E82" i="83"/>
  <c r="B117" i="83"/>
  <c r="B106" i="83"/>
  <c r="B95" i="83"/>
  <c r="B84" i="83"/>
  <c r="E84" i="83"/>
  <c r="E95" i="83" s="1"/>
  <c r="E106" i="83" s="1"/>
  <c r="E117" i="83" s="1"/>
  <c r="F62" i="83"/>
  <c r="C208" i="66" l="1"/>
  <c r="C177" i="66"/>
  <c r="E4" i="86"/>
  <c r="H4" i="86"/>
  <c r="F4" i="86"/>
  <c r="G4" i="86"/>
  <c r="J4" i="86"/>
  <c r="Q68" i="83"/>
  <c r="Z4" i="86"/>
  <c r="B23" i="86"/>
  <c r="I22" i="86"/>
  <c r="E115" i="83"/>
  <c r="E114" i="83"/>
  <c r="E113" i="83"/>
  <c r="E126" i="83"/>
  <c r="E125" i="83"/>
  <c r="E124" i="83"/>
  <c r="E104" i="83"/>
  <c r="E103" i="83"/>
  <c r="E102" i="83"/>
  <c r="E93" i="83"/>
  <c r="E92" i="83"/>
  <c r="E91" i="83"/>
  <c r="G62" i="83"/>
  <c r="F84" i="83"/>
  <c r="F95" i="83" s="1"/>
  <c r="F106" i="83" s="1"/>
  <c r="F117" i="83" s="1"/>
  <c r="G84" i="83"/>
  <c r="G95" i="83" s="1"/>
  <c r="Z86" i="86"/>
  <c r="Z38" i="86"/>
  <c r="C209" i="66" l="1"/>
  <c r="C176" i="66"/>
  <c r="N4" i="86"/>
  <c r="M4" i="86"/>
  <c r="AB4" i="86" s="1"/>
  <c r="O4" i="86"/>
  <c r="AD4" i="86" s="1"/>
  <c r="L4" i="86"/>
  <c r="Y4" i="86"/>
  <c r="AF4" i="86" s="1"/>
  <c r="F71" i="83"/>
  <c r="F80" i="83"/>
  <c r="F69" i="83"/>
  <c r="F82" i="83"/>
  <c r="F93" i="83"/>
  <c r="F126" i="83"/>
  <c r="F102" i="83"/>
  <c r="F125" i="83"/>
  <c r="F103" i="83"/>
  <c r="F70" i="83"/>
  <c r="F114" i="83"/>
  <c r="F92" i="83"/>
  <c r="F91" i="83"/>
  <c r="F81" i="83"/>
  <c r="Q69" i="83"/>
  <c r="AG4" i="86"/>
  <c r="AC4" i="86"/>
  <c r="B24" i="86"/>
  <c r="I23" i="86"/>
  <c r="F113" i="83"/>
  <c r="F104" i="83"/>
  <c r="F115" i="83"/>
  <c r="F124" i="83"/>
  <c r="H84" i="83"/>
  <c r="I84" i="83" s="1"/>
  <c r="J84" i="83" s="1"/>
  <c r="K84" i="83" s="1"/>
  <c r="L84" i="83" s="1"/>
  <c r="M84" i="83" s="1"/>
  <c r="N84" i="83" s="1"/>
  <c r="H62" i="83"/>
  <c r="H95" i="83"/>
  <c r="I95" i="83" s="1"/>
  <c r="J95" i="83" s="1"/>
  <c r="K95" i="83" s="1"/>
  <c r="L95" i="83" s="1"/>
  <c r="M95" i="83" s="1"/>
  <c r="N95" i="83" s="1"/>
  <c r="G106" i="83"/>
  <c r="C210" i="66" l="1"/>
  <c r="C175" i="66"/>
  <c r="AA4" i="86"/>
  <c r="G92" i="83"/>
  <c r="G71" i="83"/>
  <c r="Q70" i="83"/>
  <c r="G114" i="83"/>
  <c r="G125" i="83"/>
  <c r="G93" i="83"/>
  <c r="AK4" i="86"/>
  <c r="AI4" i="86"/>
  <c r="AH4" i="86"/>
  <c r="AJ4" i="86"/>
  <c r="B25" i="86"/>
  <c r="I24" i="86"/>
  <c r="G70" i="83"/>
  <c r="G103" i="83"/>
  <c r="G69" i="83"/>
  <c r="G124" i="83"/>
  <c r="G102" i="83"/>
  <c r="G80" i="83"/>
  <c r="G113" i="83"/>
  <c r="G115" i="83"/>
  <c r="G104" i="83"/>
  <c r="G91" i="83"/>
  <c r="G81" i="83"/>
  <c r="G82" i="83"/>
  <c r="G126" i="83"/>
  <c r="I62" i="83"/>
  <c r="H106" i="83"/>
  <c r="I106" i="83" s="1"/>
  <c r="J106" i="83" s="1"/>
  <c r="K106" i="83" s="1"/>
  <c r="L106" i="83" s="1"/>
  <c r="M106" i="83" s="1"/>
  <c r="N106" i="83" s="1"/>
  <c r="G117" i="83"/>
  <c r="H117" i="83" s="1"/>
  <c r="I117" i="83" s="1"/>
  <c r="J117" i="83" s="1"/>
  <c r="K117" i="83" s="1"/>
  <c r="L117" i="83" s="1"/>
  <c r="M117" i="83" s="1"/>
  <c r="N117" i="83" s="1"/>
  <c r="AA86" i="86"/>
  <c r="AA38" i="86"/>
  <c r="S70" i="83"/>
  <c r="S69" i="83" s="1"/>
  <c r="S68" i="83" s="1"/>
  <c r="S67" i="83" s="1"/>
  <c r="S66" i="83" s="1"/>
  <c r="S65" i="83" s="1"/>
  <c r="S64" i="83" s="1"/>
  <c r="S63" i="83" s="1"/>
  <c r="W70" i="83"/>
  <c r="W69" i="83" s="1"/>
  <c r="W68" i="83" s="1"/>
  <c r="W67" i="83" s="1"/>
  <c r="W66" i="83" s="1"/>
  <c r="W65" i="83" s="1"/>
  <c r="W64" i="83" s="1"/>
  <c r="W63" i="83" s="1"/>
  <c r="R70" i="83"/>
  <c r="R69" i="83" s="1"/>
  <c r="R68" i="83" s="1"/>
  <c r="R67" i="83" s="1"/>
  <c r="R66" i="83" s="1"/>
  <c r="R65" i="83" s="1"/>
  <c r="R64" i="83" s="1"/>
  <c r="R63" i="83" s="1"/>
  <c r="C211" i="66" l="1"/>
  <c r="C174" i="66"/>
  <c r="H81" i="83"/>
  <c r="H70" i="83"/>
  <c r="H114" i="83"/>
  <c r="H103" i="83"/>
  <c r="H125" i="83"/>
  <c r="H92" i="83"/>
  <c r="U70" i="83"/>
  <c r="B26" i="86"/>
  <c r="I25" i="86"/>
  <c r="H91" i="83"/>
  <c r="H80" i="83"/>
  <c r="H82" i="83"/>
  <c r="H113" i="83"/>
  <c r="H93" i="83"/>
  <c r="H69" i="83"/>
  <c r="H124" i="83"/>
  <c r="H102" i="83"/>
  <c r="H104" i="83"/>
  <c r="H126" i="83"/>
  <c r="H115" i="83"/>
  <c r="H71" i="83"/>
  <c r="J62" i="83"/>
  <c r="C212" i="66" l="1"/>
  <c r="C173" i="66"/>
  <c r="U69" i="83"/>
  <c r="I92" i="83"/>
  <c r="B27" i="86"/>
  <c r="I26" i="86"/>
  <c r="I126" i="83"/>
  <c r="I104" i="83"/>
  <c r="I113" i="83"/>
  <c r="I71" i="83"/>
  <c r="I102" i="83"/>
  <c r="I80" i="83"/>
  <c r="I70" i="83"/>
  <c r="I103" i="83"/>
  <c r="I81" i="83"/>
  <c r="I125" i="83"/>
  <c r="I69" i="83"/>
  <c r="I115" i="83"/>
  <c r="I124" i="83"/>
  <c r="I91" i="83"/>
  <c r="I114" i="83"/>
  <c r="I82" i="83"/>
  <c r="I93" i="83"/>
  <c r="K62" i="83"/>
  <c r="C213" i="66" l="1"/>
  <c r="C172" i="66"/>
  <c r="U68" i="83"/>
  <c r="J70" i="83"/>
  <c r="J81" i="83"/>
  <c r="J103" i="83"/>
  <c r="J71" i="83"/>
  <c r="J125" i="83"/>
  <c r="J114" i="83"/>
  <c r="B28" i="86"/>
  <c r="I27" i="86"/>
  <c r="J69" i="83"/>
  <c r="J124" i="83"/>
  <c r="J113" i="83"/>
  <c r="J102" i="83"/>
  <c r="J93" i="83"/>
  <c r="J115" i="83"/>
  <c r="J126" i="83"/>
  <c r="J104" i="83"/>
  <c r="J91" i="83"/>
  <c r="J82" i="83"/>
  <c r="J80" i="83"/>
  <c r="J92" i="83"/>
  <c r="L62" i="83"/>
  <c r="C214" i="66" l="1"/>
  <c r="C171" i="66"/>
  <c r="U67" i="83"/>
  <c r="K81" i="83"/>
  <c r="K125" i="83"/>
  <c r="K80" i="83"/>
  <c r="K114" i="83"/>
  <c r="K70" i="83"/>
  <c r="K91" i="83"/>
  <c r="K92" i="83"/>
  <c r="K69" i="83"/>
  <c r="K104" i="83"/>
  <c r="K93" i="83"/>
  <c r="K102" i="83"/>
  <c r="B29" i="86"/>
  <c r="I28" i="86"/>
  <c r="K71" i="83"/>
  <c r="K103" i="83"/>
  <c r="K113" i="83"/>
  <c r="K126" i="83"/>
  <c r="K82" i="83"/>
  <c r="K115" i="83"/>
  <c r="K124" i="83"/>
  <c r="M62" i="83"/>
  <c r="C215" i="66" l="1"/>
  <c r="C170" i="66"/>
  <c r="U66" i="83"/>
  <c r="B30" i="86"/>
  <c r="I29" i="86"/>
  <c r="L103" i="83"/>
  <c r="L80" i="83"/>
  <c r="L69" i="83"/>
  <c r="L114" i="83"/>
  <c r="L102" i="83"/>
  <c r="L92" i="83"/>
  <c r="L71" i="83"/>
  <c r="L93" i="83"/>
  <c r="L104" i="83"/>
  <c r="L113" i="83"/>
  <c r="L82" i="83"/>
  <c r="L115" i="83"/>
  <c r="L91" i="83"/>
  <c r="L126" i="83"/>
  <c r="L81" i="83"/>
  <c r="L70" i="83"/>
  <c r="L125" i="83"/>
  <c r="L124" i="83"/>
  <c r="N62" i="83"/>
  <c r="C169" i="66" l="1"/>
  <c r="C216" i="66"/>
  <c r="U65" i="83"/>
  <c r="M103" i="83"/>
  <c r="M70" i="83"/>
  <c r="M125" i="83"/>
  <c r="M115" i="83"/>
  <c r="M82" i="83"/>
  <c r="B31" i="86"/>
  <c r="I30" i="86"/>
  <c r="M102" i="83"/>
  <c r="M113" i="83"/>
  <c r="M69" i="83"/>
  <c r="M80" i="83"/>
  <c r="M91" i="83"/>
  <c r="M93" i="83"/>
  <c r="M126" i="83"/>
  <c r="M124" i="83"/>
  <c r="M104" i="83"/>
  <c r="M114" i="83"/>
  <c r="M81" i="83"/>
  <c r="M71" i="83"/>
  <c r="M92" i="83"/>
  <c r="C217" i="66" l="1"/>
  <c r="C168" i="66"/>
  <c r="U64" i="83"/>
  <c r="N125" i="83"/>
  <c r="B32" i="86"/>
  <c r="I31" i="86"/>
  <c r="N91" i="83"/>
  <c r="N82" i="83"/>
  <c r="N71" i="83"/>
  <c r="N93" i="83"/>
  <c r="N103" i="83"/>
  <c r="N113" i="83"/>
  <c r="N92" i="83"/>
  <c r="N69" i="83"/>
  <c r="N104" i="83"/>
  <c r="N70" i="83"/>
  <c r="N115" i="83"/>
  <c r="N102" i="83"/>
  <c r="N81" i="83"/>
  <c r="N124" i="83"/>
  <c r="N114" i="83"/>
  <c r="N126" i="83"/>
  <c r="N80" i="83"/>
  <c r="C218" i="66" l="1"/>
  <c r="C167" i="66"/>
  <c r="M16" i="83"/>
  <c r="U63" i="83"/>
  <c r="B33" i="86"/>
  <c r="I32" i="86"/>
  <c r="AF124" i="78"/>
  <c r="E32" i="6" s="1"/>
  <c r="E33" i="6" s="1"/>
  <c r="AF99" i="78"/>
  <c r="Z99" i="78"/>
  <c r="AF83" i="78"/>
  <c r="C219" i="66" l="1"/>
  <c r="C166" i="66"/>
  <c r="B34" i="86"/>
  <c r="I33" i="86"/>
  <c r="AF80" i="78"/>
  <c r="W55" i="78"/>
  <c r="V55" i="78"/>
  <c r="W52" i="78"/>
  <c r="V52" i="78"/>
  <c r="R65" i="78"/>
  <c r="R64" i="78"/>
  <c r="T55" i="78"/>
  <c r="G83" i="65" s="1"/>
  <c r="S55" i="78"/>
  <c r="R55" i="78"/>
  <c r="Q55" i="78"/>
  <c r="P55" i="78"/>
  <c r="T52" i="78"/>
  <c r="G80" i="65" s="1"/>
  <c r="S52" i="78"/>
  <c r="R52" i="78"/>
  <c r="Q52" i="78"/>
  <c r="P52" i="78"/>
  <c r="L65" i="78"/>
  <c r="L64" i="78"/>
  <c r="N55" i="78"/>
  <c r="F83" i="65" s="1"/>
  <c r="M55" i="78"/>
  <c r="L55" i="78"/>
  <c r="K55" i="78"/>
  <c r="J55" i="78"/>
  <c r="N52" i="78"/>
  <c r="F80" i="65" s="1"/>
  <c r="M52" i="78"/>
  <c r="L52" i="78"/>
  <c r="K52" i="78"/>
  <c r="J52" i="78"/>
  <c r="C220" i="66" l="1"/>
  <c r="C165" i="66"/>
  <c r="AX14" i="84"/>
  <c r="AX18" i="84"/>
  <c r="AX17" i="84" s="1"/>
  <c r="AX68" i="79"/>
  <c r="AT18" i="84"/>
  <c r="AT17" i="84" s="1"/>
  <c r="AT14" i="84"/>
  <c r="AT68" i="79"/>
  <c r="B35" i="86"/>
  <c r="I34" i="86"/>
  <c r="AB70" i="78"/>
  <c r="AC70" i="78"/>
  <c r="AD70" i="78"/>
  <c r="AE70" i="78"/>
  <c r="AL32" i="78"/>
  <c r="AZ18" i="78" s="1"/>
  <c r="AJ70" i="78"/>
  <c r="AL70" i="78"/>
  <c r="X70" i="78"/>
  <c r="Y70" i="78"/>
  <c r="AH70" i="78"/>
  <c r="AJ32" i="78"/>
  <c r="AY18" i="78" s="1"/>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M24" i="78"/>
  <c r="AD24" i="78"/>
  <c r="AF24" i="78" s="1"/>
  <c r="X24" i="78"/>
  <c r="Y24" i="78" s="1"/>
  <c r="R24" i="78"/>
  <c r="T24" i="78" s="1"/>
  <c r="L24" i="78"/>
  <c r="K24" i="78" s="1"/>
  <c r="D24" i="78"/>
  <c r="F24" i="78"/>
  <c r="J8" i="78"/>
  <c r="P8" i="78" s="1"/>
  <c r="V8" i="78" s="1"/>
  <c r="AB8" i="78" s="1"/>
  <c r="AH8" i="78" s="1"/>
  <c r="AJ8" i="78" s="1"/>
  <c r="AL8" i="78" s="1"/>
  <c r="AL139" i="78" s="1"/>
  <c r="X147" i="78"/>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I13" i="3" l="1"/>
  <c r="I17" i="3"/>
  <c r="K17" i="3"/>
  <c r="K13" i="3"/>
  <c r="K15" i="3"/>
  <c r="C221" i="66"/>
  <c r="C164" i="66"/>
  <c r="R12" i="6"/>
  <c r="AR18" i="79"/>
  <c r="AP171" i="79"/>
  <c r="AP18" i="84"/>
  <c r="AP17" i="84" s="1"/>
  <c r="AP14" i="84"/>
  <c r="AP68" i="79"/>
  <c r="AQ14" i="84"/>
  <c r="AQ18" i="84"/>
  <c r="AQ17" i="84" s="1"/>
  <c r="AQ68" i="79"/>
  <c r="AV14" i="84"/>
  <c r="AV18" i="84"/>
  <c r="AV17" i="84" s="1"/>
  <c r="AV68" i="79"/>
  <c r="AO14" i="84"/>
  <c r="AO18" i="84"/>
  <c r="AO17" i="84" s="1"/>
  <c r="AO68" i="79"/>
  <c r="AN14" i="84"/>
  <c r="I15" i="3" s="1"/>
  <c r="AN18" i="84"/>
  <c r="AN17" i="84" s="1"/>
  <c r="AN68" i="79"/>
  <c r="B36" i="86"/>
  <c r="I35" i="86"/>
  <c r="AJ14" i="84"/>
  <c r="AJ18" i="84"/>
  <c r="AJ68" i="79"/>
  <c r="AK18" i="84"/>
  <c r="AK14" i="84"/>
  <c r="AK68" i="79"/>
  <c r="AK171" i="79"/>
  <c r="AC134" i="78"/>
  <c r="AO171" i="79"/>
  <c r="AL134" i="78"/>
  <c r="AX171" i="79"/>
  <c r="AF70" i="78"/>
  <c r="AJ134" i="78"/>
  <c r="AV171" i="79"/>
  <c r="AE134" i="78"/>
  <c r="AQ171" i="79"/>
  <c r="AF109" i="78"/>
  <c r="AR139" i="79" s="1"/>
  <c r="AB134" i="78"/>
  <c r="AN171" i="79"/>
  <c r="AT171" i="79"/>
  <c r="AX139" i="79"/>
  <c r="X134" i="78"/>
  <c r="AJ171" i="79"/>
  <c r="AH134" i="78"/>
  <c r="AD134" i="78"/>
  <c r="AF106" i="78"/>
  <c r="Y134" i="78"/>
  <c r="Z70" i="78"/>
  <c r="AX18" i="78"/>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V24" i="78"/>
  <c r="AJ24" i="78"/>
  <c r="K118" i="78"/>
  <c r="AE139" i="78"/>
  <c r="W139" i="78"/>
  <c r="Y139" i="78"/>
  <c r="S118" i="78"/>
  <c r="AC118" i="78"/>
  <c r="AE118" i="78"/>
  <c r="Q24" i="78"/>
  <c r="S24" i="78"/>
  <c r="AC24" i="78"/>
  <c r="AE24" i="78"/>
  <c r="H24" i="78"/>
  <c r="G24" i="78"/>
  <c r="E24" i="78"/>
  <c r="AH147" i="78"/>
  <c r="AJ147" i="78"/>
  <c r="AL147" i="78"/>
  <c r="AD147" i="78"/>
  <c r="AE147" i="78"/>
  <c r="AC147" i="78"/>
  <c r="AB147" i="78"/>
  <c r="Y147" i="78"/>
  <c r="J17" i="3" l="1"/>
  <c r="J15" i="3"/>
  <c r="J13" i="3"/>
  <c r="C222" i="66"/>
  <c r="C163" i="66"/>
  <c r="R18" i="6"/>
  <c r="H18" i="6" s="1"/>
  <c r="AR18" i="84"/>
  <c r="AR17" i="84" s="1"/>
  <c r="AR14" i="84"/>
  <c r="P12" i="6"/>
  <c r="AF110" i="78"/>
  <c r="AT139" i="79"/>
  <c r="O12" i="6"/>
  <c r="AR68" i="79"/>
  <c r="AV139" i="79"/>
  <c r="B37" i="86"/>
  <c r="I36" i="86"/>
  <c r="AV109" i="79"/>
  <c r="AT131" i="79"/>
  <c r="AT109" i="79"/>
  <c r="AX138" i="79"/>
  <c r="AF134" i="78"/>
  <c r="AT98" i="79"/>
  <c r="AO98" i="79"/>
  <c r="AO109" i="79"/>
  <c r="AK98" i="79"/>
  <c r="AP109" i="79"/>
  <c r="AP98" i="79"/>
  <c r="AQ98" i="79"/>
  <c r="AN109" i="79"/>
  <c r="AN98" i="79"/>
  <c r="AR21" i="79"/>
  <c r="AJ109" i="79"/>
  <c r="AQ71" i="79"/>
  <c r="AF107" i="78"/>
  <c r="H17" i="3" l="1"/>
  <c r="H13" i="3"/>
  <c r="H15" i="3"/>
  <c r="C223" i="66"/>
  <c r="C162" i="66"/>
  <c r="C161" i="66" s="1"/>
  <c r="C160" i="66" s="1"/>
  <c r="C159" i="66" s="1"/>
  <c r="C158" i="66" s="1"/>
  <c r="C157" i="66" s="1"/>
  <c r="C156" i="66" s="1"/>
  <c r="C155" i="66" s="1"/>
  <c r="C154" i="66" s="1"/>
  <c r="Q12" i="6"/>
  <c r="D97" i="79"/>
  <c r="P18" i="6"/>
  <c r="F18" i="6" s="1"/>
  <c r="O18" i="6"/>
  <c r="E18" i="6" s="1"/>
  <c r="AV131" i="79"/>
  <c r="B38" i="86"/>
  <c r="I37" i="86"/>
  <c r="AR109" i="79"/>
  <c r="AR131" i="79"/>
  <c r="AV134" i="79"/>
  <c r="AQ109" i="79"/>
  <c r="AK109" i="79"/>
  <c r="AV128" i="79"/>
  <c r="AR128" i="79"/>
  <c r="AV71" i="79"/>
  <c r="AT128" i="79"/>
  <c r="AR30" i="79"/>
  <c r="AX71" i="79"/>
  <c r="AV132" i="79"/>
  <c r="AR138" i="79"/>
  <c r="AR171" i="79"/>
  <c r="AT138" i="79"/>
  <c r="AV138" i="79"/>
  <c r="AT133" i="79"/>
  <c r="AL109" i="79"/>
  <c r="AR98" i="79"/>
  <c r="AP71" i="79"/>
  <c r="AO71" i="79"/>
  <c r="AR27" i="79"/>
  <c r="AK71" i="79"/>
  <c r="AJ71" i="79"/>
  <c r="D98" i="79"/>
  <c r="C224" i="66" l="1"/>
  <c r="Q18" i="6"/>
  <c r="G18" i="6" s="1"/>
  <c r="B39" i="86"/>
  <c r="I38" i="86"/>
  <c r="AR134" i="79"/>
  <c r="AT134" i="79"/>
  <c r="AV133" i="79"/>
  <c r="AR133" i="79"/>
  <c r="AT132" i="79"/>
  <c r="AR132" i="79"/>
  <c r="AR24" i="79"/>
  <c r="AR22" i="79"/>
  <c r="AN71" i="79"/>
  <c r="AT71" i="79"/>
  <c r="C225" i="66" l="1"/>
  <c r="E68" i="79"/>
  <c r="G68" i="79"/>
  <c r="G14" i="84"/>
  <c r="G18" i="84"/>
  <c r="E14" i="84"/>
  <c r="E18" i="84"/>
  <c r="H68" i="79"/>
  <c r="H14" i="84"/>
  <c r="H18" i="84"/>
  <c r="H80" i="79"/>
  <c r="H87" i="79"/>
  <c r="B40" i="86"/>
  <c r="I39" i="86"/>
  <c r="AR29" i="79"/>
  <c r="AR23" i="79"/>
  <c r="AR71" i="79"/>
  <c r="R73" i="78"/>
  <c r="R70" i="78"/>
  <c r="H77" i="79"/>
  <c r="H71" i="79"/>
  <c r="H86" i="79"/>
  <c r="H83" i="79"/>
  <c r="H74" i="79"/>
  <c r="AD97" i="79"/>
  <c r="C226" i="66" l="1"/>
  <c r="B41" i="86"/>
  <c r="I40" i="86"/>
  <c r="H125" i="79"/>
  <c r="C227" i="66" l="1"/>
  <c r="B42" i="86"/>
  <c r="I41" i="86"/>
  <c r="N125" i="79"/>
  <c r="C228" i="66" l="1"/>
  <c r="B43" i="86"/>
  <c r="I42" i="86"/>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B44" i="86"/>
  <c r="I43" i="86"/>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T127" i="79"/>
  <c r="H94" i="78"/>
  <c r="E125" i="65" s="1"/>
  <c r="H129" i="79"/>
  <c r="N129" i="79"/>
  <c r="C230" i="66" l="1"/>
  <c r="D22" i="6"/>
  <c r="B45" i="86"/>
  <c r="I44" i="86"/>
  <c r="AL165" i="78"/>
  <c r="Z165" i="78"/>
  <c r="AF165" i="78"/>
  <c r="N128" i="78"/>
  <c r="V130" i="78"/>
  <c r="Z128" i="79"/>
  <c r="N97" i="78"/>
  <c r="N130" i="78" s="1"/>
  <c r="AF128" i="79"/>
  <c r="T97" i="78"/>
  <c r="T130" i="78" s="1"/>
  <c r="T128" i="78"/>
  <c r="H128" i="78"/>
  <c r="T128" i="79"/>
  <c r="H97" i="78"/>
  <c r="AL129" i="79"/>
  <c r="AF129" i="79"/>
  <c r="Z129" i="79"/>
  <c r="T129" i="79"/>
  <c r="H131" i="79"/>
  <c r="N131" i="79"/>
  <c r="C231" i="66" l="1"/>
  <c r="B46" i="86"/>
  <c r="I45" i="86"/>
  <c r="H130" i="78"/>
  <c r="H132" i="79"/>
  <c r="N132" i="79"/>
  <c r="C232" i="66" l="1"/>
  <c r="B47" i="86"/>
  <c r="I46" i="86"/>
  <c r="AF131" i="79"/>
  <c r="Z131" i="79"/>
  <c r="T131" i="79"/>
  <c r="AF132" i="79"/>
  <c r="Z132" i="79"/>
  <c r="T132" i="79"/>
  <c r="H133" i="79"/>
  <c r="N133" i="79"/>
  <c r="C233" i="66" l="1"/>
  <c r="B48" i="86"/>
  <c r="I47" i="86"/>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B49" i="86"/>
  <c r="I48" i="86"/>
  <c r="S109" i="78"/>
  <c r="Q109" i="78"/>
  <c r="P109" i="78"/>
  <c r="P106" i="78"/>
  <c r="Q106" i="78"/>
  <c r="J106" i="78"/>
  <c r="W109" i="78"/>
  <c r="V106" i="78"/>
  <c r="M106" i="78"/>
  <c r="V109" i="78"/>
  <c r="K106" i="78"/>
  <c r="K109" i="78"/>
  <c r="W106" i="78"/>
  <c r="M109" i="78"/>
  <c r="L106" i="78"/>
  <c r="L109" i="78"/>
  <c r="S106" i="78"/>
  <c r="R109" i="78"/>
  <c r="R106" i="78"/>
  <c r="J109" i="78"/>
  <c r="AF133" i="79"/>
  <c r="T103" i="78"/>
  <c r="N103" i="78"/>
  <c r="V132" i="78"/>
  <c r="D132" i="78"/>
  <c r="E132" i="78"/>
  <c r="F132" i="78"/>
  <c r="G132" i="78"/>
  <c r="H103" i="78"/>
  <c r="E128" i="65" s="1"/>
  <c r="D109" i="78"/>
  <c r="X168" i="79"/>
  <c r="G106" i="78"/>
  <c r="AE168" i="79"/>
  <c r="P168" i="79"/>
  <c r="AD168" i="79"/>
  <c r="E109" i="78"/>
  <c r="AH168" i="79"/>
  <c r="Y168" i="79"/>
  <c r="S168" i="79"/>
  <c r="G109" i="78"/>
  <c r="F106"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C235" i="66" l="1"/>
  <c r="B50" i="86"/>
  <c r="I49" i="86"/>
  <c r="N132" i="78"/>
  <c r="F128" i="65"/>
  <c r="T132" i="78"/>
  <c r="G128" i="65"/>
  <c r="W134" i="78"/>
  <c r="K110" i="78"/>
  <c r="S134" i="78"/>
  <c r="R134" i="78"/>
  <c r="J110" i="78"/>
  <c r="L110" i="78"/>
  <c r="P134" i="78"/>
  <c r="M134" i="78"/>
  <c r="P110" i="78"/>
  <c r="Q110" i="78"/>
  <c r="R110" i="78"/>
  <c r="L134" i="78"/>
  <c r="Z139" i="79"/>
  <c r="N109" i="78"/>
  <c r="M110" i="78"/>
  <c r="AF139" i="79"/>
  <c r="T109" i="78"/>
  <c r="K134" i="78"/>
  <c r="V110" i="78"/>
  <c r="Z109" i="78"/>
  <c r="AL139" i="79" s="1"/>
  <c r="V134" i="78"/>
  <c r="Z106" i="78"/>
  <c r="Z107" i="78" s="1"/>
  <c r="Z138" i="79"/>
  <c r="N106" i="78"/>
  <c r="W110" i="78"/>
  <c r="J134" i="78"/>
  <c r="Q134" i="78"/>
  <c r="AF138" i="79"/>
  <c r="T106" i="78"/>
  <c r="S110" i="78"/>
  <c r="E110" i="78"/>
  <c r="F110" i="78"/>
  <c r="D110" i="78"/>
  <c r="H132" i="78"/>
  <c r="D134" i="78"/>
  <c r="G134" i="78"/>
  <c r="G110" i="78"/>
  <c r="F134" i="78"/>
  <c r="E134" i="78"/>
  <c r="T139" i="79"/>
  <c r="H109" i="78"/>
  <c r="E131" i="65" s="1"/>
  <c r="T138" i="79"/>
  <c r="T135" i="79"/>
  <c r="T168" i="79"/>
  <c r="AF135" i="79"/>
  <c r="AF168" i="79"/>
  <c r="Z135" i="79"/>
  <c r="Z168" i="79"/>
  <c r="H146" i="79"/>
  <c r="H145" i="79"/>
  <c r="M171" i="79"/>
  <c r="L171" i="79"/>
  <c r="K171" i="79"/>
  <c r="J171" i="79"/>
  <c r="C236" i="66" l="1"/>
  <c r="B51" i="86"/>
  <c r="I50" i="86"/>
  <c r="G131" i="65"/>
  <c r="F131" i="65"/>
  <c r="AL171" i="79"/>
  <c r="AL138" i="79"/>
  <c r="Z134" i="78"/>
  <c r="N134" i="78"/>
  <c r="T134" i="78"/>
  <c r="N110" i="78"/>
  <c r="T110" i="78"/>
  <c r="H134" i="78"/>
  <c r="H110" i="78"/>
  <c r="N146" i="79"/>
  <c r="H171" i="79"/>
  <c r="N145" i="79"/>
  <c r="S171" i="79"/>
  <c r="R171" i="79"/>
  <c r="Q171" i="79"/>
  <c r="P171" i="79"/>
  <c r="C237" i="66" l="1"/>
  <c r="B52" i="86"/>
  <c r="I51" i="86"/>
  <c r="N171" i="79"/>
  <c r="T146" i="79"/>
  <c r="Y171" i="79"/>
  <c r="X171" i="79"/>
  <c r="W171" i="79"/>
  <c r="V171" i="79"/>
  <c r="T145" i="79"/>
  <c r="C238" i="66" l="1"/>
  <c r="B53" i="86"/>
  <c r="I52" i="86"/>
  <c r="T171" i="79"/>
  <c r="Z146" i="79"/>
  <c r="Z145" i="79"/>
  <c r="AE171" i="79"/>
  <c r="AD171" i="79"/>
  <c r="AC171" i="79"/>
  <c r="AB171" i="79"/>
  <c r="C239" i="66" l="1"/>
  <c r="B54" i="86"/>
  <c r="I53" i="86"/>
  <c r="Z171" i="79"/>
  <c r="AF146" i="79"/>
  <c r="AL146" i="79"/>
  <c r="AF145" i="79"/>
  <c r="AI171" i="79"/>
  <c r="AL145" i="79"/>
  <c r="C240" i="66" l="1"/>
  <c r="B55" i="86"/>
  <c r="I54" i="86"/>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H155" i="79"/>
  <c r="H154" i="79"/>
  <c r="M174" i="79"/>
  <c r="L174" i="79"/>
  <c r="K174" i="79"/>
  <c r="J174" i="79"/>
  <c r="C242" i="66" l="1"/>
  <c r="B57" i="86"/>
  <c r="I56" i="86"/>
  <c r="N155" i="79"/>
  <c r="H174" i="79"/>
  <c r="N154" i="79"/>
  <c r="S174" i="79"/>
  <c r="R174" i="79"/>
  <c r="Q174" i="79"/>
  <c r="P174" i="79"/>
  <c r="C243" i="66" l="1"/>
  <c r="B58" i="86"/>
  <c r="I57" i="86"/>
  <c r="N174" i="79"/>
  <c r="T155" i="79"/>
  <c r="T154" i="79"/>
  <c r="Y174" i="79"/>
  <c r="X174" i="79"/>
  <c r="W174" i="79"/>
  <c r="V174" i="79"/>
  <c r="C244" i="66" l="1"/>
  <c r="B59" i="86"/>
  <c r="I58" i="86"/>
  <c r="T174" i="79"/>
  <c r="Z155" i="79"/>
  <c r="Z154" i="79"/>
  <c r="AE174" i="79"/>
  <c r="AD174" i="79"/>
  <c r="AC174" i="79"/>
  <c r="AB174" i="79"/>
  <c r="C245" i="66" l="1"/>
  <c r="B60" i="86"/>
  <c r="I59" i="86"/>
  <c r="Z174" i="79"/>
  <c r="AF155" i="79"/>
  <c r="AL155" i="79"/>
  <c r="AF154" i="79"/>
  <c r="AI174" i="79"/>
  <c r="AL154" i="79"/>
  <c r="C246" i="66" l="1"/>
  <c r="B61" i="86"/>
  <c r="I60"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Z159" i="79"/>
  <c r="Z176" i="79"/>
  <c r="Z177" i="79"/>
  <c r="AF159" i="79"/>
  <c r="AF176" i="79"/>
  <c r="AF177" i="79"/>
  <c r="N159" i="79"/>
  <c r="N176" i="79"/>
  <c r="N177" i="79"/>
  <c r="T159" i="79"/>
  <c r="T176" i="79"/>
  <c r="T177" i="79"/>
  <c r="J97" i="79"/>
  <c r="K97" i="79"/>
  <c r="M97" i="79"/>
  <c r="L97" i="79"/>
  <c r="H159" i="79"/>
  <c r="H176" i="79"/>
  <c r="N97" i="79"/>
  <c r="C248" i="66" l="1"/>
  <c r="B63" i="86"/>
  <c r="I62" i="86"/>
  <c r="Q97" i="79"/>
  <c r="P97" i="79"/>
  <c r="R97" i="79"/>
  <c r="S97" i="79"/>
  <c r="T97" i="79"/>
  <c r="C249" i="66" l="1"/>
  <c r="B64" i="86"/>
  <c r="I63" i="86"/>
  <c r="X97" i="79"/>
  <c r="Y97" i="79"/>
  <c r="W97" i="79"/>
  <c r="V97" i="79"/>
  <c r="Z97" i="79"/>
  <c r="C250" i="66" l="1"/>
  <c r="B65" i="86"/>
  <c r="I64" i="86"/>
  <c r="AB97" i="79"/>
  <c r="AE97" i="79"/>
  <c r="AC97" i="79"/>
  <c r="AF97" i="79"/>
  <c r="C251" i="66" l="1"/>
  <c r="B66" i="86"/>
  <c r="I65" i="86"/>
  <c r="P73" i="78"/>
  <c r="V73" i="78"/>
  <c r="W73" i="78"/>
  <c r="AL132" i="79" s="1"/>
  <c r="J70" i="78"/>
  <c r="L70" i="78"/>
  <c r="Q70" i="78"/>
  <c r="K73" i="78"/>
  <c r="M73" i="78"/>
  <c r="W70"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B67" i="86"/>
  <c r="I66" i="86"/>
  <c r="AL131" i="79"/>
  <c r="H98" i="79"/>
  <c r="G98" i="79"/>
  <c r="L98" i="79"/>
  <c r="K98" i="79"/>
  <c r="J98" i="79"/>
  <c r="C253" i="66" l="1"/>
  <c r="B68" i="86"/>
  <c r="I67" i="86"/>
  <c r="N98" i="79"/>
  <c r="M98" i="79"/>
  <c r="C254" i="66" l="1"/>
  <c r="B69" i="86"/>
  <c r="I68" i="86"/>
  <c r="R98" i="79"/>
  <c r="F76" i="78"/>
  <c r="Q98" i="79"/>
  <c r="E76" i="78"/>
  <c r="H76" i="78"/>
  <c r="E108" i="65" s="1"/>
  <c r="G76" i="78"/>
  <c r="P98" i="79"/>
  <c r="D76" i="78"/>
  <c r="S98" i="79"/>
  <c r="C255" i="66" l="1"/>
  <c r="B70" i="86"/>
  <c r="I69" i="86"/>
  <c r="V98" i="79"/>
  <c r="J76" i="78"/>
  <c r="W98" i="79"/>
  <c r="K76" i="78"/>
  <c r="X98" i="79"/>
  <c r="L76" i="78"/>
  <c r="N76" i="78"/>
  <c r="F108" i="65" s="1"/>
  <c r="M76" i="78"/>
  <c r="T98" i="79"/>
  <c r="Y98" i="79"/>
  <c r="C256" i="66" l="1"/>
  <c r="Z98" i="79"/>
  <c r="B71" i="86"/>
  <c r="I70" i="86"/>
  <c r="T76" i="78"/>
  <c r="G108" i="65" s="1"/>
  <c r="S76" i="78"/>
  <c r="AB98" i="79"/>
  <c r="P76" i="78"/>
  <c r="AD98" i="79"/>
  <c r="R76" i="78"/>
  <c r="AC98" i="79"/>
  <c r="Q76" i="78"/>
  <c r="AE98" i="79"/>
  <c r="C257" i="66" l="1"/>
  <c r="B72" i="86"/>
  <c r="I71" i="86"/>
  <c r="AF98" i="79"/>
  <c r="V83" i="78"/>
  <c r="J83" i="78"/>
  <c r="W83" i="78"/>
  <c r="Q83" i="78"/>
  <c r="R83" i="78"/>
  <c r="R79" i="78"/>
  <c r="R53" i="78" s="1"/>
  <c r="P83" i="78"/>
  <c r="K79" i="78"/>
  <c r="K53" i="78" s="1"/>
  <c r="S83" i="78"/>
  <c r="K83" i="78"/>
  <c r="L79" i="78"/>
  <c r="L53" i="78" s="1"/>
  <c r="W79" i="78"/>
  <c r="P79" i="78"/>
  <c r="P53" i="78" s="1"/>
  <c r="V79" i="78"/>
  <c r="V53" i="78" s="1"/>
  <c r="M83" i="78"/>
  <c r="M79" i="78"/>
  <c r="M53" i="78" s="1"/>
  <c r="J79" i="78"/>
  <c r="J53" i="78" s="1"/>
  <c r="S79" i="78"/>
  <c r="S53" i="78" s="1"/>
  <c r="L83" i="78"/>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82" i="78"/>
  <c r="N79" i="78"/>
  <c r="F103" i="79"/>
  <c r="E103" i="79"/>
  <c r="D103" i="79"/>
  <c r="C258" i="66" l="1"/>
  <c r="Z83" i="78"/>
  <c r="E56" i="78"/>
  <c r="E83" i="78"/>
  <c r="F114" i="65"/>
  <c r="F84" i="65" s="1"/>
  <c r="N83" i="78"/>
  <c r="F115" i="65" s="1"/>
  <c r="G56" i="78"/>
  <c r="G83" i="78"/>
  <c r="E114" i="65"/>
  <c r="E84" i="65" s="1"/>
  <c r="H83" i="78"/>
  <c r="E115" i="65" s="1"/>
  <c r="D56" i="78"/>
  <c r="F56" i="78"/>
  <c r="F83" i="78"/>
  <c r="G114" i="65"/>
  <c r="H83" i="65" s="1"/>
  <c r="T83" i="78"/>
  <c r="G115" i="65" s="1"/>
  <c r="B73" i="86"/>
  <c r="I72" i="86"/>
  <c r="N53" i="78"/>
  <c r="F81" i="65" s="1"/>
  <c r="F111" i="65"/>
  <c r="T53" i="78"/>
  <c r="G81" i="65" s="1"/>
  <c r="G111" i="65"/>
  <c r="H80" i="65" s="1"/>
  <c r="H53" i="78"/>
  <c r="L56" i="78"/>
  <c r="L95" i="78"/>
  <c r="T56" i="78"/>
  <c r="G126" i="65"/>
  <c r="X52" i="78"/>
  <c r="W53" i="78"/>
  <c r="P56" i="78"/>
  <c r="P95" i="78"/>
  <c r="Q56" i="78"/>
  <c r="Q95" i="78"/>
  <c r="M56" i="78"/>
  <c r="M95" i="78"/>
  <c r="N56" i="78"/>
  <c r="N95" i="78"/>
  <c r="F126" i="65" s="1"/>
  <c r="K56" i="78"/>
  <c r="K95" i="78"/>
  <c r="S56" i="78"/>
  <c r="S95" i="78"/>
  <c r="R56" i="78"/>
  <c r="R95" i="78"/>
  <c r="X55" i="78"/>
  <c r="W56"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C259" i="66" l="1"/>
  <c r="G84" i="65"/>
  <c r="B74" i="86"/>
  <c r="I73" i="86"/>
  <c r="H77" i="65"/>
  <c r="N103" i="79"/>
  <c r="M103" i="79"/>
  <c r="R103" i="79"/>
  <c r="Q103" i="79"/>
  <c r="P103" i="79"/>
  <c r="C260" i="66" l="1"/>
  <c r="B75" i="86"/>
  <c r="I74" i="86"/>
  <c r="T103" i="79"/>
  <c r="S103" i="79"/>
  <c r="X103" i="79"/>
  <c r="W103" i="79"/>
  <c r="V103" i="79"/>
  <c r="C261" i="66" l="1"/>
  <c r="B76" i="86"/>
  <c r="I75" i="86"/>
  <c r="AL102" i="79"/>
  <c r="AJ74" i="79"/>
  <c r="Z103" i="79"/>
  <c r="Y103" i="79"/>
  <c r="AD103" i="79"/>
  <c r="AC103" i="79"/>
  <c r="AB103" i="79"/>
  <c r="C262" i="66" l="1"/>
  <c r="B77" i="86"/>
  <c r="I76" i="86"/>
  <c r="AN102" i="79"/>
  <c r="AF103" i="79"/>
  <c r="AE103" i="79"/>
  <c r="AI103" i="79"/>
  <c r="AH103" i="79"/>
  <c r="C263" i="66" l="1"/>
  <c r="B78" i="86"/>
  <c r="I77" i="86"/>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B79" i="86"/>
  <c r="I78" i="86"/>
  <c r="AL133" i="79"/>
  <c r="G109" i="79"/>
  <c r="H109" i="79"/>
  <c r="L109" i="79"/>
  <c r="K109" i="79"/>
  <c r="J109" i="79"/>
  <c r="C265" i="66" l="1"/>
  <c r="B80" i="86"/>
  <c r="I79" i="86"/>
  <c r="AP102" i="79"/>
  <c r="N109" i="79"/>
  <c r="M109" i="79"/>
  <c r="C266" i="66" l="1"/>
  <c r="B81" i="86"/>
  <c r="I80" i="86"/>
  <c r="Q109" i="79"/>
  <c r="E88" i="78"/>
  <c r="R109" i="79"/>
  <c r="F88" i="78"/>
  <c r="H88" i="78"/>
  <c r="E120" i="65" s="1"/>
  <c r="G88" i="78"/>
  <c r="P109" i="79"/>
  <c r="D88" i="78"/>
  <c r="S109" i="79"/>
  <c r="C267" i="66" l="1"/>
  <c r="B82" i="86"/>
  <c r="I81" i="86"/>
  <c r="AQ102" i="79"/>
  <c r="X109" i="79"/>
  <c r="L88" i="78"/>
  <c r="V109" i="79"/>
  <c r="J88" i="78"/>
  <c r="N88" i="78"/>
  <c r="F120" i="65" s="1"/>
  <c r="M88" i="78"/>
  <c r="W109" i="79"/>
  <c r="K88" i="78"/>
  <c r="T109" i="79"/>
  <c r="Y109" i="79"/>
  <c r="C268" i="66" l="1"/>
  <c r="B83" i="86"/>
  <c r="I82" i="86"/>
  <c r="AR102" i="79"/>
  <c r="Z109" i="79"/>
  <c r="AB109" i="79"/>
  <c r="P88" i="78"/>
  <c r="AC109" i="79"/>
  <c r="Q88" i="78"/>
  <c r="AD109" i="79"/>
  <c r="R88" i="78"/>
  <c r="T88" i="78"/>
  <c r="G120" i="65" s="1"/>
  <c r="S88" i="78"/>
  <c r="AE109" i="79"/>
  <c r="C269" i="66" l="1"/>
  <c r="AF109" i="79"/>
  <c r="B84" i="86"/>
  <c r="I83" i="86"/>
  <c r="AT102" i="79"/>
  <c r="AF164" i="78"/>
  <c r="AI109" i="79"/>
  <c r="W88" i="78"/>
  <c r="AH109" i="79"/>
  <c r="V88" i="78"/>
  <c r="F112" i="79"/>
  <c r="E112" i="79"/>
  <c r="D112" i="79"/>
  <c r="C28" i="6" l="1"/>
  <c r="C270" i="66"/>
  <c r="B85" i="86"/>
  <c r="I84" i="86"/>
  <c r="AV102" i="79"/>
  <c r="H112" i="79"/>
  <c r="G112" i="79"/>
  <c r="L112" i="79"/>
  <c r="K112" i="79"/>
  <c r="J112" i="79"/>
  <c r="C271" i="66" l="1"/>
  <c r="B86" i="86"/>
  <c r="I85" i="86"/>
  <c r="N112" i="79"/>
  <c r="AJ176" i="79"/>
  <c r="AL134" i="79"/>
  <c r="AJ168" i="79"/>
  <c r="M112" i="79"/>
  <c r="R112" i="79"/>
  <c r="Q112" i="79"/>
  <c r="P112" i="79"/>
  <c r="C272" i="66" l="1"/>
  <c r="B87" i="86"/>
  <c r="I86" i="86"/>
  <c r="T112" i="79"/>
  <c r="S112" i="79"/>
  <c r="X112" i="79"/>
  <c r="W112" i="79"/>
  <c r="V112" i="79"/>
  <c r="C273" i="66" l="1"/>
  <c r="B88" i="86"/>
  <c r="I87" i="86"/>
  <c r="Z112" i="79"/>
  <c r="Y112" i="79"/>
  <c r="AD112" i="79"/>
  <c r="AC112" i="79"/>
  <c r="AB112" i="79"/>
  <c r="C274" i="66" l="1"/>
  <c r="B89" i="86"/>
  <c r="I88" i="86"/>
  <c r="AF112" i="79"/>
  <c r="AE112" i="79"/>
  <c r="AI112" i="79"/>
  <c r="AH112" i="79"/>
  <c r="C275" i="66" l="1"/>
  <c r="B90" i="86"/>
  <c r="I89" i="86"/>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G116" i="79"/>
  <c r="H116" i="79"/>
  <c r="L116" i="79"/>
  <c r="K116" i="79"/>
  <c r="J116" i="79"/>
  <c r="C277" i="66" l="1"/>
  <c r="B92" i="86"/>
  <c r="I91" i="86"/>
  <c r="N116" i="79"/>
  <c r="M116" i="79"/>
  <c r="R116" i="79"/>
  <c r="Q116" i="79"/>
  <c r="P116" i="79"/>
  <c r="C278" i="66" l="1"/>
  <c r="B93" i="86"/>
  <c r="I92" i="86"/>
  <c r="T116" i="79"/>
  <c r="S116" i="79"/>
  <c r="X116" i="79"/>
  <c r="W116" i="79"/>
  <c r="V116" i="79"/>
  <c r="C279" i="66" l="1"/>
  <c r="B94" i="86"/>
  <c r="I93" i="86"/>
  <c r="Z116" i="79"/>
  <c r="Y116" i="79"/>
  <c r="AD116" i="79"/>
  <c r="AC116" i="79"/>
  <c r="AB116" i="79"/>
  <c r="C43" i="6"/>
  <c r="C44" i="6" s="1"/>
  <c r="C280" i="66" l="1"/>
  <c r="B95" i="86"/>
  <c r="I94" i="86"/>
  <c r="AF116" i="79"/>
  <c r="AE116" i="79"/>
  <c r="AI116" i="79"/>
  <c r="AH116" i="79"/>
  <c r="AB86" i="86"/>
  <c r="C281" i="66" l="1"/>
  <c r="B96" i="86"/>
  <c r="I95" i="86"/>
  <c r="F31" i="78"/>
  <c r="F32"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37" i="78"/>
  <c r="F65" i="65" s="1"/>
  <c r="N64" i="78"/>
  <c r="V14" i="84"/>
  <c r="Q64" i="78"/>
  <c r="Y14" i="84"/>
  <c r="K65" i="78"/>
  <c r="Q65" i="78"/>
  <c r="W64" i="78"/>
  <c r="Q68" i="79"/>
  <c r="W65" i="78"/>
  <c r="X65" i="78" s="1"/>
  <c r="Y65" i="78" s="1"/>
  <c r="T64" i="78"/>
  <c r="N49" i="78"/>
  <c r="N50" i="78" s="1"/>
  <c r="P14" i="84"/>
  <c r="P18" i="84"/>
  <c r="AI18" i="84"/>
  <c r="M14" i="84"/>
  <c r="F97" i="65"/>
  <c r="AE14" i="84"/>
  <c r="G94" i="65"/>
  <c r="F91" i="65"/>
  <c r="S18" i="84"/>
  <c r="F62" i="65"/>
  <c r="S65" i="78"/>
  <c r="N43" i="78"/>
  <c r="F71" i="65" s="1"/>
  <c r="Z18" i="84"/>
  <c r="W18" i="84"/>
  <c r="F89" i="65"/>
  <c r="AC68" i="79"/>
  <c r="P64" i="78"/>
  <c r="S64" i="78"/>
  <c r="N14" i="84"/>
  <c r="N40" i="78"/>
  <c r="F68" i="65" s="1"/>
  <c r="K68" i="79"/>
  <c r="M65" i="78"/>
  <c r="M64" i="78"/>
  <c r="N46" i="78"/>
  <c r="N61" i="78"/>
  <c r="AB18" i="84"/>
  <c r="S14" i="84"/>
  <c r="D71" i="78"/>
  <c r="G31" i="78"/>
  <c r="AB14" i="84"/>
  <c r="S68" i="79"/>
  <c r="AB68" i="79"/>
  <c r="T104" i="78"/>
  <c r="G129" i="65" s="1"/>
  <c r="K18" i="84"/>
  <c r="K14" i="84"/>
  <c r="P68" i="79"/>
  <c r="Z68" i="79"/>
  <c r="N87" i="79"/>
  <c r="Y68" i="79"/>
  <c r="N31" i="78"/>
  <c r="Z14" i="84"/>
  <c r="E15" i="3" s="1"/>
  <c r="Y18" i="84"/>
  <c r="Q18" i="84"/>
  <c r="E31" i="78"/>
  <c r="Q14" i="84"/>
  <c r="W68" i="79"/>
  <c r="W14" i="84"/>
  <c r="H104" i="78"/>
  <c r="E129" i="65" s="1"/>
  <c r="Z86" i="79"/>
  <c r="Z87" i="79"/>
  <c r="Z77" i="79"/>
  <c r="Z74" i="79"/>
  <c r="N74" i="79"/>
  <c r="N77" i="79"/>
  <c r="V18" i="84"/>
  <c r="N83" i="79"/>
  <c r="N124" i="78"/>
  <c r="N86" i="79"/>
  <c r="Z71" i="79"/>
  <c r="F94" i="65"/>
  <c r="Z83" i="79"/>
  <c r="V68" i="79"/>
  <c r="Z18" i="79"/>
  <c r="AC14" i="84"/>
  <c r="AC18" i="84"/>
  <c r="N68" i="79"/>
  <c r="N71" i="79"/>
  <c r="N58" i="78"/>
  <c r="N18" i="84"/>
  <c r="Z80" i="79"/>
  <c r="M68" i="79"/>
  <c r="N80" i="79"/>
  <c r="AE68" i="79"/>
  <c r="M18" i="84"/>
  <c r="AE18" i="84"/>
  <c r="AI68" i="79"/>
  <c r="AI14" i="84"/>
  <c r="G97" i="65"/>
  <c r="E97" i="65"/>
  <c r="T65" i="78"/>
  <c r="H40" i="78"/>
  <c r="E68" i="65" s="1"/>
  <c r="G89" i="65"/>
  <c r="D14" i="84"/>
  <c r="G65" i="65"/>
  <c r="E89" i="65"/>
  <c r="E94" i="65"/>
  <c r="G62" i="65"/>
  <c r="D24" i="6"/>
  <c r="D25" i="6" s="1"/>
  <c r="E91" i="65"/>
  <c r="H49" i="78"/>
  <c r="H50" i="78" s="1"/>
  <c r="H37" i="78"/>
  <c r="E65" i="65" s="1"/>
  <c r="T18" i="84"/>
  <c r="H18" i="79"/>
  <c r="T14" i="84"/>
  <c r="D68" i="79"/>
  <c r="D18" i="84"/>
  <c r="H58" i="78"/>
  <c r="T58" i="78"/>
  <c r="T68" i="79"/>
  <c r="AF18" i="84"/>
  <c r="T18" i="79"/>
  <c r="AF18" i="79"/>
  <c r="AF68" i="79"/>
  <c r="H124" i="78"/>
  <c r="T80" i="79"/>
  <c r="AF14" i="84"/>
  <c r="AF80" i="79"/>
  <c r="T124" i="78"/>
  <c r="G91" i="65"/>
  <c r="B97" i="86"/>
  <c r="I96" i="86"/>
  <c r="J18" i="84"/>
  <c r="N18" i="79"/>
  <c r="J14" i="84"/>
  <c r="J68" i="79"/>
  <c r="AH14" i="84"/>
  <c r="AH18" i="84"/>
  <c r="AH68" i="79"/>
  <c r="J65" i="78"/>
  <c r="V65" i="78"/>
  <c r="J64" i="78"/>
  <c r="V64" i="78"/>
  <c r="T61" i="78"/>
  <c r="T40" i="78"/>
  <c r="G68" i="65" s="1"/>
  <c r="K31" i="78"/>
  <c r="J31" i="78"/>
  <c r="L31" i="78"/>
  <c r="T31" i="78"/>
  <c r="T49" i="78"/>
  <c r="M31" i="78"/>
  <c r="T43" i="78"/>
  <c r="G71" i="65" s="1"/>
  <c r="T46" i="78"/>
  <c r="N104" i="78"/>
  <c r="F129" i="65" s="1"/>
  <c r="N86" i="78"/>
  <c r="F118" i="65" s="1"/>
  <c r="F71" i="78"/>
  <c r="F107" i="78"/>
  <c r="F77" i="78"/>
  <c r="AF77" i="79"/>
  <c r="H64" i="78"/>
  <c r="AF87" i="79"/>
  <c r="AF86" i="79"/>
  <c r="H43" i="78"/>
  <c r="AF83" i="79"/>
  <c r="H46" i="78"/>
  <c r="H65" i="78"/>
  <c r="H31" i="78"/>
  <c r="E59" i="65" s="1"/>
  <c r="E60" i="65" s="1"/>
  <c r="T77" i="79"/>
  <c r="H61" i="78"/>
  <c r="T71" i="79"/>
  <c r="T74" i="79"/>
  <c r="AF71" i="79"/>
  <c r="T87" i="79"/>
  <c r="T86" i="79"/>
  <c r="T83" i="79"/>
  <c r="AF74" i="79"/>
  <c r="F17" i="3" l="1"/>
  <c r="F13" i="3"/>
  <c r="F15" i="3"/>
  <c r="G59" i="65"/>
  <c r="H60" i="65" s="1"/>
  <c r="Z32" i="78"/>
  <c r="G71" i="78"/>
  <c r="G32" i="78"/>
  <c r="F59" i="65"/>
  <c r="N32" i="78"/>
  <c r="E71" i="78"/>
  <c r="F66" i="65"/>
  <c r="T47" i="78"/>
  <c r="E74" i="65"/>
  <c r="E75" i="65" s="1"/>
  <c r="H47" i="78"/>
  <c r="G86" i="65"/>
  <c r="AU16" i="78"/>
  <c r="F86" i="65"/>
  <c r="F87" i="65" s="1"/>
  <c r="AT16" i="78"/>
  <c r="E86" i="65"/>
  <c r="E87" i="65" s="1"/>
  <c r="AS16" i="78"/>
  <c r="F74" i="65"/>
  <c r="F75" i="65" s="1"/>
  <c r="N47" i="78"/>
  <c r="C283" i="66"/>
  <c r="F63" i="65"/>
  <c r="D107" i="78"/>
  <c r="N38" i="78"/>
  <c r="G95" i="65"/>
  <c r="N122" i="78"/>
  <c r="N126" i="78" s="1"/>
  <c r="G104" i="78"/>
  <c r="F95" i="65"/>
  <c r="F77" i="65"/>
  <c r="F78" i="65" s="1"/>
  <c r="D77" i="78"/>
  <c r="G77" i="78"/>
  <c r="N74" i="78"/>
  <c r="F106" i="65" s="1"/>
  <c r="AJ87" i="79"/>
  <c r="N98" i="78"/>
  <c r="N89" i="78"/>
  <c r="F121" i="65" s="1"/>
  <c r="G107" i="78"/>
  <c r="F104" i="78"/>
  <c r="E107" i="78"/>
  <c r="E104" i="78"/>
  <c r="E77" i="78"/>
  <c r="N107" i="78"/>
  <c r="F132" i="65" s="1"/>
  <c r="N77" i="78"/>
  <c r="F109" i="65" s="1"/>
  <c r="N71" i="78"/>
  <c r="F103" i="65" s="1"/>
  <c r="F72" i="65"/>
  <c r="N62" i="78"/>
  <c r="N44" i="78"/>
  <c r="N59" i="78"/>
  <c r="N41" i="78"/>
  <c r="F98" i="65"/>
  <c r="F69" i="65"/>
  <c r="N35" i="78"/>
  <c r="E24" i="6"/>
  <c r="F24" i="6" s="1"/>
  <c r="T86" i="78"/>
  <c r="G118" i="65" s="1"/>
  <c r="T74" i="78"/>
  <c r="G106" i="65" s="1"/>
  <c r="E77" i="65"/>
  <c r="E78" i="65" s="1"/>
  <c r="E95" i="65"/>
  <c r="G66" i="65"/>
  <c r="T38" i="78"/>
  <c r="B98" i="86"/>
  <c r="I97" i="86"/>
  <c r="H86" i="78"/>
  <c r="E118" i="65" s="1"/>
  <c r="E62" i="65"/>
  <c r="G98" i="65"/>
  <c r="G69" i="65"/>
  <c r="G63" i="65"/>
  <c r="G92" i="65"/>
  <c r="E98" i="65"/>
  <c r="H89" i="78"/>
  <c r="E121" i="65" s="1"/>
  <c r="E71" i="65"/>
  <c r="E72" i="65" s="1"/>
  <c r="G74" i="65"/>
  <c r="G75" i="65" s="1"/>
  <c r="G72" i="65"/>
  <c r="E92" i="65"/>
  <c r="F60" i="65"/>
  <c r="T50" i="78"/>
  <c r="G77" i="65"/>
  <c r="G78" i="65" s="1"/>
  <c r="E69" i="65"/>
  <c r="Z65" i="78"/>
  <c r="AL87" i="79" s="1"/>
  <c r="AB65" i="78"/>
  <c r="AK87" i="79"/>
  <c r="T59" i="78"/>
  <c r="Q31" i="78"/>
  <c r="S31" i="78"/>
  <c r="Y32" i="78"/>
  <c r="P31" i="78"/>
  <c r="R31" i="78"/>
  <c r="R32" i="78" s="1"/>
  <c r="T89" i="78"/>
  <c r="G121" i="65" s="1"/>
  <c r="T44" i="78"/>
  <c r="T98" i="78"/>
  <c r="M32" i="78"/>
  <c r="M71" i="78"/>
  <c r="M107" i="78"/>
  <c r="M104" i="78"/>
  <c r="M77" i="78"/>
  <c r="T107" i="78"/>
  <c r="G132" i="65" s="1"/>
  <c r="T71" i="78"/>
  <c r="G103" i="65" s="1"/>
  <c r="T32" i="78"/>
  <c r="AU18" i="78" s="1"/>
  <c r="T77" i="78"/>
  <c r="G109" i="65" s="1"/>
  <c r="J32" i="78"/>
  <c r="J107" i="78"/>
  <c r="J71" i="78"/>
  <c r="J77" i="78"/>
  <c r="K32" i="78"/>
  <c r="K77" i="78"/>
  <c r="K107" i="78"/>
  <c r="K104" i="78"/>
  <c r="K71" i="78"/>
  <c r="L32" i="78"/>
  <c r="L71" i="78"/>
  <c r="L104" i="78"/>
  <c r="L77" i="78"/>
  <c r="L107" i="78"/>
  <c r="T35" i="78"/>
  <c r="T41" i="78"/>
  <c r="T122" i="78"/>
  <c r="T126" i="78" s="1"/>
  <c r="T62" i="78"/>
  <c r="H107" i="78"/>
  <c r="E132" i="65" s="1"/>
  <c r="AT18" i="78"/>
  <c r="H74" i="78"/>
  <c r="E106" i="65" s="1"/>
  <c r="H38" i="78"/>
  <c r="H98" i="78"/>
  <c r="H71" i="78"/>
  <c r="E103" i="65" s="1"/>
  <c r="H77" i="78"/>
  <c r="E109" i="65" s="1"/>
  <c r="H44" i="78"/>
  <c r="H59" i="78"/>
  <c r="H122" i="78"/>
  <c r="H126" i="78" s="1"/>
  <c r="H62" i="78"/>
  <c r="H32" i="78"/>
  <c r="AS18" i="78" s="1"/>
  <c r="H41" i="78"/>
  <c r="H35" i="78"/>
  <c r="G87" i="65" l="1"/>
  <c r="G60" i="65"/>
  <c r="F92" i="65"/>
  <c r="H136" i="78"/>
  <c r="AS17" i="78" s="1"/>
  <c r="H113" i="78"/>
  <c r="T136" i="78"/>
  <c r="AU17" i="78" s="1"/>
  <c r="T113" i="78"/>
  <c r="N136" i="78"/>
  <c r="AT17" i="78" s="1"/>
  <c r="N113" i="78"/>
  <c r="C284" i="66"/>
  <c r="E35" i="6"/>
  <c r="E14" i="6" s="1"/>
  <c r="G24" i="6"/>
  <c r="F35" i="6"/>
  <c r="F14" i="6" s="1"/>
  <c r="B99" i="86"/>
  <c r="I98" i="86"/>
  <c r="E11" i="65"/>
  <c r="E63" i="65"/>
  <c r="E66" i="65"/>
  <c r="AC65" i="78"/>
  <c r="W31" i="78"/>
  <c r="W32" i="78" s="1"/>
  <c r="AC32" i="78"/>
  <c r="V31" i="78"/>
  <c r="AB32" i="78"/>
  <c r="R77" i="78"/>
  <c r="R107" i="78"/>
  <c r="R104" i="78"/>
  <c r="R71" i="78"/>
  <c r="S32" i="78"/>
  <c r="S107" i="78"/>
  <c r="S71" i="78"/>
  <c r="S77" i="78"/>
  <c r="S104" i="78"/>
  <c r="P32" i="78"/>
  <c r="P77" i="78"/>
  <c r="P71" i="78"/>
  <c r="P104" i="78"/>
  <c r="P107" i="78"/>
  <c r="Q32" i="78"/>
  <c r="Q104" i="78"/>
  <c r="Q71" i="78"/>
  <c r="Q107" i="78"/>
  <c r="Q77" i="78"/>
  <c r="C285" i="66" l="1"/>
  <c r="H24" i="6"/>
  <c r="H35" i="6" s="1"/>
  <c r="G35" i="6"/>
  <c r="G14" i="6" s="1"/>
  <c r="B100" i="86"/>
  <c r="I99" i="86"/>
  <c r="X100" i="78"/>
  <c r="AD65" i="78"/>
  <c r="AO87" i="79"/>
  <c r="AN87" i="79"/>
  <c r="V32" i="78"/>
  <c r="V104" i="78"/>
  <c r="V107" i="78"/>
  <c r="V77" i="78"/>
  <c r="V71" i="78"/>
  <c r="W104" i="78"/>
  <c r="W71" i="78"/>
  <c r="W107" i="78"/>
  <c r="W77" i="78"/>
  <c r="H21" i="79"/>
  <c r="X77" i="78" l="1"/>
  <c r="X76" i="78" s="1"/>
  <c r="Y77" i="78"/>
  <c r="Y76" i="78" s="1"/>
  <c r="Z76" i="78" s="1"/>
  <c r="C286" i="66"/>
  <c r="B101" i="86"/>
  <c r="I100" i="86"/>
  <c r="AE65" i="78"/>
  <c r="Z110" i="78"/>
  <c r="AW18" i="78"/>
  <c r="AV18" i="78"/>
  <c r="Z77" i="78"/>
  <c r="D86" i="78"/>
  <c r="G86" i="78"/>
  <c r="F86" i="78"/>
  <c r="E86" i="78"/>
  <c r="T21" i="79"/>
  <c r="N21" i="79"/>
  <c r="AB77" i="78" l="1"/>
  <c r="C287" i="66"/>
  <c r="B102" i="86"/>
  <c r="I101" i="86"/>
  <c r="AL14" i="84"/>
  <c r="AL18" i="84"/>
  <c r="AL17" i="84" s="1"/>
  <c r="AL68" i="79"/>
  <c r="AL18" i="79"/>
  <c r="F74" i="78"/>
  <c r="AP87" i="79"/>
  <c r="AF65" i="78"/>
  <c r="AQ87" i="79"/>
  <c r="E35" i="78"/>
  <c r="G35" i="78"/>
  <c r="G74" i="78"/>
  <c r="E74" i="78"/>
  <c r="F35" i="78"/>
  <c r="K37" i="78"/>
  <c r="J37" i="78"/>
  <c r="L37" i="78"/>
  <c r="M37" i="78"/>
  <c r="D74" i="78"/>
  <c r="D35" i="78"/>
  <c r="E37" i="78"/>
  <c r="E38" i="78" s="1"/>
  <c r="G40" i="78"/>
  <c r="G41" i="78" s="1"/>
  <c r="D37" i="78"/>
  <c r="D38" i="78" s="1"/>
  <c r="F40" i="78"/>
  <c r="F41" i="78" s="1"/>
  <c r="F37" i="78"/>
  <c r="F38" i="78" s="1"/>
  <c r="D40" i="78"/>
  <c r="D41" i="78" s="1"/>
  <c r="E40" i="78"/>
  <c r="E41" i="78" s="1"/>
  <c r="G37" i="78"/>
  <c r="G38"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G13" i="3" l="1"/>
  <c r="M13" i="3" s="1"/>
  <c r="G17" i="3"/>
  <c r="M17" i="3" s="1"/>
  <c r="G15" i="3"/>
  <c r="M15" i="3" s="1"/>
  <c r="AB76" i="78"/>
  <c r="AC77" i="78"/>
  <c r="AC76" i="78" s="1"/>
  <c r="C288" i="66"/>
  <c r="N12" i="6"/>
  <c r="B103" i="86"/>
  <c r="I102" i="86"/>
  <c r="AJ86" i="79"/>
  <c r="J38" i="78"/>
  <c r="L38" i="78"/>
  <c r="AH65" i="78"/>
  <c r="AR60" i="79"/>
  <c r="W38" i="78"/>
  <c r="M38" i="78"/>
  <c r="Q38" i="78"/>
  <c r="S38" i="78"/>
  <c r="V40" i="78"/>
  <c r="W40" i="78"/>
  <c r="W41" i="78" s="1"/>
  <c r="Q40" i="78"/>
  <c r="Q41" i="78" s="1"/>
  <c r="P40" i="78"/>
  <c r="P41" i="78" s="1"/>
  <c r="K40" i="78"/>
  <c r="K41" i="78" s="1"/>
  <c r="M40" i="78"/>
  <c r="M41" i="78" s="1"/>
  <c r="S40" i="78"/>
  <c r="S41" i="78" s="1"/>
  <c r="J40" i="78"/>
  <c r="J41" i="78" s="1"/>
  <c r="R40" i="78"/>
  <c r="R41" i="78" s="1"/>
  <c r="L40" i="78"/>
  <c r="L41" i="78" s="1"/>
  <c r="V86" i="78"/>
  <c r="V74" i="78"/>
  <c r="V35" i="78"/>
  <c r="P86" i="78"/>
  <c r="P35" i="78"/>
  <c r="P74" i="78"/>
  <c r="P38" i="78"/>
  <c r="V38" i="78"/>
  <c r="R35" i="78"/>
  <c r="R74" i="78"/>
  <c r="R86" i="78"/>
  <c r="R38" i="78"/>
  <c r="J86" i="78"/>
  <c r="J74" i="78"/>
  <c r="J35" i="78"/>
  <c r="M74" i="78"/>
  <c r="M86" i="78"/>
  <c r="M35" i="78"/>
  <c r="K38" i="78"/>
  <c r="L74" i="78"/>
  <c r="L86" i="78"/>
  <c r="L35" i="78"/>
  <c r="K86" i="78"/>
  <c r="K35" i="78"/>
  <c r="K74" i="78"/>
  <c r="Q86" i="78"/>
  <c r="Q35" i="78"/>
  <c r="Q74" i="78"/>
  <c r="S74" i="78"/>
  <c r="S86" i="78"/>
  <c r="S35" i="78"/>
  <c r="W35" i="78"/>
  <c r="W74" i="78"/>
  <c r="D43" i="78"/>
  <c r="D44" i="78" s="1"/>
  <c r="E43" i="78"/>
  <c r="E44" i="78" s="1"/>
  <c r="F43" i="78"/>
  <c r="F44" i="78" s="1"/>
  <c r="G43" i="78"/>
  <c r="G44" i="78" s="1"/>
  <c r="H27" i="79"/>
  <c r="AI71" i="79"/>
  <c r="AH71" i="79"/>
  <c r="AE71" i="79"/>
  <c r="AD71" i="79"/>
  <c r="AC71" i="79"/>
  <c r="AF24" i="79"/>
  <c r="AB71" i="79"/>
  <c r="Y71" i="79"/>
  <c r="X71" i="79"/>
  <c r="W71" i="79"/>
  <c r="Z24" i="79"/>
  <c r="V71" i="79"/>
  <c r="N27" i="79"/>
  <c r="T27" i="79"/>
  <c r="X35" i="78" l="1"/>
  <c r="AD77" i="78"/>
  <c r="AD76" i="78" s="1"/>
  <c r="X86" i="78"/>
  <c r="Y86" i="78"/>
  <c r="AB86" i="78"/>
  <c r="C289" i="66"/>
  <c r="N18" i="6"/>
  <c r="D18" i="6" s="1"/>
  <c r="B104" i="86"/>
  <c r="I103" i="86"/>
  <c r="AJ65" i="78"/>
  <c r="AL21" i="79"/>
  <c r="AR87" i="79"/>
  <c r="E98" i="78"/>
  <c r="E89" i="78"/>
  <c r="F98" i="78"/>
  <c r="F89" i="78"/>
  <c r="D98" i="78"/>
  <c r="D89" i="78"/>
  <c r="G98" i="78"/>
  <c r="G89" i="78"/>
  <c r="J49" i="78"/>
  <c r="J50" i="78" s="1"/>
  <c r="Q43" i="78"/>
  <c r="K49" i="78"/>
  <c r="K50" i="78" s="1"/>
  <c r="K43" i="78"/>
  <c r="J43" i="78"/>
  <c r="M43" i="78"/>
  <c r="V49" i="78"/>
  <c r="W49" i="78"/>
  <c r="W50" i="78" s="1"/>
  <c r="Q49" i="78"/>
  <c r="Q50" i="78" s="1"/>
  <c r="S49" i="78"/>
  <c r="S50" i="78" s="1"/>
  <c r="M49" i="78"/>
  <c r="M50" i="78" s="1"/>
  <c r="P49" i="78"/>
  <c r="P50" i="78" s="1"/>
  <c r="L43" i="78"/>
  <c r="W43" i="78"/>
  <c r="W44" i="78" s="1"/>
  <c r="R49" i="78"/>
  <c r="R50" i="78" s="1"/>
  <c r="V43" i="78"/>
  <c r="S43" i="78"/>
  <c r="R43" i="78"/>
  <c r="L49" i="78"/>
  <c r="L50" i="78" s="1"/>
  <c r="P43" i="78"/>
  <c r="V41" i="78"/>
  <c r="E46" i="78"/>
  <c r="E47" i="78" s="1"/>
  <c r="G49" i="78"/>
  <c r="G50" i="78" s="1"/>
  <c r="F49" i="78"/>
  <c r="F50" i="78" s="1"/>
  <c r="D49" i="78"/>
  <c r="D50" i="78" s="1"/>
  <c r="G46" i="78"/>
  <c r="G47" i="78" s="1"/>
  <c r="E49" i="78"/>
  <c r="E50" i="78" s="1"/>
  <c r="F46" i="78"/>
  <c r="F47" i="78" s="1"/>
  <c r="D46" i="78"/>
  <c r="D47" i="78" s="1"/>
  <c r="T29" i="79"/>
  <c r="N29" i="79"/>
  <c r="H29" i="79"/>
  <c r="T28" i="79"/>
  <c r="N28" i="79"/>
  <c r="AF28" i="79"/>
  <c r="Z28" i="79"/>
  <c r="AF27" i="79"/>
  <c r="Z27" i="79"/>
  <c r="H28" i="79"/>
  <c r="AC86" i="78" l="1"/>
  <c r="X34" i="78"/>
  <c r="AD86" i="78"/>
  <c r="Y35" i="78"/>
  <c r="AE77" i="78"/>
  <c r="AE76" i="78" s="1"/>
  <c r="AF76" i="78" s="1"/>
  <c r="AF77" i="78" s="1"/>
  <c r="AB35" i="78"/>
  <c r="C290" i="66"/>
  <c r="B105" i="86"/>
  <c r="I104" i="86"/>
  <c r="AL23" i="79"/>
  <c r="AT87" i="79"/>
  <c r="AL65" i="78"/>
  <c r="AX87" i="79" s="1"/>
  <c r="AV87" i="79"/>
  <c r="W46" i="78"/>
  <c r="W47" i="78" s="1"/>
  <c r="R46" i="78"/>
  <c r="R47" i="78" s="1"/>
  <c r="M46" i="78"/>
  <c r="M47" i="78" s="1"/>
  <c r="Q46" i="78"/>
  <c r="Q47" i="78" s="1"/>
  <c r="L46" i="78"/>
  <c r="L47" i="78" s="1"/>
  <c r="P46" i="78"/>
  <c r="P47" i="78" s="1"/>
  <c r="S46" i="78"/>
  <c r="S47" i="78" s="1"/>
  <c r="V46" i="78"/>
  <c r="V47" i="78" s="1"/>
  <c r="J46" i="78"/>
  <c r="J47" i="78" s="1"/>
  <c r="K46" i="78"/>
  <c r="K47" i="78" s="1"/>
  <c r="S98" i="78"/>
  <c r="S44" i="78"/>
  <c r="S89" i="78"/>
  <c r="V44" i="78"/>
  <c r="V89" i="78"/>
  <c r="V98" i="78"/>
  <c r="W89" i="78"/>
  <c r="W98" i="78"/>
  <c r="M89" i="78"/>
  <c r="M44" i="78"/>
  <c r="M98" i="78"/>
  <c r="J44" i="78"/>
  <c r="J89" i="78"/>
  <c r="J98" i="78"/>
  <c r="K98" i="78"/>
  <c r="K44" i="78"/>
  <c r="K89" i="78"/>
  <c r="L89" i="78"/>
  <c r="L44" i="78"/>
  <c r="L98" i="78"/>
  <c r="V50" i="78"/>
  <c r="Q44" i="78"/>
  <c r="Q98" i="78"/>
  <c r="Q89" i="78"/>
  <c r="P89" i="78"/>
  <c r="P98" i="78"/>
  <c r="P44" i="78"/>
  <c r="R89" i="78"/>
  <c r="R44" i="78"/>
  <c r="R98" i="78"/>
  <c r="H31" i="79"/>
  <c r="AF29" i="79"/>
  <c r="Z29" i="79"/>
  <c r="X47" i="78" l="1"/>
  <c r="AE86" i="78"/>
  <c r="X40" i="78"/>
  <c r="X73" i="78"/>
  <c r="X43" i="78"/>
  <c r="AB34" i="78"/>
  <c r="AB40" i="78" s="1"/>
  <c r="AH77" i="78"/>
  <c r="X85" i="78"/>
  <c r="Y34" i="78"/>
  <c r="AC35" i="78"/>
  <c r="AC34" i="78" s="1"/>
  <c r="C291" i="66"/>
  <c r="B106" i="86"/>
  <c r="I105" i="86"/>
  <c r="AK86" i="79"/>
  <c r="AL27" i="79"/>
  <c r="AL24" i="79"/>
  <c r="AL71" i="79"/>
  <c r="H30" i="79"/>
  <c r="N31" i="79"/>
  <c r="N30" i="79"/>
  <c r="X88" i="78" l="1"/>
  <c r="X103" i="78" s="1"/>
  <c r="X104" i="78" s="1"/>
  <c r="Y73" i="78"/>
  <c r="Y40" i="78"/>
  <c r="Y41" i="78" s="1"/>
  <c r="Y85" i="78"/>
  <c r="Z85" i="78" s="1"/>
  <c r="Y47" i="78"/>
  <c r="AH76" i="78"/>
  <c r="Z34" i="78"/>
  <c r="AJ77" i="78"/>
  <c r="AJ76" i="78" s="1"/>
  <c r="AJ98" i="79"/>
  <c r="Y43" i="78"/>
  <c r="X41" i="78"/>
  <c r="AC73" i="78"/>
  <c r="AC40" i="78"/>
  <c r="AC41" i="78" s="1"/>
  <c r="AB73" i="78"/>
  <c r="AB85" i="78"/>
  <c r="X46" i="78"/>
  <c r="X97" i="78"/>
  <c r="AC85" i="78"/>
  <c r="AD35" i="78"/>
  <c r="AD34" i="78" s="1"/>
  <c r="C292" i="66"/>
  <c r="B107" i="86"/>
  <c r="I106" i="86"/>
  <c r="AL29" i="79"/>
  <c r="T31" i="79"/>
  <c r="Z86" i="78" l="1"/>
  <c r="Y88" i="78"/>
  <c r="Z43" i="78"/>
  <c r="Y97" i="78"/>
  <c r="Y46" i="78"/>
  <c r="Z46" i="78" s="1"/>
  <c r="AD73" i="78"/>
  <c r="AD40" i="78"/>
  <c r="AD41" i="78" s="1"/>
  <c r="AD85" i="78"/>
  <c r="X132" i="78"/>
  <c r="Z73" i="78"/>
  <c r="Z35" i="78"/>
  <c r="Z38" i="78"/>
  <c r="AB47" i="78"/>
  <c r="X101" i="78"/>
  <c r="X130" i="78"/>
  <c r="X82" i="78"/>
  <c r="Z40" i="78"/>
  <c r="Z41" i="78" s="1"/>
  <c r="AB41" i="78"/>
  <c r="AC43" i="78"/>
  <c r="AC88" i="78" s="1"/>
  <c r="AB43" i="78"/>
  <c r="AE35" i="78"/>
  <c r="AE34" i="78" s="1"/>
  <c r="AF34" i="78" s="1"/>
  <c r="AF35" i="78" s="1"/>
  <c r="AL77" i="78"/>
  <c r="AL76" i="78" s="1"/>
  <c r="C293" i="66"/>
  <c r="B108" i="86"/>
  <c r="I107" i="86"/>
  <c r="T30" i="79"/>
  <c r="Z31" i="79"/>
  <c r="AH35" i="78" l="1"/>
  <c r="AH34" i="78" s="1"/>
  <c r="AH40" i="78" s="1"/>
  <c r="Z88" i="78"/>
  <c r="Z89" i="78" s="1"/>
  <c r="Y103" i="78"/>
  <c r="Y104" i="78" s="1"/>
  <c r="Z47" i="78"/>
  <c r="AC47" i="78" s="1"/>
  <c r="Z44" i="78"/>
  <c r="Y130" i="78"/>
  <c r="Z97" i="78"/>
  <c r="AB97" i="78"/>
  <c r="AB130" i="78" s="1"/>
  <c r="AL98" i="79"/>
  <c r="Z74" i="78"/>
  <c r="AE73" i="78"/>
  <c r="AE40" i="78"/>
  <c r="AE85" i="78"/>
  <c r="AF85" i="78" s="1"/>
  <c r="AF86" i="78" s="1"/>
  <c r="AB88" i="78"/>
  <c r="AB103" i="78" s="1"/>
  <c r="X64" i="78"/>
  <c r="AJ102" i="79"/>
  <c r="Y55" i="78"/>
  <c r="AD43" i="78"/>
  <c r="AD88" i="78" s="1"/>
  <c r="AD103" i="78" s="1"/>
  <c r="AB46" i="78"/>
  <c r="C294" i="66"/>
  <c r="B109" i="86"/>
  <c r="I108" i="86"/>
  <c r="AN86" i="79"/>
  <c r="Z30" i="79"/>
  <c r="AF31" i="79"/>
  <c r="Z98" i="78" l="1"/>
  <c r="Z130" i="78"/>
  <c r="Y132" i="78"/>
  <c r="Z103" i="78"/>
  <c r="Z104" i="78" s="1"/>
  <c r="AE47" i="78"/>
  <c r="AE46" i="78" s="1"/>
  <c r="AD47" i="78"/>
  <c r="AC97" i="78"/>
  <c r="AC130" i="78" s="1"/>
  <c r="AD132" i="78"/>
  <c r="AD104" i="78"/>
  <c r="AJ35" i="78"/>
  <c r="Y82" i="78"/>
  <c r="Z55" i="78"/>
  <c r="AE41" i="78"/>
  <c r="AF40" i="78"/>
  <c r="AF41" i="78" s="1"/>
  <c r="AB132" i="78"/>
  <c r="AB104" i="78"/>
  <c r="AF73" i="78"/>
  <c r="AF74" i="78" s="1"/>
  <c r="AC46" i="78"/>
  <c r="AH73" i="78"/>
  <c r="AH86" i="78"/>
  <c r="AH85" i="78" s="1"/>
  <c r="AE43" i="78"/>
  <c r="Y100" i="78"/>
  <c r="AC103" i="78"/>
  <c r="C295" i="66"/>
  <c r="B110" i="86"/>
  <c r="I109" i="86"/>
  <c r="AF30" i="79"/>
  <c r="Z132" i="78" l="1"/>
  <c r="AD46" i="78"/>
  <c r="AF46" i="78" s="1"/>
  <c r="AF47" i="78" s="1"/>
  <c r="AH47" i="78"/>
  <c r="AH46" i="78" s="1"/>
  <c r="AE88" i="78"/>
  <c r="AF43" i="78"/>
  <c r="AF44" i="78" s="1"/>
  <c r="AH44" i="78" s="1"/>
  <c r="AJ44" i="78" s="1"/>
  <c r="AH41" i="78"/>
  <c r="AJ34" i="78"/>
  <c r="AJ40" i="78" s="1"/>
  <c r="AL35" i="78"/>
  <c r="AL34" i="78" s="1"/>
  <c r="AE97" i="78"/>
  <c r="AD97" i="78"/>
  <c r="AD130" i="78" s="1"/>
  <c r="AJ86" i="78"/>
  <c r="AC104" i="78"/>
  <c r="AC132" i="78"/>
  <c r="Z100" i="78"/>
  <c r="Y101" i="78"/>
  <c r="AK102" i="79"/>
  <c r="AB55" i="78"/>
  <c r="AB82" i="78" s="1"/>
  <c r="Z82" i="78"/>
  <c r="Z56" i="78" s="1"/>
  <c r="C296" i="66"/>
  <c r="B111" i="86"/>
  <c r="I110" i="86"/>
  <c r="M61" i="78"/>
  <c r="L61" i="78"/>
  <c r="Q61" i="78"/>
  <c r="P58" i="78"/>
  <c r="P59" i="78" s="1"/>
  <c r="Q58" i="78"/>
  <c r="Q59" i="78" s="1"/>
  <c r="V61" i="78"/>
  <c r="V122" i="78" s="1"/>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AJ45" i="78" l="1"/>
  <c r="AH43" i="78"/>
  <c r="AE103" i="78"/>
  <c r="AF88" i="78"/>
  <c r="AF89" i="78" s="1"/>
  <c r="AJ73" i="78"/>
  <c r="AJ41" i="78"/>
  <c r="AJ85" i="78"/>
  <c r="AL86" i="78"/>
  <c r="AL85" i="78" s="1"/>
  <c r="AL40" i="78"/>
  <c r="AL41" i="78" s="1"/>
  <c r="AL73" i="78"/>
  <c r="AE130" i="78"/>
  <c r="AF97" i="78"/>
  <c r="Y64" i="78"/>
  <c r="Z101" i="78"/>
  <c r="AV98" i="79"/>
  <c r="AJ47" i="78"/>
  <c r="AI47" i="78"/>
  <c r="AL47" i="78" s="1"/>
  <c r="AK47" i="78"/>
  <c r="AC55" i="78"/>
  <c r="AC82" i="78" s="1"/>
  <c r="C297" i="66"/>
  <c r="B112" i="86"/>
  <c r="I111" i="86"/>
  <c r="F62" i="78"/>
  <c r="AO86" i="79"/>
  <c r="E62" i="78"/>
  <c r="W62" i="78"/>
  <c r="P122" i="78"/>
  <c r="P62" i="78"/>
  <c r="R122" i="78"/>
  <c r="R62" i="78"/>
  <c r="V62" i="78"/>
  <c r="K122" i="78"/>
  <c r="K62" i="78"/>
  <c r="J122" i="78"/>
  <c r="J62" i="78"/>
  <c r="Q122" i="78"/>
  <c r="Q62" i="78"/>
  <c r="L122" i="78"/>
  <c r="L62" i="78"/>
  <c r="S122" i="78"/>
  <c r="S62" i="78"/>
  <c r="V59" i="78"/>
  <c r="M122" i="78"/>
  <c r="M62" i="78"/>
  <c r="G122" i="78"/>
  <c r="D62" i="78"/>
  <c r="H40" i="79"/>
  <c r="N41" i="79"/>
  <c r="N40" i="79"/>
  <c r="AH88" i="78" l="1"/>
  <c r="AH103" i="78" s="1"/>
  <c r="AH97" i="78"/>
  <c r="AH130" i="78" s="1"/>
  <c r="AL44" i="78"/>
  <c r="AL43" i="78" s="1"/>
  <c r="AJ43" i="78"/>
  <c r="AF103" i="78"/>
  <c r="AE104" i="78"/>
  <c r="AE132" i="78"/>
  <c r="AJ46" i="78"/>
  <c r="AL46" i="78"/>
  <c r="AF98" i="78"/>
  <c r="AF130" i="78"/>
  <c r="Z64" i="78"/>
  <c r="AL86" i="79" s="1"/>
  <c r="AB100" i="78"/>
  <c r="AB101" i="78" s="1"/>
  <c r="AB64" i="78" s="1"/>
  <c r="AC100" i="78" s="1"/>
  <c r="AC101" i="78" s="1"/>
  <c r="AC64" i="78" s="1"/>
  <c r="AD100" i="78" s="1"/>
  <c r="AD101" i="78" s="1"/>
  <c r="AD55" i="78"/>
  <c r="AD82" i="78" s="1"/>
  <c r="X59" i="78"/>
  <c r="X58" i="78" s="1"/>
  <c r="C298" i="66"/>
  <c r="B113" i="86"/>
  <c r="I112" i="86"/>
  <c r="AL30" i="79"/>
  <c r="T41" i="79"/>
  <c r="T40" i="79"/>
  <c r="AH132" i="78" l="1"/>
  <c r="AH104" i="78"/>
  <c r="AL88" i="78"/>
  <c r="AL97" i="78"/>
  <c r="AL130" i="78" s="1"/>
  <c r="AJ97" i="78"/>
  <c r="AJ130" i="78" s="1"/>
  <c r="AJ88" i="78"/>
  <c r="AF132" i="78"/>
  <c r="AF104" i="78"/>
  <c r="Y59" i="78"/>
  <c r="Y58" i="78" s="1"/>
  <c r="Z58" i="78" s="1"/>
  <c r="Z59" i="78" s="1"/>
  <c r="AE55" i="78"/>
  <c r="C299" i="66"/>
  <c r="B114" i="86"/>
  <c r="I113" i="86"/>
  <c r="AD64" i="78"/>
  <c r="Z41" i="79"/>
  <c r="AJ103" i="78" l="1"/>
  <c r="AL103" i="78"/>
  <c r="AF55" i="78"/>
  <c r="AE82" i="78"/>
  <c r="AF82" i="78" s="1"/>
  <c r="AJ77" i="79"/>
  <c r="C300" i="66"/>
  <c r="B115" i="86"/>
  <c r="I114" i="86"/>
  <c r="AP86" i="79"/>
  <c r="AE100" i="78"/>
  <c r="Z40" i="79"/>
  <c r="AF41" i="79"/>
  <c r="AL132" i="78" l="1"/>
  <c r="AL104" i="78"/>
  <c r="AJ132" i="78"/>
  <c r="AJ104" i="78"/>
  <c r="AH55" i="78"/>
  <c r="AH82" i="78" s="1"/>
  <c r="AJ55" i="78" s="1"/>
  <c r="AJ82" i="78" s="1"/>
  <c r="AL55" i="78" s="1"/>
  <c r="AL82" i="78" s="1"/>
  <c r="AF56" i="78"/>
  <c r="C301" i="66"/>
  <c r="B116" i="86"/>
  <c r="I115" i="86"/>
  <c r="AE101" i="78"/>
  <c r="AF100" i="78"/>
  <c r="AF40" i="79"/>
  <c r="AL41" i="79"/>
  <c r="AL40" i="79"/>
  <c r="AD58" i="78" l="1"/>
  <c r="AE58" i="78"/>
  <c r="AC58" i="78"/>
  <c r="C302" i="66"/>
  <c r="B117" i="86"/>
  <c r="I116" i="86"/>
  <c r="AE64" i="78"/>
  <c r="AF101" i="78"/>
  <c r="J124" i="78"/>
  <c r="J126" i="78" s="1"/>
  <c r="P124" i="78"/>
  <c r="P126" i="78" s="1"/>
  <c r="R124" i="78"/>
  <c r="R126" i="78" s="1"/>
  <c r="L124" i="78"/>
  <c r="L126" i="78" s="1"/>
  <c r="M124" i="78"/>
  <c r="M126" i="78" s="1"/>
  <c r="W126" i="78"/>
  <c r="W113" i="78" s="1"/>
  <c r="Q124" i="78"/>
  <c r="Q126" i="78" s="1"/>
  <c r="V124" i="78"/>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AF58" i="78" l="1"/>
  <c r="AF59" i="78" s="1"/>
  <c r="AH59" i="78" s="1"/>
  <c r="G136" i="78"/>
  <c r="G113" i="78"/>
  <c r="E136" i="78"/>
  <c r="E113" i="78"/>
  <c r="R136" i="78"/>
  <c r="R113" i="78"/>
  <c r="D136" i="78"/>
  <c r="D113" i="78"/>
  <c r="K136" i="78"/>
  <c r="K113" i="78"/>
  <c r="L136" i="78"/>
  <c r="L113" i="78"/>
  <c r="S136" i="78"/>
  <c r="S113" i="78"/>
  <c r="Q136" i="78"/>
  <c r="Q113" i="78"/>
  <c r="M136" i="78"/>
  <c r="M113" i="78"/>
  <c r="J136" i="78"/>
  <c r="J113" i="78"/>
  <c r="F136" i="78"/>
  <c r="F113" i="78"/>
  <c r="W136" i="78"/>
  <c r="P136" i="78"/>
  <c r="P113" i="78"/>
  <c r="C303" i="66"/>
  <c r="B118" i="86"/>
  <c r="I117" i="86"/>
  <c r="AQ86" i="79"/>
  <c r="Z124" i="78"/>
  <c r="D32" i="6" s="1"/>
  <c r="D33" i="6" s="1"/>
  <c r="AH100" i="78"/>
  <c r="AH101" i="78" s="1"/>
  <c r="AH64" i="78" s="1"/>
  <c r="AF64" i="78"/>
  <c r="H46" i="79"/>
  <c r="N47" i="79"/>
  <c r="D80" i="79"/>
  <c r="M80" i="79"/>
  <c r="L80" i="79"/>
  <c r="K80" i="79"/>
  <c r="AH58" i="78" l="1"/>
  <c r="AJ59" i="78"/>
  <c r="AL59" i="78"/>
  <c r="AL58" i="78" s="1"/>
  <c r="AJ58" i="78"/>
  <c r="V136" i="78"/>
  <c r="V113" i="78"/>
  <c r="C304" i="66"/>
  <c r="B119" i="86"/>
  <c r="I118" i="86"/>
  <c r="AJ100" i="78"/>
  <c r="AJ101" i="78" s="1"/>
  <c r="AJ64" i="78" s="1"/>
  <c r="AR86" i="79"/>
  <c r="AR59" i="79"/>
  <c r="T47" i="79"/>
  <c r="N46" i="79"/>
  <c r="J80" i="79"/>
  <c r="S80" i="79"/>
  <c r="R80" i="79"/>
  <c r="Q80" i="79"/>
  <c r="C305" i="66" l="1"/>
  <c r="B120" i="86"/>
  <c r="I119" i="86"/>
  <c r="AT86" i="79"/>
  <c r="AL100" i="78"/>
  <c r="AL101" i="78" s="1"/>
  <c r="AL64" i="78" s="1"/>
  <c r="Z47" i="79"/>
  <c r="T46" i="79"/>
  <c r="P80" i="79"/>
  <c r="Y80" i="79"/>
  <c r="X80" i="79"/>
  <c r="W80" i="79"/>
  <c r="AX86" i="79" l="1"/>
  <c r="Z168" i="78"/>
  <c r="C306" i="66"/>
  <c r="B121" i="86"/>
  <c r="I120" i="86"/>
  <c r="AL168" i="78"/>
  <c r="AF168" i="78"/>
  <c r="AV86" i="79"/>
  <c r="AF47" i="79"/>
  <c r="Z46" i="79"/>
  <c r="V80" i="79"/>
  <c r="AE80" i="79"/>
  <c r="AD80" i="79"/>
  <c r="AC80" i="79"/>
  <c r="C307" i="66" l="1"/>
  <c r="B122" i="86"/>
  <c r="I121" i="86"/>
  <c r="AL47" i="79"/>
  <c r="AF46" i="79"/>
  <c r="AB80" i="79"/>
  <c r="AI80" i="79"/>
  <c r="C308" i="66" l="1"/>
  <c r="B123" i="86"/>
  <c r="I122" i="86"/>
  <c r="Z50" i="79"/>
  <c r="AL50" i="79"/>
  <c r="N50" i="79"/>
  <c r="H50" i="79"/>
  <c r="T50" i="79"/>
  <c r="AF50" i="79"/>
  <c r="AL46" i="79"/>
  <c r="AH80" i="79"/>
  <c r="C309" i="66" l="1"/>
  <c r="B124" i="86"/>
  <c r="I123" i="86"/>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B125" i="86"/>
  <c r="I124" i="86"/>
  <c r="D19" i="6"/>
  <c r="L173" i="65"/>
  <c r="E100" i="65"/>
  <c r="E123" i="65"/>
  <c r="F57" i="65"/>
  <c r="G57" i="65" s="1"/>
  <c r="F38" i="65"/>
  <c r="G38" i="65" s="1"/>
  <c r="H38" i="65" s="1"/>
  <c r="I38" i="65" s="1"/>
  <c r="J38" i="65" s="1"/>
  <c r="K38" i="65" s="1"/>
  <c r="L38" i="65" s="1"/>
  <c r="C311" i="66" l="1"/>
  <c r="B126" i="86"/>
  <c r="I125" i="86"/>
  <c r="G123" i="65"/>
  <c r="H57" i="65"/>
  <c r="G100" i="65"/>
  <c r="F123" i="65"/>
  <c r="F100" i="65"/>
  <c r="C312" i="66" l="1"/>
  <c r="B127" i="86"/>
  <c r="I126" i="86"/>
  <c r="H123" i="65"/>
  <c r="I57" i="65"/>
  <c r="H134" i="65"/>
  <c r="H142" i="65" s="1"/>
  <c r="H100" i="65"/>
  <c r="C313" i="66" l="1"/>
  <c r="B128" i="86"/>
  <c r="I127" i="86"/>
  <c r="I123" i="65"/>
  <c r="J57" i="65"/>
  <c r="I134" i="65"/>
  <c r="I142" i="65" s="1"/>
  <c r="I100" i="65"/>
  <c r="C314" i="66" l="1"/>
  <c r="B129" i="86"/>
  <c r="I128" i="86"/>
  <c r="J100" i="65"/>
  <c r="J123" i="65"/>
  <c r="K57" i="65"/>
  <c r="J134" i="65"/>
  <c r="J142" i="65" s="1"/>
  <c r="C315" i="66" l="1"/>
  <c r="B130" i="86"/>
  <c r="I129" i="86"/>
  <c r="K100" i="65"/>
  <c r="L57" i="65"/>
  <c r="K123" i="65"/>
  <c r="K134" i="65"/>
  <c r="K142" i="65" s="1"/>
  <c r="C316" i="66" l="1"/>
  <c r="B131" i="86"/>
  <c r="I130" i="86"/>
  <c r="L100" i="65"/>
  <c r="L123" i="65"/>
  <c r="L134" i="65"/>
  <c r="L142" i="65" s="1"/>
  <c r="C317" i="66" l="1"/>
  <c r="B132" i="86"/>
  <c r="I131" i="86"/>
  <c r="C318" i="66" l="1"/>
  <c r="B133" i="86"/>
  <c r="I132" i="86"/>
  <c r="C319" i="66" l="1"/>
  <c r="B134" i="86"/>
  <c r="I133" i="86"/>
  <c r="C320" i="66" l="1"/>
  <c r="B135" i="86"/>
  <c r="I134" i="86"/>
  <c r="C321" i="66" l="1"/>
  <c r="B136" i="86"/>
  <c r="I135" i="86"/>
  <c r="C322" i="66" l="1"/>
  <c r="B137" i="86"/>
  <c r="I136" i="86"/>
  <c r="C323" i="66" l="1"/>
  <c r="B138" i="86"/>
  <c r="I137" i="86"/>
  <c r="C324" i="66" l="1"/>
  <c r="B139" i="86"/>
  <c r="I138" i="86"/>
  <c r="C325" i="66" l="1"/>
  <c r="B140" i="86"/>
  <c r="I139" i="86"/>
  <c r="D59" i="65"/>
  <c r="C326" i="66" l="1"/>
  <c r="B141" i="86"/>
  <c r="I140" i="86"/>
  <c r="C327" i="66" l="1"/>
  <c r="B142" i="86"/>
  <c r="I141" i="86"/>
  <c r="J27" i="65"/>
  <c r="C328" i="66" l="1"/>
  <c r="B143" i="86"/>
  <c r="I142" i="86"/>
  <c r="E29" i="6"/>
  <c r="E13" i="65"/>
  <c r="AB38" i="86"/>
  <c r="C329" i="66" l="1"/>
  <c r="B144" i="86"/>
  <c r="I143" i="86"/>
  <c r="H62" i="65"/>
  <c r="L11" i="65"/>
  <c r="E15" i="65"/>
  <c r="J28" i="65" s="1"/>
  <c r="L13" i="65"/>
  <c r="L12" i="65"/>
  <c r="E17" i="65"/>
  <c r="J30" i="65" s="1"/>
  <c r="K30" i="65" s="1"/>
  <c r="K27" i="65"/>
  <c r="C330" i="66" l="1"/>
  <c r="B145" i="86"/>
  <c r="I144" i="86"/>
  <c r="H65" i="65"/>
  <c r="H68" i="65" s="1"/>
  <c r="H117" i="65"/>
  <c r="H105" i="65"/>
  <c r="H139" i="65"/>
  <c r="C29" i="65"/>
  <c r="G160" i="65"/>
  <c r="H157" i="65" s="1"/>
  <c r="H158" i="65" s="1"/>
  <c r="K28" i="65"/>
  <c r="J34" i="65"/>
  <c r="C27" i="65"/>
  <c r="G148" i="65"/>
  <c r="C28" i="65"/>
  <c r="G154" i="65"/>
  <c r="H151" i="65" s="1"/>
  <c r="H152" i="65" s="1"/>
  <c r="H128" i="65" l="1"/>
  <c r="C331" i="66"/>
  <c r="B146" i="86"/>
  <c r="I145" i="86"/>
  <c r="H74" i="65"/>
  <c r="H114" i="65" s="1"/>
  <c r="I83" i="65" s="1"/>
  <c r="H69" i="65"/>
  <c r="H111" i="65"/>
  <c r="H125" i="65"/>
  <c r="H129" i="65"/>
  <c r="H138" i="65"/>
  <c r="I62" i="65"/>
  <c r="I139" i="65"/>
  <c r="H145" i="65"/>
  <c r="G166" i="65"/>
  <c r="D27" i="65"/>
  <c r="C30" i="65"/>
  <c r="D29" i="65"/>
  <c r="L30" i="65"/>
  <c r="L34" i="65"/>
  <c r="K34" i="65"/>
  <c r="C34" i="65"/>
  <c r="E27" i="65" s="1"/>
  <c r="L27" i="65"/>
  <c r="D28" i="65"/>
  <c r="L28" i="65"/>
  <c r="C332" i="66" l="1"/>
  <c r="H86" i="65"/>
  <c r="B147" i="86"/>
  <c r="I146" i="86"/>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B148" i="86"/>
  <c r="I147" i="86"/>
  <c r="I111" i="65"/>
  <c r="J80" i="65" s="1"/>
  <c r="J65" i="65"/>
  <c r="J68" i="65" s="1"/>
  <c r="J74" i="65" s="1"/>
  <c r="I128" i="65"/>
  <c r="J117" i="65"/>
  <c r="J105" i="65"/>
  <c r="J128" i="65" s="1"/>
  <c r="J129" i="65" s="1"/>
  <c r="I86" i="65"/>
  <c r="I114" i="65"/>
  <c r="H91" i="65"/>
  <c r="L139" i="65"/>
  <c r="L62" i="65"/>
  <c r="K62" i="65"/>
  <c r="K139" i="65"/>
  <c r="L178" i="65"/>
  <c r="D32" i="65"/>
  <c r="E32" i="65"/>
  <c r="C334" i="66" l="1"/>
  <c r="J69" i="65"/>
  <c r="I126" i="65"/>
  <c r="J111" i="65"/>
  <c r="K80" i="65" s="1"/>
  <c r="B149" i="86"/>
  <c r="I148" i="86"/>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B150" i="86"/>
  <c r="I149" i="86"/>
  <c r="J114" i="65"/>
  <c r="K83" i="65" s="1"/>
  <c r="K77" i="65" s="1"/>
  <c r="K125" i="65" s="1"/>
  <c r="H98" i="65"/>
  <c r="H136" i="65"/>
  <c r="H140" i="65" s="1"/>
  <c r="L128" i="65"/>
  <c r="L129" i="65" s="1"/>
  <c r="K128" i="65"/>
  <c r="K129" i="65" s="1"/>
  <c r="J86" i="65"/>
  <c r="J137" i="65"/>
  <c r="K138" i="65" l="1"/>
  <c r="C336" i="66"/>
  <c r="L138" i="65"/>
  <c r="J126" i="65"/>
  <c r="B151" i="86"/>
  <c r="I150" i="86"/>
  <c r="J78" i="65"/>
  <c r="K114" i="65"/>
  <c r="K126" i="65" s="1"/>
  <c r="K86" i="65"/>
  <c r="K137" i="65"/>
  <c r="H147" i="65"/>
  <c r="C337" i="66" l="1"/>
  <c r="B152" i="86"/>
  <c r="I151" i="86"/>
  <c r="L83" i="65"/>
  <c r="L77" i="65" s="1"/>
  <c r="L125" i="65" s="1"/>
  <c r="K78" i="65"/>
  <c r="H153" i="65"/>
  <c r="H148" i="65"/>
  <c r="C338" i="66" l="1"/>
  <c r="L114" i="65"/>
  <c r="L78" i="65" s="1"/>
  <c r="L86" i="65"/>
  <c r="L172" i="65" s="1"/>
  <c r="L174" i="65" s="1"/>
  <c r="B153" i="86"/>
  <c r="I152" i="86"/>
  <c r="L137" i="65"/>
  <c r="I145" i="65"/>
  <c r="H154" i="65"/>
  <c r="I151" i="65" s="1"/>
  <c r="I152" i="65" s="1"/>
  <c r="H159" i="65"/>
  <c r="C339" i="66" l="1"/>
  <c r="L126" i="65"/>
  <c r="B154" i="86"/>
  <c r="I153" i="86"/>
  <c r="H160" i="65"/>
  <c r="I157" i="65" s="1"/>
  <c r="I158" i="65" s="1"/>
  <c r="H165" i="65"/>
  <c r="I146" i="65"/>
  <c r="C340" i="66" l="1"/>
  <c r="B155" i="86"/>
  <c r="I154" i="86"/>
  <c r="I164" i="65"/>
  <c r="I89" i="65" s="1"/>
  <c r="H166" i="65"/>
  <c r="I163" i="65"/>
  <c r="C341" i="66" l="1"/>
  <c r="B156" i="86"/>
  <c r="I155" i="86"/>
  <c r="I91" i="65"/>
  <c r="C342" i="66" l="1"/>
  <c r="B157" i="86"/>
  <c r="I156" i="86"/>
  <c r="I94" i="65"/>
  <c r="I97" i="65" s="1"/>
  <c r="I92" i="65"/>
  <c r="C343" i="66" l="1"/>
  <c r="B158" i="86"/>
  <c r="I157" i="86"/>
  <c r="I98" i="65"/>
  <c r="I136" i="65"/>
  <c r="I140" i="65" s="1"/>
  <c r="I147" i="65" s="1"/>
  <c r="I153" i="65" s="1"/>
  <c r="I154" i="65" s="1"/>
  <c r="J151" i="65" s="1"/>
  <c r="J152" i="65" s="1"/>
  <c r="C344" i="66" l="1"/>
  <c r="B159" i="86"/>
  <c r="I158" i="86"/>
  <c r="I159" i="65"/>
  <c r="I160" i="65" s="1"/>
  <c r="J157" i="65" s="1"/>
  <c r="J158" i="65" s="1"/>
  <c r="I148" i="65"/>
  <c r="O159" i="86"/>
  <c r="O158" i="86" s="1"/>
  <c r="O157" i="86" s="1"/>
  <c r="O156" i="86" s="1"/>
  <c r="O155" i="86" s="1"/>
  <c r="O154" i="86" s="1"/>
  <c r="O153" i="86" s="1"/>
  <c r="O152" i="86" s="1"/>
  <c r="O151" i="86" s="1"/>
  <c r="O150" i="86" s="1"/>
  <c r="O149" i="86" s="1"/>
  <c r="O148" i="86" s="1"/>
  <c r="O147" i="86" s="1"/>
  <c r="O146" i="86" s="1"/>
  <c r="O145" i="86" s="1"/>
  <c r="O144" i="86" s="1"/>
  <c r="O143" i="86" s="1"/>
  <c r="O142" i="86" s="1"/>
  <c r="O141" i="86" s="1"/>
  <c r="O140" i="86" s="1"/>
  <c r="O139" i="86" s="1"/>
  <c r="O138" i="86" s="1"/>
  <c r="O137" i="86" s="1"/>
  <c r="O136" i="86" s="1"/>
  <c r="O135" i="86" s="1"/>
  <c r="O134" i="86" s="1"/>
  <c r="O133" i="86" s="1"/>
  <c r="O132" i="86" s="1"/>
  <c r="O131" i="86" s="1"/>
  <c r="O130" i="86" s="1"/>
  <c r="O129" i="86" s="1"/>
  <c r="O128" i="86" s="1"/>
  <c r="O127" i="86" s="1"/>
  <c r="O126" i="86" s="1"/>
  <c r="O125" i="86" s="1"/>
  <c r="O124" i="86" s="1"/>
  <c r="O123" i="86" s="1"/>
  <c r="O122" i="86" s="1"/>
  <c r="O121" i="86" s="1"/>
  <c r="O120" i="86" s="1"/>
  <c r="O119" i="86" s="1"/>
  <c r="O118" i="86" s="1"/>
  <c r="O117" i="86" s="1"/>
  <c r="O116" i="86" s="1"/>
  <c r="O115" i="86" s="1"/>
  <c r="O114" i="86" s="1"/>
  <c r="O113" i="86" s="1"/>
  <c r="O112" i="86" s="1"/>
  <c r="O111" i="86" s="1"/>
  <c r="O110" i="86" s="1"/>
  <c r="O109" i="86" s="1"/>
  <c r="O108" i="86" s="1"/>
  <c r="O107" i="86" s="1"/>
  <c r="O106" i="86" s="1"/>
  <c r="O105" i="86" s="1"/>
  <c r="O104" i="86" s="1"/>
  <c r="O103" i="86" s="1"/>
  <c r="O102" i="86" s="1"/>
  <c r="O101" i="86" s="1"/>
  <c r="O100" i="86" s="1"/>
  <c r="O99" i="86" s="1"/>
  <c r="O98" i="86" s="1"/>
  <c r="O97" i="86" s="1"/>
  <c r="O96" i="86" s="1"/>
  <c r="O95" i="86" s="1"/>
  <c r="O94" i="86" s="1"/>
  <c r="O93" i="86" s="1"/>
  <c r="O92" i="86" s="1"/>
  <c r="O91" i="86" s="1"/>
  <c r="O90" i="86" s="1"/>
  <c r="O89" i="86" s="1"/>
  <c r="O88" i="86" s="1"/>
  <c r="O87" i="86" s="1"/>
  <c r="O86" i="86" s="1"/>
  <c r="O85" i="86" s="1"/>
  <c r="O84" i="86" s="1"/>
  <c r="O83" i="86" s="1"/>
  <c r="O82" i="86" s="1"/>
  <c r="O81" i="86" s="1"/>
  <c r="O80" i="86" s="1"/>
  <c r="O79" i="86" s="1"/>
  <c r="O78" i="86" s="1"/>
  <c r="O77" i="86" s="1"/>
  <c r="O76" i="86" s="1"/>
  <c r="O75" i="86" s="1"/>
  <c r="O74" i="86" s="1"/>
  <c r="O73" i="86" s="1"/>
  <c r="O72" i="86" s="1"/>
  <c r="O71" i="86" s="1"/>
  <c r="O70" i="86" s="1"/>
  <c r="O69" i="86" s="1"/>
  <c r="O68" i="86" s="1"/>
  <c r="O67" i="86" s="1"/>
  <c r="O66" i="86" s="1"/>
  <c r="O65" i="86" s="1"/>
  <c r="O64" i="86" s="1"/>
  <c r="O63" i="86" s="1"/>
  <c r="O62" i="86" s="1"/>
  <c r="O61" i="86" s="1"/>
  <c r="O60" i="86" s="1"/>
  <c r="O59" i="86" s="1"/>
  <c r="O58" i="86" s="1"/>
  <c r="O57" i="86" s="1"/>
  <c r="O56" i="86" s="1"/>
  <c r="O55" i="86" s="1"/>
  <c r="O54" i="86" s="1"/>
  <c r="O53" i="86" s="1"/>
  <c r="O52" i="86" s="1"/>
  <c r="O51" i="86" s="1"/>
  <c r="O50" i="86" s="1"/>
  <c r="O49" i="86" s="1"/>
  <c r="O48" i="86" s="1"/>
  <c r="O47" i="86" s="1"/>
  <c r="O46" i="86" s="1"/>
  <c r="O45" i="86" s="1"/>
  <c r="O44" i="86" s="1"/>
  <c r="O43" i="86" s="1"/>
  <c r="O42" i="86" s="1"/>
  <c r="O41" i="86" s="1"/>
  <c r="O40" i="86" s="1"/>
  <c r="O39" i="86" s="1"/>
  <c r="O38" i="86" s="1"/>
  <c r="O37" i="86" s="1"/>
  <c r="O36" i="86" s="1"/>
  <c r="O35" i="86" s="1"/>
  <c r="O34" i="86" s="1"/>
  <c r="O33" i="86" s="1"/>
  <c r="O32" i="86" s="1"/>
  <c r="O31" i="86" s="1"/>
  <c r="O30" i="86" s="1"/>
  <c r="O29" i="86" s="1"/>
  <c r="O28" i="86" s="1"/>
  <c r="O27" i="86" s="1"/>
  <c r="O26" i="86" s="1"/>
  <c r="O25" i="86" s="1"/>
  <c r="O24" i="86" s="1"/>
  <c r="O23" i="86" s="1"/>
  <c r="O22" i="86" s="1"/>
  <c r="O21" i="86" s="1"/>
  <c r="O20" i="86" s="1"/>
  <c r="O19" i="86" s="1"/>
  <c r="O18" i="86" s="1"/>
  <c r="O17" i="86" s="1"/>
  <c r="O16" i="86" s="1"/>
  <c r="O15" i="86" s="1"/>
  <c r="O14" i="86" s="1"/>
  <c r="O13" i="86" s="1"/>
  <c r="O12" i="86" s="1"/>
  <c r="O11" i="86" s="1"/>
  <c r="O10" i="86" s="1"/>
  <c r="O9" i="86" s="1"/>
  <c r="O8" i="86" s="1"/>
  <c r="O7" i="86" s="1"/>
  <c r="O6" i="86" s="1"/>
  <c r="O5" i="86" s="1"/>
  <c r="C159" i="86" l="1"/>
  <c r="C158" i="86" s="1"/>
  <c r="C157" i="86" s="1"/>
  <c r="C156" i="86" s="1"/>
  <c r="C155" i="86" s="1"/>
  <c r="C154" i="86" s="1"/>
  <c r="C153" i="86" s="1"/>
  <c r="C152" i="86" s="1"/>
  <c r="C151" i="86" s="1"/>
  <c r="C150" i="86" s="1"/>
  <c r="C149" i="86" s="1"/>
  <c r="C148" i="86" s="1"/>
  <c r="C147" i="86" s="1"/>
  <c r="C146" i="86" s="1"/>
  <c r="C145" i="86" s="1"/>
  <c r="C144" i="86" s="1"/>
  <c r="C143" i="86" s="1"/>
  <c r="C142" i="86" s="1"/>
  <c r="C141" i="86" s="1"/>
  <c r="C140" i="86" s="1"/>
  <c r="C139" i="86" s="1"/>
  <c r="C138" i="86" s="1"/>
  <c r="C137" i="86" s="1"/>
  <c r="C136" i="86" s="1"/>
  <c r="C135" i="86" s="1"/>
  <c r="C134" i="86" s="1"/>
  <c r="C133" i="86" s="1"/>
  <c r="C132" i="86" s="1"/>
  <c r="C131" i="86" s="1"/>
  <c r="C130" i="86" s="1"/>
  <c r="C129" i="86" s="1"/>
  <c r="C128" i="86" s="1"/>
  <c r="C127" i="86" s="1"/>
  <c r="C126" i="86" s="1"/>
  <c r="C125" i="86" s="1"/>
  <c r="C124" i="86" s="1"/>
  <c r="C123" i="86" s="1"/>
  <c r="C122" i="86" s="1"/>
  <c r="C121" i="86" s="1"/>
  <c r="C120" i="86" s="1"/>
  <c r="C119" i="86" s="1"/>
  <c r="C118" i="86" s="1"/>
  <c r="C117" i="86" s="1"/>
  <c r="C116" i="86" s="1"/>
  <c r="C115" i="86" s="1"/>
  <c r="C114" i="86" s="1"/>
  <c r="C113" i="86" s="1"/>
  <c r="C112" i="86" s="1"/>
  <c r="C111" i="86" s="1"/>
  <c r="C110" i="86" s="1"/>
  <c r="C109" i="86" s="1"/>
  <c r="C108" i="86" s="1"/>
  <c r="C107" i="86" s="1"/>
  <c r="C106" i="86" s="1"/>
  <c r="C105" i="86" s="1"/>
  <c r="C104" i="86" s="1"/>
  <c r="C103" i="86" s="1"/>
  <c r="C102" i="86" s="1"/>
  <c r="C101" i="86" s="1"/>
  <c r="C100" i="86" s="1"/>
  <c r="C99" i="86" s="1"/>
  <c r="C98" i="86" s="1"/>
  <c r="C97" i="86" s="1"/>
  <c r="C96" i="86" s="1"/>
  <c r="C95" i="86" s="1"/>
  <c r="C94" i="86" s="1"/>
  <c r="C93" i="86" s="1"/>
  <c r="C92" i="86" s="1"/>
  <c r="C91" i="86" s="1"/>
  <c r="C90" i="86" s="1"/>
  <c r="C89" i="86" s="1"/>
  <c r="C88" i="86" s="1"/>
  <c r="C87" i="86" s="1"/>
  <c r="C86" i="86" s="1"/>
  <c r="C85" i="86" s="1"/>
  <c r="C84" i="86" s="1"/>
  <c r="C83" i="86" s="1"/>
  <c r="C82" i="86" s="1"/>
  <c r="C81" i="86" s="1"/>
  <c r="C80" i="86" s="1"/>
  <c r="C79" i="86" s="1"/>
  <c r="C78" i="86" s="1"/>
  <c r="C77" i="86" s="1"/>
  <c r="C76" i="86" s="1"/>
  <c r="C75" i="86" s="1"/>
  <c r="C74" i="86" s="1"/>
  <c r="C73" i="86" s="1"/>
  <c r="C72" i="86" s="1"/>
  <c r="C71" i="86" s="1"/>
  <c r="C70" i="86" s="1"/>
  <c r="C69" i="86" s="1"/>
  <c r="C68" i="86" s="1"/>
  <c r="C67" i="86" s="1"/>
  <c r="C66" i="86" s="1"/>
  <c r="C65" i="86" s="1"/>
  <c r="C64" i="86" s="1"/>
  <c r="C63" i="86" s="1"/>
  <c r="C62" i="86" s="1"/>
  <c r="C61" i="86" s="1"/>
  <c r="C60" i="86" s="1"/>
  <c r="C59" i="86" s="1"/>
  <c r="C58" i="86" s="1"/>
  <c r="C57" i="86" s="1"/>
  <c r="C56" i="86" s="1"/>
  <c r="C55" i="86" s="1"/>
  <c r="C54" i="86" s="1"/>
  <c r="C53" i="86" s="1"/>
  <c r="C52" i="86" s="1"/>
  <c r="C51" i="86" s="1"/>
  <c r="C50" i="86" s="1"/>
  <c r="C49" i="86" s="1"/>
  <c r="C48" i="86" s="1"/>
  <c r="C47" i="86" s="1"/>
  <c r="C46" i="86" s="1"/>
  <c r="C45" i="86" s="1"/>
  <c r="C44" i="86" s="1"/>
  <c r="C43" i="86" s="1"/>
  <c r="C42" i="86" s="1"/>
  <c r="C41" i="86" s="1"/>
  <c r="C40" i="86" s="1"/>
  <c r="C39" i="86" s="1"/>
  <c r="C38" i="86" s="1"/>
  <c r="C37" i="86" s="1"/>
  <c r="C36" i="86" s="1"/>
  <c r="C35" i="86" s="1"/>
  <c r="C34" i="86" s="1"/>
  <c r="C33" i="86" s="1"/>
  <c r="C32" i="86" s="1"/>
  <c r="C31" i="86" s="1"/>
  <c r="C30" i="86" s="1"/>
  <c r="C29" i="86" s="1"/>
  <c r="C28" i="86" s="1"/>
  <c r="C27" i="86" s="1"/>
  <c r="C26" i="86" s="1"/>
  <c r="C25" i="86" s="1"/>
  <c r="C24" i="86" s="1"/>
  <c r="C23" i="86" s="1"/>
  <c r="C22" i="86" s="1"/>
  <c r="C21" i="86" s="1"/>
  <c r="C20" i="86" s="1"/>
  <c r="C19" i="86" s="1"/>
  <c r="C18" i="86" s="1"/>
  <c r="C17" i="86" s="1"/>
  <c r="C16" i="86" s="1"/>
  <c r="C15" i="86" s="1"/>
  <c r="C14" i="86" s="1"/>
  <c r="C13" i="86" s="1"/>
  <c r="C12" i="86" s="1"/>
  <c r="C11" i="86" s="1"/>
  <c r="C10" i="86" s="1"/>
  <c r="C9" i="86" s="1"/>
  <c r="C8" i="86" s="1"/>
  <c r="C7" i="86" s="1"/>
  <c r="C6" i="86" s="1"/>
  <c r="C5" i="86" s="1"/>
  <c r="J159" i="86"/>
  <c r="J158" i="86" s="1"/>
  <c r="J157" i="86" s="1"/>
  <c r="J156" i="86" s="1"/>
  <c r="J155" i="86" s="1"/>
  <c r="J154" i="86" s="1"/>
  <c r="J153" i="86" s="1"/>
  <c r="J152" i="86" s="1"/>
  <c r="J151" i="86" s="1"/>
  <c r="J150" i="86" s="1"/>
  <c r="J149" i="86" s="1"/>
  <c r="J148" i="86" s="1"/>
  <c r="J147" i="86" s="1"/>
  <c r="J146" i="86" s="1"/>
  <c r="J145" i="86" s="1"/>
  <c r="J144" i="86" s="1"/>
  <c r="J143" i="86" s="1"/>
  <c r="J142" i="86" s="1"/>
  <c r="J141" i="86" s="1"/>
  <c r="J140" i="86" s="1"/>
  <c r="J139" i="86" s="1"/>
  <c r="J138" i="86" s="1"/>
  <c r="J137" i="86" s="1"/>
  <c r="J136" i="86" s="1"/>
  <c r="J135" i="86" s="1"/>
  <c r="J134" i="86" s="1"/>
  <c r="J133" i="86" s="1"/>
  <c r="J132" i="86" s="1"/>
  <c r="J131" i="86" s="1"/>
  <c r="J130" i="86" s="1"/>
  <c r="J129" i="86" s="1"/>
  <c r="J128" i="86" s="1"/>
  <c r="J127" i="86" s="1"/>
  <c r="J126" i="86" s="1"/>
  <c r="J125" i="86" s="1"/>
  <c r="J124" i="86" s="1"/>
  <c r="J123" i="86" s="1"/>
  <c r="J122" i="86" s="1"/>
  <c r="J121" i="86" s="1"/>
  <c r="J120" i="86" s="1"/>
  <c r="J119" i="86" s="1"/>
  <c r="J118" i="86" s="1"/>
  <c r="J117" i="86" s="1"/>
  <c r="J116" i="86" s="1"/>
  <c r="J115" i="86" s="1"/>
  <c r="J114" i="86" s="1"/>
  <c r="J113" i="86" s="1"/>
  <c r="J112" i="86" s="1"/>
  <c r="J111" i="86" s="1"/>
  <c r="J110" i="86" s="1"/>
  <c r="J109" i="86" s="1"/>
  <c r="J108" i="86" s="1"/>
  <c r="J107" i="86" s="1"/>
  <c r="J106" i="86" s="1"/>
  <c r="J105" i="86" s="1"/>
  <c r="J104" i="86" s="1"/>
  <c r="J103" i="86" s="1"/>
  <c r="J102" i="86" s="1"/>
  <c r="J101" i="86" s="1"/>
  <c r="J100" i="86" s="1"/>
  <c r="J99" i="86" s="1"/>
  <c r="J98" i="86" s="1"/>
  <c r="J97" i="86" s="1"/>
  <c r="J96" i="86" s="1"/>
  <c r="J95" i="86" s="1"/>
  <c r="J94" i="86" s="1"/>
  <c r="J93" i="86" s="1"/>
  <c r="J92" i="86" s="1"/>
  <c r="J91" i="86" s="1"/>
  <c r="J90" i="86" s="1"/>
  <c r="J89" i="86" s="1"/>
  <c r="J88" i="86" s="1"/>
  <c r="J87" i="86" s="1"/>
  <c r="J86" i="86" s="1"/>
  <c r="J85" i="86" s="1"/>
  <c r="J84" i="86" s="1"/>
  <c r="J83" i="86" s="1"/>
  <c r="J82" i="86" s="1"/>
  <c r="J81" i="86" s="1"/>
  <c r="J80" i="86" s="1"/>
  <c r="J79" i="86" s="1"/>
  <c r="J78" i="86" s="1"/>
  <c r="J77" i="86" s="1"/>
  <c r="J76" i="86" s="1"/>
  <c r="J75" i="86" s="1"/>
  <c r="J74" i="86" s="1"/>
  <c r="J73" i="86" s="1"/>
  <c r="J72" i="86" s="1"/>
  <c r="J71" i="86" s="1"/>
  <c r="J70" i="86" s="1"/>
  <c r="J69" i="86" s="1"/>
  <c r="J68" i="86" s="1"/>
  <c r="J67" i="86" s="1"/>
  <c r="J66" i="86" s="1"/>
  <c r="J65" i="86" s="1"/>
  <c r="J64" i="86" s="1"/>
  <c r="J63" i="86" s="1"/>
  <c r="J62" i="86" s="1"/>
  <c r="J61" i="86" s="1"/>
  <c r="J60" i="86" s="1"/>
  <c r="J59" i="86" s="1"/>
  <c r="J58" i="86" s="1"/>
  <c r="J57" i="86" s="1"/>
  <c r="J56" i="86" s="1"/>
  <c r="J55" i="86" s="1"/>
  <c r="J54" i="86" s="1"/>
  <c r="J53" i="86" s="1"/>
  <c r="J52" i="86" s="1"/>
  <c r="J51" i="86" s="1"/>
  <c r="J50" i="86" s="1"/>
  <c r="J49" i="86" s="1"/>
  <c r="J48" i="86" s="1"/>
  <c r="J47" i="86" s="1"/>
  <c r="J46" i="86" s="1"/>
  <c r="J45" i="86" s="1"/>
  <c r="J44" i="86" s="1"/>
  <c r="J43" i="86" s="1"/>
  <c r="J42" i="86" s="1"/>
  <c r="J41" i="86" s="1"/>
  <c r="J40" i="86" s="1"/>
  <c r="J39" i="86" s="1"/>
  <c r="J38" i="86" s="1"/>
  <c r="J37" i="86" s="1"/>
  <c r="J36" i="86" s="1"/>
  <c r="J35" i="86" s="1"/>
  <c r="J34" i="86" s="1"/>
  <c r="J33" i="86" s="1"/>
  <c r="J32" i="86" s="1"/>
  <c r="J31" i="86" s="1"/>
  <c r="J30" i="86" s="1"/>
  <c r="J29" i="86" s="1"/>
  <c r="J28" i="86" s="1"/>
  <c r="J27" i="86" s="1"/>
  <c r="J26" i="86" s="1"/>
  <c r="J25" i="86" s="1"/>
  <c r="J24" i="86" s="1"/>
  <c r="J23" i="86" s="1"/>
  <c r="J22" i="86" s="1"/>
  <c r="J21" i="86" s="1"/>
  <c r="J20" i="86" s="1"/>
  <c r="J19" i="86" s="1"/>
  <c r="J18" i="86" s="1"/>
  <c r="J17" i="86" s="1"/>
  <c r="J16" i="86" s="1"/>
  <c r="J15" i="86" s="1"/>
  <c r="J14" i="86" s="1"/>
  <c r="J13" i="86" s="1"/>
  <c r="J12" i="86" s="1"/>
  <c r="J11" i="86" s="1"/>
  <c r="J10" i="86" s="1"/>
  <c r="J9" i="86" s="1"/>
  <c r="J8" i="86" s="1"/>
  <c r="J7" i="86" s="1"/>
  <c r="J6" i="86" s="1"/>
  <c r="J5" i="86" s="1"/>
  <c r="F159" i="86"/>
  <c r="F158" i="86" s="1"/>
  <c r="F157" i="86" s="1"/>
  <c r="F156" i="86" s="1"/>
  <c r="F155" i="86" s="1"/>
  <c r="F154" i="86" s="1"/>
  <c r="F153" i="86" s="1"/>
  <c r="F152" i="86" s="1"/>
  <c r="F151" i="86" s="1"/>
  <c r="F150" i="86" s="1"/>
  <c r="F149" i="86" s="1"/>
  <c r="F148" i="86" s="1"/>
  <c r="F147" i="86" s="1"/>
  <c r="F146" i="86" s="1"/>
  <c r="F145" i="86" s="1"/>
  <c r="F144" i="86" s="1"/>
  <c r="F143" i="86" s="1"/>
  <c r="F142" i="86" s="1"/>
  <c r="F141" i="86" s="1"/>
  <c r="F140" i="86" s="1"/>
  <c r="F139" i="86" s="1"/>
  <c r="F138" i="86" s="1"/>
  <c r="F137" i="86" s="1"/>
  <c r="F136" i="86" s="1"/>
  <c r="F135" i="86" s="1"/>
  <c r="F134" i="86" s="1"/>
  <c r="F133" i="86" s="1"/>
  <c r="F132" i="86" s="1"/>
  <c r="F131" i="86" s="1"/>
  <c r="F130" i="86" s="1"/>
  <c r="F129" i="86" s="1"/>
  <c r="F128" i="86" s="1"/>
  <c r="F127" i="86" s="1"/>
  <c r="F126" i="86" s="1"/>
  <c r="F125" i="86" s="1"/>
  <c r="F124" i="86" s="1"/>
  <c r="F123" i="86" s="1"/>
  <c r="F122" i="86" s="1"/>
  <c r="F121" i="86" s="1"/>
  <c r="F120" i="86" s="1"/>
  <c r="F119" i="86" s="1"/>
  <c r="F118" i="86" s="1"/>
  <c r="F117" i="86" s="1"/>
  <c r="F116" i="86" s="1"/>
  <c r="F115" i="86" s="1"/>
  <c r="F114" i="86" s="1"/>
  <c r="F113" i="86" s="1"/>
  <c r="F112" i="86" s="1"/>
  <c r="F111" i="86" s="1"/>
  <c r="F110" i="86" s="1"/>
  <c r="F109" i="86" s="1"/>
  <c r="F108" i="86" s="1"/>
  <c r="F107" i="86" s="1"/>
  <c r="F106" i="86" s="1"/>
  <c r="F105" i="86" s="1"/>
  <c r="F104" i="86" s="1"/>
  <c r="F103" i="86" s="1"/>
  <c r="F102" i="86" s="1"/>
  <c r="F101" i="86" s="1"/>
  <c r="F100" i="86" s="1"/>
  <c r="F99" i="86" s="1"/>
  <c r="F98" i="86" s="1"/>
  <c r="F97" i="86" s="1"/>
  <c r="F96" i="86" s="1"/>
  <c r="F95" i="86" s="1"/>
  <c r="F94" i="86" s="1"/>
  <c r="F93" i="86" s="1"/>
  <c r="F92" i="86" s="1"/>
  <c r="F91" i="86" s="1"/>
  <c r="F90" i="86" s="1"/>
  <c r="F89" i="86" s="1"/>
  <c r="F88" i="86" s="1"/>
  <c r="F87" i="86" s="1"/>
  <c r="F86" i="86" s="1"/>
  <c r="F85" i="86" s="1"/>
  <c r="F84" i="86" s="1"/>
  <c r="F83" i="86" s="1"/>
  <c r="F82" i="86" s="1"/>
  <c r="F81" i="86" s="1"/>
  <c r="F80" i="86" s="1"/>
  <c r="F79" i="86" s="1"/>
  <c r="F78" i="86" s="1"/>
  <c r="F77" i="86" s="1"/>
  <c r="F76" i="86" s="1"/>
  <c r="F75" i="86" s="1"/>
  <c r="F74" i="86" s="1"/>
  <c r="F73" i="86" s="1"/>
  <c r="F72" i="86" s="1"/>
  <c r="F71" i="86" s="1"/>
  <c r="F70" i="86" s="1"/>
  <c r="F69" i="86" s="1"/>
  <c r="F68" i="86" s="1"/>
  <c r="F67" i="86" s="1"/>
  <c r="F66" i="86" s="1"/>
  <c r="F65" i="86" s="1"/>
  <c r="F64" i="86" s="1"/>
  <c r="F63" i="86" s="1"/>
  <c r="F62" i="86" s="1"/>
  <c r="F61" i="86" s="1"/>
  <c r="F60" i="86" s="1"/>
  <c r="F59" i="86" s="1"/>
  <c r="F58" i="86" s="1"/>
  <c r="F57" i="86" s="1"/>
  <c r="F56" i="86" s="1"/>
  <c r="F55" i="86" s="1"/>
  <c r="F54" i="86" s="1"/>
  <c r="F53" i="86" s="1"/>
  <c r="F52" i="86" s="1"/>
  <c r="F51" i="86" s="1"/>
  <c r="F50" i="86" s="1"/>
  <c r="F49" i="86" s="1"/>
  <c r="F48" i="86" s="1"/>
  <c r="F47" i="86" s="1"/>
  <c r="F46" i="86" s="1"/>
  <c r="F45" i="86" s="1"/>
  <c r="F44" i="86" s="1"/>
  <c r="F43" i="86" s="1"/>
  <c r="F42" i="86" s="1"/>
  <c r="F41" i="86" s="1"/>
  <c r="F40" i="86" s="1"/>
  <c r="F39" i="86" s="1"/>
  <c r="F38" i="86" s="1"/>
  <c r="F37" i="86" s="1"/>
  <c r="F36" i="86" s="1"/>
  <c r="F35" i="86" s="1"/>
  <c r="F34" i="86" s="1"/>
  <c r="F33" i="86" s="1"/>
  <c r="F32" i="86" s="1"/>
  <c r="F31" i="86" s="1"/>
  <c r="F30" i="86" s="1"/>
  <c r="F29" i="86" s="1"/>
  <c r="F28" i="86" s="1"/>
  <c r="F27" i="86" s="1"/>
  <c r="F26" i="86" s="1"/>
  <c r="F25" i="86" s="1"/>
  <c r="F24" i="86" s="1"/>
  <c r="F23" i="86" s="1"/>
  <c r="F22" i="86" s="1"/>
  <c r="F21" i="86" s="1"/>
  <c r="F20" i="86" s="1"/>
  <c r="F19" i="86" s="1"/>
  <c r="F18" i="86" s="1"/>
  <c r="F17" i="86" s="1"/>
  <c r="F16" i="86" s="1"/>
  <c r="F15" i="86" s="1"/>
  <c r="F14" i="86" s="1"/>
  <c r="F13" i="86" s="1"/>
  <c r="F12" i="86" s="1"/>
  <c r="F11" i="86" s="1"/>
  <c r="F10" i="86" s="1"/>
  <c r="F9" i="86" s="1"/>
  <c r="F8" i="86" s="1"/>
  <c r="F7" i="86" s="1"/>
  <c r="F6" i="86" s="1"/>
  <c r="F5" i="86" s="1"/>
  <c r="E159" i="86"/>
  <c r="E158" i="86" s="1"/>
  <c r="E157" i="86" s="1"/>
  <c r="E156" i="86" s="1"/>
  <c r="E155" i="86" s="1"/>
  <c r="E154" i="86" s="1"/>
  <c r="E153" i="86" s="1"/>
  <c r="E152" i="86" s="1"/>
  <c r="E151" i="86" s="1"/>
  <c r="E150" i="86" s="1"/>
  <c r="E149" i="86" s="1"/>
  <c r="E148" i="86" s="1"/>
  <c r="E147" i="86" s="1"/>
  <c r="E146" i="86" s="1"/>
  <c r="E145" i="86" s="1"/>
  <c r="E144" i="86" s="1"/>
  <c r="E143" i="86" s="1"/>
  <c r="E142" i="86" s="1"/>
  <c r="E141" i="86" s="1"/>
  <c r="E140" i="86" s="1"/>
  <c r="E139" i="86" s="1"/>
  <c r="E138" i="86" s="1"/>
  <c r="E137" i="86" s="1"/>
  <c r="E136" i="86" s="1"/>
  <c r="E135" i="86" s="1"/>
  <c r="E134" i="86" s="1"/>
  <c r="E133" i="86" s="1"/>
  <c r="E132" i="86" s="1"/>
  <c r="E131" i="86" s="1"/>
  <c r="E130" i="86" s="1"/>
  <c r="E129" i="86" s="1"/>
  <c r="E128" i="86" s="1"/>
  <c r="E127" i="86" s="1"/>
  <c r="E126" i="86" s="1"/>
  <c r="E125" i="86" s="1"/>
  <c r="E124" i="86" s="1"/>
  <c r="E123" i="86" s="1"/>
  <c r="E122" i="86" s="1"/>
  <c r="E121" i="86" s="1"/>
  <c r="E120" i="86" s="1"/>
  <c r="E119" i="86" s="1"/>
  <c r="E118" i="86" s="1"/>
  <c r="E117" i="86" s="1"/>
  <c r="E116" i="86" s="1"/>
  <c r="E115" i="86" s="1"/>
  <c r="E114" i="86" s="1"/>
  <c r="E113" i="86" s="1"/>
  <c r="E112" i="86" s="1"/>
  <c r="E111" i="86" s="1"/>
  <c r="E110" i="86" s="1"/>
  <c r="E109" i="86" s="1"/>
  <c r="E108" i="86" s="1"/>
  <c r="E107" i="86" s="1"/>
  <c r="E106" i="86" s="1"/>
  <c r="E105" i="86" s="1"/>
  <c r="E104" i="86" s="1"/>
  <c r="E103" i="86" s="1"/>
  <c r="E102" i="86" s="1"/>
  <c r="E101" i="86" s="1"/>
  <c r="E100" i="86" s="1"/>
  <c r="E99" i="86" s="1"/>
  <c r="E98" i="86" s="1"/>
  <c r="E97" i="86" s="1"/>
  <c r="E96" i="86" s="1"/>
  <c r="E95" i="86" s="1"/>
  <c r="E94" i="86" s="1"/>
  <c r="E93" i="86" s="1"/>
  <c r="E92" i="86" s="1"/>
  <c r="E91" i="86" s="1"/>
  <c r="E90" i="86" s="1"/>
  <c r="E89" i="86" s="1"/>
  <c r="E88" i="86" s="1"/>
  <c r="E87" i="86" s="1"/>
  <c r="E86" i="86" s="1"/>
  <c r="E85" i="86" s="1"/>
  <c r="E84" i="86" s="1"/>
  <c r="E83" i="86" s="1"/>
  <c r="E82" i="86" s="1"/>
  <c r="E81" i="86" s="1"/>
  <c r="E80" i="86" s="1"/>
  <c r="E79" i="86" s="1"/>
  <c r="E78" i="86" s="1"/>
  <c r="E77" i="86" s="1"/>
  <c r="E76" i="86" s="1"/>
  <c r="E75" i="86" s="1"/>
  <c r="E74" i="86" s="1"/>
  <c r="E73" i="86" s="1"/>
  <c r="E72" i="86" s="1"/>
  <c r="E71" i="86" s="1"/>
  <c r="E70" i="86" s="1"/>
  <c r="E69" i="86" s="1"/>
  <c r="E68" i="86" s="1"/>
  <c r="E67" i="86" s="1"/>
  <c r="E66" i="86" s="1"/>
  <c r="E65" i="86" s="1"/>
  <c r="E64" i="86" s="1"/>
  <c r="E63" i="86" s="1"/>
  <c r="E62" i="86" s="1"/>
  <c r="E61" i="86" s="1"/>
  <c r="E60" i="86" s="1"/>
  <c r="E59" i="86" s="1"/>
  <c r="E58" i="86" s="1"/>
  <c r="E57" i="86" s="1"/>
  <c r="E56" i="86" s="1"/>
  <c r="E55" i="86" s="1"/>
  <c r="E54" i="86" s="1"/>
  <c r="E53" i="86" s="1"/>
  <c r="E52" i="86" s="1"/>
  <c r="E51" i="86" s="1"/>
  <c r="E50" i="86" s="1"/>
  <c r="E49" i="86" s="1"/>
  <c r="E48" i="86" s="1"/>
  <c r="E47" i="86" s="1"/>
  <c r="E46" i="86" s="1"/>
  <c r="E45" i="86" s="1"/>
  <c r="E44" i="86" s="1"/>
  <c r="E43" i="86" s="1"/>
  <c r="E42" i="86" s="1"/>
  <c r="E41" i="86" s="1"/>
  <c r="E40" i="86" s="1"/>
  <c r="E39" i="86" s="1"/>
  <c r="E38" i="86" s="1"/>
  <c r="E37" i="86" s="1"/>
  <c r="E36" i="86" s="1"/>
  <c r="E35" i="86" s="1"/>
  <c r="E34" i="86" s="1"/>
  <c r="E33" i="86" s="1"/>
  <c r="E32" i="86" s="1"/>
  <c r="E31" i="86" s="1"/>
  <c r="E30" i="86" s="1"/>
  <c r="E29" i="86" s="1"/>
  <c r="E28" i="86" s="1"/>
  <c r="E27" i="86" s="1"/>
  <c r="E26" i="86" s="1"/>
  <c r="E25" i="86" s="1"/>
  <c r="E24" i="86" s="1"/>
  <c r="E23" i="86" s="1"/>
  <c r="E22" i="86" s="1"/>
  <c r="E21" i="86" s="1"/>
  <c r="E20" i="86" s="1"/>
  <c r="E19" i="86" s="1"/>
  <c r="E18" i="86" s="1"/>
  <c r="E17" i="86" s="1"/>
  <c r="E16" i="86" s="1"/>
  <c r="E15" i="86" s="1"/>
  <c r="E14" i="86" s="1"/>
  <c r="E13" i="86" s="1"/>
  <c r="E12" i="86" s="1"/>
  <c r="E11" i="86" s="1"/>
  <c r="E10" i="86" s="1"/>
  <c r="E9" i="86" s="1"/>
  <c r="E8" i="86" s="1"/>
  <c r="E7" i="86" s="1"/>
  <c r="E6" i="86" s="1"/>
  <c r="E5" i="86" s="1"/>
  <c r="G159" i="86"/>
  <c r="G158" i="86" s="1"/>
  <c r="G157" i="86" s="1"/>
  <c r="G156" i="86" s="1"/>
  <c r="G155" i="86" s="1"/>
  <c r="G154" i="86" s="1"/>
  <c r="G153" i="86" s="1"/>
  <c r="G152" i="86" s="1"/>
  <c r="G151" i="86" s="1"/>
  <c r="G150" i="86" s="1"/>
  <c r="G149" i="86" s="1"/>
  <c r="G148" i="86" s="1"/>
  <c r="G147" i="86" s="1"/>
  <c r="G146" i="86" s="1"/>
  <c r="G145" i="86" s="1"/>
  <c r="G144" i="86" s="1"/>
  <c r="G143" i="86" s="1"/>
  <c r="G142" i="86" s="1"/>
  <c r="G141" i="86" s="1"/>
  <c r="G140" i="86" s="1"/>
  <c r="G139" i="86" s="1"/>
  <c r="G138" i="86" s="1"/>
  <c r="G137" i="86" s="1"/>
  <c r="G136" i="86" s="1"/>
  <c r="G135" i="86" s="1"/>
  <c r="G134" i="86" s="1"/>
  <c r="G133" i="86" s="1"/>
  <c r="G132" i="86" s="1"/>
  <c r="G131" i="86" s="1"/>
  <c r="G130" i="86" s="1"/>
  <c r="G129" i="86" s="1"/>
  <c r="G128" i="86" s="1"/>
  <c r="G127" i="86" s="1"/>
  <c r="G126" i="86" s="1"/>
  <c r="G125" i="86" s="1"/>
  <c r="G124" i="86" s="1"/>
  <c r="G123" i="86" s="1"/>
  <c r="G122" i="86" s="1"/>
  <c r="G121" i="86" s="1"/>
  <c r="G120" i="86" s="1"/>
  <c r="G119" i="86" s="1"/>
  <c r="G118" i="86" s="1"/>
  <c r="G117" i="86" s="1"/>
  <c r="G116" i="86" s="1"/>
  <c r="G115" i="86" s="1"/>
  <c r="G114" i="86" s="1"/>
  <c r="G113" i="86" s="1"/>
  <c r="G112" i="86" s="1"/>
  <c r="G111" i="86" s="1"/>
  <c r="G110" i="86" s="1"/>
  <c r="G109" i="86" s="1"/>
  <c r="G108" i="86" s="1"/>
  <c r="G107" i="86" s="1"/>
  <c r="G106" i="86" s="1"/>
  <c r="G105" i="86" s="1"/>
  <c r="G104" i="86" s="1"/>
  <c r="G103" i="86" s="1"/>
  <c r="G102" i="86" s="1"/>
  <c r="G101" i="86" s="1"/>
  <c r="G100" i="86" s="1"/>
  <c r="G99" i="86" s="1"/>
  <c r="G98" i="86" s="1"/>
  <c r="G97" i="86" s="1"/>
  <c r="G96" i="86" s="1"/>
  <c r="G95" i="86" s="1"/>
  <c r="G94" i="86" s="1"/>
  <c r="G93" i="86" s="1"/>
  <c r="G92" i="86" s="1"/>
  <c r="G91" i="86" s="1"/>
  <c r="G90" i="86" s="1"/>
  <c r="G89" i="86" s="1"/>
  <c r="G88" i="86" s="1"/>
  <c r="G87" i="86" s="1"/>
  <c r="G86" i="86" s="1"/>
  <c r="G85" i="86" s="1"/>
  <c r="G84" i="86" s="1"/>
  <c r="G83" i="86" s="1"/>
  <c r="G82" i="86" s="1"/>
  <c r="G81" i="86" s="1"/>
  <c r="G80" i="86" s="1"/>
  <c r="G79" i="86" s="1"/>
  <c r="G78" i="86" s="1"/>
  <c r="G77" i="86" s="1"/>
  <c r="G76" i="86" s="1"/>
  <c r="G75" i="86" s="1"/>
  <c r="G74" i="86" s="1"/>
  <c r="G73" i="86" s="1"/>
  <c r="G72" i="86" s="1"/>
  <c r="G71" i="86" s="1"/>
  <c r="G70" i="86" s="1"/>
  <c r="G69" i="86" s="1"/>
  <c r="G68" i="86" s="1"/>
  <c r="G67" i="86" s="1"/>
  <c r="G66" i="86" s="1"/>
  <c r="G65" i="86" s="1"/>
  <c r="G64" i="86" s="1"/>
  <c r="G63" i="86" s="1"/>
  <c r="G62" i="86" s="1"/>
  <c r="G61" i="86" s="1"/>
  <c r="G60" i="86" s="1"/>
  <c r="G59" i="86" s="1"/>
  <c r="G58" i="86" s="1"/>
  <c r="G57" i="86" s="1"/>
  <c r="G56" i="86" s="1"/>
  <c r="G55" i="86" s="1"/>
  <c r="G54" i="86" s="1"/>
  <c r="G53" i="86" s="1"/>
  <c r="G52" i="86" s="1"/>
  <c r="G51" i="86" s="1"/>
  <c r="G50" i="86" s="1"/>
  <c r="G49" i="86" s="1"/>
  <c r="G48" i="86" s="1"/>
  <c r="G47" i="86" s="1"/>
  <c r="G46" i="86" s="1"/>
  <c r="G45" i="86" s="1"/>
  <c r="G44" i="86" s="1"/>
  <c r="G43" i="86" s="1"/>
  <c r="G42" i="86" s="1"/>
  <c r="G41" i="86" s="1"/>
  <c r="G40" i="86" s="1"/>
  <c r="G39" i="86" s="1"/>
  <c r="G38" i="86" s="1"/>
  <c r="G37" i="86" s="1"/>
  <c r="G36" i="86" s="1"/>
  <c r="G35" i="86" s="1"/>
  <c r="G34" i="86" s="1"/>
  <c r="G33" i="86" s="1"/>
  <c r="G32" i="86" s="1"/>
  <c r="G31" i="86" s="1"/>
  <c r="G30" i="86" s="1"/>
  <c r="G29" i="86" s="1"/>
  <c r="G28" i="86" s="1"/>
  <c r="G27" i="86" s="1"/>
  <c r="G26" i="86" s="1"/>
  <c r="G25" i="86" s="1"/>
  <c r="G24" i="86" s="1"/>
  <c r="G23" i="86" s="1"/>
  <c r="G22" i="86" s="1"/>
  <c r="G21" i="86" s="1"/>
  <c r="G20" i="86" s="1"/>
  <c r="G19" i="86" s="1"/>
  <c r="G18" i="86" s="1"/>
  <c r="G17" i="86" s="1"/>
  <c r="G16" i="86" s="1"/>
  <c r="G15" i="86" s="1"/>
  <c r="G14" i="86" s="1"/>
  <c r="G13" i="86" s="1"/>
  <c r="G12" i="86" s="1"/>
  <c r="G11" i="86" s="1"/>
  <c r="G10" i="86" s="1"/>
  <c r="G9" i="86" s="1"/>
  <c r="G8" i="86" s="1"/>
  <c r="G7" i="86" s="1"/>
  <c r="G6" i="86" s="1"/>
  <c r="G5" i="86" s="1"/>
  <c r="K159" i="86"/>
  <c r="K158" i="86" s="1"/>
  <c r="K157" i="86" s="1"/>
  <c r="K156" i="86" s="1"/>
  <c r="K155" i="86" s="1"/>
  <c r="K154" i="86" s="1"/>
  <c r="K153" i="86" s="1"/>
  <c r="K152" i="86" s="1"/>
  <c r="K151" i="86" s="1"/>
  <c r="K150" i="86" s="1"/>
  <c r="K149" i="86" s="1"/>
  <c r="K148" i="86" s="1"/>
  <c r="K147" i="86" s="1"/>
  <c r="K146" i="86" s="1"/>
  <c r="K145" i="86" s="1"/>
  <c r="K144" i="86" s="1"/>
  <c r="K143" i="86" s="1"/>
  <c r="K142" i="86" s="1"/>
  <c r="K141" i="86" s="1"/>
  <c r="K140" i="86" s="1"/>
  <c r="K139" i="86" s="1"/>
  <c r="K138" i="86" s="1"/>
  <c r="K137" i="86" s="1"/>
  <c r="K136" i="86" s="1"/>
  <c r="K135" i="86" s="1"/>
  <c r="K134" i="86" s="1"/>
  <c r="K133" i="86" s="1"/>
  <c r="K132" i="86" s="1"/>
  <c r="K131" i="86" s="1"/>
  <c r="K130" i="86" s="1"/>
  <c r="K129" i="86" s="1"/>
  <c r="K128" i="86" s="1"/>
  <c r="K127" i="86" s="1"/>
  <c r="K126" i="86" s="1"/>
  <c r="K125" i="86" s="1"/>
  <c r="K124" i="86" s="1"/>
  <c r="K123" i="86" s="1"/>
  <c r="K122" i="86" s="1"/>
  <c r="K121" i="86" s="1"/>
  <c r="K120" i="86" s="1"/>
  <c r="K119" i="86" s="1"/>
  <c r="K118" i="86" s="1"/>
  <c r="K117" i="86" s="1"/>
  <c r="K116" i="86" s="1"/>
  <c r="K115" i="86" s="1"/>
  <c r="K114" i="86" s="1"/>
  <c r="K113" i="86" s="1"/>
  <c r="K112" i="86" s="1"/>
  <c r="K111" i="86" s="1"/>
  <c r="K110" i="86" s="1"/>
  <c r="K109" i="86" s="1"/>
  <c r="K108" i="86" s="1"/>
  <c r="K107" i="86" s="1"/>
  <c r="K106" i="86" s="1"/>
  <c r="K105" i="86" s="1"/>
  <c r="K104" i="86" s="1"/>
  <c r="K103" i="86" s="1"/>
  <c r="K102" i="86" s="1"/>
  <c r="K101" i="86" s="1"/>
  <c r="K100" i="86" s="1"/>
  <c r="K99" i="86" s="1"/>
  <c r="K98" i="86" s="1"/>
  <c r="K97" i="86" s="1"/>
  <c r="K96" i="86" s="1"/>
  <c r="K95" i="86" s="1"/>
  <c r="K94" i="86" s="1"/>
  <c r="K93" i="86" s="1"/>
  <c r="K92" i="86" s="1"/>
  <c r="K91" i="86" s="1"/>
  <c r="K90" i="86" s="1"/>
  <c r="K89" i="86" s="1"/>
  <c r="K88" i="86" s="1"/>
  <c r="K87" i="86" s="1"/>
  <c r="K86" i="86" s="1"/>
  <c r="K85" i="86" s="1"/>
  <c r="K84" i="86" s="1"/>
  <c r="K83" i="86" s="1"/>
  <c r="K82" i="86" s="1"/>
  <c r="K81" i="86" s="1"/>
  <c r="K80" i="86" s="1"/>
  <c r="K79" i="86" s="1"/>
  <c r="K78" i="86" s="1"/>
  <c r="K77" i="86" s="1"/>
  <c r="K76" i="86" s="1"/>
  <c r="K75" i="86" s="1"/>
  <c r="K74" i="86" s="1"/>
  <c r="K73" i="86" s="1"/>
  <c r="K72" i="86" s="1"/>
  <c r="K71" i="86" s="1"/>
  <c r="K70" i="86" s="1"/>
  <c r="K69" i="86" s="1"/>
  <c r="K68" i="86" s="1"/>
  <c r="K67" i="86" s="1"/>
  <c r="K66" i="86" s="1"/>
  <c r="K65" i="86" s="1"/>
  <c r="K64" i="86" s="1"/>
  <c r="K63" i="86" s="1"/>
  <c r="K62" i="86" s="1"/>
  <c r="K61" i="86" s="1"/>
  <c r="K60" i="86" s="1"/>
  <c r="K59" i="86" s="1"/>
  <c r="K58" i="86" s="1"/>
  <c r="K57" i="86" s="1"/>
  <c r="K56" i="86" s="1"/>
  <c r="K55" i="86" s="1"/>
  <c r="K54" i="86" s="1"/>
  <c r="K53" i="86" s="1"/>
  <c r="K52" i="86" s="1"/>
  <c r="K51" i="86" s="1"/>
  <c r="K50" i="86" s="1"/>
  <c r="K49" i="86" s="1"/>
  <c r="K48" i="86" s="1"/>
  <c r="K47" i="86" s="1"/>
  <c r="K46" i="86" s="1"/>
  <c r="K45" i="86" s="1"/>
  <c r="K44" i="86" s="1"/>
  <c r="K43" i="86" s="1"/>
  <c r="K42" i="86" s="1"/>
  <c r="K41" i="86" s="1"/>
  <c r="K40" i="86" s="1"/>
  <c r="K39" i="86" s="1"/>
  <c r="K38" i="86" s="1"/>
  <c r="K37" i="86" s="1"/>
  <c r="K36" i="86" s="1"/>
  <c r="K35" i="86" s="1"/>
  <c r="K34" i="86" s="1"/>
  <c r="K33" i="86" s="1"/>
  <c r="K32" i="86" s="1"/>
  <c r="K31" i="86" s="1"/>
  <c r="K30" i="86" s="1"/>
  <c r="K29" i="86" s="1"/>
  <c r="K28" i="86" s="1"/>
  <c r="K27" i="86" s="1"/>
  <c r="K26" i="86" s="1"/>
  <c r="K25" i="86" s="1"/>
  <c r="K24" i="86" s="1"/>
  <c r="K23" i="86" s="1"/>
  <c r="K22" i="86" s="1"/>
  <c r="K21" i="86" s="1"/>
  <c r="K20" i="86" s="1"/>
  <c r="K19" i="86" s="1"/>
  <c r="K18" i="86" s="1"/>
  <c r="K17" i="86" s="1"/>
  <c r="K16" i="86" s="1"/>
  <c r="K15" i="86" s="1"/>
  <c r="K14" i="86" s="1"/>
  <c r="K13" i="86" s="1"/>
  <c r="K12" i="86" s="1"/>
  <c r="K11" i="86" s="1"/>
  <c r="K10" i="86" s="1"/>
  <c r="K9" i="86" s="1"/>
  <c r="K8" i="86" s="1"/>
  <c r="K7" i="86" s="1"/>
  <c r="K6" i="86" s="1"/>
  <c r="K5" i="86" s="1"/>
  <c r="L159" i="86"/>
  <c r="L158" i="86" s="1"/>
  <c r="L157" i="86" s="1"/>
  <c r="L156" i="86" s="1"/>
  <c r="L155" i="86" s="1"/>
  <c r="L154" i="86" s="1"/>
  <c r="L153" i="86" s="1"/>
  <c r="L152" i="86" s="1"/>
  <c r="L151" i="86" s="1"/>
  <c r="L150" i="86" s="1"/>
  <c r="L149" i="86" s="1"/>
  <c r="L148" i="86" s="1"/>
  <c r="L147" i="86" s="1"/>
  <c r="L146" i="86" s="1"/>
  <c r="L145" i="86" s="1"/>
  <c r="L144" i="86" s="1"/>
  <c r="L143" i="86" s="1"/>
  <c r="L142" i="86" s="1"/>
  <c r="L141" i="86" s="1"/>
  <c r="L140" i="86" s="1"/>
  <c r="L139" i="86" s="1"/>
  <c r="L138" i="86" s="1"/>
  <c r="L137" i="86" s="1"/>
  <c r="L136" i="86" s="1"/>
  <c r="L135" i="86" s="1"/>
  <c r="L134" i="86" s="1"/>
  <c r="L133" i="86" s="1"/>
  <c r="L132" i="86" s="1"/>
  <c r="L131" i="86" s="1"/>
  <c r="L130" i="86" s="1"/>
  <c r="L129" i="86" s="1"/>
  <c r="L128" i="86" s="1"/>
  <c r="L127" i="86" s="1"/>
  <c r="L126" i="86" s="1"/>
  <c r="L125" i="86" s="1"/>
  <c r="L124" i="86" s="1"/>
  <c r="L123" i="86" s="1"/>
  <c r="L122" i="86" s="1"/>
  <c r="L121" i="86" s="1"/>
  <c r="L120" i="86" s="1"/>
  <c r="L119" i="86" s="1"/>
  <c r="L118" i="86" s="1"/>
  <c r="L117" i="86" s="1"/>
  <c r="L116" i="86" s="1"/>
  <c r="L115" i="86" s="1"/>
  <c r="L114" i="86" s="1"/>
  <c r="L113" i="86" s="1"/>
  <c r="L112" i="86" s="1"/>
  <c r="L111" i="86" s="1"/>
  <c r="L110" i="86" s="1"/>
  <c r="L109" i="86" s="1"/>
  <c r="L108" i="86" s="1"/>
  <c r="L107" i="86" s="1"/>
  <c r="L106" i="86" s="1"/>
  <c r="L105" i="86" s="1"/>
  <c r="L104" i="86" s="1"/>
  <c r="L103" i="86" s="1"/>
  <c r="L102" i="86" s="1"/>
  <c r="L101" i="86" s="1"/>
  <c r="L100" i="86" s="1"/>
  <c r="L99" i="86" s="1"/>
  <c r="L98" i="86" s="1"/>
  <c r="L97" i="86" s="1"/>
  <c r="L96" i="86" s="1"/>
  <c r="L95" i="86" s="1"/>
  <c r="L94" i="86" s="1"/>
  <c r="L93" i="86" s="1"/>
  <c r="L92" i="86" s="1"/>
  <c r="L91" i="86" s="1"/>
  <c r="L90" i="86" s="1"/>
  <c r="L89" i="86" s="1"/>
  <c r="L88" i="86" s="1"/>
  <c r="L87" i="86" s="1"/>
  <c r="L86" i="86" s="1"/>
  <c r="L85" i="86" s="1"/>
  <c r="L84" i="86" s="1"/>
  <c r="L83" i="86" s="1"/>
  <c r="L82" i="86" s="1"/>
  <c r="L81" i="86" s="1"/>
  <c r="L80" i="86" s="1"/>
  <c r="L79" i="86" s="1"/>
  <c r="L78" i="86" s="1"/>
  <c r="L77" i="86" s="1"/>
  <c r="L76" i="86" s="1"/>
  <c r="L75" i="86" s="1"/>
  <c r="L74" i="86" s="1"/>
  <c r="L73" i="86" s="1"/>
  <c r="L72" i="86" s="1"/>
  <c r="L71" i="86" s="1"/>
  <c r="L70" i="86" s="1"/>
  <c r="L69" i="86" s="1"/>
  <c r="L68" i="86" s="1"/>
  <c r="L67" i="86" s="1"/>
  <c r="L66" i="86" s="1"/>
  <c r="L65" i="86" s="1"/>
  <c r="L64" i="86" s="1"/>
  <c r="L63" i="86" s="1"/>
  <c r="L62" i="86" s="1"/>
  <c r="L61" i="86" s="1"/>
  <c r="L60" i="86" s="1"/>
  <c r="L59" i="86" s="1"/>
  <c r="L58" i="86" s="1"/>
  <c r="L57" i="86" s="1"/>
  <c r="L56" i="86" s="1"/>
  <c r="L55" i="86" s="1"/>
  <c r="L54" i="86" s="1"/>
  <c r="L53" i="86" s="1"/>
  <c r="L52" i="86" s="1"/>
  <c r="L51" i="86" s="1"/>
  <c r="L50" i="86" s="1"/>
  <c r="L49" i="86" s="1"/>
  <c r="L48" i="86" s="1"/>
  <c r="L47" i="86" s="1"/>
  <c r="L46" i="86" s="1"/>
  <c r="L45" i="86" s="1"/>
  <c r="L44" i="86" s="1"/>
  <c r="L43" i="86" s="1"/>
  <c r="L42" i="86" s="1"/>
  <c r="L41" i="86" s="1"/>
  <c r="L40" i="86" s="1"/>
  <c r="L39" i="86" s="1"/>
  <c r="L38" i="86" s="1"/>
  <c r="L37" i="86" s="1"/>
  <c r="L36" i="86" s="1"/>
  <c r="L35" i="86" s="1"/>
  <c r="L34" i="86" s="1"/>
  <c r="L33" i="86" s="1"/>
  <c r="L32" i="86" s="1"/>
  <c r="L31" i="86" s="1"/>
  <c r="L30" i="86" s="1"/>
  <c r="L29" i="86" s="1"/>
  <c r="L28" i="86" s="1"/>
  <c r="L27" i="86" s="1"/>
  <c r="L26" i="86" s="1"/>
  <c r="L25" i="86" s="1"/>
  <c r="L24" i="86" s="1"/>
  <c r="L23" i="86" s="1"/>
  <c r="L22" i="86" s="1"/>
  <c r="L21" i="86" s="1"/>
  <c r="L20" i="86" s="1"/>
  <c r="L19" i="86" s="1"/>
  <c r="L18" i="86" s="1"/>
  <c r="L17" i="86" s="1"/>
  <c r="L16" i="86" s="1"/>
  <c r="L15" i="86" s="1"/>
  <c r="L14" i="86" s="1"/>
  <c r="L13" i="86" s="1"/>
  <c r="L12" i="86" s="1"/>
  <c r="L11" i="86" s="1"/>
  <c r="L10" i="86" s="1"/>
  <c r="L9" i="86" s="1"/>
  <c r="L8" i="86" s="1"/>
  <c r="L7" i="86" s="1"/>
  <c r="L6" i="86" s="1"/>
  <c r="L5" i="86" s="1"/>
  <c r="M159" i="86"/>
  <c r="M158" i="86" s="1"/>
  <c r="M157" i="86" s="1"/>
  <c r="M156" i="86" s="1"/>
  <c r="M155" i="86" s="1"/>
  <c r="M154" i="86" s="1"/>
  <c r="M153" i="86" s="1"/>
  <c r="M152" i="86" s="1"/>
  <c r="M151" i="86" s="1"/>
  <c r="M150" i="86" s="1"/>
  <c r="M149" i="86" s="1"/>
  <c r="M148" i="86" s="1"/>
  <c r="M147" i="86" s="1"/>
  <c r="M146" i="86" s="1"/>
  <c r="M145" i="86" s="1"/>
  <c r="M144" i="86" s="1"/>
  <c r="M143" i="86" s="1"/>
  <c r="M142" i="86" s="1"/>
  <c r="M141" i="86" s="1"/>
  <c r="M140" i="86" s="1"/>
  <c r="M139" i="86" s="1"/>
  <c r="M138" i="86" s="1"/>
  <c r="M137" i="86" s="1"/>
  <c r="M136" i="86" s="1"/>
  <c r="M135" i="86" s="1"/>
  <c r="M134" i="86" s="1"/>
  <c r="M133" i="86" s="1"/>
  <c r="M132" i="86" s="1"/>
  <c r="M131" i="86" s="1"/>
  <c r="M130" i="86" s="1"/>
  <c r="M129" i="86" s="1"/>
  <c r="M128" i="86" s="1"/>
  <c r="M127" i="86" s="1"/>
  <c r="M126" i="86" s="1"/>
  <c r="M125" i="86" s="1"/>
  <c r="M124" i="86" s="1"/>
  <c r="M123" i="86" s="1"/>
  <c r="M122" i="86" s="1"/>
  <c r="M121" i="86" s="1"/>
  <c r="M120" i="86" s="1"/>
  <c r="M119" i="86" s="1"/>
  <c r="M118" i="86" s="1"/>
  <c r="M117" i="86" s="1"/>
  <c r="M116" i="86" s="1"/>
  <c r="M115" i="86" s="1"/>
  <c r="M114" i="86" s="1"/>
  <c r="M113" i="86" s="1"/>
  <c r="M112" i="86" s="1"/>
  <c r="M111" i="86" s="1"/>
  <c r="M110" i="86" s="1"/>
  <c r="M109" i="86" s="1"/>
  <c r="M108" i="86" s="1"/>
  <c r="M107" i="86" s="1"/>
  <c r="M106" i="86" s="1"/>
  <c r="M105" i="86" s="1"/>
  <c r="M104" i="86" s="1"/>
  <c r="M103" i="86" s="1"/>
  <c r="M102" i="86" s="1"/>
  <c r="M101" i="86" s="1"/>
  <c r="M100" i="86" s="1"/>
  <c r="M99" i="86" s="1"/>
  <c r="M98" i="86" s="1"/>
  <c r="M97" i="86" s="1"/>
  <c r="M96" i="86" s="1"/>
  <c r="M95" i="86" s="1"/>
  <c r="M94" i="86" s="1"/>
  <c r="M93" i="86" s="1"/>
  <c r="M92" i="86" s="1"/>
  <c r="M91" i="86" s="1"/>
  <c r="M90" i="86" s="1"/>
  <c r="M89" i="86" s="1"/>
  <c r="M88" i="86" s="1"/>
  <c r="M87" i="86" s="1"/>
  <c r="M86" i="86" s="1"/>
  <c r="M85" i="86" s="1"/>
  <c r="M84" i="86" s="1"/>
  <c r="M83" i="86" s="1"/>
  <c r="M82" i="86" s="1"/>
  <c r="M81" i="86" s="1"/>
  <c r="M80" i="86" s="1"/>
  <c r="M79" i="86" s="1"/>
  <c r="M78" i="86" s="1"/>
  <c r="M77" i="86" s="1"/>
  <c r="M76" i="86" s="1"/>
  <c r="M75" i="86" s="1"/>
  <c r="M74" i="86" s="1"/>
  <c r="M73" i="86" s="1"/>
  <c r="M72" i="86" s="1"/>
  <c r="M71" i="86" s="1"/>
  <c r="M70" i="86" s="1"/>
  <c r="M69" i="86" s="1"/>
  <c r="M68" i="86" s="1"/>
  <c r="M67" i="86" s="1"/>
  <c r="M66" i="86" s="1"/>
  <c r="M65" i="86" s="1"/>
  <c r="M64" i="86" s="1"/>
  <c r="M63" i="86" s="1"/>
  <c r="M62" i="86" s="1"/>
  <c r="M61" i="86" s="1"/>
  <c r="M60" i="86" s="1"/>
  <c r="M59" i="86" s="1"/>
  <c r="M58" i="86" s="1"/>
  <c r="M57" i="86" s="1"/>
  <c r="M56" i="86" s="1"/>
  <c r="M55" i="86" s="1"/>
  <c r="M54" i="86" s="1"/>
  <c r="M53" i="86" s="1"/>
  <c r="M52" i="86" s="1"/>
  <c r="M51" i="86" s="1"/>
  <c r="M50" i="86" s="1"/>
  <c r="M49" i="86" s="1"/>
  <c r="M48" i="86" s="1"/>
  <c r="M47" i="86" s="1"/>
  <c r="M46" i="86" s="1"/>
  <c r="M45" i="86" s="1"/>
  <c r="M44" i="86" s="1"/>
  <c r="M43" i="86" s="1"/>
  <c r="M42" i="86" s="1"/>
  <c r="M41" i="86" s="1"/>
  <c r="M40" i="86" s="1"/>
  <c r="M39" i="86" s="1"/>
  <c r="M38" i="86" s="1"/>
  <c r="M37" i="86" s="1"/>
  <c r="M36" i="86" s="1"/>
  <c r="M35" i="86" s="1"/>
  <c r="M34" i="86" s="1"/>
  <c r="M33" i="86" s="1"/>
  <c r="M32" i="86" s="1"/>
  <c r="M31" i="86" s="1"/>
  <c r="M30" i="86" s="1"/>
  <c r="M29" i="86" s="1"/>
  <c r="M28" i="86" s="1"/>
  <c r="M27" i="86" s="1"/>
  <c r="M26" i="86" s="1"/>
  <c r="M25" i="86" s="1"/>
  <c r="M24" i="86" s="1"/>
  <c r="M23" i="86" s="1"/>
  <c r="M22" i="86" s="1"/>
  <c r="M21" i="86" s="1"/>
  <c r="M20" i="86" s="1"/>
  <c r="M19" i="86" s="1"/>
  <c r="M18" i="86" s="1"/>
  <c r="M17" i="86" s="1"/>
  <c r="M16" i="86" s="1"/>
  <c r="M15" i="86" s="1"/>
  <c r="M14" i="86" s="1"/>
  <c r="M13" i="86" s="1"/>
  <c r="M12" i="86" s="1"/>
  <c r="M11" i="86" s="1"/>
  <c r="M10" i="86" s="1"/>
  <c r="M9" i="86" s="1"/>
  <c r="M8" i="86" s="1"/>
  <c r="M7" i="86" s="1"/>
  <c r="M6" i="86" s="1"/>
  <c r="M5" i="86" s="1"/>
  <c r="D159" i="86"/>
  <c r="D158" i="86" s="1"/>
  <c r="D157" i="86" s="1"/>
  <c r="D156" i="86" s="1"/>
  <c r="D155" i="86" s="1"/>
  <c r="D154" i="86" s="1"/>
  <c r="D153" i="86" s="1"/>
  <c r="D152" i="86" s="1"/>
  <c r="D151" i="86" s="1"/>
  <c r="D150" i="86" s="1"/>
  <c r="D149" i="86" s="1"/>
  <c r="D148" i="86" s="1"/>
  <c r="D147" i="86" s="1"/>
  <c r="D146" i="86" s="1"/>
  <c r="D145" i="86" s="1"/>
  <c r="D144" i="86" s="1"/>
  <c r="D143" i="86" s="1"/>
  <c r="D142" i="86" s="1"/>
  <c r="D141" i="86" s="1"/>
  <c r="D140" i="86" s="1"/>
  <c r="D139" i="86" s="1"/>
  <c r="D138" i="86" s="1"/>
  <c r="D137" i="86" s="1"/>
  <c r="D136" i="86" s="1"/>
  <c r="D135" i="86" s="1"/>
  <c r="D134" i="86" s="1"/>
  <c r="D133" i="86" s="1"/>
  <c r="D132" i="86" s="1"/>
  <c r="D131" i="86" s="1"/>
  <c r="D130" i="86" s="1"/>
  <c r="D129" i="86" s="1"/>
  <c r="D128" i="86" s="1"/>
  <c r="D127" i="86" s="1"/>
  <c r="D126" i="86" s="1"/>
  <c r="D125" i="86" s="1"/>
  <c r="D124" i="86" s="1"/>
  <c r="D123" i="86" s="1"/>
  <c r="D122" i="86" s="1"/>
  <c r="D121" i="86" s="1"/>
  <c r="D120" i="86" s="1"/>
  <c r="D119" i="86" s="1"/>
  <c r="D118" i="86" s="1"/>
  <c r="D117" i="86" s="1"/>
  <c r="D116" i="86" s="1"/>
  <c r="D115" i="86" s="1"/>
  <c r="D114" i="86" s="1"/>
  <c r="D113" i="86" s="1"/>
  <c r="D112" i="86" s="1"/>
  <c r="D111" i="86" s="1"/>
  <c r="D110" i="86" s="1"/>
  <c r="D109" i="86" s="1"/>
  <c r="D108" i="86" s="1"/>
  <c r="D107" i="86" s="1"/>
  <c r="D106" i="86" s="1"/>
  <c r="D105" i="86" s="1"/>
  <c r="D104" i="86" s="1"/>
  <c r="D103" i="86" s="1"/>
  <c r="D102" i="86" s="1"/>
  <c r="D101" i="86" s="1"/>
  <c r="D100" i="86" s="1"/>
  <c r="D99" i="86" s="1"/>
  <c r="D98" i="86" s="1"/>
  <c r="D97" i="86" s="1"/>
  <c r="D96" i="86" s="1"/>
  <c r="D95" i="86" s="1"/>
  <c r="D94" i="86" s="1"/>
  <c r="D93" i="86" s="1"/>
  <c r="D92" i="86" s="1"/>
  <c r="D91" i="86" s="1"/>
  <c r="D90" i="86" s="1"/>
  <c r="D89" i="86" s="1"/>
  <c r="D88" i="86" s="1"/>
  <c r="D87" i="86" s="1"/>
  <c r="D86" i="86" s="1"/>
  <c r="D85" i="86" s="1"/>
  <c r="D84" i="86" s="1"/>
  <c r="D83" i="86" s="1"/>
  <c r="D82" i="86" s="1"/>
  <c r="D81" i="86" s="1"/>
  <c r="D80" i="86" s="1"/>
  <c r="D79" i="86" s="1"/>
  <c r="D78" i="86" s="1"/>
  <c r="D77" i="86" s="1"/>
  <c r="D76" i="86" s="1"/>
  <c r="D75" i="86" s="1"/>
  <c r="D74" i="86" s="1"/>
  <c r="D73" i="86" s="1"/>
  <c r="D72" i="86" s="1"/>
  <c r="D71" i="86" s="1"/>
  <c r="D70" i="86" s="1"/>
  <c r="D69" i="86" s="1"/>
  <c r="D68" i="86" s="1"/>
  <c r="D67" i="86" s="1"/>
  <c r="D66" i="86" s="1"/>
  <c r="D65" i="86" s="1"/>
  <c r="D64" i="86" s="1"/>
  <c r="D63" i="86" s="1"/>
  <c r="D62" i="86" s="1"/>
  <c r="D61" i="86" s="1"/>
  <c r="D60" i="86" s="1"/>
  <c r="D59" i="86" s="1"/>
  <c r="D58" i="86" s="1"/>
  <c r="D57" i="86" s="1"/>
  <c r="D56" i="86" s="1"/>
  <c r="D55" i="86" s="1"/>
  <c r="D54" i="86" s="1"/>
  <c r="D53" i="86" s="1"/>
  <c r="D52" i="86" s="1"/>
  <c r="D51" i="86" s="1"/>
  <c r="D50" i="86" s="1"/>
  <c r="D49" i="86" s="1"/>
  <c r="D48" i="86" s="1"/>
  <c r="D47" i="86" s="1"/>
  <c r="D46" i="86" s="1"/>
  <c r="D45" i="86" s="1"/>
  <c r="D44" i="86" s="1"/>
  <c r="D43" i="86" s="1"/>
  <c r="D42" i="86" s="1"/>
  <c r="D41" i="86" s="1"/>
  <c r="D40" i="86" s="1"/>
  <c r="D39" i="86" s="1"/>
  <c r="D38" i="86" s="1"/>
  <c r="D37" i="86" s="1"/>
  <c r="D36" i="86" s="1"/>
  <c r="D35" i="86" s="1"/>
  <c r="D34" i="86" s="1"/>
  <c r="D33" i="86" s="1"/>
  <c r="D32" i="86" s="1"/>
  <c r="D31" i="86" s="1"/>
  <c r="D30" i="86" s="1"/>
  <c r="D29" i="86" s="1"/>
  <c r="D28" i="86" s="1"/>
  <c r="D27" i="86" s="1"/>
  <c r="D26" i="86" s="1"/>
  <c r="D25" i="86" s="1"/>
  <c r="D24" i="86" s="1"/>
  <c r="D23" i="86" s="1"/>
  <c r="D22" i="86" s="1"/>
  <c r="D21" i="86" s="1"/>
  <c r="D20" i="86" s="1"/>
  <c r="D19" i="86" s="1"/>
  <c r="D18" i="86" s="1"/>
  <c r="D17" i="86" s="1"/>
  <c r="D16" i="86" s="1"/>
  <c r="D15" i="86" s="1"/>
  <c r="D14" i="86" s="1"/>
  <c r="D13" i="86" s="1"/>
  <c r="D12" i="86" s="1"/>
  <c r="D11" i="86" s="1"/>
  <c r="D10" i="86" s="1"/>
  <c r="D9" i="86" s="1"/>
  <c r="D8" i="86" s="1"/>
  <c r="D7" i="86" s="1"/>
  <c r="D6" i="86" s="1"/>
  <c r="D5" i="86" s="1"/>
  <c r="N159" i="86"/>
  <c r="N158" i="86" s="1"/>
  <c r="N157" i="86" s="1"/>
  <c r="N156" i="86" s="1"/>
  <c r="N155" i="86" s="1"/>
  <c r="N154" i="86" s="1"/>
  <c r="N153" i="86" s="1"/>
  <c r="N152" i="86" s="1"/>
  <c r="N151" i="86" s="1"/>
  <c r="N150" i="86" s="1"/>
  <c r="N149" i="86" s="1"/>
  <c r="N148" i="86" s="1"/>
  <c r="N147" i="86" s="1"/>
  <c r="N146" i="86" s="1"/>
  <c r="N145" i="86" s="1"/>
  <c r="N144" i="86" s="1"/>
  <c r="N143" i="86" s="1"/>
  <c r="N142" i="86" s="1"/>
  <c r="N141" i="86" s="1"/>
  <c r="N140" i="86" s="1"/>
  <c r="N139" i="86" s="1"/>
  <c r="N138" i="86" s="1"/>
  <c r="N137" i="86" s="1"/>
  <c r="N136" i="86" s="1"/>
  <c r="N135" i="86" s="1"/>
  <c r="N134" i="86" s="1"/>
  <c r="N133" i="86" s="1"/>
  <c r="N132" i="86" s="1"/>
  <c r="N131" i="86" s="1"/>
  <c r="N130" i="86" s="1"/>
  <c r="N129" i="86" s="1"/>
  <c r="N128" i="86" s="1"/>
  <c r="N127" i="86" s="1"/>
  <c r="N126" i="86" s="1"/>
  <c r="N125" i="86" s="1"/>
  <c r="N124" i="86" s="1"/>
  <c r="N123" i="86" s="1"/>
  <c r="N122" i="86" s="1"/>
  <c r="N121" i="86" s="1"/>
  <c r="N120" i="86" s="1"/>
  <c r="N119" i="86" s="1"/>
  <c r="N118" i="86" s="1"/>
  <c r="N117" i="86" s="1"/>
  <c r="N116" i="86" s="1"/>
  <c r="N115" i="86" s="1"/>
  <c r="N114" i="86" s="1"/>
  <c r="N113" i="86" s="1"/>
  <c r="N112" i="86" s="1"/>
  <c r="N111" i="86" s="1"/>
  <c r="N110" i="86" s="1"/>
  <c r="N109" i="86" s="1"/>
  <c r="N108" i="86" s="1"/>
  <c r="N107" i="86" s="1"/>
  <c r="N106" i="86" s="1"/>
  <c r="N105" i="86" s="1"/>
  <c r="N104" i="86" s="1"/>
  <c r="N103" i="86" s="1"/>
  <c r="N102" i="86" s="1"/>
  <c r="N101" i="86" s="1"/>
  <c r="N100" i="86" s="1"/>
  <c r="N99" i="86" s="1"/>
  <c r="N98" i="86" s="1"/>
  <c r="N97" i="86" s="1"/>
  <c r="N96" i="86" s="1"/>
  <c r="N95" i="86" s="1"/>
  <c r="N94" i="86" s="1"/>
  <c r="N93" i="86" s="1"/>
  <c r="N92" i="86" s="1"/>
  <c r="N91" i="86" s="1"/>
  <c r="N90" i="86" s="1"/>
  <c r="N89" i="86" s="1"/>
  <c r="N88" i="86" s="1"/>
  <c r="N87" i="86" s="1"/>
  <c r="N86" i="86" s="1"/>
  <c r="N85" i="86" s="1"/>
  <c r="N84" i="86" s="1"/>
  <c r="N83" i="86" s="1"/>
  <c r="N82" i="86" s="1"/>
  <c r="N81" i="86" s="1"/>
  <c r="N80" i="86" s="1"/>
  <c r="N79" i="86" s="1"/>
  <c r="N78" i="86" s="1"/>
  <c r="N77" i="86" s="1"/>
  <c r="N76" i="86" s="1"/>
  <c r="N75" i="86" s="1"/>
  <c r="N74" i="86" s="1"/>
  <c r="N73" i="86" s="1"/>
  <c r="N72" i="86" s="1"/>
  <c r="N71" i="86" s="1"/>
  <c r="N70" i="86" s="1"/>
  <c r="N69" i="86" s="1"/>
  <c r="N68" i="86" s="1"/>
  <c r="N67" i="86" s="1"/>
  <c r="N66" i="86" s="1"/>
  <c r="N65" i="86" s="1"/>
  <c r="N64" i="86" s="1"/>
  <c r="N63" i="86" s="1"/>
  <c r="N62" i="86" s="1"/>
  <c r="N61" i="86" s="1"/>
  <c r="N60" i="86" s="1"/>
  <c r="N59" i="86" s="1"/>
  <c r="N58" i="86" s="1"/>
  <c r="N57" i="86" s="1"/>
  <c r="N56" i="86" s="1"/>
  <c r="N55" i="86" s="1"/>
  <c r="N54" i="86" s="1"/>
  <c r="N53" i="86" s="1"/>
  <c r="N52" i="86" s="1"/>
  <c r="N51" i="86" s="1"/>
  <c r="N50" i="86" s="1"/>
  <c r="N49" i="86" s="1"/>
  <c r="N48" i="86" s="1"/>
  <c r="N47" i="86" s="1"/>
  <c r="N46" i="86" s="1"/>
  <c r="N45" i="86" s="1"/>
  <c r="N44" i="86" s="1"/>
  <c r="N43" i="86" s="1"/>
  <c r="N42" i="86" s="1"/>
  <c r="N41" i="86" s="1"/>
  <c r="N40" i="86" s="1"/>
  <c r="N39" i="86" s="1"/>
  <c r="N38" i="86" s="1"/>
  <c r="N37" i="86" s="1"/>
  <c r="N36" i="86" s="1"/>
  <c r="N35" i="86" s="1"/>
  <c r="N34" i="86" s="1"/>
  <c r="N33" i="86" s="1"/>
  <c r="N32" i="86" s="1"/>
  <c r="N31" i="86" s="1"/>
  <c r="N30" i="86" s="1"/>
  <c r="N29" i="86" s="1"/>
  <c r="N28" i="86" s="1"/>
  <c r="N27" i="86" s="1"/>
  <c r="N26" i="86" s="1"/>
  <c r="N25" i="86" s="1"/>
  <c r="N24" i="86" s="1"/>
  <c r="N23" i="86" s="1"/>
  <c r="N22" i="86" s="1"/>
  <c r="N21" i="86" s="1"/>
  <c r="N20" i="86" s="1"/>
  <c r="N19" i="86" s="1"/>
  <c r="N18" i="86" s="1"/>
  <c r="N17" i="86" s="1"/>
  <c r="N16" i="86" s="1"/>
  <c r="N15" i="86" s="1"/>
  <c r="N14" i="86" s="1"/>
  <c r="N13" i="86" s="1"/>
  <c r="N12" i="86" s="1"/>
  <c r="N11" i="86" s="1"/>
  <c r="N10" i="86" s="1"/>
  <c r="N9" i="86" s="1"/>
  <c r="N8" i="86" s="1"/>
  <c r="N7" i="86" s="1"/>
  <c r="N6" i="86" s="1"/>
  <c r="N5" i="86" s="1"/>
  <c r="H159" i="86"/>
  <c r="H158" i="86" s="1"/>
  <c r="H157" i="86" s="1"/>
  <c r="H156" i="86" s="1"/>
  <c r="H155" i="86" s="1"/>
  <c r="H154" i="86" s="1"/>
  <c r="H153" i="86" s="1"/>
  <c r="H152" i="86" s="1"/>
  <c r="H151" i="86" s="1"/>
  <c r="H150" i="86" s="1"/>
  <c r="H149" i="86" s="1"/>
  <c r="H148" i="86" s="1"/>
  <c r="H147" i="86" s="1"/>
  <c r="H146" i="86" s="1"/>
  <c r="H145" i="86" s="1"/>
  <c r="H144" i="86" s="1"/>
  <c r="H143" i="86" s="1"/>
  <c r="H142" i="86" s="1"/>
  <c r="H141" i="86" s="1"/>
  <c r="H140" i="86" s="1"/>
  <c r="H139" i="86" s="1"/>
  <c r="H138" i="86" s="1"/>
  <c r="H137" i="86" s="1"/>
  <c r="H136" i="86" s="1"/>
  <c r="H135" i="86" s="1"/>
  <c r="H134" i="86" s="1"/>
  <c r="H133" i="86" s="1"/>
  <c r="H132" i="86" s="1"/>
  <c r="H131" i="86" s="1"/>
  <c r="H130" i="86" s="1"/>
  <c r="H129" i="86" s="1"/>
  <c r="H128" i="86" s="1"/>
  <c r="H127" i="86" s="1"/>
  <c r="H126" i="86" s="1"/>
  <c r="H125" i="86" s="1"/>
  <c r="H124" i="86" s="1"/>
  <c r="H123" i="86" s="1"/>
  <c r="H122" i="86" s="1"/>
  <c r="H121" i="86" s="1"/>
  <c r="H120" i="86" s="1"/>
  <c r="H119" i="86" s="1"/>
  <c r="H118" i="86" s="1"/>
  <c r="H117" i="86" s="1"/>
  <c r="H116" i="86" s="1"/>
  <c r="H115" i="86" s="1"/>
  <c r="H114" i="86" s="1"/>
  <c r="H113" i="86" s="1"/>
  <c r="H112" i="86" s="1"/>
  <c r="H111" i="86" s="1"/>
  <c r="H110" i="86" s="1"/>
  <c r="H109" i="86" s="1"/>
  <c r="H108" i="86" s="1"/>
  <c r="H107" i="86" s="1"/>
  <c r="H106" i="86" s="1"/>
  <c r="H105" i="86" s="1"/>
  <c r="H104" i="86" s="1"/>
  <c r="H103" i="86" s="1"/>
  <c r="H102" i="86" s="1"/>
  <c r="H101" i="86" s="1"/>
  <c r="H100" i="86" s="1"/>
  <c r="H99" i="86" s="1"/>
  <c r="H98" i="86" s="1"/>
  <c r="H97" i="86" s="1"/>
  <c r="H96" i="86" s="1"/>
  <c r="H95" i="86" s="1"/>
  <c r="H94" i="86" s="1"/>
  <c r="H93" i="86" s="1"/>
  <c r="H92" i="86" s="1"/>
  <c r="H91" i="86" s="1"/>
  <c r="H90" i="86" s="1"/>
  <c r="H89" i="86" s="1"/>
  <c r="H88" i="86" s="1"/>
  <c r="H87" i="86" s="1"/>
  <c r="H86" i="86" s="1"/>
  <c r="H85" i="86" s="1"/>
  <c r="H84" i="86" s="1"/>
  <c r="H83" i="86" s="1"/>
  <c r="H82" i="86" s="1"/>
  <c r="H81" i="86" s="1"/>
  <c r="H80" i="86" s="1"/>
  <c r="H79" i="86" s="1"/>
  <c r="H78" i="86" s="1"/>
  <c r="H77" i="86" s="1"/>
  <c r="H76" i="86" s="1"/>
  <c r="H75" i="86" s="1"/>
  <c r="H74" i="86" s="1"/>
  <c r="H73" i="86" s="1"/>
  <c r="H72" i="86" s="1"/>
  <c r="H71" i="86" s="1"/>
  <c r="H70" i="86" s="1"/>
  <c r="H69" i="86" s="1"/>
  <c r="H68" i="86" s="1"/>
  <c r="H67" i="86" s="1"/>
  <c r="H66" i="86" s="1"/>
  <c r="H65" i="86" s="1"/>
  <c r="H64" i="86" s="1"/>
  <c r="H63" i="86" s="1"/>
  <c r="H62" i="86" s="1"/>
  <c r="H61" i="86" s="1"/>
  <c r="H60" i="86" s="1"/>
  <c r="H59" i="86" s="1"/>
  <c r="H58" i="86" s="1"/>
  <c r="H57" i="86" s="1"/>
  <c r="H56" i="86" s="1"/>
  <c r="H55" i="86" s="1"/>
  <c r="H54" i="86" s="1"/>
  <c r="H53" i="86" s="1"/>
  <c r="H52" i="86" s="1"/>
  <c r="H51" i="86" s="1"/>
  <c r="H50" i="86" s="1"/>
  <c r="H49" i="86" s="1"/>
  <c r="H48" i="86" s="1"/>
  <c r="H47" i="86" s="1"/>
  <c r="H46" i="86" s="1"/>
  <c r="H45" i="86" s="1"/>
  <c r="H44" i="86" s="1"/>
  <c r="H43" i="86" s="1"/>
  <c r="H42" i="86" s="1"/>
  <c r="H41" i="86" s="1"/>
  <c r="H40" i="86" s="1"/>
  <c r="H39" i="86" s="1"/>
  <c r="H38" i="86" s="1"/>
  <c r="H37" i="86" s="1"/>
  <c r="H36" i="86" s="1"/>
  <c r="H35" i="86" s="1"/>
  <c r="H34" i="86" s="1"/>
  <c r="H33" i="86" s="1"/>
  <c r="H32" i="86" s="1"/>
  <c r="H31" i="86" s="1"/>
  <c r="H30" i="86" s="1"/>
  <c r="H29" i="86" s="1"/>
  <c r="H28" i="86" s="1"/>
  <c r="H27" i="86" s="1"/>
  <c r="H26" i="86" s="1"/>
  <c r="H25" i="86" s="1"/>
  <c r="H24" i="86" s="1"/>
  <c r="H23" i="86" s="1"/>
  <c r="H22" i="86" s="1"/>
  <c r="H21" i="86" s="1"/>
  <c r="H20" i="86" s="1"/>
  <c r="H19" i="86" s="1"/>
  <c r="H18" i="86" s="1"/>
  <c r="H17" i="86" s="1"/>
  <c r="H16" i="86" s="1"/>
  <c r="H15" i="86" s="1"/>
  <c r="H14" i="86" s="1"/>
  <c r="H13" i="86" s="1"/>
  <c r="H12" i="86" s="1"/>
  <c r="H11" i="86" s="1"/>
  <c r="H10" i="86" s="1"/>
  <c r="H9" i="86" s="1"/>
  <c r="H8" i="86" s="1"/>
  <c r="H7" i="86" s="1"/>
  <c r="H6" i="86" s="1"/>
  <c r="H5" i="86" s="1"/>
  <c r="B160" i="86"/>
  <c r="I160" i="86" s="1"/>
  <c r="C345" i="66"/>
  <c r="I159" i="86"/>
  <c r="I165" i="65"/>
  <c r="J145" i="65"/>
  <c r="I166" i="65"/>
  <c r="B161" i="86" l="1"/>
  <c r="I161" i="86" s="1"/>
  <c r="C346" i="66"/>
  <c r="AG159" i="86"/>
  <c r="AH159" i="86"/>
  <c r="AK159" i="86"/>
  <c r="AI159" i="86"/>
  <c r="AJ159" i="86"/>
  <c r="J163" i="65"/>
  <c r="J146" i="65"/>
  <c r="J164" i="65" s="1"/>
  <c r="J89" i="65" s="1"/>
  <c r="B162" i="86" l="1"/>
  <c r="I162" i="86" s="1"/>
  <c r="C347" i="66"/>
  <c r="AK158" i="86"/>
  <c r="AH158" i="86"/>
  <c r="AG158" i="86"/>
  <c r="AI158" i="86"/>
  <c r="AJ158" i="86"/>
  <c r="J91" i="65"/>
  <c r="C348" i="66" l="1"/>
  <c r="AG157" i="86"/>
  <c r="AJ157" i="86"/>
  <c r="AH157" i="86"/>
  <c r="AK157" i="86"/>
  <c r="AI157" i="86"/>
  <c r="J94" i="65"/>
  <c r="J97" i="65" s="1"/>
  <c r="J92" i="65"/>
  <c r="Y159" i="86" l="1"/>
  <c r="AF159" i="86" s="1"/>
  <c r="C349" i="66"/>
  <c r="AH156" i="86"/>
  <c r="AJ156" i="86"/>
  <c r="AK156" i="86"/>
  <c r="AG156" i="86"/>
  <c r="AI156" i="86"/>
  <c r="J98" i="65"/>
  <c r="J136" i="65"/>
  <c r="J140" i="65" s="1"/>
  <c r="Y158" i="86" l="1"/>
  <c r="AF158" i="86" s="1"/>
  <c r="C350" i="66"/>
  <c r="AI155" i="86"/>
  <c r="AG155" i="86"/>
  <c r="AK155" i="86"/>
  <c r="AJ155" i="86"/>
  <c r="AH155" i="86"/>
  <c r="J147" i="65"/>
  <c r="Y157" i="86" l="1"/>
  <c r="AF157" i="86" s="1"/>
  <c r="C351" i="66"/>
  <c r="AH154" i="86"/>
  <c r="AK154" i="86"/>
  <c r="AG154" i="86"/>
  <c r="AI154" i="86"/>
  <c r="AJ154" i="86"/>
  <c r="J153" i="65"/>
  <c r="J148" i="65"/>
  <c r="Y156" i="86" l="1"/>
  <c r="AF156" i="86" s="1"/>
  <c r="C352" i="66"/>
  <c r="AK153" i="86"/>
  <c r="AH153" i="86"/>
  <c r="AI153" i="86"/>
  <c r="AG153" i="86"/>
  <c r="AJ153" i="86"/>
  <c r="K145" i="65"/>
  <c r="J154" i="65"/>
  <c r="K151" i="65" s="1"/>
  <c r="K152" i="65" s="1"/>
  <c r="J159" i="65"/>
  <c r="Y155" i="86" l="1"/>
  <c r="AF155" i="86" s="1"/>
  <c r="C353" i="66"/>
  <c r="AI152" i="86"/>
  <c r="AH152" i="86"/>
  <c r="AG152" i="86"/>
  <c r="AK152" i="86"/>
  <c r="AJ152" i="86"/>
  <c r="J160" i="65"/>
  <c r="K157" i="65" s="1"/>
  <c r="K158" i="65" s="1"/>
  <c r="J165" i="65"/>
  <c r="K146" i="65"/>
  <c r="Y154" i="86" l="1"/>
  <c r="AF154" i="86" s="1"/>
  <c r="C354" i="66"/>
  <c r="AH151" i="86"/>
  <c r="AK151" i="86"/>
  <c r="AG151" i="86"/>
  <c r="AI151" i="86"/>
  <c r="AJ151" i="86"/>
  <c r="K164" i="65"/>
  <c r="K89" i="65" s="1"/>
  <c r="K163" i="65"/>
  <c r="J166" i="65"/>
  <c r="Y153" i="86" l="1"/>
  <c r="AF153" i="86" s="1"/>
  <c r="C355" i="66"/>
  <c r="AJ150" i="86"/>
  <c r="AI150" i="86"/>
  <c r="AG150" i="86"/>
  <c r="AK150" i="86"/>
  <c r="AH150" i="86"/>
  <c r="K91" i="65"/>
  <c r="Y152" i="86" l="1"/>
  <c r="AF152" i="86" s="1"/>
  <c r="C356" i="66"/>
  <c r="AK149" i="86"/>
  <c r="AG149" i="86"/>
  <c r="AI149" i="86"/>
  <c r="AJ149" i="86"/>
  <c r="AH149" i="86"/>
  <c r="K94" i="65"/>
  <c r="K97" i="65" s="1"/>
  <c r="K92" i="65"/>
  <c r="Y151" i="86" l="1"/>
  <c r="AF151" i="86" s="1"/>
  <c r="C357" i="66"/>
  <c r="AJ148" i="86"/>
  <c r="AI148" i="86"/>
  <c r="AG148" i="86"/>
  <c r="AK148" i="86"/>
  <c r="AH148" i="86"/>
  <c r="K98" i="65"/>
  <c r="K136" i="65"/>
  <c r="K140" i="65" s="1"/>
  <c r="Y150" i="86" l="1"/>
  <c r="AF150" i="86" s="1"/>
  <c r="C358" i="66"/>
  <c r="AI147" i="86"/>
  <c r="AK147" i="86"/>
  <c r="AG147" i="86"/>
  <c r="AJ147" i="86"/>
  <c r="AH147" i="86"/>
  <c r="K147" i="65"/>
  <c r="K153" i="65" s="1"/>
  <c r="K154" i="65" s="1"/>
  <c r="L151" i="65" s="1"/>
  <c r="L152" i="65" s="1"/>
  <c r="Y149" i="86" l="1"/>
  <c r="AF149" i="86" s="1"/>
  <c r="C359" i="66"/>
  <c r="AJ146" i="86"/>
  <c r="AG146" i="86"/>
  <c r="AI146" i="86"/>
  <c r="AK146" i="86"/>
  <c r="AH146" i="86"/>
  <c r="K148" i="65"/>
  <c r="L145" i="65" s="1"/>
  <c r="L146" i="65" s="1"/>
  <c r="K159" i="65"/>
  <c r="Y148" i="86" l="1"/>
  <c r="AF148" i="86" s="1"/>
  <c r="C360" i="66"/>
  <c r="AG145" i="86"/>
  <c r="AK145" i="86"/>
  <c r="AI145" i="86"/>
  <c r="AJ145" i="86"/>
  <c r="AH145" i="86"/>
  <c r="K165" i="65"/>
  <c r="K160" i="65"/>
  <c r="Y147" i="86" l="1"/>
  <c r="AF147" i="86" s="1"/>
  <c r="C361" i="66"/>
  <c r="AH144" i="86"/>
  <c r="AG144" i="86"/>
  <c r="AJ144" i="86"/>
  <c r="AI144" i="86"/>
  <c r="AK144" i="86"/>
  <c r="L157" i="65"/>
  <c r="K166" i="65"/>
  <c r="Y146" i="86" l="1"/>
  <c r="AF146" i="86" s="1"/>
  <c r="C362" i="66"/>
  <c r="AH143" i="86"/>
  <c r="AJ143" i="86"/>
  <c r="AI143" i="86"/>
  <c r="AG143" i="86"/>
  <c r="AK143" i="86"/>
  <c r="L163" i="65"/>
  <c r="L158" i="65"/>
  <c r="L164" i="65" s="1"/>
  <c r="Y145" i="86" l="1"/>
  <c r="AF145" i="86" s="1"/>
  <c r="C363" i="66"/>
  <c r="AJ142" i="86"/>
  <c r="AI142" i="86"/>
  <c r="AG142" i="86"/>
  <c r="AK142" i="86"/>
  <c r="AH142" i="86"/>
  <c r="L89" i="65"/>
  <c r="L91" i="65" s="1"/>
  <c r="Y144" i="86" l="1"/>
  <c r="AF144" i="86" s="1"/>
  <c r="C364" i="66"/>
  <c r="AI141" i="86"/>
  <c r="AJ141" i="86"/>
  <c r="AH141" i="86"/>
  <c r="AG141" i="86"/>
  <c r="AK141" i="86"/>
  <c r="L94" i="65"/>
  <c r="L97" i="65" s="1"/>
  <c r="L98" i="65" s="1"/>
  <c r="L92" i="65"/>
  <c r="Y143" i="86" l="1"/>
  <c r="AF143" i="86" s="1"/>
  <c r="C365" i="66"/>
  <c r="AH140" i="86"/>
  <c r="AG140" i="86"/>
  <c r="AI140" i="86"/>
  <c r="AJ140" i="86"/>
  <c r="AK140" i="86"/>
  <c r="L136" i="65"/>
  <c r="L140" i="65" s="1"/>
  <c r="L147" i="65" s="1"/>
  <c r="Y142" i="86" l="1"/>
  <c r="AF142" i="86" s="1"/>
  <c r="C366" i="66"/>
  <c r="AH139" i="86"/>
  <c r="AI139" i="86"/>
  <c r="AG139" i="86"/>
  <c r="AK139" i="86"/>
  <c r="AJ139" i="86"/>
  <c r="L153" i="65"/>
  <c r="L148" i="65"/>
  <c r="Y141" i="86" l="1"/>
  <c r="AF141" i="86" s="1"/>
  <c r="C367" i="66"/>
  <c r="AG138" i="86"/>
  <c r="AK138" i="86"/>
  <c r="AI138" i="86"/>
  <c r="AJ138" i="86"/>
  <c r="AH138" i="86"/>
  <c r="L154" i="65"/>
  <c r="L159" i="65"/>
  <c r="F29" i="6"/>
  <c r="Y140" i="86" l="1"/>
  <c r="AF140" i="86" s="1"/>
  <c r="C368" i="66"/>
  <c r="AJ137" i="86"/>
  <c r="AI137" i="86"/>
  <c r="AK137" i="86"/>
  <c r="AG137" i="86"/>
  <c r="AH137" i="86"/>
  <c r="L160" i="65"/>
  <c r="L166" i="65" s="1"/>
  <c r="L175" i="65" s="1"/>
  <c r="L176" i="65" s="1"/>
  <c r="L180" i="65" s="1"/>
  <c r="L165" i="65"/>
  <c r="G29" i="6"/>
  <c r="H29" i="6"/>
  <c r="H14" i="6"/>
  <c r="Y139" i="86" l="1"/>
  <c r="AF139" i="86" s="1"/>
  <c r="C369" i="66"/>
  <c r="AG136" i="86"/>
  <c r="AK136" i="86"/>
  <c r="AI136" i="86"/>
  <c r="AJ136" i="86"/>
  <c r="AH136" i="86"/>
  <c r="L16" i="65"/>
  <c r="L181" i="65"/>
  <c r="L17" i="65" s="1"/>
  <c r="Y138" i="86" l="1"/>
  <c r="AF138" i="86" s="1"/>
  <c r="C370" i="66"/>
  <c r="AI135" i="86"/>
  <c r="AG135" i="86"/>
  <c r="AH135" i="86"/>
  <c r="AK135" i="86"/>
  <c r="AJ135" i="86"/>
  <c r="Y137" i="86" l="1"/>
  <c r="AF137" i="86" s="1"/>
  <c r="C371" i="66"/>
  <c r="AI134" i="86"/>
  <c r="AK134" i="86"/>
  <c r="AH134" i="86"/>
  <c r="AG134" i="86"/>
  <c r="AJ134" i="86"/>
  <c r="Y136" i="86" l="1"/>
  <c r="AF136" i="86" s="1"/>
  <c r="C372" i="66"/>
  <c r="AG133" i="86"/>
  <c r="AH133" i="86"/>
  <c r="AJ133" i="86"/>
  <c r="AK133" i="86"/>
  <c r="AI133" i="86"/>
  <c r="Y135" i="86" l="1"/>
  <c r="AF135" i="86" s="1"/>
  <c r="C373" i="66"/>
  <c r="AK132" i="86"/>
  <c r="AG132" i="86"/>
  <c r="AH132" i="86"/>
  <c r="AI132" i="86"/>
  <c r="AJ132" i="86"/>
  <c r="Y134" i="86" l="1"/>
  <c r="AF134" i="86" s="1"/>
  <c r="C374" i="66"/>
  <c r="AG131" i="86"/>
  <c r="AJ131" i="86"/>
  <c r="AI131" i="86"/>
  <c r="AH131" i="86"/>
  <c r="AK131" i="86"/>
  <c r="Y133" i="86" l="1"/>
  <c r="AF133" i="86" s="1"/>
  <c r="C375" i="66"/>
  <c r="AK130" i="86"/>
  <c r="AH130" i="86"/>
  <c r="AI130" i="86"/>
  <c r="AJ130" i="86"/>
  <c r="AG130" i="86"/>
  <c r="X79" i="78"/>
  <c r="Y132" i="86" l="1"/>
  <c r="AF132" i="86" s="1"/>
  <c r="C376" i="66"/>
  <c r="AK129" i="86"/>
  <c r="AG129" i="86"/>
  <c r="AI129" i="86"/>
  <c r="AH129" i="86"/>
  <c r="AJ129" i="86"/>
  <c r="AJ101" i="79"/>
  <c r="AJ103" i="79"/>
  <c r="Y52" i="78"/>
  <c r="Y131" i="86" l="1"/>
  <c r="AF131" i="86" s="1"/>
  <c r="C377" i="66"/>
  <c r="AI128" i="86"/>
  <c r="AH128" i="86"/>
  <c r="AG128" i="86"/>
  <c r="AK128" i="86"/>
  <c r="AJ128" i="86"/>
  <c r="Y79" i="78"/>
  <c r="Z52" i="78"/>
  <c r="Y130" i="86" l="1"/>
  <c r="AF130" i="86" s="1"/>
  <c r="C378" i="66"/>
  <c r="AK127" i="86"/>
  <c r="AG127" i="86"/>
  <c r="AH127" i="86"/>
  <c r="AI127" i="86"/>
  <c r="AJ127" i="86"/>
  <c r="AK101" i="79"/>
  <c r="AK103" i="79"/>
  <c r="Z79" i="78"/>
  <c r="AB52" i="78"/>
  <c r="Y127" i="86" l="1"/>
  <c r="AF127" i="86" s="1"/>
  <c r="Y128" i="86"/>
  <c r="AF128" i="86" s="1"/>
  <c r="Y129" i="86"/>
  <c r="AF129" i="86" s="1"/>
  <c r="C379" i="66"/>
  <c r="Y126" i="86"/>
  <c r="AF126" i="86" s="1"/>
  <c r="AI126" i="86"/>
  <c r="AH126" i="86"/>
  <c r="AJ126" i="86"/>
  <c r="AK126" i="86"/>
  <c r="AG126" i="86"/>
  <c r="AK168" i="79"/>
  <c r="Z53" i="78"/>
  <c r="AK74" i="79"/>
  <c r="AB79" i="78"/>
  <c r="AB94" i="78" s="1"/>
  <c r="AB49" i="78" s="1"/>
  <c r="AB128" i="78" l="1"/>
  <c r="AL77" i="79"/>
  <c r="C380" i="66"/>
  <c r="Y125" i="86"/>
  <c r="AF125" i="86" s="1"/>
  <c r="AG125" i="86"/>
  <c r="AI125" i="86"/>
  <c r="AK125" i="86"/>
  <c r="AJ125" i="86"/>
  <c r="AH125" i="86"/>
  <c r="AL168" i="79"/>
  <c r="AL127" i="79"/>
  <c r="AN103" i="79"/>
  <c r="AN101" i="79"/>
  <c r="AL101" i="79"/>
  <c r="AL103" i="79"/>
  <c r="AK77" i="79"/>
  <c r="AL28" i="79"/>
  <c r="AC52" i="78"/>
  <c r="AL33" i="79" l="1"/>
  <c r="C381" i="66"/>
  <c r="Y124" i="86"/>
  <c r="AF124" i="86" s="1"/>
  <c r="AJ124" i="86"/>
  <c r="AK124" i="86"/>
  <c r="AI124" i="86"/>
  <c r="AG124" i="86"/>
  <c r="AH124" i="86"/>
  <c r="AN168" i="79"/>
  <c r="AB122" i="78"/>
  <c r="AB126" i="78" s="1"/>
  <c r="AN74" i="79"/>
  <c r="AL74" i="79"/>
  <c r="AL31" i="79"/>
  <c r="AC79" i="78"/>
  <c r="AD52" i="78" l="1"/>
  <c r="AD79" i="78" s="1"/>
  <c r="AD94" i="78" s="1"/>
  <c r="AD49" i="78" s="1"/>
  <c r="AC94" i="78"/>
  <c r="AO77" i="79"/>
  <c r="AB136" i="78"/>
  <c r="AB112" i="78"/>
  <c r="C382" i="66"/>
  <c r="Y123" i="86"/>
  <c r="AF123" i="86" s="1"/>
  <c r="AH123" i="86"/>
  <c r="AK123" i="86"/>
  <c r="AI123" i="86"/>
  <c r="AG123" i="86"/>
  <c r="AJ123" i="86"/>
  <c r="AO74" i="79"/>
  <c r="AN77" i="79"/>
  <c r="AC49" i="78" l="1"/>
  <c r="AC128" i="78"/>
  <c r="C383" i="66"/>
  <c r="Y122" i="86"/>
  <c r="AF122" i="86" s="1"/>
  <c r="AI122" i="86"/>
  <c r="AK122" i="86"/>
  <c r="AH122" i="86"/>
  <c r="AJ122" i="86"/>
  <c r="AG122" i="86"/>
  <c r="AO168" i="79"/>
  <c r="AE52" i="78"/>
  <c r="AE79" i="78" s="1"/>
  <c r="AP101" i="79"/>
  <c r="AP103" i="79"/>
  <c r="AO101" i="79"/>
  <c r="AO103" i="79"/>
  <c r="AP77" i="79"/>
  <c r="AP74" i="79"/>
  <c r="AD128" i="78"/>
  <c r="AD122" i="78"/>
  <c r="AD126" i="78" s="1"/>
  <c r="AD112" i="78" s="1"/>
  <c r="AC122" i="78" l="1"/>
  <c r="AC126" i="78" s="1"/>
  <c r="AF79" i="78"/>
  <c r="AH52" i="78" s="1"/>
  <c r="AE94" i="78"/>
  <c r="AE49" i="78" s="1"/>
  <c r="C384" i="66"/>
  <c r="Y121" i="86"/>
  <c r="AF121" i="86" s="1"/>
  <c r="AH121" i="86"/>
  <c r="AK121" i="86"/>
  <c r="AG121" i="86"/>
  <c r="AJ121" i="86"/>
  <c r="AI121" i="86"/>
  <c r="AF52" i="78"/>
  <c r="AD136" i="78"/>
  <c r="AQ101" i="79"/>
  <c r="AR101" i="79"/>
  <c r="AP168" i="79"/>
  <c r="AF53" i="78" l="1"/>
  <c r="AC136" i="78"/>
  <c r="AC112" i="78"/>
  <c r="AH79" i="78"/>
  <c r="AH94" i="78" s="1"/>
  <c r="C385" i="66"/>
  <c r="Y120" i="86"/>
  <c r="AF120" i="86" s="1"/>
  <c r="AG120" i="86"/>
  <c r="AK120" i="86"/>
  <c r="AJ120" i="86"/>
  <c r="AH120" i="86"/>
  <c r="AI120" i="86"/>
  <c r="AF49" i="78"/>
  <c r="AR103" i="79"/>
  <c r="AE128" i="78"/>
  <c r="AQ168" i="79" s="1"/>
  <c r="AQ103" i="79"/>
  <c r="AH128" i="78" l="1"/>
  <c r="AH49" i="78"/>
  <c r="AX16" i="78" s="1"/>
  <c r="AE122" i="78"/>
  <c r="AE126" i="78" s="1"/>
  <c r="AT77" i="79"/>
  <c r="C386" i="66"/>
  <c r="AF94" i="78"/>
  <c r="AF95" i="78" s="1"/>
  <c r="AF50" i="78" s="1"/>
  <c r="Y119" i="86"/>
  <c r="AF119" i="86" s="1"/>
  <c r="AV127" i="79"/>
  <c r="AJ119" i="86"/>
  <c r="AK119" i="86"/>
  <c r="AI119" i="86"/>
  <c r="AH119" i="86"/>
  <c r="AG119" i="86"/>
  <c r="AR28" i="79"/>
  <c r="AQ74" i="79"/>
  <c r="AT74" i="79"/>
  <c r="AT103" i="79"/>
  <c r="AJ52" i="78"/>
  <c r="AH122" i="78" l="1"/>
  <c r="AH126" i="78" s="1"/>
  <c r="AH136" i="78" s="1"/>
  <c r="AE136" i="78"/>
  <c r="AF126" i="78"/>
  <c r="E41" i="6" s="1"/>
  <c r="AE112" i="78"/>
  <c r="AF112" i="78" s="1"/>
  <c r="AF128" i="78"/>
  <c r="AR77" i="79"/>
  <c r="C387" i="66"/>
  <c r="Y118" i="86"/>
  <c r="AF118" i="86" s="1"/>
  <c r="AR127" i="79"/>
  <c r="AT127" i="79"/>
  <c r="AR168" i="79"/>
  <c r="AF122" i="78"/>
  <c r="AR33" i="79"/>
  <c r="AQ77" i="79"/>
  <c r="AI118" i="86"/>
  <c r="AH118" i="86"/>
  <c r="AK118" i="86"/>
  <c r="AG118" i="86"/>
  <c r="AJ118" i="86"/>
  <c r="AJ79" i="78"/>
  <c r="AJ94" i="78" s="1"/>
  <c r="AT101" i="79"/>
  <c r="AX17" i="78" l="1"/>
  <c r="F41" i="6"/>
  <c r="AH112" i="78"/>
  <c r="F42" i="6" s="1"/>
  <c r="AJ128" i="78"/>
  <c r="AJ49" i="78"/>
  <c r="E42" i="6"/>
  <c r="AF113" i="78"/>
  <c r="AF136" i="78"/>
  <c r="AW17" i="78" s="1"/>
  <c r="AW16" i="78"/>
  <c r="AR74" i="79"/>
  <c r="C388" i="66"/>
  <c r="Y117" i="86"/>
  <c r="AF117" i="86" s="1"/>
  <c r="AK117" i="86"/>
  <c r="AH117" i="86"/>
  <c r="AJ117" i="86"/>
  <c r="AG117" i="86"/>
  <c r="AI117" i="86"/>
  <c r="AR31" i="79"/>
  <c r="AV101" i="79"/>
  <c r="AL52" i="78"/>
  <c r="AY16" i="78" l="1"/>
  <c r="AJ122" i="78"/>
  <c r="AJ126" i="78" s="1"/>
  <c r="AJ136" i="78" s="1"/>
  <c r="AY17" i="78" s="1"/>
  <c r="C389" i="66"/>
  <c r="Y116" i="86"/>
  <c r="AF116" i="86" s="1"/>
  <c r="AJ116" i="86"/>
  <c r="AH116" i="86"/>
  <c r="AI116" i="86"/>
  <c r="AG116" i="86"/>
  <c r="AK116" i="86"/>
  <c r="AV103" i="79"/>
  <c r="AL79" i="78"/>
  <c r="AL94" i="78" s="1"/>
  <c r="AV77" i="79"/>
  <c r="AV74" i="79"/>
  <c r="G41" i="6" l="1"/>
  <c r="AJ112" i="78"/>
  <c r="G42" i="6" s="1"/>
  <c r="AL128" i="78"/>
  <c r="AL49" i="78"/>
  <c r="C390" i="66"/>
  <c r="Y115" i="86"/>
  <c r="AF115" i="86" s="1"/>
  <c r="AK115" i="86"/>
  <c r="AH115" i="86"/>
  <c r="AG115" i="86"/>
  <c r="AI115" i="86"/>
  <c r="AJ115" i="86"/>
  <c r="AX77" i="79"/>
  <c r="AX74" i="79"/>
  <c r="AZ16" i="78" l="1"/>
  <c r="AL122" i="78"/>
  <c r="Z161" i="78" s="1"/>
  <c r="C391" i="66"/>
  <c r="Y114" i="86"/>
  <c r="AF114" i="86" s="1"/>
  <c r="AH114" i="86"/>
  <c r="AI114" i="86"/>
  <c r="AJ114" i="86"/>
  <c r="AK114" i="86"/>
  <c r="AG114" i="86"/>
  <c r="E70" i="83"/>
  <c r="E71" i="83"/>
  <c r="AL126" i="78" l="1"/>
  <c r="C392" i="66"/>
  <c r="Y113" i="86"/>
  <c r="AF113" i="86" s="1"/>
  <c r="AK113" i="86"/>
  <c r="AI113" i="86"/>
  <c r="AH113" i="86"/>
  <c r="AG113" i="86"/>
  <c r="AJ113" i="86"/>
  <c r="H41" i="6" l="1"/>
  <c r="AL136" i="78"/>
  <c r="AL112" i="78"/>
  <c r="H42" i="6" s="1"/>
  <c r="C393" i="66"/>
  <c r="Y112" i="86"/>
  <c r="AF112" i="86" s="1"/>
  <c r="AJ112" i="86"/>
  <c r="AG112" i="86"/>
  <c r="AI112" i="86"/>
  <c r="AH112" i="86"/>
  <c r="AK112" i="86"/>
  <c r="AL159" i="78" l="1"/>
  <c r="AZ17" i="78"/>
  <c r="C394" i="66"/>
  <c r="Y111" i="86"/>
  <c r="AF111" i="86" s="1"/>
  <c r="AJ111" i="86"/>
  <c r="AH111" i="86"/>
  <c r="AI111" i="86"/>
  <c r="AK111" i="86"/>
  <c r="AG111" i="86"/>
  <c r="H87" i="65"/>
  <c r="I87" i="65"/>
  <c r="J87" i="65"/>
  <c r="K87" i="65"/>
  <c r="L87" i="65"/>
  <c r="C395" i="66" l="1"/>
  <c r="Y110" i="86"/>
  <c r="AF110" i="86" s="1"/>
  <c r="AG110" i="86"/>
  <c r="AK110" i="86"/>
  <c r="AI110" i="86"/>
  <c r="AH110" i="86"/>
  <c r="AJ110" i="86"/>
  <c r="C396" i="66" l="1"/>
  <c r="Y109" i="86"/>
  <c r="AF109" i="86" s="1"/>
  <c r="AH109" i="86"/>
  <c r="AI109" i="86"/>
  <c r="AK109" i="86"/>
  <c r="AJ109" i="86"/>
  <c r="AG109" i="86"/>
  <c r="C397" i="66" l="1"/>
  <c r="Y108" i="86"/>
  <c r="AF108" i="86" s="1"/>
  <c r="AH108" i="86"/>
  <c r="AK108" i="86"/>
  <c r="AJ108" i="86"/>
  <c r="AI108" i="86"/>
  <c r="AG108" i="86"/>
  <c r="C398" i="66" l="1"/>
  <c r="Y107" i="86"/>
  <c r="AF107" i="86" s="1"/>
  <c r="AJ107" i="86"/>
  <c r="AK107" i="86"/>
  <c r="AH107" i="86"/>
  <c r="AI107" i="86"/>
  <c r="AG107" i="86"/>
  <c r="C399" i="66" l="1"/>
  <c r="Y106" i="86"/>
  <c r="AF106" i="86" s="1"/>
  <c r="AI106" i="86"/>
  <c r="AK106" i="86"/>
  <c r="AJ106" i="86"/>
  <c r="AH106" i="86"/>
  <c r="AG106" i="86"/>
  <c r="C400" i="66" l="1"/>
  <c r="Y105" i="86"/>
  <c r="AF105" i="86" s="1"/>
  <c r="AJ105" i="86"/>
  <c r="AK105" i="86"/>
  <c r="AI105" i="86"/>
  <c r="AH105" i="86"/>
  <c r="AG105" i="86"/>
  <c r="C401" i="66" l="1"/>
  <c r="Y104" i="86"/>
  <c r="AF104" i="86" s="1"/>
  <c r="AI104" i="86"/>
  <c r="AJ104" i="86"/>
  <c r="AH104" i="86"/>
  <c r="AK104" i="86"/>
  <c r="AG104" i="86"/>
  <c r="C402" i="66" l="1"/>
  <c r="Y103" i="86"/>
  <c r="AF103" i="86" s="1"/>
  <c r="AH103" i="86"/>
  <c r="AJ103" i="86"/>
  <c r="AK103" i="86"/>
  <c r="AI103" i="86"/>
  <c r="AG103" i="86"/>
  <c r="C403" i="66" l="1"/>
  <c r="Y102" i="86"/>
  <c r="AF102" i="86" s="1"/>
  <c r="AI102" i="86"/>
  <c r="AK102" i="86"/>
  <c r="AH102" i="86"/>
  <c r="AJ102" i="86"/>
  <c r="AG102" i="86"/>
  <c r="C404" i="66" l="1"/>
  <c r="Y101" i="86"/>
  <c r="AF101" i="86" s="1"/>
  <c r="AJ101" i="86"/>
  <c r="AH101" i="86"/>
  <c r="AK101" i="86"/>
  <c r="AG101" i="86"/>
  <c r="AI101" i="86"/>
  <c r="C405" i="66" l="1"/>
  <c r="Y100" i="86"/>
  <c r="AF100" i="86" s="1"/>
  <c r="AK100" i="86"/>
  <c r="AH100" i="86"/>
  <c r="AJ100" i="86"/>
  <c r="AG100" i="86"/>
  <c r="AI100" i="86"/>
  <c r="C406" i="66" l="1"/>
  <c r="Y99" i="86"/>
  <c r="AF99" i="86" s="1"/>
  <c r="AI99" i="86"/>
  <c r="AG99" i="86"/>
  <c r="AK99" i="86"/>
  <c r="AH99" i="86"/>
  <c r="AJ99" i="86"/>
  <c r="C407" i="66" l="1"/>
  <c r="Y98" i="86"/>
  <c r="AF98" i="86" s="1"/>
  <c r="AJ98" i="86"/>
  <c r="AH98" i="86"/>
  <c r="AG98" i="86"/>
  <c r="AK98" i="86"/>
  <c r="AI98" i="86"/>
  <c r="C408" i="66" l="1"/>
  <c r="Y97" i="86"/>
  <c r="AF97" i="86" s="1"/>
  <c r="AI97" i="86"/>
  <c r="AG97" i="86"/>
  <c r="AK97" i="86"/>
  <c r="AH97" i="86"/>
  <c r="AJ97" i="86"/>
  <c r="C409" i="66" l="1"/>
  <c r="Y96" i="86"/>
  <c r="AF96" i="86" s="1"/>
  <c r="AG96" i="86"/>
  <c r="AH96" i="86"/>
  <c r="AK96" i="86"/>
  <c r="AJ96" i="86"/>
  <c r="AI96" i="86"/>
  <c r="C410" i="66" l="1"/>
  <c r="Y95" i="86"/>
  <c r="AF95" i="86" s="1"/>
  <c r="AK95" i="86"/>
  <c r="AH95" i="86"/>
  <c r="AJ95" i="86"/>
  <c r="AG95" i="86"/>
  <c r="AI95" i="86"/>
  <c r="C411" i="66" l="1"/>
  <c r="Y94" i="86"/>
  <c r="AF94" i="86" s="1"/>
  <c r="AG94" i="86"/>
  <c r="AJ94" i="86"/>
  <c r="AH94" i="86"/>
  <c r="AK94" i="86"/>
  <c r="AI94" i="86"/>
  <c r="C412" i="66" l="1"/>
  <c r="Y93" i="86"/>
  <c r="AF93" i="86" s="1"/>
  <c r="AI93" i="86"/>
  <c r="AH93" i="86"/>
  <c r="AJ93" i="86"/>
  <c r="AK93" i="86"/>
  <c r="AG93" i="86"/>
  <c r="C413" i="66" l="1"/>
  <c r="Y92" i="86"/>
  <c r="AF92" i="86" s="1"/>
  <c r="AG92" i="86"/>
  <c r="AJ92" i="86"/>
  <c r="AK92" i="86"/>
  <c r="AH92" i="86"/>
  <c r="AI92" i="86"/>
  <c r="C414" i="66" l="1"/>
  <c r="Y91" i="86"/>
  <c r="AF91" i="86" s="1"/>
  <c r="AH91" i="86"/>
  <c r="AJ91" i="86"/>
  <c r="AK91" i="86"/>
  <c r="AI91" i="86"/>
  <c r="AG91" i="86"/>
  <c r="C415" i="66" l="1"/>
  <c r="Y90" i="86"/>
  <c r="AF90" i="86" s="1"/>
  <c r="AG90" i="86"/>
  <c r="AK90" i="86"/>
  <c r="AJ90" i="86"/>
  <c r="AI90" i="86"/>
  <c r="AH90" i="86"/>
  <c r="C416" i="66" l="1"/>
  <c r="Y89" i="86"/>
  <c r="AF89" i="86" s="1"/>
  <c r="AI89" i="86"/>
  <c r="AG89" i="86"/>
  <c r="AJ89" i="86"/>
  <c r="AH89" i="86"/>
  <c r="AK89" i="86"/>
  <c r="C417" i="66" l="1"/>
  <c r="Y88" i="86"/>
  <c r="AF88" i="86" s="1"/>
  <c r="AH88" i="86"/>
  <c r="AJ88" i="86"/>
  <c r="AG88" i="86"/>
  <c r="AK88" i="86"/>
  <c r="AI88" i="86"/>
  <c r="AD86" i="86"/>
  <c r="AC86" i="86"/>
  <c r="C418" i="66" l="1"/>
  <c r="Y87" i="86"/>
  <c r="AF87" i="86" s="1"/>
  <c r="AK87" i="86"/>
  <c r="AG87" i="86"/>
  <c r="AH87" i="86"/>
  <c r="AJ87" i="86"/>
  <c r="AI87" i="86"/>
  <c r="C419" i="66" l="1"/>
  <c r="Y86" i="86"/>
  <c r="AF86" i="86" s="1"/>
  <c r="AI86" i="86"/>
  <c r="AH86" i="86"/>
  <c r="AG86" i="86"/>
  <c r="AK86" i="86"/>
  <c r="AJ86" i="86"/>
  <c r="C420" i="66" l="1"/>
  <c r="Y85" i="86"/>
  <c r="AF85" i="86" s="1"/>
  <c r="AH85" i="86"/>
  <c r="AJ85" i="86"/>
  <c r="AG85" i="86"/>
  <c r="AK85" i="86"/>
  <c r="AI85" i="86"/>
  <c r="C421" i="66" l="1"/>
  <c r="Y84" i="86"/>
  <c r="AF84" i="86" s="1"/>
  <c r="AJ84" i="86"/>
  <c r="AH84" i="86"/>
  <c r="AI84" i="86"/>
  <c r="AG84" i="86"/>
  <c r="AK84" i="86"/>
  <c r="C422" i="66" l="1"/>
  <c r="Y83" i="86"/>
  <c r="AF83" i="86" s="1"/>
  <c r="AK83" i="86"/>
  <c r="AG83" i="86"/>
  <c r="AI83" i="86"/>
  <c r="AH83" i="86"/>
  <c r="AJ83" i="86"/>
  <c r="C423" i="66" l="1"/>
  <c r="Y82" i="86"/>
  <c r="AF82" i="86" s="1"/>
  <c r="AH82" i="86"/>
  <c r="AG82" i="86"/>
  <c r="AJ82" i="86"/>
  <c r="AI82" i="86"/>
  <c r="AK82" i="86"/>
  <c r="C424" i="66" l="1"/>
  <c r="Y81" i="86"/>
  <c r="AF81" i="86" s="1"/>
  <c r="AI81" i="86"/>
  <c r="AJ81" i="86"/>
  <c r="AK81" i="86"/>
  <c r="AH81" i="86"/>
  <c r="AG81" i="86"/>
  <c r="C425" i="66" l="1"/>
  <c r="Y80" i="86"/>
  <c r="AF80" i="86" s="1"/>
  <c r="AH80" i="86"/>
  <c r="AI80" i="86"/>
  <c r="AJ80" i="86"/>
  <c r="AK80" i="86"/>
  <c r="AG80" i="86"/>
  <c r="C426" i="66" l="1"/>
  <c r="Y79" i="86"/>
  <c r="AF79" i="86" s="1"/>
  <c r="AK79" i="86"/>
  <c r="AG79" i="86"/>
  <c r="AI79" i="86"/>
  <c r="AH79" i="86"/>
  <c r="AJ79" i="86"/>
  <c r="C427" i="66" l="1"/>
  <c r="Y78" i="86"/>
  <c r="AF78" i="86" s="1"/>
  <c r="AH78" i="86"/>
  <c r="AI78" i="86"/>
  <c r="AG78" i="86"/>
  <c r="AK78" i="86"/>
  <c r="AJ78" i="86"/>
  <c r="C428" i="66" l="1"/>
  <c r="Y77" i="86"/>
  <c r="AF77" i="86" s="1"/>
  <c r="AK77" i="86"/>
  <c r="AG77" i="86"/>
  <c r="AI77" i="86"/>
  <c r="AJ77" i="86"/>
  <c r="AH77" i="86"/>
  <c r="C429" i="66" l="1"/>
  <c r="Y76" i="86"/>
  <c r="AF76" i="86" s="1"/>
  <c r="AI76" i="86"/>
  <c r="AG76" i="86"/>
  <c r="AH76" i="86"/>
  <c r="AJ76" i="86"/>
  <c r="AK76" i="86"/>
  <c r="C430" i="66" l="1"/>
  <c r="Y75" i="86"/>
  <c r="AF75" i="86" s="1"/>
  <c r="AI75" i="86"/>
  <c r="AK75" i="86"/>
  <c r="AH75" i="86"/>
  <c r="AG75" i="86"/>
  <c r="AJ75" i="86"/>
  <c r="C431" i="66" l="1"/>
  <c r="Y74" i="86"/>
  <c r="AF74" i="86" s="1"/>
  <c r="AG74" i="86"/>
  <c r="AK74" i="86"/>
  <c r="AH74" i="86"/>
  <c r="AI74" i="86"/>
  <c r="AJ74" i="86"/>
  <c r="C432" i="66" l="1"/>
  <c r="Y73" i="86"/>
  <c r="AF73" i="86" s="1"/>
  <c r="AJ73" i="86"/>
  <c r="AH73" i="86"/>
  <c r="AI73" i="86"/>
  <c r="AK73" i="86"/>
  <c r="AG73" i="86"/>
  <c r="C433" i="66" l="1"/>
  <c r="Y72" i="86"/>
  <c r="AF72" i="86" s="1"/>
  <c r="AI72" i="86"/>
  <c r="AH72" i="86"/>
  <c r="AG72" i="86"/>
  <c r="AK72" i="86"/>
  <c r="AJ72" i="86"/>
  <c r="C434" i="66" l="1"/>
  <c r="Y71" i="86"/>
  <c r="AF71" i="86" s="1"/>
  <c r="AK71" i="86"/>
  <c r="AG71" i="86"/>
  <c r="AJ71" i="86"/>
  <c r="AI71" i="86"/>
  <c r="AH71" i="86"/>
  <c r="C435" i="66" l="1"/>
  <c r="Y70" i="86"/>
  <c r="AF70" i="86" s="1"/>
  <c r="AI70" i="86"/>
  <c r="AH70" i="86"/>
  <c r="AK70" i="86"/>
  <c r="AJ70" i="86"/>
  <c r="AG70" i="86"/>
  <c r="C436" i="66" l="1"/>
  <c r="Y69" i="86"/>
  <c r="AF69" i="86" s="1"/>
  <c r="AI69" i="86"/>
  <c r="AG69" i="86"/>
  <c r="AJ69" i="86"/>
  <c r="AK69" i="86"/>
  <c r="AH69" i="86"/>
  <c r="C437" i="66" l="1"/>
  <c r="Y68" i="86"/>
  <c r="AF68" i="86" s="1"/>
  <c r="AH68" i="86"/>
  <c r="AK68" i="86"/>
  <c r="AG68" i="86"/>
  <c r="AJ68" i="86"/>
  <c r="AI68" i="86"/>
  <c r="C438" i="66" l="1"/>
  <c r="Y67" i="86"/>
  <c r="AF67" i="86" s="1"/>
  <c r="AJ67" i="86"/>
  <c r="AG67" i="86"/>
  <c r="AK67" i="86"/>
  <c r="AI67" i="86"/>
  <c r="AH67" i="86"/>
  <c r="C439" i="66" l="1"/>
  <c r="Y66" i="86"/>
  <c r="AF66" i="86" s="1"/>
  <c r="AG66" i="86"/>
  <c r="AH66" i="86"/>
  <c r="AI66" i="86"/>
  <c r="AK66" i="86"/>
  <c r="AJ66" i="86"/>
  <c r="C440" i="66" l="1"/>
  <c r="Y65" i="86"/>
  <c r="AF65" i="86" s="1"/>
  <c r="AG65" i="86"/>
  <c r="AH65" i="86"/>
  <c r="AJ65" i="86"/>
  <c r="AK65" i="86"/>
  <c r="AI65" i="86"/>
  <c r="C441" i="66" l="1"/>
  <c r="Y64" i="86"/>
  <c r="AF64" i="86" s="1"/>
  <c r="AH64" i="86"/>
  <c r="AG64" i="86"/>
  <c r="AJ64" i="86"/>
  <c r="AI64" i="86"/>
  <c r="AK64" i="86"/>
  <c r="C442" i="66" l="1"/>
  <c r="Y63" i="86"/>
  <c r="AF63" i="86" s="1"/>
  <c r="AJ63" i="86"/>
  <c r="AH63" i="86"/>
  <c r="AG63" i="86"/>
  <c r="AK63" i="86"/>
  <c r="AI63" i="86"/>
  <c r="C443" i="66" l="1"/>
  <c r="Y62" i="86"/>
  <c r="AF62" i="86" s="1"/>
  <c r="AK62" i="86"/>
  <c r="AJ62" i="86"/>
  <c r="AH62" i="86"/>
  <c r="AG62" i="86"/>
  <c r="AI62" i="86"/>
  <c r="C444" i="66" l="1"/>
  <c r="Y61" i="86"/>
  <c r="AF61" i="86" s="1"/>
  <c r="AJ61" i="86"/>
  <c r="AG61" i="86"/>
  <c r="AH61" i="86"/>
  <c r="AI61" i="86"/>
  <c r="AK61" i="86"/>
  <c r="C445" i="66" l="1"/>
  <c r="Y60" i="86"/>
  <c r="AF60" i="86" s="1"/>
  <c r="AH60" i="86"/>
  <c r="AG60" i="86"/>
  <c r="AJ60" i="86"/>
  <c r="AK60" i="86"/>
  <c r="AI60" i="86"/>
  <c r="C446" i="66" l="1"/>
  <c r="Y59" i="86"/>
  <c r="AF59" i="86" s="1"/>
  <c r="AJ59" i="86"/>
  <c r="AG59" i="86"/>
  <c r="AK59" i="86"/>
  <c r="AI59" i="86"/>
  <c r="AH59" i="86"/>
  <c r="C447" i="66" l="1"/>
  <c r="Y58" i="86"/>
  <c r="AF58" i="86" s="1"/>
  <c r="AG58" i="86"/>
  <c r="AK58" i="86"/>
  <c r="AH58" i="86"/>
  <c r="AJ58" i="86"/>
  <c r="AI58" i="86"/>
  <c r="C448" i="66" l="1"/>
  <c r="Y57" i="86"/>
  <c r="AF57" i="86" s="1"/>
  <c r="AJ57" i="86"/>
  <c r="AH57" i="86"/>
  <c r="AK57" i="86"/>
  <c r="AI57" i="86"/>
  <c r="AG57" i="86"/>
  <c r="C449" i="66" l="1"/>
  <c r="Y56" i="86"/>
  <c r="AF56" i="86" s="1"/>
  <c r="AK56" i="86"/>
  <c r="AH56" i="86"/>
  <c r="AG56" i="86"/>
  <c r="AI56" i="86"/>
  <c r="AJ56" i="86"/>
  <c r="C450" i="66" l="1"/>
  <c r="Y55" i="86"/>
  <c r="AF55" i="86" s="1"/>
  <c r="AJ55" i="86"/>
  <c r="AH55" i="86"/>
  <c r="AK55" i="86"/>
  <c r="AI55" i="86"/>
  <c r="AG55" i="86"/>
  <c r="C451" i="66" l="1"/>
  <c r="Y54" i="86"/>
  <c r="AF54" i="86" s="1"/>
  <c r="AG54" i="86"/>
  <c r="AI54" i="86"/>
  <c r="AK54" i="86"/>
  <c r="AJ54" i="86"/>
  <c r="AH54" i="86"/>
  <c r="C452" i="66" l="1"/>
  <c r="Y53" i="86"/>
  <c r="AF53" i="86" s="1"/>
  <c r="AI53" i="86"/>
  <c r="AK53" i="86"/>
  <c r="AJ53" i="86"/>
  <c r="AH53" i="86"/>
  <c r="AG53" i="86"/>
  <c r="C453" i="66" l="1"/>
  <c r="Y52" i="86"/>
  <c r="AF52" i="86" s="1"/>
  <c r="AI52" i="86"/>
  <c r="AJ52" i="86"/>
  <c r="AG52" i="86"/>
  <c r="AK52" i="86"/>
  <c r="AH52" i="86"/>
  <c r="C454" i="66" l="1"/>
  <c r="Y51" i="86"/>
  <c r="AF51" i="86" s="1"/>
  <c r="AK51" i="86"/>
  <c r="AG51" i="86"/>
  <c r="AI51" i="86"/>
  <c r="AJ51" i="86"/>
  <c r="AH51" i="86"/>
  <c r="C455" i="66" l="1"/>
  <c r="Y50" i="86"/>
  <c r="AF50" i="86" s="1"/>
  <c r="AJ50" i="86"/>
  <c r="AK50" i="86"/>
  <c r="AG50" i="86"/>
  <c r="AH50" i="86"/>
  <c r="AI50" i="86"/>
  <c r="C456" i="66" l="1"/>
  <c r="Y49" i="86"/>
  <c r="AF49" i="86" s="1"/>
  <c r="AI49" i="86"/>
  <c r="AH49" i="86"/>
  <c r="AG49" i="86"/>
  <c r="AK49" i="86"/>
  <c r="AJ49" i="86"/>
  <c r="C457" i="66" l="1"/>
  <c r="Y48" i="86"/>
  <c r="AF48" i="86" s="1"/>
  <c r="AG48" i="86"/>
  <c r="AK48" i="86"/>
  <c r="AJ48" i="86"/>
  <c r="AH48" i="86"/>
  <c r="AI48" i="86"/>
  <c r="C458" i="66" l="1"/>
  <c r="Y47" i="86"/>
  <c r="AF47" i="86" s="1"/>
  <c r="AK47" i="86"/>
  <c r="AH47" i="86"/>
  <c r="AJ47" i="86"/>
  <c r="AI47" i="86"/>
  <c r="AG47" i="86"/>
  <c r="C459" i="66" l="1"/>
  <c r="Y46" i="86"/>
  <c r="AF46" i="86" s="1"/>
  <c r="AH46" i="86"/>
  <c r="AG46" i="86"/>
  <c r="AI46" i="86"/>
  <c r="AJ46" i="86"/>
  <c r="AK46" i="86"/>
  <c r="C460" i="66" l="1"/>
  <c r="Y45" i="86"/>
  <c r="AF45" i="86" s="1"/>
  <c r="AK45" i="86"/>
  <c r="AJ45" i="86"/>
  <c r="AI45" i="86"/>
  <c r="AG45" i="86"/>
  <c r="AH45" i="86"/>
  <c r="C461" i="66" l="1"/>
  <c r="Y44" i="86"/>
  <c r="AF44" i="86" s="1"/>
  <c r="AI44" i="86"/>
  <c r="AK44" i="86"/>
  <c r="AG44" i="86"/>
  <c r="AH44" i="86"/>
  <c r="AJ44" i="86"/>
  <c r="C462" i="66" l="1"/>
  <c r="Y43" i="86"/>
  <c r="AF43" i="86" s="1"/>
  <c r="AH43" i="86"/>
  <c r="AG43" i="86"/>
  <c r="AK43" i="86"/>
  <c r="AJ43" i="86"/>
  <c r="AI43" i="86"/>
  <c r="C463" i="66" l="1"/>
  <c r="Y42" i="86"/>
  <c r="AF42" i="86" s="1"/>
  <c r="AK42" i="86"/>
  <c r="AG42" i="86"/>
  <c r="AI42" i="86"/>
  <c r="AH42" i="86"/>
  <c r="AJ42" i="86"/>
  <c r="C464" i="66" l="1"/>
  <c r="Y41" i="86"/>
  <c r="AF41" i="86" s="1"/>
  <c r="AJ41" i="86"/>
  <c r="AH41" i="86"/>
  <c r="AI41" i="86"/>
  <c r="AG41" i="86"/>
  <c r="AK41" i="86"/>
  <c r="C465" i="66" l="1"/>
  <c r="Y40" i="86"/>
  <c r="AF40" i="86" s="1"/>
  <c r="AG40" i="86"/>
  <c r="AI40" i="86"/>
  <c r="AH40" i="86"/>
  <c r="AJ40" i="86"/>
  <c r="AK40" i="86"/>
  <c r="AD38" i="86"/>
  <c r="AC38" i="86"/>
  <c r="C466" i="66" l="1"/>
  <c r="Y39" i="86"/>
  <c r="AF39" i="86" s="1"/>
  <c r="AJ39" i="86"/>
  <c r="AH39" i="86"/>
  <c r="AI39" i="86"/>
  <c r="AG39" i="86"/>
  <c r="AK39" i="86"/>
  <c r="C467" i="66" l="1"/>
  <c r="Y38" i="86"/>
  <c r="AF38" i="86" s="1"/>
  <c r="AG38" i="86"/>
  <c r="AI38" i="86"/>
  <c r="AH38" i="86"/>
  <c r="AK38" i="86"/>
  <c r="AJ38" i="86"/>
  <c r="C468" i="66" l="1"/>
  <c r="Y37" i="86"/>
  <c r="AF37" i="86" s="1"/>
  <c r="AK37" i="86"/>
  <c r="AH37" i="86"/>
  <c r="AI37" i="86"/>
  <c r="AG37" i="86"/>
  <c r="AJ37" i="86"/>
  <c r="C469" i="66" l="1"/>
  <c r="Y36" i="86"/>
  <c r="AF36" i="86" s="1"/>
  <c r="AG36" i="86"/>
  <c r="AI36" i="86"/>
  <c r="AH36" i="86"/>
  <c r="AJ36" i="86"/>
  <c r="AK36" i="86"/>
  <c r="C470" i="66" l="1"/>
  <c r="Y35" i="86"/>
  <c r="AF35" i="86" s="1"/>
  <c r="AJ35" i="86"/>
  <c r="AH35" i="86"/>
  <c r="AI35" i="86"/>
  <c r="AG35" i="86"/>
  <c r="AK35" i="86"/>
  <c r="C471" i="66" l="1"/>
  <c r="Y34" i="86"/>
  <c r="AF34" i="86" s="1"/>
  <c r="AK34" i="86"/>
  <c r="AG34" i="86"/>
  <c r="AI34" i="86"/>
  <c r="AH34" i="86"/>
  <c r="AJ34" i="86"/>
  <c r="C472" i="66" l="1"/>
  <c r="Y33" i="86"/>
  <c r="AF33" i="86" s="1"/>
  <c r="AG33" i="86"/>
  <c r="AH33" i="86"/>
  <c r="AI33" i="86"/>
  <c r="AJ33" i="86"/>
  <c r="AK33" i="86"/>
  <c r="C473" i="66" l="1"/>
  <c r="Y32" i="86"/>
  <c r="AF32" i="86" s="1"/>
  <c r="AI32" i="86"/>
  <c r="AH32" i="86"/>
  <c r="AG32" i="86"/>
  <c r="AK32" i="86"/>
  <c r="AJ32" i="86"/>
  <c r="C474" i="66" l="1"/>
  <c r="Y31" i="86"/>
  <c r="AF31" i="86" s="1"/>
  <c r="AG31" i="86"/>
  <c r="AH31" i="86"/>
  <c r="AK31" i="86"/>
  <c r="AJ31" i="86"/>
  <c r="AI31" i="86"/>
  <c r="C475" i="66" l="1"/>
  <c r="Y30" i="86"/>
  <c r="AF30" i="86" s="1"/>
  <c r="AK30" i="86"/>
  <c r="AJ30" i="86"/>
  <c r="AH30" i="86"/>
  <c r="AI30" i="86"/>
  <c r="AG30" i="86"/>
  <c r="C476" i="66" l="1"/>
  <c r="Y29" i="86"/>
  <c r="AF29" i="86" s="1"/>
  <c r="AH29" i="86"/>
  <c r="AK29" i="86"/>
  <c r="AJ29" i="86"/>
  <c r="AG29" i="86"/>
  <c r="AI29" i="86"/>
  <c r="C477" i="66" l="1"/>
  <c r="Y28" i="86"/>
  <c r="AF28" i="86" s="1"/>
  <c r="AG28" i="86"/>
  <c r="AJ28" i="86"/>
  <c r="AK28" i="86"/>
  <c r="AH28" i="86"/>
  <c r="AI28" i="86"/>
  <c r="C478" i="66" l="1"/>
  <c r="Y27" i="86"/>
  <c r="AF27" i="86" s="1"/>
  <c r="AH27" i="86"/>
  <c r="AK27" i="86"/>
  <c r="AJ27" i="86"/>
  <c r="AI27" i="86"/>
  <c r="AG27" i="86"/>
  <c r="C479" i="66" l="1"/>
  <c r="Y26" i="86"/>
  <c r="AF26" i="86" s="1"/>
  <c r="AH26" i="86"/>
  <c r="AG26" i="86"/>
  <c r="AI26" i="86"/>
  <c r="AJ26" i="86"/>
  <c r="AK26" i="86"/>
  <c r="C480" i="66" l="1"/>
  <c r="Y25" i="86"/>
  <c r="AF25" i="86" s="1"/>
  <c r="AJ25" i="86"/>
  <c r="AI25" i="86"/>
  <c r="AG25" i="86"/>
  <c r="AH25" i="86"/>
  <c r="AK25" i="86"/>
  <c r="C481" i="66" l="1"/>
  <c r="Y24" i="86"/>
  <c r="AF24" i="86" s="1"/>
  <c r="AJ24" i="86"/>
  <c r="AH24" i="86"/>
  <c r="AG24" i="86"/>
  <c r="AI24" i="86"/>
  <c r="AK24" i="86"/>
  <c r="C482" i="66" l="1"/>
  <c r="Y23" i="86"/>
  <c r="AF23" i="86" s="1"/>
  <c r="AK23" i="86"/>
  <c r="AI23" i="86"/>
  <c r="AG23" i="86"/>
  <c r="AH23" i="86"/>
  <c r="AJ23" i="86"/>
  <c r="C483" i="66" l="1"/>
  <c r="Y22" i="86"/>
  <c r="AF22" i="86" s="1"/>
  <c r="AJ22" i="86"/>
  <c r="AH22" i="86"/>
  <c r="AI22" i="86"/>
  <c r="AG22" i="86"/>
  <c r="AK22" i="86"/>
  <c r="C484" i="66" l="1"/>
  <c r="Y21" i="86"/>
  <c r="AF21" i="86" s="1"/>
  <c r="AJ21" i="86"/>
  <c r="AH21" i="86"/>
  <c r="AG21" i="86"/>
  <c r="AI21" i="86"/>
  <c r="AK21" i="86"/>
  <c r="C485" i="66" l="1"/>
  <c r="Y20" i="86"/>
  <c r="AF20" i="86" s="1"/>
  <c r="AK20" i="86"/>
  <c r="AI20" i="86"/>
  <c r="AG20" i="86"/>
  <c r="AJ20" i="86"/>
  <c r="AH20" i="86"/>
  <c r="C486" i="66" l="1"/>
  <c r="Y19" i="86"/>
  <c r="AF19" i="86" s="1"/>
  <c r="AJ19" i="86"/>
  <c r="AG19" i="86"/>
  <c r="AI19" i="86"/>
  <c r="AH19" i="86"/>
  <c r="AK19" i="86"/>
  <c r="C487" i="66" l="1"/>
  <c r="Y18" i="86"/>
  <c r="AF18" i="86" s="1"/>
  <c r="AI18" i="86"/>
  <c r="AH18" i="86"/>
  <c r="AG18" i="86"/>
  <c r="AJ18" i="86"/>
  <c r="AK18" i="86"/>
  <c r="C488" i="66" l="1"/>
  <c r="Y17" i="86"/>
  <c r="AF17" i="86" s="1"/>
  <c r="AJ17" i="86"/>
  <c r="AG17" i="86"/>
  <c r="AH17" i="86"/>
  <c r="AK17" i="86"/>
  <c r="AI17" i="86"/>
  <c r="C489" i="66" l="1"/>
  <c r="Y16" i="86"/>
  <c r="AF16" i="86" s="1"/>
  <c r="AH16" i="86"/>
  <c r="AJ16" i="86"/>
  <c r="AI16" i="86"/>
  <c r="AK16" i="86"/>
  <c r="AG16" i="86"/>
  <c r="C490" i="66" l="1"/>
  <c r="Y15" i="86"/>
  <c r="AF15" i="86" s="1"/>
  <c r="AH15" i="86"/>
  <c r="AK15" i="86"/>
  <c r="AI15" i="86"/>
  <c r="AJ15" i="86"/>
  <c r="AG15" i="86"/>
  <c r="C491" i="66" l="1"/>
  <c r="Y14" i="86"/>
  <c r="AF14" i="86" s="1"/>
  <c r="AI14" i="86"/>
  <c r="AG14" i="86"/>
  <c r="AJ14" i="86"/>
  <c r="AK14" i="86"/>
  <c r="AH14" i="86"/>
  <c r="C492" i="66" l="1"/>
  <c r="Y13" i="86"/>
  <c r="AF13" i="86" s="1"/>
  <c r="AK13" i="86"/>
  <c r="AJ13" i="86"/>
  <c r="AG13" i="86"/>
  <c r="AH13" i="86"/>
  <c r="AI13" i="86"/>
  <c r="C493" i="66" l="1"/>
  <c r="Y12" i="86"/>
  <c r="AF12" i="86" s="1"/>
  <c r="AH12" i="86"/>
  <c r="AG12" i="86"/>
  <c r="AJ12" i="86"/>
  <c r="AI12" i="86"/>
  <c r="AK12" i="86"/>
  <c r="C494" i="66" l="1"/>
  <c r="Y11" i="86"/>
  <c r="AF11" i="86" s="1"/>
  <c r="AG11" i="86"/>
  <c r="AJ11" i="86"/>
  <c r="AK11" i="86"/>
  <c r="AH11" i="86"/>
  <c r="AI11" i="86"/>
  <c r="C495" i="66" l="1"/>
  <c r="Y10" i="86"/>
  <c r="AF10" i="86" s="1"/>
  <c r="AJ10" i="86"/>
  <c r="AH10" i="86"/>
  <c r="AK10" i="86"/>
  <c r="AG10" i="86"/>
  <c r="AI10" i="86"/>
  <c r="C496" i="66" l="1"/>
  <c r="Y9" i="86"/>
  <c r="AF9" i="86" s="1"/>
  <c r="AG9" i="86"/>
  <c r="AH9" i="86"/>
  <c r="AK9" i="86"/>
  <c r="AI9" i="86"/>
  <c r="AJ9" i="86"/>
  <c r="C497" i="66" l="1"/>
  <c r="Y8" i="86"/>
  <c r="AF8" i="86" s="1"/>
  <c r="AK8" i="86"/>
  <c r="AH8" i="86"/>
  <c r="AG8" i="86"/>
  <c r="AJ8" i="86"/>
  <c r="AI8" i="86"/>
  <c r="C498" i="66" l="1"/>
  <c r="Y7" i="86"/>
  <c r="AF7" i="86" s="1"/>
  <c r="AG7" i="86"/>
  <c r="AJ7" i="86"/>
  <c r="AH7" i="86"/>
  <c r="AK7" i="86"/>
  <c r="AI7" i="86"/>
  <c r="C499" i="66" l="1"/>
  <c r="Y6" i="86"/>
  <c r="AF6" i="86" s="1"/>
  <c r="AK6" i="86"/>
  <c r="AJ6" i="86"/>
  <c r="AH6" i="86"/>
  <c r="AI6" i="86"/>
  <c r="AG6" i="86"/>
  <c r="C500" i="66" l="1"/>
  <c r="Y5" i="86"/>
  <c r="AF5" i="86" s="1"/>
  <c r="AJ5" i="86"/>
  <c r="AG5" i="86"/>
  <c r="AH5" i="86"/>
  <c r="AI5" i="86"/>
  <c r="AK5" i="86"/>
  <c r="C501" i="66" l="1"/>
  <c r="C502" i="66" l="1"/>
  <c r="C503" i="66" l="1"/>
  <c r="C504" i="66" l="1"/>
  <c r="C505" i="66" l="1"/>
  <c r="C506" i="66" l="1"/>
  <c r="C507" i="66" l="1"/>
  <c r="C508" i="66" l="1"/>
  <c r="C509" i="66" l="1"/>
  <c r="C510" i="66" l="1"/>
  <c r="C511" i="66" l="1"/>
  <c r="C512" i="66" l="1"/>
  <c r="C513" i="66" l="1"/>
  <c r="C514" i="66" l="1"/>
  <c r="C515" i="66" l="1"/>
  <c r="C516" i="66" l="1"/>
  <c r="C517" i="66" l="1"/>
  <c r="C518" i="66" l="1"/>
  <c r="C519" i="66" l="1"/>
  <c r="C520" i="66" l="1"/>
  <c r="C521" i="66" l="1"/>
  <c r="C522" i="66" l="1"/>
  <c r="C523" i="66" l="1"/>
  <c r="C524" i="66" l="1"/>
  <c r="C525" i="66" l="1"/>
  <c r="C526" i="66" l="1"/>
  <c r="C527" i="66" l="1"/>
  <c r="C528" i="66" l="1"/>
  <c r="C529" i="66" l="1"/>
  <c r="C530" i="66" l="1"/>
  <c r="C531" i="66" l="1"/>
  <c r="C532" i="66" l="1"/>
  <c r="C533" i="66" l="1"/>
  <c r="C534" i="66" l="1"/>
  <c r="C535" i="66" l="1"/>
  <c r="C536" i="66" l="1"/>
  <c r="C537" i="66" l="1"/>
  <c r="C538" i="66" l="1"/>
  <c r="C539" i="66" l="1"/>
  <c r="C540" i="66" l="1"/>
  <c r="C541" i="66" l="1"/>
  <c r="C542" i="66" l="1"/>
  <c r="C543" i="66" l="1"/>
  <c r="C544" i="66" l="1"/>
  <c r="C545" i="66" l="1"/>
  <c r="C546" i="66" l="1"/>
  <c r="C547" i="66" l="1"/>
  <c r="C548" i="66" l="1"/>
  <c r="C549" i="66" l="1"/>
  <c r="C550" i="66" l="1"/>
  <c r="C551" i="66" l="1"/>
  <c r="C552" i="66" l="1"/>
  <c r="C553" i="66" l="1"/>
  <c r="C554" i="66" l="1"/>
  <c r="C555" i="66" l="1"/>
  <c r="C556" i="66" l="1"/>
  <c r="C557" i="66" l="1"/>
  <c r="C558" i="66" l="1"/>
  <c r="D193" i="66" l="1"/>
  <c r="E193" i="66" s="1"/>
  <c r="AF170" i="78"/>
  <c r="AL170" i="78"/>
  <c r="Z170" i="78"/>
  <c r="M14" i="83" l="1"/>
  <c r="Z159" i="78" s="1"/>
  <c r="M13" i="83"/>
  <c r="AF159" i="78" s="1"/>
  <c r="D17" i="6"/>
  <c r="E16" i="6" s="1"/>
  <c r="E22" i="6"/>
  <c r="D14" i="6" l="1"/>
  <c r="D39" i="6" s="1"/>
  <c r="D23" i="6"/>
  <c r="F22" i="6"/>
  <c r="E25" i="6"/>
  <c r="E23" i="6"/>
  <c r="E17" i="6"/>
  <c r="F16" i="6" s="1"/>
  <c r="E19" i="6"/>
  <c r="E39" i="6" l="1"/>
  <c r="AC149" i="78" s="1"/>
  <c r="F19" i="6"/>
  <c r="F17" i="6"/>
  <c r="G16" i="6" s="1"/>
  <c r="F23" i="6"/>
  <c r="G22" i="6"/>
  <c r="F25" i="6"/>
  <c r="AD149" i="78" l="1"/>
  <c r="AB149" i="78"/>
  <c r="AE149" i="78"/>
  <c r="F39" i="6"/>
  <c r="AH149" i="78" s="1"/>
  <c r="Y149" i="78"/>
  <c r="X149" i="78"/>
  <c r="H22" i="6"/>
  <c r="G25" i="6"/>
  <c r="G23" i="6"/>
  <c r="G19" i="6"/>
  <c r="G17" i="6"/>
  <c r="H16" i="6" s="1"/>
  <c r="G39" i="6" l="1"/>
  <c r="AJ149" i="78" s="1"/>
  <c r="H19" i="6"/>
  <c r="H17" i="6"/>
  <c r="X150" i="78"/>
  <c r="AB150" i="78"/>
  <c r="AB152" i="78" s="1"/>
  <c r="AC150" i="78"/>
  <c r="AC152" i="78" s="1"/>
  <c r="AH150" i="78"/>
  <c r="AH152" i="78" s="1"/>
  <c r="Y150" i="78"/>
  <c r="AE150" i="78"/>
  <c r="AE152" i="78" s="1"/>
  <c r="AD150" i="78"/>
  <c r="AD152" i="78" s="1"/>
  <c r="H23" i="6"/>
  <c r="H25" i="6"/>
  <c r="AJ150" i="78" l="1"/>
  <c r="AJ152" i="78" s="1"/>
  <c r="H39" i="6"/>
  <c r="AL149" i="78" s="1"/>
  <c r="AL161" i="78" s="1"/>
  <c r="AL150" i="78" l="1"/>
  <c r="AL162" i="78" s="1"/>
  <c r="AF162" i="78" l="1"/>
  <c r="Z162" i="78"/>
  <c r="AL152" i="78"/>
  <c r="D194" i="66" l="1"/>
  <c r="D195" i="66"/>
  <c r="D196" i="66"/>
  <c r="D197" i="66"/>
  <c r="D198" i="66"/>
  <c r="D199" i="66"/>
  <c r="D200" i="66"/>
  <c r="D201" i="66"/>
  <c r="D202" i="66"/>
  <c r="D203" i="66"/>
  <c r="D204" i="66"/>
  <c r="D205" i="66"/>
  <c r="D206" i="66"/>
  <c r="D207" i="66"/>
  <c r="D208" i="66"/>
  <c r="D209" i="66"/>
  <c r="D210" i="66"/>
  <c r="D211" i="66"/>
  <c r="D212" i="66"/>
  <c r="D213" i="66"/>
  <c r="D214" i="66"/>
  <c r="D215" i="66"/>
  <c r="D216" i="66"/>
  <c r="D217" i="66"/>
  <c r="D218" i="66"/>
  <c r="D219" i="66"/>
  <c r="D220" i="66"/>
  <c r="D221" i="66"/>
  <c r="D222" i="66"/>
  <c r="D223" i="66"/>
  <c r="D224" i="66"/>
  <c r="D225" i="66"/>
  <c r="D226" i="66"/>
  <c r="D227" i="66"/>
  <c r="D228" i="66"/>
  <c r="D229" i="66"/>
  <c r="D230" i="66"/>
  <c r="D231" i="66"/>
  <c r="D232" i="66"/>
  <c r="D233" i="66"/>
  <c r="D234" i="66"/>
  <c r="D235" i="66"/>
  <c r="D236" i="66"/>
  <c r="D237" i="66"/>
  <c r="D238" i="66"/>
  <c r="D239" i="66"/>
  <c r="D240" i="66"/>
  <c r="D241" i="66"/>
  <c r="D242" i="66"/>
  <c r="D243" i="66"/>
  <c r="D244" i="66"/>
  <c r="D245" i="66"/>
  <c r="D246" i="66"/>
  <c r="D247" i="66"/>
  <c r="D248" i="66"/>
  <c r="D249" i="66"/>
  <c r="D250" i="66"/>
  <c r="D251" i="66"/>
  <c r="D252" i="66"/>
  <c r="D253" i="66"/>
  <c r="D254" i="66"/>
  <c r="D255" i="66"/>
  <c r="D256" i="66"/>
  <c r="D257" i="66"/>
  <c r="D258" i="66"/>
  <c r="D259" i="66"/>
  <c r="D260" i="66"/>
  <c r="D261" i="66"/>
  <c r="D262" i="66"/>
  <c r="D263" i="66"/>
  <c r="D264" i="66"/>
  <c r="D265" i="66"/>
  <c r="D266" i="66"/>
  <c r="D267" i="66"/>
  <c r="D268" i="66"/>
  <c r="D269" i="66"/>
  <c r="D270" i="66"/>
  <c r="D271" i="66"/>
  <c r="D272" i="66"/>
  <c r="D273" i="66"/>
  <c r="D274" i="66"/>
  <c r="D275" i="66"/>
  <c r="D276" i="66"/>
  <c r="D277" i="66"/>
  <c r="D278" i="66"/>
  <c r="D279" i="66"/>
  <c r="D280" i="66"/>
  <c r="D281" i="66"/>
  <c r="D282" i="66"/>
  <c r="D283" i="66"/>
  <c r="D284" i="66"/>
  <c r="D285" i="66"/>
  <c r="D286" i="66"/>
  <c r="D287" i="66"/>
  <c r="D288" i="66"/>
  <c r="D289" i="66"/>
  <c r="D290" i="66"/>
  <c r="D291" i="66"/>
  <c r="D292" i="66"/>
  <c r="D293" i="66"/>
  <c r="D294" i="66"/>
  <c r="D295" i="66"/>
  <c r="D296" i="66"/>
  <c r="D297" i="66"/>
  <c r="D298" i="66"/>
  <c r="D299" i="66"/>
  <c r="D300" i="66"/>
  <c r="D301" i="66"/>
  <c r="D302" i="66"/>
  <c r="D303" i="66"/>
  <c r="D304" i="66"/>
  <c r="D305" i="66"/>
  <c r="D306" i="66"/>
  <c r="D307" i="66"/>
  <c r="D308" i="66"/>
  <c r="D309" i="66"/>
  <c r="D310" i="66"/>
  <c r="D311" i="66"/>
  <c r="D312" i="66"/>
  <c r="D313" i="66"/>
  <c r="D314" i="66"/>
  <c r="D315" i="66"/>
  <c r="D316" i="66"/>
  <c r="D317" i="66"/>
  <c r="D318" i="66"/>
  <c r="D319" i="66"/>
  <c r="D320" i="66"/>
  <c r="D321" i="66"/>
  <c r="D322" i="66"/>
  <c r="D323" i="66"/>
  <c r="D324" i="66"/>
  <c r="D325" i="66"/>
  <c r="D326" i="66"/>
  <c r="D327" i="66"/>
  <c r="D328" i="66"/>
  <c r="D329" i="66"/>
  <c r="D330" i="66"/>
  <c r="D331" i="66"/>
  <c r="D332" i="66"/>
  <c r="D333" i="66"/>
  <c r="D334" i="66"/>
  <c r="D335" i="66"/>
  <c r="D336" i="66"/>
  <c r="D337" i="66"/>
  <c r="D338" i="66"/>
  <c r="D339" i="66"/>
  <c r="D340" i="66"/>
  <c r="D341" i="66"/>
  <c r="D342" i="66"/>
  <c r="D343" i="66"/>
  <c r="D344" i="66"/>
  <c r="D345" i="66"/>
  <c r="D346" i="66"/>
  <c r="D347" i="66"/>
  <c r="D348" i="66"/>
  <c r="D349" i="66"/>
  <c r="D350" i="66"/>
  <c r="D351" i="66"/>
  <c r="D352" i="66"/>
  <c r="D353" i="66"/>
  <c r="D354" i="66"/>
  <c r="D355" i="66"/>
  <c r="D356" i="66"/>
  <c r="D357" i="66"/>
  <c r="D358" i="66"/>
  <c r="D359" i="66"/>
  <c r="D360" i="66"/>
  <c r="D361" i="66"/>
  <c r="D362" i="66"/>
  <c r="D363" i="66"/>
  <c r="D364" i="66"/>
  <c r="D365" i="66"/>
  <c r="D366" i="66"/>
  <c r="D367" i="66"/>
  <c r="D368" i="66"/>
  <c r="D369" i="66"/>
  <c r="D370" i="66"/>
  <c r="D371" i="66"/>
  <c r="D372" i="66"/>
  <c r="D373" i="66"/>
  <c r="D374" i="66"/>
  <c r="D375" i="66"/>
  <c r="D376" i="66"/>
  <c r="D377" i="66"/>
  <c r="D378" i="66"/>
  <c r="D379" i="66"/>
  <c r="D380" i="66"/>
  <c r="D381" i="66"/>
  <c r="D382" i="66"/>
  <c r="D383" i="66"/>
  <c r="D384" i="66"/>
  <c r="D385" i="66"/>
  <c r="D386" i="66"/>
  <c r="D387" i="66"/>
  <c r="D388" i="66"/>
  <c r="D389" i="66"/>
  <c r="D390" i="66"/>
  <c r="D391" i="66"/>
  <c r="D392" i="66"/>
  <c r="D393" i="66"/>
  <c r="D394" i="66"/>
  <c r="D395" i="66"/>
  <c r="D396" i="66"/>
  <c r="D397" i="66"/>
  <c r="D398" i="66"/>
  <c r="D399" i="66"/>
  <c r="D400" i="66"/>
  <c r="D401" i="66"/>
  <c r="D402" i="66"/>
  <c r="D403" i="66"/>
  <c r="D404" i="66"/>
  <c r="D405" i="66"/>
  <c r="D406" i="66"/>
  <c r="D407" i="66"/>
  <c r="D408" i="66"/>
  <c r="D409" i="66"/>
  <c r="D410" i="66"/>
  <c r="D411" i="66"/>
  <c r="D412" i="66"/>
  <c r="D413" i="66"/>
  <c r="D414" i="66"/>
  <c r="D415" i="66"/>
  <c r="D416" i="66"/>
  <c r="D417" i="66"/>
  <c r="D418" i="66"/>
  <c r="D419" i="66"/>
  <c r="D420" i="66"/>
  <c r="D421" i="66"/>
  <c r="D422" i="66"/>
  <c r="D423" i="66"/>
  <c r="D424" i="66"/>
  <c r="D425" i="66"/>
  <c r="D426" i="66"/>
  <c r="D427" i="66"/>
  <c r="D428" i="66"/>
  <c r="D429" i="66"/>
  <c r="D430" i="66"/>
  <c r="D431" i="66"/>
  <c r="D432" i="66"/>
  <c r="D433" i="66"/>
  <c r="D434" i="66"/>
  <c r="D435" i="66"/>
  <c r="D436" i="66"/>
  <c r="D437" i="66"/>
  <c r="D438" i="66"/>
  <c r="D439" i="66"/>
  <c r="D440" i="66"/>
  <c r="D441" i="66"/>
  <c r="D442" i="66"/>
  <c r="D443" i="66"/>
  <c r="D444" i="66"/>
  <c r="D445" i="66"/>
  <c r="D446" i="66"/>
  <c r="D447" i="66"/>
  <c r="D448" i="66"/>
  <c r="D449" i="66"/>
  <c r="D450" i="66"/>
  <c r="D451" i="66"/>
  <c r="D452" i="66"/>
  <c r="D453" i="66"/>
  <c r="D454" i="66"/>
  <c r="D455" i="66"/>
  <c r="D456" i="66"/>
  <c r="D457" i="66"/>
  <c r="D458" i="66"/>
  <c r="D459" i="66"/>
  <c r="D460" i="66"/>
  <c r="D461" i="66"/>
  <c r="D462" i="66"/>
  <c r="D463" i="66"/>
  <c r="D464" i="66"/>
  <c r="D465" i="66"/>
  <c r="D466" i="66"/>
  <c r="D467" i="66"/>
  <c r="D468" i="66"/>
  <c r="D469" i="66"/>
  <c r="D470" i="66"/>
  <c r="D471" i="66"/>
  <c r="D472" i="66"/>
  <c r="D473" i="66"/>
  <c r="D474" i="66"/>
  <c r="D475" i="66"/>
  <c r="D476" i="66"/>
  <c r="D477" i="66"/>
  <c r="D478" i="66"/>
  <c r="D479" i="66"/>
  <c r="D480" i="66"/>
  <c r="D481" i="66"/>
  <c r="D482" i="66"/>
  <c r="D483" i="66"/>
  <c r="D484" i="66"/>
  <c r="D485" i="66"/>
  <c r="D486" i="66"/>
  <c r="D487" i="66"/>
  <c r="D488" i="66"/>
  <c r="D489" i="66"/>
  <c r="D490" i="66"/>
  <c r="D491" i="66"/>
  <c r="D492" i="66"/>
  <c r="D493" i="66"/>
  <c r="D494" i="66"/>
  <c r="D495" i="66"/>
  <c r="D496" i="66"/>
  <c r="D497" i="66"/>
  <c r="D498" i="66"/>
  <c r="D499" i="66"/>
  <c r="D500" i="66"/>
  <c r="D501" i="66"/>
  <c r="D502" i="66"/>
  <c r="D503" i="66"/>
  <c r="D504" i="66"/>
  <c r="D505" i="66"/>
  <c r="D506" i="66"/>
  <c r="D507" i="66"/>
  <c r="D508" i="66"/>
  <c r="D509" i="66"/>
  <c r="D510" i="66"/>
  <c r="D511" i="66"/>
  <c r="D512" i="66"/>
  <c r="D513" i="66"/>
  <c r="D514" i="66"/>
  <c r="D515" i="66"/>
  <c r="D516" i="66"/>
  <c r="D517" i="66"/>
  <c r="D518" i="66"/>
  <c r="D519" i="66"/>
  <c r="D520" i="66"/>
  <c r="D521" i="66"/>
  <c r="D522" i="66"/>
  <c r="D523" i="66"/>
  <c r="D524" i="66"/>
  <c r="D525" i="66"/>
  <c r="D526" i="66"/>
  <c r="D527" i="66"/>
  <c r="D528" i="66"/>
  <c r="D529" i="66"/>
  <c r="D530" i="66"/>
  <c r="D531" i="66"/>
  <c r="D532" i="66"/>
  <c r="D533" i="66"/>
  <c r="D534" i="66"/>
  <c r="D535" i="66"/>
  <c r="D536" i="66"/>
  <c r="D537" i="66"/>
  <c r="D538" i="66"/>
  <c r="D539" i="66"/>
  <c r="D540" i="66"/>
  <c r="D541" i="66"/>
  <c r="D542" i="66"/>
  <c r="D543" i="66"/>
  <c r="D544" i="66"/>
  <c r="D545" i="66"/>
  <c r="D546" i="66"/>
  <c r="D547" i="66"/>
  <c r="D548" i="66"/>
  <c r="D549" i="66"/>
  <c r="D550" i="66"/>
  <c r="D551" i="66"/>
  <c r="D552" i="66"/>
  <c r="D553" i="66"/>
  <c r="D554" i="66"/>
  <c r="D555" i="66"/>
  <c r="D556" i="66"/>
  <c r="D557" i="66"/>
  <c r="D558" i="66"/>
  <c r="X94" i="78"/>
  <c r="X128" i="78" l="1"/>
  <c r="X49" i="78"/>
  <c r="X126" i="78" l="1"/>
  <c r="Y94" i="78"/>
  <c r="Y49" i="78" s="1"/>
  <c r="X136" i="78" l="1"/>
  <c r="X152" i="78" s="1"/>
  <c r="X112" i="78"/>
  <c r="Z49" i="78"/>
  <c r="Z50" i="78" s="1"/>
  <c r="Z94" i="78"/>
  <c r="Y128" i="78"/>
  <c r="Z61" i="78" l="1"/>
  <c r="Z122" i="78" s="1"/>
  <c r="Y122" i="78"/>
  <c r="Y126" i="78" s="1"/>
  <c r="Z126" i="78" s="1"/>
  <c r="Z128" i="78"/>
  <c r="Z95" i="78"/>
  <c r="Z136" i="78" l="1"/>
  <c r="AV16" i="78"/>
  <c r="Z62" i="78"/>
  <c r="Y136" i="78"/>
  <c r="Y152" i="78" s="1"/>
  <c r="Y112" i="78"/>
  <c r="Z112" i="78" s="1"/>
  <c r="AL163" i="78" l="1"/>
  <c r="AL167" i="78" s="1"/>
  <c r="AL169" i="78" s="1"/>
  <c r="Z163" i="78"/>
  <c r="Z167" i="78" s="1"/>
  <c r="Z169" i="78" s="1"/>
  <c r="AF163" i="78"/>
  <c r="AF167" i="78" s="1"/>
  <c r="AF169" i="78" s="1"/>
  <c r="AV17" i="78"/>
  <c r="D41" i="6"/>
  <c r="Z113" i="78"/>
  <c r="D42" i="6"/>
  <c r="D43" i="6" l="1"/>
  <c r="Z171" i="78"/>
  <c r="T34" i="91"/>
  <c r="AF171" i="78"/>
  <c r="R162" i="78" s="1"/>
  <c r="T35" i="91"/>
  <c r="L160" i="66"/>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T33" i="91"/>
  <c r="AL171" i="78"/>
  <c r="X40" i="91" l="1" a="1"/>
  <c r="X40" i="91" s="1"/>
  <c r="Y38" i="91" a="1"/>
  <c r="Y38" i="91" s="1"/>
  <c r="Y41" i="91" a="1"/>
  <c r="Y41" i="91" s="1"/>
  <c r="Y39" i="91" a="1"/>
  <c r="Y39" i="91" s="1"/>
  <c r="E43" i="6"/>
  <c r="D44" i="6"/>
  <c r="D45" i="6" s="1"/>
  <c r="R163" i="78"/>
  <c r="R164" i="78"/>
  <c r="Y40" i="91" l="1" a="1"/>
  <c r="Y40" i="91" s="1"/>
  <c r="Z40" i="91" s="1"/>
  <c r="X41" i="91" a="1"/>
  <c r="X41" i="91" s="1"/>
  <c r="Z41" i="91" s="1"/>
  <c r="X39" i="91" a="1"/>
  <c r="X39" i="91" s="1"/>
  <c r="Z39" i="91" s="1"/>
  <c r="X43" i="91" a="1"/>
  <c r="X43" i="91" s="1"/>
  <c r="X44" i="91" a="1"/>
  <c r="X44" i="91" s="1"/>
  <c r="Y44" i="91" a="1"/>
  <c r="Y44" i="91" s="1"/>
  <c r="Y42" i="91" a="1"/>
  <c r="Y42" i="91" s="1"/>
  <c r="X38" i="91" a="1"/>
  <c r="X38" i="91" s="1"/>
  <c r="Z38" i="91" s="1"/>
  <c r="Y43" i="91" a="1"/>
  <c r="Y43" i="91" s="1"/>
  <c r="F43" i="6"/>
  <c r="E44" i="6"/>
  <c r="E45" i="6" s="1"/>
  <c r="Z42" i="91" l="1"/>
  <c r="Z43" i="91"/>
  <c r="Z44" i="91"/>
  <c r="G43" i="6"/>
  <c r="F44" i="6"/>
  <c r="F45" i="6" s="1"/>
  <c r="AD28" i="91" l="1" a="1"/>
  <c r="AD28" i="91" s="1"/>
  <c r="G44" i="6"/>
  <c r="G45" i="6" s="1"/>
  <c r="H43" i="6"/>
  <c r="H44" i="6" s="1"/>
  <c r="H45"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Inês Francisco Ferreira</author>
  </authors>
  <commentList>
    <comment ref="L12" authorId="0" shapeId="0" xr:uid="{8E16B023-D507-4A07-8C6F-5226B18C0883}">
      <text>
        <r>
          <rPr>
            <sz val="11"/>
            <color rgb="FF000000"/>
            <rFont val="Arial"/>
            <family val="2"/>
          </rPr>
          <t xml:space="preserve">Maria Inês Francisco Ferreira:
</t>
        </r>
        <r>
          <rPr>
            <sz val="11"/>
            <color rgb="FF000000"/>
            <rFont val="Arial"/>
            <family val="2"/>
          </rPr>
          <t xml:space="preserve">até 2032
</t>
        </r>
      </text>
    </comment>
    <comment ref="K14" authorId="0" shapeId="0" xr:uid="{09A28F9A-8FFA-4BD2-825D-41053083DCFC}">
      <text>
        <r>
          <rPr>
            <sz val="11"/>
            <color theme="1"/>
            <rFont val="Arial"/>
            <family val="2"/>
          </rPr>
          <t>Maria Inês Francisco Ferreira:
trillion</t>
        </r>
      </text>
    </comment>
    <comment ref="L16" authorId="0" shapeId="0" xr:uid="{552941BE-2822-4493-8C3D-63F4AA011063}">
      <text>
        <r>
          <rPr>
            <sz val="11"/>
            <color theme="1"/>
            <rFont val="Arial"/>
            <family val="2"/>
          </rPr>
          <t xml:space="preserve">Maria Inês Francisco Ferreira:
2032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Inês Francisco Ferreira</author>
  </authors>
  <commentList>
    <comment ref="B13" authorId="0" shapeId="0" xr:uid="{11EE93BA-CE78-485C-9BC2-050ADC2ADD00}">
      <text>
        <r>
          <rPr>
            <sz val="11"/>
            <color theme="1"/>
            <rFont val="Arial"/>
            <family val="2"/>
          </rPr>
          <t xml:space="preserve">Maria Inês Francisco Ferreira:
OppFi operates as a single reportable segment, focused on financial services through its consumer lending platform.
</t>
        </r>
      </text>
    </comment>
    <comment ref="B22" authorId="0" shapeId="0" xr:uid="{07EA941B-F48C-435A-9EDB-0AD3BDB6C3F4}">
      <text>
        <r>
          <rPr>
            <sz val="11"/>
            <color theme="1"/>
            <rFont val="Arial"/>
            <family val="2"/>
          </rPr>
          <t xml:space="preserve">Maria Inês Francisco Ferreira:
No longer accepting applications for these product
</t>
        </r>
      </text>
    </comment>
    <comment ref="B23" authorId="0" shapeId="0" xr:uid="{E04EE14E-83A0-4A58-8457-86636ED34E5F}">
      <text>
        <r>
          <rPr>
            <sz val="11"/>
            <color theme="1"/>
            <rFont val="Arial"/>
            <family val="2"/>
          </rPr>
          <t xml:space="preserve">Maria Inês Francisco Ferreira:
No longer accepting applications for these product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João Francisco da Silva Garcia</author>
  </authors>
  <commentList>
    <comment ref="B14" authorId="0" shapeId="0" xr:uid="{927693EF-DFF4-4ECC-B500-D0C9207B3321}">
      <text>
        <r>
          <rPr>
            <sz val="11"/>
            <color theme="1"/>
            <rFont val="Arial"/>
            <family val="2"/>
          </rPr>
          <t>Capability of generating more or less revenue trough interest or other taxes</t>
        </r>
      </text>
    </comment>
    <comment ref="B16" authorId="0" shapeId="0" xr:uid="{FFBDD70D-F3E8-4249-885C-9DB4D46D0EBA}">
      <text>
        <r>
          <rPr>
            <sz val="11"/>
            <color theme="1"/>
            <rFont val="Arial"/>
            <family val="2"/>
          </rPr>
          <t>Highly sensitive to default rates and funding cost</t>
        </r>
      </text>
    </comment>
    <comment ref="B19" authorId="0" shapeId="0" xr:uid="{225C3741-1E57-4D8B-84EB-2496E415E085}">
      <text>
        <r>
          <rPr>
            <sz val="11"/>
            <color theme="1"/>
            <rFont val="Arial"/>
            <family val="2"/>
          </rPr>
          <t>How much money is left after investing</t>
        </r>
      </text>
    </comment>
    <comment ref="B32" authorId="0" shapeId="0" xr:uid="{E3409DF2-7888-44D5-9FF6-EB1558CBE984}">
      <text>
        <r>
          <rPr>
            <sz val="11"/>
            <color theme="1"/>
            <rFont val="Arial"/>
            <family val="2"/>
          </rPr>
          <t>High operational efficiency</t>
        </r>
      </text>
    </comment>
    <comment ref="B33" authorId="0" shapeId="0" xr:uid="{CC1D58A0-27B7-490C-9A90-9664BD7359FA}">
      <text>
        <r>
          <rPr>
            <sz val="11"/>
            <color theme="1"/>
            <rFont val="Arial"/>
            <family val="2"/>
          </rPr>
          <t>Same but with Cash</t>
        </r>
      </text>
    </comment>
    <comment ref="B34" authorId="0" shapeId="0" xr:uid="{6F9F7CE6-FB9E-4671-9B8B-D824C4E7958B}">
      <text>
        <r>
          <rPr>
            <sz val="11"/>
            <color theme="1"/>
            <rFont val="Arial"/>
            <family val="2"/>
          </rPr>
          <t>Small employed capital?</t>
        </r>
      </text>
    </comment>
    <comment ref="B35" authorId="0" shapeId="0" xr:uid="{17C6C0D7-A97A-4C91-863A-E8ABFF8D6C78}">
      <text>
        <r>
          <rPr>
            <sz val="11"/>
            <color theme="1"/>
            <rFont val="Arial"/>
            <family val="2"/>
          </rPr>
          <t>Profit over fixed assets (fintech)</t>
        </r>
      </text>
    </comment>
    <comment ref="B36" authorId="0" shapeId="0" xr:uid="{06DCB66C-AD07-40F7-928A-E8596ED43A97}">
      <text>
        <r>
          <rPr>
            <sz val="11"/>
            <color theme="1"/>
            <rFont val="Arial"/>
            <family val="2"/>
          </rPr>
          <t>A lot of levarage</t>
        </r>
      </text>
    </comment>
    <comment ref="B61" authorId="0" shapeId="0" xr:uid="{D2899103-EA5B-4791-9196-669BED62D31F}">
      <text>
        <r>
          <rPr>
            <sz val="11"/>
            <color theme="1"/>
            <rFont val="Arial"/>
            <family val="2"/>
          </rPr>
          <t>Careful with defaults</t>
        </r>
      </text>
    </comment>
    <comment ref="B63" authorId="0" shapeId="0" xr:uid="{FF0FEFC5-FA5F-4291-80BE-6C5BADB164F9}">
      <text>
        <r>
          <rPr>
            <sz val="11"/>
            <color theme="1"/>
            <rFont val="Arial"/>
            <family val="2"/>
          </rPr>
          <t>Funding is secure long term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Mariana zhu</author>
  </authors>
  <commentList>
    <comment ref="D15" authorId="0" shapeId="0" xr:uid="{52D7D3F0-C633-A64C-9E56-D46623931A9F}">
      <text>
        <r>
          <rPr>
            <b/>
            <sz val="10"/>
            <color rgb="FF000000"/>
            <rFont val="Tahoma"/>
            <family val="2"/>
          </rPr>
          <t>US 5year bond yield</t>
        </r>
      </text>
    </comment>
    <comment ref="E30" authorId="0" shapeId="0" xr:uid="{7596C1DE-01FE-4148-AF5D-F648D84B2576}">
      <text>
        <r>
          <rPr>
            <b/>
            <sz val="10"/>
            <color rgb="FF000000"/>
            <rFont val="Tahoma"/>
            <family val="2"/>
          </rPr>
          <t xml:space="preserve">Revolvin line of credit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MARIANA LIU E ZHU</author>
    <author>Mariana zhu</author>
  </authors>
  <commentList>
    <comment ref="B10" authorId="0" shapeId="0" xr:uid="{7C5CC462-EB96-4E03-81ED-E4B587DC8D31}">
      <text>
        <r>
          <rPr>
            <sz val="11"/>
            <color theme="1"/>
            <rFont val="Arial"/>
            <family val="2"/>
          </rPr>
          <t xml:space="preserve">MARIANA LIU E ZHU:
not disclosed how average receivables is calculated
</t>
        </r>
      </text>
    </comment>
    <comment ref="P14" authorId="0" shapeId="0" xr:uid="{87F4C371-F574-4CEF-A768-5883DD06F804}">
      <text>
        <r>
          <rPr>
            <b/>
            <sz val="9"/>
            <color rgb="FF000000"/>
            <rFont val="Tahoma"/>
            <family val="2"/>
          </rPr>
          <t>MARIANA LIU E ZHU:</t>
        </r>
        <r>
          <rPr>
            <sz val="9"/>
            <color rgb="FF000000"/>
            <rFont val="Tahoma"/>
            <family val="2"/>
          </rPr>
          <t xml:space="preserve">
</t>
        </r>
        <r>
          <rPr>
            <sz val="9"/>
            <color rgb="FF000000"/>
            <rFont val="Tahoma"/>
            <family val="2"/>
          </rPr>
          <t xml:space="preserve">bank partners’ expansion into additional states as well as enhanced lead
</t>
        </r>
        <r>
          <rPr>
            <sz val="9"/>
            <color rgb="FF000000"/>
            <rFont val="Tahoma"/>
            <family val="2"/>
          </rPr>
          <t>evaluation capabilities driving higher quality applications</t>
        </r>
      </text>
    </comment>
    <comment ref="AB14" authorId="1" shapeId="0" xr:uid="{BF3664EB-51BE-D547-9793-F4DDEBAED63D}">
      <text>
        <r>
          <rPr>
            <b/>
            <sz val="10"/>
            <color rgb="FF000000"/>
            <rFont val="Tahoma"/>
            <family val="2"/>
          </rPr>
          <t xml:space="preserve">Assuming a 5%  growth every quarter
</t>
        </r>
        <r>
          <rPr>
            <b/>
            <sz val="10"/>
            <color rgb="FF000000"/>
            <rFont val="Tahoma"/>
            <family val="2"/>
          </rPr>
          <t xml:space="preserve">
</t>
        </r>
      </text>
    </comment>
    <comment ref="B17" authorId="0" shapeId="0" xr:uid="{5C01A172-5106-43D8-B3A6-40240C8FE50D}">
      <text>
        <r>
          <rPr>
            <sz val="11"/>
            <color theme="1"/>
            <rFont val="Arial"/>
            <family val="2"/>
          </rPr>
          <t xml:space="preserve">MARIANA LIU E ZHU:
s total revenue from the period as a percent of average receivables, annualized
</t>
        </r>
      </text>
    </comment>
    <comment ref="G17" authorId="0" shapeId="0" xr:uid="{06B6A011-81D0-426F-B64F-B8823EAB6693}">
      <text>
        <r>
          <rPr>
            <sz val="11"/>
            <color rgb="FF000000"/>
            <rFont val="Arial"/>
            <family val="2"/>
          </rPr>
          <t xml:space="preserve">MARIANA LIU E ZHU:
</t>
        </r>
        <r>
          <rPr>
            <sz val="11"/>
            <color rgb="FF000000"/>
            <rFont val="Arial"/>
            <family val="2"/>
          </rPr>
          <t>values of 4th quarter usually not disclosed</t>
        </r>
      </text>
    </comment>
    <comment ref="H18" authorId="0" shapeId="0" xr:uid="{2591CA9F-9854-473B-ABEA-599E9E66CCDA}">
      <text>
        <r>
          <rPr>
            <sz val="11"/>
            <color theme="1"/>
            <rFont val="Arial"/>
            <family val="2"/>
          </rPr>
          <t xml:space="preserve">MARIANA LIU E ZHU:
Oppfi loans are short term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bloomberg-alunos</author>
    <author>João Francisco da Silva Garcia</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rgb="FF000000"/>
            <rFont val="Tahoma"/>
            <family val="2"/>
          </rPr>
          <t xml:space="preserve">AAPL US Equity
</t>
        </r>
        <r>
          <rPr>
            <sz val="9"/>
            <color rgb="FF000000"/>
            <rFont val="Tahoma"/>
            <family val="2"/>
          </rPr>
          <t xml:space="preserve">DSY FP Equity
</t>
        </r>
        <r>
          <rPr>
            <sz val="9"/>
            <color rgb="FF000000"/>
            <rFont val="Tahoma"/>
            <family val="2"/>
          </rPr>
          <t xml:space="preserve">005930 KS Equity
</t>
        </r>
        <r>
          <rPr>
            <sz val="9"/>
            <color rgb="FF000000"/>
            <rFont val="Tahoma"/>
            <family val="2"/>
          </rPr>
          <t xml:space="preserve">
</t>
        </r>
      </text>
    </comment>
    <comment ref="R17" authorId="0" shapeId="0" xr:uid="{00000000-0006-0000-0E00-000004000000}">
      <text>
        <r>
          <rPr>
            <sz val="9"/>
            <color indexed="81"/>
            <rFont val="Tahoma"/>
            <family val="2"/>
          </rPr>
          <t>USD
EUR
KRW
BRL
JPY</t>
        </r>
      </text>
    </comment>
    <comment ref="N20" authorId="1" shapeId="0" xr:uid="{C92D5014-30D8-4DA3-A068-84C414334A94}">
      <text>
        <r>
          <rPr>
            <b/>
            <sz val="9"/>
            <color indexed="81"/>
            <rFont val="Tahoma"/>
            <family val="2"/>
          </rPr>
          <t>Companies that rely on consumers fnancial health</t>
        </r>
      </text>
    </comment>
    <comment ref="B21" authorId="1" shapeId="0" xr:uid="{0EE130D4-CFC4-43D5-AF93-0E808BDC3F9F}">
      <text>
        <r>
          <rPr>
            <b/>
            <sz val="9"/>
            <color indexed="81"/>
            <rFont val="Tahoma"/>
            <family val="2"/>
          </rPr>
          <t>Online subprime credit, owner of CashNetUSA and NetCredit</t>
        </r>
      </text>
    </comment>
    <comment ref="H21" authorId="1" shapeId="0" xr:uid="{3AC5260B-CF0C-4BF1-ADC6-6A5DC5205FDF}">
      <text>
        <r>
          <rPr>
            <b/>
            <sz val="9"/>
            <color indexed="81"/>
            <rFont val="Tahoma"/>
            <family val="2"/>
          </rPr>
          <t>Digital bank for personal credit</t>
        </r>
      </text>
    </comment>
    <comment ref="N21" authorId="1" shapeId="0" xr:uid="{FDF135C7-A1FE-4A23-B196-5BB972C5C5D7}">
      <text>
        <r>
          <rPr>
            <b/>
            <sz val="9"/>
            <color indexed="81"/>
            <rFont val="Tahoma"/>
            <family val="2"/>
          </rPr>
          <t>Credit cards and consumption financement</t>
        </r>
      </text>
    </comment>
    <comment ref="B22" authorId="1" shapeId="0" xr:uid="{6B7DF4CE-C857-4354-ACBD-474CF3E378D1}">
      <text>
        <r>
          <rPr>
            <b/>
            <sz val="9"/>
            <color indexed="81"/>
            <rFont val="Tahoma"/>
            <family val="2"/>
          </rPr>
          <t>Low value personal credit for subprime</t>
        </r>
        <r>
          <rPr>
            <sz val="9"/>
            <color indexed="81"/>
            <rFont val="Tahoma"/>
            <family val="2"/>
          </rPr>
          <t xml:space="preserve">
</t>
        </r>
      </text>
    </comment>
    <comment ref="H22" authorId="1" shapeId="0" xr:uid="{59951B03-1ABD-42CD-A12C-575A4E42EAC7}">
      <text>
        <r>
          <rPr>
            <b/>
            <sz val="9"/>
            <color indexed="81"/>
            <rFont val="Tahoma"/>
            <family val="2"/>
          </rPr>
          <t>AI guided credit, focused on near prime</t>
        </r>
      </text>
    </comment>
    <comment ref="N22" authorId="1" shapeId="0" xr:uid="{C393CA59-0B02-4F87-946B-321258298744}">
      <text>
        <r>
          <rPr>
            <b/>
            <sz val="9"/>
            <color indexed="81"/>
            <rFont val="Tahoma"/>
            <family val="2"/>
          </rPr>
          <t>Credit cards and persoal credit</t>
        </r>
      </text>
    </comment>
    <comment ref="B23" authorId="1" shapeId="0" xr:uid="{5F0A3C63-04B5-4CF6-8BAA-98F953D9C7DC}">
      <text>
        <r>
          <rPr>
            <sz val="11"/>
            <color theme="1"/>
            <rFont val="Arial"/>
            <family val="2"/>
          </rPr>
          <t xml:space="preserve">Low value personal credit for subprime
</t>
        </r>
      </text>
    </comment>
    <comment ref="H23" authorId="1" shapeId="0" xr:uid="{28C7318B-F2FF-4335-96BF-066F5E17D243}">
      <text>
        <r>
          <rPr>
            <b/>
            <sz val="9"/>
            <color indexed="81"/>
            <rFont val="Tahoma"/>
            <family val="2"/>
          </rPr>
          <t>Digital bank and diversified fintech</t>
        </r>
      </text>
    </comment>
    <comment ref="N23" authorId="1" shapeId="0" xr:uid="{95F56BE7-38EF-4108-8842-3FADDDB73CDC}">
      <text>
        <r>
          <rPr>
            <b/>
            <sz val="9"/>
            <color indexed="81"/>
            <rFont val="Tahoma"/>
            <family val="2"/>
          </rPr>
          <t>Subprime cards</t>
        </r>
      </text>
    </comment>
    <comment ref="B24" authorId="1" shapeId="0" xr:uid="{02DC0BED-2688-4DE9-A416-274217212535}">
      <text>
        <r>
          <rPr>
            <b/>
            <sz val="9"/>
            <color indexed="81"/>
            <rFont val="Tahoma"/>
            <family val="2"/>
          </rPr>
          <t>Seizure and subprime credit</t>
        </r>
      </text>
    </comment>
    <comment ref="H24" authorId="1" shapeId="0" xr:uid="{CF17F899-9FB1-4E8B-9052-05476C4A3023}">
      <text>
        <r>
          <rPr>
            <b/>
            <sz val="9"/>
            <color indexed="81"/>
            <rFont val="Tahoma"/>
            <family val="2"/>
          </rPr>
          <t>Personal credit for immigrants and subprime</t>
        </r>
      </text>
    </comment>
    <comment ref="N24" authorId="1" shapeId="0" xr:uid="{1862AC65-1400-4F20-A97D-BF2E074EFCF3}">
      <text>
        <r>
          <rPr>
            <b/>
            <sz val="9"/>
            <color indexed="81"/>
            <rFont val="Tahoma"/>
            <family val="2"/>
          </rPr>
          <t>Auto loans and consumer credit</t>
        </r>
      </text>
    </comment>
    <comment ref="B25" authorId="1" shapeId="0" xr:uid="{C61ADBBB-B527-44E9-81BB-5D00778E9E80}">
      <text>
        <r>
          <rPr>
            <b/>
            <sz val="9"/>
            <color indexed="81"/>
            <rFont val="Tahoma"/>
            <family val="2"/>
          </rPr>
          <t>Big player  on non guaranteed personal credit for mid/high risk consumers</t>
        </r>
      </text>
    </comment>
    <comment ref="H25" authorId="1" shapeId="0" xr:uid="{F2A943BA-1AC2-4D94-A216-5D917F2D5DA9}">
      <text>
        <r>
          <rPr>
            <b/>
            <sz val="9"/>
            <color indexed="81"/>
            <rFont val="Tahoma"/>
            <family val="2"/>
          </rPr>
          <t>Digital financial services</t>
        </r>
      </text>
    </comment>
    <comment ref="N25" authorId="1" shapeId="0" xr:uid="{FA7534B8-503F-4DE6-9583-7AD640097444}">
      <text>
        <r>
          <rPr>
            <b/>
            <sz val="9"/>
            <color indexed="81"/>
            <rFont val="Tahoma"/>
            <family val="2"/>
          </rPr>
          <t>BNPL leader in the US, would like to have Klarna but only recently public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<sst xmlns="http://schemas.openxmlformats.org/spreadsheetml/2006/main" count="2003" uniqueCount="742">
  <si>
    <t>TODAY</t>
  </si>
  <si>
    <t>Analysts</t>
  </si>
  <si>
    <t>LIS – Equity Research</t>
  </si>
  <si>
    <t>Stock Performance</t>
  </si>
  <si>
    <t>Mariana Zhu, Co-Head of Equity Research</t>
  </si>
  <si>
    <t>Recommendation:</t>
  </si>
  <si>
    <t>MSc in Mathematical Finance, ISEG – Ulisboa</t>
  </si>
  <si>
    <t>Target Price (FCFF):</t>
  </si>
  <si>
    <t>63113l@aln.iseg.ulisboa.pt</t>
  </si>
  <si>
    <t>Upside:</t>
  </si>
  <si>
    <r>
      <rPr>
        <b/>
        <sz val="11"/>
        <color rgb="FF000000"/>
        <rFont val="Arial Nova"/>
      </rPr>
      <t>João Garcia</t>
    </r>
    <r>
      <rPr>
        <sz val="11"/>
        <color rgb="FF000000"/>
        <rFont val="Arial Nova"/>
      </rPr>
      <t>, Analyst</t>
    </r>
  </si>
  <si>
    <t>Board of Directors</t>
  </si>
  <si>
    <t>BSc in MAEG, ISEG – Ulisboa</t>
  </si>
  <si>
    <t>Ticker</t>
  </si>
  <si>
    <t>005930</t>
  </si>
  <si>
    <t>joaogarcia@aln.iseg.ulisboa.pt</t>
  </si>
  <si>
    <t>Stock Exchange</t>
  </si>
  <si>
    <t>KRX</t>
  </si>
  <si>
    <r>
      <t>Name</t>
    </r>
    <r>
      <rPr>
        <sz val="11"/>
        <color rgb="FF000000"/>
        <rFont val="Arial Nova"/>
        <family val="2"/>
      </rPr>
      <t>, Analyst</t>
    </r>
  </si>
  <si>
    <t>BSc in XXX, ISEG – Ulisboa</t>
  </si>
  <si>
    <t>Current Price</t>
  </si>
  <si>
    <t>email@aln.iseg.ulisboa.pt</t>
  </si>
  <si>
    <t>Market Cap (in millions)</t>
  </si>
  <si>
    <t>Beta</t>
  </si>
  <si>
    <t>% of 52-Week High</t>
  </si>
  <si>
    <t>100-Day Moving Average</t>
  </si>
  <si>
    <t>Reviewed by:</t>
  </si>
  <si>
    <t>Avg Vol (1 month)</t>
  </si>
  <si>
    <r>
      <t>Name</t>
    </r>
    <r>
      <rPr>
        <sz val="11"/>
        <color rgb="FF000000"/>
        <rFont val="Arial Nova"/>
        <family val="2"/>
      </rPr>
      <t>, Co-Head of Equity Research</t>
    </r>
  </si>
  <si>
    <t>Shares Outstanding (millions)</t>
  </si>
  <si>
    <t>% Float</t>
  </si>
  <si>
    <t>Short % of Float</t>
  </si>
  <si>
    <t>LISBON INVESTMENT SOCIETY</t>
  </si>
  <si>
    <t>% Held by Insiders</t>
  </si>
  <si>
    <t>ISEG – Rua do Quelhas, 6</t>
  </si>
  <si>
    <t>% Held by Institutions</t>
  </si>
  <si>
    <t>lis@iseg.ulisboa.pt</t>
  </si>
  <si>
    <t> </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</si>
  <si>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</si>
  <si>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</si>
  <si>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</si>
  <si>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</si>
  <si>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(in trillions)</t>
  </si>
  <si>
    <t>Market Size (FinTech Market Industry)</t>
  </si>
  <si>
    <t>Market Share</t>
  </si>
  <si>
    <t>Market Size (Financial Services Industry)</t>
  </si>
  <si>
    <t>Market Size (Micro Lending Market)</t>
  </si>
  <si>
    <t>Industry Driver</t>
  </si>
  <si>
    <t>Description</t>
  </si>
  <si>
    <t>Porter's Five Forces</t>
  </si>
  <si>
    <t>Government Policy</t>
  </si>
  <si>
    <t>OppFi’s model is highly sensitive to regulation. Interest rate caps and oversight of bank partnerships directly shape how it can lend and what margins it earns.</t>
  </si>
  <si>
    <t>Macroeconomic Trends</t>
  </si>
  <si>
    <t>Economic stress drives more customers to OppFi but also raises default risk, making growth closely tied to broader financial cycles.</t>
  </si>
  <si>
    <t>Consumer Behavior</t>
  </si>
  <si>
    <t>Borrowers increasingly expect fast, online credit. This shift supports OppFi’s digital installment loan model and helps it reach underbanked customers.</t>
  </si>
  <si>
    <t>Access to capital</t>
  </si>
  <si>
    <t>Dependence on bank partners and investors makes OppFi vulnerable to funding costs. Cheap capital fuels growth, but tighter markets compress margins.</t>
  </si>
  <si>
    <t>Technology</t>
  </si>
  <si>
    <t>Digital platforms and algorithms allow OppFi to approve and deliver loans quickly, giving it an edge in serving non-prime borrowers banks often overlook.</t>
  </si>
  <si>
    <t>Rivalry Among Existing Competitors</t>
  </si>
  <si>
    <t>Threat of New Entrants</t>
  </si>
  <si>
    <t>Threat of Substitutes</t>
  </si>
  <si>
    <t>Bargaining Power of Customers</t>
  </si>
  <si>
    <t>Bargaining Power of Suppliers</t>
  </si>
  <si>
    <t>ESG Analysis</t>
  </si>
  <si>
    <t>ESG Scores</t>
  </si>
  <si>
    <t>GHG Scope 1 Emissions, Water Consumption, Energy Consumption and Waste Production per Sales</t>
  </si>
  <si>
    <t>ISS ESG Corporate Rating</t>
  </si>
  <si>
    <t>LSEG ESG Score</t>
  </si>
  <si>
    <t xml:space="preserve">   E-Score</t>
  </si>
  <si>
    <t xml:space="preserve">   S-Score</t>
  </si>
  <si>
    <t xml:space="preserve">   G-Score</t>
  </si>
  <si>
    <t>S&amp;P Global ESG Score</t>
  </si>
  <si>
    <t>N/A</t>
  </si>
  <si>
    <t xml:space="preserve">   Environmental</t>
  </si>
  <si>
    <t xml:space="preserve">   Social</t>
  </si>
  <si>
    <t xml:space="preserve">   Governance &amp; Economic</t>
  </si>
  <si>
    <t>Sustainalytics</t>
  </si>
  <si>
    <t>Low/Average</t>
  </si>
  <si>
    <t>D+</t>
  </si>
  <si>
    <t xml:space="preserve">   SDG Impact Rating</t>
  </si>
  <si>
    <t xml:space="preserve">   Governance Quality Score</t>
  </si>
  <si>
    <t>MSCI ESG Ratings</t>
  </si>
  <si>
    <t>Key Info</t>
  </si>
  <si>
    <t>Environmental</t>
  </si>
  <si>
    <t>Overview</t>
  </si>
  <si>
    <t>Targets</t>
  </si>
  <si>
    <t>Improvements</t>
  </si>
  <si>
    <t>Comments</t>
  </si>
  <si>
    <t>GICS Sector</t>
  </si>
  <si>
    <t>Financials</t>
  </si>
  <si>
    <t>GHG Scope 1 Emissions</t>
  </si>
  <si>
    <t>-</t>
  </si>
  <si>
    <t>GICS Industry Group</t>
  </si>
  <si>
    <t>Financial Services</t>
  </si>
  <si>
    <t>GICS Industry</t>
  </si>
  <si>
    <t>Consumer Finance</t>
  </si>
  <si>
    <t>Water Consumption</t>
  </si>
  <si>
    <t>GICS Sub-Industry</t>
  </si>
  <si>
    <t>Energy Consumption</t>
  </si>
  <si>
    <t>Headquarters</t>
  </si>
  <si>
    <t>Chicago</t>
  </si>
  <si>
    <t>Number of Employees</t>
  </si>
  <si>
    <t>Waste Management</t>
  </si>
  <si>
    <t>Annual Report</t>
  </si>
  <si>
    <t>Other</t>
  </si>
  <si>
    <t>Sustainability Report</t>
  </si>
  <si>
    <t>Recent Headlines</t>
  </si>
  <si>
    <t>Social</t>
  </si>
  <si>
    <t>Employee Turnover %</t>
  </si>
  <si>
    <t>Salaries &amp; Compensation</t>
  </si>
  <si>
    <t>Good pay for high-end, engineering, data analyst jobs (~81k - ~160k). Lower level jobs pay way worse, at 16,5$/hour, such as entry level, remote jobs and customer service roles.</t>
  </si>
  <si>
    <t>Reputation</t>
  </si>
  <si>
    <t>Although their mission is to supposedly include people marginalized from the traditional credit system to give them na opportunity, OppFi is most of the times regarded as a predatory company whose goal is to take advantage of their customers to have very high interest on their loans.</t>
  </si>
  <si>
    <t>Discrimination Events</t>
  </si>
  <si>
    <t>Work Safety</t>
  </si>
  <si>
    <t>Damage to consumer health</t>
  </si>
  <si>
    <t>Pension Plan</t>
  </si>
  <si>
    <t>Typical 401k pension plans that is competitive in the job market.</t>
  </si>
  <si>
    <t>Supply chain</t>
  </si>
  <si>
    <t>Community involvement</t>
  </si>
  <si>
    <t>Just the nature of the business model is very predatory IMO.</t>
  </si>
  <si>
    <t>Public Sector</t>
  </si>
  <si>
    <t>Not much room for improvement with the current business model, maybe try to get better at lobying.</t>
  </si>
  <si>
    <t>Because the company functions as a nonbank fintech lender, it bypasses bank regulations. This makes the relationship with the public sector more complicated, as they aren't well regarded by law-makers and public entities, having minimal chance for public partnerships and low trust.</t>
  </si>
  <si>
    <t>Litigation</t>
  </si>
  <si>
    <t>See above</t>
  </si>
  <si>
    <t>Many ongoing litigation tied to lending practices regarding high interest rates and regulatory evasion.</t>
  </si>
  <si>
    <t>Governance</t>
  </si>
  <si>
    <t>Name</t>
  </si>
  <si>
    <t>Position</t>
  </si>
  <si>
    <t>M/F  – Age</t>
  </si>
  <si>
    <t>Todd Schwartz</t>
  </si>
  <si>
    <t>CEO/Executive Chairman</t>
  </si>
  <si>
    <t>M - 43</t>
  </si>
  <si>
    <t>Diversity (Gender, Age, Industry, Region)</t>
  </si>
  <si>
    <t>4 men, 2 women, msotly kind of old, but in a field where experience matters more so it's justified.</t>
  </si>
  <si>
    <t>Ted Schwartz</t>
  </si>
  <si>
    <t>Director</t>
  </si>
  <si>
    <t>M - 71</t>
  </si>
  <si>
    <t>David Vennettilli</t>
  </si>
  <si>
    <t>M - 37</t>
  </si>
  <si>
    <t>% Independence</t>
  </si>
  <si>
    <t>All independent except CEO</t>
  </si>
  <si>
    <t>Jocelyn Moore</t>
  </si>
  <si>
    <t>Lead Ind. Director</t>
  </si>
  <si>
    <t>W - 48</t>
  </si>
  <si>
    <t>Greg Zeeman</t>
  </si>
  <si>
    <t>Ind. Director</t>
  </si>
  <si>
    <t>M - 56</t>
  </si>
  <si>
    <t>Average time as independent directors</t>
  </si>
  <si>
    <t>3 of the 5 members that aren't the CEO have been there for 4 years, in a 16 year old company that is ok.</t>
  </si>
  <si>
    <t>Christina Favilla</t>
  </si>
  <si>
    <t>W - 57</t>
  </si>
  <si>
    <t>Departures of C-level executives</t>
  </si>
  <si>
    <t>No departures reported in the last 3 years</t>
  </si>
  <si>
    <t>CEO/Chairman duality</t>
  </si>
  <si>
    <t>It is the founder of the company</t>
  </si>
  <si>
    <t>Transparency when reporting</t>
  </si>
  <si>
    <t>No ESG Report since 2020</t>
  </si>
  <si>
    <t>Time taken to report</t>
  </si>
  <si>
    <t>CEO or Chairman in other boards?</t>
  </si>
  <si>
    <t>Nothing besides his own "Schwartz Capital Group"</t>
  </si>
  <si>
    <t>Audit / Consulting</t>
  </si>
  <si>
    <t xml:space="preserve">Report with more transparency </t>
  </si>
  <si>
    <t>Nothing unusul jumps to the eye, but also not much disclosure in terms of "audit vs non-audit services"</t>
  </si>
  <si>
    <t>ESG-compensation related</t>
  </si>
  <si>
    <t>No mention of anything ESG-related.</t>
  </si>
  <si>
    <t>Management compensation schemes</t>
  </si>
  <si>
    <t>Every compensation is basically determined by equity and stock performance-based pay. Very short sighted objectives, high incentive to boost stock.</t>
  </si>
  <si>
    <t>Segments</t>
  </si>
  <si>
    <t>Products</t>
  </si>
  <si>
    <t>Q1</t>
  </si>
  <si>
    <t>Q2</t>
  </si>
  <si>
    <t>Q3</t>
  </si>
  <si>
    <t>Q4</t>
  </si>
  <si>
    <t>FY</t>
  </si>
  <si>
    <t>Revenue by segment:</t>
  </si>
  <si>
    <t>Financial services</t>
  </si>
  <si>
    <t>Total revenue</t>
  </si>
  <si>
    <t>Revenue by region:</t>
  </si>
  <si>
    <t>USA</t>
  </si>
  <si>
    <t>Products:</t>
  </si>
  <si>
    <t>Opploans</t>
  </si>
  <si>
    <t>SalaryTap</t>
  </si>
  <si>
    <t>Oppfi Card</t>
  </si>
  <si>
    <t>Notes &amp; Forecasts</t>
  </si>
  <si>
    <t>Revenue</t>
  </si>
  <si>
    <t>Revenue is fully generated from financial services in the U.S., with OppLoans as the main product and other offerings like SalaryTap and the OppFi Card still immaterial. </t>
  </si>
  <si>
    <t xml:space="preserve">Growth </t>
  </si>
  <si>
    <t>Growth is primarily driven by higher loan originations, larger receivables, and stable yields, although charge-offs remain elevated.Forecasts reflect strong near-term expansion supported by management guidance, followed by more moderate growth as the business matures and credit risk stabilizes.</t>
  </si>
  <si>
    <t>Financial Inclusion</t>
  </si>
  <si>
    <t>OppFi places financial inclusion at the core of its mission. The company provides credit products through its OppLoans platform to consumers who are often underserved by traditional banking systems.</t>
  </si>
  <si>
    <t>Financial Health Surveys</t>
  </si>
  <si>
    <t>OppFi conducts semi-annual Financial Health Surveys to assess the well-being of its customers. The Spring 2025 survey indicated modest gains in financial health among respondents, despite ongoing economic challenges such as inflation and increased living costs.</t>
  </si>
  <si>
    <t>A payroll-deductible loan that allows consumers to access funds securely, with automatic repayments from their paycheck. Provides a safe, short-term cash solution between pay periods.</t>
  </si>
  <si>
    <t>OppCard</t>
  </si>
  <si>
    <t>A credit card for consumers with limited or poor credit history, designed to help responsibly build or improve credit while expanding access to revolving credit.</t>
  </si>
  <si>
    <t>Bitty Holdings</t>
  </si>
  <si>
    <t>OppFi holds a 35% stake in Bitty Holdings, a company that provides small businesses with revenue-based financing and other working capital solutions. This segment allows OppFi to expand beyond consumer lending, targeting small businesses that often struggle to access traditional credit. </t>
  </si>
  <si>
    <t>Peers</t>
  </si>
  <si>
    <t>Growth</t>
  </si>
  <si>
    <t>OPPFI INC</t>
  </si>
  <si>
    <t>ENOVA INTERNATIO</t>
  </si>
  <si>
    <t>REGIONAL MANAGEM</t>
  </si>
  <si>
    <t>WORLD ACCEPTANCE</t>
  </si>
  <si>
    <t>EZCORP INC-A</t>
  </si>
  <si>
    <t>ONEMAIN HOLDINGS</t>
  </si>
  <si>
    <t>LENDINGCLUB CORP</t>
  </si>
  <si>
    <t>UPSTART HOLDINGS</t>
  </si>
  <si>
    <t>SOFI TECHNOLOGIE</t>
  </si>
  <si>
    <t>OPORTUN FINANCIA</t>
  </si>
  <si>
    <t>GREEN DOT CORP-A</t>
  </si>
  <si>
    <t>SYNCHRONY FINANC</t>
  </si>
  <si>
    <t>DISCOVER FINANCI</t>
  </si>
  <si>
    <t>CAPITAL ONE FINA</t>
  </si>
  <si>
    <t>ALLY FINANCIAL I</t>
  </si>
  <si>
    <t>AFFIRM HOLDINGS</t>
  </si>
  <si>
    <t>Revenue (LTM)</t>
  </si>
  <si>
    <t>Revenue (3-yr CAGR)</t>
  </si>
  <si>
    <t>Gross profit (LTM)</t>
  </si>
  <si>
    <t>#N/A</t>
  </si>
  <si>
    <t>EBIT (LTM)</t>
  </si>
  <si>
    <t>EBITDA (LTM)</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</si>
  <si>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</si>
  <si>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</si>
  <si>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</si>
  <si>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</si>
  <si>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</si>
  <si>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</si>
  <si>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</si>
  <si>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</si>
  <si>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</si>
  <si>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</si>
  <si>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</si>
  <si>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</si>
  <si>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</si>
  <si>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</si>
  <si>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</si>
  <si>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</si>
  <si>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</si>
  <si>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</si>
  <si>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</si>
  <si>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t>#N/A N/A</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</si>
  <si>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</si>
  <si>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</si>
  <si>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</si>
  <si>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</si>
  <si>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</si>
  <si>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</si>
  <si>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</si>
  <si>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</si>
  <si>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</si>
  <si>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</si>
  <si>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</si>
  <si>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</si>
  <si>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</si>
  <si>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</si>
  <si>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</si>
  <si>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</si>
  <si>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</si>
  <si>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</si>
  <si>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</si>
  <si>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</si>
  <si>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</si>
  <si>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</si>
  <si>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</si>
  <si>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</si>
  <si>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</si>
  <si>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</si>
  <si>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</si>
  <si>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</si>
  <si>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</si>
  <si>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</si>
  <si>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</si>
  <si>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</si>
  <si>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</si>
  <si>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</si>
  <si>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</si>
  <si>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</si>
  <si>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</si>
  <si>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</si>
  <si>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</si>
  <si>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</si>
  <si>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</si>
  <si>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</si>
  <si>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</si>
  <si>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</si>
  <si>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</si>
  <si>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</si>
  <si>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</si>
  <si>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</si>
  <si>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</si>
  <si>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</si>
  <si>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</si>
  <si>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</si>
  <si>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</si>
  <si>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</si>
  <si>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</si>
  <si>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</si>
  <si>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</si>
  <si>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</si>
  <si>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</si>
  <si>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Tier I: Fintech</t>
  </si>
  <si>
    <t>is_oper_inc(fpr=2026,fpt=a,ae=e,fa_adjusted=y,fs=mr)/1m</t>
  </si>
  <si>
    <t>EARN_FOR_COMMON(fpr=2026,fpt=a,ae=e,fa_adjusted=y,fs=mr)/1m</t>
  </si>
  <si>
    <t>EARN_FOR_COMMON(fpr=2028,fpt=a,ae=e,fa_adjusted=y,fs=mr)</t>
  </si>
  <si>
    <t>Mean</t>
  </si>
  <si>
    <t>Median</t>
  </si>
  <si>
    <t>Tier II: Other Fintech and Credit</t>
  </si>
  <si>
    <t>Tier III: BNPL and Others</t>
  </si>
  <si>
    <t>Overall</t>
  </si>
  <si>
    <t>Low</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</si>
  <si>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</si>
  <si>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</si>
  <si>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</si>
  <si>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</si>
  <si>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</si>
  <si>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</si>
  <si>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</si>
  <si>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</si>
  <si>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</si>
  <si>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</si>
  <si>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</si>
  <si>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</si>
  <si>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</si>
  <si>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</si>
  <si>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</si>
  <si>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</si>
  <si>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</si>
  <si>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</si>
  <si>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</si>
  <si>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</si>
  <si>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</si>
  <si>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</si>
  <si>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</si>
  <si>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Total</t>
  </si>
  <si>
    <t>Country/Conglomerate/... Risk Premium</t>
  </si>
  <si>
    <t>WACC</t>
  </si>
  <si>
    <t>NOPAT</t>
  </si>
  <si>
    <t>Total Payout</t>
  </si>
  <si>
    <t>Book Value of Equity</t>
  </si>
  <si>
    <t>Invested Capital</t>
  </si>
  <si>
    <t xml:space="preserve">, </t>
  </si>
  <si>
    <t>Market Assumptions</t>
  </si>
  <si>
    <t>Average receivables</t>
  </si>
  <si>
    <t>Beginning Receivable</t>
  </si>
  <si>
    <t>Ending Receivables (Fair Value)</t>
  </si>
  <si>
    <t>Retained Originations</t>
  </si>
  <si>
    <t>Total Net originations</t>
  </si>
  <si>
    <t xml:space="preserve">Repayment </t>
  </si>
  <si>
    <t>Net Charge Off</t>
  </si>
  <si>
    <t>Average yield</t>
  </si>
  <si>
    <t>FCFF</t>
  </si>
  <si>
    <t>Repayment rate</t>
  </si>
  <si>
    <t>Revenue Growth</t>
  </si>
  <si>
    <t>Operating Assumptions</t>
  </si>
  <si>
    <t>Income Statement</t>
  </si>
  <si>
    <t>% of growth</t>
  </si>
  <si>
    <t>Cost of Goods &amp; Services</t>
  </si>
  <si>
    <t>% of sales</t>
  </si>
  <si>
    <t>COGS Depreciation &amp; Amortization</t>
  </si>
  <si>
    <t>% of cost of goods &amp; services</t>
  </si>
  <si>
    <t xml:space="preserve">0
</t>
  </si>
  <si>
    <t>Gross Profit</t>
  </si>
  <si>
    <t>SG&amp;A (Selling, General &amp; Administrative)</t>
  </si>
  <si>
    <t>R&amp;D (Research &amp; Development)</t>
  </si>
  <si>
    <t>% of gross profit</t>
  </si>
  <si>
    <t>D&amp;A (Depreciation &amp; Amortization)</t>
  </si>
  <si>
    <t>% of net pp&amp;e and intangibles excl. Goodwill</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</si>
  <si>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</si>
  <si>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</si>
  <si>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</si>
  <si>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</si>
  <si>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</si>
  <si>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</si>
  <si>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</si>
  <si>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</si>
  <si>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</si>
  <si>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</si>
  <si>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</si>
  <si>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</si>
  <si>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</si>
  <si>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</si>
  <si>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</si>
  <si>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</si>
  <si>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</si>
  <si>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</si>
  <si>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</si>
  <si>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</si>
  <si>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</si>
  <si>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</si>
  <si>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</si>
  <si>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</si>
  <si>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</si>
  <si>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</si>
  <si>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</si>
  <si>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</si>
  <si>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</si>
  <si>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</si>
  <si>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</si>
  <si>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</si>
  <si>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</si>
  <si>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</si>
  <si>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</si>
  <si>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</si>
  <si>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</si>
  <si>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</si>
  <si>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</si>
  <si>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</si>
  <si>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</si>
  <si>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</si>
  <si>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</si>
  <si>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</si>
  <si>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</si>
  <si>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</si>
  <si>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</si>
  <si>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</si>
  <si>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</si>
  <si>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</si>
  <si>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</si>
  <si>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</si>
  <si>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</si>
  <si>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</si>
  <si>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</si>
  <si>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</si>
  <si>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</si>
  <si>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</si>
  <si>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</si>
  <si>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</si>
  <si>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</si>
  <si>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</si>
  <si>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</si>
  <si>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</si>
  <si>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</si>
  <si>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</si>
  <si>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</si>
  <si>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</si>
  <si>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</si>
  <si>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</si>
  <si>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</si>
  <si>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</si>
  <si>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</si>
  <si>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</si>
  <si>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</si>
  <si>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</si>
  <si>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</si>
  <si>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</si>
  <si>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</si>
  <si>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</si>
  <si>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</si>
  <si>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</si>
  <si>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</si>
  <si>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</si>
  <si>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</si>
  <si>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</si>
  <si>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</si>
  <si>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</si>
  <si>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</si>
  <si>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</si>
  <si>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</si>
  <si>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</si>
  <si>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</si>
  <si>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</si>
  <si>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</si>
  <si>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</si>
  <si>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</si>
  <si>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</si>
  <si>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</si>
  <si>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</si>
  <si>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</si>
  <si>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</si>
  <si>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</si>
  <si>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</si>
  <si>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</si>
  <si>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</si>
  <si>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</si>
  <si>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</si>
  <si>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</si>
  <si>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</si>
  <si>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</si>
  <si>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</si>
  <si>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</si>
  <si>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</si>
  <si>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</si>
  <si>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</si>
  <si>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</si>
  <si>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</si>
  <si>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</si>
  <si>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</si>
  <si>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</si>
  <si>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</si>
  <si>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</si>
  <si>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</si>
  <si>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</si>
  <si>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</si>
  <si>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</si>
  <si>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</si>
  <si>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</si>
  <si>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</si>
  <si>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</si>
  <si>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</si>
  <si>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</si>
  <si>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</si>
  <si>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</si>
  <si>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</si>
  <si>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</si>
  <si>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</si>
  <si>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</si>
  <si>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</si>
  <si>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</si>
  <si>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</si>
  <si>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</si>
  <si>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</si>
  <si>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</si>
  <si>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</si>
  <si>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</si>
  <si>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</si>
  <si>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</si>
  <si>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</si>
  <si>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</si>
  <si>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</si>
  <si>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</si>
  <si>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</si>
  <si>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</si>
  <si>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</si>
  <si>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</si>
  <si>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</si>
  <si>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</si>
  <si>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</si>
  <si>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</si>
  <si>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</si>
  <si>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</si>
  <si>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</si>
  <si>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</si>
  <si>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</si>
  <si>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</si>
  <si>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Capex Intensity</t>
  </si>
  <si>
    <t>COGS Margin</t>
  </si>
  <si>
    <t>SG&amp;A Margin</t>
  </si>
  <si>
    <t>Terminal g</t>
  </si>
  <si>
    <t>EBITDA Exit</t>
  </si>
  <si>
    <t xml:space="preserve">Historical VaR </t>
  </si>
  <si>
    <t xml:space="preserve">Parametric VaR </t>
  </si>
  <si>
    <t xml:space="preserve">Monte Carlos VaR </t>
  </si>
  <si>
    <t>Confidence Level 95.0%</t>
  </si>
  <si>
    <t>Confidence Level 99.0%</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</si>
  <si>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</si>
  <si>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</si>
  <si>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</si>
  <si>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</si>
  <si>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</si>
  <si>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</si>
  <si>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</si>
  <si>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</si>
  <si>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</si>
  <si>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</si>
  <si>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</si>
  <si>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</si>
  <si>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</si>
  <si>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</si>
  <si>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</si>
  <si>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</si>
  <si>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</si>
  <si>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</si>
  <si>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</si>
  <si>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</si>
  <si>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</si>
  <si>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</si>
  <si>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</si>
  <si>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</si>
  <si>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</si>
  <si>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</si>
  <si>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</si>
  <si>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</si>
  <si>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</si>
  <si>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</si>
  <si>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</si>
  <si>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</si>
  <si>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</si>
  <si>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</si>
  <si>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</si>
  <si>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</si>
  <si>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</si>
  <si>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</si>
  <si>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</si>
  <si>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</si>
  <si>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</si>
  <si>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 xml:space="preserve">    Interest expense and amortized debt issuance costs</t>
  </si>
  <si>
    <t xml:space="preserve">     Payment processing fees</t>
  </si>
  <si>
    <t xml:space="preserve">              Direct marketing</t>
  </si>
  <si>
    <t>Total cost of revenue/cogs</t>
  </si>
  <si>
    <t>D%A</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</si>
  <si>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</si>
  <si>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</si>
  <si>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</si>
  <si>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</si>
  <si>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</si>
  <si>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</si>
  <si>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</si>
  <si>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</si>
  <si>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</si>
  <si>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</si>
  <si>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</si>
  <si>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</si>
  <si>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</si>
  <si>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</si>
  <si>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</si>
  <si>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</si>
  <si>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</si>
  <si>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</si>
  <si>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</si>
  <si>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</si>
  <si>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</si>
  <si>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</si>
  <si>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</si>
  <si>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</si>
  <si>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</si>
  <si>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</si>
  <si>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</si>
  <si>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</si>
  <si>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</si>
  <si>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</si>
  <si>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</si>
  <si>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</si>
  <si>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</si>
  <si>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</si>
  <si>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</si>
  <si>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</si>
  <si>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</si>
  <si>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</si>
  <si>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</si>
  <si>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</si>
  <si>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</si>
  <si>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</si>
  <si>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</si>
  <si>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</si>
  <si>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</si>
  <si>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</si>
  <si>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</si>
  <si>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</si>
  <si>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</si>
  <si>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</si>
  <si>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</si>
  <si>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</si>
  <si>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</si>
  <si>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</si>
  <si>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</si>
  <si>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</si>
  <si>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</si>
  <si>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</si>
  <si>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</si>
  <si>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</si>
  <si>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</si>
  <si>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</si>
  <si>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</si>
  <si>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</si>
  <si>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</si>
  <si>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</si>
  <si>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</si>
  <si>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</si>
  <si>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</si>
  <si>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</si>
  <si>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</si>
  <si>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</si>
  <si>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</si>
  <si>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</si>
  <si>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</si>
  <si>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</si>
  <si>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</si>
  <si>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</si>
  <si>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NDX Index</t>
  </si>
  <si>
    <t>FORMAT</t>
  </si>
  <si>
    <t>mln</t>
  </si>
  <si>
    <t>(+) Preferred Stock Market Capitalization</t>
  </si>
  <si>
    <t>EV / EBITDA</t>
  </si>
  <si>
    <t>S5SOFT Index</t>
  </si>
  <si>
    <t>TICKER</t>
  </si>
  <si>
    <t>OPFI US Equity</t>
  </si>
  <si>
    <t>(+) Non-controlling Interest</t>
  </si>
  <si>
    <t>P / E</t>
  </si>
  <si>
    <t>PREFERRED TICKER</t>
  </si>
  <si>
    <t>(+) Total Debt</t>
  </si>
  <si>
    <t>P / Sales</t>
  </si>
  <si>
    <t>Peers Formatting</t>
  </si>
  <si>
    <t>Year-end</t>
  </si>
  <si>
    <t>(-) Cash &amp; Cash Equivalents &amp; Short-term Investments</t>
  </si>
  <si>
    <t>Quarter-end</t>
  </si>
  <si>
    <t>Tier I Peers</t>
  </si>
  <si>
    <t>Tier II Peers</t>
  </si>
  <si>
    <t>Tier III Peers</t>
  </si>
  <si>
    <t>ENVA US Equity</t>
  </si>
  <si>
    <t>LC US Equity</t>
  </si>
  <si>
    <t>SYF US Equity</t>
  </si>
  <si>
    <t>RM US Equity</t>
  </si>
  <si>
    <t>UPST US Equity</t>
  </si>
  <si>
    <t>DFS US Equity</t>
  </si>
  <si>
    <t>WRLD US Equity</t>
  </si>
  <si>
    <t>SOFI US Equity</t>
  </si>
  <si>
    <t>COF US Equity</t>
  </si>
  <si>
    <t>EZPW US Equity</t>
  </si>
  <si>
    <t>OPRT US Equity</t>
  </si>
  <si>
    <t>ALLY US Equity</t>
  </si>
  <si>
    <t>OMF US Equity</t>
  </si>
  <si>
    <t>GDOT US Equity</t>
  </si>
  <si>
    <t>AFRM US Equity</t>
  </si>
  <si>
    <t>Stock Returns vs Peers</t>
  </si>
  <si>
    <t>Out. Shares</t>
  </si>
  <si>
    <t>Market Cap</t>
  </si>
  <si>
    <t>Price / Sales</t>
  </si>
  <si>
    <t>Operating Income</t>
  </si>
  <si>
    <t>Capex</t>
  </si>
  <si>
    <t>Debt to Equity</t>
  </si>
  <si>
    <t>Operating Margin</t>
  </si>
  <si>
    <t>ROIC-to-WACC</t>
  </si>
  <si>
    <t>Capex-to-Sales</t>
  </si>
  <si>
    <t>Environmental Data</t>
  </si>
  <si>
    <t>GHG_SCOPE_1</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</si>
  <si>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</si>
  <si>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</si>
  <si>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</si>
  <si>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</si>
  <si>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</si>
  <si>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</si>
  <si>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</si>
  <si>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</si>
  <si>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</si>
  <si>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</si>
  <si>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</si>
  <si>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</si>
  <si>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</si>
  <si>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</si>
  <si>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</si>
  <si>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</si>
  <si>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</si>
  <si>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</si>
  <si>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</si>
  <si>
    <r>
      <rPr>
        <b/>
        <sz val="11"/>
        <color rgb="FF000000"/>
        <rFont val="Arial Nova"/>
      </rPr>
      <t>Maria Inês Ferreira</t>
    </r>
    <r>
      <rPr>
        <sz val="11"/>
        <color rgb="FF000000"/>
        <rFont val="Arial Nova"/>
      </rPr>
      <t>, Analyst</t>
    </r>
  </si>
  <si>
    <t>BSc in Management, ISEG – Ulisboa</t>
  </si>
  <si>
    <t>61624@aln.iseg.ulisboa.pt</t>
  </si>
  <si>
    <t>Strong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</si>
</sst>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00.00"/>
    <numFmt numFmtId="178" formatCode="yyyy\-mm\-dd;@"/>
    <numFmt numFmtId="179" formatCode="#,##0_ ;\-#,##0\ "/>
    <numFmt numFmtId="180" formatCode="_([$$-409]* #,##0.00_);_([$$-409]* \(#,##0.00\);_([$$-409]* &quot;-&quot;??_);_(@_)"/>
    <numFmt numFmtId="181" formatCode="0.0000%"/>
  </numFmts>
  <fonts count="102">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1"/>
      <color rgb="FF00000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8"/>
      <color theme="0"/>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b/>
      <sz val="9"/>
      <color indexed="81"/>
      <name val="Tahoma"/>
      <family val="2"/>
    </font>
    <font>
      <sz val="11"/>
      <color theme="1"/>
      <name val="Arial Nova"/>
      <family val="2"/>
    </font>
    <font>
      <sz val="11"/>
      <color rgb="FF000000"/>
      <name val="Arial Nova"/>
    </font>
    <font>
      <b/>
      <sz val="11"/>
      <color theme="1"/>
      <name val="Arial Nova"/>
    </font>
    <font>
      <sz val="9"/>
      <color rgb="FF000000"/>
      <name val="Tahoma"/>
      <family val="2"/>
    </font>
    <font>
      <i/>
      <sz val="11"/>
      <name val="Arial Nova"/>
    </font>
    <font>
      <sz val="11"/>
      <name val="Arial Nova"/>
    </font>
    <font>
      <b/>
      <sz val="8"/>
      <color theme="0"/>
      <name val="Arial Nova"/>
    </font>
    <font>
      <sz val="11"/>
      <color theme="1"/>
      <name val="Arial Nova"/>
    </font>
    <font>
      <b/>
      <sz val="11"/>
      <color theme="0"/>
      <name val="Arial Nova"/>
    </font>
    <font>
      <b/>
      <sz val="11"/>
      <name val="Arial Nova"/>
    </font>
    <font>
      <i/>
      <sz val="11"/>
      <color theme="1"/>
      <name val="Arial Nova"/>
    </font>
    <font>
      <sz val="11"/>
      <color theme="4"/>
      <name val="Arial Nova"/>
    </font>
    <font>
      <sz val="11"/>
      <color rgb="FFFF0000"/>
      <name val="Arial Nova"/>
    </font>
    <font>
      <sz val="11"/>
      <color rgb="FF0070C0"/>
      <name val="Arial Nova"/>
    </font>
    <font>
      <sz val="11"/>
      <color rgb="FF232A31"/>
      <name val="Arial Nova"/>
    </font>
    <font>
      <b/>
      <sz val="11"/>
      <color rgb="FF000000"/>
      <name val="Arial Nova"/>
    </font>
    <font>
      <sz val="14"/>
      <color rgb="FF000000"/>
      <name val="-webkit-standard"/>
    </font>
    <font>
      <b/>
      <sz val="10"/>
      <color rgb="FF000000"/>
      <name val="Tahoma"/>
      <family val="2"/>
    </font>
    <font>
      <b/>
      <sz val="9"/>
      <color rgb="FF000000"/>
      <name val="Tahoma"/>
      <family val="2"/>
    </font>
  </fonts>
  <fills count="19">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0B050"/>
        <bgColor indexed="64"/>
      </patternFill>
    </fill>
  </fills>
  <borders count="32">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right style="thick">
        <color theme="1"/>
      </right>
      <top/>
      <bottom/>
      <diagonal/>
    </border>
    <border>
      <left style="thin">
        <color indexed="64"/>
      </left>
      <right/>
      <top/>
      <bottom/>
      <diagonal/>
    </border>
    <border>
      <left/>
      <right/>
      <top/>
      <bottom style="thin">
        <color rgb="FF000000"/>
      </bottom>
      <diagonal/>
    </border>
  </borders>
  <cellStyleXfs count="18">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xf numFmtId="164" fontId="2" fillId="0" borderId="0" applyFont="0" applyFill="0" applyBorder="0" applyAlignment="0" applyProtection="0"/>
    <xf numFmtId="0" fontId="1" fillId="0" borderId="0"/>
    <xf numFmtId="0" fontId="1" fillId="0" borderId="0"/>
    <xf numFmtId="9" fontId="1" fillId="0" borderId="0" applyFont="0" applyFill="0" applyBorder="0" applyAlignment="0" applyProtection="0"/>
  </cellStyleXfs>
  <cellXfs count="836">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0" fontId="27" fillId="0" borderId="0" xfId="0" applyFont="1" applyProtection="1">
      <protection locked="0"/>
    </xf>
    <xf numFmtId="2" fontId="28" fillId="0" borderId="0" xfId="0" applyNumberFormat="1" applyFont="1" applyProtection="1">
      <protection locked="0"/>
    </xf>
    <xf numFmtId="0" fontId="34" fillId="11" borderId="19" xfId="0" applyFont="1" applyFill="1" applyBorder="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0" borderId="0" xfId="2" applyNumberFormat="1" applyFont="1" applyFill="1" applyBorder="1" applyProtection="1">
      <protection locked="0"/>
    </xf>
    <xf numFmtId="168" fontId="24" fillId="0" borderId="0" xfId="2" applyNumberFormat="1" applyFont="1" applyProtection="1">
      <protection locked="0"/>
    </xf>
    <xf numFmtId="37" fontId="28" fillId="0" borderId="0" xfId="0" applyNumberFormat="1" applyFont="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168" fontId="28"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7" fillId="0" borderId="0" xfId="0" applyNumberFormat="1" applyFont="1" applyProtection="1">
      <protection locked="0"/>
    </xf>
    <xf numFmtId="175" fontId="27" fillId="0" borderId="0" xfId="0" applyNumberFormat="1" applyFont="1"/>
    <xf numFmtId="175" fontId="27" fillId="0" borderId="3" xfId="0" applyNumberFormat="1" applyFont="1" applyBorder="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28" fillId="0" borderId="0" xfId="0" applyFont="1" applyAlignment="1">
      <alignment horizontal="left"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27" fillId="10" borderId="0" xfId="5" applyFont="1" applyFill="1" applyAlignment="1">
      <alignment vertical="center"/>
    </xf>
    <xf numFmtId="0" fontId="43" fillId="10" borderId="0" xfId="5" applyFont="1" applyFill="1" applyAlignment="1">
      <alignment vertical="center"/>
    </xf>
    <xf numFmtId="0" fontId="25" fillId="0" borderId="0" xfId="0" applyFont="1" applyAlignment="1">
      <alignment horizontal="left" indent="1"/>
    </xf>
    <xf numFmtId="0" fontId="6" fillId="9" borderId="21" xfId="13" applyFont="1" applyFill="1" applyBorder="1"/>
    <xf numFmtId="0" fontId="52"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3"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4"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5" fillId="11" borderId="7" xfId="2" applyNumberFormat="1" applyFont="1" applyFill="1" applyBorder="1" applyAlignment="1">
      <alignment horizontal="center"/>
    </xf>
    <xf numFmtId="0" fontId="55"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6" fillId="0" borderId="0" xfId="1" applyNumberFormat="1" applyFont="1"/>
    <xf numFmtId="0" fontId="57" fillId="0" borderId="0" xfId="0" applyFont="1"/>
    <xf numFmtId="0" fontId="56"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58" fillId="0" borderId="0" xfId="2" applyNumberFormat="1" applyFont="1"/>
    <xf numFmtId="0" fontId="59"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0"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0" fontId="33" fillId="11" borderId="7" xfId="0" applyFont="1" applyFill="1" applyBorder="1" applyProtection="1">
      <protection locked="0"/>
    </xf>
    <xf numFmtId="0" fontId="33" fillId="11" borderId="17" xfId="0" applyFont="1" applyFill="1" applyBorder="1"/>
    <xf numFmtId="37" fontId="33" fillId="11" borderId="7" xfId="0" applyNumberFormat="1" applyFont="1" applyFill="1" applyBorder="1" applyProtection="1">
      <protection locked="0"/>
    </xf>
    <xf numFmtId="0" fontId="33" fillId="11" borderId="17" xfId="0" applyFont="1" applyFill="1" applyBorder="1" applyProtection="1">
      <protection locked="0"/>
    </xf>
    <xf numFmtId="166" fontId="37" fillId="2" borderId="0" xfId="0" applyNumberFormat="1" applyFont="1" applyFill="1" applyAlignment="1">
      <alignment horizontal="center"/>
    </xf>
    <xf numFmtId="0" fontId="28" fillId="0" borderId="0" xfId="0" applyFont="1" applyAlignment="1">
      <alignment horizont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1"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0" fontId="62" fillId="0" borderId="0" xfId="0" applyFont="1" applyAlignment="1">
      <alignment horizontal="left" indent="1"/>
    </xf>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5" fillId="0" borderId="0" xfId="3" applyFont="1" applyAlignment="1">
      <alignment horizontal="left" indent="1"/>
    </xf>
    <xf numFmtId="0" fontId="63" fillId="0" borderId="0" xfId="3" applyFont="1" applyBorder="1" applyAlignment="1">
      <alignment horizontal="right"/>
    </xf>
    <xf numFmtId="170" fontId="8" fillId="0" borderId="0" xfId="0" applyNumberFormat="1" applyFont="1"/>
    <xf numFmtId="0" fontId="68"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7" fillId="0" borderId="0" xfId="0" applyFont="1"/>
    <xf numFmtId="0" fontId="53" fillId="2" borderId="0" xfId="0" applyFont="1" applyFill="1" applyAlignment="1">
      <alignment horizontal="left"/>
    </xf>
    <xf numFmtId="0" fontId="69" fillId="10" borderId="0" xfId="0" applyFont="1" applyFill="1"/>
    <xf numFmtId="0" fontId="70" fillId="0" borderId="0" xfId="0" applyFont="1"/>
    <xf numFmtId="0" fontId="69" fillId="0" borderId="0" xfId="0" applyFont="1"/>
    <xf numFmtId="0" fontId="71"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5" fillId="0" borderId="0" xfId="3" applyFont="1" applyAlignment="1">
      <alignment horizontal="left" vertical="top" indent="1"/>
    </xf>
    <xf numFmtId="0" fontId="8" fillId="14"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28" fillId="0" borderId="0" xfId="2" applyFont="1" applyAlignment="1">
      <alignment horizontal="center"/>
    </xf>
    <xf numFmtId="176" fontId="28" fillId="0" borderId="0" xfId="2" applyNumberFormat="1" applyFont="1" applyAlignment="1">
      <alignment horizontal="center"/>
    </xf>
    <xf numFmtId="9" fontId="8" fillId="0" borderId="0" xfId="2" applyFont="1"/>
    <xf numFmtId="2" fontId="79" fillId="0" borderId="0" xfId="0" applyNumberFormat="1" applyFont="1"/>
    <xf numFmtId="168" fontId="79" fillId="0" borderId="0" xfId="2" applyNumberFormat="1" applyFont="1"/>
    <xf numFmtId="0" fontId="79" fillId="0" borderId="0" xfId="0" applyFont="1"/>
    <xf numFmtId="3" fontId="79" fillId="0" borderId="0" xfId="0" applyNumberFormat="1" applyFont="1"/>
    <xf numFmtId="0" fontId="80" fillId="0" borderId="0" xfId="0" applyFont="1" applyAlignment="1">
      <alignment horizontal="right"/>
    </xf>
    <xf numFmtId="177" fontId="28" fillId="0" borderId="0" xfId="2" applyNumberFormat="1" applyFont="1" applyAlignment="1">
      <alignment horizontal="center"/>
    </xf>
    <xf numFmtId="0" fontId="43" fillId="15" borderId="0" xfId="5" applyFont="1" applyFill="1" applyAlignment="1">
      <alignment vertical="center"/>
    </xf>
    <xf numFmtId="0" fontId="27" fillId="15" borderId="0" xfId="5" applyFont="1" applyFill="1" applyAlignment="1">
      <alignment vertical="center"/>
    </xf>
    <xf numFmtId="0" fontId="66" fillId="15" borderId="0" xfId="0" applyFont="1" applyFill="1" applyAlignment="1">
      <alignment horizont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6" fillId="9" borderId="4" xfId="0" applyNumberFormat="1" applyFont="1" applyFill="1" applyBorder="1" applyProtection="1">
      <protection locked="0"/>
    </xf>
    <xf numFmtId="168" fontId="27" fillId="0" borderId="0" xfId="0" applyNumberFormat="1" applyFont="1" applyProtection="1">
      <protection locked="0"/>
    </xf>
    <xf numFmtId="173" fontId="27" fillId="0" borderId="0" xfId="0" applyNumberFormat="1" applyFont="1" applyProtection="1">
      <protection locked="0"/>
    </xf>
    <xf numFmtId="178" fontId="8" fillId="10" borderId="0" xfId="0" applyNumberFormat="1" applyFont="1" applyFill="1"/>
    <xf numFmtId="178" fontId="5" fillId="10" borderId="0" xfId="0" applyNumberFormat="1" applyFont="1" applyFill="1"/>
    <xf numFmtId="0" fontId="43" fillId="0" borderId="0" xfId="0" applyFont="1" applyAlignment="1" applyProtection="1">
      <alignment horizontal="right"/>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6" borderId="19" xfId="0" applyFont="1" applyFill="1" applyBorder="1" applyAlignment="1">
      <alignment horizontal="left" indent="1"/>
    </xf>
    <xf numFmtId="3" fontId="35" fillId="0" borderId="0" xfId="0" applyNumberFormat="1" applyFont="1"/>
    <xf numFmtId="37" fontId="35" fillId="0" borderId="0" xfId="0" applyNumberFormat="1" applyFont="1"/>
    <xf numFmtId="0" fontId="81"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6"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6"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10" fontId="34" fillId="11" borderId="1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172" fontId="26" fillId="9" borderId="4" xfId="0" applyNumberFormat="1" applyFont="1" applyFill="1" applyBorder="1"/>
    <xf numFmtId="172" fontId="26" fillId="9" borderId="18" xfId="0" applyNumberFormat="1" applyFont="1" applyFill="1" applyBorder="1"/>
    <xf numFmtId="168" fontId="26" fillId="9" borderId="4" xfId="2" applyNumberFormat="1" applyFont="1" applyFill="1" applyBorder="1"/>
    <xf numFmtId="9" fontId="26" fillId="9" borderId="4" xfId="2" applyFont="1" applyFill="1" applyBorder="1"/>
    <xf numFmtId="0" fontId="28" fillId="0" borderId="29" xfId="0" applyFont="1" applyBorder="1"/>
    <xf numFmtId="0" fontId="28" fillId="15" borderId="29" xfId="0" applyFont="1" applyFill="1" applyBorder="1"/>
    <xf numFmtId="0" fontId="28" fillId="10" borderId="29" xfId="0" applyFont="1" applyFill="1" applyBorder="1"/>
    <xf numFmtId="0" fontId="83" fillId="0" borderId="29" xfId="0" applyFont="1" applyBorder="1"/>
    <xf numFmtId="0" fontId="37" fillId="15" borderId="29" xfId="0" applyFont="1" applyFill="1" applyBorder="1"/>
    <xf numFmtId="0" fontId="37" fillId="15" borderId="29" xfId="0" applyFont="1" applyFill="1" applyBorder="1" applyAlignment="1">
      <alignment horizontal="left"/>
    </xf>
    <xf numFmtId="0" fontId="28" fillId="10" borderId="29" xfId="0" applyFont="1" applyFill="1" applyBorder="1" applyAlignment="1">
      <alignment horizontal="left" indent="1"/>
    </xf>
    <xf numFmtId="0" fontId="28" fillId="0" borderId="29" xfId="0" applyFont="1" applyBorder="1" applyAlignment="1">
      <alignment horizontal="left" indent="1"/>
    </xf>
    <xf numFmtId="0" fontId="28" fillId="0" borderId="0" xfId="0" applyFont="1" applyAlignment="1" applyProtection="1">
      <alignment horizontal="right"/>
      <protection locked="0"/>
    </xf>
    <xf numFmtId="1" fontId="28" fillId="0" borderId="0" xfId="0" applyNumberFormat="1" applyFont="1" applyProtection="1">
      <protection locked="0"/>
    </xf>
    <xf numFmtId="0" fontId="66" fillId="15" borderId="29" xfId="0" applyFont="1" applyFill="1" applyBorder="1" applyAlignment="1">
      <alignment horizontal="center"/>
    </xf>
    <xf numFmtId="9" fontId="28" fillId="0" borderId="29" xfId="2" applyFont="1" applyBorder="1" applyAlignment="1">
      <alignment horizontal="center"/>
    </xf>
    <xf numFmtId="173" fontId="28" fillId="0" borderId="29" xfId="2" applyNumberFormat="1" applyFont="1" applyBorder="1" applyAlignment="1">
      <alignment horizontal="center"/>
    </xf>
    <xf numFmtId="173" fontId="28" fillId="0" borderId="0" xfId="2" applyNumberFormat="1" applyFont="1" applyAlignment="1">
      <alignment horizontal="center"/>
    </xf>
    <xf numFmtId="176" fontId="28" fillId="0" borderId="29" xfId="2" applyNumberFormat="1" applyFont="1" applyBorder="1" applyAlignment="1">
      <alignment horizontal="center"/>
    </xf>
    <xf numFmtId="177" fontId="28" fillId="0" borderId="29" xfId="2" applyNumberFormat="1" applyFont="1" applyBorder="1" applyAlignment="1">
      <alignment horizontal="center"/>
    </xf>
    <xf numFmtId="37" fontId="27" fillId="0" borderId="0" xfId="1" applyNumberFormat="1" applyFont="1" applyProtection="1">
      <protection locked="0"/>
    </xf>
    <xf numFmtId="37" fontId="27" fillId="0" borderId="0" xfId="1" applyNumberFormat="1" applyFont="1"/>
    <xf numFmtId="0" fontId="28" fillId="0" borderId="0" xfId="0" applyFont="1" applyAlignment="1" applyProtection="1">
      <alignment horizontal="center"/>
      <protection locked="0"/>
    </xf>
    <xf numFmtId="0" fontId="28" fillId="0" borderId="0" xfId="0" applyFont="1" applyAlignment="1" applyProtection="1">
      <alignment wrapText="1"/>
      <protection locked="0"/>
    </xf>
    <xf numFmtId="168" fontId="15" fillId="0" borderId="0" xfId="0" applyNumberFormat="1" applyFont="1" applyProtection="1">
      <protection locked="0"/>
    </xf>
    <xf numFmtId="10" fontId="15" fillId="0" borderId="0" xfId="0" applyNumberFormat="1" applyFont="1" applyProtection="1">
      <protection locked="0"/>
    </xf>
    <xf numFmtId="0" fontId="26" fillId="0" borderId="0" xfId="0" applyFont="1" applyAlignment="1" applyProtection="1">
      <alignment wrapText="1"/>
      <protection locked="0"/>
    </xf>
    <xf numFmtId="1" fontId="28" fillId="0" borderId="0" xfId="0" applyNumberFormat="1" applyFont="1" applyAlignment="1" applyProtection="1">
      <alignment wrapText="1"/>
      <protection locked="0"/>
    </xf>
    <xf numFmtId="10" fontId="61" fillId="0" borderId="0" xfId="3" applyNumberFormat="1" applyFont="1"/>
    <xf numFmtId="180" fontId="34" fillId="3" borderId="0" xfId="2" applyNumberFormat="1" applyFont="1" applyFill="1"/>
    <xf numFmtId="180" fontId="34" fillId="0" borderId="0" xfId="0" applyNumberFormat="1" applyFont="1"/>
    <xf numFmtId="37" fontId="27" fillId="3" borderId="0" xfId="2" applyNumberFormat="1" applyFont="1" applyFill="1" applyProtection="1">
      <protection locked="0"/>
    </xf>
    <xf numFmtId="181" fontId="25" fillId="3" borderId="0" xfId="2" applyNumberFormat="1" applyFont="1" applyFill="1"/>
    <xf numFmtId="2" fontId="25" fillId="3" borderId="0" xfId="2" applyNumberFormat="1" applyFont="1" applyFill="1" applyAlignment="1">
      <alignment wrapText="1"/>
    </xf>
    <xf numFmtId="181" fontId="25" fillId="3" borderId="31" xfId="2" applyNumberFormat="1" applyFont="1" applyFill="1" applyBorder="1"/>
    <xf numFmtId="181" fontId="28" fillId="0" borderId="0" xfId="0" applyNumberFormat="1" applyFont="1"/>
    <xf numFmtId="0" fontId="85" fillId="0" borderId="0" xfId="0" applyFont="1" applyAlignment="1">
      <alignment horizontal="left" wrapText="1" indent="1"/>
    </xf>
    <xf numFmtId="1" fontId="28" fillId="0" borderId="0" xfId="0" applyNumberFormat="1" applyFont="1"/>
    <xf numFmtId="37" fontId="38" fillId="4" borderId="0" xfId="0" applyNumberFormat="1" applyFont="1" applyFill="1" applyProtection="1">
      <protection locked="0"/>
    </xf>
    <xf numFmtId="0" fontId="89" fillId="15" borderId="0" xfId="0" applyFont="1" applyFill="1" applyAlignment="1">
      <alignment horizontal="center"/>
    </xf>
    <xf numFmtId="0" fontId="90" fillId="0" borderId="0" xfId="0" applyFont="1"/>
    <xf numFmtId="0" fontId="91" fillId="2" borderId="0" xfId="0" applyFont="1" applyFill="1"/>
    <xf numFmtId="0" fontId="91" fillId="2" borderId="0" xfId="5" applyFont="1" applyFill="1" applyAlignment="1">
      <alignment vertical="center"/>
    </xf>
    <xf numFmtId="0" fontId="91" fillId="0" borderId="0" xfId="0" applyFont="1" applyAlignment="1" applyProtection="1">
      <alignment horizontal="left" indent="1"/>
      <protection locked="0"/>
    </xf>
    <xf numFmtId="0" fontId="91" fillId="2" borderId="0" xfId="0" applyFont="1" applyFill="1" applyAlignment="1" applyProtection="1">
      <alignment horizontal="left"/>
      <protection locked="0"/>
    </xf>
    <xf numFmtId="0" fontId="91" fillId="2" borderId="0" xfId="0" applyFont="1" applyFill="1" applyAlignment="1" applyProtection="1">
      <alignment horizontal="left" indent="1"/>
      <protection locked="0"/>
    </xf>
    <xf numFmtId="0" fontId="88" fillId="10" borderId="0" xfId="5" applyFont="1" applyFill="1" applyAlignment="1">
      <alignment vertical="center"/>
    </xf>
    <xf numFmtId="0" fontId="92" fillId="10" borderId="0" xfId="5" applyFont="1" applyFill="1" applyAlignment="1">
      <alignment vertical="center"/>
    </xf>
    <xf numFmtId="0" fontId="91" fillId="0" borderId="0" xfId="0" applyFont="1" applyProtection="1">
      <protection locked="0"/>
    </xf>
    <xf numFmtId="0" fontId="91" fillId="10" borderId="0" xfId="0" applyFont="1" applyFill="1" applyProtection="1">
      <protection locked="0"/>
    </xf>
    <xf numFmtId="0" fontId="88" fillId="0" borderId="0" xfId="5" applyFont="1" applyAlignment="1">
      <alignment vertical="center"/>
    </xf>
    <xf numFmtId="0" fontId="92" fillId="0" borderId="0" xfId="5" applyFont="1" applyAlignment="1">
      <alignment vertical="center"/>
    </xf>
    <xf numFmtId="0" fontId="85" fillId="0" borderId="0" xfId="0" applyFont="1" applyAlignment="1">
      <alignment horizontal="left" indent="1"/>
    </xf>
    <xf numFmtId="0" fontId="90" fillId="0" borderId="0" xfId="0" applyFont="1" applyAlignment="1">
      <alignment horizontal="left" vertical="top" wrapText="1"/>
    </xf>
    <xf numFmtId="0" fontId="93" fillId="0" borderId="0" xfId="0" applyFont="1" applyAlignment="1">
      <alignment horizontal="left" indent="1"/>
    </xf>
    <xf numFmtId="0" fontId="90" fillId="0" borderId="0" xfId="0" applyFont="1" applyAlignment="1">
      <alignment horizontal="left" indent="1"/>
    </xf>
    <xf numFmtId="0" fontId="85" fillId="0" borderId="0" xfId="0" applyFont="1" applyAlignment="1">
      <alignment horizontal="center" vertical="center" wrapText="1"/>
    </xf>
    <xf numFmtId="0" fontId="85" fillId="0" borderId="0" xfId="0" applyFont="1"/>
    <xf numFmtId="0" fontId="90" fillId="10" borderId="0" xfId="0" applyFont="1" applyFill="1"/>
    <xf numFmtId="0" fontId="88" fillId="0" borderId="25" xfId="5" applyFont="1" applyBorder="1" applyAlignment="1">
      <alignment vertical="center"/>
    </xf>
    <xf numFmtId="0" fontId="92" fillId="0" borderId="25" xfId="5" applyFont="1" applyBorder="1" applyAlignment="1">
      <alignment vertical="center"/>
    </xf>
    <xf numFmtId="0" fontId="92" fillId="0" borderId="0" xfId="5" applyFont="1" applyAlignment="1">
      <alignment horizontal="left" vertical="center" indent="1"/>
    </xf>
    <xf numFmtId="0" fontId="94" fillId="0" borderId="0" xfId="5" applyFont="1" applyAlignment="1">
      <alignment horizontal="right" vertical="center"/>
    </xf>
    <xf numFmtId="14" fontId="94" fillId="0" borderId="0" xfId="5" applyNumberFormat="1" applyFont="1" applyAlignment="1">
      <alignment horizontal="right" vertical="center"/>
    </xf>
    <xf numFmtId="0" fontId="94" fillId="0" borderId="0" xfId="5" applyFont="1" applyAlignment="1">
      <alignment vertical="center"/>
    </xf>
    <xf numFmtId="0" fontId="85" fillId="0" borderId="0" xfId="0" applyFont="1" applyAlignment="1">
      <alignment horizontal="left" vertical="top" indent="1"/>
    </xf>
    <xf numFmtId="0" fontId="88" fillId="0" borderId="0" xfId="5" applyFont="1" applyAlignment="1">
      <alignment horizontal="center" vertical="center"/>
    </xf>
    <xf numFmtId="0" fontId="88" fillId="0" borderId="0" xfId="5" applyFont="1" applyAlignment="1">
      <alignment horizontal="left" vertical="center" wrapText="1"/>
    </xf>
    <xf numFmtId="0" fontId="88" fillId="0" borderId="0" xfId="5" applyFont="1" applyAlignment="1">
      <alignment horizontal="left" vertical="top" wrapText="1"/>
    </xf>
    <xf numFmtId="0" fontId="92" fillId="0" borderId="25" xfId="5" applyFont="1" applyBorder="1" applyAlignment="1">
      <alignment horizontal="right" vertical="center"/>
    </xf>
    <xf numFmtId="0" fontId="90" fillId="0" borderId="0" xfId="0" applyFont="1" applyAlignment="1">
      <alignment horizontal="left" vertical="center" wrapText="1"/>
    </xf>
    <xf numFmtId="0" fontId="90" fillId="0" borderId="0" xfId="0" applyFont="1" applyAlignment="1">
      <alignment vertical="center" wrapText="1"/>
    </xf>
    <xf numFmtId="0" fontId="88" fillId="0" borderId="0" xfId="5" applyFont="1" applyAlignment="1">
      <alignment horizontal="left" vertical="center"/>
    </xf>
    <xf numFmtId="2" fontId="96" fillId="9" borderId="4" xfId="0" applyNumberFormat="1" applyFont="1" applyFill="1" applyBorder="1" applyProtection="1">
      <protection locked="0"/>
    </xf>
    <xf numFmtId="2" fontId="96" fillId="9" borderId="4" xfId="0" applyNumberFormat="1" applyFont="1" applyFill="1" applyBorder="1"/>
    <xf numFmtId="2" fontId="26" fillId="4" borderId="4" xfId="0" applyNumberFormat="1" applyFont="1" applyFill="1" applyBorder="1" applyProtection="1">
      <protection locked="0"/>
    </xf>
    <xf numFmtId="2" fontId="26" fillId="4" borderId="4" xfId="0" applyNumberFormat="1" applyFont="1" applyFill="1" applyBorder="1"/>
    <xf numFmtId="0" fontId="90" fillId="0" borderId="29" xfId="0" applyFont="1" applyBorder="1" applyAlignment="1">
      <alignment horizontal="left" indent="1"/>
    </xf>
    <xf numFmtId="9" fontId="90" fillId="0" borderId="29" xfId="2" applyFont="1" applyBorder="1" applyAlignment="1">
      <alignment horizontal="center"/>
    </xf>
    <xf numFmtId="9" fontId="90" fillId="0" borderId="0" xfId="2" applyFont="1" applyAlignment="1">
      <alignment horizontal="center"/>
    </xf>
    <xf numFmtId="0" fontId="7" fillId="0" borderId="0" xfId="3" applyFill="1"/>
    <xf numFmtId="180" fontId="79" fillId="0" borderId="0" xfId="0" applyNumberFormat="1" applyFont="1"/>
    <xf numFmtId="0" fontId="6" fillId="0" borderId="0" xfId="0" applyFont="1"/>
    <xf numFmtId="0" fontId="98" fillId="4" borderId="0" xfId="0" applyFont="1" applyFill="1" applyAlignment="1">
      <alignment horizontal="center"/>
    </xf>
    <xf numFmtId="166" fontId="16" fillId="2" borderId="10" xfId="0" applyNumberFormat="1" applyFont="1" applyFill="1" applyBorder="1" applyAlignment="1">
      <alignment horizontal="center"/>
    </xf>
    <xf numFmtId="37" fontId="39" fillId="3" borderId="0" xfId="0" applyNumberFormat="1" applyFont="1" applyFill="1"/>
    <xf numFmtId="37" fontId="38" fillId="3" borderId="0" xfId="0" applyNumberFormat="1" applyFont="1" applyFill="1"/>
    <xf numFmtId="37" fontId="38" fillId="4" borderId="0" xfId="0" applyNumberFormat="1" applyFont="1" applyFill="1"/>
    <xf numFmtId="168" fontId="24" fillId="3" borderId="0" xfId="2" applyNumberFormat="1" applyFont="1" applyFill="1" applyProtection="1"/>
    <xf numFmtId="168" fontId="24" fillId="0" borderId="0" xfId="2" applyNumberFormat="1" applyFont="1" applyFill="1" applyBorder="1" applyProtection="1"/>
    <xf numFmtId="168" fontId="24" fillId="4" borderId="0" xfId="2" applyNumberFormat="1" applyFont="1" applyFill="1" applyProtection="1"/>
    <xf numFmtId="3" fontId="27" fillId="0" borderId="0" xfId="0" applyNumberFormat="1" applyFont="1"/>
    <xf numFmtId="168" fontId="24" fillId="0" borderId="0" xfId="2" applyNumberFormat="1" applyFont="1" applyProtection="1"/>
    <xf numFmtId="37" fontId="39" fillId="0" borderId="0" xfId="1" applyNumberFormat="1" applyFont="1" applyProtection="1"/>
    <xf numFmtId="37" fontId="27" fillId="0" borderId="3" xfId="1" applyNumberFormat="1" applyFont="1" applyBorder="1" applyProtection="1"/>
    <xf numFmtId="37" fontId="27" fillId="3" borderId="0" xfId="0" applyNumberFormat="1" applyFont="1" applyFill="1"/>
    <xf numFmtId="168" fontId="23" fillId="9" borderId="4" xfId="2" applyNumberFormat="1" applyFont="1" applyFill="1" applyBorder="1" applyProtection="1"/>
    <xf numFmtId="168" fontId="24" fillId="4" borderId="0" xfId="2" applyNumberFormat="1" applyFont="1" applyFill="1" applyBorder="1" applyProtection="1"/>
    <xf numFmtId="168" fontId="24" fillId="3" borderId="0" xfId="2" applyNumberFormat="1" applyFont="1" applyFill="1" applyBorder="1" applyProtection="1"/>
    <xf numFmtId="168" fontId="24" fillId="0" borderId="0" xfId="2" applyNumberFormat="1" applyFont="1" applyFill="1" applyBorder="1" applyAlignment="1" applyProtection="1">
      <alignment wrapText="1"/>
    </xf>
    <xf numFmtId="37" fontId="27" fillId="3" borderId="0" xfId="2" applyNumberFormat="1" applyFont="1" applyFill="1" applyBorder="1" applyProtection="1"/>
    <xf numFmtId="37" fontId="39" fillId="3" borderId="0" xfId="2" applyNumberFormat="1" applyFont="1" applyFill="1" applyBorder="1" applyProtection="1"/>
    <xf numFmtId="168" fontId="23" fillId="9" borderId="4" xfId="2" applyNumberFormat="1" applyFont="1" applyFill="1" applyBorder="1" applyAlignment="1" applyProtection="1">
      <alignment wrapText="1"/>
    </xf>
    <xf numFmtId="168" fontId="27" fillId="3" borderId="0" xfId="0" applyNumberFormat="1" applyFont="1" applyFill="1"/>
    <xf numFmtId="168" fontId="27" fillId="4" borderId="0" xfId="0" applyNumberFormat="1" applyFont="1" applyFill="1"/>
    <xf numFmtId="37" fontId="88" fillId="4" borderId="0" xfId="0" applyNumberFormat="1" applyFont="1" applyFill="1"/>
    <xf numFmtId="168" fontId="24" fillId="3" borderId="0" xfId="2" applyNumberFormat="1" applyFont="1" applyFill="1" applyBorder="1" applyAlignment="1" applyProtection="1">
      <alignment wrapText="1"/>
    </xf>
    <xf numFmtId="168" fontId="87" fillId="3" borderId="0" xfId="2" applyNumberFormat="1" applyFont="1" applyFill="1" applyAlignment="1" applyProtection="1">
      <alignment wrapText="1"/>
    </xf>
    <xf numFmtId="175" fontId="27" fillId="3" borderId="0" xfId="0" applyNumberFormat="1" applyFont="1" applyFill="1"/>
    <xf numFmtId="168" fontId="25" fillId="0" borderId="0" xfId="0" applyNumberFormat="1" applyFont="1"/>
    <xf numFmtId="37" fontId="24" fillId="3" borderId="0" xfId="0" applyNumberFormat="1" applyFont="1" applyFill="1"/>
    <xf numFmtId="37" fontId="23" fillId="9" borderId="4" xfId="0" applyNumberFormat="1" applyFont="1" applyFill="1" applyBorder="1"/>
    <xf numFmtId="168" fontId="28" fillId="0" borderId="0" xfId="2" applyNumberFormat="1" applyFont="1" applyProtection="1"/>
    <xf numFmtId="0" fontId="34" fillId="10" borderId="0" xfId="0" applyFont="1" applyFill="1"/>
    <xf numFmtId="168" fontId="24" fillId="5" borderId="0" xfId="2" applyNumberFormat="1" applyFont="1" applyFill="1" applyProtection="1"/>
    <xf numFmtId="168" fontId="25" fillId="0" borderId="0" xfId="2" applyNumberFormat="1" applyFont="1" applyProtection="1"/>
    <xf numFmtId="175" fontId="23" fillId="9" borderId="4" xfId="0" applyNumberFormat="1" applyFont="1" applyFill="1" applyBorder="1"/>
    <xf numFmtId="175" fontId="25" fillId="0" borderId="0" xfId="0" applyNumberFormat="1" applyFont="1"/>
    <xf numFmtId="175" fontId="24" fillId="3" borderId="0" xfId="0" applyNumberFormat="1" applyFont="1" applyFill="1"/>
    <xf numFmtId="39" fontId="25" fillId="0" borderId="0" xfId="0" applyNumberFormat="1" applyFont="1"/>
    <xf numFmtId="168" fontId="23" fillId="9" borderId="4" xfId="2" applyNumberFormat="1" applyFont="1" applyFill="1" applyBorder="1" applyAlignment="1" applyProtection="1">
      <alignment horizontal="right"/>
    </xf>
    <xf numFmtId="168" fontId="23" fillId="0" borderId="0" xfId="2" applyNumberFormat="1" applyFont="1" applyFill="1" applyBorder="1" applyProtection="1"/>
    <xf numFmtId="179" fontId="23" fillId="9" borderId="4" xfId="2" applyNumberFormat="1" applyFont="1" applyFill="1" applyBorder="1" applyProtection="1"/>
    <xf numFmtId="37" fontId="27" fillId="4" borderId="0" xfId="0" applyNumberFormat="1" applyFont="1" applyFill="1"/>
    <xf numFmtId="3" fontId="27" fillId="4" borderId="0" xfId="0" applyNumberFormat="1" applyFont="1" applyFill="1"/>
    <xf numFmtId="0" fontId="16" fillId="2" borderId="0" xfId="0" applyFont="1" applyFill="1"/>
    <xf numFmtId="1" fontId="28" fillId="4" borderId="0" xfId="0" applyNumberFormat="1" applyFont="1" applyFill="1"/>
    <xf numFmtId="0" fontId="28" fillId="0" borderId="0" xfId="0" applyFont="1" applyAlignment="1">
      <alignment wrapText="1"/>
    </xf>
    <xf numFmtId="168" fontId="28" fillId="4" borderId="0" xfId="0" applyNumberFormat="1" applyFont="1" applyFill="1"/>
    <xf numFmtId="168" fontId="28" fillId="0" borderId="0" xfId="0" applyNumberFormat="1" applyFont="1"/>
    <xf numFmtId="168" fontId="28" fillId="0" borderId="0" xfId="0" applyNumberFormat="1" applyFont="1" applyAlignment="1">
      <alignment wrapText="1"/>
    </xf>
    <xf numFmtId="37" fontId="33" fillId="11" borderId="7" xfId="0" applyNumberFormat="1" applyFont="1" applyFill="1" applyBorder="1"/>
    <xf numFmtId="10" fontId="27" fillId="0" borderId="0" xfId="0" applyNumberFormat="1" applyFont="1"/>
    <xf numFmtId="168" fontId="39" fillId="3" borderId="0" xfId="2" applyNumberFormat="1" applyFont="1" applyFill="1" applyProtection="1"/>
    <xf numFmtId="168" fontId="39" fillId="0" borderId="0" xfId="2" applyNumberFormat="1" applyFont="1" applyProtection="1"/>
    <xf numFmtId="37" fontId="28" fillId="0" borderId="7" xfId="0" applyNumberFormat="1" applyFont="1" applyBorder="1"/>
    <xf numFmtId="37" fontId="28" fillId="3" borderId="0" xfId="0" applyNumberFormat="1" applyFont="1" applyFill="1"/>
    <xf numFmtId="0" fontId="28" fillId="0" borderId="13" xfId="0" applyFont="1" applyBorder="1"/>
    <xf numFmtId="0" fontId="28" fillId="3" borderId="0" xfId="0" applyFont="1" applyFill="1"/>
    <xf numFmtId="37" fontId="34" fillId="11" borderId="7" xfId="0" applyNumberFormat="1" applyFont="1" applyFill="1" applyBorder="1"/>
    <xf numFmtId="172" fontId="90" fillId="0" borderId="27" xfId="1" applyNumberFormat="1" applyFont="1" applyBorder="1" applyAlignment="1">
      <alignment horizontal="right"/>
    </xf>
    <xf numFmtId="0" fontId="99" fillId="0" borderId="0" xfId="0" applyFont="1"/>
    <xf numFmtId="0" fontId="37" fillId="2" borderId="0" xfId="0" applyFont="1" applyFill="1" applyAlignment="1">
      <alignment wrapText="1"/>
    </xf>
    <xf numFmtId="0" fontId="98" fillId="0" borderId="0" xfId="0" applyFont="1" applyAlignment="1">
      <alignment horizontal="left" indent="1"/>
    </xf>
    <xf numFmtId="0" fontId="7" fillId="0" borderId="0" xfId="3" applyAlignment="1">
      <alignment horizontal="left" vertical="top" indent="1"/>
    </xf>
    <xf numFmtId="0" fontId="75" fillId="0" borderId="0" xfId="0" applyFont="1" applyAlignment="1">
      <alignment horizontal="left" vertical="top" wrapText="1"/>
    </xf>
    <xf numFmtId="0" fontId="84" fillId="0" borderId="0" xfId="0" applyFont="1" applyAlignment="1">
      <alignment horizontal="left" wrapText="1"/>
    </xf>
    <xf numFmtId="0" fontId="56" fillId="0" borderId="30" xfId="0" applyFont="1" applyBorder="1" applyAlignment="1">
      <alignment horizontal="left" wrapText="1" indent="1"/>
    </xf>
    <xf numFmtId="0" fontId="56" fillId="0" borderId="0" xfId="0" applyFont="1" applyAlignment="1">
      <alignment horizontal="left" wrapText="1" indent="1"/>
    </xf>
    <xf numFmtId="0" fontId="94" fillId="0" borderId="0" xfId="5" applyFont="1" applyAlignment="1">
      <alignment horizontal="right" vertical="center"/>
    </xf>
    <xf numFmtId="0" fontId="88" fillId="0" borderId="0" xfId="5" applyFont="1" applyAlignment="1">
      <alignment horizontal="center" vertical="center"/>
    </xf>
    <xf numFmtId="0" fontId="88" fillId="0" borderId="0" xfId="5" applyFont="1" applyAlignment="1">
      <alignment horizontal="left" vertical="center"/>
    </xf>
    <xf numFmtId="0" fontId="90" fillId="0" borderId="0" xfId="0" applyFont="1" applyAlignment="1">
      <alignment horizontal="center"/>
    </xf>
    <xf numFmtId="0" fontId="88" fillId="0" borderId="2" xfId="5" applyFont="1" applyBorder="1" applyAlignment="1">
      <alignment vertical="center"/>
    </xf>
    <xf numFmtId="0" fontId="88" fillId="0" borderId="0" xfId="5" applyFont="1" applyAlignment="1">
      <alignment vertical="center"/>
    </xf>
    <xf numFmtId="0" fontId="90" fillId="0" borderId="2" xfId="0" applyFont="1" applyBorder="1" applyAlignment="1">
      <alignment horizontal="center"/>
    </xf>
    <xf numFmtId="9" fontId="85" fillId="17" borderId="0" xfId="0" applyNumberFormat="1" applyFont="1" applyFill="1" applyAlignment="1">
      <alignment horizontal="right"/>
    </xf>
    <xf numFmtId="9" fontId="85" fillId="13" borderId="0" xfId="0" applyNumberFormat="1" applyFont="1" applyFill="1" applyAlignment="1">
      <alignment horizontal="right"/>
    </xf>
    <xf numFmtId="0" fontId="85" fillId="17" borderId="0" xfId="0" applyFont="1" applyFill="1" applyAlignment="1">
      <alignment horizontal="right"/>
    </xf>
    <xf numFmtId="1" fontId="85" fillId="13" borderId="0" xfId="0" applyNumberFormat="1" applyFont="1" applyFill="1" applyAlignment="1">
      <alignment horizontal="right"/>
    </xf>
    <xf numFmtId="1" fontId="87" fillId="8" borderId="0" xfId="5" applyNumberFormat="1" applyFont="1" applyFill="1" applyAlignment="1">
      <alignment horizontal="right" vertical="center"/>
    </xf>
    <xf numFmtId="1" fontId="87" fillId="5" borderId="0" xfId="5" applyNumberFormat="1" applyFont="1" applyFill="1" applyAlignment="1">
      <alignment horizontal="right" vertical="center"/>
    </xf>
    <xf numFmtId="1" fontId="87" fillId="7" borderId="0" xfId="5" applyNumberFormat="1" applyFont="1" applyFill="1" applyAlignment="1">
      <alignment horizontal="right" vertical="center"/>
    </xf>
    <xf numFmtId="1" fontId="87" fillId="17" borderId="0" xfId="5" applyNumberFormat="1" applyFont="1" applyFill="1" applyAlignment="1">
      <alignment horizontal="right" vertical="center"/>
    </xf>
    <xf numFmtId="170" fontId="87" fillId="7" borderId="0" xfId="5" applyNumberFormat="1" applyFont="1" applyFill="1" applyAlignment="1">
      <alignment horizontal="right" vertical="center"/>
    </xf>
    <xf numFmtId="0" fontId="94" fillId="0" borderId="0" xfId="5" applyFont="1" applyAlignment="1">
      <alignment horizontal="center" vertical="center"/>
    </xf>
    <xf numFmtId="0" fontId="88" fillId="0" borderId="0" xfId="5" applyFont="1" applyAlignment="1">
      <alignment horizontal="center" vertical="center" wrapText="1"/>
    </xf>
    <xf numFmtId="0" fontId="88" fillId="17" borderId="0" xfId="5" applyFont="1" applyFill="1" applyAlignment="1">
      <alignment horizontal="center" vertical="center"/>
    </xf>
    <xf numFmtId="3" fontId="94" fillId="0" borderId="0" xfId="5" applyNumberFormat="1" applyFont="1" applyAlignment="1">
      <alignment horizontal="right" vertical="center"/>
    </xf>
    <xf numFmtId="14" fontId="94" fillId="0" borderId="0" xfId="5" applyNumberFormat="1" applyFont="1" applyAlignment="1">
      <alignment horizontal="right" vertical="center"/>
    </xf>
    <xf numFmtId="0" fontId="88" fillId="0" borderId="0" xfId="5" applyFont="1" applyAlignment="1">
      <alignment horizontal="left" vertical="top" wrapText="1"/>
    </xf>
    <xf numFmtId="0" fontId="88" fillId="0" borderId="0" xfId="5" applyFont="1" applyAlignment="1">
      <alignment horizontal="left" vertical="center" wrapText="1"/>
    </xf>
    <xf numFmtId="0" fontId="85" fillId="0" borderId="0" xfId="0" applyFont="1" applyAlignment="1">
      <alignment horizontal="left" vertical="top" wrapText="1" indent="1"/>
    </xf>
    <xf numFmtId="0" fontId="88" fillId="5" borderId="0" xfId="5" applyFont="1" applyFill="1" applyAlignment="1">
      <alignment horizontal="center" vertical="center"/>
    </xf>
    <xf numFmtId="0" fontId="88" fillId="8" borderId="0" xfId="5" applyFont="1" applyFill="1" applyAlignment="1">
      <alignment horizontal="center" vertical="center"/>
    </xf>
    <xf numFmtId="0" fontId="88" fillId="18" borderId="0" xfId="5" applyFont="1" applyFill="1" applyAlignment="1">
      <alignment horizontal="center" vertical="center"/>
    </xf>
    <xf numFmtId="0" fontId="90" fillId="0" borderId="0" xfId="0" applyFont="1" applyAlignment="1">
      <alignment horizontal="left" vertical="top" wrapText="1"/>
    </xf>
    <xf numFmtId="0" fontId="88" fillId="13" borderId="0" xfId="5" applyFont="1" applyFill="1" applyAlignment="1">
      <alignment horizontal="center" vertical="center"/>
    </xf>
    <xf numFmtId="0" fontId="88" fillId="7" borderId="0" xfId="5" applyFont="1" applyFill="1" applyAlignment="1">
      <alignment horizontal="left" vertical="center"/>
    </xf>
    <xf numFmtId="0" fontId="88" fillId="18" borderId="0" xfId="5" applyFont="1" applyFill="1" applyAlignment="1">
      <alignment horizontal="left" vertical="center"/>
    </xf>
    <xf numFmtId="0" fontId="88" fillId="5" borderId="0" xfId="5" applyFont="1" applyFill="1" applyAlignment="1">
      <alignment horizontal="left" vertical="center"/>
    </xf>
    <xf numFmtId="0" fontId="95" fillId="8" borderId="0" xfId="5" applyFont="1" applyFill="1" applyAlignment="1">
      <alignment horizontal="left" vertical="center"/>
    </xf>
    <xf numFmtId="0" fontId="88" fillId="8" borderId="0" xfId="5" applyFont="1" applyFill="1" applyAlignment="1">
      <alignment horizontal="left" vertical="center"/>
    </xf>
    <xf numFmtId="0" fontId="88" fillId="13" borderId="0" xfId="5" applyFont="1" applyFill="1" applyAlignment="1">
      <alignment horizontal="left" vertical="center"/>
    </xf>
    <xf numFmtId="166" fontId="16" fillId="2" borderId="10" xfId="0" applyNumberFormat="1" applyFont="1" applyFill="1" applyBorder="1" applyAlignment="1">
      <alignment horizontal="center"/>
    </xf>
    <xf numFmtId="165" fontId="16" fillId="2" borderId="10" xfId="0" applyNumberFormat="1" applyFont="1" applyFill="1" applyBorder="1" applyAlignment="1">
      <alignment horizontal="center"/>
    </xf>
    <xf numFmtId="3" fontId="27" fillId="0" borderId="0" xfId="0" applyNumberFormat="1" applyFont="1" applyProtection="1">
      <protection locked="0"/>
    </xf>
    <xf numFmtId="0" fontId="37" fillId="2" borderId="10" xfId="0" applyFont="1" applyFill="1" applyBorder="1" applyAlignment="1">
      <alignment horizontal="center"/>
    </xf>
    <xf numFmtId="0" fontId="67" fillId="0" borderId="11" xfId="0" applyFont="1" applyBorder="1" applyAlignment="1">
      <alignment horizontal="center"/>
    </xf>
    <xf numFmtId="0" fontId="8" fillId="0" borderId="11" xfId="0" applyFont="1" applyBorder="1" applyAlignment="1">
      <alignment horizontal="center"/>
    </xf>
    <xf numFmtId="0" fontId="98" fillId="4" borderId="0" xfId="0" applyFont="1" applyFill="1" applyAlignment="1">
      <alignment horizontal="left"/>
    </xf>
    <xf numFmtId="0" fontId="98" fillId="4" borderId="0" xfId="0" applyFont="1" applyFill="1" applyAlignment="1">
      <alignment horizontal="left"/>
    </xf>
    <xf numFmtId="0" fontId="90" fillId="4" borderId="0" xfId="0" applyFont="1" applyFill="1"/>
    <xf numFmtId="10" fontId="90" fillId="4" borderId="0" xfId="0" applyNumberFormat="1" applyFont="1" applyFill="1"/>
    <xf numFmtId="0" fontId="84" fillId="4" borderId="0" xfId="0" applyFont="1" applyFill="1" applyAlignment="1">
      <alignment horizontal="left" wrapText="1"/>
    </xf>
    <xf numFmtId="0" fontId="97" fillId="4" borderId="0" xfId="0" applyFont="1" applyFill="1"/>
    <xf numFmtId="0" fontId="28" fillId="4" borderId="0" xfId="0" applyFont="1" applyFill="1" applyAlignment="1">
      <alignment horizontal="left" wrapText="1"/>
    </xf>
    <xf numFmtId="3" fontId="26" fillId="8" borderId="4" xfId="0" applyNumberFormat="1" applyFont="1" applyFill="1" applyBorder="1"/>
    <xf numFmtId="0" fontId="20" fillId="8" borderId="0" xfId="0" applyFont="1" applyFill="1" applyAlignment="1">
      <alignment horizontal="left" indent="1"/>
    </xf>
  </cellXfs>
  <cellStyles count="18">
    <cellStyle name="blp_column_header" xfId="12" xr:uid="{00000000-0005-0000-0000-000000000000}"/>
    <cellStyle name="Currency 2" xfId="9" xr:uid="{00000000-0005-0000-0000-000002000000}"/>
    <cellStyle name="Currency 2 2" xfId="14" xr:uid="{24EBDEE9-EA2F-4DCC-97A0-7207C5738CF8}"/>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2 3" xfId="15" xr:uid="{F814434E-7EA3-4325-989B-5EB55F0C4C1F}"/>
    <cellStyle name="Normal 3 2" xfId="6" xr:uid="{00000000-0005-0000-0000-000009000000}"/>
    <cellStyle name="Normal 6" xfId="10" xr:uid="{00000000-0005-0000-0000-00000A000000}"/>
    <cellStyle name="Normal 6 2" xfId="16" xr:uid="{B1E40C81-431C-4895-9726-F4A820651815}"/>
    <cellStyle name="Percent 2" xfId="4" xr:uid="{00000000-0005-0000-0000-00000C000000}"/>
    <cellStyle name="Percentagem" xfId="2" builtinId="5"/>
    <cellStyle name="Porcentaje 3" xfId="7" xr:uid="{00000000-0005-0000-0000-00000D000000}"/>
    <cellStyle name="Porcentaje 3 2" xfId="17" xr:uid="{1EAD4588-4CD2-459A-B1FF-32310F9AF51E}"/>
    <cellStyle name="Vírgula" xfId="1" builtinId="3"/>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9308-49AE-A481-1F06B1D5BB5E}"/>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9308-49AE-A481-1F06B1D5BB5E}"/>
              </c:ext>
            </c:extLst>
          </c:dPt>
          <c:val>
            <c:numRef>
              <c:f>FCFF!$R$162:$R$163</c:f>
              <c:numCache>
                <c:formatCode>0.0%</c:formatCode>
                <c:ptCount val="2"/>
                <c:pt idx="0">
                  <c:v>0.96012700819272379</c:v>
                </c:pt>
                <c:pt idx="1">
                  <c:v>3.9872991807276215E-2</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45.971999999999994</c:v>
                </c:pt>
                <c:pt idx="1">
                  <c:v>118.63</c:v>
                </c:pt>
                <c:pt idx="2">
                  <c:v>160.88900000000001</c:v>
                </c:pt>
                <c:pt idx="3">
                  <c:v>181.10564584638408</c:v>
                </c:pt>
                <c:pt idx="4">
                  <c:v>211.71606539814087</c:v>
                </c:pt>
                <c:pt idx="5">
                  <c:v>308.89121953290334</c:v>
                </c:pt>
                <c:pt idx="6">
                  <c:v>395.44156689489324</c:v>
                </c:pt>
                <c:pt idx="7">
                  <c:v>502.75212929681169</c:v>
                </c:pt>
              </c:numCache>
            </c:numRef>
          </c:val>
          <c:extLst>
            <c:ext xmlns:c16="http://schemas.microsoft.com/office/drawing/2014/chart" uri="{C3380CC4-5D6E-409C-BE32-E72D297353CC}">
              <c16:uniqueId val="{00000000-EDEC-4D47-9C20-D8D9D241E889}"/>
            </c:ext>
          </c:extLst>
        </c:ser>
        <c:ser>
          <c:idx val="1"/>
          <c:order val="1"/>
          <c:tx>
            <c:strRef>
              <c:f>FCFF!$AR$17</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FCFF!$AS$17:$AZ$17</c:f>
              <c:numCache>
                <c:formatCode>#,##0_);\(#,##0\)</c:formatCode>
                <c:ptCount val="8"/>
                <c:pt idx="0">
                  <c:v>22.875883479047324</c:v>
                </c:pt>
                <c:pt idx="1">
                  <c:v>87.997609560439557</c:v>
                </c:pt>
                <c:pt idx="2">
                  <c:v>134.14671923737961</c:v>
                </c:pt>
                <c:pt idx="3">
                  <c:v>131.95953067258833</c:v>
                </c:pt>
                <c:pt idx="4">
                  <c:v>158.1874992059482</c:v>
                </c:pt>
                <c:pt idx="5">
                  <c:v>229.36175437500998</c:v>
                </c:pt>
                <c:pt idx="6">
                  <c:v>295.58581310656717</c:v>
                </c:pt>
                <c:pt idx="7">
                  <c:v>374.28245393685802</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FCFF!$AR$18</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FCFF!$AS$18:$AZ$18</c:f>
              <c:numCache>
                <c:formatCode>0.0%</c:formatCode>
                <c:ptCount val="8"/>
                <c:pt idx="0">
                  <c:v>0.29748244415220504</c:v>
                </c:pt>
                <c:pt idx="1">
                  <c:v>0.12385753623092399</c:v>
                </c:pt>
                <c:pt idx="2">
                  <c:v>3.3429675664948588E-2</c:v>
                </c:pt>
                <c:pt idx="3">
                  <c:v>0.37567304334798712</c:v>
                </c:pt>
                <c:pt idx="4">
                  <c:v>0.17547490123185883</c:v>
                </c:pt>
                <c:pt idx="5">
                  <c:v>0.18780644849046513</c:v>
                </c:pt>
                <c:pt idx="6">
                  <c:v>0.28557362881945481</c:v>
                </c:pt>
                <c:pt idx="7">
                  <c:v>0.27541957313841325</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E3-0843-941D-A1DCE21B096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45947</c:v>
                </c:pt>
                <c:pt idx="1">
                  <c:v>45946</c:v>
                </c:pt>
                <c:pt idx="2">
                  <c:v>45945</c:v>
                </c:pt>
                <c:pt idx="3">
                  <c:v>45944</c:v>
                </c:pt>
                <c:pt idx="4">
                  <c:v>45943</c:v>
                </c:pt>
                <c:pt idx="5">
                  <c:v>45942</c:v>
                </c:pt>
                <c:pt idx="6">
                  <c:v>45941</c:v>
                </c:pt>
                <c:pt idx="7">
                  <c:v>45940</c:v>
                </c:pt>
                <c:pt idx="8">
                  <c:v>45939</c:v>
                </c:pt>
                <c:pt idx="9">
                  <c:v>45938</c:v>
                </c:pt>
                <c:pt idx="10">
                  <c:v>45937</c:v>
                </c:pt>
                <c:pt idx="11">
                  <c:v>45936</c:v>
                </c:pt>
                <c:pt idx="12">
                  <c:v>45935</c:v>
                </c:pt>
                <c:pt idx="13">
                  <c:v>45934</c:v>
                </c:pt>
                <c:pt idx="14">
                  <c:v>45933</c:v>
                </c:pt>
                <c:pt idx="15">
                  <c:v>45932</c:v>
                </c:pt>
                <c:pt idx="16">
                  <c:v>45931</c:v>
                </c:pt>
                <c:pt idx="17">
                  <c:v>45930</c:v>
                </c:pt>
                <c:pt idx="18">
                  <c:v>45929</c:v>
                </c:pt>
                <c:pt idx="19">
                  <c:v>45928</c:v>
                </c:pt>
                <c:pt idx="20">
                  <c:v>45927</c:v>
                </c:pt>
                <c:pt idx="21">
                  <c:v>45926</c:v>
                </c:pt>
                <c:pt idx="22">
                  <c:v>45925</c:v>
                </c:pt>
                <c:pt idx="23">
                  <c:v>45924</c:v>
                </c:pt>
                <c:pt idx="24">
                  <c:v>45923</c:v>
                </c:pt>
                <c:pt idx="25">
                  <c:v>45922</c:v>
                </c:pt>
                <c:pt idx="26">
                  <c:v>45921</c:v>
                </c:pt>
                <c:pt idx="27">
                  <c:v>45920</c:v>
                </c:pt>
                <c:pt idx="28">
                  <c:v>45919</c:v>
                </c:pt>
                <c:pt idx="29">
                  <c:v>45918</c:v>
                </c:pt>
                <c:pt idx="30">
                  <c:v>45917</c:v>
                </c:pt>
                <c:pt idx="31">
                  <c:v>45916</c:v>
                </c:pt>
                <c:pt idx="32">
                  <c:v>45915</c:v>
                </c:pt>
                <c:pt idx="33">
                  <c:v>45914</c:v>
                </c:pt>
                <c:pt idx="34">
                  <c:v>45913</c:v>
                </c:pt>
                <c:pt idx="35">
                  <c:v>45912</c:v>
                </c:pt>
                <c:pt idx="36">
                  <c:v>45911</c:v>
                </c:pt>
                <c:pt idx="37">
                  <c:v>45910</c:v>
                </c:pt>
                <c:pt idx="38">
                  <c:v>45909</c:v>
                </c:pt>
                <c:pt idx="39">
                  <c:v>45908</c:v>
                </c:pt>
                <c:pt idx="40">
                  <c:v>45907</c:v>
                </c:pt>
                <c:pt idx="41">
                  <c:v>45906</c:v>
                </c:pt>
                <c:pt idx="42">
                  <c:v>45905</c:v>
                </c:pt>
                <c:pt idx="43">
                  <c:v>45904</c:v>
                </c:pt>
                <c:pt idx="44">
                  <c:v>45903</c:v>
                </c:pt>
                <c:pt idx="45">
                  <c:v>45902</c:v>
                </c:pt>
                <c:pt idx="46">
                  <c:v>45901</c:v>
                </c:pt>
                <c:pt idx="47">
                  <c:v>45900</c:v>
                </c:pt>
                <c:pt idx="48">
                  <c:v>45899</c:v>
                </c:pt>
                <c:pt idx="49">
                  <c:v>45898</c:v>
                </c:pt>
                <c:pt idx="50">
                  <c:v>45897</c:v>
                </c:pt>
                <c:pt idx="51">
                  <c:v>45896</c:v>
                </c:pt>
                <c:pt idx="52">
                  <c:v>45895</c:v>
                </c:pt>
                <c:pt idx="53">
                  <c:v>45894</c:v>
                </c:pt>
                <c:pt idx="54">
                  <c:v>45893</c:v>
                </c:pt>
                <c:pt idx="55">
                  <c:v>45892</c:v>
                </c:pt>
                <c:pt idx="56">
                  <c:v>45891</c:v>
                </c:pt>
                <c:pt idx="57">
                  <c:v>45890</c:v>
                </c:pt>
                <c:pt idx="58">
                  <c:v>45889</c:v>
                </c:pt>
                <c:pt idx="59">
                  <c:v>45888</c:v>
                </c:pt>
                <c:pt idx="60">
                  <c:v>45887</c:v>
                </c:pt>
                <c:pt idx="61">
                  <c:v>45886</c:v>
                </c:pt>
                <c:pt idx="62">
                  <c:v>45885</c:v>
                </c:pt>
                <c:pt idx="63">
                  <c:v>45884</c:v>
                </c:pt>
                <c:pt idx="64">
                  <c:v>45883</c:v>
                </c:pt>
                <c:pt idx="65">
                  <c:v>45882</c:v>
                </c:pt>
                <c:pt idx="66">
                  <c:v>45881</c:v>
                </c:pt>
                <c:pt idx="67">
                  <c:v>45880</c:v>
                </c:pt>
                <c:pt idx="68">
                  <c:v>45879</c:v>
                </c:pt>
                <c:pt idx="69">
                  <c:v>45878</c:v>
                </c:pt>
                <c:pt idx="70">
                  <c:v>45877</c:v>
                </c:pt>
                <c:pt idx="71">
                  <c:v>45876</c:v>
                </c:pt>
                <c:pt idx="72">
                  <c:v>45875</c:v>
                </c:pt>
                <c:pt idx="73">
                  <c:v>45874</c:v>
                </c:pt>
                <c:pt idx="74">
                  <c:v>45873</c:v>
                </c:pt>
                <c:pt idx="75">
                  <c:v>45872</c:v>
                </c:pt>
                <c:pt idx="76">
                  <c:v>45871</c:v>
                </c:pt>
                <c:pt idx="77">
                  <c:v>45870</c:v>
                </c:pt>
                <c:pt idx="78">
                  <c:v>45869</c:v>
                </c:pt>
                <c:pt idx="79">
                  <c:v>45868</c:v>
                </c:pt>
                <c:pt idx="80">
                  <c:v>45867</c:v>
                </c:pt>
                <c:pt idx="81">
                  <c:v>45866</c:v>
                </c:pt>
                <c:pt idx="82">
                  <c:v>45865</c:v>
                </c:pt>
                <c:pt idx="83">
                  <c:v>45864</c:v>
                </c:pt>
                <c:pt idx="84">
                  <c:v>45863</c:v>
                </c:pt>
                <c:pt idx="85">
                  <c:v>45862</c:v>
                </c:pt>
                <c:pt idx="86">
                  <c:v>45861</c:v>
                </c:pt>
                <c:pt idx="87">
                  <c:v>45860</c:v>
                </c:pt>
                <c:pt idx="88">
                  <c:v>45859</c:v>
                </c:pt>
                <c:pt idx="89">
                  <c:v>45858</c:v>
                </c:pt>
                <c:pt idx="90">
                  <c:v>45857</c:v>
                </c:pt>
                <c:pt idx="91">
                  <c:v>45856</c:v>
                </c:pt>
                <c:pt idx="92">
                  <c:v>45855</c:v>
                </c:pt>
                <c:pt idx="93">
                  <c:v>45854</c:v>
                </c:pt>
                <c:pt idx="94">
                  <c:v>45853</c:v>
                </c:pt>
                <c:pt idx="95">
                  <c:v>45852</c:v>
                </c:pt>
                <c:pt idx="96">
                  <c:v>45851</c:v>
                </c:pt>
                <c:pt idx="97">
                  <c:v>45850</c:v>
                </c:pt>
                <c:pt idx="98">
                  <c:v>45849</c:v>
                </c:pt>
                <c:pt idx="99">
                  <c:v>45848</c:v>
                </c:pt>
                <c:pt idx="100">
                  <c:v>45847</c:v>
                </c:pt>
                <c:pt idx="101">
                  <c:v>45846</c:v>
                </c:pt>
                <c:pt idx="102">
                  <c:v>45845</c:v>
                </c:pt>
                <c:pt idx="103">
                  <c:v>45844</c:v>
                </c:pt>
                <c:pt idx="104">
                  <c:v>45843</c:v>
                </c:pt>
                <c:pt idx="105">
                  <c:v>45842</c:v>
                </c:pt>
                <c:pt idx="106">
                  <c:v>45841</c:v>
                </c:pt>
                <c:pt idx="107">
                  <c:v>45840</c:v>
                </c:pt>
                <c:pt idx="108">
                  <c:v>45839</c:v>
                </c:pt>
                <c:pt idx="109">
                  <c:v>45838</c:v>
                </c:pt>
                <c:pt idx="110">
                  <c:v>45837</c:v>
                </c:pt>
                <c:pt idx="111">
                  <c:v>45836</c:v>
                </c:pt>
                <c:pt idx="112">
                  <c:v>45835</c:v>
                </c:pt>
                <c:pt idx="113">
                  <c:v>45834</c:v>
                </c:pt>
                <c:pt idx="114">
                  <c:v>45833</c:v>
                </c:pt>
                <c:pt idx="115">
                  <c:v>45832</c:v>
                </c:pt>
                <c:pt idx="116">
                  <c:v>45831</c:v>
                </c:pt>
                <c:pt idx="117">
                  <c:v>45830</c:v>
                </c:pt>
                <c:pt idx="118">
                  <c:v>45829</c:v>
                </c:pt>
                <c:pt idx="119">
                  <c:v>45828</c:v>
                </c:pt>
                <c:pt idx="120">
                  <c:v>45827</c:v>
                </c:pt>
                <c:pt idx="121">
                  <c:v>45826</c:v>
                </c:pt>
                <c:pt idx="122">
                  <c:v>45825</c:v>
                </c:pt>
                <c:pt idx="123">
                  <c:v>45824</c:v>
                </c:pt>
                <c:pt idx="124">
                  <c:v>45823</c:v>
                </c:pt>
                <c:pt idx="125">
                  <c:v>45822</c:v>
                </c:pt>
                <c:pt idx="126">
                  <c:v>45821</c:v>
                </c:pt>
                <c:pt idx="127">
                  <c:v>45820</c:v>
                </c:pt>
                <c:pt idx="128">
                  <c:v>45819</c:v>
                </c:pt>
                <c:pt idx="129">
                  <c:v>45818</c:v>
                </c:pt>
                <c:pt idx="130">
                  <c:v>45817</c:v>
                </c:pt>
                <c:pt idx="131">
                  <c:v>45816</c:v>
                </c:pt>
                <c:pt idx="132">
                  <c:v>45815</c:v>
                </c:pt>
                <c:pt idx="133">
                  <c:v>45814</c:v>
                </c:pt>
                <c:pt idx="134">
                  <c:v>45813</c:v>
                </c:pt>
                <c:pt idx="135">
                  <c:v>45812</c:v>
                </c:pt>
                <c:pt idx="136">
                  <c:v>45811</c:v>
                </c:pt>
                <c:pt idx="137">
                  <c:v>45810</c:v>
                </c:pt>
                <c:pt idx="138">
                  <c:v>45809</c:v>
                </c:pt>
                <c:pt idx="139">
                  <c:v>45808</c:v>
                </c:pt>
                <c:pt idx="140">
                  <c:v>45807</c:v>
                </c:pt>
                <c:pt idx="141">
                  <c:v>45806</c:v>
                </c:pt>
                <c:pt idx="142">
                  <c:v>45805</c:v>
                </c:pt>
                <c:pt idx="143">
                  <c:v>45804</c:v>
                </c:pt>
                <c:pt idx="144">
                  <c:v>45803</c:v>
                </c:pt>
                <c:pt idx="145">
                  <c:v>45802</c:v>
                </c:pt>
                <c:pt idx="146">
                  <c:v>45801</c:v>
                </c:pt>
                <c:pt idx="147">
                  <c:v>45800</c:v>
                </c:pt>
                <c:pt idx="148">
                  <c:v>45799</c:v>
                </c:pt>
                <c:pt idx="149">
                  <c:v>45798</c:v>
                </c:pt>
                <c:pt idx="150">
                  <c:v>45797</c:v>
                </c:pt>
                <c:pt idx="151">
                  <c:v>45796</c:v>
                </c:pt>
                <c:pt idx="152">
                  <c:v>45795</c:v>
                </c:pt>
                <c:pt idx="153">
                  <c:v>45794</c:v>
                </c:pt>
                <c:pt idx="154">
                  <c:v>45793</c:v>
                </c:pt>
                <c:pt idx="155">
                  <c:v>45792</c:v>
                </c:pt>
                <c:pt idx="156">
                  <c:v>45791</c:v>
                </c:pt>
                <c:pt idx="157">
                  <c:v>45790</c:v>
                </c:pt>
                <c:pt idx="158">
                  <c:v>45789</c:v>
                </c:pt>
                <c:pt idx="159">
                  <c:v>45788</c:v>
                </c:pt>
                <c:pt idx="160">
                  <c:v>45787</c:v>
                </c:pt>
                <c:pt idx="161">
                  <c:v>45786</c:v>
                </c:pt>
                <c:pt idx="162">
                  <c:v>45785</c:v>
                </c:pt>
                <c:pt idx="163">
                  <c:v>45784</c:v>
                </c:pt>
                <c:pt idx="164">
                  <c:v>45783</c:v>
                </c:pt>
                <c:pt idx="165">
                  <c:v>45782</c:v>
                </c:pt>
                <c:pt idx="166">
                  <c:v>45781</c:v>
                </c:pt>
                <c:pt idx="167">
                  <c:v>45780</c:v>
                </c:pt>
                <c:pt idx="168">
                  <c:v>45779</c:v>
                </c:pt>
                <c:pt idx="169">
                  <c:v>45778</c:v>
                </c:pt>
                <c:pt idx="170">
                  <c:v>45777</c:v>
                </c:pt>
                <c:pt idx="171">
                  <c:v>45776</c:v>
                </c:pt>
                <c:pt idx="172">
                  <c:v>45775</c:v>
                </c:pt>
                <c:pt idx="173">
                  <c:v>45774</c:v>
                </c:pt>
                <c:pt idx="174">
                  <c:v>45773</c:v>
                </c:pt>
                <c:pt idx="175">
                  <c:v>45772</c:v>
                </c:pt>
                <c:pt idx="176">
                  <c:v>45771</c:v>
                </c:pt>
                <c:pt idx="177">
                  <c:v>45770</c:v>
                </c:pt>
                <c:pt idx="178">
                  <c:v>45769</c:v>
                </c:pt>
                <c:pt idx="179">
                  <c:v>45768</c:v>
                </c:pt>
                <c:pt idx="180">
                  <c:v>45767</c:v>
                </c:pt>
                <c:pt idx="181">
                  <c:v>45766</c:v>
                </c:pt>
                <c:pt idx="182">
                  <c:v>45765</c:v>
                </c:pt>
                <c:pt idx="183">
                  <c:v>45764</c:v>
                </c:pt>
                <c:pt idx="184">
                  <c:v>45763</c:v>
                </c:pt>
                <c:pt idx="185">
                  <c:v>45762</c:v>
                </c:pt>
                <c:pt idx="186">
                  <c:v>45761</c:v>
                </c:pt>
                <c:pt idx="187">
                  <c:v>45760</c:v>
                </c:pt>
                <c:pt idx="188">
                  <c:v>45759</c:v>
                </c:pt>
                <c:pt idx="189">
                  <c:v>45758</c:v>
                </c:pt>
                <c:pt idx="190">
                  <c:v>45757</c:v>
                </c:pt>
                <c:pt idx="191">
                  <c:v>45756</c:v>
                </c:pt>
                <c:pt idx="192">
                  <c:v>45755</c:v>
                </c:pt>
                <c:pt idx="193">
                  <c:v>45754</c:v>
                </c:pt>
                <c:pt idx="194">
                  <c:v>45753</c:v>
                </c:pt>
                <c:pt idx="195">
                  <c:v>45752</c:v>
                </c:pt>
                <c:pt idx="196">
                  <c:v>45751</c:v>
                </c:pt>
                <c:pt idx="197">
                  <c:v>45750</c:v>
                </c:pt>
                <c:pt idx="198">
                  <c:v>45749</c:v>
                </c:pt>
                <c:pt idx="199">
                  <c:v>45748</c:v>
                </c:pt>
                <c:pt idx="200">
                  <c:v>45747</c:v>
                </c:pt>
                <c:pt idx="201">
                  <c:v>45746</c:v>
                </c:pt>
                <c:pt idx="202">
                  <c:v>45745</c:v>
                </c:pt>
                <c:pt idx="203">
                  <c:v>45744</c:v>
                </c:pt>
                <c:pt idx="204">
                  <c:v>45743</c:v>
                </c:pt>
                <c:pt idx="205">
                  <c:v>45742</c:v>
                </c:pt>
                <c:pt idx="206">
                  <c:v>45741</c:v>
                </c:pt>
                <c:pt idx="207">
                  <c:v>45740</c:v>
                </c:pt>
                <c:pt idx="208">
                  <c:v>45739</c:v>
                </c:pt>
                <c:pt idx="209">
                  <c:v>45738</c:v>
                </c:pt>
                <c:pt idx="210">
                  <c:v>45737</c:v>
                </c:pt>
                <c:pt idx="211">
                  <c:v>45736</c:v>
                </c:pt>
                <c:pt idx="212">
                  <c:v>45735</c:v>
                </c:pt>
                <c:pt idx="213">
                  <c:v>45734</c:v>
                </c:pt>
                <c:pt idx="214">
                  <c:v>45733</c:v>
                </c:pt>
                <c:pt idx="215">
                  <c:v>45732</c:v>
                </c:pt>
                <c:pt idx="216">
                  <c:v>45731</c:v>
                </c:pt>
                <c:pt idx="217">
                  <c:v>45730</c:v>
                </c:pt>
                <c:pt idx="218">
                  <c:v>45729</c:v>
                </c:pt>
                <c:pt idx="219">
                  <c:v>45728</c:v>
                </c:pt>
                <c:pt idx="220">
                  <c:v>45727</c:v>
                </c:pt>
                <c:pt idx="221">
                  <c:v>45726</c:v>
                </c:pt>
                <c:pt idx="222">
                  <c:v>45725</c:v>
                </c:pt>
                <c:pt idx="223">
                  <c:v>45724</c:v>
                </c:pt>
                <c:pt idx="224">
                  <c:v>45723</c:v>
                </c:pt>
                <c:pt idx="225">
                  <c:v>45722</c:v>
                </c:pt>
                <c:pt idx="226">
                  <c:v>45721</c:v>
                </c:pt>
                <c:pt idx="227">
                  <c:v>45720</c:v>
                </c:pt>
                <c:pt idx="228">
                  <c:v>45719</c:v>
                </c:pt>
                <c:pt idx="229">
                  <c:v>45718</c:v>
                </c:pt>
                <c:pt idx="230">
                  <c:v>45717</c:v>
                </c:pt>
                <c:pt idx="231">
                  <c:v>45716</c:v>
                </c:pt>
                <c:pt idx="232">
                  <c:v>45715</c:v>
                </c:pt>
                <c:pt idx="233">
                  <c:v>45714</c:v>
                </c:pt>
                <c:pt idx="234">
                  <c:v>45713</c:v>
                </c:pt>
                <c:pt idx="235">
                  <c:v>45712</c:v>
                </c:pt>
                <c:pt idx="236">
                  <c:v>45711</c:v>
                </c:pt>
                <c:pt idx="237">
                  <c:v>45710</c:v>
                </c:pt>
                <c:pt idx="238">
                  <c:v>45709</c:v>
                </c:pt>
                <c:pt idx="239">
                  <c:v>45708</c:v>
                </c:pt>
                <c:pt idx="240">
                  <c:v>45707</c:v>
                </c:pt>
                <c:pt idx="241">
                  <c:v>45706</c:v>
                </c:pt>
                <c:pt idx="242">
                  <c:v>45705</c:v>
                </c:pt>
                <c:pt idx="243">
                  <c:v>45704</c:v>
                </c:pt>
                <c:pt idx="244">
                  <c:v>45703</c:v>
                </c:pt>
                <c:pt idx="245">
                  <c:v>45702</c:v>
                </c:pt>
                <c:pt idx="246">
                  <c:v>45701</c:v>
                </c:pt>
                <c:pt idx="247">
                  <c:v>45700</c:v>
                </c:pt>
                <c:pt idx="248">
                  <c:v>45699</c:v>
                </c:pt>
                <c:pt idx="249">
                  <c:v>45698</c:v>
                </c:pt>
                <c:pt idx="250">
                  <c:v>45697</c:v>
                </c:pt>
                <c:pt idx="251">
                  <c:v>45696</c:v>
                </c:pt>
                <c:pt idx="252">
                  <c:v>45695</c:v>
                </c:pt>
                <c:pt idx="253">
                  <c:v>45694</c:v>
                </c:pt>
                <c:pt idx="254">
                  <c:v>45693</c:v>
                </c:pt>
                <c:pt idx="255">
                  <c:v>45692</c:v>
                </c:pt>
                <c:pt idx="256">
                  <c:v>45691</c:v>
                </c:pt>
                <c:pt idx="257">
                  <c:v>45690</c:v>
                </c:pt>
                <c:pt idx="258">
                  <c:v>45689</c:v>
                </c:pt>
                <c:pt idx="259">
                  <c:v>45688</c:v>
                </c:pt>
                <c:pt idx="260">
                  <c:v>45687</c:v>
                </c:pt>
                <c:pt idx="261">
                  <c:v>45686</c:v>
                </c:pt>
                <c:pt idx="262">
                  <c:v>45685</c:v>
                </c:pt>
                <c:pt idx="263">
                  <c:v>45684</c:v>
                </c:pt>
                <c:pt idx="264">
                  <c:v>45683</c:v>
                </c:pt>
                <c:pt idx="265">
                  <c:v>45682</c:v>
                </c:pt>
                <c:pt idx="266">
                  <c:v>45681</c:v>
                </c:pt>
                <c:pt idx="267">
                  <c:v>45680</c:v>
                </c:pt>
                <c:pt idx="268">
                  <c:v>45679</c:v>
                </c:pt>
                <c:pt idx="269">
                  <c:v>45678</c:v>
                </c:pt>
                <c:pt idx="270">
                  <c:v>45677</c:v>
                </c:pt>
                <c:pt idx="271">
                  <c:v>45676</c:v>
                </c:pt>
                <c:pt idx="272">
                  <c:v>45675</c:v>
                </c:pt>
                <c:pt idx="273">
                  <c:v>45674</c:v>
                </c:pt>
                <c:pt idx="274">
                  <c:v>45673</c:v>
                </c:pt>
                <c:pt idx="275">
                  <c:v>45672</c:v>
                </c:pt>
                <c:pt idx="276">
                  <c:v>45671</c:v>
                </c:pt>
                <c:pt idx="277">
                  <c:v>45670</c:v>
                </c:pt>
                <c:pt idx="278">
                  <c:v>45669</c:v>
                </c:pt>
                <c:pt idx="279">
                  <c:v>45668</c:v>
                </c:pt>
                <c:pt idx="280">
                  <c:v>45667</c:v>
                </c:pt>
                <c:pt idx="281">
                  <c:v>45666</c:v>
                </c:pt>
                <c:pt idx="282">
                  <c:v>45665</c:v>
                </c:pt>
                <c:pt idx="283">
                  <c:v>45664</c:v>
                </c:pt>
                <c:pt idx="284">
                  <c:v>45663</c:v>
                </c:pt>
                <c:pt idx="285">
                  <c:v>45662</c:v>
                </c:pt>
                <c:pt idx="286">
                  <c:v>45661</c:v>
                </c:pt>
                <c:pt idx="287">
                  <c:v>45660</c:v>
                </c:pt>
                <c:pt idx="288">
                  <c:v>45659</c:v>
                </c:pt>
                <c:pt idx="289">
                  <c:v>45658</c:v>
                </c:pt>
                <c:pt idx="290">
                  <c:v>45657</c:v>
                </c:pt>
                <c:pt idx="291">
                  <c:v>45656</c:v>
                </c:pt>
                <c:pt idx="292">
                  <c:v>45655</c:v>
                </c:pt>
                <c:pt idx="293">
                  <c:v>45654</c:v>
                </c:pt>
                <c:pt idx="294">
                  <c:v>45653</c:v>
                </c:pt>
                <c:pt idx="295">
                  <c:v>45652</c:v>
                </c:pt>
                <c:pt idx="296">
                  <c:v>45651</c:v>
                </c:pt>
                <c:pt idx="297">
                  <c:v>45650</c:v>
                </c:pt>
                <c:pt idx="298">
                  <c:v>45649</c:v>
                </c:pt>
                <c:pt idx="299">
                  <c:v>45648</c:v>
                </c:pt>
                <c:pt idx="300">
                  <c:v>45647</c:v>
                </c:pt>
                <c:pt idx="301">
                  <c:v>45646</c:v>
                </c:pt>
                <c:pt idx="302">
                  <c:v>45645</c:v>
                </c:pt>
                <c:pt idx="303">
                  <c:v>45644</c:v>
                </c:pt>
                <c:pt idx="304">
                  <c:v>45643</c:v>
                </c:pt>
                <c:pt idx="305">
                  <c:v>45642</c:v>
                </c:pt>
                <c:pt idx="306">
                  <c:v>45641</c:v>
                </c:pt>
                <c:pt idx="307">
                  <c:v>45640</c:v>
                </c:pt>
                <c:pt idx="308">
                  <c:v>45639</c:v>
                </c:pt>
                <c:pt idx="309">
                  <c:v>45638</c:v>
                </c:pt>
                <c:pt idx="310">
                  <c:v>45637</c:v>
                </c:pt>
                <c:pt idx="311">
                  <c:v>45636</c:v>
                </c:pt>
                <c:pt idx="312">
                  <c:v>45635</c:v>
                </c:pt>
                <c:pt idx="313">
                  <c:v>45634</c:v>
                </c:pt>
                <c:pt idx="314">
                  <c:v>45633</c:v>
                </c:pt>
                <c:pt idx="315">
                  <c:v>45632</c:v>
                </c:pt>
                <c:pt idx="316">
                  <c:v>45631</c:v>
                </c:pt>
                <c:pt idx="317">
                  <c:v>45630</c:v>
                </c:pt>
                <c:pt idx="318">
                  <c:v>45629</c:v>
                </c:pt>
                <c:pt idx="319">
                  <c:v>45628</c:v>
                </c:pt>
                <c:pt idx="320">
                  <c:v>45627</c:v>
                </c:pt>
                <c:pt idx="321">
                  <c:v>45626</c:v>
                </c:pt>
                <c:pt idx="322">
                  <c:v>45625</c:v>
                </c:pt>
                <c:pt idx="323">
                  <c:v>45624</c:v>
                </c:pt>
                <c:pt idx="324">
                  <c:v>45623</c:v>
                </c:pt>
                <c:pt idx="325">
                  <c:v>45622</c:v>
                </c:pt>
                <c:pt idx="326">
                  <c:v>45621</c:v>
                </c:pt>
                <c:pt idx="327">
                  <c:v>45620</c:v>
                </c:pt>
                <c:pt idx="328">
                  <c:v>45619</c:v>
                </c:pt>
                <c:pt idx="329">
                  <c:v>45618</c:v>
                </c:pt>
                <c:pt idx="330">
                  <c:v>45617</c:v>
                </c:pt>
                <c:pt idx="331">
                  <c:v>45616</c:v>
                </c:pt>
                <c:pt idx="332">
                  <c:v>45615</c:v>
                </c:pt>
                <c:pt idx="333">
                  <c:v>45614</c:v>
                </c:pt>
                <c:pt idx="334">
                  <c:v>45613</c:v>
                </c:pt>
                <c:pt idx="335">
                  <c:v>45612</c:v>
                </c:pt>
                <c:pt idx="336">
                  <c:v>45611</c:v>
                </c:pt>
                <c:pt idx="337">
                  <c:v>45610</c:v>
                </c:pt>
                <c:pt idx="338">
                  <c:v>45609</c:v>
                </c:pt>
                <c:pt idx="339">
                  <c:v>45608</c:v>
                </c:pt>
                <c:pt idx="340">
                  <c:v>45607</c:v>
                </c:pt>
                <c:pt idx="341">
                  <c:v>45606</c:v>
                </c:pt>
                <c:pt idx="342">
                  <c:v>45605</c:v>
                </c:pt>
                <c:pt idx="343">
                  <c:v>45604</c:v>
                </c:pt>
                <c:pt idx="344">
                  <c:v>45603</c:v>
                </c:pt>
                <c:pt idx="345">
                  <c:v>45602</c:v>
                </c:pt>
                <c:pt idx="346">
                  <c:v>45601</c:v>
                </c:pt>
                <c:pt idx="347">
                  <c:v>45600</c:v>
                </c:pt>
                <c:pt idx="348">
                  <c:v>45599</c:v>
                </c:pt>
                <c:pt idx="349">
                  <c:v>45598</c:v>
                </c:pt>
                <c:pt idx="350">
                  <c:v>45597</c:v>
                </c:pt>
                <c:pt idx="351">
                  <c:v>45596</c:v>
                </c:pt>
                <c:pt idx="352">
                  <c:v>45595</c:v>
                </c:pt>
                <c:pt idx="353">
                  <c:v>45594</c:v>
                </c:pt>
                <c:pt idx="354">
                  <c:v>45593</c:v>
                </c:pt>
                <c:pt idx="355">
                  <c:v>45592</c:v>
                </c:pt>
                <c:pt idx="356">
                  <c:v>45591</c:v>
                </c:pt>
                <c:pt idx="357">
                  <c:v>45590</c:v>
                </c:pt>
                <c:pt idx="358">
                  <c:v>45589</c:v>
                </c:pt>
                <c:pt idx="359">
                  <c:v>45588</c:v>
                </c:pt>
                <c:pt idx="360">
                  <c:v>45587</c:v>
                </c:pt>
                <c:pt idx="361">
                  <c:v>45586</c:v>
                </c:pt>
                <c:pt idx="362">
                  <c:v>45585</c:v>
                </c:pt>
                <c:pt idx="363">
                  <c:v>45584</c:v>
                </c:pt>
                <c:pt idx="364">
                  <c:v>45583</c:v>
                </c:pt>
                <c:pt idx="365">
                  <c:v>45582</c:v>
                </c:pt>
                <c:pt idx="366">
                  <c:v>45581</c:v>
                </c:pt>
                <c:pt idx="367">
                  <c:v>45580</c:v>
                </c:pt>
                <c:pt idx="368">
                  <c:v>45579</c:v>
                </c:pt>
                <c:pt idx="369">
                  <c:v>45578</c:v>
                </c:pt>
                <c:pt idx="370">
                  <c:v>45577</c:v>
                </c:pt>
                <c:pt idx="371">
                  <c:v>45576</c:v>
                </c:pt>
                <c:pt idx="372">
                  <c:v>45575</c:v>
                </c:pt>
                <c:pt idx="373">
                  <c:v>45574</c:v>
                </c:pt>
                <c:pt idx="374">
                  <c:v>45573</c:v>
                </c:pt>
                <c:pt idx="375">
                  <c:v>45572</c:v>
                </c:pt>
                <c:pt idx="376">
                  <c:v>45571</c:v>
                </c:pt>
                <c:pt idx="377">
                  <c:v>45570</c:v>
                </c:pt>
                <c:pt idx="378">
                  <c:v>45569</c:v>
                </c:pt>
                <c:pt idx="379">
                  <c:v>45568</c:v>
                </c:pt>
                <c:pt idx="380">
                  <c:v>45567</c:v>
                </c:pt>
                <c:pt idx="381">
                  <c:v>45566</c:v>
                </c:pt>
                <c:pt idx="382">
                  <c:v>45565</c:v>
                </c:pt>
                <c:pt idx="383">
                  <c:v>45564</c:v>
                </c:pt>
                <c:pt idx="384">
                  <c:v>45563</c:v>
                </c:pt>
                <c:pt idx="385">
                  <c:v>45562</c:v>
                </c:pt>
                <c:pt idx="386">
                  <c:v>45561</c:v>
                </c:pt>
                <c:pt idx="387">
                  <c:v>45560</c:v>
                </c:pt>
                <c:pt idx="388">
                  <c:v>45559</c:v>
                </c:pt>
                <c:pt idx="389">
                  <c:v>45558</c:v>
                </c:pt>
                <c:pt idx="390">
                  <c:v>45557</c:v>
                </c:pt>
                <c:pt idx="391">
                  <c:v>45556</c:v>
                </c:pt>
                <c:pt idx="392">
                  <c:v>45555</c:v>
                </c:pt>
                <c:pt idx="393">
                  <c:v>45554</c:v>
                </c:pt>
                <c:pt idx="394">
                  <c:v>45553</c:v>
                </c:pt>
                <c:pt idx="395">
                  <c:v>45552</c:v>
                </c:pt>
                <c:pt idx="396">
                  <c:v>45551</c:v>
                </c:pt>
                <c:pt idx="397">
                  <c:v>45550</c:v>
                </c:pt>
                <c:pt idx="398">
                  <c:v>45549</c:v>
                </c:pt>
                <c:pt idx="399">
                  <c:v>45548</c:v>
                </c:pt>
                <c:pt idx="400">
                  <c:v>45547</c:v>
                </c:pt>
                <c:pt idx="401">
                  <c:v>45546</c:v>
                </c:pt>
                <c:pt idx="402">
                  <c:v>45545</c:v>
                </c:pt>
                <c:pt idx="403">
                  <c:v>45544</c:v>
                </c:pt>
                <c:pt idx="404">
                  <c:v>45543</c:v>
                </c:pt>
              </c:numCache>
            </c:numRef>
          </c:cat>
          <c:val>
            <c:numRef>
              <c:f>Dashboard!$E$154:$E$558</c:f>
              <c:numCache>
                <c:formatCode>General</c:formatCode>
                <c:ptCount val="405"/>
                <c:pt idx="8">
                  <c:v>20.277513899753728</c:v>
                </c:pt>
                <c:pt idx="9">
                  <c:v>19.957110225568144</c:v>
                </c:pt>
                <c:pt idx="10">
                  <c:v>19.636706551382538</c:v>
                </c:pt>
                <c:pt idx="11">
                  <c:v>19.316302877196932</c:v>
                </c:pt>
                <c:pt idx="12">
                  <c:v>18.995899203011327</c:v>
                </c:pt>
                <c:pt idx="13">
                  <c:v>18.675495528825721</c:v>
                </c:pt>
                <c:pt idx="14">
                  <c:v>18.355091854640115</c:v>
                </c:pt>
                <c:pt idx="15">
                  <c:v>18.034688180454509</c:v>
                </c:pt>
                <c:pt idx="16">
                  <c:v>17.714284506268903</c:v>
                </c:pt>
                <c:pt idx="17">
                  <c:v>17.393880832083298</c:v>
                </c:pt>
                <c:pt idx="18">
                  <c:v>17.073477157897692</c:v>
                </c:pt>
                <c:pt idx="19">
                  <c:v>16.753073483712086</c:v>
                </c:pt>
                <c:pt idx="20">
                  <c:v>16.43266980952648</c:v>
                </c:pt>
                <c:pt idx="21">
                  <c:v>16.112266135340874</c:v>
                </c:pt>
                <c:pt idx="22">
                  <c:v>15.791862461155269</c:v>
                </c:pt>
                <c:pt idx="23">
                  <c:v>15.471458786969665</c:v>
                </c:pt>
                <c:pt idx="24">
                  <c:v>15.151055112784061</c:v>
                </c:pt>
                <c:pt idx="25">
                  <c:v>14.830651438598457</c:v>
                </c:pt>
                <c:pt idx="26">
                  <c:v>14.510247764412853</c:v>
                </c:pt>
                <c:pt idx="27">
                  <c:v>14.189844090227249</c:v>
                </c:pt>
                <c:pt idx="28">
                  <c:v>13.869440416041645</c:v>
                </c:pt>
                <c:pt idx="29">
                  <c:v>13.549036741856041</c:v>
                </c:pt>
                <c:pt idx="30">
                  <c:v>13.228633067670437</c:v>
                </c:pt>
                <c:pt idx="31">
                  <c:v>12.908229393484833</c:v>
                </c:pt>
                <c:pt idx="32">
                  <c:v>12.587825719299229</c:v>
                </c:pt>
                <c:pt idx="33">
                  <c:v>12.267422045113625</c:v>
                </c:pt>
                <c:pt idx="34">
                  <c:v>11.947018370928021</c:v>
                </c:pt>
                <c:pt idx="35">
                  <c:v>11.626614696742417</c:v>
                </c:pt>
                <c:pt idx="36">
                  <c:v>11.306211022556813</c:v>
                </c:pt>
                <c:pt idx="37">
                  <c:v>10.985807348371209</c:v>
                </c:pt>
                <c:pt idx="38">
                  <c:v>10.665403674185605</c:v>
                </c:pt>
                <c:pt idx="39">
                  <c:v>10.345000000000001</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45947</c:v>
                </c:pt>
                <c:pt idx="1">
                  <c:v>45946</c:v>
                </c:pt>
                <c:pt idx="2">
                  <c:v>45945</c:v>
                </c:pt>
                <c:pt idx="3">
                  <c:v>45944</c:v>
                </c:pt>
                <c:pt idx="4">
                  <c:v>45943</c:v>
                </c:pt>
                <c:pt idx="5">
                  <c:v>45942</c:v>
                </c:pt>
                <c:pt idx="6">
                  <c:v>45941</c:v>
                </c:pt>
                <c:pt idx="7">
                  <c:v>45940</c:v>
                </c:pt>
                <c:pt idx="8">
                  <c:v>45939</c:v>
                </c:pt>
                <c:pt idx="9">
                  <c:v>45938</c:v>
                </c:pt>
                <c:pt idx="10">
                  <c:v>45937</c:v>
                </c:pt>
                <c:pt idx="11">
                  <c:v>45936</c:v>
                </c:pt>
                <c:pt idx="12">
                  <c:v>45935</c:v>
                </c:pt>
                <c:pt idx="13">
                  <c:v>45934</c:v>
                </c:pt>
                <c:pt idx="14">
                  <c:v>45933</c:v>
                </c:pt>
                <c:pt idx="15">
                  <c:v>45932</c:v>
                </c:pt>
                <c:pt idx="16">
                  <c:v>45931</c:v>
                </c:pt>
                <c:pt idx="17">
                  <c:v>45930</c:v>
                </c:pt>
                <c:pt idx="18">
                  <c:v>45929</c:v>
                </c:pt>
                <c:pt idx="19">
                  <c:v>45928</c:v>
                </c:pt>
                <c:pt idx="20">
                  <c:v>45927</c:v>
                </c:pt>
                <c:pt idx="21">
                  <c:v>45926</c:v>
                </c:pt>
                <c:pt idx="22">
                  <c:v>45925</c:v>
                </c:pt>
                <c:pt idx="23">
                  <c:v>45924</c:v>
                </c:pt>
                <c:pt idx="24">
                  <c:v>45923</c:v>
                </c:pt>
                <c:pt idx="25">
                  <c:v>45922</c:v>
                </c:pt>
                <c:pt idx="26">
                  <c:v>45921</c:v>
                </c:pt>
                <c:pt idx="27">
                  <c:v>45920</c:v>
                </c:pt>
                <c:pt idx="28">
                  <c:v>45919</c:v>
                </c:pt>
                <c:pt idx="29">
                  <c:v>45918</c:v>
                </c:pt>
                <c:pt idx="30">
                  <c:v>45917</c:v>
                </c:pt>
                <c:pt idx="31">
                  <c:v>45916</c:v>
                </c:pt>
                <c:pt idx="32">
                  <c:v>45915</c:v>
                </c:pt>
                <c:pt idx="33">
                  <c:v>45914</c:v>
                </c:pt>
                <c:pt idx="34">
                  <c:v>45913</c:v>
                </c:pt>
                <c:pt idx="35">
                  <c:v>45912</c:v>
                </c:pt>
                <c:pt idx="36">
                  <c:v>45911</c:v>
                </c:pt>
                <c:pt idx="37">
                  <c:v>45910</c:v>
                </c:pt>
                <c:pt idx="38">
                  <c:v>45909</c:v>
                </c:pt>
                <c:pt idx="39">
                  <c:v>45908</c:v>
                </c:pt>
                <c:pt idx="40">
                  <c:v>45907</c:v>
                </c:pt>
                <c:pt idx="41">
                  <c:v>45906</c:v>
                </c:pt>
                <c:pt idx="42">
                  <c:v>45905</c:v>
                </c:pt>
                <c:pt idx="43">
                  <c:v>45904</c:v>
                </c:pt>
                <c:pt idx="44">
                  <c:v>45903</c:v>
                </c:pt>
                <c:pt idx="45">
                  <c:v>45902</c:v>
                </c:pt>
                <c:pt idx="46">
                  <c:v>45901</c:v>
                </c:pt>
                <c:pt idx="47">
                  <c:v>45900</c:v>
                </c:pt>
                <c:pt idx="48">
                  <c:v>45899</c:v>
                </c:pt>
                <c:pt idx="49">
                  <c:v>45898</c:v>
                </c:pt>
                <c:pt idx="50">
                  <c:v>45897</c:v>
                </c:pt>
                <c:pt idx="51">
                  <c:v>45896</c:v>
                </c:pt>
                <c:pt idx="52">
                  <c:v>45895</c:v>
                </c:pt>
                <c:pt idx="53">
                  <c:v>45894</c:v>
                </c:pt>
                <c:pt idx="54">
                  <c:v>45893</c:v>
                </c:pt>
                <c:pt idx="55">
                  <c:v>45892</c:v>
                </c:pt>
                <c:pt idx="56">
                  <c:v>45891</c:v>
                </c:pt>
                <c:pt idx="57">
                  <c:v>45890</c:v>
                </c:pt>
                <c:pt idx="58">
                  <c:v>45889</c:v>
                </c:pt>
                <c:pt idx="59">
                  <c:v>45888</c:v>
                </c:pt>
                <c:pt idx="60">
                  <c:v>45887</c:v>
                </c:pt>
                <c:pt idx="61">
                  <c:v>45886</c:v>
                </c:pt>
                <c:pt idx="62">
                  <c:v>45885</c:v>
                </c:pt>
                <c:pt idx="63">
                  <c:v>45884</c:v>
                </c:pt>
                <c:pt idx="64">
                  <c:v>45883</c:v>
                </c:pt>
                <c:pt idx="65">
                  <c:v>45882</c:v>
                </c:pt>
                <c:pt idx="66">
                  <c:v>45881</c:v>
                </c:pt>
                <c:pt idx="67">
                  <c:v>45880</c:v>
                </c:pt>
                <c:pt idx="68">
                  <c:v>45879</c:v>
                </c:pt>
                <c:pt idx="69">
                  <c:v>45878</c:v>
                </c:pt>
                <c:pt idx="70">
                  <c:v>45877</c:v>
                </c:pt>
                <c:pt idx="71">
                  <c:v>45876</c:v>
                </c:pt>
                <c:pt idx="72">
                  <c:v>45875</c:v>
                </c:pt>
                <c:pt idx="73">
                  <c:v>45874</c:v>
                </c:pt>
                <c:pt idx="74">
                  <c:v>45873</c:v>
                </c:pt>
                <c:pt idx="75">
                  <c:v>45872</c:v>
                </c:pt>
                <c:pt idx="76">
                  <c:v>45871</c:v>
                </c:pt>
                <c:pt idx="77">
                  <c:v>45870</c:v>
                </c:pt>
                <c:pt idx="78">
                  <c:v>45869</c:v>
                </c:pt>
                <c:pt idx="79">
                  <c:v>45868</c:v>
                </c:pt>
                <c:pt idx="80">
                  <c:v>45867</c:v>
                </c:pt>
                <c:pt idx="81">
                  <c:v>45866</c:v>
                </c:pt>
                <c:pt idx="82">
                  <c:v>45865</c:v>
                </c:pt>
                <c:pt idx="83">
                  <c:v>45864</c:v>
                </c:pt>
                <c:pt idx="84">
                  <c:v>45863</c:v>
                </c:pt>
                <c:pt idx="85">
                  <c:v>45862</c:v>
                </c:pt>
                <c:pt idx="86">
                  <c:v>45861</c:v>
                </c:pt>
                <c:pt idx="87">
                  <c:v>45860</c:v>
                </c:pt>
                <c:pt idx="88">
                  <c:v>45859</c:v>
                </c:pt>
                <c:pt idx="89">
                  <c:v>45858</c:v>
                </c:pt>
                <c:pt idx="90">
                  <c:v>45857</c:v>
                </c:pt>
                <c:pt idx="91">
                  <c:v>45856</c:v>
                </c:pt>
                <c:pt idx="92">
                  <c:v>45855</c:v>
                </c:pt>
                <c:pt idx="93">
                  <c:v>45854</c:v>
                </c:pt>
                <c:pt idx="94">
                  <c:v>45853</c:v>
                </c:pt>
                <c:pt idx="95">
                  <c:v>45852</c:v>
                </c:pt>
                <c:pt idx="96">
                  <c:v>45851</c:v>
                </c:pt>
                <c:pt idx="97">
                  <c:v>45850</c:v>
                </c:pt>
                <c:pt idx="98">
                  <c:v>45849</c:v>
                </c:pt>
                <c:pt idx="99">
                  <c:v>45848</c:v>
                </c:pt>
                <c:pt idx="100">
                  <c:v>45847</c:v>
                </c:pt>
                <c:pt idx="101">
                  <c:v>45846</c:v>
                </c:pt>
                <c:pt idx="102">
                  <c:v>45845</c:v>
                </c:pt>
                <c:pt idx="103">
                  <c:v>45844</c:v>
                </c:pt>
                <c:pt idx="104">
                  <c:v>45843</c:v>
                </c:pt>
                <c:pt idx="105">
                  <c:v>45842</c:v>
                </c:pt>
                <c:pt idx="106">
                  <c:v>45841</c:v>
                </c:pt>
                <c:pt idx="107">
                  <c:v>45840</c:v>
                </c:pt>
                <c:pt idx="108">
                  <c:v>45839</c:v>
                </c:pt>
                <c:pt idx="109">
                  <c:v>45838</c:v>
                </c:pt>
                <c:pt idx="110">
                  <c:v>45837</c:v>
                </c:pt>
                <c:pt idx="111">
                  <c:v>45836</c:v>
                </c:pt>
                <c:pt idx="112">
                  <c:v>45835</c:v>
                </c:pt>
                <c:pt idx="113">
                  <c:v>45834</c:v>
                </c:pt>
                <c:pt idx="114">
                  <c:v>45833</c:v>
                </c:pt>
                <c:pt idx="115">
                  <c:v>45832</c:v>
                </c:pt>
                <c:pt idx="116">
                  <c:v>45831</c:v>
                </c:pt>
                <c:pt idx="117">
                  <c:v>45830</c:v>
                </c:pt>
                <c:pt idx="118">
                  <c:v>45829</c:v>
                </c:pt>
                <c:pt idx="119">
                  <c:v>45828</c:v>
                </c:pt>
                <c:pt idx="120">
                  <c:v>45827</c:v>
                </c:pt>
                <c:pt idx="121">
                  <c:v>45826</c:v>
                </c:pt>
                <c:pt idx="122">
                  <c:v>45825</c:v>
                </c:pt>
                <c:pt idx="123">
                  <c:v>45824</c:v>
                </c:pt>
                <c:pt idx="124">
                  <c:v>45823</c:v>
                </c:pt>
                <c:pt idx="125">
                  <c:v>45822</c:v>
                </c:pt>
                <c:pt idx="126">
                  <c:v>45821</c:v>
                </c:pt>
                <c:pt idx="127">
                  <c:v>45820</c:v>
                </c:pt>
                <c:pt idx="128">
                  <c:v>45819</c:v>
                </c:pt>
                <c:pt idx="129">
                  <c:v>45818</c:v>
                </c:pt>
                <c:pt idx="130">
                  <c:v>45817</c:v>
                </c:pt>
                <c:pt idx="131">
                  <c:v>45816</c:v>
                </c:pt>
                <c:pt idx="132">
                  <c:v>45815</c:v>
                </c:pt>
                <c:pt idx="133">
                  <c:v>45814</c:v>
                </c:pt>
                <c:pt idx="134">
                  <c:v>45813</c:v>
                </c:pt>
                <c:pt idx="135">
                  <c:v>45812</c:v>
                </c:pt>
                <c:pt idx="136">
                  <c:v>45811</c:v>
                </c:pt>
                <c:pt idx="137">
                  <c:v>45810</c:v>
                </c:pt>
                <c:pt idx="138">
                  <c:v>45809</c:v>
                </c:pt>
                <c:pt idx="139">
                  <c:v>45808</c:v>
                </c:pt>
                <c:pt idx="140">
                  <c:v>45807</c:v>
                </c:pt>
                <c:pt idx="141">
                  <c:v>45806</c:v>
                </c:pt>
                <c:pt idx="142">
                  <c:v>45805</c:v>
                </c:pt>
                <c:pt idx="143">
                  <c:v>45804</c:v>
                </c:pt>
                <c:pt idx="144">
                  <c:v>45803</c:v>
                </c:pt>
                <c:pt idx="145">
                  <c:v>45802</c:v>
                </c:pt>
                <c:pt idx="146">
                  <c:v>45801</c:v>
                </c:pt>
                <c:pt idx="147">
                  <c:v>45800</c:v>
                </c:pt>
                <c:pt idx="148">
                  <c:v>45799</c:v>
                </c:pt>
                <c:pt idx="149">
                  <c:v>45798</c:v>
                </c:pt>
                <c:pt idx="150">
                  <c:v>45797</c:v>
                </c:pt>
                <c:pt idx="151">
                  <c:v>45796</c:v>
                </c:pt>
                <c:pt idx="152">
                  <c:v>45795</c:v>
                </c:pt>
                <c:pt idx="153">
                  <c:v>45794</c:v>
                </c:pt>
                <c:pt idx="154">
                  <c:v>45793</c:v>
                </c:pt>
                <c:pt idx="155">
                  <c:v>45792</c:v>
                </c:pt>
                <c:pt idx="156">
                  <c:v>45791</c:v>
                </c:pt>
                <c:pt idx="157">
                  <c:v>45790</c:v>
                </c:pt>
                <c:pt idx="158">
                  <c:v>45789</c:v>
                </c:pt>
                <c:pt idx="159">
                  <c:v>45788</c:v>
                </c:pt>
                <c:pt idx="160">
                  <c:v>45787</c:v>
                </c:pt>
                <c:pt idx="161">
                  <c:v>45786</c:v>
                </c:pt>
                <c:pt idx="162">
                  <c:v>45785</c:v>
                </c:pt>
                <c:pt idx="163">
                  <c:v>45784</c:v>
                </c:pt>
                <c:pt idx="164">
                  <c:v>45783</c:v>
                </c:pt>
                <c:pt idx="165">
                  <c:v>45782</c:v>
                </c:pt>
                <c:pt idx="166">
                  <c:v>45781</c:v>
                </c:pt>
                <c:pt idx="167">
                  <c:v>45780</c:v>
                </c:pt>
                <c:pt idx="168">
                  <c:v>45779</c:v>
                </c:pt>
                <c:pt idx="169">
                  <c:v>45778</c:v>
                </c:pt>
                <c:pt idx="170">
                  <c:v>45777</c:v>
                </c:pt>
                <c:pt idx="171">
                  <c:v>45776</c:v>
                </c:pt>
                <c:pt idx="172">
                  <c:v>45775</c:v>
                </c:pt>
                <c:pt idx="173">
                  <c:v>45774</c:v>
                </c:pt>
                <c:pt idx="174">
                  <c:v>45773</c:v>
                </c:pt>
                <c:pt idx="175">
                  <c:v>45772</c:v>
                </c:pt>
                <c:pt idx="176">
                  <c:v>45771</c:v>
                </c:pt>
                <c:pt idx="177">
                  <c:v>45770</c:v>
                </c:pt>
                <c:pt idx="178">
                  <c:v>45769</c:v>
                </c:pt>
                <c:pt idx="179">
                  <c:v>45768</c:v>
                </c:pt>
                <c:pt idx="180">
                  <c:v>45767</c:v>
                </c:pt>
                <c:pt idx="181">
                  <c:v>45766</c:v>
                </c:pt>
                <c:pt idx="182">
                  <c:v>45765</c:v>
                </c:pt>
                <c:pt idx="183">
                  <c:v>45764</c:v>
                </c:pt>
                <c:pt idx="184">
                  <c:v>45763</c:v>
                </c:pt>
                <c:pt idx="185">
                  <c:v>45762</c:v>
                </c:pt>
                <c:pt idx="186">
                  <c:v>45761</c:v>
                </c:pt>
                <c:pt idx="187">
                  <c:v>45760</c:v>
                </c:pt>
                <c:pt idx="188">
                  <c:v>45759</c:v>
                </c:pt>
                <c:pt idx="189">
                  <c:v>45758</c:v>
                </c:pt>
                <c:pt idx="190">
                  <c:v>45757</c:v>
                </c:pt>
                <c:pt idx="191">
                  <c:v>45756</c:v>
                </c:pt>
                <c:pt idx="192">
                  <c:v>45755</c:v>
                </c:pt>
                <c:pt idx="193">
                  <c:v>45754</c:v>
                </c:pt>
                <c:pt idx="194">
                  <c:v>45753</c:v>
                </c:pt>
                <c:pt idx="195">
                  <c:v>45752</c:v>
                </c:pt>
                <c:pt idx="196">
                  <c:v>45751</c:v>
                </c:pt>
                <c:pt idx="197">
                  <c:v>45750</c:v>
                </c:pt>
                <c:pt idx="198">
                  <c:v>45749</c:v>
                </c:pt>
                <c:pt idx="199">
                  <c:v>45748</c:v>
                </c:pt>
                <c:pt idx="200">
                  <c:v>45747</c:v>
                </c:pt>
                <c:pt idx="201">
                  <c:v>45746</c:v>
                </c:pt>
                <c:pt idx="202">
                  <c:v>45745</c:v>
                </c:pt>
                <c:pt idx="203">
                  <c:v>45744</c:v>
                </c:pt>
                <c:pt idx="204">
                  <c:v>45743</c:v>
                </c:pt>
                <c:pt idx="205">
                  <c:v>45742</c:v>
                </c:pt>
                <c:pt idx="206">
                  <c:v>45741</c:v>
                </c:pt>
                <c:pt idx="207">
                  <c:v>45740</c:v>
                </c:pt>
                <c:pt idx="208">
                  <c:v>45739</c:v>
                </c:pt>
                <c:pt idx="209">
                  <c:v>45738</c:v>
                </c:pt>
                <c:pt idx="210">
                  <c:v>45737</c:v>
                </c:pt>
                <c:pt idx="211">
                  <c:v>45736</c:v>
                </c:pt>
                <c:pt idx="212">
                  <c:v>45735</c:v>
                </c:pt>
                <c:pt idx="213">
                  <c:v>45734</c:v>
                </c:pt>
                <c:pt idx="214">
                  <c:v>45733</c:v>
                </c:pt>
                <c:pt idx="215">
                  <c:v>45732</c:v>
                </c:pt>
                <c:pt idx="216">
                  <c:v>45731</c:v>
                </c:pt>
                <c:pt idx="217">
                  <c:v>45730</c:v>
                </c:pt>
                <c:pt idx="218">
                  <c:v>45729</c:v>
                </c:pt>
                <c:pt idx="219">
                  <c:v>45728</c:v>
                </c:pt>
                <c:pt idx="220">
                  <c:v>45727</c:v>
                </c:pt>
                <c:pt idx="221">
                  <c:v>45726</c:v>
                </c:pt>
                <c:pt idx="222">
                  <c:v>45725</c:v>
                </c:pt>
                <c:pt idx="223">
                  <c:v>45724</c:v>
                </c:pt>
                <c:pt idx="224">
                  <c:v>45723</c:v>
                </c:pt>
                <c:pt idx="225">
                  <c:v>45722</c:v>
                </c:pt>
                <c:pt idx="226">
                  <c:v>45721</c:v>
                </c:pt>
                <c:pt idx="227">
                  <c:v>45720</c:v>
                </c:pt>
                <c:pt idx="228">
                  <c:v>45719</c:v>
                </c:pt>
                <c:pt idx="229">
                  <c:v>45718</c:v>
                </c:pt>
                <c:pt idx="230">
                  <c:v>45717</c:v>
                </c:pt>
                <c:pt idx="231">
                  <c:v>45716</c:v>
                </c:pt>
                <c:pt idx="232">
                  <c:v>45715</c:v>
                </c:pt>
                <c:pt idx="233">
                  <c:v>45714</c:v>
                </c:pt>
                <c:pt idx="234">
                  <c:v>45713</c:v>
                </c:pt>
                <c:pt idx="235">
                  <c:v>45712</c:v>
                </c:pt>
                <c:pt idx="236">
                  <c:v>45711</c:v>
                </c:pt>
                <c:pt idx="237">
                  <c:v>45710</c:v>
                </c:pt>
                <c:pt idx="238">
                  <c:v>45709</c:v>
                </c:pt>
                <c:pt idx="239">
                  <c:v>45708</c:v>
                </c:pt>
                <c:pt idx="240">
                  <c:v>45707</c:v>
                </c:pt>
                <c:pt idx="241">
                  <c:v>45706</c:v>
                </c:pt>
                <c:pt idx="242">
                  <c:v>45705</c:v>
                </c:pt>
                <c:pt idx="243">
                  <c:v>45704</c:v>
                </c:pt>
                <c:pt idx="244">
                  <c:v>45703</c:v>
                </c:pt>
                <c:pt idx="245">
                  <c:v>45702</c:v>
                </c:pt>
                <c:pt idx="246">
                  <c:v>45701</c:v>
                </c:pt>
                <c:pt idx="247">
                  <c:v>45700</c:v>
                </c:pt>
                <c:pt idx="248">
                  <c:v>45699</c:v>
                </c:pt>
                <c:pt idx="249">
                  <c:v>45698</c:v>
                </c:pt>
                <c:pt idx="250">
                  <c:v>45697</c:v>
                </c:pt>
                <c:pt idx="251">
                  <c:v>45696</c:v>
                </c:pt>
                <c:pt idx="252">
                  <c:v>45695</c:v>
                </c:pt>
                <c:pt idx="253">
                  <c:v>45694</c:v>
                </c:pt>
                <c:pt idx="254">
                  <c:v>45693</c:v>
                </c:pt>
                <c:pt idx="255">
                  <c:v>45692</c:v>
                </c:pt>
                <c:pt idx="256">
                  <c:v>45691</c:v>
                </c:pt>
                <c:pt idx="257">
                  <c:v>45690</c:v>
                </c:pt>
                <c:pt idx="258">
                  <c:v>45689</c:v>
                </c:pt>
                <c:pt idx="259">
                  <c:v>45688</c:v>
                </c:pt>
                <c:pt idx="260">
                  <c:v>45687</c:v>
                </c:pt>
                <c:pt idx="261">
                  <c:v>45686</c:v>
                </c:pt>
                <c:pt idx="262">
                  <c:v>45685</c:v>
                </c:pt>
                <c:pt idx="263">
                  <c:v>45684</c:v>
                </c:pt>
                <c:pt idx="264">
                  <c:v>45683</c:v>
                </c:pt>
                <c:pt idx="265">
                  <c:v>45682</c:v>
                </c:pt>
                <c:pt idx="266">
                  <c:v>45681</c:v>
                </c:pt>
                <c:pt idx="267">
                  <c:v>45680</c:v>
                </c:pt>
                <c:pt idx="268">
                  <c:v>45679</c:v>
                </c:pt>
                <c:pt idx="269">
                  <c:v>45678</c:v>
                </c:pt>
                <c:pt idx="270">
                  <c:v>45677</c:v>
                </c:pt>
                <c:pt idx="271">
                  <c:v>45676</c:v>
                </c:pt>
                <c:pt idx="272">
                  <c:v>45675</c:v>
                </c:pt>
                <c:pt idx="273">
                  <c:v>45674</c:v>
                </c:pt>
                <c:pt idx="274">
                  <c:v>45673</c:v>
                </c:pt>
                <c:pt idx="275">
                  <c:v>45672</c:v>
                </c:pt>
                <c:pt idx="276">
                  <c:v>45671</c:v>
                </c:pt>
                <c:pt idx="277">
                  <c:v>45670</c:v>
                </c:pt>
                <c:pt idx="278">
                  <c:v>45669</c:v>
                </c:pt>
                <c:pt idx="279">
                  <c:v>45668</c:v>
                </c:pt>
                <c:pt idx="280">
                  <c:v>45667</c:v>
                </c:pt>
                <c:pt idx="281">
                  <c:v>45666</c:v>
                </c:pt>
                <c:pt idx="282">
                  <c:v>45665</c:v>
                </c:pt>
                <c:pt idx="283">
                  <c:v>45664</c:v>
                </c:pt>
                <c:pt idx="284">
                  <c:v>45663</c:v>
                </c:pt>
                <c:pt idx="285">
                  <c:v>45662</c:v>
                </c:pt>
                <c:pt idx="286">
                  <c:v>45661</c:v>
                </c:pt>
                <c:pt idx="287">
                  <c:v>45660</c:v>
                </c:pt>
                <c:pt idx="288">
                  <c:v>45659</c:v>
                </c:pt>
                <c:pt idx="289">
                  <c:v>45658</c:v>
                </c:pt>
                <c:pt idx="290">
                  <c:v>45657</c:v>
                </c:pt>
                <c:pt idx="291">
                  <c:v>45656</c:v>
                </c:pt>
                <c:pt idx="292">
                  <c:v>45655</c:v>
                </c:pt>
                <c:pt idx="293">
                  <c:v>45654</c:v>
                </c:pt>
                <c:pt idx="294">
                  <c:v>45653</c:v>
                </c:pt>
                <c:pt idx="295">
                  <c:v>45652</c:v>
                </c:pt>
                <c:pt idx="296">
                  <c:v>45651</c:v>
                </c:pt>
                <c:pt idx="297">
                  <c:v>45650</c:v>
                </c:pt>
                <c:pt idx="298">
                  <c:v>45649</c:v>
                </c:pt>
                <c:pt idx="299">
                  <c:v>45648</c:v>
                </c:pt>
                <c:pt idx="300">
                  <c:v>45647</c:v>
                </c:pt>
                <c:pt idx="301">
                  <c:v>45646</c:v>
                </c:pt>
                <c:pt idx="302">
                  <c:v>45645</c:v>
                </c:pt>
                <c:pt idx="303">
                  <c:v>45644</c:v>
                </c:pt>
                <c:pt idx="304">
                  <c:v>45643</c:v>
                </c:pt>
                <c:pt idx="305">
                  <c:v>45642</c:v>
                </c:pt>
                <c:pt idx="306">
                  <c:v>45641</c:v>
                </c:pt>
                <c:pt idx="307">
                  <c:v>45640</c:v>
                </c:pt>
                <c:pt idx="308">
                  <c:v>45639</c:v>
                </c:pt>
                <c:pt idx="309">
                  <c:v>45638</c:v>
                </c:pt>
                <c:pt idx="310">
                  <c:v>45637</c:v>
                </c:pt>
                <c:pt idx="311">
                  <c:v>45636</c:v>
                </c:pt>
                <c:pt idx="312">
                  <c:v>45635</c:v>
                </c:pt>
                <c:pt idx="313">
                  <c:v>45634</c:v>
                </c:pt>
                <c:pt idx="314">
                  <c:v>45633</c:v>
                </c:pt>
                <c:pt idx="315">
                  <c:v>45632</c:v>
                </c:pt>
                <c:pt idx="316">
                  <c:v>45631</c:v>
                </c:pt>
                <c:pt idx="317">
                  <c:v>45630</c:v>
                </c:pt>
                <c:pt idx="318">
                  <c:v>45629</c:v>
                </c:pt>
                <c:pt idx="319">
                  <c:v>45628</c:v>
                </c:pt>
                <c:pt idx="320">
                  <c:v>45627</c:v>
                </c:pt>
                <c:pt idx="321">
                  <c:v>45626</c:v>
                </c:pt>
                <c:pt idx="322">
                  <c:v>45625</c:v>
                </c:pt>
                <c:pt idx="323">
                  <c:v>45624</c:v>
                </c:pt>
                <c:pt idx="324">
                  <c:v>45623</c:v>
                </c:pt>
                <c:pt idx="325">
                  <c:v>45622</c:v>
                </c:pt>
                <c:pt idx="326">
                  <c:v>45621</c:v>
                </c:pt>
                <c:pt idx="327">
                  <c:v>45620</c:v>
                </c:pt>
                <c:pt idx="328">
                  <c:v>45619</c:v>
                </c:pt>
                <c:pt idx="329">
                  <c:v>45618</c:v>
                </c:pt>
                <c:pt idx="330">
                  <c:v>45617</c:v>
                </c:pt>
                <c:pt idx="331">
                  <c:v>45616</c:v>
                </c:pt>
                <c:pt idx="332">
                  <c:v>45615</c:v>
                </c:pt>
                <c:pt idx="333">
                  <c:v>45614</c:v>
                </c:pt>
                <c:pt idx="334">
                  <c:v>45613</c:v>
                </c:pt>
                <c:pt idx="335">
                  <c:v>45612</c:v>
                </c:pt>
                <c:pt idx="336">
                  <c:v>45611</c:v>
                </c:pt>
                <c:pt idx="337">
                  <c:v>45610</c:v>
                </c:pt>
                <c:pt idx="338">
                  <c:v>45609</c:v>
                </c:pt>
                <c:pt idx="339">
                  <c:v>45608</c:v>
                </c:pt>
                <c:pt idx="340">
                  <c:v>45607</c:v>
                </c:pt>
                <c:pt idx="341">
                  <c:v>45606</c:v>
                </c:pt>
                <c:pt idx="342">
                  <c:v>45605</c:v>
                </c:pt>
                <c:pt idx="343">
                  <c:v>45604</c:v>
                </c:pt>
                <c:pt idx="344">
                  <c:v>45603</c:v>
                </c:pt>
                <c:pt idx="345">
                  <c:v>45602</c:v>
                </c:pt>
                <c:pt idx="346">
                  <c:v>45601</c:v>
                </c:pt>
                <c:pt idx="347">
                  <c:v>45600</c:v>
                </c:pt>
                <c:pt idx="348">
                  <c:v>45599</c:v>
                </c:pt>
                <c:pt idx="349">
                  <c:v>45598</c:v>
                </c:pt>
                <c:pt idx="350">
                  <c:v>45597</c:v>
                </c:pt>
                <c:pt idx="351">
                  <c:v>45596</c:v>
                </c:pt>
                <c:pt idx="352">
                  <c:v>45595</c:v>
                </c:pt>
                <c:pt idx="353">
                  <c:v>45594</c:v>
                </c:pt>
                <c:pt idx="354">
                  <c:v>45593</c:v>
                </c:pt>
                <c:pt idx="355">
                  <c:v>45592</c:v>
                </c:pt>
                <c:pt idx="356">
                  <c:v>45591</c:v>
                </c:pt>
                <c:pt idx="357">
                  <c:v>45590</c:v>
                </c:pt>
                <c:pt idx="358">
                  <c:v>45589</c:v>
                </c:pt>
                <c:pt idx="359">
                  <c:v>45588</c:v>
                </c:pt>
                <c:pt idx="360">
                  <c:v>45587</c:v>
                </c:pt>
                <c:pt idx="361">
                  <c:v>45586</c:v>
                </c:pt>
                <c:pt idx="362">
                  <c:v>45585</c:v>
                </c:pt>
                <c:pt idx="363">
                  <c:v>45584</c:v>
                </c:pt>
                <c:pt idx="364">
                  <c:v>45583</c:v>
                </c:pt>
                <c:pt idx="365">
                  <c:v>45582</c:v>
                </c:pt>
                <c:pt idx="366">
                  <c:v>45581</c:v>
                </c:pt>
                <c:pt idx="367">
                  <c:v>45580</c:v>
                </c:pt>
                <c:pt idx="368">
                  <c:v>45579</c:v>
                </c:pt>
                <c:pt idx="369">
                  <c:v>45578</c:v>
                </c:pt>
                <c:pt idx="370">
                  <c:v>45577</c:v>
                </c:pt>
                <c:pt idx="371">
                  <c:v>45576</c:v>
                </c:pt>
                <c:pt idx="372">
                  <c:v>45575</c:v>
                </c:pt>
                <c:pt idx="373">
                  <c:v>45574</c:v>
                </c:pt>
                <c:pt idx="374">
                  <c:v>45573</c:v>
                </c:pt>
                <c:pt idx="375">
                  <c:v>45572</c:v>
                </c:pt>
                <c:pt idx="376">
                  <c:v>45571</c:v>
                </c:pt>
                <c:pt idx="377">
                  <c:v>45570</c:v>
                </c:pt>
                <c:pt idx="378">
                  <c:v>45569</c:v>
                </c:pt>
                <c:pt idx="379">
                  <c:v>45568</c:v>
                </c:pt>
                <c:pt idx="380">
                  <c:v>45567</c:v>
                </c:pt>
                <c:pt idx="381">
                  <c:v>45566</c:v>
                </c:pt>
                <c:pt idx="382">
                  <c:v>45565</c:v>
                </c:pt>
                <c:pt idx="383">
                  <c:v>45564</c:v>
                </c:pt>
                <c:pt idx="384">
                  <c:v>45563</c:v>
                </c:pt>
                <c:pt idx="385">
                  <c:v>45562</c:v>
                </c:pt>
                <c:pt idx="386">
                  <c:v>45561</c:v>
                </c:pt>
                <c:pt idx="387">
                  <c:v>45560</c:v>
                </c:pt>
                <c:pt idx="388">
                  <c:v>45559</c:v>
                </c:pt>
                <c:pt idx="389">
                  <c:v>45558</c:v>
                </c:pt>
                <c:pt idx="390">
                  <c:v>45557</c:v>
                </c:pt>
                <c:pt idx="391">
                  <c:v>45556</c:v>
                </c:pt>
                <c:pt idx="392">
                  <c:v>45555</c:v>
                </c:pt>
                <c:pt idx="393">
                  <c:v>45554</c:v>
                </c:pt>
                <c:pt idx="394">
                  <c:v>45553</c:v>
                </c:pt>
                <c:pt idx="395">
                  <c:v>45552</c:v>
                </c:pt>
                <c:pt idx="396">
                  <c:v>45551</c:v>
                </c:pt>
                <c:pt idx="397">
                  <c:v>45550</c:v>
                </c:pt>
                <c:pt idx="398">
                  <c:v>45549</c:v>
                </c:pt>
                <c:pt idx="399">
                  <c:v>45548</c:v>
                </c:pt>
                <c:pt idx="400">
                  <c:v>45547</c:v>
                </c:pt>
                <c:pt idx="401">
                  <c:v>45546</c:v>
                </c:pt>
                <c:pt idx="402">
                  <c:v>45545</c:v>
                </c:pt>
                <c:pt idx="403">
                  <c:v>45544</c:v>
                </c:pt>
                <c:pt idx="404">
                  <c:v>45543</c:v>
                </c:pt>
              </c:numCache>
            </c:numRef>
          </c:cat>
          <c:val>
            <c:numRef>
              <c:f>Dashboard!$D$154:$D$558</c:f>
              <c:numCache>
                <c:formatCode>General</c:formatCode>
                <c:ptCount val="405"/>
                <c:pt idx="39">
                  <c:v>10.345000000000001</c:v>
                </c:pt>
                <c:pt idx="40">
                  <c:v>10.46</c:v>
                </c:pt>
                <c:pt idx="41">
                  <c:v>10.46</c:v>
                </c:pt>
                <c:pt idx="42">
                  <c:v>10.46</c:v>
                </c:pt>
                <c:pt idx="43">
                  <c:v>10.45</c:v>
                </c:pt>
                <c:pt idx="44">
                  <c:v>10.11</c:v>
                </c:pt>
                <c:pt idx="45">
                  <c:v>10.29</c:v>
                </c:pt>
                <c:pt idx="46">
                  <c:v>10.210000000000001</c:v>
                </c:pt>
                <c:pt idx="47">
                  <c:v>10.210000000000001</c:v>
                </c:pt>
                <c:pt idx="48">
                  <c:v>10.210000000000001</c:v>
                </c:pt>
                <c:pt idx="49">
                  <c:v>10.210000000000001</c:v>
                </c:pt>
                <c:pt idx="50">
                  <c:v>10.16</c:v>
                </c:pt>
                <c:pt idx="51">
                  <c:v>10.15</c:v>
                </c:pt>
                <c:pt idx="52">
                  <c:v>10.73</c:v>
                </c:pt>
                <c:pt idx="53">
                  <c:v>9.9700000000000006</c:v>
                </c:pt>
                <c:pt idx="54">
                  <c:v>9.7799999999999994</c:v>
                </c:pt>
                <c:pt idx="55">
                  <c:v>9.7799999999999994</c:v>
                </c:pt>
                <c:pt idx="56">
                  <c:v>9.7799999999999994</c:v>
                </c:pt>
                <c:pt idx="57">
                  <c:v>9.65</c:v>
                </c:pt>
                <c:pt idx="58">
                  <c:v>9.58</c:v>
                </c:pt>
                <c:pt idx="59">
                  <c:v>9.89</c:v>
                </c:pt>
                <c:pt idx="60">
                  <c:v>10.6</c:v>
                </c:pt>
                <c:pt idx="61">
                  <c:v>10.42</c:v>
                </c:pt>
                <c:pt idx="62">
                  <c:v>10.42</c:v>
                </c:pt>
                <c:pt idx="63">
                  <c:v>10.42</c:v>
                </c:pt>
                <c:pt idx="64">
                  <c:v>10.57</c:v>
                </c:pt>
                <c:pt idx="65">
                  <c:v>10.76</c:v>
                </c:pt>
                <c:pt idx="66">
                  <c:v>10.79</c:v>
                </c:pt>
                <c:pt idx="67">
                  <c:v>10.9</c:v>
                </c:pt>
                <c:pt idx="68">
                  <c:v>10.76</c:v>
                </c:pt>
                <c:pt idx="69">
                  <c:v>10.76</c:v>
                </c:pt>
                <c:pt idx="70">
                  <c:v>10.76</c:v>
                </c:pt>
                <c:pt idx="71">
                  <c:v>10.35</c:v>
                </c:pt>
                <c:pt idx="72">
                  <c:v>11.33</c:v>
                </c:pt>
                <c:pt idx="73">
                  <c:v>9.99</c:v>
                </c:pt>
                <c:pt idx="74">
                  <c:v>10.25</c:v>
                </c:pt>
                <c:pt idx="75">
                  <c:v>10.4</c:v>
                </c:pt>
                <c:pt idx="76">
                  <c:v>10.4</c:v>
                </c:pt>
                <c:pt idx="77">
                  <c:v>10.4</c:v>
                </c:pt>
                <c:pt idx="78">
                  <c:v>10.64</c:v>
                </c:pt>
                <c:pt idx="79">
                  <c:v>10.69</c:v>
                </c:pt>
                <c:pt idx="80">
                  <c:v>10.88</c:v>
                </c:pt>
                <c:pt idx="81">
                  <c:v>10.92</c:v>
                </c:pt>
                <c:pt idx="82">
                  <c:v>11.27</c:v>
                </c:pt>
                <c:pt idx="83">
                  <c:v>11.27</c:v>
                </c:pt>
                <c:pt idx="84">
                  <c:v>11.27</c:v>
                </c:pt>
                <c:pt idx="85">
                  <c:v>11.25</c:v>
                </c:pt>
                <c:pt idx="86">
                  <c:v>11.65</c:v>
                </c:pt>
                <c:pt idx="87">
                  <c:v>11.28</c:v>
                </c:pt>
                <c:pt idx="88">
                  <c:v>11.44</c:v>
                </c:pt>
                <c:pt idx="89">
                  <c:v>11.64</c:v>
                </c:pt>
                <c:pt idx="90">
                  <c:v>11.64</c:v>
                </c:pt>
                <c:pt idx="91">
                  <c:v>11.64</c:v>
                </c:pt>
                <c:pt idx="92">
                  <c:v>11.65</c:v>
                </c:pt>
                <c:pt idx="93">
                  <c:v>11.75</c:v>
                </c:pt>
                <c:pt idx="94">
                  <c:v>11.49</c:v>
                </c:pt>
                <c:pt idx="95">
                  <c:v>11.97</c:v>
                </c:pt>
                <c:pt idx="96">
                  <c:v>12.27</c:v>
                </c:pt>
                <c:pt idx="97">
                  <c:v>12.27</c:v>
                </c:pt>
                <c:pt idx="98">
                  <c:v>12.27</c:v>
                </c:pt>
                <c:pt idx="99">
                  <c:v>13.35</c:v>
                </c:pt>
                <c:pt idx="100">
                  <c:v>13.69</c:v>
                </c:pt>
                <c:pt idx="101">
                  <c:v>14.25</c:v>
                </c:pt>
                <c:pt idx="102">
                  <c:v>14.23</c:v>
                </c:pt>
                <c:pt idx="103">
                  <c:v>13.72</c:v>
                </c:pt>
                <c:pt idx="104">
                  <c:v>13.72</c:v>
                </c:pt>
                <c:pt idx="105">
                  <c:v>13.72</c:v>
                </c:pt>
                <c:pt idx="106">
                  <c:v>13.72</c:v>
                </c:pt>
                <c:pt idx="107">
                  <c:v>13.51</c:v>
                </c:pt>
                <c:pt idx="108">
                  <c:v>13.58</c:v>
                </c:pt>
                <c:pt idx="109">
                  <c:v>13.99</c:v>
                </c:pt>
                <c:pt idx="110">
                  <c:v>14.61</c:v>
                </c:pt>
                <c:pt idx="111">
                  <c:v>14.61</c:v>
                </c:pt>
                <c:pt idx="112">
                  <c:v>14.61</c:v>
                </c:pt>
                <c:pt idx="113">
                  <c:v>14.5</c:v>
                </c:pt>
                <c:pt idx="114">
                  <c:v>14.45</c:v>
                </c:pt>
                <c:pt idx="115">
                  <c:v>14.48</c:v>
                </c:pt>
                <c:pt idx="116">
                  <c:v>13.4</c:v>
                </c:pt>
                <c:pt idx="117">
                  <c:v>12.85</c:v>
                </c:pt>
                <c:pt idx="118">
                  <c:v>12.85</c:v>
                </c:pt>
                <c:pt idx="119">
                  <c:v>12.85</c:v>
                </c:pt>
                <c:pt idx="120">
                  <c:v>12.58</c:v>
                </c:pt>
                <c:pt idx="121">
                  <c:v>12.58</c:v>
                </c:pt>
                <c:pt idx="122">
                  <c:v>11.95</c:v>
                </c:pt>
                <c:pt idx="123">
                  <c:v>12.3</c:v>
                </c:pt>
                <c:pt idx="124">
                  <c:v>12.21</c:v>
                </c:pt>
                <c:pt idx="125">
                  <c:v>12.21</c:v>
                </c:pt>
                <c:pt idx="126">
                  <c:v>12.21</c:v>
                </c:pt>
                <c:pt idx="127">
                  <c:v>12.56</c:v>
                </c:pt>
                <c:pt idx="128">
                  <c:v>13.9</c:v>
                </c:pt>
                <c:pt idx="129">
                  <c:v>13.93</c:v>
                </c:pt>
                <c:pt idx="130">
                  <c:v>13.89</c:v>
                </c:pt>
                <c:pt idx="131">
                  <c:v>14.18</c:v>
                </c:pt>
                <c:pt idx="132">
                  <c:v>14.18</c:v>
                </c:pt>
                <c:pt idx="133">
                  <c:v>14.18</c:v>
                </c:pt>
                <c:pt idx="134">
                  <c:v>13.55</c:v>
                </c:pt>
                <c:pt idx="135">
                  <c:v>13.49</c:v>
                </c:pt>
                <c:pt idx="136">
                  <c:v>13.14</c:v>
                </c:pt>
                <c:pt idx="137">
                  <c:v>13.2</c:v>
                </c:pt>
                <c:pt idx="138">
                  <c:v>12.67</c:v>
                </c:pt>
                <c:pt idx="139">
                  <c:v>12.67</c:v>
                </c:pt>
                <c:pt idx="140">
                  <c:v>12.67</c:v>
                </c:pt>
                <c:pt idx="141">
                  <c:v>12.94</c:v>
                </c:pt>
                <c:pt idx="142">
                  <c:v>13.21</c:v>
                </c:pt>
                <c:pt idx="143">
                  <c:v>13.03</c:v>
                </c:pt>
                <c:pt idx="144">
                  <c:v>11.98</c:v>
                </c:pt>
                <c:pt idx="145">
                  <c:v>11.98</c:v>
                </c:pt>
                <c:pt idx="146">
                  <c:v>11.98</c:v>
                </c:pt>
                <c:pt idx="147">
                  <c:v>11.98</c:v>
                </c:pt>
                <c:pt idx="148">
                  <c:v>11.73</c:v>
                </c:pt>
                <c:pt idx="149">
                  <c:v>11.33</c:v>
                </c:pt>
                <c:pt idx="150">
                  <c:v>12.21</c:v>
                </c:pt>
                <c:pt idx="151">
                  <c:v>11.89</c:v>
                </c:pt>
                <c:pt idx="152">
                  <c:v>11.81</c:v>
                </c:pt>
                <c:pt idx="153">
                  <c:v>11.81</c:v>
                </c:pt>
                <c:pt idx="154">
                  <c:v>11.81</c:v>
                </c:pt>
                <c:pt idx="155">
                  <c:v>11.39</c:v>
                </c:pt>
                <c:pt idx="156">
                  <c:v>12.1</c:v>
                </c:pt>
                <c:pt idx="157">
                  <c:v>12.43</c:v>
                </c:pt>
                <c:pt idx="158">
                  <c:v>12.16</c:v>
                </c:pt>
                <c:pt idx="159">
                  <c:v>11.64</c:v>
                </c:pt>
                <c:pt idx="160">
                  <c:v>11.64</c:v>
                </c:pt>
                <c:pt idx="161">
                  <c:v>11.64</c:v>
                </c:pt>
                <c:pt idx="162">
                  <c:v>11.61</c:v>
                </c:pt>
                <c:pt idx="163">
                  <c:v>10.84</c:v>
                </c:pt>
                <c:pt idx="164">
                  <c:v>9.6999999999999993</c:v>
                </c:pt>
                <c:pt idx="165">
                  <c:v>9.86</c:v>
                </c:pt>
                <c:pt idx="166">
                  <c:v>9.93</c:v>
                </c:pt>
                <c:pt idx="167">
                  <c:v>9.93</c:v>
                </c:pt>
                <c:pt idx="168">
                  <c:v>9.93</c:v>
                </c:pt>
                <c:pt idx="169">
                  <c:v>9.6</c:v>
                </c:pt>
                <c:pt idx="170">
                  <c:v>9.35</c:v>
                </c:pt>
                <c:pt idx="171">
                  <c:v>9.48</c:v>
                </c:pt>
                <c:pt idx="172">
                  <c:v>9.5</c:v>
                </c:pt>
                <c:pt idx="173">
                  <c:v>9.27</c:v>
                </c:pt>
                <c:pt idx="174">
                  <c:v>9.27</c:v>
                </c:pt>
                <c:pt idx="175">
                  <c:v>9.27</c:v>
                </c:pt>
                <c:pt idx="176">
                  <c:v>9.3699999999999992</c:v>
                </c:pt>
                <c:pt idx="177">
                  <c:v>8.86</c:v>
                </c:pt>
                <c:pt idx="178">
                  <c:v>8.44</c:v>
                </c:pt>
                <c:pt idx="179">
                  <c:v>7.98</c:v>
                </c:pt>
                <c:pt idx="180">
                  <c:v>8.3000000000000007</c:v>
                </c:pt>
                <c:pt idx="181">
                  <c:v>8.3000000000000007</c:v>
                </c:pt>
                <c:pt idx="182">
                  <c:v>8.3000000000000007</c:v>
                </c:pt>
                <c:pt idx="183">
                  <c:v>8.3000000000000007</c:v>
                </c:pt>
                <c:pt idx="184">
                  <c:v>8.35</c:v>
                </c:pt>
                <c:pt idx="185">
                  <c:v>8.49</c:v>
                </c:pt>
                <c:pt idx="186">
                  <c:v>8.27</c:v>
                </c:pt>
                <c:pt idx="187">
                  <c:v>8.4700000000000006</c:v>
                </c:pt>
                <c:pt idx="188">
                  <c:v>8.4700000000000006</c:v>
                </c:pt>
                <c:pt idx="189">
                  <c:v>8.4700000000000006</c:v>
                </c:pt>
                <c:pt idx="190">
                  <c:v>8.33</c:v>
                </c:pt>
                <c:pt idx="191">
                  <c:v>8.66</c:v>
                </c:pt>
                <c:pt idx="192">
                  <c:v>7.92</c:v>
                </c:pt>
                <c:pt idx="193">
                  <c:v>8.16</c:v>
                </c:pt>
                <c:pt idx="194">
                  <c:v>8.27</c:v>
                </c:pt>
                <c:pt idx="195">
                  <c:v>8.27</c:v>
                </c:pt>
                <c:pt idx="196">
                  <c:v>8.27</c:v>
                </c:pt>
                <c:pt idx="197">
                  <c:v>8.9600000000000009</c:v>
                </c:pt>
                <c:pt idx="198">
                  <c:v>9.7799999999999994</c:v>
                </c:pt>
                <c:pt idx="199">
                  <c:v>9.33</c:v>
                </c:pt>
                <c:pt idx="200">
                  <c:v>9.3000000000000007</c:v>
                </c:pt>
                <c:pt idx="201">
                  <c:v>9.51</c:v>
                </c:pt>
                <c:pt idx="202">
                  <c:v>9.51</c:v>
                </c:pt>
                <c:pt idx="203">
                  <c:v>9.51</c:v>
                </c:pt>
                <c:pt idx="204">
                  <c:v>9.32</c:v>
                </c:pt>
                <c:pt idx="205">
                  <c:v>9.9499999999999993</c:v>
                </c:pt>
                <c:pt idx="206">
                  <c:v>10.74</c:v>
                </c:pt>
                <c:pt idx="207">
                  <c:v>10.93</c:v>
                </c:pt>
                <c:pt idx="208">
                  <c:v>9.76</c:v>
                </c:pt>
                <c:pt idx="209">
                  <c:v>9.76</c:v>
                </c:pt>
                <c:pt idx="210">
                  <c:v>9.76</c:v>
                </c:pt>
                <c:pt idx="211">
                  <c:v>9.91</c:v>
                </c:pt>
                <c:pt idx="212">
                  <c:v>9.68</c:v>
                </c:pt>
                <c:pt idx="213">
                  <c:v>9.14</c:v>
                </c:pt>
                <c:pt idx="214">
                  <c:v>9.25</c:v>
                </c:pt>
                <c:pt idx="215">
                  <c:v>9.25</c:v>
                </c:pt>
                <c:pt idx="216">
                  <c:v>9.25</c:v>
                </c:pt>
                <c:pt idx="217">
                  <c:v>9.25</c:v>
                </c:pt>
                <c:pt idx="218">
                  <c:v>8.8800000000000008</c:v>
                </c:pt>
                <c:pt idx="219">
                  <c:v>9.35</c:v>
                </c:pt>
                <c:pt idx="220">
                  <c:v>9.2100000000000009</c:v>
                </c:pt>
                <c:pt idx="221">
                  <c:v>9.0500000000000007</c:v>
                </c:pt>
                <c:pt idx="222">
                  <c:v>9.65</c:v>
                </c:pt>
                <c:pt idx="223">
                  <c:v>9.65</c:v>
                </c:pt>
                <c:pt idx="224">
                  <c:v>9.65</c:v>
                </c:pt>
                <c:pt idx="225">
                  <c:v>9.69</c:v>
                </c:pt>
                <c:pt idx="226">
                  <c:v>10.36</c:v>
                </c:pt>
                <c:pt idx="227">
                  <c:v>9.35</c:v>
                </c:pt>
                <c:pt idx="228">
                  <c:v>9.59</c:v>
                </c:pt>
                <c:pt idx="229">
                  <c:v>9.86</c:v>
                </c:pt>
                <c:pt idx="230">
                  <c:v>9.86</c:v>
                </c:pt>
                <c:pt idx="231">
                  <c:v>9.86</c:v>
                </c:pt>
                <c:pt idx="232">
                  <c:v>10.130000000000001</c:v>
                </c:pt>
                <c:pt idx="233">
                  <c:v>10.51</c:v>
                </c:pt>
                <c:pt idx="234">
                  <c:v>10.7</c:v>
                </c:pt>
                <c:pt idx="235">
                  <c:v>10.93</c:v>
                </c:pt>
                <c:pt idx="236">
                  <c:v>11.29</c:v>
                </c:pt>
                <c:pt idx="237">
                  <c:v>11.29</c:v>
                </c:pt>
                <c:pt idx="238">
                  <c:v>11.29</c:v>
                </c:pt>
                <c:pt idx="239">
                  <c:v>11.32</c:v>
                </c:pt>
                <c:pt idx="240">
                  <c:v>11.62</c:v>
                </c:pt>
                <c:pt idx="241">
                  <c:v>12</c:v>
                </c:pt>
                <c:pt idx="242">
                  <c:v>13.11</c:v>
                </c:pt>
                <c:pt idx="243">
                  <c:v>13.11</c:v>
                </c:pt>
                <c:pt idx="244">
                  <c:v>13.11</c:v>
                </c:pt>
                <c:pt idx="245">
                  <c:v>13.11</c:v>
                </c:pt>
                <c:pt idx="246">
                  <c:v>13.03</c:v>
                </c:pt>
                <c:pt idx="247">
                  <c:v>14.3</c:v>
                </c:pt>
                <c:pt idx="248">
                  <c:v>15</c:v>
                </c:pt>
                <c:pt idx="249">
                  <c:v>15.42</c:v>
                </c:pt>
                <c:pt idx="250">
                  <c:v>16.940000000000001</c:v>
                </c:pt>
                <c:pt idx="251">
                  <c:v>16.940000000000001</c:v>
                </c:pt>
                <c:pt idx="252">
                  <c:v>16.940000000000001</c:v>
                </c:pt>
                <c:pt idx="253">
                  <c:v>16.36</c:v>
                </c:pt>
                <c:pt idx="254">
                  <c:v>15.57</c:v>
                </c:pt>
                <c:pt idx="255">
                  <c:v>15</c:v>
                </c:pt>
                <c:pt idx="256">
                  <c:v>13.77</c:v>
                </c:pt>
                <c:pt idx="257">
                  <c:v>13.71</c:v>
                </c:pt>
                <c:pt idx="258">
                  <c:v>13.71</c:v>
                </c:pt>
                <c:pt idx="259">
                  <c:v>13.71</c:v>
                </c:pt>
                <c:pt idx="260">
                  <c:v>13.81</c:v>
                </c:pt>
                <c:pt idx="261">
                  <c:v>13.85</c:v>
                </c:pt>
                <c:pt idx="262">
                  <c:v>13.88</c:v>
                </c:pt>
                <c:pt idx="263">
                  <c:v>12.49</c:v>
                </c:pt>
                <c:pt idx="264">
                  <c:v>12.64</c:v>
                </c:pt>
                <c:pt idx="265">
                  <c:v>12.64</c:v>
                </c:pt>
                <c:pt idx="266">
                  <c:v>12.64</c:v>
                </c:pt>
                <c:pt idx="267">
                  <c:v>12.04</c:v>
                </c:pt>
                <c:pt idx="268">
                  <c:v>11.84</c:v>
                </c:pt>
                <c:pt idx="269">
                  <c:v>11.92</c:v>
                </c:pt>
                <c:pt idx="270">
                  <c:v>11.02</c:v>
                </c:pt>
                <c:pt idx="271">
                  <c:v>11.02</c:v>
                </c:pt>
                <c:pt idx="272">
                  <c:v>11.02</c:v>
                </c:pt>
                <c:pt idx="273">
                  <c:v>11.02</c:v>
                </c:pt>
                <c:pt idx="274">
                  <c:v>11.26</c:v>
                </c:pt>
                <c:pt idx="275">
                  <c:v>11.91</c:v>
                </c:pt>
                <c:pt idx="276">
                  <c:v>10.61</c:v>
                </c:pt>
                <c:pt idx="277">
                  <c:v>9.74</c:v>
                </c:pt>
                <c:pt idx="278">
                  <c:v>9.2899999999999991</c:v>
                </c:pt>
                <c:pt idx="279">
                  <c:v>9.2899999999999991</c:v>
                </c:pt>
                <c:pt idx="280">
                  <c:v>9.2899999999999991</c:v>
                </c:pt>
                <c:pt idx="281">
                  <c:v>8.2200000000000006</c:v>
                </c:pt>
                <c:pt idx="282">
                  <c:v>8.2200000000000006</c:v>
                </c:pt>
                <c:pt idx="283">
                  <c:v>7.22</c:v>
                </c:pt>
                <c:pt idx="284">
                  <c:v>7.56</c:v>
                </c:pt>
                <c:pt idx="285">
                  <c:v>8.58</c:v>
                </c:pt>
                <c:pt idx="286">
                  <c:v>8.58</c:v>
                </c:pt>
                <c:pt idx="287">
                  <c:v>8.58</c:v>
                </c:pt>
                <c:pt idx="288">
                  <c:v>8.08</c:v>
                </c:pt>
                <c:pt idx="289">
                  <c:v>7.66</c:v>
                </c:pt>
                <c:pt idx="290">
                  <c:v>7.66</c:v>
                </c:pt>
                <c:pt idx="291">
                  <c:v>7.56</c:v>
                </c:pt>
                <c:pt idx="292">
                  <c:v>7.65</c:v>
                </c:pt>
                <c:pt idx="293">
                  <c:v>7.65</c:v>
                </c:pt>
                <c:pt idx="294">
                  <c:v>7.65</c:v>
                </c:pt>
                <c:pt idx="295">
                  <c:v>7.9</c:v>
                </c:pt>
                <c:pt idx="296">
                  <c:v>7.36</c:v>
                </c:pt>
                <c:pt idx="297">
                  <c:v>7.36</c:v>
                </c:pt>
                <c:pt idx="298">
                  <c:v>7.16</c:v>
                </c:pt>
                <c:pt idx="299">
                  <c:v>7.23</c:v>
                </c:pt>
                <c:pt idx="300">
                  <c:v>7.23</c:v>
                </c:pt>
                <c:pt idx="301">
                  <c:v>7.23</c:v>
                </c:pt>
                <c:pt idx="302">
                  <c:v>7.22</c:v>
                </c:pt>
                <c:pt idx="303">
                  <c:v>7.31</c:v>
                </c:pt>
                <c:pt idx="304">
                  <c:v>7.71</c:v>
                </c:pt>
                <c:pt idx="305">
                  <c:v>7.58</c:v>
                </c:pt>
                <c:pt idx="306">
                  <c:v>7.34</c:v>
                </c:pt>
                <c:pt idx="307">
                  <c:v>7.34</c:v>
                </c:pt>
                <c:pt idx="308">
                  <c:v>7.34</c:v>
                </c:pt>
                <c:pt idx="309">
                  <c:v>6.66</c:v>
                </c:pt>
                <c:pt idx="310">
                  <c:v>6.84</c:v>
                </c:pt>
                <c:pt idx="311">
                  <c:v>6.85</c:v>
                </c:pt>
                <c:pt idx="312">
                  <c:v>6.84</c:v>
                </c:pt>
                <c:pt idx="313">
                  <c:v>7.29</c:v>
                </c:pt>
                <c:pt idx="314">
                  <c:v>7.29</c:v>
                </c:pt>
                <c:pt idx="315">
                  <c:v>7.29</c:v>
                </c:pt>
                <c:pt idx="316">
                  <c:v>7.35</c:v>
                </c:pt>
                <c:pt idx="317">
                  <c:v>7.73</c:v>
                </c:pt>
                <c:pt idx="318">
                  <c:v>7.68</c:v>
                </c:pt>
                <c:pt idx="319">
                  <c:v>7.7</c:v>
                </c:pt>
                <c:pt idx="320">
                  <c:v>8.16</c:v>
                </c:pt>
                <c:pt idx="321">
                  <c:v>8.16</c:v>
                </c:pt>
                <c:pt idx="322">
                  <c:v>8.16</c:v>
                </c:pt>
                <c:pt idx="323">
                  <c:v>7.98</c:v>
                </c:pt>
                <c:pt idx="324">
                  <c:v>7.98</c:v>
                </c:pt>
                <c:pt idx="325">
                  <c:v>8</c:v>
                </c:pt>
                <c:pt idx="326">
                  <c:v>7.85</c:v>
                </c:pt>
                <c:pt idx="327">
                  <c:v>7.61</c:v>
                </c:pt>
                <c:pt idx="328">
                  <c:v>7.61</c:v>
                </c:pt>
                <c:pt idx="329">
                  <c:v>7.61</c:v>
                </c:pt>
                <c:pt idx="330">
                  <c:v>7.22</c:v>
                </c:pt>
                <c:pt idx="331">
                  <c:v>7.1</c:v>
                </c:pt>
                <c:pt idx="332">
                  <c:v>7.13</c:v>
                </c:pt>
                <c:pt idx="333">
                  <c:v>6.91</c:v>
                </c:pt>
                <c:pt idx="334">
                  <c:v>6.53</c:v>
                </c:pt>
                <c:pt idx="335">
                  <c:v>6.53</c:v>
                </c:pt>
                <c:pt idx="336">
                  <c:v>6.53</c:v>
                </c:pt>
                <c:pt idx="337">
                  <c:v>6.57</c:v>
                </c:pt>
                <c:pt idx="338">
                  <c:v>6.75</c:v>
                </c:pt>
                <c:pt idx="339">
                  <c:v>7.14</c:v>
                </c:pt>
                <c:pt idx="340">
                  <c:v>6.83</c:v>
                </c:pt>
                <c:pt idx="341">
                  <c:v>6.5</c:v>
                </c:pt>
                <c:pt idx="342">
                  <c:v>6.5</c:v>
                </c:pt>
                <c:pt idx="343">
                  <c:v>6.5</c:v>
                </c:pt>
                <c:pt idx="344">
                  <c:v>6.62</c:v>
                </c:pt>
                <c:pt idx="345">
                  <c:v>5.41</c:v>
                </c:pt>
                <c:pt idx="346">
                  <c:v>4.9400000000000004</c:v>
                </c:pt>
                <c:pt idx="347">
                  <c:v>4.8499999999999996</c:v>
                </c:pt>
                <c:pt idx="348">
                  <c:v>5.05</c:v>
                </c:pt>
                <c:pt idx="349">
                  <c:v>5.05</c:v>
                </c:pt>
                <c:pt idx="350">
                  <c:v>5.05</c:v>
                </c:pt>
                <c:pt idx="351">
                  <c:v>5.12</c:v>
                </c:pt>
                <c:pt idx="352">
                  <c:v>5.24</c:v>
                </c:pt>
                <c:pt idx="353">
                  <c:v>5.25</c:v>
                </c:pt>
                <c:pt idx="354">
                  <c:v>5.39</c:v>
                </c:pt>
                <c:pt idx="355">
                  <c:v>5.05</c:v>
                </c:pt>
                <c:pt idx="356">
                  <c:v>5.05</c:v>
                </c:pt>
                <c:pt idx="357">
                  <c:v>5.05</c:v>
                </c:pt>
                <c:pt idx="358">
                  <c:v>5.12</c:v>
                </c:pt>
                <c:pt idx="359">
                  <c:v>5.15</c:v>
                </c:pt>
                <c:pt idx="360">
                  <c:v>5.55</c:v>
                </c:pt>
                <c:pt idx="361">
                  <c:v>5.36</c:v>
                </c:pt>
                <c:pt idx="362">
                  <c:v>5.19</c:v>
                </c:pt>
                <c:pt idx="363">
                  <c:v>5.19</c:v>
                </c:pt>
                <c:pt idx="364">
                  <c:v>5.19</c:v>
                </c:pt>
                <c:pt idx="365">
                  <c:v>4.82</c:v>
                </c:pt>
                <c:pt idx="366">
                  <c:v>4.87</c:v>
                </c:pt>
                <c:pt idx="367">
                  <c:v>4.88</c:v>
                </c:pt>
                <c:pt idx="368">
                  <c:v>4.92</c:v>
                </c:pt>
                <c:pt idx="369">
                  <c:v>4.7</c:v>
                </c:pt>
                <c:pt idx="370">
                  <c:v>4.7</c:v>
                </c:pt>
                <c:pt idx="371">
                  <c:v>4.7</c:v>
                </c:pt>
                <c:pt idx="372">
                  <c:v>4.83</c:v>
                </c:pt>
                <c:pt idx="373">
                  <c:v>4.96</c:v>
                </c:pt>
                <c:pt idx="374">
                  <c:v>4.75</c:v>
                </c:pt>
                <c:pt idx="375">
                  <c:v>4.57</c:v>
                </c:pt>
                <c:pt idx="376">
                  <c:v>4.47</c:v>
                </c:pt>
                <c:pt idx="377">
                  <c:v>4.47</c:v>
                </c:pt>
                <c:pt idx="378">
                  <c:v>4.47</c:v>
                </c:pt>
                <c:pt idx="379">
                  <c:v>4.5199999999999996</c:v>
                </c:pt>
                <c:pt idx="380">
                  <c:v>4.6900000000000004</c:v>
                </c:pt>
                <c:pt idx="381">
                  <c:v>4.9400000000000004</c:v>
                </c:pt>
                <c:pt idx="382">
                  <c:v>4.7300000000000004</c:v>
                </c:pt>
                <c:pt idx="383">
                  <c:v>4.88</c:v>
                </c:pt>
                <c:pt idx="384">
                  <c:v>4.88</c:v>
                </c:pt>
                <c:pt idx="385">
                  <c:v>4.88</c:v>
                </c:pt>
                <c:pt idx="386">
                  <c:v>4.76</c:v>
                </c:pt>
                <c:pt idx="387">
                  <c:v>4.57</c:v>
                </c:pt>
                <c:pt idx="388">
                  <c:v>4.5</c:v>
                </c:pt>
                <c:pt idx="389">
                  <c:v>4.46</c:v>
                </c:pt>
                <c:pt idx="390">
                  <c:v>4.38</c:v>
                </c:pt>
                <c:pt idx="391">
                  <c:v>4.38</c:v>
                </c:pt>
                <c:pt idx="392">
                  <c:v>4.38</c:v>
                </c:pt>
                <c:pt idx="393">
                  <c:v>4.32</c:v>
                </c:pt>
                <c:pt idx="394">
                  <c:v>4.3600000000000003</c:v>
                </c:pt>
                <c:pt idx="395">
                  <c:v>4.46</c:v>
                </c:pt>
                <c:pt idx="396">
                  <c:v>4.3</c:v>
                </c:pt>
                <c:pt idx="397">
                  <c:v>4.33</c:v>
                </c:pt>
                <c:pt idx="398">
                  <c:v>4.33</c:v>
                </c:pt>
                <c:pt idx="399">
                  <c:v>4.33</c:v>
                </c:pt>
                <c:pt idx="400">
                  <c:v>4.26</c:v>
                </c:pt>
                <c:pt idx="401">
                  <c:v>4.18</c:v>
                </c:pt>
                <c:pt idx="402">
                  <c:v>4.0599999999999996</c:v>
                </c:pt>
                <c:pt idx="403">
                  <c:v>4.2699999999999996</c:v>
                </c:pt>
                <c:pt idx="404">
                  <c:v>4.07</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Sensitivity!$AJ$28:$AJ$34</c:f>
              <c:numCache>
                <c:formatCode>General</c:formatCode>
                <c:ptCount val="7"/>
                <c:pt idx="0">
                  <c:v>-4.1032428185292957E-2</c:v>
                </c:pt>
                <c:pt idx="1">
                  <c:v>-0.55182043595520724</c:v>
                </c:pt>
                <c:pt idx="2">
                  <c:v>-1.4387895257546539</c:v>
                </c:pt>
                <c:pt idx="3">
                  <c:v>-2.1473553691493272</c:v>
                </c:pt>
                <c:pt idx="4">
                  <c:v>-2.3526438186265679</c:v>
                </c:pt>
                <c:pt idx="5">
                  <c:v>-7.323454233490704</c:v>
                </c:pt>
                <c:pt idx="6">
                  <c:v>20.521203317203749</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Sensitivity!$AK$28:$AK$34</c:f>
              <c:numCache>
                <c:formatCode>General</c:formatCode>
                <c:ptCount val="7"/>
                <c:pt idx="0">
                  <c:v>3.7048986762670211E-2</c:v>
                </c:pt>
                <c:pt idx="1">
                  <c:v>0.59695398630146101</c:v>
                </c:pt>
                <c:pt idx="2">
                  <c:v>1.4387895257546504</c:v>
                </c:pt>
                <c:pt idx="3">
                  <c:v>2.1473553691493272</c:v>
                </c:pt>
                <c:pt idx="4">
                  <c:v>2.5463281262657276</c:v>
                </c:pt>
                <c:pt idx="5">
                  <c:v>6.8266452245118252</c:v>
                </c:pt>
                <c:pt idx="6">
                  <c:v>36.406940138741376</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2.5084074719770699E-2</c:v>
                </c:pt>
                <c:pt idx="1">
                  <c:v>8.6932772179986073E-2</c:v>
                </c:pt>
                <c:pt idx="2">
                  <c:v>8.6931434542385902E-2</c:v>
                </c:pt>
                <c:pt idx="3">
                  <c:v>8.6909665093193852E-2</c:v>
                </c:pt>
                <c:pt idx="4">
                  <c:v>8.6905146936065145E-2</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0.22745289619307443</c:v>
                </c:pt>
                <c:pt idx="1">
                  <c:v>0.21849994489639524</c:v>
                </c:pt>
                <c:pt idx="2">
                  <c:v>0.25493260042040888</c:v>
                </c:pt>
                <c:pt idx="3">
                  <c:v>0.25471985597354696</c:v>
                </c:pt>
                <c:pt idx="4">
                  <c:v>0.25296763296982583</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45908</c:v>
                </c:pt>
                <c:pt idx="1">
                  <c:v>45907</c:v>
                </c:pt>
                <c:pt idx="2">
                  <c:v>45906</c:v>
                </c:pt>
                <c:pt idx="3">
                  <c:v>45905</c:v>
                </c:pt>
                <c:pt idx="4">
                  <c:v>45904</c:v>
                </c:pt>
                <c:pt idx="5">
                  <c:v>45903</c:v>
                </c:pt>
                <c:pt idx="6">
                  <c:v>45902</c:v>
                </c:pt>
                <c:pt idx="7">
                  <c:v>45901</c:v>
                </c:pt>
                <c:pt idx="8">
                  <c:v>45900</c:v>
                </c:pt>
                <c:pt idx="9">
                  <c:v>45899</c:v>
                </c:pt>
                <c:pt idx="10">
                  <c:v>45898</c:v>
                </c:pt>
                <c:pt idx="11">
                  <c:v>45897</c:v>
                </c:pt>
                <c:pt idx="12">
                  <c:v>45896</c:v>
                </c:pt>
                <c:pt idx="13">
                  <c:v>45895</c:v>
                </c:pt>
                <c:pt idx="14">
                  <c:v>45894</c:v>
                </c:pt>
                <c:pt idx="15">
                  <c:v>45893</c:v>
                </c:pt>
                <c:pt idx="16">
                  <c:v>45892</c:v>
                </c:pt>
                <c:pt idx="17">
                  <c:v>45891</c:v>
                </c:pt>
                <c:pt idx="18">
                  <c:v>45890</c:v>
                </c:pt>
                <c:pt idx="19">
                  <c:v>45889</c:v>
                </c:pt>
                <c:pt idx="20">
                  <c:v>45888</c:v>
                </c:pt>
                <c:pt idx="21">
                  <c:v>45887</c:v>
                </c:pt>
                <c:pt idx="22">
                  <c:v>45886</c:v>
                </c:pt>
                <c:pt idx="23">
                  <c:v>45885</c:v>
                </c:pt>
                <c:pt idx="24">
                  <c:v>45884</c:v>
                </c:pt>
                <c:pt idx="25">
                  <c:v>45883</c:v>
                </c:pt>
                <c:pt idx="26">
                  <c:v>45882</c:v>
                </c:pt>
                <c:pt idx="27">
                  <c:v>45881</c:v>
                </c:pt>
                <c:pt idx="28">
                  <c:v>45880</c:v>
                </c:pt>
                <c:pt idx="29">
                  <c:v>45879</c:v>
                </c:pt>
                <c:pt idx="30">
                  <c:v>45878</c:v>
                </c:pt>
                <c:pt idx="31">
                  <c:v>45877</c:v>
                </c:pt>
                <c:pt idx="32">
                  <c:v>45876</c:v>
                </c:pt>
                <c:pt idx="33">
                  <c:v>45875</c:v>
                </c:pt>
                <c:pt idx="34">
                  <c:v>45874</c:v>
                </c:pt>
                <c:pt idx="35">
                  <c:v>45873</c:v>
                </c:pt>
                <c:pt idx="36">
                  <c:v>45872</c:v>
                </c:pt>
                <c:pt idx="37">
                  <c:v>45871</c:v>
                </c:pt>
                <c:pt idx="38">
                  <c:v>45870</c:v>
                </c:pt>
                <c:pt idx="39">
                  <c:v>45869</c:v>
                </c:pt>
                <c:pt idx="40">
                  <c:v>45868</c:v>
                </c:pt>
                <c:pt idx="41">
                  <c:v>45867</c:v>
                </c:pt>
                <c:pt idx="42">
                  <c:v>45866</c:v>
                </c:pt>
                <c:pt idx="43">
                  <c:v>45865</c:v>
                </c:pt>
                <c:pt idx="44">
                  <c:v>45864</c:v>
                </c:pt>
                <c:pt idx="45">
                  <c:v>45863</c:v>
                </c:pt>
                <c:pt idx="46">
                  <c:v>45862</c:v>
                </c:pt>
                <c:pt idx="47">
                  <c:v>45861</c:v>
                </c:pt>
                <c:pt idx="48">
                  <c:v>45860</c:v>
                </c:pt>
                <c:pt idx="49">
                  <c:v>45859</c:v>
                </c:pt>
                <c:pt idx="50">
                  <c:v>45858</c:v>
                </c:pt>
                <c:pt idx="51">
                  <c:v>45857</c:v>
                </c:pt>
                <c:pt idx="52">
                  <c:v>45856</c:v>
                </c:pt>
                <c:pt idx="53">
                  <c:v>45855</c:v>
                </c:pt>
                <c:pt idx="54">
                  <c:v>45854</c:v>
                </c:pt>
                <c:pt idx="55">
                  <c:v>45853</c:v>
                </c:pt>
                <c:pt idx="56">
                  <c:v>45852</c:v>
                </c:pt>
                <c:pt idx="57">
                  <c:v>45851</c:v>
                </c:pt>
                <c:pt idx="58">
                  <c:v>45850</c:v>
                </c:pt>
                <c:pt idx="59">
                  <c:v>45849</c:v>
                </c:pt>
                <c:pt idx="60">
                  <c:v>45848</c:v>
                </c:pt>
                <c:pt idx="61">
                  <c:v>45847</c:v>
                </c:pt>
                <c:pt idx="62">
                  <c:v>45846</c:v>
                </c:pt>
                <c:pt idx="63">
                  <c:v>45845</c:v>
                </c:pt>
                <c:pt idx="64">
                  <c:v>45844</c:v>
                </c:pt>
                <c:pt idx="65">
                  <c:v>45843</c:v>
                </c:pt>
                <c:pt idx="66">
                  <c:v>45842</c:v>
                </c:pt>
                <c:pt idx="67">
                  <c:v>45841</c:v>
                </c:pt>
                <c:pt idx="68">
                  <c:v>45840</c:v>
                </c:pt>
                <c:pt idx="69">
                  <c:v>45839</c:v>
                </c:pt>
                <c:pt idx="70">
                  <c:v>45838</c:v>
                </c:pt>
                <c:pt idx="71">
                  <c:v>45837</c:v>
                </c:pt>
                <c:pt idx="72">
                  <c:v>45836</c:v>
                </c:pt>
                <c:pt idx="73">
                  <c:v>45835</c:v>
                </c:pt>
                <c:pt idx="74">
                  <c:v>45834</c:v>
                </c:pt>
                <c:pt idx="75">
                  <c:v>45833</c:v>
                </c:pt>
                <c:pt idx="76">
                  <c:v>45832</c:v>
                </c:pt>
                <c:pt idx="77">
                  <c:v>45831</c:v>
                </c:pt>
                <c:pt idx="78">
                  <c:v>45830</c:v>
                </c:pt>
                <c:pt idx="79">
                  <c:v>45829</c:v>
                </c:pt>
                <c:pt idx="80">
                  <c:v>45828</c:v>
                </c:pt>
                <c:pt idx="81">
                  <c:v>45827</c:v>
                </c:pt>
                <c:pt idx="82">
                  <c:v>45826</c:v>
                </c:pt>
                <c:pt idx="83">
                  <c:v>45825</c:v>
                </c:pt>
                <c:pt idx="84">
                  <c:v>45824</c:v>
                </c:pt>
                <c:pt idx="85">
                  <c:v>45823</c:v>
                </c:pt>
                <c:pt idx="86">
                  <c:v>45822</c:v>
                </c:pt>
                <c:pt idx="87">
                  <c:v>45821</c:v>
                </c:pt>
                <c:pt idx="88">
                  <c:v>45820</c:v>
                </c:pt>
                <c:pt idx="89">
                  <c:v>45819</c:v>
                </c:pt>
                <c:pt idx="90">
                  <c:v>45818</c:v>
                </c:pt>
                <c:pt idx="91">
                  <c:v>45817</c:v>
                </c:pt>
                <c:pt idx="92">
                  <c:v>45816</c:v>
                </c:pt>
                <c:pt idx="93">
                  <c:v>45815</c:v>
                </c:pt>
                <c:pt idx="94">
                  <c:v>45814</c:v>
                </c:pt>
                <c:pt idx="95">
                  <c:v>45813</c:v>
                </c:pt>
                <c:pt idx="96">
                  <c:v>45812</c:v>
                </c:pt>
                <c:pt idx="97">
                  <c:v>45811</c:v>
                </c:pt>
                <c:pt idx="98">
                  <c:v>45810</c:v>
                </c:pt>
                <c:pt idx="99">
                  <c:v>45809</c:v>
                </c:pt>
                <c:pt idx="100">
                  <c:v>45808</c:v>
                </c:pt>
                <c:pt idx="101">
                  <c:v>45807</c:v>
                </c:pt>
                <c:pt idx="102">
                  <c:v>45806</c:v>
                </c:pt>
                <c:pt idx="103">
                  <c:v>45805</c:v>
                </c:pt>
                <c:pt idx="104">
                  <c:v>45804</c:v>
                </c:pt>
                <c:pt idx="105">
                  <c:v>45803</c:v>
                </c:pt>
                <c:pt idx="106">
                  <c:v>45802</c:v>
                </c:pt>
                <c:pt idx="107">
                  <c:v>45801</c:v>
                </c:pt>
                <c:pt idx="108">
                  <c:v>45800</c:v>
                </c:pt>
                <c:pt idx="109">
                  <c:v>45799</c:v>
                </c:pt>
                <c:pt idx="110">
                  <c:v>45798</c:v>
                </c:pt>
                <c:pt idx="111">
                  <c:v>45797</c:v>
                </c:pt>
                <c:pt idx="112">
                  <c:v>45796</c:v>
                </c:pt>
                <c:pt idx="113">
                  <c:v>45795</c:v>
                </c:pt>
                <c:pt idx="114">
                  <c:v>45794</c:v>
                </c:pt>
                <c:pt idx="115">
                  <c:v>45793</c:v>
                </c:pt>
                <c:pt idx="116">
                  <c:v>45792</c:v>
                </c:pt>
                <c:pt idx="117">
                  <c:v>45791</c:v>
                </c:pt>
                <c:pt idx="118">
                  <c:v>45790</c:v>
                </c:pt>
                <c:pt idx="119">
                  <c:v>45789</c:v>
                </c:pt>
                <c:pt idx="120">
                  <c:v>45788</c:v>
                </c:pt>
                <c:pt idx="121">
                  <c:v>45787</c:v>
                </c:pt>
                <c:pt idx="122">
                  <c:v>45786</c:v>
                </c:pt>
                <c:pt idx="123">
                  <c:v>45785</c:v>
                </c:pt>
                <c:pt idx="124">
                  <c:v>45784</c:v>
                </c:pt>
                <c:pt idx="125">
                  <c:v>45783</c:v>
                </c:pt>
                <c:pt idx="126">
                  <c:v>45782</c:v>
                </c:pt>
                <c:pt idx="127">
                  <c:v>45781</c:v>
                </c:pt>
                <c:pt idx="128">
                  <c:v>45780</c:v>
                </c:pt>
                <c:pt idx="129">
                  <c:v>45779</c:v>
                </c:pt>
                <c:pt idx="130">
                  <c:v>45778</c:v>
                </c:pt>
                <c:pt idx="131">
                  <c:v>45777</c:v>
                </c:pt>
                <c:pt idx="132">
                  <c:v>45776</c:v>
                </c:pt>
                <c:pt idx="133">
                  <c:v>45775</c:v>
                </c:pt>
                <c:pt idx="134">
                  <c:v>45774</c:v>
                </c:pt>
                <c:pt idx="135">
                  <c:v>45773</c:v>
                </c:pt>
                <c:pt idx="136">
                  <c:v>45772</c:v>
                </c:pt>
                <c:pt idx="137">
                  <c:v>45771</c:v>
                </c:pt>
                <c:pt idx="138">
                  <c:v>45770</c:v>
                </c:pt>
                <c:pt idx="139">
                  <c:v>45769</c:v>
                </c:pt>
                <c:pt idx="140">
                  <c:v>45768</c:v>
                </c:pt>
                <c:pt idx="141">
                  <c:v>45767</c:v>
                </c:pt>
                <c:pt idx="142">
                  <c:v>45766</c:v>
                </c:pt>
                <c:pt idx="143">
                  <c:v>45765</c:v>
                </c:pt>
                <c:pt idx="144">
                  <c:v>45764</c:v>
                </c:pt>
                <c:pt idx="145">
                  <c:v>45763</c:v>
                </c:pt>
                <c:pt idx="146">
                  <c:v>45762</c:v>
                </c:pt>
                <c:pt idx="147">
                  <c:v>45761</c:v>
                </c:pt>
                <c:pt idx="148">
                  <c:v>45760</c:v>
                </c:pt>
                <c:pt idx="149">
                  <c:v>45759</c:v>
                </c:pt>
                <c:pt idx="150">
                  <c:v>45758</c:v>
                </c:pt>
                <c:pt idx="151">
                  <c:v>45757</c:v>
                </c:pt>
                <c:pt idx="152">
                  <c:v>45756</c:v>
                </c:pt>
                <c:pt idx="153">
                  <c:v>45755</c:v>
                </c:pt>
                <c:pt idx="154">
                  <c:v>45754</c:v>
                </c:pt>
                <c:pt idx="155">
                  <c:v>45753</c:v>
                </c:pt>
                <c:pt idx="156">
                  <c:v>45752</c:v>
                </c:pt>
                <c:pt idx="157">
                  <c:v>45751</c:v>
                </c:pt>
                <c:pt idx="158">
                  <c:v>45750</c:v>
                </c:pt>
                <c:pt idx="159">
                  <c:v>45749</c:v>
                </c:pt>
                <c:pt idx="160">
                  <c:v>45748</c:v>
                </c:pt>
                <c:pt idx="161">
                  <c:v>45747</c:v>
                </c:pt>
                <c:pt idx="162">
                  <c:v>45746</c:v>
                </c:pt>
                <c:pt idx="163">
                  <c:v>45745</c:v>
                </c:pt>
                <c:pt idx="164">
                  <c:v>45744</c:v>
                </c:pt>
                <c:pt idx="165">
                  <c:v>45743</c:v>
                </c:pt>
                <c:pt idx="166">
                  <c:v>45742</c:v>
                </c:pt>
                <c:pt idx="167">
                  <c:v>45741</c:v>
                </c:pt>
                <c:pt idx="168">
                  <c:v>45740</c:v>
                </c:pt>
                <c:pt idx="169">
                  <c:v>45739</c:v>
                </c:pt>
                <c:pt idx="170">
                  <c:v>45738</c:v>
                </c:pt>
                <c:pt idx="171">
                  <c:v>45737</c:v>
                </c:pt>
                <c:pt idx="172">
                  <c:v>45736</c:v>
                </c:pt>
                <c:pt idx="173">
                  <c:v>45735</c:v>
                </c:pt>
                <c:pt idx="174">
                  <c:v>45734</c:v>
                </c:pt>
                <c:pt idx="175">
                  <c:v>45733</c:v>
                </c:pt>
                <c:pt idx="176">
                  <c:v>45732</c:v>
                </c:pt>
                <c:pt idx="177">
                  <c:v>45731</c:v>
                </c:pt>
                <c:pt idx="178">
                  <c:v>45730</c:v>
                </c:pt>
                <c:pt idx="179">
                  <c:v>45729</c:v>
                </c:pt>
                <c:pt idx="180">
                  <c:v>45728</c:v>
                </c:pt>
                <c:pt idx="181">
                  <c:v>45727</c:v>
                </c:pt>
                <c:pt idx="182">
                  <c:v>45726</c:v>
                </c:pt>
                <c:pt idx="183">
                  <c:v>45725</c:v>
                </c:pt>
                <c:pt idx="184">
                  <c:v>45724</c:v>
                </c:pt>
                <c:pt idx="185">
                  <c:v>45723</c:v>
                </c:pt>
                <c:pt idx="186">
                  <c:v>45722</c:v>
                </c:pt>
                <c:pt idx="187">
                  <c:v>45721</c:v>
                </c:pt>
                <c:pt idx="188">
                  <c:v>45720</c:v>
                </c:pt>
                <c:pt idx="189">
                  <c:v>45719</c:v>
                </c:pt>
                <c:pt idx="190">
                  <c:v>45718</c:v>
                </c:pt>
                <c:pt idx="191">
                  <c:v>45717</c:v>
                </c:pt>
                <c:pt idx="192">
                  <c:v>45716</c:v>
                </c:pt>
                <c:pt idx="193">
                  <c:v>45715</c:v>
                </c:pt>
                <c:pt idx="194">
                  <c:v>45714</c:v>
                </c:pt>
                <c:pt idx="195">
                  <c:v>45713</c:v>
                </c:pt>
                <c:pt idx="196">
                  <c:v>45712</c:v>
                </c:pt>
                <c:pt idx="197">
                  <c:v>45711</c:v>
                </c:pt>
                <c:pt idx="198">
                  <c:v>45710</c:v>
                </c:pt>
                <c:pt idx="199">
                  <c:v>45709</c:v>
                </c:pt>
                <c:pt idx="200">
                  <c:v>45708</c:v>
                </c:pt>
                <c:pt idx="201">
                  <c:v>45707</c:v>
                </c:pt>
                <c:pt idx="202">
                  <c:v>45706</c:v>
                </c:pt>
                <c:pt idx="203">
                  <c:v>45705</c:v>
                </c:pt>
                <c:pt idx="204">
                  <c:v>45704</c:v>
                </c:pt>
                <c:pt idx="205">
                  <c:v>45703</c:v>
                </c:pt>
                <c:pt idx="206">
                  <c:v>45702</c:v>
                </c:pt>
                <c:pt idx="207">
                  <c:v>45701</c:v>
                </c:pt>
                <c:pt idx="208">
                  <c:v>45700</c:v>
                </c:pt>
                <c:pt idx="209">
                  <c:v>45699</c:v>
                </c:pt>
                <c:pt idx="210">
                  <c:v>45698</c:v>
                </c:pt>
                <c:pt idx="211">
                  <c:v>45697</c:v>
                </c:pt>
                <c:pt idx="212">
                  <c:v>45696</c:v>
                </c:pt>
                <c:pt idx="213">
                  <c:v>45695</c:v>
                </c:pt>
                <c:pt idx="214">
                  <c:v>45694</c:v>
                </c:pt>
                <c:pt idx="215">
                  <c:v>45693</c:v>
                </c:pt>
                <c:pt idx="216">
                  <c:v>45692</c:v>
                </c:pt>
                <c:pt idx="217">
                  <c:v>45691</c:v>
                </c:pt>
                <c:pt idx="218">
                  <c:v>45690</c:v>
                </c:pt>
                <c:pt idx="219">
                  <c:v>45689</c:v>
                </c:pt>
                <c:pt idx="220">
                  <c:v>45688</c:v>
                </c:pt>
                <c:pt idx="221">
                  <c:v>45687</c:v>
                </c:pt>
                <c:pt idx="222">
                  <c:v>45686</c:v>
                </c:pt>
                <c:pt idx="223">
                  <c:v>45685</c:v>
                </c:pt>
                <c:pt idx="224">
                  <c:v>45684</c:v>
                </c:pt>
                <c:pt idx="225">
                  <c:v>45683</c:v>
                </c:pt>
                <c:pt idx="226">
                  <c:v>45682</c:v>
                </c:pt>
                <c:pt idx="227">
                  <c:v>45681</c:v>
                </c:pt>
                <c:pt idx="228">
                  <c:v>45680</c:v>
                </c:pt>
                <c:pt idx="229">
                  <c:v>45679</c:v>
                </c:pt>
                <c:pt idx="230">
                  <c:v>45678</c:v>
                </c:pt>
                <c:pt idx="231">
                  <c:v>45677</c:v>
                </c:pt>
                <c:pt idx="232">
                  <c:v>45676</c:v>
                </c:pt>
                <c:pt idx="233">
                  <c:v>45675</c:v>
                </c:pt>
                <c:pt idx="234">
                  <c:v>45674</c:v>
                </c:pt>
                <c:pt idx="235">
                  <c:v>45673</c:v>
                </c:pt>
                <c:pt idx="236">
                  <c:v>45672</c:v>
                </c:pt>
                <c:pt idx="237">
                  <c:v>45671</c:v>
                </c:pt>
                <c:pt idx="238">
                  <c:v>45670</c:v>
                </c:pt>
                <c:pt idx="239">
                  <c:v>45669</c:v>
                </c:pt>
                <c:pt idx="240">
                  <c:v>45668</c:v>
                </c:pt>
                <c:pt idx="241">
                  <c:v>45667</c:v>
                </c:pt>
                <c:pt idx="242">
                  <c:v>45666</c:v>
                </c:pt>
                <c:pt idx="243">
                  <c:v>45665</c:v>
                </c:pt>
                <c:pt idx="244">
                  <c:v>45664</c:v>
                </c:pt>
                <c:pt idx="245">
                  <c:v>45663</c:v>
                </c:pt>
                <c:pt idx="246">
                  <c:v>45662</c:v>
                </c:pt>
                <c:pt idx="247">
                  <c:v>45661</c:v>
                </c:pt>
                <c:pt idx="248">
                  <c:v>45660</c:v>
                </c:pt>
                <c:pt idx="249">
                  <c:v>45659</c:v>
                </c:pt>
                <c:pt idx="250">
                  <c:v>45658</c:v>
                </c:pt>
                <c:pt idx="251">
                  <c:v>45657</c:v>
                </c:pt>
                <c:pt idx="252">
                  <c:v>45656</c:v>
                </c:pt>
                <c:pt idx="253">
                  <c:v>45655</c:v>
                </c:pt>
                <c:pt idx="254">
                  <c:v>45654</c:v>
                </c:pt>
                <c:pt idx="255">
                  <c:v>45653</c:v>
                </c:pt>
                <c:pt idx="256">
                  <c:v>45652</c:v>
                </c:pt>
                <c:pt idx="257">
                  <c:v>45651</c:v>
                </c:pt>
                <c:pt idx="258">
                  <c:v>45650</c:v>
                </c:pt>
                <c:pt idx="259">
                  <c:v>45649</c:v>
                </c:pt>
                <c:pt idx="260">
                  <c:v>45648</c:v>
                </c:pt>
                <c:pt idx="261">
                  <c:v>45647</c:v>
                </c:pt>
                <c:pt idx="262">
                  <c:v>45646</c:v>
                </c:pt>
                <c:pt idx="263">
                  <c:v>45645</c:v>
                </c:pt>
                <c:pt idx="264">
                  <c:v>45644</c:v>
                </c:pt>
                <c:pt idx="265">
                  <c:v>45643</c:v>
                </c:pt>
                <c:pt idx="266">
                  <c:v>45642</c:v>
                </c:pt>
                <c:pt idx="267">
                  <c:v>45641</c:v>
                </c:pt>
                <c:pt idx="268">
                  <c:v>45640</c:v>
                </c:pt>
                <c:pt idx="269">
                  <c:v>45639</c:v>
                </c:pt>
                <c:pt idx="270">
                  <c:v>45638</c:v>
                </c:pt>
                <c:pt idx="271">
                  <c:v>45637</c:v>
                </c:pt>
                <c:pt idx="272">
                  <c:v>45636</c:v>
                </c:pt>
                <c:pt idx="273">
                  <c:v>45635</c:v>
                </c:pt>
                <c:pt idx="274">
                  <c:v>45634</c:v>
                </c:pt>
                <c:pt idx="275">
                  <c:v>45633</c:v>
                </c:pt>
                <c:pt idx="276">
                  <c:v>45632</c:v>
                </c:pt>
                <c:pt idx="277">
                  <c:v>45631</c:v>
                </c:pt>
                <c:pt idx="278">
                  <c:v>45630</c:v>
                </c:pt>
                <c:pt idx="279">
                  <c:v>45629</c:v>
                </c:pt>
                <c:pt idx="280">
                  <c:v>45628</c:v>
                </c:pt>
                <c:pt idx="281">
                  <c:v>45627</c:v>
                </c:pt>
                <c:pt idx="282">
                  <c:v>45626</c:v>
                </c:pt>
                <c:pt idx="283">
                  <c:v>45625</c:v>
                </c:pt>
                <c:pt idx="284">
                  <c:v>45624</c:v>
                </c:pt>
                <c:pt idx="285">
                  <c:v>45623</c:v>
                </c:pt>
                <c:pt idx="286">
                  <c:v>45622</c:v>
                </c:pt>
                <c:pt idx="287">
                  <c:v>45621</c:v>
                </c:pt>
                <c:pt idx="288">
                  <c:v>45620</c:v>
                </c:pt>
                <c:pt idx="289">
                  <c:v>45619</c:v>
                </c:pt>
                <c:pt idx="290">
                  <c:v>45618</c:v>
                </c:pt>
                <c:pt idx="291">
                  <c:v>45617</c:v>
                </c:pt>
                <c:pt idx="292">
                  <c:v>45616</c:v>
                </c:pt>
                <c:pt idx="293">
                  <c:v>45615</c:v>
                </c:pt>
                <c:pt idx="294">
                  <c:v>45614</c:v>
                </c:pt>
                <c:pt idx="295">
                  <c:v>45613</c:v>
                </c:pt>
                <c:pt idx="296">
                  <c:v>45612</c:v>
                </c:pt>
                <c:pt idx="297">
                  <c:v>45611</c:v>
                </c:pt>
                <c:pt idx="298">
                  <c:v>45610</c:v>
                </c:pt>
                <c:pt idx="299">
                  <c:v>45609</c:v>
                </c:pt>
                <c:pt idx="300">
                  <c:v>45608</c:v>
                </c:pt>
                <c:pt idx="301">
                  <c:v>45607</c:v>
                </c:pt>
                <c:pt idx="302">
                  <c:v>45606</c:v>
                </c:pt>
                <c:pt idx="303">
                  <c:v>45605</c:v>
                </c:pt>
                <c:pt idx="304">
                  <c:v>45604</c:v>
                </c:pt>
                <c:pt idx="305">
                  <c:v>45603</c:v>
                </c:pt>
                <c:pt idx="306">
                  <c:v>45602</c:v>
                </c:pt>
                <c:pt idx="307">
                  <c:v>45601</c:v>
                </c:pt>
                <c:pt idx="308">
                  <c:v>45600</c:v>
                </c:pt>
                <c:pt idx="309">
                  <c:v>45599</c:v>
                </c:pt>
                <c:pt idx="310">
                  <c:v>45598</c:v>
                </c:pt>
                <c:pt idx="311">
                  <c:v>45597</c:v>
                </c:pt>
                <c:pt idx="312">
                  <c:v>45596</c:v>
                </c:pt>
                <c:pt idx="313">
                  <c:v>45595</c:v>
                </c:pt>
                <c:pt idx="314">
                  <c:v>45594</c:v>
                </c:pt>
                <c:pt idx="315">
                  <c:v>45593</c:v>
                </c:pt>
                <c:pt idx="316">
                  <c:v>45592</c:v>
                </c:pt>
                <c:pt idx="317">
                  <c:v>45591</c:v>
                </c:pt>
                <c:pt idx="318">
                  <c:v>45590</c:v>
                </c:pt>
                <c:pt idx="319">
                  <c:v>45589</c:v>
                </c:pt>
                <c:pt idx="320">
                  <c:v>45588</c:v>
                </c:pt>
                <c:pt idx="321">
                  <c:v>45587</c:v>
                </c:pt>
                <c:pt idx="322">
                  <c:v>45586</c:v>
                </c:pt>
                <c:pt idx="323">
                  <c:v>45585</c:v>
                </c:pt>
                <c:pt idx="324">
                  <c:v>45584</c:v>
                </c:pt>
                <c:pt idx="325">
                  <c:v>45583</c:v>
                </c:pt>
                <c:pt idx="326">
                  <c:v>45582</c:v>
                </c:pt>
                <c:pt idx="327">
                  <c:v>45581</c:v>
                </c:pt>
                <c:pt idx="328">
                  <c:v>45580</c:v>
                </c:pt>
                <c:pt idx="329">
                  <c:v>45579</c:v>
                </c:pt>
                <c:pt idx="330">
                  <c:v>45578</c:v>
                </c:pt>
                <c:pt idx="331">
                  <c:v>45577</c:v>
                </c:pt>
                <c:pt idx="332">
                  <c:v>45576</c:v>
                </c:pt>
                <c:pt idx="333">
                  <c:v>45575</c:v>
                </c:pt>
                <c:pt idx="334">
                  <c:v>45574</c:v>
                </c:pt>
                <c:pt idx="335">
                  <c:v>45573</c:v>
                </c:pt>
                <c:pt idx="336">
                  <c:v>45572</c:v>
                </c:pt>
                <c:pt idx="337">
                  <c:v>45571</c:v>
                </c:pt>
                <c:pt idx="338">
                  <c:v>45570</c:v>
                </c:pt>
                <c:pt idx="339">
                  <c:v>45569</c:v>
                </c:pt>
                <c:pt idx="340">
                  <c:v>45568</c:v>
                </c:pt>
                <c:pt idx="341">
                  <c:v>45567</c:v>
                </c:pt>
                <c:pt idx="342">
                  <c:v>45566</c:v>
                </c:pt>
                <c:pt idx="343">
                  <c:v>45565</c:v>
                </c:pt>
                <c:pt idx="344">
                  <c:v>45564</c:v>
                </c:pt>
                <c:pt idx="345">
                  <c:v>45563</c:v>
                </c:pt>
                <c:pt idx="346">
                  <c:v>45562</c:v>
                </c:pt>
                <c:pt idx="347">
                  <c:v>45561</c:v>
                </c:pt>
                <c:pt idx="348">
                  <c:v>45560</c:v>
                </c:pt>
                <c:pt idx="349">
                  <c:v>45559</c:v>
                </c:pt>
                <c:pt idx="350">
                  <c:v>45558</c:v>
                </c:pt>
                <c:pt idx="351">
                  <c:v>45557</c:v>
                </c:pt>
                <c:pt idx="352">
                  <c:v>45556</c:v>
                </c:pt>
                <c:pt idx="353">
                  <c:v>45555</c:v>
                </c:pt>
                <c:pt idx="354">
                  <c:v>45554</c:v>
                </c:pt>
                <c:pt idx="355">
                  <c:v>45553</c:v>
                </c:pt>
                <c:pt idx="356">
                  <c:v>45552</c:v>
                </c:pt>
                <c:pt idx="357">
                  <c:v>45551</c:v>
                </c:pt>
                <c:pt idx="358">
                  <c:v>45550</c:v>
                </c:pt>
                <c:pt idx="359">
                  <c:v>45549</c:v>
                </c:pt>
                <c:pt idx="360">
                  <c:v>45548</c:v>
                </c:pt>
                <c:pt idx="361">
                  <c:v>45547</c:v>
                </c:pt>
                <c:pt idx="362">
                  <c:v>45546</c:v>
                </c:pt>
                <c:pt idx="363">
                  <c:v>45545</c:v>
                </c:pt>
                <c:pt idx="364">
                  <c:v>45544</c:v>
                </c:pt>
                <c:pt idx="365">
                  <c:v>45543</c:v>
                </c:pt>
                <c:pt idx="366">
                  <c:v>45542</c:v>
                </c:pt>
                <c:pt idx="367">
                  <c:v>45541</c:v>
                </c:pt>
                <c:pt idx="368">
                  <c:v>45540</c:v>
                </c:pt>
                <c:pt idx="369">
                  <c:v>45539</c:v>
                </c:pt>
                <c:pt idx="370">
                  <c:v>45538</c:v>
                </c:pt>
                <c:pt idx="371">
                  <c:v>45537</c:v>
                </c:pt>
                <c:pt idx="372">
                  <c:v>45536</c:v>
                </c:pt>
                <c:pt idx="373">
                  <c:v>45535</c:v>
                </c:pt>
                <c:pt idx="374">
                  <c:v>45534</c:v>
                </c:pt>
                <c:pt idx="375">
                  <c:v>45533</c:v>
                </c:pt>
                <c:pt idx="376">
                  <c:v>45532</c:v>
                </c:pt>
                <c:pt idx="377">
                  <c:v>45531</c:v>
                </c:pt>
                <c:pt idx="378">
                  <c:v>45530</c:v>
                </c:pt>
                <c:pt idx="379">
                  <c:v>45529</c:v>
                </c:pt>
                <c:pt idx="380">
                  <c:v>45528</c:v>
                </c:pt>
                <c:pt idx="381">
                  <c:v>45527</c:v>
                </c:pt>
                <c:pt idx="382">
                  <c:v>45526</c:v>
                </c:pt>
                <c:pt idx="383">
                  <c:v>45525</c:v>
                </c:pt>
                <c:pt idx="384">
                  <c:v>45524</c:v>
                </c:pt>
                <c:pt idx="385">
                  <c:v>45523</c:v>
                </c:pt>
                <c:pt idx="386">
                  <c:v>45522</c:v>
                </c:pt>
                <c:pt idx="387">
                  <c:v>45521</c:v>
                </c:pt>
                <c:pt idx="388">
                  <c:v>45520</c:v>
                </c:pt>
                <c:pt idx="389">
                  <c:v>45519</c:v>
                </c:pt>
                <c:pt idx="390">
                  <c:v>45518</c:v>
                </c:pt>
                <c:pt idx="391">
                  <c:v>45517</c:v>
                </c:pt>
                <c:pt idx="392">
                  <c:v>45516</c:v>
                </c:pt>
                <c:pt idx="393">
                  <c:v>45515</c:v>
                </c:pt>
                <c:pt idx="394">
                  <c:v>45514</c:v>
                </c:pt>
                <c:pt idx="395">
                  <c:v>45513</c:v>
                </c:pt>
                <c:pt idx="396">
                  <c:v>45512</c:v>
                </c:pt>
                <c:pt idx="397">
                  <c:v>45511</c:v>
                </c:pt>
                <c:pt idx="398">
                  <c:v>45510</c:v>
                </c:pt>
                <c:pt idx="399">
                  <c:v>45509</c:v>
                </c:pt>
                <c:pt idx="400">
                  <c:v>45508</c:v>
                </c:pt>
                <c:pt idx="401">
                  <c:v>45507</c:v>
                </c:pt>
                <c:pt idx="402">
                  <c:v>45506</c:v>
                </c:pt>
                <c:pt idx="403">
                  <c:v>45505</c:v>
                </c:pt>
                <c:pt idx="404">
                  <c:v>45504</c:v>
                </c:pt>
                <c:pt idx="405">
                  <c:v>45503</c:v>
                </c:pt>
                <c:pt idx="406">
                  <c:v>45502</c:v>
                </c:pt>
                <c:pt idx="407">
                  <c:v>45501</c:v>
                </c:pt>
                <c:pt idx="408">
                  <c:v>45500</c:v>
                </c:pt>
                <c:pt idx="409">
                  <c:v>45499</c:v>
                </c:pt>
                <c:pt idx="410">
                  <c:v>45498</c:v>
                </c:pt>
                <c:pt idx="411">
                  <c:v>45497</c:v>
                </c:pt>
                <c:pt idx="412">
                  <c:v>45496</c:v>
                </c:pt>
                <c:pt idx="413">
                  <c:v>45495</c:v>
                </c:pt>
                <c:pt idx="414">
                  <c:v>45494</c:v>
                </c:pt>
                <c:pt idx="415">
                  <c:v>45493</c:v>
                </c:pt>
                <c:pt idx="416">
                  <c:v>45492</c:v>
                </c:pt>
                <c:pt idx="417">
                  <c:v>45491</c:v>
                </c:pt>
                <c:pt idx="418">
                  <c:v>45490</c:v>
                </c:pt>
                <c:pt idx="419">
                  <c:v>45489</c:v>
                </c:pt>
                <c:pt idx="420">
                  <c:v>45488</c:v>
                </c:pt>
                <c:pt idx="421">
                  <c:v>45487</c:v>
                </c:pt>
                <c:pt idx="422">
                  <c:v>45486</c:v>
                </c:pt>
                <c:pt idx="423">
                  <c:v>45485</c:v>
                </c:pt>
                <c:pt idx="424">
                  <c:v>45484</c:v>
                </c:pt>
                <c:pt idx="425">
                  <c:v>45483</c:v>
                </c:pt>
                <c:pt idx="426">
                  <c:v>45482</c:v>
                </c:pt>
                <c:pt idx="427">
                  <c:v>45481</c:v>
                </c:pt>
                <c:pt idx="428">
                  <c:v>45480</c:v>
                </c:pt>
                <c:pt idx="429">
                  <c:v>45479</c:v>
                </c:pt>
                <c:pt idx="430">
                  <c:v>45478</c:v>
                </c:pt>
                <c:pt idx="431">
                  <c:v>45477</c:v>
                </c:pt>
                <c:pt idx="432">
                  <c:v>45476</c:v>
                </c:pt>
                <c:pt idx="433">
                  <c:v>45475</c:v>
                </c:pt>
                <c:pt idx="434">
                  <c:v>45474</c:v>
                </c:pt>
                <c:pt idx="435">
                  <c:v>45473</c:v>
                </c:pt>
                <c:pt idx="436">
                  <c:v>45472</c:v>
                </c:pt>
                <c:pt idx="437">
                  <c:v>45471</c:v>
                </c:pt>
                <c:pt idx="438">
                  <c:v>45470</c:v>
                </c:pt>
                <c:pt idx="439">
                  <c:v>45469</c:v>
                </c:pt>
                <c:pt idx="440">
                  <c:v>45468</c:v>
                </c:pt>
                <c:pt idx="441">
                  <c:v>45467</c:v>
                </c:pt>
                <c:pt idx="442">
                  <c:v>45466</c:v>
                </c:pt>
                <c:pt idx="443">
                  <c:v>45465</c:v>
                </c:pt>
                <c:pt idx="444">
                  <c:v>45464</c:v>
                </c:pt>
                <c:pt idx="445">
                  <c:v>45463</c:v>
                </c:pt>
                <c:pt idx="446">
                  <c:v>45462</c:v>
                </c:pt>
                <c:pt idx="447">
                  <c:v>45461</c:v>
                </c:pt>
                <c:pt idx="448">
                  <c:v>45460</c:v>
                </c:pt>
                <c:pt idx="449">
                  <c:v>45459</c:v>
                </c:pt>
                <c:pt idx="450">
                  <c:v>45458</c:v>
                </c:pt>
                <c:pt idx="451">
                  <c:v>45457</c:v>
                </c:pt>
                <c:pt idx="452">
                  <c:v>45456</c:v>
                </c:pt>
                <c:pt idx="453">
                  <c:v>45455</c:v>
                </c:pt>
                <c:pt idx="454">
                  <c:v>45454</c:v>
                </c:pt>
                <c:pt idx="455">
                  <c:v>45453</c:v>
                </c:pt>
                <c:pt idx="456">
                  <c:v>45452</c:v>
                </c:pt>
                <c:pt idx="457">
                  <c:v>45451</c:v>
                </c:pt>
                <c:pt idx="458">
                  <c:v>45450</c:v>
                </c:pt>
                <c:pt idx="459">
                  <c:v>45449</c:v>
                </c:pt>
                <c:pt idx="460">
                  <c:v>45448</c:v>
                </c:pt>
                <c:pt idx="461">
                  <c:v>45447</c:v>
                </c:pt>
                <c:pt idx="462">
                  <c:v>45446</c:v>
                </c:pt>
                <c:pt idx="463">
                  <c:v>45445</c:v>
                </c:pt>
                <c:pt idx="464">
                  <c:v>45444</c:v>
                </c:pt>
                <c:pt idx="465">
                  <c:v>45443</c:v>
                </c:pt>
                <c:pt idx="466">
                  <c:v>45442</c:v>
                </c:pt>
                <c:pt idx="467">
                  <c:v>45441</c:v>
                </c:pt>
                <c:pt idx="468">
                  <c:v>45440</c:v>
                </c:pt>
                <c:pt idx="469">
                  <c:v>45439</c:v>
                </c:pt>
                <c:pt idx="470">
                  <c:v>45438</c:v>
                </c:pt>
                <c:pt idx="471">
                  <c:v>45437</c:v>
                </c:pt>
                <c:pt idx="472">
                  <c:v>45436</c:v>
                </c:pt>
                <c:pt idx="473">
                  <c:v>45435</c:v>
                </c:pt>
                <c:pt idx="474">
                  <c:v>45434</c:v>
                </c:pt>
                <c:pt idx="475">
                  <c:v>45433</c:v>
                </c:pt>
                <c:pt idx="476">
                  <c:v>45432</c:v>
                </c:pt>
                <c:pt idx="477">
                  <c:v>45431</c:v>
                </c:pt>
                <c:pt idx="478">
                  <c:v>45430</c:v>
                </c:pt>
                <c:pt idx="479">
                  <c:v>45429</c:v>
                </c:pt>
                <c:pt idx="480">
                  <c:v>45428</c:v>
                </c:pt>
                <c:pt idx="481">
                  <c:v>45427</c:v>
                </c:pt>
                <c:pt idx="482">
                  <c:v>45426</c:v>
                </c:pt>
                <c:pt idx="483">
                  <c:v>45425</c:v>
                </c:pt>
                <c:pt idx="484">
                  <c:v>45424</c:v>
                </c:pt>
                <c:pt idx="485">
                  <c:v>45423</c:v>
                </c:pt>
                <c:pt idx="486">
                  <c:v>45422</c:v>
                </c:pt>
                <c:pt idx="487">
                  <c:v>45421</c:v>
                </c:pt>
                <c:pt idx="488">
                  <c:v>45420</c:v>
                </c:pt>
                <c:pt idx="489">
                  <c:v>45419</c:v>
                </c:pt>
                <c:pt idx="490">
                  <c:v>45418</c:v>
                </c:pt>
                <c:pt idx="491">
                  <c:v>45417</c:v>
                </c:pt>
                <c:pt idx="492">
                  <c:v>45416</c:v>
                </c:pt>
                <c:pt idx="493">
                  <c:v>45415</c:v>
                </c:pt>
                <c:pt idx="494">
                  <c:v>45414</c:v>
                </c:pt>
                <c:pt idx="495">
                  <c:v>45413</c:v>
                </c:pt>
                <c:pt idx="496">
                  <c:v>45412</c:v>
                </c:pt>
                <c:pt idx="497">
                  <c:v>45411</c:v>
                </c:pt>
                <c:pt idx="498">
                  <c:v>45410</c:v>
                </c:pt>
                <c:pt idx="499">
                  <c:v>45409</c:v>
                </c:pt>
                <c:pt idx="500">
                  <c:v>45408</c:v>
                </c:pt>
                <c:pt idx="501">
                  <c:v>45407</c:v>
                </c:pt>
                <c:pt idx="502">
                  <c:v>45406</c:v>
                </c:pt>
                <c:pt idx="503">
                  <c:v>45405</c:v>
                </c:pt>
                <c:pt idx="504">
                  <c:v>45404</c:v>
                </c:pt>
                <c:pt idx="505">
                  <c:v>45403</c:v>
                </c:pt>
                <c:pt idx="506">
                  <c:v>45402</c:v>
                </c:pt>
                <c:pt idx="507">
                  <c:v>45401</c:v>
                </c:pt>
                <c:pt idx="508">
                  <c:v>45400</c:v>
                </c:pt>
                <c:pt idx="509">
                  <c:v>45399</c:v>
                </c:pt>
                <c:pt idx="510">
                  <c:v>45398</c:v>
                </c:pt>
                <c:pt idx="511">
                  <c:v>45397</c:v>
                </c:pt>
                <c:pt idx="512">
                  <c:v>45396</c:v>
                </c:pt>
                <c:pt idx="513">
                  <c:v>45395</c:v>
                </c:pt>
                <c:pt idx="514">
                  <c:v>45394</c:v>
                </c:pt>
                <c:pt idx="515">
                  <c:v>45393</c:v>
                </c:pt>
                <c:pt idx="516">
                  <c:v>45392</c:v>
                </c:pt>
                <c:pt idx="517">
                  <c:v>45391</c:v>
                </c:pt>
                <c:pt idx="518">
                  <c:v>45390</c:v>
                </c:pt>
                <c:pt idx="519">
                  <c:v>45389</c:v>
                </c:pt>
                <c:pt idx="520">
                  <c:v>45388</c:v>
                </c:pt>
                <c:pt idx="521">
                  <c:v>45387</c:v>
                </c:pt>
                <c:pt idx="522">
                  <c:v>45386</c:v>
                </c:pt>
                <c:pt idx="523">
                  <c:v>45385</c:v>
                </c:pt>
                <c:pt idx="524">
                  <c:v>45384</c:v>
                </c:pt>
                <c:pt idx="525">
                  <c:v>45383</c:v>
                </c:pt>
                <c:pt idx="526">
                  <c:v>45382</c:v>
                </c:pt>
                <c:pt idx="527">
                  <c:v>45381</c:v>
                </c:pt>
                <c:pt idx="528">
                  <c:v>45380</c:v>
                </c:pt>
                <c:pt idx="529">
                  <c:v>45379</c:v>
                </c:pt>
                <c:pt idx="530">
                  <c:v>45378</c:v>
                </c:pt>
                <c:pt idx="531">
                  <c:v>45377</c:v>
                </c:pt>
                <c:pt idx="532">
                  <c:v>45376</c:v>
                </c:pt>
                <c:pt idx="533">
                  <c:v>45375</c:v>
                </c:pt>
                <c:pt idx="534">
                  <c:v>45374</c:v>
                </c:pt>
                <c:pt idx="535">
                  <c:v>45373</c:v>
                </c:pt>
                <c:pt idx="536">
                  <c:v>45372</c:v>
                </c:pt>
                <c:pt idx="537">
                  <c:v>45371</c:v>
                </c:pt>
                <c:pt idx="538">
                  <c:v>45370</c:v>
                </c:pt>
                <c:pt idx="539">
                  <c:v>45369</c:v>
                </c:pt>
                <c:pt idx="540">
                  <c:v>45368</c:v>
                </c:pt>
                <c:pt idx="541">
                  <c:v>45367</c:v>
                </c:pt>
                <c:pt idx="542">
                  <c:v>45366</c:v>
                </c:pt>
                <c:pt idx="543">
                  <c:v>45365</c:v>
                </c:pt>
                <c:pt idx="544">
                  <c:v>45364</c:v>
                </c:pt>
                <c:pt idx="545">
                  <c:v>45363</c:v>
                </c:pt>
                <c:pt idx="546">
                  <c:v>45362</c:v>
                </c:pt>
                <c:pt idx="547">
                  <c:v>45361</c:v>
                </c:pt>
                <c:pt idx="548">
                  <c:v>45360</c:v>
                </c:pt>
                <c:pt idx="549">
                  <c:v>45359</c:v>
                </c:pt>
                <c:pt idx="550">
                  <c:v>45358</c:v>
                </c:pt>
                <c:pt idx="551">
                  <c:v>45357</c:v>
                </c:pt>
                <c:pt idx="552">
                  <c:v>45356</c:v>
                </c:pt>
                <c:pt idx="553">
                  <c:v>45355</c:v>
                </c:pt>
                <c:pt idx="554">
                  <c:v>45354</c:v>
                </c:pt>
                <c:pt idx="555">
                  <c:v>45353</c:v>
                </c:pt>
                <c:pt idx="556">
                  <c:v>45352</c:v>
                </c:pt>
                <c:pt idx="557">
                  <c:v>45351</c:v>
                </c:pt>
                <c:pt idx="558">
                  <c:v>45350</c:v>
                </c:pt>
                <c:pt idx="559">
                  <c:v>45349</c:v>
                </c:pt>
                <c:pt idx="560">
                  <c:v>45348</c:v>
                </c:pt>
                <c:pt idx="561">
                  <c:v>45347</c:v>
                </c:pt>
                <c:pt idx="562">
                  <c:v>45346</c:v>
                </c:pt>
                <c:pt idx="563">
                  <c:v>45345</c:v>
                </c:pt>
                <c:pt idx="564">
                  <c:v>45344</c:v>
                </c:pt>
                <c:pt idx="565">
                  <c:v>45343</c:v>
                </c:pt>
                <c:pt idx="566">
                  <c:v>45342</c:v>
                </c:pt>
                <c:pt idx="567">
                  <c:v>45341</c:v>
                </c:pt>
                <c:pt idx="568">
                  <c:v>45340</c:v>
                </c:pt>
                <c:pt idx="569">
                  <c:v>45339</c:v>
                </c:pt>
                <c:pt idx="570">
                  <c:v>45338</c:v>
                </c:pt>
                <c:pt idx="571">
                  <c:v>45337</c:v>
                </c:pt>
                <c:pt idx="572">
                  <c:v>45336</c:v>
                </c:pt>
                <c:pt idx="573">
                  <c:v>45335</c:v>
                </c:pt>
                <c:pt idx="574">
                  <c:v>45334</c:v>
                </c:pt>
                <c:pt idx="575">
                  <c:v>45333</c:v>
                </c:pt>
                <c:pt idx="576">
                  <c:v>45332</c:v>
                </c:pt>
                <c:pt idx="577">
                  <c:v>45331</c:v>
                </c:pt>
                <c:pt idx="578">
                  <c:v>45330</c:v>
                </c:pt>
                <c:pt idx="579">
                  <c:v>45329</c:v>
                </c:pt>
                <c:pt idx="580">
                  <c:v>45328</c:v>
                </c:pt>
                <c:pt idx="581">
                  <c:v>45327</c:v>
                </c:pt>
                <c:pt idx="582">
                  <c:v>45326</c:v>
                </c:pt>
                <c:pt idx="583">
                  <c:v>45325</c:v>
                </c:pt>
                <c:pt idx="584">
                  <c:v>45324</c:v>
                </c:pt>
                <c:pt idx="585">
                  <c:v>45323</c:v>
                </c:pt>
                <c:pt idx="586">
                  <c:v>45322</c:v>
                </c:pt>
                <c:pt idx="587">
                  <c:v>45321</c:v>
                </c:pt>
                <c:pt idx="588">
                  <c:v>45320</c:v>
                </c:pt>
                <c:pt idx="589">
                  <c:v>45319</c:v>
                </c:pt>
                <c:pt idx="590">
                  <c:v>45318</c:v>
                </c:pt>
                <c:pt idx="591">
                  <c:v>45317</c:v>
                </c:pt>
                <c:pt idx="592">
                  <c:v>45316</c:v>
                </c:pt>
                <c:pt idx="593">
                  <c:v>45315</c:v>
                </c:pt>
                <c:pt idx="594">
                  <c:v>45314</c:v>
                </c:pt>
                <c:pt idx="595">
                  <c:v>45313</c:v>
                </c:pt>
                <c:pt idx="596">
                  <c:v>45312</c:v>
                </c:pt>
                <c:pt idx="597">
                  <c:v>45311</c:v>
                </c:pt>
                <c:pt idx="598">
                  <c:v>45310</c:v>
                </c:pt>
                <c:pt idx="599">
                  <c:v>45309</c:v>
                </c:pt>
                <c:pt idx="600">
                  <c:v>45308</c:v>
                </c:pt>
                <c:pt idx="601">
                  <c:v>45307</c:v>
                </c:pt>
                <c:pt idx="602">
                  <c:v>45306</c:v>
                </c:pt>
                <c:pt idx="603">
                  <c:v>45305</c:v>
                </c:pt>
                <c:pt idx="604">
                  <c:v>45304</c:v>
                </c:pt>
                <c:pt idx="605">
                  <c:v>45303</c:v>
                </c:pt>
                <c:pt idx="606">
                  <c:v>45302</c:v>
                </c:pt>
                <c:pt idx="607">
                  <c:v>45301</c:v>
                </c:pt>
                <c:pt idx="608">
                  <c:v>45300</c:v>
                </c:pt>
                <c:pt idx="609">
                  <c:v>45299</c:v>
                </c:pt>
                <c:pt idx="610">
                  <c:v>45298</c:v>
                </c:pt>
                <c:pt idx="611">
                  <c:v>45297</c:v>
                </c:pt>
                <c:pt idx="612">
                  <c:v>45296</c:v>
                </c:pt>
                <c:pt idx="613">
                  <c:v>45295</c:v>
                </c:pt>
                <c:pt idx="614">
                  <c:v>45294</c:v>
                </c:pt>
                <c:pt idx="615">
                  <c:v>45293</c:v>
                </c:pt>
                <c:pt idx="616">
                  <c:v>45292</c:v>
                </c:pt>
                <c:pt idx="617">
                  <c:v>45291</c:v>
                </c:pt>
                <c:pt idx="618">
                  <c:v>45290</c:v>
                </c:pt>
                <c:pt idx="619">
                  <c:v>45289</c:v>
                </c:pt>
                <c:pt idx="620">
                  <c:v>45288</c:v>
                </c:pt>
                <c:pt idx="621">
                  <c:v>45287</c:v>
                </c:pt>
                <c:pt idx="622">
                  <c:v>45286</c:v>
                </c:pt>
                <c:pt idx="623">
                  <c:v>45285</c:v>
                </c:pt>
                <c:pt idx="624">
                  <c:v>45284</c:v>
                </c:pt>
                <c:pt idx="625">
                  <c:v>45283</c:v>
                </c:pt>
                <c:pt idx="626">
                  <c:v>45282</c:v>
                </c:pt>
                <c:pt idx="627">
                  <c:v>45281</c:v>
                </c:pt>
                <c:pt idx="628">
                  <c:v>45280</c:v>
                </c:pt>
                <c:pt idx="629">
                  <c:v>45279</c:v>
                </c:pt>
                <c:pt idx="630">
                  <c:v>45278</c:v>
                </c:pt>
                <c:pt idx="631">
                  <c:v>45277</c:v>
                </c:pt>
                <c:pt idx="632">
                  <c:v>45276</c:v>
                </c:pt>
                <c:pt idx="633">
                  <c:v>45275</c:v>
                </c:pt>
                <c:pt idx="634">
                  <c:v>45274</c:v>
                </c:pt>
                <c:pt idx="635">
                  <c:v>45273</c:v>
                </c:pt>
                <c:pt idx="636">
                  <c:v>45272</c:v>
                </c:pt>
                <c:pt idx="637">
                  <c:v>45271</c:v>
                </c:pt>
                <c:pt idx="638">
                  <c:v>45270</c:v>
                </c:pt>
                <c:pt idx="639">
                  <c:v>45269</c:v>
                </c:pt>
                <c:pt idx="640">
                  <c:v>45268</c:v>
                </c:pt>
                <c:pt idx="641">
                  <c:v>45267</c:v>
                </c:pt>
                <c:pt idx="642">
                  <c:v>45266</c:v>
                </c:pt>
                <c:pt idx="643">
                  <c:v>45265</c:v>
                </c:pt>
                <c:pt idx="644">
                  <c:v>45264</c:v>
                </c:pt>
                <c:pt idx="645">
                  <c:v>45263</c:v>
                </c:pt>
                <c:pt idx="646">
                  <c:v>45262</c:v>
                </c:pt>
                <c:pt idx="647">
                  <c:v>45261</c:v>
                </c:pt>
                <c:pt idx="648">
                  <c:v>45260</c:v>
                </c:pt>
                <c:pt idx="649">
                  <c:v>45259</c:v>
                </c:pt>
                <c:pt idx="650">
                  <c:v>45258</c:v>
                </c:pt>
                <c:pt idx="651">
                  <c:v>45257</c:v>
                </c:pt>
                <c:pt idx="652">
                  <c:v>45256</c:v>
                </c:pt>
                <c:pt idx="653">
                  <c:v>45255</c:v>
                </c:pt>
                <c:pt idx="654">
                  <c:v>45254</c:v>
                </c:pt>
                <c:pt idx="655">
                  <c:v>45253</c:v>
                </c:pt>
                <c:pt idx="656">
                  <c:v>45252</c:v>
                </c:pt>
                <c:pt idx="657">
                  <c:v>45251</c:v>
                </c:pt>
                <c:pt idx="658">
                  <c:v>45250</c:v>
                </c:pt>
                <c:pt idx="659">
                  <c:v>45249</c:v>
                </c:pt>
                <c:pt idx="660">
                  <c:v>45248</c:v>
                </c:pt>
                <c:pt idx="661">
                  <c:v>45247</c:v>
                </c:pt>
                <c:pt idx="662">
                  <c:v>45246</c:v>
                </c:pt>
                <c:pt idx="663">
                  <c:v>45245</c:v>
                </c:pt>
                <c:pt idx="664">
                  <c:v>45244</c:v>
                </c:pt>
                <c:pt idx="665">
                  <c:v>45243</c:v>
                </c:pt>
                <c:pt idx="666">
                  <c:v>45242</c:v>
                </c:pt>
                <c:pt idx="667">
                  <c:v>45241</c:v>
                </c:pt>
                <c:pt idx="668">
                  <c:v>45240</c:v>
                </c:pt>
                <c:pt idx="669">
                  <c:v>45239</c:v>
                </c:pt>
                <c:pt idx="670">
                  <c:v>45238</c:v>
                </c:pt>
                <c:pt idx="671">
                  <c:v>45237</c:v>
                </c:pt>
                <c:pt idx="672">
                  <c:v>45236</c:v>
                </c:pt>
                <c:pt idx="673">
                  <c:v>45235</c:v>
                </c:pt>
                <c:pt idx="674">
                  <c:v>45234</c:v>
                </c:pt>
                <c:pt idx="675">
                  <c:v>45233</c:v>
                </c:pt>
                <c:pt idx="676">
                  <c:v>45232</c:v>
                </c:pt>
                <c:pt idx="677">
                  <c:v>45231</c:v>
                </c:pt>
                <c:pt idx="678">
                  <c:v>45230</c:v>
                </c:pt>
                <c:pt idx="679">
                  <c:v>45229</c:v>
                </c:pt>
                <c:pt idx="680">
                  <c:v>45228</c:v>
                </c:pt>
                <c:pt idx="681">
                  <c:v>45227</c:v>
                </c:pt>
                <c:pt idx="682">
                  <c:v>45226</c:v>
                </c:pt>
                <c:pt idx="683">
                  <c:v>45225</c:v>
                </c:pt>
                <c:pt idx="684">
                  <c:v>45224</c:v>
                </c:pt>
                <c:pt idx="685">
                  <c:v>45223</c:v>
                </c:pt>
                <c:pt idx="686">
                  <c:v>45222</c:v>
                </c:pt>
                <c:pt idx="687">
                  <c:v>45221</c:v>
                </c:pt>
                <c:pt idx="688">
                  <c:v>45220</c:v>
                </c:pt>
                <c:pt idx="689">
                  <c:v>45219</c:v>
                </c:pt>
                <c:pt idx="690">
                  <c:v>45218</c:v>
                </c:pt>
                <c:pt idx="691">
                  <c:v>45217</c:v>
                </c:pt>
                <c:pt idx="692">
                  <c:v>45216</c:v>
                </c:pt>
                <c:pt idx="693">
                  <c:v>45215</c:v>
                </c:pt>
                <c:pt idx="694">
                  <c:v>45214</c:v>
                </c:pt>
                <c:pt idx="695">
                  <c:v>45213</c:v>
                </c:pt>
                <c:pt idx="696">
                  <c:v>45212</c:v>
                </c:pt>
                <c:pt idx="697">
                  <c:v>45211</c:v>
                </c:pt>
                <c:pt idx="698">
                  <c:v>45210</c:v>
                </c:pt>
                <c:pt idx="699">
                  <c:v>45209</c:v>
                </c:pt>
                <c:pt idx="700">
                  <c:v>45208</c:v>
                </c:pt>
                <c:pt idx="701">
                  <c:v>45207</c:v>
                </c:pt>
                <c:pt idx="702">
                  <c:v>45206</c:v>
                </c:pt>
                <c:pt idx="703">
                  <c:v>45205</c:v>
                </c:pt>
                <c:pt idx="704">
                  <c:v>45204</c:v>
                </c:pt>
                <c:pt idx="705">
                  <c:v>45203</c:v>
                </c:pt>
                <c:pt idx="706">
                  <c:v>45202</c:v>
                </c:pt>
                <c:pt idx="707">
                  <c:v>45201</c:v>
                </c:pt>
                <c:pt idx="708">
                  <c:v>45200</c:v>
                </c:pt>
                <c:pt idx="709">
                  <c:v>45199</c:v>
                </c:pt>
                <c:pt idx="710">
                  <c:v>45198</c:v>
                </c:pt>
                <c:pt idx="711">
                  <c:v>45197</c:v>
                </c:pt>
                <c:pt idx="712">
                  <c:v>45196</c:v>
                </c:pt>
                <c:pt idx="713">
                  <c:v>45195</c:v>
                </c:pt>
                <c:pt idx="714">
                  <c:v>45194</c:v>
                </c:pt>
                <c:pt idx="715">
                  <c:v>45193</c:v>
                </c:pt>
                <c:pt idx="716">
                  <c:v>45192</c:v>
                </c:pt>
                <c:pt idx="717">
                  <c:v>45191</c:v>
                </c:pt>
                <c:pt idx="718">
                  <c:v>45190</c:v>
                </c:pt>
                <c:pt idx="719">
                  <c:v>45189</c:v>
                </c:pt>
                <c:pt idx="720">
                  <c:v>45188</c:v>
                </c:pt>
                <c:pt idx="721">
                  <c:v>45187</c:v>
                </c:pt>
                <c:pt idx="722">
                  <c:v>45186</c:v>
                </c:pt>
                <c:pt idx="723">
                  <c:v>45185</c:v>
                </c:pt>
                <c:pt idx="724">
                  <c:v>45184</c:v>
                </c:pt>
                <c:pt idx="725">
                  <c:v>45183</c:v>
                </c:pt>
                <c:pt idx="726">
                  <c:v>45182</c:v>
                </c:pt>
                <c:pt idx="727">
                  <c:v>45181</c:v>
                </c:pt>
                <c:pt idx="728">
                  <c:v>45180</c:v>
                </c:pt>
                <c:pt idx="729">
                  <c:v>45179</c:v>
                </c:pt>
                <c:pt idx="730">
                  <c:v>45178</c:v>
                </c:pt>
                <c:pt idx="731">
                  <c:v>45177</c:v>
                </c:pt>
                <c:pt idx="732">
                  <c:v>45176</c:v>
                </c:pt>
                <c:pt idx="733">
                  <c:v>45175</c:v>
                </c:pt>
                <c:pt idx="734">
                  <c:v>45174</c:v>
                </c:pt>
                <c:pt idx="735">
                  <c:v>45173</c:v>
                </c:pt>
                <c:pt idx="736">
                  <c:v>45172</c:v>
                </c:pt>
                <c:pt idx="737">
                  <c:v>45171</c:v>
                </c:pt>
                <c:pt idx="738">
                  <c:v>45170</c:v>
                </c:pt>
                <c:pt idx="739">
                  <c:v>45169</c:v>
                </c:pt>
                <c:pt idx="740">
                  <c:v>45168</c:v>
                </c:pt>
                <c:pt idx="741">
                  <c:v>45167</c:v>
                </c:pt>
                <c:pt idx="742">
                  <c:v>45166</c:v>
                </c:pt>
                <c:pt idx="743">
                  <c:v>45165</c:v>
                </c:pt>
                <c:pt idx="744">
                  <c:v>45164</c:v>
                </c:pt>
                <c:pt idx="745">
                  <c:v>45163</c:v>
                </c:pt>
                <c:pt idx="746">
                  <c:v>45162</c:v>
                </c:pt>
                <c:pt idx="747">
                  <c:v>45161</c:v>
                </c:pt>
                <c:pt idx="748">
                  <c:v>45160</c:v>
                </c:pt>
                <c:pt idx="749">
                  <c:v>45159</c:v>
                </c:pt>
                <c:pt idx="750">
                  <c:v>45158</c:v>
                </c:pt>
                <c:pt idx="751">
                  <c:v>45157</c:v>
                </c:pt>
                <c:pt idx="752">
                  <c:v>45156</c:v>
                </c:pt>
                <c:pt idx="753">
                  <c:v>45155</c:v>
                </c:pt>
                <c:pt idx="754">
                  <c:v>45154</c:v>
                </c:pt>
                <c:pt idx="755">
                  <c:v>45153</c:v>
                </c:pt>
                <c:pt idx="756">
                  <c:v>45152</c:v>
                </c:pt>
                <c:pt idx="757">
                  <c:v>45151</c:v>
                </c:pt>
                <c:pt idx="758">
                  <c:v>45150</c:v>
                </c:pt>
                <c:pt idx="759">
                  <c:v>45149</c:v>
                </c:pt>
                <c:pt idx="760">
                  <c:v>45148</c:v>
                </c:pt>
                <c:pt idx="761">
                  <c:v>45147</c:v>
                </c:pt>
                <c:pt idx="762">
                  <c:v>45146</c:v>
                </c:pt>
                <c:pt idx="763">
                  <c:v>45145</c:v>
                </c:pt>
                <c:pt idx="764">
                  <c:v>45144</c:v>
                </c:pt>
                <c:pt idx="765">
                  <c:v>45143</c:v>
                </c:pt>
                <c:pt idx="766">
                  <c:v>45142</c:v>
                </c:pt>
                <c:pt idx="767">
                  <c:v>45141</c:v>
                </c:pt>
                <c:pt idx="768">
                  <c:v>45140</c:v>
                </c:pt>
                <c:pt idx="769">
                  <c:v>45139</c:v>
                </c:pt>
                <c:pt idx="770">
                  <c:v>45138</c:v>
                </c:pt>
                <c:pt idx="771">
                  <c:v>45137</c:v>
                </c:pt>
                <c:pt idx="772">
                  <c:v>45136</c:v>
                </c:pt>
                <c:pt idx="773">
                  <c:v>45135</c:v>
                </c:pt>
                <c:pt idx="774">
                  <c:v>45134</c:v>
                </c:pt>
                <c:pt idx="775">
                  <c:v>45133</c:v>
                </c:pt>
                <c:pt idx="776">
                  <c:v>45132</c:v>
                </c:pt>
                <c:pt idx="777">
                  <c:v>45131</c:v>
                </c:pt>
                <c:pt idx="778">
                  <c:v>45130</c:v>
                </c:pt>
                <c:pt idx="779">
                  <c:v>45129</c:v>
                </c:pt>
                <c:pt idx="780">
                  <c:v>45128</c:v>
                </c:pt>
                <c:pt idx="781">
                  <c:v>45127</c:v>
                </c:pt>
                <c:pt idx="782">
                  <c:v>45126</c:v>
                </c:pt>
                <c:pt idx="783">
                  <c:v>45125</c:v>
                </c:pt>
                <c:pt idx="784">
                  <c:v>45124</c:v>
                </c:pt>
                <c:pt idx="785">
                  <c:v>45123</c:v>
                </c:pt>
                <c:pt idx="786">
                  <c:v>45122</c:v>
                </c:pt>
                <c:pt idx="787">
                  <c:v>45121</c:v>
                </c:pt>
                <c:pt idx="788">
                  <c:v>45120</c:v>
                </c:pt>
                <c:pt idx="789">
                  <c:v>45119</c:v>
                </c:pt>
                <c:pt idx="790">
                  <c:v>45118</c:v>
                </c:pt>
                <c:pt idx="791">
                  <c:v>45117</c:v>
                </c:pt>
                <c:pt idx="792">
                  <c:v>45116</c:v>
                </c:pt>
                <c:pt idx="793">
                  <c:v>45115</c:v>
                </c:pt>
                <c:pt idx="794">
                  <c:v>45114</c:v>
                </c:pt>
                <c:pt idx="795">
                  <c:v>45113</c:v>
                </c:pt>
                <c:pt idx="796">
                  <c:v>45112</c:v>
                </c:pt>
                <c:pt idx="797">
                  <c:v>45111</c:v>
                </c:pt>
                <c:pt idx="798">
                  <c:v>45110</c:v>
                </c:pt>
                <c:pt idx="799">
                  <c:v>45109</c:v>
                </c:pt>
                <c:pt idx="800">
                  <c:v>45108</c:v>
                </c:pt>
                <c:pt idx="801">
                  <c:v>45107</c:v>
                </c:pt>
                <c:pt idx="802">
                  <c:v>45106</c:v>
                </c:pt>
                <c:pt idx="803">
                  <c:v>45105</c:v>
                </c:pt>
                <c:pt idx="804">
                  <c:v>45104</c:v>
                </c:pt>
                <c:pt idx="805">
                  <c:v>45103</c:v>
                </c:pt>
                <c:pt idx="806">
                  <c:v>45102</c:v>
                </c:pt>
                <c:pt idx="807">
                  <c:v>45101</c:v>
                </c:pt>
                <c:pt idx="808">
                  <c:v>45100</c:v>
                </c:pt>
                <c:pt idx="809">
                  <c:v>45099</c:v>
                </c:pt>
                <c:pt idx="810">
                  <c:v>45098</c:v>
                </c:pt>
                <c:pt idx="811">
                  <c:v>45097</c:v>
                </c:pt>
                <c:pt idx="812">
                  <c:v>45096</c:v>
                </c:pt>
                <c:pt idx="813">
                  <c:v>45095</c:v>
                </c:pt>
                <c:pt idx="814">
                  <c:v>45094</c:v>
                </c:pt>
                <c:pt idx="815">
                  <c:v>45093</c:v>
                </c:pt>
                <c:pt idx="816">
                  <c:v>45092</c:v>
                </c:pt>
                <c:pt idx="817">
                  <c:v>45091</c:v>
                </c:pt>
                <c:pt idx="818">
                  <c:v>45090</c:v>
                </c:pt>
                <c:pt idx="819">
                  <c:v>45089</c:v>
                </c:pt>
                <c:pt idx="820">
                  <c:v>45088</c:v>
                </c:pt>
                <c:pt idx="821">
                  <c:v>45087</c:v>
                </c:pt>
                <c:pt idx="822">
                  <c:v>45086</c:v>
                </c:pt>
                <c:pt idx="823">
                  <c:v>45085</c:v>
                </c:pt>
                <c:pt idx="824">
                  <c:v>45084</c:v>
                </c:pt>
                <c:pt idx="825">
                  <c:v>45083</c:v>
                </c:pt>
                <c:pt idx="826">
                  <c:v>45082</c:v>
                </c:pt>
                <c:pt idx="827">
                  <c:v>45081</c:v>
                </c:pt>
                <c:pt idx="828">
                  <c:v>45080</c:v>
                </c:pt>
                <c:pt idx="829">
                  <c:v>45079</c:v>
                </c:pt>
                <c:pt idx="830">
                  <c:v>45078</c:v>
                </c:pt>
                <c:pt idx="831">
                  <c:v>45077</c:v>
                </c:pt>
                <c:pt idx="832">
                  <c:v>45076</c:v>
                </c:pt>
                <c:pt idx="833">
                  <c:v>45075</c:v>
                </c:pt>
                <c:pt idx="834">
                  <c:v>45074</c:v>
                </c:pt>
                <c:pt idx="835">
                  <c:v>45073</c:v>
                </c:pt>
                <c:pt idx="836">
                  <c:v>45072</c:v>
                </c:pt>
                <c:pt idx="837">
                  <c:v>45071</c:v>
                </c:pt>
                <c:pt idx="838">
                  <c:v>45070</c:v>
                </c:pt>
                <c:pt idx="839">
                  <c:v>45069</c:v>
                </c:pt>
                <c:pt idx="840">
                  <c:v>45068</c:v>
                </c:pt>
                <c:pt idx="841">
                  <c:v>45067</c:v>
                </c:pt>
                <c:pt idx="842">
                  <c:v>45066</c:v>
                </c:pt>
                <c:pt idx="843">
                  <c:v>45065</c:v>
                </c:pt>
                <c:pt idx="844">
                  <c:v>45064</c:v>
                </c:pt>
                <c:pt idx="845">
                  <c:v>45063</c:v>
                </c:pt>
                <c:pt idx="846">
                  <c:v>45062</c:v>
                </c:pt>
                <c:pt idx="847">
                  <c:v>45061</c:v>
                </c:pt>
                <c:pt idx="848">
                  <c:v>45060</c:v>
                </c:pt>
                <c:pt idx="849">
                  <c:v>45059</c:v>
                </c:pt>
                <c:pt idx="850">
                  <c:v>45058</c:v>
                </c:pt>
                <c:pt idx="851">
                  <c:v>45057</c:v>
                </c:pt>
                <c:pt idx="852">
                  <c:v>45056</c:v>
                </c:pt>
                <c:pt idx="853">
                  <c:v>45055</c:v>
                </c:pt>
                <c:pt idx="854">
                  <c:v>45054</c:v>
                </c:pt>
                <c:pt idx="855">
                  <c:v>45053</c:v>
                </c:pt>
                <c:pt idx="856">
                  <c:v>45052</c:v>
                </c:pt>
                <c:pt idx="857">
                  <c:v>45051</c:v>
                </c:pt>
                <c:pt idx="858">
                  <c:v>45050</c:v>
                </c:pt>
                <c:pt idx="859">
                  <c:v>45049</c:v>
                </c:pt>
                <c:pt idx="860">
                  <c:v>45048</c:v>
                </c:pt>
                <c:pt idx="861">
                  <c:v>45047</c:v>
                </c:pt>
                <c:pt idx="862">
                  <c:v>45046</c:v>
                </c:pt>
                <c:pt idx="863">
                  <c:v>45045</c:v>
                </c:pt>
                <c:pt idx="864">
                  <c:v>45044</c:v>
                </c:pt>
                <c:pt idx="865">
                  <c:v>45043</c:v>
                </c:pt>
                <c:pt idx="866">
                  <c:v>45042</c:v>
                </c:pt>
                <c:pt idx="867">
                  <c:v>45041</c:v>
                </c:pt>
                <c:pt idx="868">
                  <c:v>45040</c:v>
                </c:pt>
                <c:pt idx="869">
                  <c:v>45039</c:v>
                </c:pt>
                <c:pt idx="870">
                  <c:v>45038</c:v>
                </c:pt>
                <c:pt idx="871">
                  <c:v>45037</c:v>
                </c:pt>
                <c:pt idx="872">
                  <c:v>45036</c:v>
                </c:pt>
                <c:pt idx="873">
                  <c:v>45035</c:v>
                </c:pt>
                <c:pt idx="874">
                  <c:v>45034</c:v>
                </c:pt>
                <c:pt idx="875">
                  <c:v>45033</c:v>
                </c:pt>
                <c:pt idx="876">
                  <c:v>45032</c:v>
                </c:pt>
                <c:pt idx="877">
                  <c:v>45031</c:v>
                </c:pt>
                <c:pt idx="878">
                  <c:v>45030</c:v>
                </c:pt>
                <c:pt idx="879">
                  <c:v>45029</c:v>
                </c:pt>
                <c:pt idx="880">
                  <c:v>45028</c:v>
                </c:pt>
                <c:pt idx="881">
                  <c:v>45027</c:v>
                </c:pt>
                <c:pt idx="882">
                  <c:v>45026</c:v>
                </c:pt>
                <c:pt idx="883">
                  <c:v>45025</c:v>
                </c:pt>
                <c:pt idx="884">
                  <c:v>45024</c:v>
                </c:pt>
                <c:pt idx="885">
                  <c:v>45023</c:v>
                </c:pt>
                <c:pt idx="886">
                  <c:v>45022</c:v>
                </c:pt>
                <c:pt idx="887">
                  <c:v>45021</c:v>
                </c:pt>
                <c:pt idx="888">
                  <c:v>45020</c:v>
                </c:pt>
                <c:pt idx="889">
                  <c:v>45019</c:v>
                </c:pt>
                <c:pt idx="890">
                  <c:v>45018</c:v>
                </c:pt>
                <c:pt idx="891">
                  <c:v>45017</c:v>
                </c:pt>
                <c:pt idx="892">
                  <c:v>45016</c:v>
                </c:pt>
                <c:pt idx="893">
                  <c:v>45015</c:v>
                </c:pt>
                <c:pt idx="894">
                  <c:v>45014</c:v>
                </c:pt>
                <c:pt idx="895">
                  <c:v>45013</c:v>
                </c:pt>
                <c:pt idx="896">
                  <c:v>45012</c:v>
                </c:pt>
                <c:pt idx="897">
                  <c:v>45011</c:v>
                </c:pt>
                <c:pt idx="898">
                  <c:v>45010</c:v>
                </c:pt>
                <c:pt idx="899">
                  <c:v>45009</c:v>
                </c:pt>
                <c:pt idx="900">
                  <c:v>45008</c:v>
                </c:pt>
                <c:pt idx="901">
                  <c:v>45007</c:v>
                </c:pt>
                <c:pt idx="902">
                  <c:v>45006</c:v>
                </c:pt>
                <c:pt idx="903">
                  <c:v>45005</c:v>
                </c:pt>
                <c:pt idx="904">
                  <c:v>45004</c:v>
                </c:pt>
                <c:pt idx="905">
                  <c:v>45003</c:v>
                </c:pt>
                <c:pt idx="906">
                  <c:v>45002</c:v>
                </c:pt>
                <c:pt idx="907">
                  <c:v>45001</c:v>
                </c:pt>
                <c:pt idx="908">
                  <c:v>45000</c:v>
                </c:pt>
                <c:pt idx="909">
                  <c:v>44999</c:v>
                </c:pt>
                <c:pt idx="910">
                  <c:v>44998</c:v>
                </c:pt>
                <c:pt idx="911">
                  <c:v>44997</c:v>
                </c:pt>
                <c:pt idx="912">
                  <c:v>44996</c:v>
                </c:pt>
                <c:pt idx="913">
                  <c:v>44995</c:v>
                </c:pt>
                <c:pt idx="914">
                  <c:v>44994</c:v>
                </c:pt>
                <c:pt idx="915">
                  <c:v>44993</c:v>
                </c:pt>
                <c:pt idx="916">
                  <c:v>44992</c:v>
                </c:pt>
                <c:pt idx="917">
                  <c:v>44991</c:v>
                </c:pt>
                <c:pt idx="918">
                  <c:v>44990</c:v>
                </c:pt>
                <c:pt idx="919">
                  <c:v>44989</c:v>
                </c:pt>
                <c:pt idx="920">
                  <c:v>44988</c:v>
                </c:pt>
                <c:pt idx="921">
                  <c:v>44987</c:v>
                </c:pt>
                <c:pt idx="922">
                  <c:v>44986</c:v>
                </c:pt>
                <c:pt idx="923">
                  <c:v>44985</c:v>
                </c:pt>
                <c:pt idx="924">
                  <c:v>44984</c:v>
                </c:pt>
                <c:pt idx="925">
                  <c:v>44983</c:v>
                </c:pt>
                <c:pt idx="926">
                  <c:v>44982</c:v>
                </c:pt>
                <c:pt idx="927">
                  <c:v>44981</c:v>
                </c:pt>
                <c:pt idx="928">
                  <c:v>44980</c:v>
                </c:pt>
                <c:pt idx="929">
                  <c:v>44979</c:v>
                </c:pt>
                <c:pt idx="930">
                  <c:v>44978</c:v>
                </c:pt>
                <c:pt idx="931">
                  <c:v>44977</c:v>
                </c:pt>
                <c:pt idx="932">
                  <c:v>44976</c:v>
                </c:pt>
                <c:pt idx="933">
                  <c:v>44975</c:v>
                </c:pt>
                <c:pt idx="934">
                  <c:v>44974</c:v>
                </c:pt>
                <c:pt idx="935">
                  <c:v>44973</c:v>
                </c:pt>
                <c:pt idx="936">
                  <c:v>44972</c:v>
                </c:pt>
                <c:pt idx="937">
                  <c:v>44971</c:v>
                </c:pt>
                <c:pt idx="938">
                  <c:v>44970</c:v>
                </c:pt>
                <c:pt idx="939">
                  <c:v>44969</c:v>
                </c:pt>
                <c:pt idx="940">
                  <c:v>44968</c:v>
                </c:pt>
                <c:pt idx="941">
                  <c:v>44967</c:v>
                </c:pt>
                <c:pt idx="942">
                  <c:v>44966</c:v>
                </c:pt>
                <c:pt idx="943">
                  <c:v>44965</c:v>
                </c:pt>
                <c:pt idx="944">
                  <c:v>44964</c:v>
                </c:pt>
                <c:pt idx="945">
                  <c:v>44963</c:v>
                </c:pt>
                <c:pt idx="946">
                  <c:v>44962</c:v>
                </c:pt>
                <c:pt idx="947">
                  <c:v>44961</c:v>
                </c:pt>
                <c:pt idx="948">
                  <c:v>44960</c:v>
                </c:pt>
                <c:pt idx="949">
                  <c:v>44959</c:v>
                </c:pt>
                <c:pt idx="950">
                  <c:v>44958</c:v>
                </c:pt>
                <c:pt idx="951">
                  <c:v>44957</c:v>
                </c:pt>
                <c:pt idx="952">
                  <c:v>44956</c:v>
                </c:pt>
                <c:pt idx="953">
                  <c:v>44955</c:v>
                </c:pt>
                <c:pt idx="954">
                  <c:v>44954</c:v>
                </c:pt>
                <c:pt idx="955">
                  <c:v>44953</c:v>
                </c:pt>
                <c:pt idx="956">
                  <c:v>44952</c:v>
                </c:pt>
                <c:pt idx="957">
                  <c:v>44951</c:v>
                </c:pt>
                <c:pt idx="958">
                  <c:v>44950</c:v>
                </c:pt>
                <c:pt idx="959">
                  <c:v>44949</c:v>
                </c:pt>
                <c:pt idx="960">
                  <c:v>44948</c:v>
                </c:pt>
                <c:pt idx="961">
                  <c:v>44947</c:v>
                </c:pt>
                <c:pt idx="962">
                  <c:v>44946</c:v>
                </c:pt>
                <c:pt idx="963">
                  <c:v>44945</c:v>
                </c:pt>
                <c:pt idx="964">
                  <c:v>44944</c:v>
                </c:pt>
                <c:pt idx="965">
                  <c:v>44943</c:v>
                </c:pt>
                <c:pt idx="966">
                  <c:v>44942</c:v>
                </c:pt>
                <c:pt idx="967">
                  <c:v>44941</c:v>
                </c:pt>
                <c:pt idx="968">
                  <c:v>44940</c:v>
                </c:pt>
                <c:pt idx="969">
                  <c:v>44939</c:v>
                </c:pt>
                <c:pt idx="970">
                  <c:v>44938</c:v>
                </c:pt>
                <c:pt idx="971">
                  <c:v>44937</c:v>
                </c:pt>
                <c:pt idx="972">
                  <c:v>44936</c:v>
                </c:pt>
                <c:pt idx="973">
                  <c:v>44935</c:v>
                </c:pt>
                <c:pt idx="974">
                  <c:v>44934</c:v>
                </c:pt>
                <c:pt idx="975">
                  <c:v>44933</c:v>
                </c:pt>
                <c:pt idx="976">
                  <c:v>44932</c:v>
                </c:pt>
                <c:pt idx="977">
                  <c:v>44931</c:v>
                </c:pt>
                <c:pt idx="978">
                  <c:v>44930</c:v>
                </c:pt>
                <c:pt idx="979">
                  <c:v>44929</c:v>
                </c:pt>
                <c:pt idx="980">
                  <c:v>44928</c:v>
                </c:pt>
                <c:pt idx="981">
                  <c:v>44927</c:v>
                </c:pt>
                <c:pt idx="982">
                  <c:v>44926</c:v>
                </c:pt>
                <c:pt idx="983">
                  <c:v>44925</c:v>
                </c:pt>
                <c:pt idx="984">
                  <c:v>44924</c:v>
                </c:pt>
                <c:pt idx="985">
                  <c:v>44923</c:v>
                </c:pt>
                <c:pt idx="986">
                  <c:v>44922</c:v>
                </c:pt>
                <c:pt idx="987">
                  <c:v>44921</c:v>
                </c:pt>
                <c:pt idx="988">
                  <c:v>44920</c:v>
                </c:pt>
                <c:pt idx="989">
                  <c:v>44919</c:v>
                </c:pt>
                <c:pt idx="990">
                  <c:v>44918</c:v>
                </c:pt>
                <c:pt idx="991">
                  <c:v>44917</c:v>
                </c:pt>
                <c:pt idx="992">
                  <c:v>44916</c:v>
                </c:pt>
                <c:pt idx="993">
                  <c:v>44915</c:v>
                </c:pt>
                <c:pt idx="994">
                  <c:v>44914</c:v>
                </c:pt>
                <c:pt idx="995">
                  <c:v>44913</c:v>
                </c:pt>
                <c:pt idx="996">
                  <c:v>44912</c:v>
                </c:pt>
                <c:pt idx="997">
                  <c:v>44911</c:v>
                </c:pt>
                <c:pt idx="998">
                  <c:v>44910</c:v>
                </c:pt>
                <c:pt idx="999">
                  <c:v>44909</c:v>
                </c:pt>
                <c:pt idx="1000">
                  <c:v>44908</c:v>
                </c:pt>
                <c:pt idx="1001">
                  <c:v>44907</c:v>
                </c:pt>
                <c:pt idx="1002">
                  <c:v>44906</c:v>
                </c:pt>
                <c:pt idx="1003">
                  <c:v>44905</c:v>
                </c:pt>
                <c:pt idx="1004">
                  <c:v>44904</c:v>
                </c:pt>
                <c:pt idx="1005">
                  <c:v>44903</c:v>
                </c:pt>
                <c:pt idx="1006">
                  <c:v>44902</c:v>
                </c:pt>
                <c:pt idx="1007">
                  <c:v>44901</c:v>
                </c:pt>
                <c:pt idx="1008">
                  <c:v>44900</c:v>
                </c:pt>
                <c:pt idx="1009">
                  <c:v>44899</c:v>
                </c:pt>
                <c:pt idx="1010">
                  <c:v>44898</c:v>
                </c:pt>
                <c:pt idx="1011">
                  <c:v>44897</c:v>
                </c:pt>
                <c:pt idx="1012">
                  <c:v>44896</c:v>
                </c:pt>
                <c:pt idx="1013">
                  <c:v>44895</c:v>
                </c:pt>
                <c:pt idx="1014">
                  <c:v>44894</c:v>
                </c:pt>
                <c:pt idx="1015">
                  <c:v>44893</c:v>
                </c:pt>
                <c:pt idx="1016">
                  <c:v>44892</c:v>
                </c:pt>
                <c:pt idx="1017">
                  <c:v>44891</c:v>
                </c:pt>
                <c:pt idx="1018">
                  <c:v>44890</c:v>
                </c:pt>
                <c:pt idx="1019">
                  <c:v>44889</c:v>
                </c:pt>
                <c:pt idx="1020">
                  <c:v>44888</c:v>
                </c:pt>
                <c:pt idx="1021">
                  <c:v>44887</c:v>
                </c:pt>
                <c:pt idx="1022">
                  <c:v>44886</c:v>
                </c:pt>
                <c:pt idx="1023">
                  <c:v>44885</c:v>
                </c:pt>
                <c:pt idx="1024">
                  <c:v>44884</c:v>
                </c:pt>
                <c:pt idx="1025">
                  <c:v>44883</c:v>
                </c:pt>
                <c:pt idx="1026">
                  <c:v>44882</c:v>
                </c:pt>
                <c:pt idx="1027">
                  <c:v>44881</c:v>
                </c:pt>
                <c:pt idx="1028">
                  <c:v>44880</c:v>
                </c:pt>
                <c:pt idx="1029">
                  <c:v>44879</c:v>
                </c:pt>
                <c:pt idx="1030">
                  <c:v>44878</c:v>
                </c:pt>
                <c:pt idx="1031">
                  <c:v>44877</c:v>
                </c:pt>
                <c:pt idx="1032">
                  <c:v>44876</c:v>
                </c:pt>
                <c:pt idx="1033">
                  <c:v>44875</c:v>
                </c:pt>
                <c:pt idx="1034">
                  <c:v>44874</c:v>
                </c:pt>
                <c:pt idx="1035">
                  <c:v>44873</c:v>
                </c:pt>
                <c:pt idx="1036">
                  <c:v>44872</c:v>
                </c:pt>
                <c:pt idx="1037">
                  <c:v>44871</c:v>
                </c:pt>
                <c:pt idx="1038">
                  <c:v>44870</c:v>
                </c:pt>
                <c:pt idx="1039">
                  <c:v>44869</c:v>
                </c:pt>
                <c:pt idx="1040">
                  <c:v>44868</c:v>
                </c:pt>
                <c:pt idx="1041">
                  <c:v>44867</c:v>
                </c:pt>
                <c:pt idx="1042">
                  <c:v>44866</c:v>
                </c:pt>
                <c:pt idx="1043">
                  <c:v>44865</c:v>
                </c:pt>
                <c:pt idx="1044">
                  <c:v>44864</c:v>
                </c:pt>
              </c:numCache>
            </c:numRef>
          </c:cat>
          <c:val>
            <c:numRef>
              <c:f>'Stock Data'!$AO$4:$AO$1048</c:f>
              <c:numCache>
                <c:formatCode>#,##0.00_);\(#,##0.00\)</c:formatCode>
                <c:ptCount val="1045"/>
                <c:pt idx="0">
                  <c:v>0</c:v>
                </c:pt>
                <c:pt idx="1">
                  <c:v>-1118932</c:v>
                </c:pt>
                <c:pt idx="2">
                  <c:v>-559466</c:v>
                </c:pt>
                <c:pt idx="3">
                  <c:v>0</c:v>
                </c:pt>
                <c:pt idx="4">
                  <c:v>0</c:v>
                </c:pt>
                <c:pt idx="5">
                  <c:v>0</c:v>
                </c:pt>
                <c:pt idx="6">
                  <c:v>0</c:v>
                </c:pt>
                <c:pt idx="7">
                  <c:v>-2114085</c:v>
                </c:pt>
                <c:pt idx="8">
                  <c:v>-1409390</c:v>
                </c:pt>
                <c:pt idx="9">
                  <c:v>-704695</c:v>
                </c:pt>
                <c:pt idx="10">
                  <c:v>0</c:v>
                </c:pt>
                <c:pt idx="11">
                  <c:v>0</c:v>
                </c:pt>
                <c:pt idx="12">
                  <c:v>0</c:v>
                </c:pt>
                <c:pt idx="13">
                  <c:v>0</c:v>
                </c:pt>
                <c:pt idx="14">
                  <c:v>0</c:v>
                </c:pt>
                <c:pt idx="15">
                  <c:v>-1935790</c:v>
                </c:pt>
                <c:pt idx="16">
                  <c:v>-967895</c:v>
                </c:pt>
                <c:pt idx="17">
                  <c:v>0</c:v>
                </c:pt>
                <c:pt idx="18">
                  <c:v>0</c:v>
                </c:pt>
                <c:pt idx="19">
                  <c:v>0</c:v>
                </c:pt>
                <c:pt idx="20">
                  <c:v>0</c:v>
                </c:pt>
                <c:pt idx="21">
                  <c:v>0</c:v>
                </c:pt>
                <c:pt idx="22">
                  <c:v>-1777668</c:v>
                </c:pt>
                <c:pt idx="23">
                  <c:v>-888834</c:v>
                </c:pt>
                <c:pt idx="24">
                  <c:v>0</c:v>
                </c:pt>
                <c:pt idx="25">
                  <c:v>0</c:v>
                </c:pt>
                <c:pt idx="26">
                  <c:v>0</c:v>
                </c:pt>
                <c:pt idx="27">
                  <c:v>0</c:v>
                </c:pt>
                <c:pt idx="28">
                  <c:v>0</c:v>
                </c:pt>
                <c:pt idx="29">
                  <c:v>-2799786</c:v>
                </c:pt>
                <c:pt idx="30">
                  <c:v>-1399893</c:v>
                </c:pt>
                <c:pt idx="31">
                  <c:v>0</c:v>
                </c:pt>
                <c:pt idx="32">
                  <c:v>0</c:v>
                </c:pt>
                <c:pt idx="33">
                  <c:v>0</c:v>
                </c:pt>
                <c:pt idx="34">
                  <c:v>0</c:v>
                </c:pt>
                <c:pt idx="35">
                  <c:v>0</c:v>
                </c:pt>
                <c:pt idx="36">
                  <c:v>-2528720</c:v>
                </c:pt>
                <c:pt idx="37">
                  <c:v>-1264360</c:v>
                </c:pt>
                <c:pt idx="38">
                  <c:v>0</c:v>
                </c:pt>
                <c:pt idx="39">
                  <c:v>0</c:v>
                </c:pt>
                <c:pt idx="40">
                  <c:v>0</c:v>
                </c:pt>
                <c:pt idx="41">
                  <c:v>0</c:v>
                </c:pt>
                <c:pt idx="42">
                  <c:v>0</c:v>
                </c:pt>
                <c:pt idx="43">
                  <c:v>-1342096</c:v>
                </c:pt>
                <c:pt idx="44">
                  <c:v>-671048</c:v>
                </c:pt>
                <c:pt idx="45">
                  <c:v>0</c:v>
                </c:pt>
                <c:pt idx="46">
                  <c:v>0</c:v>
                </c:pt>
                <c:pt idx="47">
                  <c:v>0</c:v>
                </c:pt>
                <c:pt idx="48">
                  <c:v>0</c:v>
                </c:pt>
                <c:pt idx="49">
                  <c:v>0</c:v>
                </c:pt>
                <c:pt idx="50">
                  <c:v>-1569250</c:v>
                </c:pt>
                <c:pt idx="51">
                  <c:v>-784625</c:v>
                </c:pt>
                <c:pt idx="52">
                  <c:v>0</c:v>
                </c:pt>
                <c:pt idx="53">
                  <c:v>0</c:v>
                </c:pt>
                <c:pt idx="54">
                  <c:v>0</c:v>
                </c:pt>
                <c:pt idx="55">
                  <c:v>0</c:v>
                </c:pt>
                <c:pt idx="56">
                  <c:v>0</c:v>
                </c:pt>
                <c:pt idx="57">
                  <c:v>-3918270</c:v>
                </c:pt>
                <c:pt idx="58">
                  <c:v>-1959135</c:v>
                </c:pt>
                <c:pt idx="59">
                  <c:v>0</c:v>
                </c:pt>
                <c:pt idx="60">
                  <c:v>0</c:v>
                </c:pt>
                <c:pt idx="61">
                  <c:v>0</c:v>
                </c:pt>
                <c:pt idx="62">
                  <c:v>0</c:v>
                </c:pt>
                <c:pt idx="63">
                  <c:v>0</c:v>
                </c:pt>
                <c:pt idx="64">
                  <c:v>-3078744</c:v>
                </c:pt>
                <c:pt idx="65">
                  <c:v>-2052496</c:v>
                </c:pt>
                <c:pt idx="66">
                  <c:v>-1026248</c:v>
                </c:pt>
                <c:pt idx="67">
                  <c:v>0</c:v>
                </c:pt>
                <c:pt idx="68">
                  <c:v>0</c:v>
                </c:pt>
                <c:pt idx="69">
                  <c:v>0</c:v>
                </c:pt>
                <c:pt idx="70">
                  <c:v>0</c:v>
                </c:pt>
                <c:pt idx="71">
                  <c:v>-3542148</c:v>
                </c:pt>
                <c:pt idx="72">
                  <c:v>-1771074</c:v>
                </c:pt>
                <c:pt idx="73">
                  <c:v>0</c:v>
                </c:pt>
                <c:pt idx="74">
                  <c:v>0</c:v>
                </c:pt>
                <c:pt idx="75">
                  <c:v>0</c:v>
                </c:pt>
                <c:pt idx="76">
                  <c:v>0</c:v>
                </c:pt>
                <c:pt idx="77">
                  <c:v>0</c:v>
                </c:pt>
                <c:pt idx="78">
                  <c:v>-2669164</c:v>
                </c:pt>
                <c:pt idx="79">
                  <c:v>-1334582</c:v>
                </c:pt>
                <c:pt idx="80">
                  <c:v>0</c:v>
                </c:pt>
                <c:pt idx="81">
                  <c:v>-1130787</c:v>
                </c:pt>
                <c:pt idx="82">
                  <c:v>0</c:v>
                </c:pt>
                <c:pt idx="83">
                  <c:v>0</c:v>
                </c:pt>
                <c:pt idx="84">
                  <c:v>0</c:v>
                </c:pt>
                <c:pt idx="85">
                  <c:v>-2690350</c:v>
                </c:pt>
                <c:pt idx="86">
                  <c:v>-1345175</c:v>
                </c:pt>
                <c:pt idx="87">
                  <c:v>0</c:v>
                </c:pt>
                <c:pt idx="88">
                  <c:v>0</c:v>
                </c:pt>
                <c:pt idx="89">
                  <c:v>0</c:v>
                </c:pt>
                <c:pt idx="90">
                  <c:v>0</c:v>
                </c:pt>
                <c:pt idx="91">
                  <c:v>0</c:v>
                </c:pt>
                <c:pt idx="92">
                  <c:v>-2857226</c:v>
                </c:pt>
                <c:pt idx="93">
                  <c:v>-1428613</c:v>
                </c:pt>
                <c:pt idx="94">
                  <c:v>0</c:v>
                </c:pt>
                <c:pt idx="95">
                  <c:v>0</c:v>
                </c:pt>
                <c:pt idx="96">
                  <c:v>0</c:v>
                </c:pt>
                <c:pt idx="97">
                  <c:v>0</c:v>
                </c:pt>
                <c:pt idx="98">
                  <c:v>0</c:v>
                </c:pt>
                <c:pt idx="99">
                  <c:v>-2161022</c:v>
                </c:pt>
                <c:pt idx="100">
                  <c:v>-1080511</c:v>
                </c:pt>
                <c:pt idx="101">
                  <c:v>0</c:v>
                </c:pt>
                <c:pt idx="102">
                  <c:v>0</c:v>
                </c:pt>
                <c:pt idx="103">
                  <c:v>0</c:v>
                </c:pt>
                <c:pt idx="104">
                  <c:v>0</c:v>
                </c:pt>
                <c:pt idx="105">
                  <c:v>-2633859</c:v>
                </c:pt>
                <c:pt idx="106">
                  <c:v>-1755906</c:v>
                </c:pt>
                <c:pt idx="107">
                  <c:v>-877953</c:v>
                </c:pt>
                <c:pt idx="108">
                  <c:v>0</c:v>
                </c:pt>
                <c:pt idx="109">
                  <c:v>0</c:v>
                </c:pt>
                <c:pt idx="110">
                  <c:v>0</c:v>
                </c:pt>
                <c:pt idx="111">
                  <c:v>0</c:v>
                </c:pt>
                <c:pt idx="112">
                  <c:v>0</c:v>
                </c:pt>
                <c:pt idx="113">
                  <c:v>-1522962</c:v>
                </c:pt>
                <c:pt idx="114">
                  <c:v>-761481</c:v>
                </c:pt>
                <c:pt idx="115">
                  <c:v>0</c:v>
                </c:pt>
                <c:pt idx="116">
                  <c:v>0</c:v>
                </c:pt>
                <c:pt idx="117">
                  <c:v>0</c:v>
                </c:pt>
                <c:pt idx="118">
                  <c:v>0</c:v>
                </c:pt>
                <c:pt idx="119">
                  <c:v>0</c:v>
                </c:pt>
                <c:pt idx="120">
                  <c:v>-1948684</c:v>
                </c:pt>
                <c:pt idx="121">
                  <c:v>-974342</c:v>
                </c:pt>
                <c:pt idx="122">
                  <c:v>0</c:v>
                </c:pt>
                <c:pt idx="123">
                  <c:v>0</c:v>
                </c:pt>
                <c:pt idx="124">
                  <c:v>0</c:v>
                </c:pt>
                <c:pt idx="125">
                  <c:v>0</c:v>
                </c:pt>
                <c:pt idx="126">
                  <c:v>0</c:v>
                </c:pt>
                <c:pt idx="127">
                  <c:v>-1355186</c:v>
                </c:pt>
                <c:pt idx="128">
                  <c:v>-677593</c:v>
                </c:pt>
                <c:pt idx="129">
                  <c:v>0</c:v>
                </c:pt>
                <c:pt idx="130">
                  <c:v>0</c:v>
                </c:pt>
                <c:pt idx="131">
                  <c:v>0</c:v>
                </c:pt>
                <c:pt idx="132">
                  <c:v>0</c:v>
                </c:pt>
                <c:pt idx="133">
                  <c:v>0</c:v>
                </c:pt>
                <c:pt idx="134">
                  <c:v>-966812</c:v>
                </c:pt>
                <c:pt idx="135">
                  <c:v>-483406</c:v>
                </c:pt>
                <c:pt idx="136">
                  <c:v>0</c:v>
                </c:pt>
                <c:pt idx="137">
                  <c:v>0</c:v>
                </c:pt>
                <c:pt idx="138">
                  <c:v>0</c:v>
                </c:pt>
                <c:pt idx="139">
                  <c:v>0</c:v>
                </c:pt>
                <c:pt idx="140">
                  <c:v>0</c:v>
                </c:pt>
                <c:pt idx="141">
                  <c:v>-1437522</c:v>
                </c:pt>
                <c:pt idx="142">
                  <c:v>-958348</c:v>
                </c:pt>
                <c:pt idx="143">
                  <c:v>-479174</c:v>
                </c:pt>
                <c:pt idx="144">
                  <c:v>0</c:v>
                </c:pt>
                <c:pt idx="145">
                  <c:v>0</c:v>
                </c:pt>
                <c:pt idx="146">
                  <c:v>0</c:v>
                </c:pt>
                <c:pt idx="147">
                  <c:v>0</c:v>
                </c:pt>
                <c:pt idx="148">
                  <c:v>-1506004</c:v>
                </c:pt>
                <c:pt idx="149">
                  <c:v>-753002</c:v>
                </c:pt>
                <c:pt idx="150">
                  <c:v>0</c:v>
                </c:pt>
                <c:pt idx="151">
                  <c:v>0</c:v>
                </c:pt>
                <c:pt idx="152">
                  <c:v>0</c:v>
                </c:pt>
                <c:pt idx="153">
                  <c:v>0</c:v>
                </c:pt>
                <c:pt idx="154">
                  <c:v>0</c:v>
                </c:pt>
                <c:pt idx="155">
                  <c:v>-3501188</c:v>
                </c:pt>
                <c:pt idx="156">
                  <c:v>-1750594</c:v>
                </c:pt>
                <c:pt idx="157">
                  <c:v>0</c:v>
                </c:pt>
                <c:pt idx="158">
                  <c:v>0</c:v>
                </c:pt>
                <c:pt idx="159">
                  <c:v>0</c:v>
                </c:pt>
                <c:pt idx="160">
                  <c:v>0</c:v>
                </c:pt>
                <c:pt idx="161">
                  <c:v>0</c:v>
                </c:pt>
                <c:pt idx="162">
                  <c:v>-1752418</c:v>
                </c:pt>
                <c:pt idx="163">
                  <c:v>-876209</c:v>
                </c:pt>
                <c:pt idx="164">
                  <c:v>0</c:v>
                </c:pt>
                <c:pt idx="165">
                  <c:v>0</c:v>
                </c:pt>
                <c:pt idx="166">
                  <c:v>0</c:v>
                </c:pt>
                <c:pt idx="167">
                  <c:v>0</c:v>
                </c:pt>
                <c:pt idx="168">
                  <c:v>0</c:v>
                </c:pt>
                <c:pt idx="169">
                  <c:v>-1977490</c:v>
                </c:pt>
                <c:pt idx="170">
                  <c:v>-988745</c:v>
                </c:pt>
                <c:pt idx="171">
                  <c:v>0</c:v>
                </c:pt>
                <c:pt idx="172">
                  <c:v>0</c:v>
                </c:pt>
                <c:pt idx="173">
                  <c:v>0</c:v>
                </c:pt>
                <c:pt idx="174">
                  <c:v>0</c:v>
                </c:pt>
                <c:pt idx="175">
                  <c:v>0</c:v>
                </c:pt>
                <c:pt idx="176">
                  <c:v>-1961566</c:v>
                </c:pt>
                <c:pt idx="177">
                  <c:v>-980783</c:v>
                </c:pt>
                <c:pt idx="178">
                  <c:v>0</c:v>
                </c:pt>
                <c:pt idx="179">
                  <c:v>0</c:v>
                </c:pt>
                <c:pt idx="180">
                  <c:v>0</c:v>
                </c:pt>
                <c:pt idx="181">
                  <c:v>0</c:v>
                </c:pt>
                <c:pt idx="182">
                  <c:v>0</c:v>
                </c:pt>
                <c:pt idx="183">
                  <c:v>-3233928</c:v>
                </c:pt>
                <c:pt idx="184">
                  <c:v>-1616964</c:v>
                </c:pt>
                <c:pt idx="185">
                  <c:v>0</c:v>
                </c:pt>
                <c:pt idx="186">
                  <c:v>0</c:v>
                </c:pt>
                <c:pt idx="187">
                  <c:v>0</c:v>
                </c:pt>
                <c:pt idx="188">
                  <c:v>0</c:v>
                </c:pt>
                <c:pt idx="189">
                  <c:v>0</c:v>
                </c:pt>
                <c:pt idx="190">
                  <c:v>-4207184</c:v>
                </c:pt>
                <c:pt idx="191">
                  <c:v>-2103592</c:v>
                </c:pt>
                <c:pt idx="192">
                  <c:v>0</c:v>
                </c:pt>
                <c:pt idx="193">
                  <c:v>0</c:v>
                </c:pt>
                <c:pt idx="194">
                  <c:v>0</c:v>
                </c:pt>
                <c:pt idx="195">
                  <c:v>0</c:v>
                </c:pt>
                <c:pt idx="196">
                  <c:v>0</c:v>
                </c:pt>
                <c:pt idx="197">
                  <c:v>-3737934</c:v>
                </c:pt>
                <c:pt idx="198">
                  <c:v>-1868967</c:v>
                </c:pt>
                <c:pt idx="199">
                  <c:v>0</c:v>
                </c:pt>
                <c:pt idx="200">
                  <c:v>0</c:v>
                </c:pt>
                <c:pt idx="201">
                  <c:v>0</c:v>
                </c:pt>
                <c:pt idx="202">
                  <c:v>0</c:v>
                </c:pt>
                <c:pt idx="203">
                  <c:v>-5008734</c:v>
                </c:pt>
                <c:pt idx="204">
                  <c:v>-3339156</c:v>
                </c:pt>
                <c:pt idx="205">
                  <c:v>-1669578</c:v>
                </c:pt>
                <c:pt idx="206">
                  <c:v>0</c:v>
                </c:pt>
                <c:pt idx="207">
                  <c:v>0</c:v>
                </c:pt>
                <c:pt idx="208">
                  <c:v>0</c:v>
                </c:pt>
                <c:pt idx="209">
                  <c:v>0</c:v>
                </c:pt>
                <c:pt idx="210">
                  <c:v>0</c:v>
                </c:pt>
                <c:pt idx="211">
                  <c:v>-6324846</c:v>
                </c:pt>
                <c:pt idx="212">
                  <c:v>-3162423</c:v>
                </c:pt>
                <c:pt idx="213">
                  <c:v>0</c:v>
                </c:pt>
                <c:pt idx="214">
                  <c:v>0</c:v>
                </c:pt>
                <c:pt idx="215">
                  <c:v>0</c:v>
                </c:pt>
                <c:pt idx="216">
                  <c:v>0</c:v>
                </c:pt>
                <c:pt idx="217">
                  <c:v>0</c:v>
                </c:pt>
                <c:pt idx="218">
                  <c:v>-3310446</c:v>
                </c:pt>
                <c:pt idx="219">
                  <c:v>-1655223</c:v>
                </c:pt>
                <c:pt idx="220">
                  <c:v>0</c:v>
                </c:pt>
                <c:pt idx="221">
                  <c:v>0</c:v>
                </c:pt>
                <c:pt idx="222">
                  <c:v>0</c:v>
                </c:pt>
                <c:pt idx="223">
                  <c:v>0</c:v>
                </c:pt>
                <c:pt idx="224">
                  <c:v>0</c:v>
                </c:pt>
                <c:pt idx="225">
                  <c:v>-2894382</c:v>
                </c:pt>
                <c:pt idx="226">
                  <c:v>-1447191</c:v>
                </c:pt>
                <c:pt idx="227">
                  <c:v>0</c:v>
                </c:pt>
                <c:pt idx="228">
                  <c:v>0</c:v>
                </c:pt>
                <c:pt idx="229">
                  <c:v>0</c:v>
                </c:pt>
                <c:pt idx="230">
                  <c:v>0</c:v>
                </c:pt>
                <c:pt idx="231">
                  <c:v>-7437399</c:v>
                </c:pt>
                <c:pt idx="232">
                  <c:v>-4958266</c:v>
                </c:pt>
                <c:pt idx="233">
                  <c:v>-2479133</c:v>
                </c:pt>
                <c:pt idx="234">
                  <c:v>0</c:v>
                </c:pt>
                <c:pt idx="235">
                  <c:v>0</c:v>
                </c:pt>
                <c:pt idx="236">
                  <c:v>0</c:v>
                </c:pt>
                <c:pt idx="237">
                  <c:v>0</c:v>
                </c:pt>
                <c:pt idx="238">
                  <c:v>0</c:v>
                </c:pt>
                <c:pt idx="239">
                  <c:v>-9918662</c:v>
                </c:pt>
                <c:pt idx="240">
                  <c:v>-4959331</c:v>
                </c:pt>
                <c:pt idx="241">
                  <c:v>0</c:v>
                </c:pt>
                <c:pt idx="242">
                  <c:v>-3145878</c:v>
                </c:pt>
                <c:pt idx="243">
                  <c:v>0</c:v>
                </c:pt>
                <c:pt idx="244">
                  <c:v>0</c:v>
                </c:pt>
                <c:pt idx="245">
                  <c:v>0</c:v>
                </c:pt>
                <c:pt idx="246">
                  <c:v>-2931108</c:v>
                </c:pt>
                <c:pt idx="247">
                  <c:v>-1465554</c:v>
                </c:pt>
                <c:pt idx="248">
                  <c:v>0</c:v>
                </c:pt>
                <c:pt idx="249">
                  <c:v>0</c:v>
                </c:pt>
                <c:pt idx="250">
                  <c:v>-297809</c:v>
                </c:pt>
                <c:pt idx="251">
                  <c:v>0</c:v>
                </c:pt>
                <c:pt idx="252">
                  <c:v>0</c:v>
                </c:pt>
                <c:pt idx="253">
                  <c:v>-1134202</c:v>
                </c:pt>
                <c:pt idx="254">
                  <c:v>-567101</c:v>
                </c:pt>
                <c:pt idx="255">
                  <c:v>0</c:v>
                </c:pt>
                <c:pt idx="256">
                  <c:v>0</c:v>
                </c:pt>
                <c:pt idx="257">
                  <c:v>-259671</c:v>
                </c:pt>
                <c:pt idx="258">
                  <c:v>0</c:v>
                </c:pt>
                <c:pt idx="259">
                  <c:v>0</c:v>
                </c:pt>
                <c:pt idx="260">
                  <c:v>-1140486</c:v>
                </c:pt>
                <c:pt idx="261">
                  <c:v>-570243</c:v>
                </c:pt>
                <c:pt idx="262">
                  <c:v>0</c:v>
                </c:pt>
                <c:pt idx="263">
                  <c:v>0</c:v>
                </c:pt>
                <c:pt idx="264">
                  <c:v>0</c:v>
                </c:pt>
                <c:pt idx="265">
                  <c:v>0</c:v>
                </c:pt>
                <c:pt idx="266">
                  <c:v>0</c:v>
                </c:pt>
                <c:pt idx="267">
                  <c:v>-1250960</c:v>
                </c:pt>
                <c:pt idx="268">
                  <c:v>-625480</c:v>
                </c:pt>
                <c:pt idx="269">
                  <c:v>0</c:v>
                </c:pt>
                <c:pt idx="270">
                  <c:v>0</c:v>
                </c:pt>
                <c:pt idx="271">
                  <c:v>0</c:v>
                </c:pt>
                <c:pt idx="272">
                  <c:v>0</c:v>
                </c:pt>
                <c:pt idx="273">
                  <c:v>0</c:v>
                </c:pt>
                <c:pt idx="274">
                  <c:v>-1049214</c:v>
                </c:pt>
                <c:pt idx="275">
                  <c:v>-524607</c:v>
                </c:pt>
                <c:pt idx="276">
                  <c:v>0</c:v>
                </c:pt>
                <c:pt idx="277">
                  <c:v>0</c:v>
                </c:pt>
                <c:pt idx="278">
                  <c:v>0</c:v>
                </c:pt>
                <c:pt idx="279">
                  <c:v>0</c:v>
                </c:pt>
                <c:pt idx="280">
                  <c:v>0</c:v>
                </c:pt>
                <c:pt idx="281">
                  <c:v>-980024</c:v>
                </c:pt>
                <c:pt idx="282">
                  <c:v>-490012</c:v>
                </c:pt>
                <c:pt idx="283">
                  <c:v>0</c:v>
                </c:pt>
                <c:pt idx="284">
                  <c:v>-495954</c:v>
                </c:pt>
                <c:pt idx="285">
                  <c:v>0</c:v>
                </c:pt>
                <c:pt idx="286">
                  <c:v>0</c:v>
                </c:pt>
                <c:pt idx="287">
                  <c:v>0</c:v>
                </c:pt>
                <c:pt idx="288">
                  <c:v>-942176</c:v>
                </c:pt>
                <c:pt idx="289">
                  <c:v>-471088</c:v>
                </c:pt>
                <c:pt idx="290">
                  <c:v>0</c:v>
                </c:pt>
                <c:pt idx="291">
                  <c:v>0</c:v>
                </c:pt>
                <c:pt idx="292">
                  <c:v>0</c:v>
                </c:pt>
                <c:pt idx="293">
                  <c:v>0</c:v>
                </c:pt>
                <c:pt idx="294">
                  <c:v>0</c:v>
                </c:pt>
                <c:pt idx="295">
                  <c:v>-822496</c:v>
                </c:pt>
                <c:pt idx="296">
                  <c:v>-411248</c:v>
                </c:pt>
                <c:pt idx="297">
                  <c:v>0</c:v>
                </c:pt>
                <c:pt idx="298">
                  <c:v>0</c:v>
                </c:pt>
                <c:pt idx="299">
                  <c:v>0</c:v>
                </c:pt>
                <c:pt idx="300">
                  <c:v>0</c:v>
                </c:pt>
                <c:pt idx="301">
                  <c:v>0</c:v>
                </c:pt>
                <c:pt idx="302">
                  <c:v>-1417220</c:v>
                </c:pt>
                <c:pt idx="303">
                  <c:v>-708610</c:v>
                </c:pt>
                <c:pt idx="304">
                  <c:v>0</c:v>
                </c:pt>
                <c:pt idx="305">
                  <c:v>0</c:v>
                </c:pt>
                <c:pt idx="306">
                  <c:v>0</c:v>
                </c:pt>
                <c:pt idx="307">
                  <c:v>0</c:v>
                </c:pt>
                <c:pt idx="308">
                  <c:v>0</c:v>
                </c:pt>
                <c:pt idx="309">
                  <c:v>-491964</c:v>
                </c:pt>
                <c:pt idx="310">
                  <c:v>-245982</c:v>
                </c:pt>
                <c:pt idx="311">
                  <c:v>0</c:v>
                </c:pt>
                <c:pt idx="312">
                  <c:v>0</c:v>
                </c:pt>
                <c:pt idx="313">
                  <c:v>0</c:v>
                </c:pt>
                <c:pt idx="314">
                  <c:v>0</c:v>
                </c:pt>
                <c:pt idx="315">
                  <c:v>0</c:v>
                </c:pt>
                <c:pt idx="316">
                  <c:v>-432314</c:v>
                </c:pt>
                <c:pt idx="317">
                  <c:v>-216157</c:v>
                </c:pt>
                <c:pt idx="318">
                  <c:v>0</c:v>
                </c:pt>
                <c:pt idx="319">
                  <c:v>0</c:v>
                </c:pt>
                <c:pt idx="320">
                  <c:v>0</c:v>
                </c:pt>
                <c:pt idx="321">
                  <c:v>0</c:v>
                </c:pt>
                <c:pt idx="322">
                  <c:v>0</c:v>
                </c:pt>
                <c:pt idx="323">
                  <c:v>-1335208</c:v>
                </c:pt>
                <c:pt idx="324">
                  <c:v>-667604</c:v>
                </c:pt>
                <c:pt idx="325">
                  <c:v>0</c:v>
                </c:pt>
                <c:pt idx="326">
                  <c:v>0</c:v>
                </c:pt>
                <c:pt idx="327">
                  <c:v>0</c:v>
                </c:pt>
                <c:pt idx="328">
                  <c:v>0</c:v>
                </c:pt>
                <c:pt idx="329">
                  <c:v>0</c:v>
                </c:pt>
                <c:pt idx="330">
                  <c:v>-362024</c:v>
                </c:pt>
                <c:pt idx="331">
                  <c:v>-181012</c:v>
                </c:pt>
                <c:pt idx="332">
                  <c:v>0</c:v>
                </c:pt>
                <c:pt idx="333">
                  <c:v>0</c:v>
                </c:pt>
                <c:pt idx="334">
                  <c:v>0</c:v>
                </c:pt>
                <c:pt idx="335">
                  <c:v>0</c:v>
                </c:pt>
                <c:pt idx="336">
                  <c:v>0</c:v>
                </c:pt>
                <c:pt idx="337">
                  <c:v>-291828</c:v>
                </c:pt>
                <c:pt idx="338">
                  <c:v>-145914</c:v>
                </c:pt>
                <c:pt idx="339">
                  <c:v>0</c:v>
                </c:pt>
                <c:pt idx="340">
                  <c:v>0</c:v>
                </c:pt>
                <c:pt idx="341">
                  <c:v>0</c:v>
                </c:pt>
                <c:pt idx="342">
                  <c:v>0</c:v>
                </c:pt>
                <c:pt idx="343">
                  <c:v>0</c:v>
                </c:pt>
                <c:pt idx="344">
                  <c:v>-638116</c:v>
                </c:pt>
                <c:pt idx="345">
                  <c:v>-319058</c:v>
                </c:pt>
                <c:pt idx="346">
                  <c:v>0</c:v>
                </c:pt>
                <c:pt idx="347">
                  <c:v>0</c:v>
                </c:pt>
                <c:pt idx="348">
                  <c:v>0</c:v>
                </c:pt>
                <c:pt idx="349">
                  <c:v>0</c:v>
                </c:pt>
                <c:pt idx="350">
                  <c:v>0</c:v>
                </c:pt>
                <c:pt idx="351">
                  <c:v>-364658</c:v>
                </c:pt>
                <c:pt idx="352">
                  <c:v>-182329</c:v>
                </c:pt>
                <c:pt idx="353">
                  <c:v>0</c:v>
                </c:pt>
                <c:pt idx="354">
                  <c:v>0</c:v>
                </c:pt>
                <c:pt idx="355">
                  <c:v>0</c:v>
                </c:pt>
                <c:pt idx="356">
                  <c:v>0</c:v>
                </c:pt>
                <c:pt idx="357">
                  <c:v>0</c:v>
                </c:pt>
                <c:pt idx="358">
                  <c:v>-213812</c:v>
                </c:pt>
                <c:pt idx="359">
                  <c:v>-106906</c:v>
                </c:pt>
                <c:pt idx="360">
                  <c:v>0</c:v>
                </c:pt>
                <c:pt idx="361">
                  <c:v>0</c:v>
                </c:pt>
                <c:pt idx="362">
                  <c:v>0</c:v>
                </c:pt>
                <c:pt idx="363">
                  <c:v>0</c:v>
                </c:pt>
                <c:pt idx="364">
                  <c:v>0</c:v>
                </c:pt>
                <c:pt idx="365">
                  <c:v>-403234</c:v>
                </c:pt>
                <c:pt idx="366">
                  <c:v>-201617</c:v>
                </c:pt>
                <c:pt idx="367">
                  <c:v>0</c:v>
                </c:pt>
                <c:pt idx="368">
                  <c:v>0</c:v>
                </c:pt>
                <c:pt idx="369">
                  <c:v>0</c:v>
                </c:pt>
                <c:pt idx="370">
                  <c:v>0</c:v>
                </c:pt>
                <c:pt idx="371">
                  <c:v>-364554</c:v>
                </c:pt>
                <c:pt idx="372">
                  <c:v>-243036</c:v>
                </c:pt>
                <c:pt idx="373">
                  <c:v>-121518</c:v>
                </c:pt>
                <c:pt idx="374">
                  <c:v>0</c:v>
                </c:pt>
                <c:pt idx="375">
                  <c:v>0</c:v>
                </c:pt>
                <c:pt idx="376">
                  <c:v>0</c:v>
                </c:pt>
                <c:pt idx="377">
                  <c:v>0</c:v>
                </c:pt>
                <c:pt idx="378">
                  <c:v>0</c:v>
                </c:pt>
                <c:pt idx="379">
                  <c:v>-291828</c:v>
                </c:pt>
                <c:pt idx="380">
                  <c:v>-145914</c:v>
                </c:pt>
                <c:pt idx="381">
                  <c:v>0</c:v>
                </c:pt>
                <c:pt idx="382">
                  <c:v>0</c:v>
                </c:pt>
                <c:pt idx="383">
                  <c:v>0</c:v>
                </c:pt>
                <c:pt idx="384">
                  <c:v>0</c:v>
                </c:pt>
                <c:pt idx="385">
                  <c:v>0</c:v>
                </c:pt>
                <c:pt idx="386">
                  <c:v>-391398</c:v>
                </c:pt>
                <c:pt idx="387">
                  <c:v>-195699</c:v>
                </c:pt>
                <c:pt idx="388">
                  <c:v>0</c:v>
                </c:pt>
                <c:pt idx="389">
                  <c:v>0</c:v>
                </c:pt>
                <c:pt idx="390">
                  <c:v>0</c:v>
                </c:pt>
                <c:pt idx="391">
                  <c:v>0</c:v>
                </c:pt>
                <c:pt idx="392">
                  <c:v>0</c:v>
                </c:pt>
                <c:pt idx="393">
                  <c:v>-1868222</c:v>
                </c:pt>
                <c:pt idx="394">
                  <c:v>-934111</c:v>
                </c:pt>
                <c:pt idx="395">
                  <c:v>0</c:v>
                </c:pt>
                <c:pt idx="396">
                  <c:v>0</c:v>
                </c:pt>
                <c:pt idx="397">
                  <c:v>0</c:v>
                </c:pt>
                <c:pt idx="398">
                  <c:v>0</c:v>
                </c:pt>
                <c:pt idx="399">
                  <c:v>0</c:v>
                </c:pt>
                <c:pt idx="400">
                  <c:v>-241484</c:v>
                </c:pt>
                <c:pt idx="401">
                  <c:v>-120742</c:v>
                </c:pt>
                <c:pt idx="402">
                  <c:v>0</c:v>
                </c:pt>
                <c:pt idx="403">
                  <c:v>0</c:v>
                </c:pt>
                <c:pt idx="404">
                  <c:v>0</c:v>
                </c:pt>
                <c:pt idx="405">
                  <c:v>0</c:v>
                </c:pt>
                <c:pt idx="406">
                  <c:v>0</c:v>
                </c:pt>
                <c:pt idx="407">
                  <c:v>-281636</c:v>
                </c:pt>
                <c:pt idx="408">
                  <c:v>-140818</c:v>
                </c:pt>
                <c:pt idx="409">
                  <c:v>0</c:v>
                </c:pt>
                <c:pt idx="410">
                  <c:v>0</c:v>
                </c:pt>
                <c:pt idx="411">
                  <c:v>0</c:v>
                </c:pt>
                <c:pt idx="412">
                  <c:v>0</c:v>
                </c:pt>
                <c:pt idx="413">
                  <c:v>0</c:v>
                </c:pt>
                <c:pt idx="414">
                  <c:v>-453350</c:v>
                </c:pt>
                <c:pt idx="415">
                  <c:v>-226675</c:v>
                </c:pt>
                <c:pt idx="416">
                  <c:v>0</c:v>
                </c:pt>
                <c:pt idx="417">
                  <c:v>0</c:v>
                </c:pt>
                <c:pt idx="418">
                  <c:v>0</c:v>
                </c:pt>
                <c:pt idx="419">
                  <c:v>0</c:v>
                </c:pt>
                <c:pt idx="420">
                  <c:v>0</c:v>
                </c:pt>
                <c:pt idx="421">
                  <c:v>-218390</c:v>
                </c:pt>
                <c:pt idx="422">
                  <c:v>-109195</c:v>
                </c:pt>
                <c:pt idx="423">
                  <c:v>0</c:v>
                </c:pt>
                <c:pt idx="424">
                  <c:v>0</c:v>
                </c:pt>
                <c:pt idx="425">
                  <c:v>0</c:v>
                </c:pt>
                <c:pt idx="426">
                  <c:v>0</c:v>
                </c:pt>
                <c:pt idx="427">
                  <c:v>0</c:v>
                </c:pt>
                <c:pt idx="428">
                  <c:v>-508268</c:v>
                </c:pt>
                <c:pt idx="429">
                  <c:v>-254134</c:v>
                </c:pt>
                <c:pt idx="430">
                  <c:v>0</c:v>
                </c:pt>
                <c:pt idx="431">
                  <c:v>-81507</c:v>
                </c:pt>
                <c:pt idx="432">
                  <c:v>0</c:v>
                </c:pt>
                <c:pt idx="433">
                  <c:v>0</c:v>
                </c:pt>
                <c:pt idx="434">
                  <c:v>0</c:v>
                </c:pt>
                <c:pt idx="435">
                  <c:v>-2639700</c:v>
                </c:pt>
                <c:pt idx="436">
                  <c:v>-1319850</c:v>
                </c:pt>
                <c:pt idx="437">
                  <c:v>0</c:v>
                </c:pt>
                <c:pt idx="438">
                  <c:v>0</c:v>
                </c:pt>
                <c:pt idx="439">
                  <c:v>0</c:v>
                </c:pt>
                <c:pt idx="440">
                  <c:v>0</c:v>
                </c:pt>
                <c:pt idx="441">
                  <c:v>0</c:v>
                </c:pt>
                <c:pt idx="442">
                  <c:v>-509600</c:v>
                </c:pt>
                <c:pt idx="443">
                  <c:v>-254800</c:v>
                </c:pt>
                <c:pt idx="444">
                  <c:v>0</c:v>
                </c:pt>
                <c:pt idx="445">
                  <c:v>0</c:v>
                </c:pt>
                <c:pt idx="446">
                  <c:v>-126422</c:v>
                </c:pt>
                <c:pt idx="447">
                  <c:v>0</c:v>
                </c:pt>
                <c:pt idx="448">
                  <c:v>0</c:v>
                </c:pt>
                <c:pt idx="449">
                  <c:v>-192024</c:v>
                </c:pt>
                <c:pt idx="450">
                  <c:v>-96012</c:v>
                </c:pt>
                <c:pt idx="451">
                  <c:v>0</c:v>
                </c:pt>
                <c:pt idx="452">
                  <c:v>0</c:v>
                </c:pt>
                <c:pt idx="453">
                  <c:v>0</c:v>
                </c:pt>
                <c:pt idx="454">
                  <c:v>0</c:v>
                </c:pt>
                <c:pt idx="455">
                  <c:v>0</c:v>
                </c:pt>
                <c:pt idx="456">
                  <c:v>-366884</c:v>
                </c:pt>
                <c:pt idx="457">
                  <c:v>-183442</c:v>
                </c:pt>
                <c:pt idx="458">
                  <c:v>0</c:v>
                </c:pt>
                <c:pt idx="459">
                  <c:v>0</c:v>
                </c:pt>
                <c:pt idx="460">
                  <c:v>0</c:v>
                </c:pt>
                <c:pt idx="461">
                  <c:v>0</c:v>
                </c:pt>
                <c:pt idx="462">
                  <c:v>0</c:v>
                </c:pt>
                <c:pt idx="463">
                  <c:v>-383382</c:v>
                </c:pt>
                <c:pt idx="464">
                  <c:v>-191691</c:v>
                </c:pt>
                <c:pt idx="465">
                  <c:v>0</c:v>
                </c:pt>
                <c:pt idx="466">
                  <c:v>0</c:v>
                </c:pt>
                <c:pt idx="467">
                  <c:v>0</c:v>
                </c:pt>
                <c:pt idx="468">
                  <c:v>0</c:v>
                </c:pt>
                <c:pt idx="469">
                  <c:v>-613947</c:v>
                </c:pt>
                <c:pt idx="470">
                  <c:v>-409298</c:v>
                </c:pt>
                <c:pt idx="471">
                  <c:v>-204649</c:v>
                </c:pt>
                <c:pt idx="472">
                  <c:v>0</c:v>
                </c:pt>
                <c:pt idx="473">
                  <c:v>0</c:v>
                </c:pt>
                <c:pt idx="474">
                  <c:v>0</c:v>
                </c:pt>
                <c:pt idx="475">
                  <c:v>0</c:v>
                </c:pt>
                <c:pt idx="476">
                  <c:v>0</c:v>
                </c:pt>
                <c:pt idx="477">
                  <c:v>-180806</c:v>
                </c:pt>
                <c:pt idx="478">
                  <c:v>-90403</c:v>
                </c:pt>
                <c:pt idx="479">
                  <c:v>0</c:v>
                </c:pt>
                <c:pt idx="480">
                  <c:v>0</c:v>
                </c:pt>
                <c:pt idx="481">
                  <c:v>0</c:v>
                </c:pt>
                <c:pt idx="482">
                  <c:v>0</c:v>
                </c:pt>
                <c:pt idx="483">
                  <c:v>0</c:v>
                </c:pt>
                <c:pt idx="484">
                  <c:v>-458806</c:v>
                </c:pt>
                <c:pt idx="485">
                  <c:v>-229403</c:v>
                </c:pt>
                <c:pt idx="486">
                  <c:v>0</c:v>
                </c:pt>
                <c:pt idx="487">
                  <c:v>0</c:v>
                </c:pt>
                <c:pt idx="488">
                  <c:v>0</c:v>
                </c:pt>
                <c:pt idx="489">
                  <c:v>0</c:v>
                </c:pt>
                <c:pt idx="490">
                  <c:v>0</c:v>
                </c:pt>
                <c:pt idx="491">
                  <c:v>-97794</c:v>
                </c:pt>
                <c:pt idx="492">
                  <c:v>-48897</c:v>
                </c:pt>
                <c:pt idx="493">
                  <c:v>0</c:v>
                </c:pt>
                <c:pt idx="494">
                  <c:v>0</c:v>
                </c:pt>
                <c:pt idx="495">
                  <c:v>0</c:v>
                </c:pt>
                <c:pt idx="496">
                  <c:v>0</c:v>
                </c:pt>
                <c:pt idx="497">
                  <c:v>0</c:v>
                </c:pt>
                <c:pt idx="498">
                  <c:v>-425836</c:v>
                </c:pt>
                <c:pt idx="499">
                  <c:v>-212918</c:v>
                </c:pt>
                <c:pt idx="500">
                  <c:v>0</c:v>
                </c:pt>
                <c:pt idx="501">
                  <c:v>0</c:v>
                </c:pt>
                <c:pt idx="502">
                  <c:v>0</c:v>
                </c:pt>
                <c:pt idx="503">
                  <c:v>0</c:v>
                </c:pt>
                <c:pt idx="504">
                  <c:v>0</c:v>
                </c:pt>
                <c:pt idx="505">
                  <c:v>-490300</c:v>
                </c:pt>
                <c:pt idx="506">
                  <c:v>-245150</c:v>
                </c:pt>
                <c:pt idx="507">
                  <c:v>0</c:v>
                </c:pt>
                <c:pt idx="508">
                  <c:v>0</c:v>
                </c:pt>
                <c:pt idx="509">
                  <c:v>0</c:v>
                </c:pt>
                <c:pt idx="510">
                  <c:v>0</c:v>
                </c:pt>
                <c:pt idx="511">
                  <c:v>0</c:v>
                </c:pt>
                <c:pt idx="512">
                  <c:v>-477646</c:v>
                </c:pt>
                <c:pt idx="513">
                  <c:v>-238823</c:v>
                </c:pt>
                <c:pt idx="514">
                  <c:v>0</c:v>
                </c:pt>
                <c:pt idx="515">
                  <c:v>0</c:v>
                </c:pt>
                <c:pt idx="516">
                  <c:v>0</c:v>
                </c:pt>
                <c:pt idx="517">
                  <c:v>0</c:v>
                </c:pt>
                <c:pt idx="518">
                  <c:v>0</c:v>
                </c:pt>
                <c:pt idx="519">
                  <c:v>-290974</c:v>
                </c:pt>
                <c:pt idx="520">
                  <c:v>-145487</c:v>
                </c:pt>
                <c:pt idx="521">
                  <c:v>0</c:v>
                </c:pt>
                <c:pt idx="522">
                  <c:v>0</c:v>
                </c:pt>
                <c:pt idx="523">
                  <c:v>0</c:v>
                </c:pt>
                <c:pt idx="524">
                  <c:v>0</c:v>
                </c:pt>
                <c:pt idx="525">
                  <c:v>0</c:v>
                </c:pt>
                <c:pt idx="526">
                  <c:v>-416202</c:v>
                </c:pt>
                <c:pt idx="527">
                  <c:v>-277468</c:v>
                </c:pt>
                <c:pt idx="528">
                  <c:v>-138734</c:v>
                </c:pt>
                <c:pt idx="529">
                  <c:v>0</c:v>
                </c:pt>
                <c:pt idx="530">
                  <c:v>0</c:v>
                </c:pt>
                <c:pt idx="531">
                  <c:v>0</c:v>
                </c:pt>
                <c:pt idx="532">
                  <c:v>0</c:v>
                </c:pt>
                <c:pt idx="533">
                  <c:v>-369428</c:v>
                </c:pt>
                <c:pt idx="534">
                  <c:v>-184714</c:v>
                </c:pt>
                <c:pt idx="535">
                  <c:v>0</c:v>
                </c:pt>
                <c:pt idx="536">
                  <c:v>0</c:v>
                </c:pt>
                <c:pt idx="537">
                  <c:v>0</c:v>
                </c:pt>
                <c:pt idx="538">
                  <c:v>0</c:v>
                </c:pt>
                <c:pt idx="539">
                  <c:v>0</c:v>
                </c:pt>
                <c:pt idx="540">
                  <c:v>-500016</c:v>
                </c:pt>
                <c:pt idx="541">
                  <c:v>-250008</c:v>
                </c:pt>
                <c:pt idx="542">
                  <c:v>0</c:v>
                </c:pt>
                <c:pt idx="543">
                  <c:v>0</c:v>
                </c:pt>
                <c:pt idx="544">
                  <c:v>0</c:v>
                </c:pt>
                <c:pt idx="545">
                  <c:v>0</c:v>
                </c:pt>
                <c:pt idx="546">
                  <c:v>0</c:v>
                </c:pt>
                <c:pt idx="547">
                  <c:v>-3445888</c:v>
                </c:pt>
                <c:pt idx="548">
                  <c:v>-1722944</c:v>
                </c:pt>
                <c:pt idx="549">
                  <c:v>0</c:v>
                </c:pt>
                <c:pt idx="550">
                  <c:v>0</c:v>
                </c:pt>
                <c:pt idx="551">
                  <c:v>0</c:v>
                </c:pt>
                <c:pt idx="552">
                  <c:v>0</c:v>
                </c:pt>
                <c:pt idx="553">
                  <c:v>0</c:v>
                </c:pt>
                <c:pt idx="554">
                  <c:v>-310830</c:v>
                </c:pt>
                <c:pt idx="555">
                  <c:v>-155415</c:v>
                </c:pt>
                <c:pt idx="556">
                  <c:v>0</c:v>
                </c:pt>
                <c:pt idx="557">
                  <c:v>0</c:v>
                </c:pt>
                <c:pt idx="558">
                  <c:v>0</c:v>
                </c:pt>
                <c:pt idx="559">
                  <c:v>0</c:v>
                </c:pt>
                <c:pt idx="560">
                  <c:v>0</c:v>
                </c:pt>
                <c:pt idx="561">
                  <c:v>-343786</c:v>
                </c:pt>
                <c:pt idx="562">
                  <c:v>-171893</c:v>
                </c:pt>
                <c:pt idx="563">
                  <c:v>0</c:v>
                </c:pt>
                <c:pt idx="564">
                  <c:v>0</c:v>
                </c:pt>
                <c:pt idx="565">
                  <c:v>0</c:v>
                </c:pt>
                <c:pt idx="566">
                  <c:v>0</c:v>
                </c:pt>
                <c:pt idx="567">
                  <c:v>-698760</c:v>
                </c:pt>
                <c:pt idx="568">
                  <c:v>-465840</c:v>
                </c:pt>
                <c:pt idx="569">
                  <c:v>-232920</c:v>
                </c:pt>
                <c:pt idx="570">
                  <c:v>0</c:v>
                </c:pt>
                <c:pt idx="571">
                  <c:v>0</c:v>
                </c:pt>
                <c:pt idx="572">
                  <c:v>0</c:v>
                </c:pt>
                <c:pt idx="573">
                  <c:v>0</c:v>
                </c:pt>
                <c:pt idx="574">
                  <c:v>0</c:v>
                </c:pt>
                <c:pt idx="575">
                  <c:v>-438994</c:v>
                </c:pt>
                <c:pt idx="576">
                  <c:v>-219497</c:v>
                </c:pt>
                <c:pt idx="577">
                  <c:v>0</c:v>
                </c:pt>
                <c:pt idx="578">
                  <c:v>0</c:v>
                </c:pt>
                <c:pt idx="579">
                  <c:v>0</c:v>
                </c:pt>
                <c:pt idx="580">
                  <c:v>0</c:v>
                </c:pt>
                <c:pt idx="581">
                  <c:v>0</c:v>
                </c:pt>
                <c:pt idx="582">
                  <c:v>-367258</c:v>
                </c:pt>
                <c:pt idx="583">
                  <c:v>-183629</c:v>
                </c:pt>
                <c:pt idx="584">
                  <c:v>0</c:v>
                </c:pt>
                <c:pt idx="585">
                  <c:v>0</c:v>
                </c:pt>
                <c:pt idx="586">
                  <c:v>0</c:v>
                </c:pt>
                <c:pt idx="587">
                  <c:v>0</c:v>
                </c:pt>
                <c:pt idx="588">
                  <c:v>0</c:v>
                </c:pt>
                <c:pt idx="589">
                  <c:v>-241548</c:v>
                </c:pt>
                <c:pt idx="590">
                  <c:v>-120774</c:v>
                </c:pt>
                <c:pt idx="591">
                  <c:v>0</c:v>
                </c:pt>
                <c:pt idx="592">
                  <c:v>0</c:v>
                </c:pt>
                <c:pt idx="593">
                  <c:v>0</c:v>
                </c:pt>
                <c:pt idx="594">
                  <c:v>0</c:v>
                </c:pt>
                <c:pt idx="595">
                  <c:v>0</c:v>
                </c:pt>
                <c:pt idx="596">
                  <c:v>-1032654</c:v>
                </c:pt>
                <c:pt idx="597">
                  <c:v>-516327</c:v>
                </c:pt>
                <c:pt idx="598">
                  <c:v>0</c:v>
                </c:pt>
                <c:pt idx="599">
                  <c:v>0</c:v>
                </c:pt>
                <c:pt idx="600">
                  <c:v>0</c:v>
                </c:pt>
                <c:pt idx="601">
                  <c:v>0</c:v>
                </c:pt>
                <c:pt idx="602">
                  <c:v>-506787</c:v>
                </c:pt>
                <c:pt idx="603">
                  <c:v>-337858</c:v>
                </c:pt>
                <c:pt idx="604">
                  <c:v>-168929</c:v>
                </c:pt>
                <c:pt idx="605">
                  <c:v>0</c:v>
                </c:pt>
                <c:pt idx="606">
                  <c:v>0</c:v>
                </c:pt>
                <c:pt idx="607">
                  <c:v>0</c:v>
                </c:pt>
                <c:pt idx="608">
                  <c:v>0</c:v>
                </c:pt>
                <c:pt idx="609">
                  <c:v>0</c:v>
                </c:pt>
                <c:pt idx="610">
                  <c:v>-815446</c:v>
                </c:pt>
                <c:pt idx="611">
                  <c:v>-407723</c:v>
                </c:pt>
                <c:pt idx="612">
                  <c:v>0</c:v>
                </c:pt>
                <c:pt idx="613">
                  <c:v>0</c:v>
                </c:pt>
                <c:pt idx="614">
                  <c:v>0</c:v>
                </c:pt>
                <c:pt idx="615">
                  <c:v>0</c:v>
                </c:pt>
                <c:pt idx="616">
                  <c:v>-1347042</c:v>
                </c:pt>
                <c:pt idx="617">
                  <c:v>-898028</c:v>
                </c:pt>
                <c:pt idx="618">
                  <c:v>-449014</c:v>
                </c:pt>
                <c:pt idx="619">
                  <c:v>0</c:v>
                </c:pt>
                <c:pt idx="620">
                  <c:v>0</c:v>
                </c:pt>
                <c:pt idx="621">
                  <c:v>0</c:v>
                </c:pt>
                <c:pt idx="622">
                  <c:v>0</c:v>
                </c:pt>
                <c:pt idx="623">
                  <c:v>-1020117</c:v>
                </c:pt>
                <c:pt idx="624">
                  <c:v>-680078</c:v>
                </c:pt>
                <c:pt idx="625">
                  <c:v>-340039</c:v>
                </c:pt>
                <c:pt idx="626">
                  <c:v>0</c:v>
                </c:pt>
                <c:pt idx="627">
                  <c:v>0</c:v>
                </c:pt>
                <c:pt idx="628">
                  <c:v>0</c:v>
                </c:pt>
                <c:pt idx="629">
                  <c:v>0</c:v>
                </c:pt>
                <c:pt idx="630">
                  <c:v>0</c:v>
                </c:pt>
                <c:pt idx="631">
                  <c:v>-915452</c:v>
                </c:pt>
                <c:pt idx="632">
                  <c:v>-457726</c:v>
                </c:pt>
                <c:pt idx="633">
                  <c:v>0</c:v>
                </c:pt>
                <c:pt idx="634">
                  <c:v>0</c:v>
                </c:pt>
                <c:pt idx="635">
                  <c:v>0</c:v>
                </c:pt>
                <c:pt idx="636">
                  <c:v>0</c:v>
                </c:pt>
                <c:pt idx="637">
                  <c:v>0</c:v>
                </c:pt>
                <c:pt idx="638">
                  <c:v>-522290</c:v>
                </c:pt>
                <c:pt idx="639">
                  <c:v>-261145</c:v>
                </c:pt>
                <c:pt idx="640">
                  <c:v>0</c:v>
                </c:pt>
                <c:pt idx="641">
                  <c:v>0</c:v>
                </c:pt>
                <c:pt idx="642">
                  <c:v>0</c:v>
                </c:pt>
                <c:pt idx="643">
                  <c:v>0</c:v>
                </c:pt>
                <c:pt idx="644">
                  <c:v>0</c:v>
                </c:pt>
                <c:pt idx="645">
                  <c:v>-625574</c:v>
                </c:pt>
                <c:pt idx="646">
                  <c:v>-312787</c:v>
                </c:pt>
                <c:pt idx="647">
                  <c:v>0</c:v>
                </c:pt>
                <c:pt idx="648">
                  <c:v>0</c:v>
                </c:pt>
                <c:pt idx="649">
                  <c:v>0</c:v>
                </c:pt>
                <c:pt idx="650">
                  <c:v>0</c:v>
                </c:pt>
                <c:pt idx="651">
                  <c:v>0</c:v>
                </c:pt>
                <c:pt idx="652">
                  <c:v>-647154</c:v>
                </c:pt>
                <c:pt idx="653">
                  <c:v>-323577</c:v>
                </c:pt>
                <c:pt idx="654">
                  <c:v>0</c:v>
                </c:pt>
                <c:pt idx="655">
                  <c:v>-574551</c:v>
                </c:pt>
                <c:pt idx="656">
                  <c:v>0</c:v>
                </c:pt>
                <c:pt idx="657">
                  <c:v>0</c:v>
                </c:pt>
                <c:pt idx="658">
                  <c:v>0</c:v>
                </c:pt>
                <c:pt idx="659">
                  <c:v>-736292</c:v>
                </c:pt>
                <c:pt idx="660">
                  <c:v>-368146</c:v>
                </c:pt>
                <c:pt idx="661">
                  <c:v>0</c:v>
                </c:pt>
                <c:pt idx="662">
                  <c:v>0</c:v>
                </c:pt>
                <c:pt idx="663">
                  <c:v>0</c:v>
                </c:pt>
                <c:pt idx="664">
                  <c:v>0</c:v>
                </c:pt>
                <c:pt idx="665">
                  <c:v>0</c:v>
                </c:pt>
                <c:pt idx="666">
                  <c:v>-305576</c:v>
                </c:pt>
                <c:pt idx="667">
                  <c:v>-152788</c:v>
                </c:pt>
                <c:pt idx="668">
                  <c:v>0</c:v>
                </c:pt>
                <c:pt idx="669">
                  <c:v>0</c:v>
                </c:pt>
                <c:pt idx="670">
                  <c:v>0</c:v>
                </c:pt>
                <c:pt idx="671">
                  <c:v>0</c:v>
                </c:pt>
                <c:pt idx="672">
                  <c:v>0</c:v>
                </c:pt>
                <c:pt idx="673">
                  <c:v>-214620</c:v>
                </c:pt>
                <c:pt idx="674">
                  <c:v>-107310</c:v>
                </c:pt>
                <c:pt idx="675">
                  <c:v>0</c:v>
                </c:pt>
                <c:pt idx="676">
                  <c:v>0</c:v>
                </c:pt>
                <c:pt idx="677">
                  <c:v>0</c:v>
                </c:pt>
                <c:pt idx="678">
                  <c:v>0</c:v>
                </c:pt>
                <c:pt idx="679">
                  <c:v>0</c:v>
                </c:pt>
                <c:pt idx="680">
                  <c:v>-85626</c:v>
                </c:pt>
                <c:pt idx="681">
                  <c:v>-42813</c:v>
                </c:pt>
                <c:pt idx="682">
                  <c:v>0</c:v>
                </c:pt>
                <c:pt idx="683">
                  <c:v>0</c:v>
                </c:pt>
                <c:pt idx="684">
                  <c:v>0</c:v>
                </c:pt>
                <c:pt idx="685">
                  <c:v>0</c:v>
                </c:pt>
                <c:pt idx="686">
                  <c:v>0</c:v>
                </c:pt>
                <c:pt idx="687">
                  <c:v>-116884</c:v>
                </c:pt>
                <c:pt idx="688">
                  <c:v>-58442</c:v>
                </c:pt>
                <c:pt idx="689">
                  <c:v>0</c:v>
                </c:pt>
                <c:pt idx="690">
                  <c:v>0</c:v>
                </c:pt>
                <c:pt idx="691">
                  <c:v>0</c:v>
                </c:pt>
                <c:pt idx="692">
                  <c:v>0</c:v>
                </c:pt>
                <c:pt idx="693">
                  <c:v>0</c:v>
                </c:pt>
                <c:pt idx="694">
                  <c:v>-244836</c:v>
                </c:pt>
                <c:pt idx="695">
                  <c:v>-122418</c:v>
                </c:pt>
                <c:pt idx="696">
                  <c:v>0</c:v>
                </c:pt>
                <c:pt idx="697">
                  <c:v>0</c:v>
                </c:pt>
                <c:pt idx="698">
                  <c:v>0</c:v>
                </c:pt>
                <c:pt idx="699">
                  <c:v>0</c:v>
                </c:pt>
                <c:pt idx="700">
                  <c:v>0</c:v>
                </c:pt>
                <c:pt idx="701">
                  <c:v>-135070</c:v>
                </c:pt>
                <c:pt idx="702">
                  <c:v>-67535</c:v>
                </c:pt>
                <c:pt idx="703">
                  <c:v>0</c:v>
                </c:pt>
                <c:pt idx="704">
                  <c:v>0</c:v>
                </c:pt>
                <c:pt idx="705">
                  <c:v>0</c:v>
                </c:pt>
                <c:pt idx="706">
                  <c:v>0</c:v>
                </c:pt>
                <c:pt idx="707">
                  <c:v>0</c:v>
                </c:pt>
                <c:pt idx="708">
                  <c:v>-71456</c:v>
                </c:pt>
                <c:pt idx="709">
                  <c:v>-35728</c:v>
                </c:pt>
                <c:pt idx="710">
                  <c:v>0</c:v>
                </c:pt>
                <c:pt idx="711">
                  <c:v>0</c:v>
                </c:pt>
                <c:pt idx="712">
                  <c:v>0</c:v>
                </c:pt>
                <c:pt idx="713">
                  <c:v>0</c:v>
                </c:pt>
                <c:pt idx="714">
                  <c:v>0</c:v>
                </c:pt>
                <c:pt idx="715">
                  <c:v>-239678</c:v>
                </c:pt>
                <c:pt idx="716">
                  <c:v>-119839</c:v>
                </c:pt>
                <c:pt idx="717">
                  <c:v>0</c:v>
                </c:pt>
                <c:pt idx="718">
                  <c:v>0</c:v>
                </c:pt>
                <c:pt idx="719">
                  <c:v>0</c:v>
                </c:pt>
                <c:pt idx="720">
                  <c:v>0</c:v>
                </c:pt>
                <c:pt idx="721">
                  <c:v>0</c:v>
                </c:pt>
                <c:pt idx="722">
                  <c:v>-601608</c:v>
                </c:pt>
                <c:pt idx="723">
                  <c:v>-300804</c:v>
                </c:pt>
                <c:pt idx="724">
                  <c:v>0</c:v>
                </c:pt>
                <c:pt idx="725">
                  <c:v>0</c:v>
                </c:pt>
                <c:pt idx="726">
                  <c:v>0</c:v>
                </c:pt>
                <c:pt idx="727">
                  <c:v>0</c:v>
                </c:pt>
                <c:pt idx="728">
                  <c:v>0</c:v>
                </c:pt>
                <c:pt idx="729">
                  <c:v>-173410</c:v>
                </c:pt>
                <c:pt idx="730">
                  <c:v>-86705</c:v>
                </c:pt>
                <c:pt idx="731">
                  <c:v>0</c:v>
                </c:pt>
                <c:pt idx="732">
                  <c:v>0</c:v>
                </c:pt>
                <c:pt idx="733">
                  <c:v>0</c:v>
                </c:pt>
                <c:pt idx="734">
                  <c:v>0</c:v>
                </c:pt>
                <c:pt idx="735">
                  <c:v>-128856</c:v>
                </c:pt>
                <c:pt idx="736">
                  <c:v>-85904</c:v>
                </c:pt>
                <c:pt idx="737">
                  <c:v>-42952</c:v>
                </c:pt>
                <c:pt idx="738">
                  <c:v>0</c:v>
                </c:pt>
                <c:pt idx="739">
                  <c:v>0</c:v>
                </c:pt>
                <c:pt idx="740">
                  <c:v>0</c:v>
                </c:pt>
                <c:pt idx="741">
                  <c:v>0</c:v>
                </c:pt>
                <c:pt idx="742">
                  <c:v>0</c:v>
                </c:pt>
                <c:pt idx="743">
                  <c:v>-169420</c:v>
                </c:pt>
                <c:pt idx="744">
                  <c:v>-84710</c:v>
                </c:pt>
                <c:pt idx="745">
                  <c:v>0</c:v>
                </c:pt>
                <c:pt idx="746">
                  <c:v>0</c:v>
                </c:pt>
                <c:pt idx="747">
                  <c:v>0</c:v>
                </c:pt>
                <c:pt idx="748">
                  <c:v>0</c:v>
                </c:pt>
                <c:pt idx="749">
                  <c:v>0</c:v>
                </c:pt>
                <c:pt idx="750">
                  <c:v>-104910</c:v>
                </c:pt>
                <c:pt idx="751">
                  <c:v>-52455</c:v>
                </c:pt>
                <c:pt idx="752">
                  <c:v>0</c:v>
                </c:pt>
                <c:pt idx="753">
                  <c:v>0</c:v>
                </c:pt>
                <c:pt idx="754">
                  <c:v>0</c:v>
                </c:pt>
                <c:pt idx="755">
                  <c:v>0</c:v>
                </c:pt>
                <c:pt idx="756">
                  <c:v>0</c:v>
                </c:pt>
                <c:pt idx="757">
                  <c:v>-276260</c:v>
                </c:pt>
                <c:pt idx="758">
                  <c:v>-138130</c:v>
                </c:pt>
                <c:pt idx="759">
                  <c:v>0</c:v>
                </c:pt>
                <c:pt idx="760">
                  <c:v>0</c:v>
                </c:pt>
                <c:pt idx="761">
                  <c:v>0</c:v>
                </c:pt>
                <c:pt idx="762">
                  <c:v>0</c:v>
                </c:pt>
                <c:pt idx="763">
                  <c:v>0</c:v>
                </c:pt>
                <c:pt idx="764">
                  <c:v>-151762</c:v>
                </c:pt>
                <c:pt idx="765">
                  <c:v>-75881</c:v>
                </c:pt>
                <c:pt idx="766">
                  <c:v>0</c:v>
                </c:pt>
                <c:pt idx="767">
                  <c:v>0</c:v>
                </c:pt>
                <c:pt idx="768">
                  <c:v>0</c:v>
                </c:pt>
                <c:pt idx="769">
                  <c:v>0</c:v>
                </c:pt>
                <c:pt idx="770">
                  <c:v>0</c:v>
                </c:pt>
                <c:pt idx="771">
                  <c:v>-109344</c:v>
                </c:pt>
                <c:pt idx="772">
                  <c:v>-54672</c:v>
                </c:pt>
                <c:pt idx="773">
                  <c:v>0</c:v>
                </c:pt>
                <c:pt idx="774">
                  <c:v>0</c:v>
                </c:pt>
                <c:pt idx="775">
                  <c:v>0</c:v>
                </c:pt>
                <c:pt idx="776">
                  <c:v>0</c:v>
                </c:pt>
                <c:pt idx="777">
                  <c:v>0</c:v>
                </c:pt>
                <c:pt idx="778">
                  <c:v>-40758</c:v>
                </c:pt>
                <c:pt idx="779">
                  <c:v>-20379</c:v>
                </c:pt>
                <c:pt idx="780">
                  <c:v>0</c:v>
                </c:pt>
                <c:pt idx="781">
                  <c:v>0</c:v>
                </c:pt>
                <c:pt idx="782">
                  <c:v>0</c:v>
                </c:pt>
                <c:pt idx="783">
                  <c:v>0</c:v>
                </c:pt>
                <c:pt idx="784">
                  <c:v>0</c:v>
                </c:pt>
                <c:pt idx="785">
                  <c:v>-59168</c:v>
                </c:pt>
                <c:pt idx="786">
                  <c:v>-29584</c:v>
                </c:pt>
                <c:pt idx="787">
                  <c:v>0</c:v>
                </c:pt>
                <c:pt idx="788">
                  <c:v>0</c:v>
                </c:pt>
                <c:pt idx="789">
                  <c:v>0</c:v>
                </c:pt>
                <c:pt idx="790">
                  <c:v>0</c:v>
                </c:pt>
                <c:pt idx="791">
                  <c:v>0</c:v>
                </c:pt>
                <c:pt idx="792">
                  <c:v>-48926</c:v>
                </c:pt>
                <c:pt idx="793">
                  <c:v>-24463</c:v>
                </c:pt>
                <c:pt idx="794">
                  <c:v>0</c:v>
                </c:pt>
                <c:pt idx="795">
                  <c:v>0</c:v>
                </c:pt>
                <c:pt idx="796">
                  <c:v>0</c:v>
                </c:pt>
                <c:pt idx="797">
                  <c:v>-21450</c:v>
                </c:pt>
                <c:pt idx="798">
                  <c:v>0</c:v>
                </c:pt>
                <c:pt idx="799">
                  <c:v>-95400</c:v>
                </c:pt>
                <c:pt idx="800">
                  <c:v>-47700</c:v>
                </c:pt>
                <c:pt idx="801">
                  <c:v>0</c:v>
                </c:pt>
                <c:pt idx="802">
                  <c:v>0</c:v>
                </c:pt>
                <c:pt idx="803">
                  <c:v>0</c:v>
                </c:pt>
                <c:pt idx="804">
                  <c:v>0</c:v>
                </c:pt>
                <c:pt idx="805">
                  <c:v>0</c:v>
                </c:pt>
                <c:pt idx="806">
                  <c:v>-488650</c:v>
                </c:pt>
                <c:pt idx="807">
                  <c:v>-244325</c:v>
                </c:pt>
                <c:pt idx="808">
                  <c:v>0</c:v>
                </c:pt>
                <c:pt idx="809">
                  <c:v>0</c:v>
                </c:pt>
                <c:pt idx="810">
                  <c:v>0</c:v>
                </c:pt>
                <c:pt idx="811">
                  <c:v>0</c:v>
                </c:pt>
                <c:pt idx="812">
                  <c:v>-147627</c:v>
                </c:pt>
                <c:pt idx="813">
                  <c:v>-98418</c:v>
                </c:pt>
                <c:pt idx="814">
                  <c:v>-49209</c:v>
                </c:pt>
                <c:pt idx="815">
                  <c:v>0</c:v>
                </c:pt>
                <c:pt idx="816">
                  <c:v>0</c:v>
                </c:pt>
                <c:pt idx="817">
                  <c:v>0</c:v>
                </c:pt>
                <c:pt idx="818">
                  <c:v>0</c:v>
                </c:pt>
                <c:pt idx="819">
                  <c:v>0</c:v>
                </c:pt>
                <c:pt idx="820">
                  <c:v>-182884</c:v>
                </c:pt>
                <c:pt idx="821">
                  <c:v>-91442</c:v>
                </c:pt>
                <c:pt idx="822">
                  <c:v>0</c:v>
                </c:pt>
                <c:pt idx="823">
                  <c:v>0</c:v>
                </c:pt>
                <c:pt idx="824">
                  <c:v>0</c:v>
                </c:pt>
                <c:pt idx="825">
                  <c:v>0</c:v>
                </c:pt>
                <c:pt idx="826">
                  <c:v>0</c:v>
                </c:pt>
                <c:pt idx="827">
                  <c:v>-96498</c:v>
                </c:pt>
                <c:pt idx="828">
                  <c:v>-48249</c:v>
                </c:pt>
                <c:pt idx="829">
                  <c:v>0</c:v>
                </c:pt>
                <c:pt idx="830">
                  <c:v>0</c:v>
                </c:pt>
                <c:pt idx="831">
                  <c:v>0</c:v>
                </c:pt>
                <c:pt idx="832">
                  <c:v>0</c:v>
                </c:pt>
                <c:pt idx="833">
                  <c:v>-39783</c:v>
                </c:pt>
                <c:pt idx="834">
                  <c:v>-26522</c:v>
                </c:pt>
                <c:pt idx="835">
                  <c:v>-13261</c:v>
                </c:pt>
                <c:pt idx="836">
                  <c:v>0</c:v>
                </c:pt>
                <c:pt idx="837">
                  <c:v>0</c:v>
                </c:pt>
                <c:pt idx="838">
                  <c:v>0</c:v>
                </c:pt>
                <c:pt idx="839">
                  <c:v>0</c:v>
                </c:pt>
                <c:pt idx="840">
                  <c:v>0</c:v>
                </c:pt>
                <c:pt idx="841">
                  <c:v>-70318</c:v>
                </c:pt>
                <c:pt idx="842">
                  <c:v>-35159</c:v>
                </c:pt>
                <c:pt idx="843">
                  <c:v>0</c:v>
                </c:pt>
                <c:pt idx="844">
                  <c:v>0</c:v>
                </c:pt>
                <c:pt idx="845">
                  <c:v>0</c:v>
                </c:pt>
                <c:pt idx="846">
                  <c:v>0</c:v>
                </c:pt>
                <c:pt idx="847">
                  <c:v>0</c:v>
                </c:pt>
                <c:pt idx="848">
                  <c:v>-545638</c:v>
                </c:pt>
                <c:pt idx="849">
                  <c:v>-272819</c:v>
                </c:pt>
                <c:pt idx="850">
                  <c:v>0</c:v>
                </c:pt>
                <c:pt idx="851">
                  <c:v>0</c:v>
                </c:pt>
                <c:pt idx="852">
                  <c:v>0</c:v>
                </c:pt>
                <c:pt idx="853">
                  <c:v>0</c:v>
                </c:pt>
                <c:pt idx="854">
                  <c:v>0</c:v>
                </c:pt>
                <c:pt idx="855">
                  <c:v>-112088</c:v>
                </c:pt>
                <c:pt idx="856">
                  <c:v>-56044</c:v>
                </c:pt>
                <c:pt idx="857">
                  <c:v>0</c:v>
                </c:pt>
                <c:pt idx="858">
                  <c:v>0</c:v>
                </c:pt>
                <c:pt idx="859">
                  <c:v>0</c:v>
                </c:pt>
                <c:pt idx="860">
                  <c:v>0</c:v>
                </c:pt>
                <c:pt idx="861">
                  <c:v>0</c:v>
                </c:pt>
                <c:pt idx="862">
                  <c:v>-43364</c:v>
                </c:pt>
                <c:pt idx="863">
                  <c:v>-21682</c:v>
                </c:pt>
                <c:pt idx="864">
                  <c:v>0</c:v>
                </c:pt>
                <c:pt idx="865">
                  <c:v>0</c:v>
                </c:pt>
                <c:pt idx="866">
                  <c:v>0</c:v>
                </c:pt>
                <c:pt idx="867">
                  <c:v>0</c:v>
                </c:pt>
                <c:pt idx="868">
                  <c:v>0</c:v>
                </c:pt>
                <c:pt idx="869">
                  <c:v>-135338</c:v>
                </c:pt>
                <c:pt idx="870">
                  <c:v>-67669</c:v>
                </c:pt>
                <c:pt idx="871">
                  <c:v>0</c:v>
                </c:pt>
                <c:pt idx="872">
                  <c:v>0</c:v>
                </c:pt>
                <c:pt idx="873">
                  <c:v>0</c:v>
                </c:pt>
                <c:pt idx="874">
                  <c:v>0</c:v>
                </c:pt>
                <c:pt idx="875">
                  <c:v>0</c:v>
                </c:pt>
                <c:pt idx="876">
                  <c:v>-161644</c:v>
                </c:pt>
                <c:pt idx="877">
                  <c:v>-80822</c:v>
                </c:pt>
                <c:pt idx="878">
                  <c:v>0</c:v>
                </c:pt>
                <c:pt idx="879">
                  <c:v>0</c:v>
                </c:pt>
                <c:pt idx="880">
                  <c:v>0</c:v>
                </c:pt>
                <c:pt idx="881">
                  <c:v>0</c:v>
                </c:pt>
                <c:pt idx="882">
                  <c:v>0</c:v>
                </c:pt>
                <c:pt idx="883">
                  <c:v>-29850</c:v>
                </c:pt>
                <c:pt idx="884">
                  <c:v>-19900</c:v>
                </c:pt>
                <c:pt idx="885">
                  <c:v>-9950</c:v>
                </c:pt>
                <c:pt idx="886">
                  <c:v>0</c:v>
                </c:pt>
                <c:pt idx="887">
                  <c:v>0</c:v>
                </c:pt>
                <c:pt idx="888">
                  <c:v>0</c:v>
                </c:pt>
                <c:pt idx="889">
                  <c:v>0</c:v>
                </c:pt>
                <c:pt idx="890">
                  <c:v>-48048</c:v>
                </c:pt>
                <c:pt idx="891">
                  <c:v>-24024</c:v>
                </c:pt>
                <c:pt idx="892">
                  <c:v>0</c:v>
                </c:pt>
                <c:pt idx="893">
                  <c:v>0</c:v>
                </c:pt>
                <c:pt idx="894">
                  <c:v>0</c:v>
                </c:pt>
                <c:pt idx="895">
                  <c:v>0</c:v>
                </c:pt>
                <c:pt idx="896">
                  <c:v>0</c:v>
                </c:pt>
                <c:pt idx="897">
                  <c:v>-189898</c:v>
                </c:pt>
                <c:pt idx="898">
                  <c:v>-94949</c:v>
                </c:pt>
                <c:pt idx="899">
                  <c:v>0</c:v>
                </c:pt>
                <c:pt idx="900">
                  <c:v>0</c:v>
                </c:pt>
                <c:pt idx="901">
                  <c:v>0</c:v>
                </c:pt>
                <c:pt idx="902">
                  <c:v>0</c:v>
                </c:pt>
                <c:pt idx="903">
                  <c:v>0</c:v>
                </c:pt>
                <c:pt idx="904">
                  <c:v>-451104</c:v>
                </c:pt>
                <c:pt idx="905">
                  <c:v>-225552</c:v>
                </c:pt>
                <c:pt idx="906">
                  <c:v>0</c:v>
                </c:pt>
                <c:pt idx="907">
                  <c:v>0</c:v>
                </c:pt>
                <c:pt idx="908">
                  <c:v>0</c:v>
                </c:pt>
                <c:pt idx="909">
                  <c:v>0</c:v>
                </c:pt>
                <c:pt idx="910">
                  <c:v>0</c:v>
                </c:pt>
                <c:pt idx="911">
                  <c:v>-214558</c:v>
                </c:pt>
                <c:pt idx="912">
                  <c:v>-107279</c:v>
                </c:pt>
                <c:pt idx="913">
                  <c:v>0</c:v>
                </c:pt>
                <c:pt idx="914">
                  <c:v>0</c:v>
                </c:pt>
                <c:pt idx="915">
                  <c:v>0</c:v>
                </c:pt>
                <c:pt idx="916">
                  <c:v>0</c:v>
                </c:pt>
                <c:pt idx="917">
                  <c:v>0</c:v>
                </c:pt>
                <c:pt idx="918">
                  <c:v>-75706</c:v>
                </c:pt>
                <c:pt idx="919">
                  <c:v>-37853</c:v>
                </c:pt>
                <c:pt idx="920">
                  <c:v>0</c:v>
                </c:pt>
                <c:pt idx="921">
                  <c:v>0</c:v>
                </c:pt>
                <c:pt idx="922">
                  <c:v>0</c:v>
                </c:pt>
                <c:pt idx="923">
                  <c:v>0</c:v>
                </c:pt>
                <c:pt idx="924">
                  <c:v>0</c:v>
                </c:pt>
                <c:pt idx="925">
                  <c:v>-94928</c:v>
                </c:pt>
                <c:pt idx="926">
                  <c:v>-47464</c:v>
                </c:pt>
                <c:pt idx="927">
                  <c:v>0</c:v>
                </c:pt>
                <c:pt idx="928">
                  <c:v>0</c:v>
                </c:pt>
                <c:pt idx="929">
                  <c:v>0</c:v>
                </c:pt>
                <c:pt idx="930">
                  <c:v>0</c:v>
                </c:pt>
                <c:pt idx="931">
                  <c:v>-159156</c:v>
                </c:pt>
                <c:pt idx="932">
                  <c:v>-106104</c:v>
                </c:pt>
                <c:pt idx="933">
                  <c:v>-53052</c:v>
                </c:pt>
                <c:pt idx="934">
                  <c:v>0</c:v>
                </c:pt>
                <c:pt idx="935">
                  <c:v>0</c:v>
                </c:pt>
                <c:pt idx="936">
                  <c:v>0</c:v>
                </c:pt>
                <c:pt idx="937">
                  <c:v>0</c:v>
                </c:pt>
                <c:pt idx="938">
                  <c:v>0</c:v>
                </c:pt>
                <c:pt idx="939">
                  <c:v>-86304</c:v>
                </c:pt>
                <c:pt idx="940">
                  <c:v>-43152</c:v>
                </c:pt>
                <c:pt idx="941">
                  <c:v>0</c:v>
                </c:pt>
                <c:pt idx="942">
                  <c:v>0</c:v>
                </c:pt>
                <c:pt idx="943">
                  <c:v>0</c:v>
                </c:pt>
                <c:pt idx="944">
                  <c:v>0</c:v>
                </c:pt>
                <c:pt idx="945">
                  <c:v>0</c:v>
                </c:pt>
                <c:pt idx="946">
                  <c:v>-107340</c:v>
                </c:pt>
                <c:pt idx="947">
                  <c:v>-53670</c:v>
                </c:pt>
                <c:pt idx="948">
                  <c:v>0</c:v>
                </c:pt>
                <c:pt idx="949">
                  <c:v>0</c:v>
                </c:pt>
                <c:pt idx="950">
                  <c:v>0</c:v>
                </c:pt>
                <c:pt idx="951">
                  <c:v>0</c:v>
                </c:pt>
                <c:pt idx="952">
                  <c:v>0</c:v>
                </c:pt>
                <c:pt idx="953">
                  <c:v>-80142</c:v>
                </c:pt>
                <c:pt idx="954">
                  <c:v>-40071</c:v>
                </c:pt>
                <c:pt idx="955">
                  <c:v>0</c:v>
                </c:pt>
                <c:pt idx="956">
                  <c:v>0</c:v>
                </c:pt>
                <c:pt idx="957">
                  <c:v>0</c:v>
                </c:pt>
                <c:pt idx="958">
                  <c:v>0</c:v>
                </c:pt>
                <c:pt idx="959">
                  <c:v>0</c:v>
                </c:pt>
                <c:pt idx="960">
                  <c:v>-81644</c:v>
                </c:pt>
                <c:pt idx="961">
                  <c:v>-40822</c:v>
                </c:pt>
                <c:pt idx="962">
                  <c:v>0</c:v>
                </c:pt>
                <c:pt idx="963">
                  <c:v>0</c:v>
                </c:pt>
                <c:pt idx="964">
                  <c:v>0</c:v>
                </c:pt>
                <c:pt idx="965">
                  <c:v>0</c:v>
                </c:pt>
                <c:pt idx="966">
                  <c:v>-90465</c:v>
                </c:pt>
                <c:pt idx="967">
                  <c:v>-60310</c:v>
                </c:pt>
                <c:pt idx="968">
                  <c:v>-30155</c:v>
                </c:pt>
                <c:pt idx="969">
                  <c:v>0</c:v>
                </c:pt>
                <c:pt idx="970">
                  <c:v>0</c:v>
                </c:pt>
                <c:pt idx="971">
                  <c:v>0</c:v>
                </c:pt>
                <c:pt idx="972">
                  <c:v>0</c:v>
                </c:pt>
                <c:pt idx="973">
                  <c:v>0</c:v>
                </c:pt>
                <c:pt idx="974">
                  <c:v>-172770</c:v>
                </c:pt>
                <c:pt idx="975">
                  <c:v>-86385</c:v>
                </c:pt>
                <c:pt idx="976">
                  <c:v>0</c:v>
                </c:pt>
                <c:pt idx="977">
                  <c:v>0</c:v>
                </c:pt>
                <c:pt idx="978">
                  <c:v>0</c:v>
                </c:pt>
                <c:pt idx="979">
                  <c:v>0</c:v>
                </c:pt>
                <c:pt idx="980">
                  <c:v>-338070</c:v>
                </c:pt>
                <c:pt idx="981">
                  <c:v>-225380</c:v>
                </c:pt>
                <c:pt idx="982">
                  <c:v>-112690</c:v>
                </c:pt>
                <c:pt idx="983">
                  <c:v>0</c:v>
                </c:pt>
                <c:pt idx="984">
                  <c:v>0</c:v>
                </c:pt>
                <c:pt idx="985">
                  <c:v>0</c:v>
                </c:pt>
                <c:pt idx="986">
                  <c:v>0</c:v>
                </c:pt>
                <c:pt idx="987">
                  <c:v>-173823</c:v>
                </c:pt>
                <c:pt idx="988">
                  <c:v>-115882</c:v>
                </c:pt>
                <c:pt idx="989">
                  <c:v>-57941</c:v>
                </c:pt>
                <c:pt idx="990">
                  <c:v>0</c:v>
                </c:pt>
                <c:pt idx="991">
                  <c:v>0</c:v>
                </c:pt>
                <c:pt idx="992">
                  <c:v>0</c:v>
                </c:pt>
                <c:pt idx="993">
                  <c:v>0</c:v>
                </c:pt>
                <c:pt idx="994">
                  <c:v>0</c:v>
                </c:pt>
                <c:pt idx="995">
                  <c:v>-247854</c:v>
                </c:pt>
                <c:pt idx="996">
                  <c:v>-123927</c:v>
                </c:pt>
                <c:pt idx="997">
                  <c:v>0</c:v>
                </c:pt>
                <c:pt idx="998">
                  <c:v>0</c:v>
                </c:pt>
                <c:pt idx="999">
                  <c:v>0</c:v>
                </c:pt>
                <c:pt idx="1000">
                  <c:v>0</c:v>
                </c:pt>
                <c:pt idx="1001">
                  <c:v>0</c:v>
                </c:pt>
                <c:pt idx="1002">
                  <c:v>-154760</c:v>
                </c:pt>
                <c:pt idx="1003">
                  <c:v>-77380</c:v>
                </c:pt>
                <c:pt idx="1004">
                  <c:v>0</c:v>
                </c:pt>
                <c:pt idx="1005">
                  <c:v>0</c:v>
                </c:pt>
                <c:pt idx="1006">
                  <c:v>0</c:v>
                </c:pt>
                <c:pt idx="1007">
                  <c:v>0</c:v>
                </c:pt>
                <c:pt idx="1008">
                  <c:v>0</c:v>
                </c:pt>
                <c:pt idx="1009">
                  <c:v>-185646</c:v>
                </c:pt>
                <c:pt idx="1010">
                  <c:v>-92823</c:v>
                </c:pt>
                <c:pt idx="1011">
                  <c:v>0</c:v>
                </c:pt>
                <c:pt idx="1012">
                  <c:v>0</c:v>
                </c:pt>
                <c:pt idx="1013">
                  <c:v>0</c:v>
                </c:pt>
                <c:pt idx="1014">
                  <c:v>0</c:v>
                </c:pt>
                <c:pt idx="1015">
                  <c:v>0</c:v>
                </c:pt>
                <c:pt idx="1016">
                  <c:v>-63298</c:v>
                </c:pt>
                <c:pt idx="1017">
                  <c:v>-31649</c:v>
                </c:pt>
                <c:pt idx="1018">
                  <c:v>0</c:v>
                </c:pt>
                <c:pt idx="1019">
                  <c:v>-74721</c:v>
                </c:pt>
                <c:pt idx="1020">
                  <c:v>0</c:v>
                </c:pt>
                <c:pt idx="1021">
                  <c:v>0</c:v>
                </c:pt>
                <c:pt idx="1022">
                  <c:v>0</c:v>
                </c:pt>
                <c:pt idx="1023">
                  <c:v>-155096</c:v>
                </c:pt>
                <c:pt idx="1024">
                  <c:v>-77548</c:v>
                </c:pt>
                <c:pt idx="1025">
                  <c:v>0</c:v>
                </c:pt>
                <c:pt idx="1026">
                  <c:v>0</c:v>
                </c:pt>
                <c:pt idx="1027">
                  <c:v>0</c:v>
                </c:pt>
                <c:pt idx="1028">
                  <c:v>0</c:v>
                </c:pt>
                <c:pt idx="1029">
                  <c:v>0</c:v>
                </c:pt>
                <c:pt idx="1030">
                  <c:v>-174036</c:v>
                </c:pt>
                <c:pt idx="1031">
                  <c:v>-87018</c:v>
                </c:pt>
                <c:pt idx="1032">
                  <c:v>0</c:v>
                </c:pt>
                <c:pt idx="1033">
                  <c:v>0</c:v>
                </c:pt>
                <c:pt idx="1034">
                  <c:v>0</c:v>
                </c:pt>
                <c:pt idx="1035">
                  <c:v>0</c:v>
                </c:pt>
                <c:pt idx="1036">
                  <c:v>0</c:v>
                </c:pt>
                <c:pt idx="1037">
                  <c:v>-65190</c:v>
                </c:pt>
                <c:pt idx="1038">
                  <c:v>-32595</c:v>
                </c:pt>
                <c:pt idx="1039">
                  <c:v>0</c:v>
                </c:pt>
                <c:pt idx="1040">
                  <c:v>0</c:v>
                </c:pt>
                <c:pt idx="1041">
                  <c:v>0</c:v>
                </c:pt>
                <c:pt idx="1042">
                  <c:v>0</c:v>
                </c:pt>
                <c:pt idx="1043">
                  <c:v>0</c:v>
                </c:pt>
                <c:pt idx="1044">
                  <c:v>-148182</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45908</c:v>
                </c:pt>
                <c:pt idx="1">
                  <c:v>45907</c:v>
                </c:pt>
                <c:pt idx="2">
                  <c:v>45906</c:v>
                </c:pt>
                <c:pt idx="3">
                  <c:v>45905</c:v>
                </c:pt>
                <c:pt idx="4">
                  <c:v>45904</c:v>
                </c:pt>
                <c:pt idx="5">
                  <c:v>45903</c:v>
                </c:pt>
                <c:pt idx="6">
                  <c:v>45902</c:v>
                </c:pt>
                <c:pt idx="7">
                  <c:v>45901</c:v>
                </c:pt>
                <c:pt idx="8">
                  <c:v>45900</c:v>
                </c:pt>
                <c:pt idx="9">
                  <c:v>45899</c:v>
                </c:pt>
                <c:pt idx="10">
                  <c:v>45898</c:v>
                </c:pt>
                <c:pt idx="11">
                  <c:v>45897</c:v>
                </c:pt>
                <c:pt idx="12">
                  <c:v>45896</c:v>
                </c:pt>
                <c:pt idx="13">
                  <c:v>45895</c:v>
                </c:pt>
                <c:pt idx="14">
                  <c:v>45894</c:v>
                </c:pt>
                <c:pt idx="15">
                  <c:v>45893</c:v>
                </c:pt>
                <c:pt idx="16">
                  <c:v>45892</c:v>
                </c:pt>
                <c:pt idx="17">
                  <c:v>45891</c:v>
                </c:pt>
                <c:pt idx="18">
                  <c:v>45890</c:v>
                </c:pt>
                <c:pt idx="19">
                  <c:v>45889</c:v>
                </c:pt>
                <c:pt idx="20">
                  <c:v>45888</c:v>
                </c:pt>
                <c:pt idx="21">
                  <c:v>45887</c:v>
                </c:pt>
                <c:pt idx="22">
                  <c:v>45886</c:v>
                </c:pt>
                <c:pt idx="23">
                  <c:v>45885</c:v>
                </c:pt>
                <c:pt idx="24">
                  <c:v>45884</c:v>
                </c:pt>
                <c:pt idx="25">
                  <c:v>45883</c:v>
                </c:pt>
                <c:pt idx="26">
                  <c:v>45882</c:v>
                </c:pt>
                <c:pt idx="27">
                  <c:v>45881</c:v>
                </c:pt>
                <c:pt idx="28">
                  <c:v>45880</c:v>
                </c:pt>
                <c:pt idx="29">
                  <c:v>45879</c:v>
                </c:pt>
                <c:pt idx="30">
                  <c:v>45878</c:v>
                </c:pt>
                <c:pt idx="31">
                  <c:v>45877</c:v>
                </c:pt>
                <c:pt idx="32">
                  <c:v>45876</c:v>
                </c:pt>
                <c:pt idx="33">
                  <c:v>45875</c:v>
                </c:pt>
                <c:pt idx="34">
                  <c:v>45874</c:v>
                </c:pt>
                <c:pt idx="35">
                  <c:v>45873</c:v>
                </c:pt>
                <c:pt idx="36">
                  <c:v>45872</c:v>
                </c:pt>
                <c:pt idx="37">
                  <c:v>45871</c:v>
                </c:pt>
                <c:pt idx="38">
                  <c:v>45870</c:v>
                </c:pt>
                <c:pt idx="39">
                  <c:v>45869</c:v>
                </c:pt>
                <c:pt idx="40">
                  <c:v>45868</c:v>
                </c:pt>
                <c:pt idx="41">
                  <c:v>45867</c:v>
                </c:pt>
                <c:pt idx="42">
                  <c:v>45866</c:v>
                </c:pt>
                <c:pt idx="43">
                  <c:v>45865</c:v>
                </c:pt>
                <c:pt idx="44">
                  <c:v>45864</c:v>
                </c:pt>
                <c:pt idx="45">
                  <c:v>45863</c:v>
                </c:pt>
                <c:pt idx="46">
                  <c:v>45862</c:v>
                </c:pt>
                <c:pt idx="47">
                  <c:v>45861</c:v>
                </c:pt>
                <c:pt idx="48">
                  <c:v>45860</c:v>
                </c:pt>
                <c:pt idx="49">
                  <c:v>45859</c:v>
                </c:pt>
                <c:pt idx="50">
                  <c:v>45858</c:v>
                </c:pt>
                <c:pt idx="51">
                  <c:v>45857</c:v>
                </c:pt>
                <c:pt idx="52">
                  <c:v>45856</c:v>
                </c:pt>
                <c:pt idx="53">
                  <c:v>45855</c:v>
                </c:pt>
                <c:pt idx="54">
                  <c:v>45854</c:v>
                </c:pt>
                <c:pt idx="55">
                  <c:v>45853</c:v>
                </c:pt>
                <c:pt idx="56">
                  <c:v>45852</c:v>
                </c:pt>
                <c:pt idx="57">
                  <c:v>45851</c:v>
                </c:pt>
                <c:pt idx="58">
                  <c:v>45850</c:v>
                </c:pt>
                <c:pt idx="59">
                  <c:v>45849</c:v>
                </c:pt>
                <c:pt idx="60">
                  <c:v>45848</c:v>
                </c:pt>
                <c:pt idx="61">
                  <c:v>45847</c:v>
                </c:pt>
                <c:pt idx="62">
                  <c:v>45846</c:v>
                </c:pt>
                <c:pt idx="63">
                  <c:v>45845</c:v>
                </c:pt>
                <c:pt idx="64">
                  <c:v>45844</c:v>
                </c:pt>
                <c:pt idx="65">
                  <c:v>45843</c:v>
                </c:pt>
                <c:pt idx="66">
                  <c:v>45842</c:v>
                </c:pt>
                <c:pt idx="67">
                  <c:v>45841</c:v>
                </c:pt>
                <c:pt idx="68">
                  <c:v>45840</c:v>
                </c:pt>
                <c:pt idx="69">
                  <c:v>45839</c:v>
                </c:pt>
                <c:pt idx="70">
                  <c:v>45838</c:v>
                </c:pt>
                <c:pt idx="71">
                  <c:v>45837</c:v>
                </c:pt>
                <c:pt idx="72">
                  <c:v>45836</c:v>
                </c:pt>
                <c:pt idx="73">
                  <c:v>45835</c:v>
                </c:pt>
                <c:pt idx="74">
                  <c:v>45834</c:v>
                </c:pt>
                <c:pt idx="75">
                  <c:v>45833</c:v>
                </c:pt>
                <c:pt idx="76">
                  <c:v>45832</c:v>
                </c:pt>
                <c:pt idx="77">
                  <c:v>45831</c:v>
                </c:pt>
                <c:pt idx="78">
                  <c:v>45830</c:v>
                </c:pt>
                <c:pt idx="79">
                  <c:v>45829</c:v>
                </c:pt>
                <c:pt idx="80">
                  <c:v>45828</c:v>
                </c:pt>
                <c:pt idx="81">
                  <c:v>45827</c:v>
                </c:pt>
                <c:pt idx="82">
                  <c:v>45826</c:v>
                </c:pt>
                <c:pt idx="83">
                  <c:v>45825</c:v>
                </c:pt>
                <c:pt idx="84">
                  <c:v>45824</c:v>
                </c:pt>
                <c:pt idx="85">
                  <c:v>45823</c:v>
                </c:pt>
                <c:pt idx="86">
                  <c:v>45822</c:v>
                </c:pt>
                <c:pt idx="87">
                  <c:v>45821</c:v>
                </c:pt>
                <c:pt idx="88">
                  <c:v>45820</c:v>
                </c:pt>
                <c:pt idx="89">
                  <c:v>45819</c:v>
                </c:pt>
                <c:pt idx="90">
                  <c:v>45818</c:v>
                </c:pt>
                <c:pt idx="91">
                  <c:v>45817</c:v>
                </c:pt>
                <c:pt idx="92">
                  <c:v>45816</c:v>
                </c:pt>
                <c:pt idx="93">
                  <c:v>45815</c:v>
                </c:pt>
                <c:pt idx="94">
                  <c:v>45814</c:v>
                </c:pt>
                <c:pt idx="95">
                  <c:v>45813</c:v>
                </c:pt>
                <c:pt idx="96">
                  <c:v>45812</c:v>
                </c:pt>
                <c:pt idx="97">
                  <c:v>45811</c:v>
                </c:pt>
                <c:pt idx="98">
                  <c:v>45810</c:v>
                </c:pt>
                <c:pt idx="99">
                  <c:v>45809</c:v>
                </c:pt>
                <c:pt idx="100">
                  <c:v>45808</c:v>
                </c:pt>
                <c:pt idx="101">
                  <c:v>45807</c:v>
                </c:pt>
                <c:pt idx="102">
                  <c:v>45806</c:v>
                </c:pt>
                <c:pt idx="103">
                  <c:v>45805</c:v>
                </c:pt>
                <c:pt idx="104">
                  <c:v>45804</c:v>
                </c:pt>
                <c:pt idx="105">
                  <c:v>45803</c:v>
                </c:pt>
                <c:pt idx="106">
                  <c:v>45802</c:v>
                </c:pt>
                <c:pt idx="107">
                  <c:v>45801</c:v>
                </c:pt>
                <c:pt idx="108">
                  <c:v>45800</c:v>
                </c:pt>
                <c:pt idx="109">
                  <c:v>45799</c:v>
                </c:pt>
                <c:pt idx="110">
                  <c:v>45798</c:v>
                </c:pt>
                <c:pt idx="111">
                  <c:v>45797</c:v>
                </c:pt>
                <c:pt idx="112">
                  <c:v>45796</c:v>
                </c:pt>
                <c:pt idx="113">
                  <c:v>45795</c:v>
                </c:pt>
                <c:pt idx="114">
                  <c:v>45794</c:v>
                </c:pt>
                <c:pt idx="115">
                  <c:v>45793</c:v>
                </c:pt>
                <c:pt idx="116">
                  <c:v>45792</c:v>
                </c:pt>
                <c:pt idx="117">
                  <c:v>45791</c:v>
                </c:pt>
                <c:pt idx="118">
                  <c:v>45790</c:v>
                </c:pt>
                <c:pt idx="119">
                  <c:v>45789</c:v>
                </c:pt>
                <c:pt idx="120">
                  <c:v>45788</c:v>
                </c:pt>
                <c:pt idx="121">
                  <c:v>45787</c:v>
                </c:pt>
                <c:pt idx="122">
                  <c:v>45786</c:v>
                </c:pt>
                <c:pt idx="123">
                  <c:v>45785</c:v>
                </c:pt>
                <c:pt idx="124">
                  <c:v>45784</c:v>
                </c:pt>
                <c:pt idx="125">
                  <c:v>45783</c:v>
                </c:pt>
                <c:pt idx="126">
                  <c:v>45782</c:v>
                </c:pt>
                <c:pt idx="127">
                  <c:v>45781</c:v>
                </c:pt>
                <c:pt idx="128">
                  <c:v>45780</c:v>
                </c:pt>
                <c:pt idx="129">
                  <c:v>45779</c:v>
                </c:pt>
                <c:pt idx="130">
                  <c:v>45778</c:v>
                </c:pt>
                <c:pt idx="131">
                  <c:v>45777</c:v>
                </c:pt>
                <c:pt idx="132">
                  <c:v>45776</c:v>
                </c:pt>
                <c:pt idx="133">
                  <c:v>45775</c:v>
                </c:pt>
                <c:pt idx="134">
                  <c:v>45774</c:v>
                </c:pt>
                <c:pt idx="135">
                  <c:v>45773</c:v>
                </c:pt>
                <c:pt idx="136">
                  <c:v>45772</c:v>
                </c:pt>
                <c:pt idx="137">
                  <c:v>45771</c:v>
                </c:pt>
                <c:pt idx="138">
                  <c:v>45770</c:v>
                </c:pt>
                <c:pt idx="139">
                  <c:v>45769</c:v>
                </c:pt>
                <c:pt idx="140">
                  <c:v>45768</c:v>
                </c:pt>
                <c:pt idx="141">
                  <c:v>45767</c:v>
                </c:pt>
                <c:pt idx="142">
                  <c:v>45766</c:v>
                </c:pt>
                <c:pt idx="143">
                  <c:v>45765</c:v>
                </c:pt>
                <c:pt idx="144">
                  <c:v>45764</c:v>
                </c:pt>
                <c:pt idx="145">
                  <c:v>45763</c:v>
                </c:pt>
                <c:pt idx="146">
                  <c:v>45762</c:v>
                </c:pt>
                <c:pt idx="147">
                  <c:v>45761</c:v>
                </c:pt>
                <c:pt idx="148">
                  <c:v>45760</c:v>
                </c:pt>
                <c:pt idx="149">
                  <c:v>45759</c:v>
                </c:pt>
                <c:pt idx="150">
                  <c:v>45758</c:v>
                </c:pt>
                <c:pt idx="151">
                  <c:v>45757</c:v>
                </c:pt>
                <c:pt idx="152">
                  <c:v>45756</c:v>
                </c:pt>
                <c:pt idx="153">
                  <c:v>45755</c:v>
                </c:pt>
                <c:pt idx="154">
                  <c:v>45754</c:v>
                </c:pt>
                <c:pt idx="155">
                  <c:v>45753</c:v>
                </c:pt>
                <c:pt idx="156">
                  <c:v>45752</c:v>
                </c:pt>
                <c:pt idx="157">
                  <c:v>45751</c:v>
                </c:pt>
                <c:pt idx="158">
                  <c:v>45750</c:v>
                </c:pt>
                <c:pt idx="159">
                  <c:v>45749</c:v>
                </c:pt>
                <c:pt idx="160">
                  <c:v>45748</c:v>
                </c:pt>
                <c:pt idx="161">
                  <c:v>45747</c:v>
                </c:pt>
                <c:pt idx="162">
                  <c:v>45746</c:v>
                </c:pt>
                <c:pt idx="163">
                  <c:v>45745</c:v>
                </c:pt>
                <c:pt idx="164">
                  <c:v>45744</c:v>
                </c:pt>
                <c:pt idx="165">
                  <c:v>45743</c:v>
                </c:pt>
                <c:pt idx="166">
                  <c:v>45742</c:v>
                </c:pt>
                <c:pt idx="167">
                  <c:v>45741</c:v>
                </c:pt>
                <c:pt idx="168">
                  <c:v>45740</c:v>
                </c:pt>
                <c:pt idx="169">
                  <c:v>45739</c:v>
                </c:pt>
                <c:pt idx="170">
                  <c:v>45738</c:v>
                </c:pt>
                <c:pt idx="171">
                  <c:v>45737</c:v>
                </c:pt>
                <c:pt idx="172">
                  <c:v>45736</c:v>
                </c:pt>
                <c:pt idx="173">
                  <c:v>45735</c:v>
                </c:pt>
                <c:pt idx="174">
                  <c:v>45734</c:v>
                </c:pt>
                <c:pt idx="175">
                  <c:v>45733</c:v>
                </c:pt>
                <c:pt idx="176">
                  <c:v>45732</c:v>
                </c:pt>
                <c:pt idx="177">
                  <c:v>45731</c:v>
                </c:pt>
                <c:pt idx="178">
                  <c:v>45730</c:v>
                </c:pt>
                <c:pt idx="179">
                  <c:v>45729</c:v>
                </c:pt>
                <c:pt idx="180">
                  <c:v>45728</c:v>
                </c:pt>
                <c:pt idx="181">
                  <c:v>45727</c:v>
                </c:pt>
                <c:pt idx="182">
                  <c:v>45726</c:v>
                </c:pt>
                <c:pt idx="183">
                  <c:v>45725</c:v>
                </c:pt>
                <c:pt idx="184">
                  <c:v>45724</c:v>
                </c:pt>
                <c:pt idx="185">
                  <c:v>45723</c:v>
                </c:pt>
                <c:pt idx="186">
                  <c:v>45722</c:v>
                </c:pt>
                <c:pt idx="187">
                  <c:v>45721</c:v>
                </c:pt>
                <c:pt idx="188">
                  <c:v>45720</c:v>
                </c:pt>
                <c:pt idx="189">
                  <c:v>45719</c:v>
                </c:pt>
                <c:pt idx="190">
                  <c:v>45718</c:v>
                </c:pt>
                <c:pt idx="191">
                  <c:v>45717</c:v>
                </c:pt>
                <c:pt idx="192">
                  <c:v>45716</c:v>
                </c:pt>
                <c:pt idx="193">
                  <c:v>45715</c:v>
                </c:pt>
                <c:pt idx="194">
                  <c:v>45714</c:v>
                </c:pt>
                <c:pt idx="195">
                  <c:v>45713</c:v>
                </c:pt>
                <c:pt idx="196">
                  <c:v>45712</c:v>
                </c:pt>
                <c:pt idx="197">
                  <c:v>45711</c:v>
                </c:pt>
                <c:pt idx="198">
                  <c:v>45710</c:v>
                </c:pt>
                <c:pt idx="199">
                  <c:v>45709</c:v>
                </c:pt>
                <c:pt idx="200">
                  <c:v>45708</c:v>
                </c:pt>
                <c:pt idx="201">
                  <c:v>45707</c:v>
                </c:pt>
                <c:pt idx="202">
                  <c:v>45706</c:v>
                </c:pt>
                <c:pt idx="203">
                  <c:v>45705</c:v>
                </c:pt>
                <c:pt idx="204">
                  <c:v>45704</c:v>
                </c:pt>
                <c:pt idx="205">
                  <c:v>45703</c:v>
                </c:pt>
                <c:pt idx="206">
                  <c:v>45702</c:v>
                </c:pt>
                <c:pt idx="207">
                  <c:v>45701</c:v>
                </c:pt>
                <c:pt idx="208">
                  <c:v>45700</c:v>
                </c:pt>
                <c:pt idx="209">
                  <c:v>45699</c:v>
                </c:pt>
                <c:pt idx="210">
                  <c:v>45698</c:v>
                </c:pt>
                <c:pt idx="211">
                  <c:v>45697</c:v>
                </c:pt>
                <c:pt idx="212">
                  <c:v>45696</c:v>
                </c:pt>
                <c:pt idx="213">
                  <c:v>45695</c:v>
                </c:pt>
                <c:pt idx="214">
                  <c:v>45694</c:v>
                </c:pt>
                <c:pt idx="215">
                  <c:v>45693</c:v>
                </c:pt>
                <c:pt idx="216">
                  <c:v>45692</c:v>
                </c:pt>
                <c:pt idx="217">
                  <c:v>45691</c:v>
                </c:pt>
                <c:pt idx="218">
                  <c:v>45690</c:v>
                </c:pt>
                <c:pt idx="219">
                  <c:v>45689</c:v>
                </c:pt>
                <c:pt idx="220">
                  <c:v>45688</c:v>
                </c:pt>
                <c:pt idx="221">
                  <c:v>45687</c:v>
                </c:pt>
                <c:pt idx="222">
                  <c:v>45686</c:v>
                </c:pt>
                <c:pt idx="223">
                  <c:v>45685</c:v>
                </c:pt>
                <c:pt idx="224">
                  <c:v>45684</c:v>
                </c:pt>
                <c:pt idx="225">
                  <c:v>45683</c:v>
                </c:pt>
                <c:pt idx="226">
                  <c:v>45682</c:v>
                </c:pt>
                <c:pt idx="227">
                  <c:v>45681</c:v>
                </c:pt>
                <c:pt idx="228">
                  <c:v>45680</c:v>
                </c:pt>
                <c:pt idx="229">
                  <c:v>45679</c:v>
                </c:pt>
                <c:pt idx="230">
                  <c:v>45678</c:v>
                </c:pt>
                <c:pt idx="231">
                  <c:v>45677</c:v>
                </c:pt>
                <c:pt idx="232">
                  <c:v>45676</c:v>
                </c:pt>
                <c:pt idx="233">
                  <c:v>45675</c:v>
                </c:pt>
                <c:pt idx="234">
                  <c:v>45674</c:v>
                </c:pt>
                <c:pt idx="235">
                  <c:v>45673</c:v>
                </c:pt>
                <c:pt idx="236">
                  <c:v>45672</c:v>
                </c:pt>
                <c:pt idx="237">
                  <c:v>45671</c:v>
                </c:pt>
                <c:pt idx="238">
                  <c:v>45670</c:v>
                </c:pt>
                <c:pt idx="239">
                  <c:v>45669</c:v>
                </c:pt>
                <c:pt idx="240">
                  <c:v>45668</c:v>
                </c:pt>
                <c:pt idx="241">
                  <c:v>45667</c:v>
                </c:pt>
                <c:pt idx="242">
                  <c:v>45666</c:v>
                </c:pt>
                <c:pt idx="243">
                  <c:v>45665</c:v>
                </c:pt>
                <c:pt idx="244">
                  <c:v>45664</c:v>
                </c:pt>
                <c:pt idx="245">
                  <c:v>45663</c:v>
                </c:pt>
                <c:pt idx="246">
                  <c:v>45662</c:v>
                </c:pt>
                <c:pt idx="247">
                  <c:v>45661</c:v>
                </c:pt>
                <c:pt idx="248">
                  <c:v>45660</c:v>
                </c:pt>
                <c:pt idx="249">
                  <c:v>45659</c:v>
                </c:pt>
                <c:pt idx="250">
                  <c:v>45658</c:v>
                </c:pt>
                <c:pt idx="251">
                  <c:v>45657</c:v>
                </c:pt>
                <c:pt idx="252">
                  <c:v>45656</c:v>
                </c:pt>
                <c:pt idx="253">
                  <c:v>45655</c:v>
                </c:pt>
                <c:pt idx="254">
                  <c:v>45654</c:v>
                </c:pt>
                <c:pt idx="255">
                  <c:v>45653</c:v>
                </c:pt>
                <c:pt idx="256">
                  <c:v>45652</c:v>
                </c:pt>
                <c:pt idx="257">
                  <c:v>45651</c:v>
                </c:pt>
                <c:pt idx="258">
                  <c:v>45650</c:v>
                </c:pt>
                <c:pt idx="259">
                  <c:v>45649</c:v>
                </c:pt>
                <c:pt idx="260">
                  <c:v>45648</c:v>
                </c:pt>
                <c:pt idx="261">
                  <c:v>45647</c:v>
                </c:pt>
                <c:pt idx="262">
                  <c:v>45646</c:v>
                </c:pt>
                <c:pt idx="263">
                  <c:v>45645</c:v>
                </c:pt>
                <c:pt idx="264">
                  <c:v>45644</c:v>
                </c:pt>
                <c:pt idx="265">
                  <c:v>45643</c:v>
                </c:pt>
                <c:pt idx="266">
                  <c:v>45642</c:v>
                </c:pt>
                <c:pt idx="267">
                  <c:v>45641</c:v>
                </c:pt>
                <c:pt idx="268">
                  <c:v>45640</c:v>
                </c:pt>
                <c:pt idx="269">
                  <c:v>45639</c:v>
                </c:pt>
                <c:pt idx="270">
                  <c:v>45638</c:v>
                </c:pt>
                <c:pt idx="271">
                  <c:v>45637</c:v>
                </c:pt>
                <c:pt idx="272">
                  <c:v>45636</c:v>
                </c:pt>
                <c:pt idx="273">
                  <c:v>45635</c:v>
                </c:pt>
                <c:pt idx="274">
                  <c:v>45634</c:v>
                </c:pt>
                <c:pt idx="275">
                  <c:v>45633</c:v>
                </c:pt>
                <c:pt idx="276">
                  <c:v>45632</c:v>
                </c:pt>
                <c:pt idx="277">
                  <c:v>45631</c:v>
                </c:pt>
                <c:pt idx="278">
                  <c:v>45630</c:v>
                </c:pt>
                <c:pt idx="279">
                  <c:v>45629</c:v>
                </c:pt>
                <c:pt idx="280">
                  <c:v>45628</c:v>
                </c:pt>
                <c:pt idx="281">
                  <c:v>45627</c:v>
                </c:pt>
                <c:pt idx="282">
                  <c:v>45626</c:v>
                </c:pt>
                <c:pt idx="283">
                  <c:v>45625</c:v>
                </c:pt>
                <c:pt idx="284">
                  <c:v>45624</c:v>
                </c:pt>
                <c:pt idx="285">
                  <c:v>45623</c:v>
                </c:pt>
                <c:pt idx="286">
                  <c:v>45622</c:v>
                </c:pt>
                <c:pt idx="287">
                  <c:v>45621</c:v>
                </c:pt>
                <c:pt idx="288">
                  <c:v>45620</c:v>
                </c:pt>
                <c:pt idx="289">
                  <c:v>45619</c:v>
                </c:pt>
                <c:pt idx="290">
                  <c:v>45618</c:v>
                </c:pt>
                <c:pt idx="291">
                  <c:v>45617</c:v>
                </c:pt>
                <c:pt idx="292">
                  <c:v>45616</c:v>
                </c:pt>
                <c:pt idx="293">
                  <c:v>45615</c:v>
                </c:pt>
                <c:pt idx="294">
                  <c:v>45614</c:v>
                </c:pt>
                <c:pt idx="295">
                  <c:v>45613</c:v>
                </c:pt>
                <c:pt idx="296">
                  <c:v>45612</c:v>
                </c:pt>
                <c:pt idx="297">
                  <c:v>45611</c:v>
                </c:pt>
                <c:pt idx="298">
                  <c:v>45610</c:v>
                </c:pt>
                <c:pt idx="299">
                  <c:v>45609</c:v>
                </c:pt>
                <c:pt idx="300">
                  <c:v>45608</c:v>
                </c:pt>
                <c:pt idx="301">
                  <c:v>45607</c:v>
                </c:pt>
                <c:pt idx="302">
                  <c:v>45606</c:v>
                </c:pt>
                <c:pt idx="303">
                  <c:v>45605</c:v>
                </c:pt>
                <c:pt idx="304">
                  <c:v>45604</c:v>
                </c:pt>
                <c:pt idx="305">
                  <c:v>45603</c:v>
                </c:pt>
                <c:pt idx="306">
                  <c:v>45602</c:v>
                </c:pt>
                <c:pt idx="307">
                  <c:v>45601</c:v>
                </c:pt>
                <c:pt idx="308">
                  <c:v>45600</c:v>
                </c:pt>
                <c:pt idx="309">
                  <c:v>45599</c:v>
                </c:pt>
                <c:pt idx="310">
                  <c:v>45598</c:v>
                </c:pt>
                <c:pt idx="311">
                  <c:v>45597</c:v>
                </c:pt>
                <c:pt idx="312">
                  <c:v>45596</c:v>
                </c:pt>
                <c:pt idx="313">
                  <c:v>45595</c:v>
                </c:pt>
                <c:pt idx="314">
                  <c:v>45594</c:v>
                </c:pt>
                <c:pt idx="315">
                  <c:v>45593</c:v>
                </c:pt>
                <c:pt idx="316">
                  <c:v>45592</c:v>
                </c:pt>
                <c:pt idx="317">
                  <c:v>45591</c:v>
                </c:pt>
                <c:pt idx="318">
                  <c:v>45590</c:v>
                </c:pt>
                <c:pt idx="319">
                  <c:v>45589</c:v>
                </c:pt>
                <c:pt idx="320">
                  <c:v>45588</c:v>
                </c:pt>
                <c:pt idx="321">
                  <c:v>45587</c:v>
                </c:pt>
                <c:pt idx="322">
                  <c:v>45586</c:v>
                </c:pt>
                <c:pt idx="323">
                  <c:v>45585</c:v>
                </c:pt>
                <c:pt idx="324">
                  <c:v>45584</c:v>
                </c:pt>
                <c:pt idx="325">
                  <c:v>45583</c:v>
                </c:pt>
                <c:pt idx="326">
                  <c:v>45582</c:v>
                </c:pt>
                <c:pt idx="327">
                  <c:v>45581</c:v>
                </c:pt>
                <c:pt idx="328">
                  <c:v>45580</c:v>
                </c:pt>
                <c:pt idx="329">
                  <c:v>45579</c:v>
                </c:pt>
                <c:pt idx="330">
                  <c:v>45578</c:v>
                </c:pt>
                <c:pt idx="331">
                  <c:v>45577</c:v>
                </c:pt>
                <c:pt idx="332">
                  <c:v>45576</c:v>
                </c:pt>
                <c:pt idx="333">
                  <c:v>45575</c:v>
                </c:pt>
                <c:pt idx="334">
                  <c:v>45574</c:v>
                </c:pt>
                <c:pt idx="335">
                  <c:v>45573</c:v>
                </c:pt>
                <c:pt idx="336">
                  <c:v>45572</c:v>
                </c:pt>
                <c:pt idx="337">
                  <c:v>45571</c:v>
                </c:pt>
                <c:pt idx="338">
                  <c:v>45570</c:v>
                </c:pt>
                <c:pt idx="339">
                  <c:v>45569</c:v>
                </c:pt>
                <c:pt idx="340">
                  <c:v>45568</c:v>
                </c:pt>
                <c:pt idx="341">
                  <c:v>45567</c:v>
                </c:pt>
                <c:pt idx="342">
                  <c:v>45566</c:v>
                </c:pt>
                <c:pt idx="343">
                  <c:v>45565</c:v>
                </c:pt>
                <c:pt idx="344">
                  <c:v>45564</c:v>
                </c:pt>
                <c:pt idx="345">
                  <c:v>45563</c:v>
                </c:pt>
                <c:pt idx="346">
                  <c:v>45562</c:v>
                </c:pt>
                <c:pt idx="347">
                  <c:v>45561</c:v>
                </c:pt>
                <c:pt idx="348">
                  <c:v>45560</c:v>
                </c:pt>
                <c:pt idx="349">
                  <c:v>45559</c:v>
                </c:pt>
                <c:pt idx="350">
                  <c:v>45558</c:v>
                </c:pt>
                <c:pt idx="351">
                  <c:v>45557</c:v>
                </c:pt>
                <c:pt idx="352">
                  <c:v>45556</c:v>
                </c:pt>
                <c:pt idx="353">
                  <c:v>45555</c:v>
                </c:pt>
                <c:pt idx="354">
                  <c:v>45554</c:v>
                </c:pt>
                <c:pt idx="355">
                  <c:v>45553</c:v>
                </c:pt>
                <c:pt idx="356">
                  <c:v>45552</c:v>
                </c:pt>
                <c:pt idx="357">
                  <c:v>45551</c:v>
                </c:pt>
                <c:pt idx="358">
                  <c:v>45550</c:v>
                </c:pt>
                <c:pt idx="359">
                  <c:v>45549</c:v>
                </c:pt>
                <c:pt idx="360">
                  <c:v>45548</c:v>
                </c:pt>
                <c:pt idx="361">
                  <c:v>45547</c:v>
                </c:pt>
                <c:pt idx="362">
                  <c:v>45546</c:v>
                </c:pt>
                <c:pt idx="363">
                  <c:v>45545</c:v>
                </c:pt>
                <c:pt idx="364">
                  <c:v>45544</c:v>
                </c:pt>
                <c:pt idx="365">
                  <c:v>45543</c:v>
                </c:pt>
                <c:pt idx="366">
                  <c:v>45542</c:v>
                </c:pt>
                <c:pt idx="367">
                  <c:v>45541</c:v>
                </c:pt>
                <c:pt idx="368">
                  <c:v>45540</c:v>
                </c:pt>
                <c:pt idx="369">
                  <c:v>45539</c:v>
                </c:pt>
                <c:pt idx="370">
                  <c:v>45538</c:v>
                </c:pt>
                <c:pt idx="371">
                  <c:v>45537</c:v>
                </c:pt>
                <c:pt idx="372">
                  <c:v>45536</c:v>
                </c:pt>
                <c:pt idx="373">
                  <c:v>45535</c:v>
                </c:pt>
                <c:pt idx="374">
                  <c:v>45534</c:v>
                </c:pt>
                <c:pt idx="375">
                  <c:v>45533</c:v>
                </c:pt>
                <c:pt idx="376">
                  <c:v>45532</c:v>
                </c:pt>
                <c:pt idx="377">
                  <c:v>45531</c:v>
                </c:pt>
                <c:pt idx="378">
                  <c:v>45530</c:v>
                </c:pt>
                <c:pt idx="379">
                  <c:v>45529</c:v>
                </c:pt>
                <c:pt idx="380">
                  <c:v>45528</c:v>
                </c:pt>
                <c:pt idx="381">
                  <c:v>45527</c:v>
                </c:pt>
                <c:pt idx="382">
                  <c:v>45526</c:v>
                </c:pt>
                <c:pt idx="383">
                  <c:v>45525</c:v>
                </c:pt>
                <c:pt idx="384">
                  <c:v>45524</c:v>
                </c:pt>
                <c:pt idx="385">
                  <c:v>45523</c:v>
                </c:pt>
                <c:pt idx="386">
                  <c:v>45522</c:v>
                </c:pt>
                <c:pt idx="387">
                  <c:v>45521</c:v>
                </c:pt>
                <c:pt idx="388">
                  <c:v>45520</c:v>
                </c:pt>
                <c:pt idx="389">
                  <c:v>45519</c:v>
                </c:pt>
                <c:pt idx="390">
                  <c:v>45518</c:v>
                </c:pt>
                <c:pt idx="391">
                  <c:v>45517</c:v>
                </c:pt>
                <c:pt idx="392">
                  <c:v>45516</c:v>
                </c:pt>
                <c:pt idx="393">
                  <c:v>45515</c:v>
                </c:pt>
                <c:pt idx="394">
                  <c:v>45514</c:v>
                </c:pt>
                <c:pt idx="395">
                  <c:v>45513</c:v>
                </c:pt>
                <c:pt idx="396">
                  <c:v>45512</c:v>
                </c:pt>
                <c:pt idx="397">
                  <c:v>45511</c:v>
                </c:pt>
                <c:pt idx="398">
                  <c:v>45510</c:v>
                </c:pt>
                <c:pt idx="399">
                  <c:v>45509</c:v>
                </c:pt>
                <c:pt idx="400">
                  <c:v>45508</c:v>
                </c:pt>
                <c:pt idx="401">
                  <c:v>45507</c:v>
                </c:pt>
                <c:pt idx="402">
                  <c:v>45506</c:v>
                </c:pt>
                <c:pt idx="403">
                  <c:v>45505</c:v>
                </c:pt>
                <c:pt idx="404">
                  <c:v>45504</c:v>
                </c:pt>
                <c:pt idx="405">
                  <c:v>45503</c:v>
                </c:pt>
                <c:pt idx="406">
                  <c:v>45502</c:v>
                </c:pt>
                <c:pt idx="407">
                  <c:v>45501</c:v>
                </c:pt>
                <c:pt idx="408">
                  <c:v>45500</c:v>
                </c:pt>
                <c:pt idx="409">
                  <c:v>45499</c:v>
                </c:pt>
                <c:pt idx="410">
                  <c:v>45498</c:v>
                </c:pt>
                <c:pt idx="411">
                  <c:v>45497</c:v>
                </c:pt>
                <c:pt idx="412">
                  <c:v>45496</c:v>
                </c:pt>
                <c:pt idx="413">
                  <c:v>45495</c:v>
                </c:pt>
                <c:pt idx="414">
                  <c:v>45494</c:v>
                </c:pt>
                <c:pt idx="415">
                  <c:v>45493</c:v>
                </c:pt>
                <c:pt idx="416">
                  <c:v>45492</c:v>
                </c:pt>
                <c:pt idx="417">
                  <c:v>45491</c:v>
                </c:pt>
                <c:pt idx="418">
                  <c:v>45490</c:v>
                </c:pt>
                <c:pt idx="419">
                  <c:v>45489</c:v>
                </c:pt>
                <c:pt idx="420">
                  <c:v>45488</c:v>
                </c:pt>
                <c:pt idx="421">
                  <c:v>45487</c:v>
                </c:pt>
                <c:pt idx="422">
                  <c:v>45486</c:v>
                </c:pt>
                <c:pt idx="423">
                  <c:v>45485</c:v>
                </c:pt>
                <c:pt idx="424">
                  <c:v>45484</c:v>
                </c:pt>
                <c:pt idx="425">
                  <c:v>45483</c:v>
                </c:pt>
                <c:pt idx="426">
                  <c:v>45482</c:v>
                </c:pt>
                <c:pt idx="427">
                  <c:v>45481</c:v>
                </c:pt>
                <c:pt idx="428">
                  <c:v>45480</c:v>
                </c:pt>
                <c:pt idx="429">
                  <c:v>45479</c:v>
                </c:pt>
                <c:pt idx="430">
                  <c:v>45478</c:v>
                </c:pt>
                <c:pt idx="431">
                  <c:v>45477</c:v>
                </c:pt>
                <c:pt idx="432">
                  <c:v>45476</c:v>
                </c:pt>
                <c:pt idx="433">
                  <c:v>45475</c:v>
                </c:pt>
                <c:pt idx="434">
                  <c:v>45474</c:v>
                </c:pt>
                <c:pt idx="435">
                  <c:v>45473</c:v>
                </c:pt>
                <c:pt idx="436">
                  <c:v>45472</c:v>
                </c:pt>
                <c:pt idx="437">
                  <c:v>45471</c:v>
                </c:pt>
                <c:pt idx="438">
                  <c:v>45470</c:v>
                </c:pt>
                <c:pt idx="439">
                  <c:v>45469</c:v>
                </c:pt>
                <c:pt idx="440">
                  <c:v>45468</c:v>
                </c:pt>
                <c:pt idx="441">
                  <c:v>45467</c:v>
                </c:pt>
                <c:pt idx="442">
                  <c:v>45466</c:v>
                </c:pt>
                <c:pt idx="443">
                  <c:v>45465</c:v>
                </c:pt>
                <c:pt idx="444">
                  <c:v>45464</c:v>
                </c:pt>
                <c:pt idx="445">
                  <c:v>45463</c:v>
                </c:pt>
                <c:pt idx="446">
                  <c:v>45462</c:v>
                </c:pt>
                <c:pt idx="447">
                  <c:v>45461</c:v>
                </c:pt>
                <c:pt idx="448">
                  <c:v>45460</c:v>
                </c:pt>
                <c:pt idx="449">
                  <c:v>45459</c:v>
                </c:pt>
                <c:pt idx="450">
                  <c:v>45458</c:v>
                </c:pt>
                <c:pt idx="451">
                  <c:v>45457</c:v>
                </c:pt>
                <c:pt idx="452">
                  <c:v>45456</c:v>
                </c:pt>
                <c:pt idx="453">
                  <c:v>45455</c:v>
                </c:pt>
                <c:pt idx="454">
                  <c:v>45454</c:v>
                </c:pt>
                <c:pt idx="455">
                  <c:v>45453</c:v>
                </c:pt>
                <c:pt idx="456">
                  <c:v>45452</c:v>
                </c:pt>
                <c:pt idx="457">
                  <c:v>45451</c:v>
                </c:pt>
                <c:pt idx="458">
                  <c:v>45450</c:v>
                </c:pt>
                <c:pt idx="459">
                  <c:v>45449</c:v>
                </c:pt>
                <c:pt idx="460">
                  <c:v>45448</c:v>
                </c:pt>
                <c:pt idx="461">
                  <c:v>45447</c:v>
                </c:pt>
                <c:pt idx="462">
                  <c:v>45446</c:v>
                </c:pt>
                <c:pt idx="463">
                  <c:v>45445</c:v>
                </c:pt>
                <c:pt idx="464">
                  <c:v>45444</c:v>
                </c:pt>
                <c:pt idx="465">
                  <c:v>45443</c:v>
                </c:pt>
                <c:pt idx="466">
                  <c:v>45442</c:v>
                </c:pt>
                <c:pt idx="467">
                  <c:v>45441</c:v>
                </c:pt>
                <c:pt idx="468">
                  <c:v>45440</c:v>
                </c:pt>
                <c:pt idx="469">
                  <c:v>45439</c:v>
                </c:pt>
                <c:pt idx="470">
                  <c:v>45438</c:v>
                </c:pt>
                <c:pt idx="471">
                  <c:v>45437</c:v>
                </c:pt>
                <c:pt idx="472">
                  <c:v>45436</c:v>
                </c:pt>
                <c:pt idx="473">
                  <c:v>45435</c:v>
                </c:pt>
                <c:pt idx="474">
                  <c:v>45434</c:v>
                </c:pt>
                <c:pt idx="475">
                  <c:v>45433</c:v>
                </c:pt>
                <c:pt idx="476">
                  <c:v>45432</c:v>
                </c:pt>
                <c:pt idx="477">
                  <c:v>45431</c:v>
                </c:pt>
                <c:pt idx="478">
                  <c:v>45430</c:v>
                </c:pt>
                <c:pt idx="479">
                  <c:v>45429</c:v>
                </c:pt>
                <c:pt idx="480">
                  <c:v>45428</c:v>
                </c:pt>
                <c:pt idx="481">
                  <c:v>45427</c:v>
                </c:pt>
                <c:pt idx="482">
                  <c:v>45426</c:v>
                </c:pt>
                <c:pt idx="483">
                  <c:v>45425</c:v>
                </c:pt>
                <c:pt idx="484">
                  <c:v>45424</c:v>
                </c:pt>
                <c:pt idx="485">
                  <c:v>45423</c:v>
                </c:pt>
                <c:pt idx="486">
                  <c:v>45422</c:v>
                </c:pt>
                <c:pt idx="487">
                  <c:v>45421</c:v>
                </c:pt>
                <c:pt idx="488">
                  <c:v>45420</c:v>
                </c:pt>
                <c:pt idx="489">
                  <c:v>45419</c:v>
                </c:pt>
                <c:pt idx="490">
                  <c:v>45418</c:v>
                </c:pt>
                <c:pt idx="491">
                  <c:v>45417</c:v>
                </c:pt>
                <c:pt idx="492">
                  <c:v>45416</c:v>
                </c:pt>
                <c:pt idx="493">
                  <c:v>45415</c:v>
                </c:pt>
                <c:pt idx="494">
                  <c:v>45414</c:v>
                </c:pt>
                <c:pt idx="495">
                  <c:v>45413</c:v>
                </c:pt>
                <c:pt idx="496">
                  <c:v>45412</c:v>
                </c:pt>
                <c:pt idx="497">
                  <c:v>45411</c:v>
                </c:pt>
                <c:pt idx="498">
                  <c:v>45410</c:v>
                </c:pt>
                <c:pt idx="499">
                  <c:v>45409</c:v>
                </c:pt>
                <c:pt idx="500">
                  <c:v>45408</c:v>
                </c:pt>
                <c:pt idx="501">
                  <c:v>45407</c:v>
                </c:pt>
                <c:pt idx="502">
                  <c:v>45406</c:v>
                </c:pt>
                <c:pt idx="503">
                  <c:v>45405</c:v>
                </c:pt>
                <c:pt idx="504">
                  <c:v>45404</c:v>
                </c:pt>
                <c:pt idx="505">
                  <c:v>45403</c:v>
                </c:pt>
                <c:pt idx="506">
                  <c:v>45402</c:v>
                </c:pt>
                <c:pt idx="507">
                  <c:v>45401</c:v>
                </c:pt>
                <c:pt idx="508">
                  <c:v>45400</c:v>
                </c:pt>
                <c:pt idx="509">
                  <c:v>45399</c:v>
                </c:pt>
                <c:pt idx="510">
                  <c:v>45398</c:v>
                </c:pt>
                <c:pt idx="511">
                  <c:v>45397</c:v>
                </c:pt>
                <c:pt idx="512">
                  <c:v>45396</c:v>
                </c:pt>
                <c:pt idx="513">
                  <c:v>45395</c:v>
                </c:pt>
                <c:pt idx="514">
                  <c:v>45394</c:v>
                </c:pt>
                <c:pt idx="515">
                  <c:v>45393</c:v>
                </c:pt>
                <c:pt idx="516">
                  <c:v>45392</c:v>
                </c:pt>
                <c:pt idx="517">
                  <c:v>45391</c:v>
                </c:pt>
                <c:pt idx="518">
                  <c:v>45390</c:v>
                </c:pt>
                <c:pt idx="519">
                  <c:v>45389</c:v>
                </c:pt>
                <c:pt idx="520">
                  <c:v>45388</c:v>
                </c:pt>
                <c:pt idx="521">
                  <c:v>45387</c:v>
                </c:pt>
                <c:pt idx="522">
                  <c:v>45386</c:v>
                </c:pt>
                <c:pt idx="523">
                  <c:v>45385</c:v>
                </c:pt>
                <c:pt idx="524">
                  <c:v>45384</c:v>
                </c:pt>
                <c:pt idx="525">
                  <c:v>45383</c:v>
                </c:pt>
                <c:pt idx="526">
                  <c:v>45382</c:v>
                </c:pt>
                <c:pt idx="527">
                  <c:v>45381</c:v>
                </c:pt>
                <c:pt idx="528">
                  <c:v>45380</c:v>
                </c:pt>
                <c:pt idx="529">
                  <c:v>45379</c:v>
                </c:pt>
                <c:pt idx="530">
                  <c:v>45378</c:v>
                </c:pt>
                <c:pt idx="531">
                  <c:v>45377</c:v>
                </c:pt>
                <c:pt idx="532">
                  <c:v>45376</c:v>
                </c:pt>
                <c:pt idx="533">
                  <c:v>45375</c:v>
                </c:pt>
                <c:pt idx="534">
                  <c:v>45374</c:v>
                </c:pt>
                <c:pt idx="535">
                  <c:v>45373</c:v>
                </c:pt>
                <c:pt idx="536">
                  <c:v>45372</c:v>
                </c:pt>
                <c:pt idx="537">
                  <c:v>45371</c:v>
                </c:pt>
                <c:pt idx="538">
                  <c:v>45370</c:v>
                </c:pt>
                <c:pt idx="539">
                  <c:v>45369</c:v>
                </c:pt>
                <c:pt idx="540">
                  <c:v>45368</c:v>
                </c:pt>
                <c:pt idx="541">
                  <c:v>45367</c:v>
                </c:pt>
                <c:pt idx="542">
                  <c:v>45366</c:v>
                </c:pt>
                <c:pt idx="543">
                  <c:v>45365</c:v>
                </c:pt>
                <c:pt idx="544">
                  <c:v>45364</c:v>
                </c:pt>
                <c:pt idx="545">
                  <c:v>45363</c:v>
                </c:pt>
                <c:pt idx="546">
                  <c:v>45362</c:v>
                </c:pt>
                <c:pt idx="547">
                  <c:v>45361</c:v>
                </c:pt>
                <c:pt idx="548">
                  <c:v>45360</c:v>
                </c:pt>
                <c:pt idx="549">
                  <c:v>45359</c:v>
                </c:pt>
                <c:pt idx="550">
                  <c:v>45358</c:v>
                </c:pt>
                <c:pt idx="551">
                  <c:v>45357</c:v>
                </c:pt>
                <c:pt idx="552">
                  <c:v>45356</c:v>
                </c:pt>
                <c:pt idx="553">
                  <c:v>45355</c:v>
                </c:pt>
                <c:pt idx="554">
                  <c:v>45354</c:v>
                </c:pt>
                <c:pt idx="555">
                  <c:v>45353</c:v>
                </c:pt>
                <c:pt idx="556">
                  <c:v>45352</c:v>
                </c:pt>
                <c:pt idx="557">
                  <c:v>45351</c:v>
                </c:pt>
                <c:pt idx="558">
                  <c:v>45350</c:v>
                </c:pt>
                <c:pt idx="559">
                  <c:v>45349</c:v>
                </c:pt>
                <c:pt idx="560">
                  <c:v>45348</c:v>
                </c:pt>
                <c:pt idx="561">
                  <c:v>45347</c:v>
                </c:pt>
                <c:pt idx="562">
                  <c:v>45346</c:v>
                </c:pt>
                <c:pt idx="563">
                  <c:v>45345</c:v>
                </c:pt>
                <c:pt idx="564">
                  <c:v>45344</c:v>
                </c:pt>
                <c:pt idx="565">
                  <c:v>45343</c:v>
                </c:pt>
                <c:pt idx="566">
                  <c:v>45342</c:v>
                </c:pt>
                <c:pt idx="567">
                  <c:v>45341</c:v>
                </c:pt>
                <c:pt idx="568">
                  <c:v>45340</c:v>
                </c:pt>
                <c:pt idx="569">
                  <c:v>45339</c:v>
                </c:pt>
                <c:pt idx="570">
                  <c:v>45338</c:v>
                </c:pt>
                <c:pt idx="571">
                  <c:v>45337</c:v>
                </c:pt>
                <c:pt idx="572">
                  <c:v>45336</c:v>
                </c:pt>
                <c:pt idx="573">
                  <c:v>45335</c:v>
                </c:pt>
                <c:pt idx="574">
                  <c:v>45334</c:v>
                </c:pt>
                <c:pt idx="575">
                  <c:v>45333</c:v>
                </c:pt>
                <c:pt idx="576">
                  <c:v>45332</c:v>
                </c:pt>
                <c:pt idx="577">
                  <c:v>45331</c:v>
                </c:pt>
                <c:pt idx="578">
                  <c:v>45330</c:v>
                </c:pt>
                <c:pt idx="579">
                  <c:v>45329</c:v>
                </c:pt>
                <c:pt idx="580">
                  <c:v>45328</c:v>
                </c:pt>
                <c:pt idx="581">
                  <c:v>45327</c:v>
                </c:pt>
                <c:pt idx="582">
                  <c:v>45326</c:v>
                </c:pt>
                <c:pt idx="583">
                  <c:v>45325</c:v>
                </c:pt>
                <c:pt idx="584">
                  <c:v>45324</c:v>
                </c:pt>
                <c:pt idx="585">
                  <c:v>45323</c:v>
                </c:pt>
                <c:pt idx="586">
                  <c:v>45322</c:v>
                </c:pt>
                <c:pt idx="587">
                  <c:v>45321</c:v>
                </c:pt>
                <c:pt idx="588">
                  <c:v>45320</c:v>
                </c:pt>
                <c:pt idx="589">
                  <c:v>45319</c:v>
                </c:pt>
                <c:pt idx="590">
                  <c:v>45318</c:v>
                </c:pt>
                <c:pt idx="591">
                  <c:v>45317</c:v>
                </c:pt>
                <c:pt idx="592">
                  <c:v>45316</c:v>
                </c:pt>
                <c:pt idx="593">
                  <c:v>45315</c:v>
                </c:pt>
                <c:pt idx="594">
                  <c:v>45314</c:v>
                </c:pt>
                <c:pt idx="595">
                  <c:v>45313</c:v>
                </c:pt>
                <c:pt idx="596">
                  <c:v>45312</c:v>
                </c:pt>
                <c:pt idx="597">
                  <c:v>45311</c:v>
                </c:pt>
                <c:pt idx="598">
                  <c:v>45310</c:v>
                </c:pt>
                <c:pt idx="599">
                  <c:v>45309</c:v>
                </c:pt>
                <c:pt idx="600">
                  <c:v>45308</c:v>
                </c:pt>
                <c:pt idx="601">
                  <c:v>45307</c:v>
                </c:pt>
                <c:pt idx="602">
                  <c:v>45306</c:v>
                </c:pt>
                <c:pt idx="603">
                  <c:v>45305</c:v>
                </c:pt>
                <c:pt idx="604">
                  <c:v>45304</c:v>
                </c:pt>
                <c:pt idx="605">
                  <c:v>45303</c:v>
                </c:pt>
                <c:pt idx="606">
                  <c:v>45302</c:v>
                </c:pt>
                <c:pt idx="607">
                  <c:v>45301</c:v>
                </c:pt>
                <c:pt idx="608">
                  <c:v>45300</c:v>
                </c:pt>
                <c:pt idx="609">
                  <c:v>45299</c:v>
                </c:pt>
                <c:pt idx="610">
                  <c:v>45298</c:v>
                </c:pt>
                <c:pt idx="611">
                  <c:v>45297</c:v>
                </c:pt>
                <c:pt idx="612">
                  <c:v>45296</c:v>
                </c:pt>
                <c:pt idx="613">
                  <c:v>45295</c:v>
                </c:pt>
                <c:pt idx="614">
                  <c:v>45294</c:v>
                </c:pt>
                <c:pt idx="615">
                  <c:v>45293</c:v>
                </c:pt>
                <c:pt idx="616">
                  <c:v>45292</c:v>
                </c:pt>
                <c:pt idx="617">
                  <c:v>45291</c:v>
                </c:pt>
                <c:pt idx="618">
                  <c:v>45290</c:v>
                </c:pt>
                <c:pt idx="619">
                  <c:v>45289</c:v>
                </c:pt>
                <c:pt idx="620">
                  <c:v>45288</c:v>
                </c:pt>
                <c:pt idx="621">
                  <c:v>45287</c:v>
                </c:pt>
                <c:pt idx="622">
                  <c:v>45286</c:v>
                </c:pt>
                <c:pt idx="623">
                  <c:v>45285</c:v>
                </c:pt>
                <c:pt idx="624">
                  <c:v>45284</c:v>
                </c:pt>
                <c:pt idx="625">
                  <c:v>45283</c:v>
                </c:pt>
                <c:pt idx="626">
                  <c:v>45282</c:v>
                </c:pt>
                <c:pt idx="627">
                  <c:v>45281</c:v>
                </c:pt>
                <c:pt idx="628">
                  <c:v>45280</c:v>
                </c:pt>
                <c:pt idx="629">
                  <c:v>45279</c:v>
                </c:pt>
                <c:pt idx="630">
                  <c:v>45278</c:v>
                </c:pt>
                <c:pt idx="631">
                  <c:v>45277</c:v>
                </c:pt>
                <c:pt idx="632">
                  <c:v>45276</c:v>
                </c:pt>
                <c:pt idx="633">
                  <c:v>45275</c:v>
                </c:pt>
                <c:pt idx="634">
                  <c:v>45274</c:v>
                </c:pt>
                <c:pt idx="635">
                  <c:v>45273</c:v>
                </c:pt>
                <c:pt idx="636">
                  <c:v>45272</c:v>
                </c:pt>
                <c:pt idx="637">
                  <c:v>45271</c:v>
                </c:pt>
                <c:pt idx="638">
                  <c:v>45270</c:v>
                </c:pt>
                <c:pt idx="639">
                  <c:v>45269</c:v>
                </c:pt>
                <c:pt idx="640">
                  <c:v>45268</c:v>
                </c:pt>
                <c:pt idx="641">
                  <c:v>45267</c:v>
                </c:pt>
                <c:pt idx="642">
                  <c:v>45266</c:v>
                </c:pt>
                <c:pt idx="643">
                  <c:v>45265</c:v>
                </c:pt>
                <c:pt idx="644">
                  <c:v>45264</c:v>
                </c:pt>
                <c:pt idx="645">
                  <c:v>45263</c:v>
                </c:pt>
                <c:pt idx="646">
                  <c:v>45262</c:v>
                </c:pt>
                <c:pt idx="647">
                  <c:v>45261</c:v>
                </c:pt>
                <c:pt idx="648">
                  <c:v>45260</c:v>
                </c:pt>
                <c:pt idx="649">
                  <c:v>45259</c:v>
                </c:pt>
                <c:pt idx="650">
                  <c:v>45258</c:v>
                </c:pt>
                <c:pt idx="651">
                  <c:v>45257</c:v>
                </c:pt>
                <c:pt idx="652">
                  <c:v>45256</c:v>
                </c:pt>
                <c:pt idx="653">
                  <c:v>45255</c:v>
                </c:pt>
                <c:pt idx="654">
                  <c:v>45254</c:v>
                </c:pt>
                <c:pt idx="655">
                  <c:v>45253</c:v>
                </c:pt>
                <c:pt idx="656">
                  <c:v>45252</c:v>
                </c:pt>
                <c:pt idx="657">
                  <c:v>45251</c:v>
                </c:pt>
                <c:pt idx="658">
                  <c:v>45250</c:v>
                </c:pt>
                <c:pt idx="659">
                  <c:v>45249</c:v>
                </c:pt>
                <c:pt idx="660">
                  <c:v>45248</c:v>
                </c:pt>
                <c:pt idx="661">
                  <c:v>45247</c:v>
                </c:pt>
                <c:pt idx="662">
                  <c:v>45246</c:v>
                </c:pt>
                <c:pt idx="663">
                  <c:v>45245</c:v>
                </c:pt>
                <c:pt idx="664">
                  <c:v>45244</c:v>
                </c:pt>
                <c:pt idx="665">
                  <c:v>45243</c:v>
                </c:pt>
                <c:pt idx="666">
                  <c:v>45242</c:v>
                </c:pt>
                <c:pt idx="667">
                  <c:v>45241</c:v>
                </c:pt>
                <c:pt idx="668">
                  <c:v>45240</c:v>
                </c:pt>
                <c:pt idx="669">
                  <c:v>45239</c:v>
                </c:pt>
                <c:pt idx="670">
                  <c:v>45238</c:v>
                </c:pt>
                <c:pt idx="671">
                  <c:v>45237</c:v>
                </c:pt>
                <c:pt idx="672">
                  <c:v>45236</c:v>
                </c:pt>
                <c:pt idx="673">
                  <c:v>45235</c:v>
                </c:pt>
                <c:pt idx="674">
                  <c:v>45234</c:v>
                </c:pt>
                <c:pt idx="675">
                  <c:v>45233</c:v>
                </c:pt>
                <c:pt idx="676">
                  <c:v>45232</c:v>
                </c:pt>
                <c:pt idx="677">
                  <c:v>45231</c:v>
                </c:pt>
                <c:pt idx="678">
                  <c:v>45230</c:v>
                </c:pt>
                <c:pt idx="679">
                  <c:v>45229</c:v>
                </c:pt>
                <c:pt idx="680">
                  <c:v>45228</c:v>
                </c:pt>
                <c:pt idx="681">
                  <c:v>45227</c:v>
                </c:pt>
                <c:pt idx="682">
                  <c:v>45226</c:v>
                </c:pt>
                <c:pt idx="683">
                  <c:v>45225</c:v>
                </c:pt>
                <c:pt idx="684">
                  <c:v>45224</c:v>
                </c:pt>
                <c:pt idx="685">
                  <c:v>45223</c:v>
                </c:pt>
                <c:pt idx="686">
                  <c:v>45222</c:v>
                </c:pt>
                <c:pt idx="687">
                  <c:v>45221</c:v>
                </c:pt>
                <c:pt idx="688">
                  <c:v>45220</c:v>
                </c:pt>
                <c:pt idx="689">
                  <c:v>45219</c:v>
                </c:pt>
                <c:pt idx="690">
                  <c:v>45218</c:v>
                </c:pt>
                <c:pt idx="691">
                  <c:v>45217</c:v>
                </c:pt>
                <c:pt idx="692">
                  <c:v>45216</c:v>
                </c:pt>
                <c:pt idx="693">
                  <c:v>45215</c:v>
                </c:pt>
                <c:pt idx="694">
                  <c:v>45214</c:v>
                </c:pt>
                <c:pt idx="695">
                  <c:v>45213</c:v>
                </c:pt>
                <c:pt idx="696">
                  <c:v>45212</c:v>
                </c:pt>
                <c:pt idx="697">
                  <c:v>45211</c:v>
                </c:pt>
                <c:pt idx="698">
                  <c:v>45210</c:v>
                </c:pt>
                <c:pt idx="699">
                  <c:v>45209</c:v>
                </c:pt>
                <c:pt idx="700">
                  <c:v>45208</c:v>
                </c:pt>
                <c:pt idx="701">
                  <c:v>45207</c:v>
                </c:pt>
                <c:pt idx="702">
                  <c:v>45206</c:v>
                </c:pt>
                <c:pt idx="703">
                  <c:v>45205</c:v>
                </c:pt>
                <c:pt idx="704">
                  <c:v>45204</c:v>
                </c:pt>
                <c:pt idx="705">
                  <c:v>45203</c:v>
                </c:pt>
                <c:pt idx="706">
                  <c:v>45202</c:v>
                </c:pt>
                <c:pt idx="707">
                  <c:v>45201</c:v>
                </c:pt>
                <c:pt idx="708">
                  <c:v>45200</c:v>
                </c:pt>
                <c:pt idx="709">
                  <c:v>45199</c:v>
                </c:pt>
                <c:pt idx="710">
                  <c:v>45198</c:v>
                </c:pt>
                <c:pt idx="711">
                  <c:v>45197</c:v>
                </c:pt>
                <c:pt idx="712">
                  <c:v>45196</c:v>
                </c:pt>
                <c:pt idx="713">
                  <c:v>45195</c:v>
                </c:pt>
                <c:pt idx="714">
                  <c:v>45194</c:v>
                </c:pt>
                <c:pt idx="715">
                  <c:v>45193</c:v>
                </c:pt>
                <c:pt idx="716">
                  <c:v>45192</c:v>
                </c:pt>
                <c:pt idx="717">
                  <c:v>45191</c:v>
                </c:pt>
                <c:pt idx="718">
                  <c:v>45190</c:v>
                </c:pt>
                <c:pt idx="719">
                  <c:v>45189</c:v>
                </c:pt>
                <c:pt idx="720">
                  <c:v>45188</c:v>
                </c:pt>
                <c:pt idx="721">
                  <c:v>45187</c:v>
                </c:pt>
                <c:pt idx="722">
                  <c:v>45186</c:v>
                </c:pt>
                <c:pt idx="723">
                  <c:v>45185</c:v>
                </c:pt>
                <c:pt idx="724">
                  <c:v>45184</c:v>
                </c:pt>
                <c:pt idx="725">
                  <c:v>45183</c:v>
                </c:pt>
                <c:pt idx="726">
                  <c:v>45182</c:v>
                </c:pt>
                <c:pt idx="727">
                  <c:v>45181</c:v>
                </c:pt>
                <c:pt idx="728">
                  <c:v>45180</c:v>
                </c:pt>
                <c:pt idx="729">
                  <c:v>45179</c:v>
                </c:pt>
                <c:pt idx="730">
                  <c:v>45178</c:v>
                </c:pt>
                <c:pt idx="731">
                  <c:v>45177</c:v>
                </c:pt>
                <c:pt idx="732">
                  <c:v>45176</c:v>
                </c:pt>
                <c:pt idx="733">
                  <c:v>45175</c:v>
                </c:pt>
                <c:pt idx="734">
                  <c:v>45174</c:v>
                </c:pt>
                <c:pt idx="735">
                  <c:v>45173</c:v>
                </c:pt>
                <c:pt idx="736">
                  <c:v>45172</c:v>
                </c:pt>
                <c:pt idx="737">
                  <c:v>45171</c:v>
                </c:pt>
                <c:pt idx="738">
                  <c:v>45170</c:v>
                </c:pt>
                <c:pt idx="739">
                  <c:v>45169</c:v>
                </c:pt>
                <c:pt idx="740">
                  <c:v>45168</c:v>
                </c:pt>
                <c:pt idx="741">
                  <c:v>45167</c:v>
                </c:pt>
                <c:pt idx="742">
                  <c:v>45166</c:v>
                </c:pt>
                <c:pt idx="743">
                  <c:v>45165</c:v>
                </c:pt>
                <c:pt idx="744">
                  <c:v>45164</c:v>
                </c:pt>
                <c:pt idx="745">
                  <c:v>45163</c:v>
                </c:pt>
                <c:pt idx="746">
                  <c:v>45162</c:v>
                </c:pt>
                <c:pt idx="747">
                  <c:v>45161</c:v>
                </c:pt>
                <c:pt idx="748">
                  <c:v>45160</c:v>
                </c:pt>
                <c:pt idx="749">
                  <c:v>45159</c:v>
                </c:pt>
                <c:pt idx="750">
                  <c:v>45158</c:v>
                </c:pt>
                <c:pt idx="751">
                  <c:v>45157</c:v>
                </c:pt>
                <c:pt idx="752">
                  <c:v>45156</c:v>
                </c:pt>
                <c:pt idx="753">
                  <c:v>45155</c:v>
                </c:pt>
                <c:pt idx="754">
                  <c:v>45154</c:v>
                </c:pt>
                <c:pt idx="755">
                  <c:v>45153</c:v>
                </c:pt>
                <c:pt idx="756">
                  <c:v>45152</c:v>
                </c:pt>
                <c:pt idx="757">
                  <c:v>45151</c:v>
                </c:pt>
                <c:pt idx="758">
                  <c:v>45150</c:v>
                </c:pt>
                <c:pt idx="759">
                  <c:v>45149</c:v>
                </c:pt>
                <c:pt idx="760">
                  <c:v>45148</c:v>
                </c:pt>
                <c:pt idx="761">
                  <c:v>45147</c:v>
                </c:pt>
                <c:pt idx="762">
                  <c:v>45146</c:v>
                </c:pt>
                <c:pt idx="763">
                  <c:v>45145</c:v>
                </c:pt>
                <c:pt idx="764">
                  <c:v>45144</c:v>
                </c:pt>
                <c:pt idx="765">
                  <c:v>45143</c:v>
                </c:pt>
                <c:pt idx="766">
                  <c:v>45142</c:v>
                </c:pt>
                <c:pt idx="767">
                  <c:v>45141</c:v>
                </c:pt>
                <c:pt idx="768">
                  <c:v>45140</c:v>
                </c:pt>
                <c:pt idx="769">
                  <c:v>45139</c:v>
                </c:pt>
                <c:pt idx="770">
                  <c:v>45138</c:v>
                </c:pt>
                <c:pt idx="771">
                  <c:v>45137</c:v>
                </c:pt>
                <c:pt idx="772">
                  <c:v>45136</c:v>
                </c:pt>
                <c:pt idx="773">
                  <c:v>45135</c:v>
                </c:pt>
                <c:pt idx="774">
                  <c:v>45134</c:v>
                </c:pt>
                <c:pt idx="775">
                  <c:v>45133</c:v>
                </c:pt>
                <c:pt idx="776">
                  <c:v>45132</c:v>
                </c:pt>
                <c:pt idx="777">
                  <c:v>45131</c:v>
                </c:pt>
                <c:pt idx="778">
                  <c:v>45130</c:v>
                </c:pt>
                <c:pt idx="779">
                  <c:v>45129</c:v>
                </c:pt>
                <c:pt idx="780">
                  <c:v>45128</c:v>
                </c:pt>
                <c:pt idx="781">
                  <c:v>45127</c:v>
                </c:pt>
                <c:pt idx="782">
                  <c:v>45126</c:v>
                </c:pt>
                <c:pt idx="783">
                  <c:v>45125</c:v>
                </c:pt>
                <c:pt idx="784">
                  <c:v>45124</c:v>
                </c:pt>
                <c:pt idx="785">
                  <c:v>45123</c:v>
                </c:pt>
                <c:pt idx="786">
                  <c:v>45122</c:v>
                </c:pt>
                <c:pt idx="787">
                  <c:v>45121</c:v>
                </c:pt>
                <c:pt idx="788">
                  <c:v>45120</c:v>
                </c:pt>
                <c:pt idx="789">
                  <c:v>45119</c:v>
                </c:pt>
                <c:pt idx="790">
                  <c:v>45118</c:v>
                </c:pt>
                <c:pt idx="791">
                  <c:v>45117</c:v>
                </c:pt>
                <c:pt idx="792">
                  <c:v>45116</c:v>
                </c:pt>
                <c:pt idx="793">
                  <c:v>45115</c:v>
                </c:pt>
                <c:pt idx="794">
                  <c:v>45114</c:v>
                </c:pt>
                <c:pt idx="795">
                  <c:v>45113</c:v>
                </c:pt>
                <c:pt idx="796">
                  <c:v>45112</c:v>
                </c:pt>
                <c:pt idx="797">
                  <c:v>45111</c:v>
                </c:pt>
                <c:pt idx="798">
                  <c:v>45110</c:v>
                </c:pt>
                <c:pt idx="799">
                  <c:v>45109</c:v>
                </c:pt>
                <c:pt idx="800">
                  <c:v>45108</c:v>
                </c:pt>
                <c:pt idx="801">
                  <c:v>45107</c:v>
                </c:pt>
                <c:pt idx="802">
                  <c:v>45106</c:v>
                </c:pt>
                <c:pt idx="803">
                  <c:v>45105</c:v>
                </c:pt>
                <c:pt idx="804">
                  <c:v>45104</c:v>
                </c:pt>
                <c:pt idx="805">
                  <c:v>45103</c:v>
                </c:pt>
                <c:pt idx="806">
                  <c:v>45102</c:v>
                </c:pt>
                <c:pt idx="807">
                  <c:v>45101</c:v>
                </c:pt>
                <c:pt idx="808">
                  <c:v>45100</c:v>
                </c:pt>
                <c:pt idx="809">
                  <c:v>45099</c:v>
                </c:pt>
                <c:pt idx="810">
                  <c:v>45098</c:v>
                </c:pt>
                <c:pt idx="811">
                  <c:v>45097</c:v>
                </c:pt>
                <c:pt idx="812">
                  <c:v>45096</c:v>
                </c:pt>
                <c:pt idx="813">
                  <c:v>45095</c:v>
                </c:pt>
                <c:pt idx="814">
                  <c:v>45094</c:v>
                </c:pt>
                <c:pt idx="815">
                  <c:v>45093</c:v>
                </c:pt>
                <c:pt idx="816">
                  <c:v>45092</c:v>
                </c:pt>
                <c:pt idx="817">
                  <c:v>45091</c:v>
                </c:pt>
                <c:pt idx="818">
                  <c:v>45090</c:v>
                </c:pt>
                <c:pt idx="819">
                  <c:v>45089</c:v>
                </c:pt>
                <c:pt idx="820">
                  <c:v>45088</c:v>
                </c:pt>
                <c:pt idx="821">
                  <c:v>45087</c:v>
                </c:pt>
                <c:pt idx="822">
                  <c:v>45086</c:v>
                </c:pt>
                <c:pt idx="823">
                  <c:v>45085</c:v>
                </c:pt>
                <c:pt idx="824">
                  <c:v>45084</c:v>
                </c:pt>
                <c:pt idx="825">
                  <c:v>45083</c:v>
                </c:pt>
                <c:pt idx="826">
                  <c:v>45082</c:v>
                </c:pt>
                <c:pt idx="827">
                  <c:v>45081</c:v>
                </c:pt>
                <c:pt idx="828">
                  <c:v>45080</c:v>
                </c:pt>
                <c:pt idx="829">
                  <c:v>45079</c:v>
                </c:pt>
                <c:pt idx="830">
                  <c:v>45078</c:v>
                </c:pt>
                <c:pt idx="831">
                  <c:v>45077</c:v>
                </c:pt>
                <c:pt idx="832">
                  <c:v>45076</c:v>
                </c:pt>
                <c:pt idx="833">
                  <c:v>45075</c:v>
                </c:pt>
                <c:pt idx="834">
                  <c:v>45074</c:v>
                </c:pt>
                <c:pt idx="835">
                  <c:v>45073</c:v>
                </c:pt>
                <c:pt idx="836">
                  <c:v>45072</c:v>
                </c:pt>
                <c:pt idx="837">
                  <c:v>45071</c:v>
                </c:pt>
                <c:pt idx="838">
                  <c:v>45070</c:v>
                </c:pt>
                <c:pt idx="839">
                  <c:v>45069</c:v>
                </c:pt>
                <c:pt idx="840">
                  <c:v>45068</c:v>
                </c:pt>
                <c:pt idx="841">
                  <c:v>45067</c:v>
                </c:pt>
                <c:pt idx="842">
                  <c:v>45066</c:v>
                </c:pt>
                <c:pt idx="843">
                  <c:v>45065</c:v>
                </c:pt>
                <c:pt idx="844">
                  <c:v>45064</c:v>
                </c:pt>
                <c:pt idx="845">
                  <c:v>45063</c:v>
                </c:pt>
                <c:pt idx="846">
                  <c:v>45062</c:v>
                </c:pt>
                <c:pt idx="847">
                  <c:v>45061</c:v>
                </c:pt>
                <c:pt idx="848">
                  <c:v>45060</c:v>
                </c:pt>
                <c:pt idx="849">
                  <c:v>45059</c:v>
                </c:pt>
                <c:pt idx="850">
                  <c:v>45058</c:v>
                </c:pt>
                <c:pt idx="851">
                  <c:v>45057</c:v>
                </c:pt>
                <c:pt idx="852">
                  <c:v>45056</c:v>
                </c:pt>
                <c:pt idx="853">
                  <c:v>45055</c:v>
                </c:pt>
                <c:pt idx="854">
                  <c:v>45054</c:v>
                </c:pt>
                <c:pt idx="855">
                  <c:v>45053</c:v>
                </c:pt>
                <c:pt idx="856">
                  <c:v>45052</c:v>
                </c:pt>
                <c:pt idx="857">
                  <c:v>45051</c:v>
                </c:pt>
                <c:pt idx="858">
                  <c:v>45050</c:v>
                </c:pt>
                <c:pt idx="859">
                  <c:v>45049</c:v>
                </c:pt>
                <c:pt idx="860">
                  <c:v>45048</c:v>
                </c:pt>
                <c:pt idx="861">
                  <c:v>45047</c:v>
                </c:pt>
                <c:pt idx="862">
                  <c:v>45046</c:v>
                </c:pt>
                <c:pt idx="863">
                  <c:v>45045</c:v>
                </c:pt>
                <c:pt idx="864">
                  <c:v>45044</c:v>
                </c:pt>
                <c:pt idx="865">
                  <c:v>45043</c:v>
                </c:pt>
                <c:pt idx="866">
                  <c:v>45042</c:v>
                </c:pt>
                <c:pt idx="867">
                  <c:v>45041</c:v>
                </c:pt>
                <c:pt idx="868">
                  <c:v>45040</c:v>
                </c:pt>
                <c:pt idx="869">
                  <c:v>45039</c:v>
                </c:pt>
                <c:pt idx="870">
                  <c:v>45038</c:v>
                </c:pt>
                <c:pt idx="871">
                  <c:v>45037</c:v>
                </c:pt>
                <c:pt idx="872">
                  <c:v>45036</c:v>
                </c:pt>
                <c:pt idx="873">
                  <c:v>45035</c:v>
                </c:pt>
                <c:pt idx="874">
                  <c:v>45034</c:v>
                </c:pt>
                <c:pt idx="875">
                  <c:v>45033</c:v>
                </c:pt>
                <c:pt idx="876">
                  <c:v>45032</c:v>
                </c:pt>
                <c:pt idx="877">
                  <c:v>45031</c:v>
                </c:pt>
                <c:pt idx="878">
                  <c:v>45030</c:v>
                </c:pt>
                <c:pt idx="879">
                  <c:v>45029</c:v>
                </c:pt>
                <c:pt idx="880">
                  <c:v>45028</c:v>
                </c:pt>
                <c:pt idx="881">
                  <c:v>45027</c:v>
                </c:pt>
                <c:pt idx="882">
                  <c:v>45026</c:v>
                </c:pt>
                <c:pt idx="883">
                  <c:v>45025</c:v>
                </c:pt>
                <c:pt idx="884">
                  <c:v>45024</c:v>
                </c:pt>
                <c:pt idx="885">
                  <c:v>45023</c:v>
                </c:pt>
                <c:pt idx="886">
                  <c:v>45022</c:v>
                </c:pt>
                <c:pt idx="887">
                  <c:v>45021</c:v>
                </c:pt>
                <c:pt idx="888">
                  <c:v>45020</c:v>
                </c:pt>
                <c:pt idx="889">
                  <c:v>45019</c:v>
                </c:pt>
                <c:pt idx="890">
                  <c:v>45018</c:v>
                </c:pt>
                <c:pt idx="891">
                  <c:v>45017</c:v>
                </c:pt>
                <c:pt idx="892">
                  <c:v>45016</c:v>
                </c:pt>
                <c:pt idx="893">
                  <c:v>45015</c:v>
                </c:pt>
                <c:pt idx="894">
                  <c:v>45014</c:v>
                </c:pt>
                <c:pt idx="895">
                  <c:v>45013</c:v>
                </c:pt>
                <c:pt idx="896">
                  <c:v>45012</c:v>
                </c:pt>
                <c:pt idx="897">
                  <c:v>45011</c:v>
                </c:pt>
                <c:pt idx="898">
                  <c:v>45010</c:v>
                </c:pt>
                <c:pt idx="899">
                  <c:v>45009</c:v>
                </c:pt>
                <c:pt idx="900">
                  <c:v>45008</c:v>
                </c:pt>
                <c:pt idx="901">
                  <c:v>45007</c:v>
                </c:pt>
                <c:pt idx="902">
                  <c:v>45006</c:v>
                </c:pt>
                <c:pt idx="903">
                  <c:v>45005</c:v>
                </c:pt>
                <c:pt idx="904">
                  <c:v>45004</c:v>
                </c:pt>
                <c:pt idx="905">
                  <c:v>45003</c:v>
                </c:pt>
                <c:pt idx="906">
                  <c:v>45002</c:v>
                </c:pt>
                <c:pt idx="907">
                  <c:v>45001</c:v>
                </c:pt>
                <c:pt idx="908">
                  <c:v>45000</c:v>
                </c:pt>
                <c:pt idx="909">
                  <c:v>44999</c:v>
                </c:pt>
                <c:pt idx="910">
                  <c:v>44998</c:v>
                </c:pt>
                <c:pt idx="911">
                  <c:v>44997</c:v>
                </c:pt>
                <c:pt idx="912">
                  <c:v>44996</c:v>
                </c:pt>
                <c:pt idx="913">
                  <c:v>44995</c:v>
                </c:pt>
                <c:pt idx="914">
                  <c:v>44994</c:v>
                </c:pt>
                <c:pt idx="915">
                  <c:v>44993</c:v>
                </c:pt>
                <c:pt idx="916">
                  <c:v>44992</c:v>
                </c:pt>
                <c:pt idx="917">
                  <c:v>44991</c:v>
                </c:pt>
                <c:pt idx="918">
                  <c:v>44990</c:v>
                </c:pt>
                <c:pt idx="919">
                  <c:v>44989</c:v>
                </c:pt>
                <c:pt idx="920">
                  <c:v>44988</c:v>
                </c:pt>
                <c:pt idx="921">
                  <c:v>44987</c:v>
                </c:pt>
                <c:pt idx="922">
                  <c:v>44986</c:v>
                </c:pt>
                <c:pt idx="923">
                  <c:v>44985</c:v>
                </c:pt>
                <c:pt idx="924">
                  <c:v>44984</c:v>
                </c:pt>
                <c:pt idx="925">
                  <c:v>44983</c:v>
                </c:pt>
                <c:pt idx="926">
                  <c:v>44982</c:v>
                </c:pt>
                <c:pt idx="927">
                  <c:v>44981</c:v>
                </c:pt>
                <c:pt idx="928">
                  <c:v>44980</c:v>
                </c:pt>
                <c:pt idx="929">
                  <c:v>44979</c:v>
                </c:pt>
                <c:pt idx="930">
                  <c:v>44978</c:v>
                </c:pt>
                <c:pt idx="931">
                  <c:v>44977</c:v>
                </c:pt>
                <c:pt idx="932">
                  <c:v>44976</c:v>
                </c:pt>
                <c:pt idx="933">
                  <c:v>44975</c:v>
                </c:pt>
                <c:pt idx="934">
                  <c:v>44974</c:v>
                </c:pt>
                <c:pt idx="935">
                  <c:v>44973</c:v>
                </c:pt>
                <c:pt idx="936">
                  <c:v>44972</c:v>
                </c:pt>
                <c:pt idx="937">
                  <c:v>44971</c:v>
                </c:pt>
                <c:pt idx="938">
                  <c:v>44970</c:v>
                </c:pt>
                <c:pt idx="939">
                  <c:v>44969</c:v>
                </c:pt>
                <c:pt idx="940">
                  <c:v>44968</c:v>
                </c:pt>
                <c:pt idx="941">
                  <c:v>44967</c:v>
                </c:pt>
                <c:pt idx="942">
                  <c:v>44966</c:v>
                </c:pt>
                <c:pt idx="943">
                  <c:v>44965</c:v>
                </c:pt>
                <c:pt idx="944">
                  <c:v>44964</c:v>
                </c:pt>
                <c:pt idx="945">
                  <c:v>44963</c:v>
                </c:pt>
                <c:pt idx="946">
                  <c:v>44962</c:v>
                </c:pt>
                <c:pt idx="947">
                  <c:v>44961</c:v>
                </c:pt>
                <c:pt idx="948">
                  <c:v>44960</c:v>
                </c:pt>
                <c:pt idx="949">
                  <c:v>44959</c:v>
                </c:pt>
                <c:pt idx="950">
                  <c:v>44958</c:v>
                </c:pt>
                <c:pt idx="951">
                  <c:v>44957</c:v>
                </c:pt>
                <c:pt idx="952">
                  <c:v>44956</c:v>
                </c:pt>
                <c:pt idx="953">
                  <c:v>44955</c:v>
                </c:pt>
                <c:pt idx="954">
                  <c:v>44954</c:v>
                </c:pt>
                <c:pt idx="955">
                  <c:v>44953</c:v>
                </c:pt>
                <c:pt idx="956">
                  <c:v>44952</c:v>
                </c:pt>
                <c:pt idx="957">
                  <c:v>44951</c:v>
                </c:pt>
                <c:pt idx="958">
                  <c:v>44950</c:v>
                </c:pt>
                <c:pt idx="959">
                  <c:v>44949</c:v>
                </c:pt>
                <c:pt idx="960">
                  <c:v>44948</c:v>
                </c:pt>
                <c:pt idx="961">
                  <c:v>44947</c:v>
                </c:pt>
                <c:pt idx="962">
                  <c:v>44946</c:v>
                </c:pt>
                <c:pt idx="963">
                  <c:v>44945</c:v>
                </c:pt>
                <c:pt idx="964">
                  <c:v>44944</c:v>
                </c:pt>
                <c:pt idx="965">
                  <c:v>44943</c:v>
                </c:pt>
                <c:pt idx="966">
                  <c:v>44942</c:v>
                </c:pt>
                <c:pt idx="967">
                  <c:v>44941</c:v>
                </c:pt>
                <c:pt idx="968">
                  <c:v>44940</c:v>
                </c:pt>
                <c:pt idx="969">
                  <c:v>44939</c:v>
                </c:pt>
                <c:pt idx="970">
                  <c:v>44938</c:v>
                </c:pt>
                <c:pt idx="971">
                  <c:v>44937</c:v>
                </c:pt>
                <c:pt idx="972">
                  <c:v>44936</c:v>
                </c:pt>
                <c:pt idx="973">
                  <c:v>44935</c:v>
                </c:pt>
                <c:pt idx="974">
                  <c:v>44934</c:v>
                </c:pt>
                <c:pt idx="975">
                  <c:v>44933</c:v>
                </c:pt>
                <c:pt idx="976">
                  <c:v>44932</c:v>
                </c:pt>
                <c:pt idx="977">
                  <c:v>44931</c:v>
                </c:pt>
                <c:pt idx="978">
                  <c:v>44930</c:v>
                </c:pt>
                <c:pt idx="979">
                  <c:v>44929</c:v>
                </c:pt>
                <c:pt idx="980">
                  <c:v>44928</c:v>
                </c:pt>
                <c:pt idx="981">
                  <c:v>44927</c:v>
                </c:pt>
                <c:pt idx="982">
                  <c:v>44926</c:v>
                </c:pt>
                <c:pt idx="983">
                  <c:v>44925</c:v>
                </c:pt>
                <c:pt idx="984">
                  <c:v>44924</c:v>
                </c:pt>
                <c:pt idx="985">
                  <c:v>44923</c:v>
                </c:pt>
                <c:pt idx="986">
                  <c:v>44922</c:v>
                </c:pt>
                <c:pt idx="987">
                  <c:v>44921</c:v>
                </c:pt>
                <c:pt idx="988">
                  <c:v>44920</c:v>
                </c:pt>
                <c:pt idx="989">
                  <c:v>44919</c:v>
                </c:pt>
                <c:pt idx="990">
                  <c:v>44918</c:v>
                </c:pt>
                <c:pt idx="991">
                  <c:v>44917</c:v>
                </c:pt>
                <c:pt idx="992">
                  <c:v>44916</c:v>
                </c:pt>
                <c:pt idx="993">
                  <c:v>44915</c:v>
                </c:pt>
                <c:pt idx="994">
                  <c:v>44914</c:v>
                </c:pt>
                <c:pt idx="995">
                  <c:v>44913</c:v>
                </c:pt>
                <c:pt idx="996">
                  <c:v>44912</c:v>
                </c:pt>
                <c:pt idx="997">
                  <c:v>44911</c:v>
                </c:pt>
                <c:pt idx="998">
                  <c:v>44910</c:v>
                </c:pt>
                <c:pt idx="999">
                  <c:v>44909</c:v>
                </c:pt>
                <c:pt idx="1000">
                  <c:v>44908</c:v>
                </c:pt>
                <c:pt idx="1001">
                  <c:v>44907</c:v>
                </c:pt>
                <c:pt idx="1002">
                  <c:v>44906</c:v>
                </c:pt>
                <c:pt idx="1003">
                  <c:v>44905</c:v>
                </c:pt>
                <c:pt idx="1004">
                  <c:v>44904</c:v>
                </c:pt>
                <c:pt idx="1005">
                  <c:v>44903</c:v>
                </c:pt>
                <c:pt idx="1006">
                  <c:v>44902</c:v>
                </c:pt>
                <c:pt idx="1007">
                  <c:v>44901</c:v>
                </c:pt>
                <c:pt idx="1008">
                  <c:v>44900</c:v>
                </c:pt>
                <c:pt idx="1009">
                  <c:v>44899</c:v>
                </c:pt>
                <c:pt idx="1010">
                  <c:v>44898</c:v>
                </c:pt>
                <c:pt idx="1011">
                  <c:v>44897</c:v>
                </c:pt>
                <c:pt idx="1012">
                  <c:v>44896</c:v>
                </c:pt>
                <c:pt idx="1013">
                  <c:v>44895</c:v>
                </c:pt>
                <c:pt idx="1014">
                  <c:v>44894</c:v>
                </c:pt>
                <c:pt idx="1015">
                  <c:v>44893</c:v>
                </c:pt>
                <c:pt idx="1016">
                  <c:v>44892</c:v>
                </c:pt>
                <c:pt idx="1017">
                  <c:v>44891</c:v>
                </c:pt>
                <c:pt idx="1018">
                  <c:v>44890</c:v>
                </c:pt>
                <c:pt idx="1019">
                  <c:v>44889</c:v>
                </c:pt>
                <c:pt idx="1020">
                  <c:v>44888</c:v>
                </c:pt>
                <c:pt idx="1021">
                  <c:v>44887</c:v>
                </c:pt>
                <c:pt idx="1022">
                  <c:v>44886</c:v>
                </c:pt>
                <c:pt idx="1023">
                  <c:v>44885</c:v>
                </c:pt>
                <c:pt idx="1024">
                  <c:v>44884</c:v>
                </c:pt>
                <c:pt idx="1025">
                  <c:v>44883</c:v>
                </c:pt>
                <c:pt idx="1026">
                  <c:v>44882</c:v>
                </c:pt>
                <c:pt idx="1027">
                  <c:v>44881</c:v>
                </c:pt>
                <c:pt idx="1028">
                  <c:v>44880</c:v>
                </c:pt>
                <c:pt idx="1029">
                  <c:v>44879</c:v>
                </c:pt>
                <c:pt idx="1030">
                  <c:v>44878</c:v>
                </c:pt>
                <c:pt idx="1031">
                  <c:v>44877</c:v>
                </c:pt>
                <c:pt idx="1032">
                  <c:v>44876</c:v>
                </c:pt>
                <c:pt idx="1033">
                  <c:v>44875</c:v>
                </c:pt>
                <c:pt idx="1034">
                  <c:v>44874</c:v>
                </c:pt>
                <c:pt idx="1035">
                  <c:v>44873</c:v>
                </c:pt>
                <c:pt idx="1036">
                  <c:v>44872</c:v>
                </c:pt>
                <c:pt idx="1037">
                  <c:v>44871</c:v>
                </c:pt>
                <c:pt idx="1038">
                  <c:v>44870</c:v>
                </c:pt>
                <c:pt idx="1039">
                  <c:v>44869</c:v>
                </c:pt>
                <c:pt idx="1040">
                  <c:v>44868</c:v>
                </c:pt>
                <c:pt idx="1041">
                  <c:v>44867</c:v>
                </c:pt>
                <c:pt idx="1042">
                  <c:v>44866</c:v>
                </c:pt>
                <c:pt idx="1043">
                  <c:v>44865</c:v>
                </c:pt>
                <c:pt idx="1044">
                  <c:v>44864</c:v>
                </c:pt>
              </c:numCache>
            </c:numRef>
          </c:cat>
          <c:val>
            <c:numRef>
              <c:f>'Stock Data'!$AN$4:$AN$1048</c:f>
              <c:numCache>
                <c:formatCode>#,##0.00_);\(#,##0.00\)</c:formatCode>
                <c:ptCount val="1045"/>
                <c:pt idx="0">
                  <c:v>10.345000000000001</c:v>
                </c:pt>
                <c:pt idx="1">
                  <c:v>10.46</c:v>
                </c:pt>
                <c:pt idx="2">
                  <c:v>10.46</c:v>
                </c:pt>
                <c:pt idx="3">
                  <c:v>10.46</c:v>
                </c:pt>
                <c:pt idx="4">
                  <c:v>10.45</c:v>
                </c:pt>
                <c:pt idx="5">
                  <c:v>10.11</c:v>
                </c:pt>
                <c:pt idx="6">
                  <c:v>10.29</c:v>
                </c:pt>
                <c:pt idx="7">
                  <c:v>10.210000000000001</c:v>
                </c:pt>
                <c:pt idx="8">
                  <c:v>10.210000000000001</c:v>
                </c:pt>
                <c:pt idx="9">
                  <c:v>10.210000000000001</c:v>
                </c:pt>
                <c:pt idx="10">
                  <c:v>10.210000000000001</c:v>
                </c:pt>
                <c:pt idx="11">
                  <c:v>10.16</c:v>
                </c:pt>
                <c:pt idx="12">
                  <c:v>10.15</c:v>
                </c:pt>
                <c:pt idx="13">
                  <c:v>10.73</c:v>
                </c:pt>
                <c:pt idx="14">
                  <c:v>9.9700000000000006</c:v>
                </c:pt>
                <c:pt idx="15">
                  <c:v>9.7799999999999994</c:v>
                </c:pt>
                <c:pt idx="16">
                  <c:v>9.7799999999999994</c:v>
                </c:pt>
                <c:pt idx="17">
                  <c:v>9.7799999999999994</c:v>
                </c:pt>
                <c:pt idx="18">
                  <c:v>9.65</c:v>
                </c:pt>
                <c:pt idx="19">
                  <c:v>9.58</c:v>
                </c:pt>
                <c:pt idx="20">
                  <c:v>9.89</c:v>
                </c:pt>
                <c:pt idx="21">
                  <c:v>10.6</c:v>
                </c:pt>
                <c:pt idx="22">
                  <c:v>10.42</c:v>
                </c:pt>
                <c:pt idx="23">
                  <c:v>10.42</c:v>
                </c:pt>
                <c:pt idx="24">
                  <c:v>10.42</c:v>
                </c:pt>
                <c:pt idx="25">
                  <c:v>10.57</c:v>
                </c:pt>
                <c:pt idx="26">
                  <c:v>10.76</c:v>
                </c:pt>
                <c:pt idx="27">
                  <c:v>10.79</c:v>
                </c:pt>
                <c:pt idx="28">
                  <c:v>10.9</c:v>
                </c:pt>
                <c:pt idx="29">
                  <c:v>10.76</c:v>
                </c:pt>
                <c:pt idx="30">
                  <c:v>10.76</c:v>
                </c:pt>
                <c:pt idx="31">
                  <c:v>10.76</c:v>
                </c:pt>
                <c:pt idx="32">
                  <c:v>10.35</c:v>
                </c:pt>
                <c:pt idx="33">
                  <c:v>11.33</c:v>
                </c:pt>
                <c:pt idx="34">
                  <c:v>9.99</c:v>
                </c:pt>
                <c:pt idx="35">
                  <c:v>10.25</c:v>
                </c:pt>
                <c:pt idx="36">
                  <c:v>10.4</c:v>
                </c:pt>
                <c:pt idx="37">
                  <c:v>10.4</c:v>
                </c:pt>
                <c:pt idx="38">
                  <c:v>10.4</c:v>
                </c:pt>
                <c:pt idx="39">
                  <c:v>10.64</c:v>
                </c:pt>
                <c:pt idx="40">
                  <c:v>10.69</c:v>
                </c:pt>
                <c:pt idx="41">
                  <c:v>10.88</c:v>
                </c:pt>
                <c:pt idx="42">
                  <c:v>10.92</c:v>
                </c:pt>
                <c:pt idx="43">
                  <c:v>11.27</c:v>
                </c:pt>
                <c:pt idx="44">
                  <c:v>11.27</c:v>
                </c:pt>
                <c:pt idx="45">
                  <c:v>11.27</c:v>
                </c:pt>
                <c:pt idx="46">
                  <c:v>11.25</c:v>
                </c:pt>
                <c:pt idx="47">
                  <c:v>11.65</c:v>
                </c:pt>
                <c:pt idx="48">
                  <c:v>11.28</c:v>
                </c:pt>
                <c:pt idx="49">
                  <c:v>11.44</c:v>
                </c:pt>
                <c:pt idx="50">
                  <c:v>11.64</c:v>
                </c:pt>
                <c:pt idx="51">
                  <c:v>11.64</c:v>
                </c:pt>
                <c:pt idx="52">
                  <c:v>11.64</c:v>
                </c:pt>
                <c:pt idx="53">
                  <c:v>11.65</c:v>
                </c:pt>
                <c:pt idx="54">
                  <c:v>11.75</c:v>
                </c:pt>
                <c:pt idx="55">
                  <c:v>11.49</c:v>
                </c:pt>
                <c:pt idx="56">
                  <c:v>11.97</c:v>
                </c:pt>
                <c:pt idx="57">
                  <c:v>12.27</c:v>
                </c:pt>
                <c:pt idx="58">
                  <c:v>12.27</c:v>
                </c:pt>
                <c:pt idx="59">
                  <c:v>12.27</c:v>
                </c:pt>
                <c:pt idx="60">
                  <c:v>13.35</c:v>
                </c:pt>
                <c:pt idx="61">
                  <c:v>13.69</c:v>
                </c:pt>
                <c:pt idx="62">
                  <c:v>14.25</c:v>
                </c:pt>
                <c:pt idx="63">
                  <c:v>14.23</c:v>
                </c:pt>
                <c:pt idx="64">
                  <c:v>13.72</c:v>
                </c:pt>
                <c:pt idx="65">
                  <c:v>13.72</c:v>
                </c:pt>
                <c:pt idx="66">
                  <c:v>13.72</c:v>
                </c:pt>
                <c:pt idx="67">
                  <c:v>13.72</c:v>
                </c:pt>
                <c:pt idx="68">
                  <c:v>13.51</c:v>
                </c:pt>
                <c:pt idx="69">
                  <c:v>13.58</c:v>
                </c:pt>
                <c:pt idx="70">
                  <c:v>13.99</c:v>
                </c:pt>
                <c:pt idx="71">
                  <c:v>14.61</c:v>
                </c:pt>
                <c:pt idx="72">
                  <c:v>14.61</c:v>
                </c:pt>
                <c:pt idx="73">
                  <c:v>14.61</c:v>
                </c:pt>
                <c:pt idx="74">
                  <c:v>14.5</c:v>
                </c:pt>
                <c:pt idx="75">
                  <c:v>14.45</c:v>
                </c:pt>
                <c:pt idx="76">
                  <c:v>14.48</c:v>
                </c:pt>
                <c:pt idx="77">
                  <c:v>13.4</c:v>
                </c:pt>
                <c:pt idx="78">
                  <c:v>12.85</c:v>
                </c:pt>
                <c:pt idx="79">
                  <c:v>12.85</c:v>
                </c:pt>
                <c:pt idx="80">
                  <c:v>12.85</c:v>
                </c:pt>
                <c:pt idx="81">
                  <c:v>12.58</c:v>
                </c:pt>
                <c:pt idx="82">
                  <c:v>12.58</c:v>
                </c:pt>
                <c:pt idx="83">
                  <c:v>11.95</c:v>
                </c:pt>
                <c:pt idx="84">
                  <c:v>12.3</c:v>
                </c:pt>
                <c:pt idx="85">
                  <c:v>12.21</c:v>
                </c:pt>
                <c:pt idx="86">
                  <c:v>12.21</c:v>
                </c:pt>
                <c:pt idx="87">
                  <c:v>12.21</c:v>
                </c:pt>
                <c:pt idx="88">
                  <c:v>12.56</c:v>
                </c:pt>
                <c:pt idx="89">
                  <c:v>13.9</c:v>
                </c:pt>
                <c:pt idx="90">
                  <c:v>13.93</c:v>
                </c:pt>
                <c:pt idx="91">
                  <c:v>13.89</c:v>
                </c:pt>
                <c:pt idx="92">
                  <c:v>14.18</c:v>
                </c:pt>
                <c:pt idx="93">
                  <c:v>14.18</c:v>
                </c:pt>
                <c:pt idx="94">
                  <c:v>14.18</c:v>
                </c:pt>
                <c:pt idx="95">
                  <c:v>13.55</c:v>
                </c:pt>
                <c:pt idx="96">
                  <c:v>13.49</c:v>
                </c:pt>
                <c:pt idx="97">
                  <c:v>13.14</c:v>
                </c:pt>
                <c:pt idx="98">
                  <c:v>13.2</c:v>
                </c:pt>
                <c:pt idx="99">
                  <c:v>12.67</c:v>
                </c:pt>
                <c:pt idx="100">
                  <c:v>12.67</c:v>
                </c:pt>
                <c:pt idx="101">
                  <c:v>12.67</c:v>
                </c:pt>
                <c:pt idx="102">
                  <c:v>12.94</c:v>
                </c:pt>
                <c:pt idx="103">
                  <c:v>13.21</c:v>
                </c:pt>
                <c:pt idx="104">
                  <c:v>13.03</c:v>
                </c:pt>
                <c:pt idx="105">
                  <c:v>11.98</c:v>
                </c:pt>
                <c:pt idx="106">
                  <c:v>11.98</c:v>
                </c:pt>
                <c:pt idx="107">
                  <c:v>11.98</c:v>
                </c:pt>
                <c:pt idx="108">
                  <c:v>11.98</c:v>
                </c:pt>
                <c:pt idx="109">
                  <c:v>11.73</c:v>
                </c:pt>
                <c:pt idx="110">
                  <c:v>11.33</c:v>
                </c:pt>
                <c:pt idx="111">
                  <c:v>12.21</c:v>
                </c:pt>
                <c:pt idx="112">
                  <c:v>11.89</c:v>
                </c:pt>
                <c:pt idx="113">
                  <c:v>11.81</c:v>
                </c:pt>
                <c:pt idx="114">
                  <c:v>11.81</c:v>
                </c:pt>
                <c:pt idx="115">
                  <c:v>11.81</c:v>
                </c:pt>
                <c:pt idx="116">
                  <c:v>11.39</c:v>
                </c:pt>
                <c:pt idx="117">
                  <c:v>12.1</c:v>
                </c:pt>
                <c:pt idx="118">
                  <c:v>12.43</c:v>
                </c:pt>
                <c:pt idx="119">
                  <c:v>12.16</c:v>
                </c:pt>
                <c:pt idx="120">
                  <c:v>11.64</c:v>
                </c:pt>
                <c:pt idx="121">
                  <c:v>11.64</c:v>
                </c:pt>
                <c:pt idx="122">
                  <c:v>11.64</c:v>
                </c:pt>
                <c:pt idx="123">
                  <c:v>11.61</c:v>
                </c:pt>
                <c:pt idx="124">
                  <c:v>10.84</c:v>
                </c:pt>
                <c:pt idx="125">
                  <c:v>9.6999999999999993</c:v>
                </c:pt>
                <c:pt idx="126">
                  <c:v>9.86</c:v>
                </c:pt>
                <c:pt idx="127">
                  <c:v>9.93</c:v>
                </c:pt>
                <c:pt idx="128">
                  <c:v>9.93</c:v>
                </c:pt>
                <c:pt idx="129">
                  <c:v>9.93</c:v>
                </c:pt>
                <c:pt idx="130">
                  <c:v>9.6</c:v>
                </c:pt>
                <c:pt idx="131">
                  <c:v>9.35</c:v>
                </c:pt>
                <c:pt idx="132">
                  <c:v>9.48</c:v>
                </c:pt>
                <c:pt idx="133">
                  <c:v>9.5</c:v>
                </c:pt>
                <c:pt idx="134">
                  <c:v>9.27</c:v>
                </c:pt>
                <c:pt idx="135">
                  <c:v>9.27</c:v>
                </c:pt>
                <c:pt idx="136">
                  <c:v>9.27</c:v>
                </c:pt>
                <c:pt idx="137">
                  <c:v>9.3699999999999992</c:v>
                </c:pt>
                <c:pt idx="138">
                  <c:v>8.86</c:v>
                </c:pt>
                <c:pt idx="139">
                  <c:v>8.44</c:v>
                </c:pt>
                <c:pt idx="140">
                  <c:v>7.98</c:v>
                </c:pt>
                <c:pt idx="141">
                  <c:v>8.3000000000000007</c:v>
                </c:pt>
                <c:pt idx="142">
                  <c:v>8.3000000000000007</c:v>
                </c:pt>
                <c:pt idx="143">
                  <c:v>8.3000000000000007</c:v>
                </c:pt>
                <c:pt idx="144">
                  <c:v>8.3000000000000007</c:v>
                </c:pt>
                <c:pt idx="145">
                  <c:v>8.35</c:v>
                </c:pt>
                <c:pt idx="146">
                  <c:v>8.49</c:v>
                </c:pt>
                <c:pt idx="147">
                  <c:v>8.27</c:v>
                </c:pt>
                <c:pt idx="148">
                  <c:v>8.4700000000000006</c:v>
                </c:pt>
                <c:pt idx="149">
                  <c:v>8.4700000000000006</c:v>
                </c:pt>
                <c:pt idx="150">
                  <c:v>8.4700000000000006</c:v>
                </c:pt>
                <c:pt idx="151">
                  <c:v>8.33</c:v>
                </c:pt>
                <c:pt idx="152">
                  <c:v>8.66</c:v>
                </c:pt>
                <c:pt idx="153">
                  <c:v>7.92</c:v>
                </c:pt>
                <c:pt idx="154">
                  <c:v>8.16</c:v>
                </c:pt>
                <c:pt idx="155">
                  <c:v>8.27</c:v>
                </c:pt>
                <c:pt idx="156">
                  <c:v>8.27</c:v>
                </c:pt>
                <c:pt idx="157">
                  <c:v>8.27</c:v>
                </c:pt>
                <c:pt idx="158">
                  <c:v>8.9600000000000009</c:v>
                </c:pt>
                <c:pt idx="159">
                  <c:v>9.7799999999999994</c:v>
                </c:pt>
                <c:pt idx="160">
                  <c:v>9.33</c:v>
                </c:pt>
                <c:pt idx="161">
                  <c:v>9.3000000000000007</c:v>
                </c:pt>
                <c:pt idx="162">
                  <c:v>9.51</c:v>
                </c:pt>
                <c:pt idx="163">
                  <c:v>9.51</c:v>
                </c:pt>
                <c:pt idx="164">
                  <c:v>9.51</c:v>
                </c:pt>
                <c:pt idx="165">
                  <c:v>9.32</c:v>
                </c:pt>
                <c:pt idx="166">
                  <c:v>9.9499999999999993</c:v>
                </c:pt>
                <c:pt idx="167">
                  <c:v>10.74</c:v>
                </c:pt>
                <c:pt idx="168">
                  <c:v>10.93</c:v>
                </c:pt>
                <c:pt idx="169">
                  <c:v>9.76</c:v>
                </c:pt>
                <c:pt idx="170">
                  <c:v>9.76</c:v>
                </c:pt>
                <c:pt idx="171">
                  <c:v>9.76</c:v>
                </c:pt>
                <c:pt idx="172">
                  <c:v>9.91</c:v>
                </c:pt>
                <c:pt idx="173">
                  <c:v>9.68</c:v>
                </c:pt>
                <c:pt idx="174">
                  <c:v>9.14</c:v>
                </c:pt>
                <c:pt idx="175">
                  <c:v>9.25</c:v>
                </c:pt>
                <c:pt idx="176">
                  <c:v>9.25</c:v>
                </c:pt>
                <c:pt idx="177">
                  <c:v>9.25</c:v>
                </c:pt>
                <c:pt idx="178">
                  <c:v>9.25</c:v>
                </c:pt>
                <c:pt idx="179">
                  <c:v>8.8800000000000008</c:v>
                </c:pt>
                <c:pt idx="180">
                  <c:v>9.35</c:v>
                </c:pt>
                <c:pt idx="181">
                  <c:v>9.2100000000000009</c:v>
                </c:pt>
                <c:pt idx="182">
                  <c:v>9.0500000000000007</c:v>
                </c:pt>
                <c:pt idx="183">
                  <c:v>9.65</c:v>
                </c:pt>
                <c:pt idx="184">
                  <c:v>9.65</c:v>
                </c:pt>
                <c:pt idx="185">
                  <c:v>9.65</c:v>
                </c:pt>
                <c:pt idx="186">
                  <c:v>9.69</c:v>
                </c:pt>
                <c:pt idx="187">
                  <c:v>10.36</c:v>
                </c:pt>
                <c:pt idx="188">
                  <c:v>9.35</c:v>
                </c:pt>
                <c:pt idx="189">
                  <c:v>9.59</c:v>
                </c:pt>
                <c:pt idx="190">
                  <c:v>9.86</c:v>
                </c:pt>
                <c:pt idx="191">
                  <c:v>9.86</c:v>
                </c:pt>
                <c:pt idx="192">
                  <c:v>9.86</c:v>
                </c:pt>
                <c:pt idx="193">
                  <c:v>10.130000000000001</c:v>
                </c:pt>
                <c:pt idx="194">
                  <c:v>10.51</c:v>
                </c:pt>
                <c:pt idx="195">
                  <c:v>10.7</c:v>
                </c:pt>
                <c:pt idx="196">
                  <c:v>10.93</c:v>
                </c:pt>
                <c:pt idx="197">
                  <c:v>11.29</c:v>
                </c:pt>
                <c:pt idx="198">
                  <c:v>11.29</c:v>
                </c:pt>
                <c:pt idx="199">
                  <c:v>11.29</c:v>
                </c:pt>
                <c:pt idx="200">
                  <c:v>11.32</c:v>
                </c:pt>
                <c:pt idx="201">
                  <c:v>11.62</c:v>
                </c:pt>
                <c:pt idx="202">
                  <c:v>12</c:v>
                </c:pt>
                <c:pt idx="203">
                  <c:v>13.11</c:v>
                </c:pt>
                <c:pt idx="204">
                  <c:v>13.11</c:v>
                </c:pt>
                <c:pt idx="205">
                  <c:v>13.11</c:v>
                </c:pt>
                <c:pt idx="206">
                  <c:v>13.11</c:v>
                </c:pt>
                <c:pt idx="207">
                  <c:v>13.03</c:v>
                </c:pt>
                <c:pt idx="208">
                  <c:v>14.3</c:v>
                </c:pt>
                <c:pt idx="209">
                  <c:v>15</c:v>
                </c:pt>
                <c:pt idx="210">
                  <c:v>15.42</c:v>
                </c:pt>
                <c:pt idx="211">
                  <c:v>16.940000000000001</c:v>
                </c:pt>
                <c:pt idx="212">
                  <c:v>16.940000000000001</c:v>
                </c:pt>
                <c:pt idx="213">
                  <c:v>16.940000000000001</c:v>
                </c:pt>
                <c:pt idx="214">
                  <c:v>16.36</c:v>
                </c:pt>
                <c:pt idx="215">
                  <c:v>15.57</c:v>
                </c:pt>
                <c:pt idx="216">
                  <c:v>15</c:v>
                </c:pt>
                <c:pt idx="217">
                  <c:v>13.77</c:v>
                </c:pt>
                <c:pt idx="218">
                  <c:v>13.71</c:v>
                </c:pt>
                <c:pt idx="219">
                  <c:v>13.71</c:v>
                </c:pt>
                <c:pt idx="220">
                  <c:v>13.71</c:v>
                </c:pt>
                <c:pt idx="221">
                  <c:v>13.81</c:v>
                </c:pt>
                <c:pt idx="222">
                  <c:v>13.85</c:v>
                </c:pt>
                <c:pt idx="223">
                  <c:v>13.88</c:v>
                </c:pt>
                <c:pt idx="224">
                  <c:v>12.49</c:v>
                </c:pt>
                <c:pt idx="225">
                  <c:v>12.64</c:v>
                </c:pt>
                <c:pt idx="226">
                  <c:v>12.64</c:v>
                </c:pt>
                <c:pt idx="227">
                  <c:v>12.64</c:v>
                </c:pt>
                <c:pt idx="228">
                  <c:v>12.04</c:v>
                </c:pt>
                <c:pt idx="229">
                  <c:v>11.84</c:v>
                </c:pt>
                <c:pt idx="230">
                  <c:v>11.92</c:v>
                </c:pt>
                <c:pt idx="231">
                  <c:v>11.02</c:v>
                </c:pt>
                <c:pt idx="232">
                  <c:v>11.02</c:v>
                </c:pt>
                <c:pt idx="233">
                  <c:v>11.02</c:v>
                </c:pt>
                <c:pt idx="234">
                  <c:v>11.02</c:v>
                </c:pt>
                <c:pt idx="235">
                  <c:v>11.26</c:v>
                </c:pt>
                <c:pt idx="236">
                  <c:v>11.91</c:v>
                </c:pt>
                <c:pt idx="237">
                  <c:v>10.61</c:v>
                </c:pt>
                <c:pt idx="238">
                  <c:v>9.74</c:v>
                </c:pt>
                <c:pt idx="239">
                  <c:v>9.2899999999999991</c:v>
                </c:pt>
                <c:pt idx="240">
                  <c:v>9.2899999999999991</c:v>
                </c:pt>
                <c:pt idx="241">
                  <c:v>9.2899999999999991</c:v>
                </c:pt>
                <c:pt idx="242">
                  <c:v>8.2200000000000006</c:v>
                </c:pt>
                <c:pt idx="243">
                  <c:v>8.2200000000000006</c:v>
                </c:pt>
                <c:pt idx="244">
                  <c:v>7.22</c:v>
                </c:pt>
                <c:pt idx="245">
                  <c:v>7.56</c:v>
                </c:pt>
                <c:pt idx="246">
                  <c:v>8.58</c:v>
                </c:pt>
                <c:pt idx="247">
                  <c:v>8.58</c:v>
                </c:pt>
                <c:pt idx="248">
                  <c:v>8.58</c:v>
                </c:pt>
                <c:pt idx="249">
                  <c:v>8.08</c:v>
                </c:pt>
                <c:pt idx="250">
                  <c:v>7.66</c:v>
                </c:pt>
                <c:pt idx="251">
                  <c:v>7.66</c:v>
                </c:pt>
                <c:pt idx="252">
                  <c:v>7.56</c:v>
                </c:pt>
                <c:pt idx="253">
                  <c:v>7.65</c:v>
                </c:pt>
                <c:pt idx="254">
                  <c:v>7.65</c:v>
                </c:pt>
                <c:pt idx="255">
                  <c:v>7.65</c:v>
                </c:pt>
                <c:pt idx="256">
                  <c:v>7.9</c:v>
                </c:pt>
                <c:pt idx="257">
                  <c:v>7.36</c:v>
                </c:pt>
                <c:pt idx="258">
                  <c:v>7.36</c:v>
                </c:pt>
                <c:pt idx="259">
                  <c:v>7.16</c:v>
                </c:pt>
                <c:pt idx="260">
                  <c:v>7.23</c:v>
                </c:pt>
                <c:pt idx="261">
                  <c:v>7.23</c:v>
                </c:pt>
                <c:pt idx="262">
                  <c:v>7.23</c:v>
                </c:pt>
                <c:pt idx="263">
                  <c:v>7.22</c:v>
                </c:pt>
                <c:pt idx="264">
                  <c:v>7.31</c:v>
                </c:pt>
                <c:pt idx="265">
                  <c:v>7.71</c:v>
                </c:pt>
                <c:pt idx="266">
                  <c:v>7.58</c:v>
                </c:pt>
                <c:pt idx="267">
                  <c:v>7.34</c:v>
                </c:pt>
                <c:pt idx="268">
                  <c:v>7.34</c:v>
                </c:pt>
                <c:pt idx="269">
                  <c:v>7.34</c:v>
                </c:pt>
                <c:pt idx="270">
                  <c:v>6.66</c:v>
                </c:pt>
                <c:pt idx="271">
                  <c:v>6.84</c:v>
                </c:pt>
                <c:pt idx="272">
                  <c:v>6.85</c:v>
                </c:pt>
                <c:pt idx="273">
                  <c:v>6.84</c:v>
                </c:pt>
                <c:pt idx="274">
                  <c:v>7.29</c:v>
                </c:pt>
                <c:pt idx="275">
                  <c:v>7.29</c:v>
                </c:pt>
                <c:pt idx="276">
                  <c:v>7.29</c:v>
                </c:pt>
                <c:pt idx="277">
                  <c:v>7.35</c:v>
                </c:pt>
                <c:pt idx="278">
                  <c:v>7.73</c:v>
                </c:pt>
                <c:pt idx="279">
                  <c:v>7.68</c:v>
                </c:pt>
                <c:pt idx="280">
                  <c:v>7.7</c:v>
                </c:pt>
                <c:pt idx="281">
                  <c:v>8.16</c:v>
                </c:pt>
                <c:pt idx="282">
                  <c:v>8.16</c:v>
                </c:pt>
                <c:pt idx="283">
                  <c:v>8.16</c:v>
                </c:pt>
                <c:pt idx="284">
                  <c:v>7.98</c:v>
                </c:pt>
                <c:pt idx="285">
                  <c:v>7.98</c:v>
                </c:pt>
                <c:pt idx="286">
                  <c:v>8</c:v>
                </c:pt>
                <c:pt idx="287">
                  <c:v>7.85</c:v>
                </c:pt>
                <c:pt idx="288">
                  <c:v>7.61</c:v>
                </c:pt>
                <c:pt idx="289">
                  <c:v>7.61</c:v>
                </c:pt>
                <c:pt idx="290">
                  <c:v>7.61</c:v>
                </c:pt>
                <c:pt idx="291">
                  <c:v>7.22</c:v>
                </c:pt>
                <c:pt idx="292">
                  <c:v>7.1</c:v>
                </c:pt>
                <c:pt idx="293">
                  <c:v>7.13</c:v>
                </c:pt>
                <c:pt idx="294">
                  <c:v>6.91</c:v>
                </c:pt>
                <c:pt idx="295">
                  <c:v>6.53</c:v>
                </c:pt>
                <c:pt idx="296">
                  <c:v>6.53</c:v>
                </c:pt>
                <c:pt idx="297">
                  <c:v>6.53</c:v>
                </c:pt>
                <c:pt idx="298">
                  <c:v>6.57</c:v>
                </c:pt>
                <c:pt idx="299">
                  <c:v>6.75</c:v>
                </c:pt>
                <c:pt idx="300">
                  <c:v>7.14</c:v>
                </c:pt>
                <c:pt idx="301">
                  <c:v>6.83</c:v>
                </c:pt>
                <c:pt idx="302">
                  <c:v>6.5</c:v>
                </c:pt>
                <c:pt idx="303">
                  <c:v>6.5</c:v>
                </c:pt>
                <c:pt idx="304">
                  <c:v>6.5</c:v>
                </c:pt>
                <c:pt idx="305">
                  <c:v>6.62</c:v>
                </c:pt>
                <c:pt idx="306">
                  <c:v>5.41</c:v>
                </c:pt>
                <c:pt idx="307">
                  <c:v>4.9400000000000004</c:v>
                </c:pt>
                <c:pt idx="308">
                  <c:v>4.8499999999999996</c:v>
                </c:pt>
                <c:pt idx="309">
                  <c:v>5.05</c:v>
                </c:pt>
                <c:pt idx="310">
                  <c:v>5.05</c:v>
                </c:pt>
                <c:pt idx="311">
                  <c:v>5.05</c:v>
                </c:pt>
                <c:pt idx="312">
                  <c:v>5.12</c:v>
                </c:pt>
                <c:pt idx="313">
                  <c:v>5.24</c:v>
                </c:pt>
                <c:pt idx="314">
                  <c:v>5.25</c:v>
                </c:pt>
                <c:pt idx="315">
                  <c:v>5.39</c:v>
                </c:pt>
                <c:pt idx="316">
                  <c:v>5.05</c:v>
                </c:pt>
                <c:pt idx="317">
                  <c:v>5.05</c:v>
                </c:pt>
                <c:pt idx="318">
                  <c:v>5.05</c:v>
                </c:pt>
                <c:pt idx="319">
                  <c:v>5.12</c:v>
                </c:pt>
                <c:pt idx="320">
                  <c:v>5.15</c:v>
                </c:pt>
                <c:pt idx="321">
                  <c:v>5.55</c:v>
                </c:pt>
                <c:pt idx="322">
                  <c:v>5.36</c:v>
                </c:pt>
                <c:pt idx="323">
                  <c:v>5.19</c:v>
                </c:pt>
                <c:pt idx="324">
                  <c:v>5.19</c:v>
                </c:pt>
                <c:pt idx="325">
                  <c:v>5.19</c:v>
                </c:pt>
                <c:pt idx="326">
                  <c:v>4.82</c:v>
                </c:pt>
                <c:pt idx="327">
                  <c:v>4.87</c:v>
                </c:pt>
                <c:pt idx="328">
                  <c:v>4.88</c:v>
                </c:pt>
                <c:pt idx="329">
                  <c:v>4.92</c:v>
                </c:pt>
                <c:pt idx="330">
                  <c:v>4.7</c:v>
                </c:pt>
                <c:pt idx="331">
                  <c:v>4.7</c:v>
                </c:pt>
                <c:pt idx="332">
                  <c:v>4.7</c:v>
                </c:pt>
                <c:pt idx="333">
                  <c:v>4.83</c:v>
                </c:pt>
                <c:pt idx="334">
                  <c:v>4.96</c:v>
                </c:pt>
                <c:pt idx="335">
                  <c:v>4.75</c:v>
                </c:pt>
                <c:pt idx="336">
                  <c:v>4.57</c:v>
                </c:pt>
                <c:pt idx="337">
                  <c:v>4.47</c:v>
                </c:pt>
                <c:pt idx="338">
                  <c:v>4.47</c:v>
                </c:pt>
                <c:pt idx="339">
                  <c:v>4.47</c:v>
                </c:pt>
                <c:pt idx="340">
                  <c:v>4.5199999999999996</c:v>
                </c:pt>
                <c:pt idx="341">
                  <c:v>4.6900000000000004</c:v>
                </c:pt>
                <c:pt idx="342">
                  <c:v>4.9400000000000004</c:v>
                </c:pt>
                <c:pt idx="343">
                  <c:v>4.7300000000000004</c:v>
                </c:pt>
                <c:pt idx="344">
                  <c:v>4.88</c:v>
                </c:pt>
                <c:pt idx="345">
                  <c:v>4.88</c:v>
                </c:pt>
                <c:pt idx="346">
                  <c:v>4.88</c:v>
                </c:pt>
                <c:pt idx="347">
                  <c:v>4.76</c:v>
                </c:pt>
                <c:pt idx="348">
                  <c:v>4.57</c:v>
                </c:pt>
                <c:pt idx="349">
                  <c:v>4.5</c:v>
                </c:pt>
                <c:pt idx="350">
                  <c:v>4.46</c:v>
                </c:pt>
                <c:pt idx="351">
                  <c:v>4.38</c:v>
                </c:pt>
                <c:pt idx="352">
                  <c:v>4.38</c:v>
                </c:pt>
                <c:pt idx="353">
                  <c:v>4.38</c:v>
                </c:pt>
                <c:pt idx="354">
                  <c:v>4.32</c:v>
                </c:pt>
                <c:pt idx="355">
                  <c:v>4.3600000000000003</c:v>
                </c:pt>
                <c:pt idx="356">
                  <c:v>4.46</c:v>
                </c:pt>
                <c:pt idx="357">
                  <c:v>4.3</c:v>
                </c:pt>
                <c:pt idx="358">
                  <c:v>4.33</c:v>
                </c:pt>
                <c:pt idx="359">
                  <c:v>4.33</c:v>
                </c:pt>
                <c:pt idx="360">
                  <c:v>4.33</c:v>
                </c:pt>
                <c:pt idx="361">
                  <c:v>4.26</c:v>
                </c:pt>
                <c:pt idx="362">
                  <c:v>4.18</c:v>
                </c:pt>
                <c:pt idx="363">
                  <c:v>4.0599999999999996</c:v>
                </c:pt>
                <c:pt idx="364">
                  <c:v>4.2699999999999996</c:v>
                </c:pt>
                <c:pt idx="365">
                  <c:v>4.07</c:v>
                </c:pt>
                <c:pt idx="366">
                  <c:v>4.07</c:v>
                </c:pt>
                <c:pt idx="367">
                  <c:v>4.07</c:v>
                </c:pt>
                <c:pt idx="368">
                  <c:v>4.22</c:v>
                </c:pt>
                <c:pt idx="369">
                  <c:v>4.34</c:v>
                </c:pt>
                <c:pt idx="370">
                  <c:v>4.7300000000000004</c:v>
                </c:pt>
                <c:pt idx="371">
                  <c:v>4.7699999999999996</c:v>
                </c:pt>
                <c:pt idx="372">
                  <c:v>4.7699999999999996</c:v>
                </c:pt>
                <c:pt idx="373">
                  <c:v>4.7699999999999996</c:v>
                </c:pt>
                <c:pt idx="374">
                  <c:v>4.7699999999999996</c:v>
                </c:pt>
                <c:pt idx="375">
                  <c:v>4.6100000000000003</c:v>
                </c:pt>
                <c:pt idx="376">
                  <c:v>4.54</c:v>
                </c:pt>
                <c:pt idx="377">
                  <c:v>4.63</c:v>
                </c:pt>
                <c:pt idx="378">
                  <c:v>4.75</c:v>
                </c:pt>
                <c:pt idx="379">
                  <c:v>4.53</c:v>
                </c:pt>
                <c:pt idx="380">
                  <c:v>4.53</c:v>
                </c:pt>
                <c:pt idx="381">
                  <c:v>4.53</c:v>
                </c:pt>
                <c:pt idx="382">
                  <c:v>4.43</c:v>
                </c:pt>
                <c:pt idx="383">
                  <c:v>4.54</c:v>
                </c:pt>
                <c:pt idx="384">
                  <c:v>4.6900000000000004</c:v>
                </c:pt>
                <c:pt idx="385">
                  <c:v>4.45</c:v>
                </c:pt>
                <c:pt idx="386">
                  <c:v>4.47</c:v>
                </c:pt>
                <c:pt idx="387">
                  <c:v>4.47</c:v>
                </c:pt>
                <c:pt idx="388">
                  <c:v>4.47</c:v>
                </c:pt>
                <c:pt idx="389">
                  <c:v>4.34</c:v>
                </c:pt>
                <c:pt idx="390">
                  <c:v>4.46</c:v>
                </c:pt>
                <c:pt idx="391">
                  <c:v>4.7</c:v>
                </c:pt>
                <c:pt idx="392">
                  <c:v>4.6100000000000003</c:v>
                </c:pt>
                <c:pt idx="393">
                  <c:v>4.5199999999999996</c:v>
                </c:pt>
                <c:pt idx="394">
                  <c:v>4.5199999999999996</c:v>
                </c:pt>
                <c:pt idx="395">
                  <c:v>4.5199999999999996</c:v>
                </c:pt>
                <c:pt idx="396">
                  <c:v>3.93</c:v>
                </c:pt>
                <c:pt idx="397">
                  <c:v>3.84</c:v>
                </c:pt>
                <c:pt idx="398">
                  <c:v>3.39</c:v>
                </c:pt>
                <c:pt idx="399">
                  <c:v>3.13</c:v>
                </c:pt>
                <c:pt idx="400">
                  <c:v>3.51</c:v>
                </c:pt>
                <c:pt idx="401">
                  <c:v>3.51</c:v>
                </c:pt>
                <c:pt idx="402">
                  <c:v>3.51</c:v>
                </c:pt>
                <c:pt idx="403">
                  <c:v>3.67</c:v>
                </c:pt>
                <c:pt idx="404">
                  <c:v>3.86</c:v>
                </c:pt>
                <c:pt idx="405">
                  <c:v>3.68</c:v>
                </c:pt>
                <c:pt idx="406">
                  <c:v>3.84</c:v>
                </c:pt>
                <c:pt idx="407">
                  <c:v>4.17</c:v>
                </c:pt>
                <c:pt idx="408">
                  <c:v>4.17</c:v>
                </c:pt>
                <c:pt idx="409">
                  <c:v>4.17</c:v>
                </c:pt>
                <c:pt idx="410">
                  <c:v>3.99</c:v>
                </c:pt>
                <c:pt idx="411">
                  <c:v>3.93</c:v>
                </c:pt>
                <c:pt idx="412">
                  <c:v>4.08</c:v>
                </c:pt>
                <c:pt idx="413">
                  <c:v>3.91</c:v>
                </c:pt>
                <c:pt idx="414">
                  <c:v>3.82</c:v>
                </c:pt>
                <c:pt idx="415">
                  <c:v>3.82</c:v>
                </c:pt>
                <c:pt idx="416">
                  <c:v>3.82</c:v>
                </c:pt>
                <c:pt idx="417">
                  <c:v>4.08</c:v>
                </c:pt>
                <c:pt idx="418">
                  <c:v>4.04</c:v>
                </c:pt>
                <c:pt idx="419">
                  <c:v>4.04</c:v>
                </c:pt>
                <c:pt idx="420">
                  <c:v>3.81</c:v>
                </c:pt>
                <c:pt idx="421">
                  <c:v>3.62</c:v>
                </c:pt>
                <c:pt idx="422">
                  <c:v>3.62</c:v>
                </c:pt>
                <c:pt idx="423">
                  <c:v>3.62</c:v>
                </c:pt>
                <c:pt idx="424">
                  <c:v>3.59</c:v>
                </c:pt>
                <c:pt idx="425">
                  <c:v>3.47</c:v>
                </c:pt>
                <c:pt idx="426">
                  <c:v>3.48</c:v>
                </c:pt>
                <c:pt idx="427">
                  <c:v>3.52</c:v>
                </c:pt>
                <c:pt idx="428">
                  <c:v>3.45</c:v>
                </c:pt>
                <c:pt idx="429">
                  <c:v>3.45</c:v>
                </c:pt>
                <c:pt idx="430">
                  <c:v>3.45</c:v>
                </c:pt>
                <c:pt idx="431">
                  <c:v>3.54</c:v>
                </c:pt>
                <c:pt idx="432">
                  <c:v>3.54</c:v>
                </c:pt>
                <c:pt idx="433">
                  <c:v>3.52</c:v>
                </c:pt>
                <c:pt idx="434">
                  <c:v>3.52</c:v>
                </c:pt>
                <c:pt idx="435">
                  <c:v>3.39</c:v>
                </c:pt>
                <c:pt idx="436">
                  <c:v>3.39</c:v>
                </c:pt>
                <c:pt idx="437">
                  <c:v>3.39</c:v>
                </c:pt>
                <c:pt idx="438">
                  <c:v>3.39</c:v>
                </c:pt>
                <c:pt idx="439">
                  <c:v>3.39</c:v>
                </c:pt>
                <c:pt idx="440">
                  <c:v>3.37</c:v>
                </c:pt>
                <c:pt idx="441">
                  <c:v>3.36</c:v>
                </c:pt>
                <c:pt idx="442">
                  <c:v>3.35</c:v>
                </c:pt>
                <c:pt idx="443">
                  <c:v>3.35</c:v>
                </c:pt>
                <c:pt idx="444">
                  <c:v>3.35</c:v>
                </c:pt>
                <c:pt idx="445">
                  <c:v>3.24</c:v>
                </c:pt>
                <c:pt idx="446">
                  <c:v>3.4</c:v>
                </c:pt>
                <c:pt idx="447">
                  <c:v>3.4</c:v>
                </c:pt>
                <c:pt idx="448">
                  <c:v>3.46</c:v>
                </c:pt>
                <c:pt idx="449">
                  <c:v>3.26</c:v>
                </c:pt>
                <c:pt idx="450">
                  <c:v>3.26</c:v>
                </c:pt>
                <c:pt idx="451">
                  <c:v>3.26</c:v>
                </c:pt>
                <c:pt idx="452">
                  <c:v>3.26</c:v>
                </c:pt>
                <c:pt idx="453">
                  <c:v>3.27</c:v>
                </c:pt>
                <c:pt idx="454">
                  <c:v>3.27</c:v>
                </c:pt>
                <c:pt idx="455">
                  <c:v>3.08</c:v>
                </c:pt>
                <c:pt idx="456">
                  <c:v>3.22</c:v>
                </c:pt>
                <c:pt idx="457">
                  <c:v>3.22</c:v>
                </c:pt>
                <c:pt idx="458">
                  <c:v>3.22</c:v>
                </c:pt>
                <c:pt idx="459">
                  <c:v>3.17</c:v>
                </c:pt>
                <c:pt idx="460">
                  <c:v>3.23</c:v>
                </c:pt>
                <c:pt idx="461">
                  <c:v>3.26</c:v>
                </c:pt>
                <c:pt idx="462">
                  <c:v>3.24</c:v>
                </c:pt>
                <c:pt idx="463">
                  <c:v>3.23</c:v>
                </c:pt>
                <c:pt idx="464">
                  <c:v>3.23</c:v>
                </c:pt>
                <c:pt idx="465">
                  <c:v>3.23</c:v>
                </c:pt>
                <c:pt idx="466">
                  <c:v>3.37</c:v>
                </c:pt>
                <c:pt idx="467">
                  <c:v>3.35</c:v>
                </c:pt>
                <c:pt idx="468">
                  <c:v>3.36</c:v>
                </c:pt>
                <c:pt idx="469">
                  <c:v>3.33</c:v>
                </c:pt>
                <c:pt idx="470">
                  <c:v>3.33</c:v>
                </c:pt>
                <c:pt idx="471">
                  <c:v>3.33</c:v>
                </c:pt>
                <c:pt idx="472">
                  <c:v>3.33</c:v>
                </c:pt>
                <c:pt idx="473">
                  <c:v>3.12</c:v>
                </c:pt>
                <c:pt idx="474">
                  <c:v>3.22</c:v>
                </c:pt>
                <c:pt idx="475">
                  <c:v>3.28</c:v>
                </c:pt>
                <c:pt idx="476">
                  <c:v>3.23</c:v>
                </c:pt>
                <c:pt idx="477">
                  <c:v>2.91</c:v>
                </c:pt>
                <c:pt idx="478">
                  <c:v>2.91</c:v>
                </c:pt>
                <c:pt idx="479">
                  <c:v>2.91</c:v>
                </c:pt>
                <c:pt idx="480">
                  <c:v>2.84</c:v>
                </c:pt>
                <c:pt idx="481">
                  <c:v>2.88</c:v>
                </c:pt>
                <c:pt idx="482">
                  <c:v>2.96</c:v>
                </c:pt>
                <c:pt idx="483">
                  <c:v>3.06</c:v>
                </c:pt>
                <c:pt idx="484">
                  <c:v>3.01</c:v>
                </c:pt>
                <c:pt idx="485">
                  <c:v>3.01</c:v>
                </c:pt>
                <c:pt idx="486">
                  <c:v>3.01</c:v>
                </c:pt>
                <c:pt idx="487">
                  <c:v>3.1</c:v>
                </c:pt>
                <c:pt idx="488">
                  <c:v>3.02</c:v>
                </c:pt>
                <c:pt idx="489">
                  <c:v>2.7</c:v>
                </c:pt>
                <c:pt idx="490">
                  <c:v>2.68</c:v>
                </c:pt>
                <c:pt idx="491">
                  <c:v>2.76</c:v>
                </c:pt>
                <c:pt idx="492">
                  <c:v>2.76</c:v>
                </c:pt>
                <c:pt idx="493">
                  <c:v>2.76</c:v>
                </c:pt>
                <c:pt idx="494">
                  <c:v>2.78</c:v>
                </c:pt>
                <c:pt idx="495">
                  <c:v>2.71</c:v>
                </c:pt>
                <c:pt idx="496">
                  <c:v>2.67</c:v>
                </c:pt>
                <c:pt idx="497">
                  <c:v>2.73</c:v>
                </c:pt>
                <c:pt idx="498">
                  <c:v>2.66</c:v>
                </c:pt>
                <c:pt idx="499">
                  <c:v>2.66</c:v>
                </c:pt>
                <c:pt idx="500">
                  <c:v>2.66</c:v>
                </c:pt>
                <c:pt idx="501">
                  <c:v>2.64</c:v>
                </c:pt>
                <c:pt idx="502">
                  <c:v>2.87</c:v>
                </c:pt>
                <c:pt idx="503">
                  <c:v>3.04</c:v>
                </c:pt>
                <c:pt idx="504">
                  <c:v>2.98</c:v>
                </c:pt>
                <c:pt idx="505">
                  <c:v>2.99</c:v>
                </c:pt>
                <c:pt idx="506">
                  <c:v>2.99</c:v>
                </c:pt>
                <c:pt idx="507">
                  <c:v>2.99</c:v>
                </c:pt>
                <c:pt idx="508">
                  <c:v>2.88</c:v>
                </c:pt>
                <c:pt idx="509">
                  <c:v>2.92</c:v>
                </c:pt>
                <c:pt idx="510">
                  <c:v>2.93</c:v>
                </c:pt>
                <c:pt idx="511">
                  <c:v>3.04</c:v>
                </c:pt>
                <c:pt idx="512">
                  <c:v>3.2</c:v>
                </c:pt>
                <c:pt idx="513">
                  <c:v>3.2</c:v>
                </c:pt>
                <c:pt idx="514">
                  <c:v>3.2</c:v>
                </c:pt>
                <c:pt idx="515">
                  <c:v>3.29</c:v>
                </c:pt>
                <c:pt idx="516">
                  <c:v>3.19</c:v>
                </c:pt>
                <c:pt idx="517">
                  <c:v>3.21</c:v>
                </c:pt>
                <c:pt idx="518">
                  <c:v>2.56</c:v>
                </c:pt>
                <c:pt idx="519">
                  <c:v>2.41</c:v>
                </c:pt>
                <c:pt idx="520">
                  <c:v>2.41</c:v>
                </c:pt>
                <c:pt idx="521">
                  <c:v>2.41</c:v>
                </c:pt>
                <c:pt idx="522">
                  <c:v>2.41</c:v>
                </c:pt>
                <c:pt idx="523">
                  <c:v>2.4900000000000002</c:v>
                </c:pt>
                <c:pt idx="524">
                  <c:v>2.5</c:v>
                </c:pt>
                <c:pt idx="525">
                  <c:v>2.5</c:v>
                </c:pt>
                <c:pt idx="526">
                  <c:v>2.5</c:v>
                </c:pt>
                <c:pt idx="527">
                  <c:v>2.5</c:v>
                </c:pt>
                <c:pt idx="528">
                  <c:v>2.5</c:v>
                </c:pt>
                <c:pt idx="529">
                  <c:v>2.5</c:v>
                </c:pt>
                <c:pt idx="530">
                  <c:v>2.4900000000000002</c:v>
                </c:pt>
                <c:pt idx="531">
                  <c:v>2.4300000000000002</c:v>
                </c:pt>
                <c:pt idx="532">
                  <c:v>2.38</c:v>
                </c:pt>
                <c:pt idx="533">
                  <c:v>2.58</c:v>
                </c:pt>
                <c:pt idx="534">
                  <c:v>2.58</c:v>
                </c:pt>
                <c:pt idx="535">
                  <c:v>2.58</c:v>
                </c:pt>
                <c:pt idx="536">
                  <c:v>2.5</c:v>
                </c:pt>
                <c:pt idx="537">
                  <c:v>2.52</c:v>
                </c:pt>
                <c:pt idx="538">
                  <c:v>2.42</c:v>
                </c:pt>
                <c:pt idx="539">
                  <c:v>2.41</c:v>
                </c:pt>
                <c:pt idx="540">
                  <c:v>2.52</c:v>
                </c:pt>
                <c:pt idx="541">
                  <c:v>2.52</c:v>
                </c:pt>
                <c:pt idx="542">
                  <c:v>2.52</c:v>
                </c:pt>
                <c:pt idx="543">
                  <c:v>2.52</c:v>
                </c:pt>
                <c:pt idx="544">
                  <c:v>2.64</c:v>
                </c:pt>
                <c:pt idx="545">
                  <c:v>2.5499999999999998</c:v>
                </c:pt>
                <c:pt idx="546">
                  <c:v>2.56</c:v>
                </c:pt>
                <c:pt idx="547">
                  <c:v>2.9</c:v>
                </c:pt>
                <c:pt idx="548">
                  <c:v>2.9</c:v>
                </c:pt>
                <c:pt idx="549">
                  <c:v>2.9</c:v>
                </c:pt>
                <c:pt idx="550">
                  <c:v>3.79</c:v>
                </c:pt>
                <c:pt idx="551">
                  <c:v>3.62</c:v>
                </c:pt>
                <c:pt idx="552">
                  <c:v>3.37</c:v>
                </c:pt>
                <c:pt idx="553">
                  <c:v>3.44</c:v>
                </c:pt>
                <c:pt idx="554">
                  <c:v>3.47</c:v>
                </c:pt>
                <c:pt idx="555">
                  <c:v>3.47</c:v>
                </c:pt>
                <c:pt idx="556">
                  <c:v>3.47</c:v>
                </c:pt>
                <c:pt idx="557">
                  <c:v>3.52</c:v>
                </c:pt>
                <c:pt idx="558">
                  <c:v>3.33</c:v>
                </c:pt>
                <c:pt idx="559">
                  <c:v>3.53</c:v>
                </c:pt>
                <c:pt idx="560">
                  <c:v>3.51</c:v>
                </c:pt>
                <c:pt idx="561">
                  <c:v>3.3</c:v>
                </c:pt>
                <c:pt idx="562">
                  <c:v>3.3</c:v>
                </c:pt>
                <c:pt idx="563">
                  <c:v>3.3</c:v>
                </c:pt>
                <c:pt idx="564">
                  <c:v>3.41</c:v>
                </c:pt>
                <c:pt idx="565">
                  <c:v>3.46</c:v>
                </c:pt>
                <c:pt idx="566">
                  <c:v>3.67</c:v>
                </c:pt>
                <c:pt idx="567">
                  <c:v>3.73</c:v>
                </c:pt>
                <c:pt idx="568">
                  <c:v>3.73</c:v>
                </c:pt>
                <c:pt idx="569">
                  <c:v>3.73</c:v>
                </c:pt>
                <c:pt idx="570">
                  <c:v>3.73</c:v>
                </c:pt>
                <c:pt idx="571">
                  <c:v>3.73</c:v>
                </c:pt>
                <c:pt idx="572">
                  <c:v>3.79</c:v>
                </c:pt>
                <c:pt idx="573">
                  <c:v>3.48</c:v>
                </c:pt>
                <c:pt idx="574">
                  <c:v>3.53</c:v>
                </c:pt>
                <c:pt idx="575">
                  <c:v>3.24</c:v>
                </c:pt>
                <c:pt idx="576">
                  <c:v>3.24</c:v>
                </c:pt>
                <c:pt idx="577">
                  <c:v>3.24</c:v>
                </c:pt>
                <c:pt idx="578">
                  <c:v>3.24</c:v>
                </c:pt>
                <c:pt idx="579">
                  <c:v>3.04</c:v>
                </c:pt>
                <c:pt idx="580">
                  <c:v>3.13</c:v>
                </c:pt>
                <c:pt idx="581">
                  <c:v>3.1</c:v>
                </c:pt>
                <c:pt idx="582">
                  <c:v>3.28</c:v>
                </c:pt>
                <c:pt idx="583">
                  <c:v>3.28</c:v>
                </c:pt>
                <c:pt idx="584">
                  <c:v>3.28</c:v>
                </c:pt>
                <c:pt idx="585">
                  <c:v>3.38</c:v>
                </c:pt>
                <c:pt idx="586">
                  <c:v>3.21</c:v>
                </c:pt>
                <c:pt idx="587">
                  <c:v>3.37</c:v>
                </c:pt>
                <c:pt idx="588">
                  <c:v>3.5</c:v>
                </c:pt>
                <c:pt idx="589">
                  <c:v>3.42</c:v>
                </c:pt>
                <c:pt idx="590">
                  <c:v>3.42</c:v>
                </c:pt>
                <c:pt idx="591">
                  <c:v>3.42</c:v>
                </c:pt>
                <c:pt idx="592">
                  <c:v>3.55</c:v>
                </c:pt>
                <c:pt idx="593">
                  <c:v>3.44</c:v>
                </c:pt>
                <c:pt idx="594">
                  <c:v>3.65</c:v>
                </c:pt>
                <c:pt idx="595">
                  <c:v>3.68</c:v>
                </c:pt>
                <c:pt idx="596">
                  <c:v>3.62</c:v>
                </c:pt>
                <c:pt idx="597">
                  <c:v>3.62</c:v>
                </c:pt>
                <c:pt idx="598">
                  <c:v>3.62</c:v>
                </c:pt>
                <c:pt idx="599">
                  <c:v>3.82</c:v>
                </c:pt>
                <c:pt idx="600">
                  <c:v>3.65</c:v>
                </c:pt>
                <c:pt idx="601">
                  <c:v>3.76</c:v>
                </c:pt>
                <c:pt idx="602">
                  <c:v>4.5199999999999996</c:v>
                </c:pt>
                <c:pt idx="603">
                  <c:v>4.5199999999999996</c:v>
                </c:pt>
                <c:pt idx="604">
                  <c:v>4.5199999999999996</c:v>
                </c:pt>
                <c:pt idx="605">
                  <c:v>4.5199999999999996</c:v>
                </c:pt>
                <c:pt idx="606">
                  <c:v>4.37</c:v>
                </c:pt>
                <c:pt idx="607">
                  <c:v>4.49</c:v>
                </c:pt>
                <c:pt idx="608">
                  <c:v>4.57</c:v>
                </c:pt>
                <c:pt idx="609">
                  <c:v>4.71</c:v>
                </c:pt>
                <c:pt idx="610">
                  <c:v>4.3099999999999996</c:v>
                </c:pt>
                <c:pt idx="611">
                  <c:v>4.3099999999999996</c:v>
                </c:pt>
                <c:pt idx="612">
                  <c:v>4.3099999999999996</c:v>
                </c:pt>
                <c:pt idx="613">
                  <c:v>4.3</c:v>
                </c:pt>
                <c:pt idx="614">
                  <c:v>4.5999999999999996</c:v>
                </c:pt>
                <c:pt idx="615">
                  <c:v>4.72</c:v>
                </c:pt>
                <c:pt idx="616">
                  <c:v>5.12</c:v>
                </c:pt>
                <c:pt idx="617">
                  <c:v>5.12</c:v>
                </c:pt>
                <c:pt idx="618">
                  <c:v>5.12</c:v>
                </c:pt>
                <c:pt idx="619">
                  <c:v>5.12</c:v>
                </c:pt>
                <c:pt idx="620">
                  <c:v>5.1100000000000003</c:v>
                </c:pt>
                <c:pt idx="621">
                  <c:v>5.17</c:v>
                </c:pt>
                <c:pt idx="622">
                  <c:v>4.97</c:v>
                </c:pt>
                <c:pt idx="623">
                  <c:v>4.6500000000000004</c:v>
                </c:pt>
                <c:pt idx="624">
                  <c:v>4.6500000000000004</c:v>
                </c:pt>
                <c:pt idx="625">
                  <c:v>4.6500000000000004</c:v>
                </c:pt>
                <c:pt idx="626">
                  <c:v>4.6500000000000004</c:v>
                </c:pt>
                <c:pt idx="627">
                  <c:v>4.3600000000000003</c:v>
                </c:pt>
                <c:pt idx="628">
                  <c:v>4.3899999999999997</c:v>
                </c:pt>
                <c:pt idx="629">
                  <c:v>4.4400000000000004</c:v>
                </c:pt>
                <c:pt idx="630">
                  <c:v>4.2300000000000004</c:v>
                </c:pt>
                <c:pt idx="631">
                  <c:v>4.47</c:v>
                </c:pt>
                <c:pt idx="632">
                  <c:v>4.47</c:v>
                </c:pt>
                <c:pt idx="633">
                  <c:v>4.47</c:v>
                </c:pt>
                <c:pt idx="634">
                  <c:v>4.42</c:v>
                </c:pt>
                <c:pt idx="635">
                  <c:v>4.34</c:v>
                </c:pt>
                <c:pt idx="636">
                  <c:v>4.4000000000000004</c:v>
                </c:pt>
                <c:pt idx="637">
                  <c:v>4.29</c:v>
                </c:pt>
                <c:pt idx="638">
                  <c:v>3.89</c:v>
                </c:pt>
                <c:pt idx="639">
                  <c:v>3.89</c:v>
                </c:pt>
                <c:pt idx="640">
                  <c:v>3.89</c:v>
                </c:pt>
                <c:pt idx="641">
                  <c:v>3.85</c:v>
                </c:pt>
                <c:pt idx="642">
                  <c:v>3.87</c:v>
                </c:pt>
                <c:pt idx="643">
                  <c:v>3.91</c:v>
                </c:pt>
                <c:pt idx="644">
                  <c:v>3.94</c:v>
                </c:pt>
                <c:pt idx="645">
                  <c:v>3.67</c:v>
                </c:pt>
                <c:pt idx="646">
                  <c:v>3.67</c:v>
                </c:pt>
                <c:pt idx="647">
                  <c:v>3.67</c:v>
                </c:pt>
                <c:pt idx="648">
                  <c:v>3.54</c:v>
                </c:pt>
                <c:pt idx="649">
                  <c:v>3.68</c:v>
                </c:pt>
                <c:pt idx="650">
                  <c:v>3.72</c:v>
                </c:pt>
                <c:pt idx="651">
                  <c:v>3.85</c:v>
                </c:pt>
                <c:pt idx="652">
                  <c:v>3.61</c:v>
                </c:pt>
                <c:pt idx="653">
                  <c:v>3.61</c:v>
                </c:pt>
                <c:pt idx="654">
                  <c:v>3.61</c:v>
                </c:pt>
                <c:pt idx="655">
                  <c:v>3.54</c:v>
                </c:pt>
                <c:pt idx="656">
                  <c:v>3.54</c:v>
                </c:pt>
                <c:pt idx="657">
                  <c:v>3.74</c:v>
                </c:pt>
                <c:pt idx="658">
                  <c:v>3.6</c:v>
                </c:pt>
                <c:pt idx="659">
                  <c:v>3.24</c:v>
                </c:pt>
                <c:pt idx="660">
                  <c:v>3.24</c:v>
                </c:pt>
                <c:pt idx="661">
                  <c:v>3.24</c:v>
                </c:pt>
                <c:pt idx="662">
                  <c:v>3.06</c:v>
                </c:pt>
                <c:pt idx="663">
                  <c:v>2.79</c:v>
                </c:pt>
                <c:pt idx="664">
                  <c:v>2.6</c:v>
                </c:pt>
                <c:pt idx="665">
                  <c:v>2.4500000000000002</c:v>
                </c:pt>
                <c:pt idx="666">
                  <c:v>2.4700000000000002</c:v>
                </c:pt>
                <c:pt idx="667">
                  <c:v>2.4700000000000002</c:v>
                </c:pt>
                <c:pt idx="668">
                  <c:v>2.4700000000000002</c:v>
                </c:pt>
                <c:pt idx="669">
                  <c:v>2.38</c:v>
                </c:pt>
                <c:pt idx="670">
                  <c:v>2.46</c:v>
                </c:pt>
                <c:pt idx="671">
                  <c:v>2.46</c:v>
                </c:pt>
                <c:pt idx="672">
                  <c:v>2.4</c:v>
                </c:pt>
                <c:pt idx="673">
                  <c:v>2.33</c:v>
                </c:pt>
                <c:pt idx="674">
                  <c:v>2.33</c:v>
                </c:pt>
                <c:pt idx="675">
                  <c:v>2.33</c:v>
                </c:pt>
                <c:pt idx="676">
                  <c:v>2.29</c:v>
                </c:pt>
                <c:pt idx="677">
                  <c:v>2.2599999999999998</c:v>
                </c:pt>
                <c:pt idx="678">
                  <c:v>2.23</c:v>
                </c:pt>
                <c:pt idx="679">
                  <c:v>2.25</c:v>
                </c:pt>
                <c:pt idx="680">
                  <c:v>2.2400000000000002</c:v>
                </c:pt>
                <c:pt idx="681">
                  <c:v>2.2400000000000002</c:v>
                </c:pt>
                <c:pt idx="682">
                  <c:v>2.2400000000000002</c:v>
                </c:pt>
                <c:pt idx="683">
                  <c:v>2.25</c:v>
                </c:pt>
                <c:pt idx="684">
                  <c:v>2.2200000000000002</c:v>
                </c:pt>
                <c:pt idx="685">
                  <c:v>2.31</c:v>
                </c:pt>
                <c:pt idx="686">
                  <c:v>2.34</c:v>
                </c:pt>
                <c:pt idx="687">
                  <c:v>2.34</c:v>
                </c:pt>
                <c:pt idx="688">
                  <c:v>2.34</c:v>
                </c:pt>
                <c:pt idx="689">
                  <c:v>2.34</c:v>
                </c:pt>
                <c:pt idx="690">
                  <c:v>2.25</c:v>
                </c:pt>
                <c:pt idx="691">
                  <c:v>2.09</c:v>
                </c:pt>
                <c:pt idx="692">
                  <c:v>2.23</c:v>
                </c:pt>
                <c:pt idx="693">
                  <c:v>2.2400000000000002</c:v>
                </c:pt>
                <c:pt idx="694">
                  <c:v>2.21</c:v>
                </c:pt>
                <c:pt idx="695">
                  <c:v>2.21</c:v>
                </c:pt>
                <c:pt idx="696">
                  <c:v>2.21</c:v>
                </c:pt>
                <c:pt idx="697">
                  <c:v>2.23</c:v>
                </c:pt>
                <c:pt idx="698">
                  <c:v>2.33</c:v>
                </c:pt>
                <c:pt idx="699">
                  <c:v>2.4</c:v>
                </c:pt>
                <c:pt idx="700">
                  <c:v>2.5299999999999998</c:v>
                </c:pt>
                <c:pt idx="701">
                  <c:v>2.33</c:v>
                </c:pt>
                <c:pt idx="702">
                  <c:v>2.33</c:v>
                </c:pt>
                <c:pt idx="703">
                  <c:v>2.33</c:v>
                </c:pt>
                <c:pt idx="704">
                  <c:v>2.38</c:v>
                </c:pt>
                <c:pt idx="705">
                  <c:v>2.3199999999999998</c:v>
                </c:pt>
                <c:pt idx="706">
                  <c:v>2.46</c:v>
                </c:pt>
                <c:pt idx="707">
                  <c:v>2.54</c:v>
                </c:pt>
                <c:pt idx="708">
                  <c:v>2.52</c:v>
                </c:pt>
                <c:pt idx="709">
                  <c:v>2.52</c:v>
                </c:pt>
                <c:pt idx="710">
                  <c:v>2.52</c:v>
                </c:pt>
                <c:pt idx="711">
                  <c:v>2.54</c:v>
                </c:pt>
                <c:pt idx="712">
                  <c:v>2.56</c:v>
                </c:pt>
                <c:pt idx="713">
                  <c:v>2.52</c:v>
                </c:pt>
                <c:pt idx="714">
                  <c:v>2.56</c:v>
                </c:pt>
                <c:pt idx="715">
                  <c:v>2.5299999999999998</c:v>
                </c:pt>
                <c:pt idx="716">
                  <c:v>2.5299999999999998</c:v>
                </c:pt>
                <c:pt idx="717">
                  <c:v>2.5299999999999998</c:v>
                </c:pt>
                <c:pt idx="718">
                  <c:v>2.56</c:v>
                </c:pt>
                <c:pt idx="719">
                  <c:v>2.61</c:v>
                </c:pt>
                <c:pt idx="720">
                  <c:v>2.62</c:v>
                </c:pt>
                <c:pt idx="721">
                  <c:v>2.4900000000000002</c:v>
                </c:pt>
                <c:pt idx="722">
                  <c:v>2.2799999999999998</c:v>
                </c:pt>
                <c:pt idx="723">
                  <c:v>2.2799999999999998</c:v>
                </c:pt>
                <c:pt idx="724">
                  <c:v>2.2799999999999998</c:v>
                </c:pt>
                <c:pt idx="725">
                  <c:v>2.4</c:v>
                </c:pt>
                <c:pt idx="726">
                  <c:v>2.61</c:v>
                </c:pt>
                <c:pt idx="727">
                  <c:v>2.7</c:v>
                </c:pt>
                <c:pt idx="728">
                  <c:v>2.7</c:v>
                </c:pt>
                <c:pt idx="729">
                  <c:v>2.65</c:v>
                </c:pt>
                <c:pt idx="730">
                  <c:v>2.65</c:v>
                </c:pt>
                <c:pt idx="731">
                  <c:v>2.65</c:v>
                </c:pt>
                <c:pt idx="732">
                  <c:v>2.65</c:v>
                </c:pt>
                <c:pt idx="733">
                  <c:v>2.66</c:v>
                </c:pt>
                <c:pt idx="734">
                  <c:v>2.57</c:v>
                </c:pt>
                <c:pt idx="735">
                  <c:v>2.59</c:v>
                </c:pt>
                <c:pt idx="736">
                  <c:v>2.59</c:v>
                </c:pt>
                <c:pt idx="737">
                  <c:v>2.59</c:v>
                </c:pt>
                <c:pt idx="738">
                  <c:v>2.59</c:v>
                </c:pt>
                <c:pt idx="739">
                  <c:v>2.58</c:v>
                </c:pt>
                <c:pt idx="740">
                  <c:v>2.63</c:v>
                </c:pt>
                <c:pt idx="741">
                  <c:v>2.65</c:v>
                </c:pt>
                <c:pt idx="742">
                  <c:v>2.61</c:v>
                </c:pt>
                <c:pt idx="743">
                  <c:v>2.52</c:v>
                </c:pt>
                <c:pt idx="744">
                  <c:v>2.52</c:v>
                </c:pt>
                <c:pt idx="745">
                  <c:v>2.52</c:v>
                </c:pt>
                <c:pt idx="746">
                  <c:v>2.5</c:v>
                </c:pt>
                <c:pt idx="747">
                  <c:v>2.48</c:v>
                </c:pt>
                <c:pt idx="748">
                  <c:v>2.4500000000000002</c:v>
                </c:pt>
                <c:pt idx="749">
                  <c:v>2.4300000000000002</c:v>
                </c:pt>
                <c:pt idx="750">
                  <c:v>2.46</c:v>
                </c:pt>
                <c:pt idx="751">
                  <c:v>2.46</c:v>
                </c:pt>
                <c:pt idx="752">
                  <c:v>2.46</c:v>
                </c:pt>
                <c:pt idx="753">
                  <c:v>2.42</c:v>
                </c:pt>
                <c:pt idx="754">
                  <c:v>2.52</c:v>
                </c:pt>
                <c:pt idx="755">
                  <c:v>2.59</c:v>
                </c:pt>
                <c:pt idx="756">
                  <c:v>2.56</c:v>
                </c:pt>
                <c:pt idx="757">
                  <c:v>2.4</c:v>
                </c:pt>
                <c:pt idx="758">
                  <c:v>2.4</c:v>
                </c:pt>
                <c:pt idx="759">
                  <c:v>2.4</c:v>
                </c:pt>
                <c:pt idx="760">
                  <c:v>2.31</c:v>
                </c:pt>
                <c:pt idx="761">
                  <c:v>2.2400000000000002</c:v>
                </c:pt>
                <c:pt idx="762">
                  <c:v>2.1800000000000002</c:v>
                </c:pt>
                <c:pt idx="763">
                  <c:v>2.15</c:v>
                </c:pt>
                <c:pt idx="764">
                  <c:v>2.13</c:v>
                </c:pt>
                <c:pt idx="765">
                  <c:v>2.13</c:v>
                </c:pt>
                <c:pt idx="766">
                  <c:v>2.13</c:v>
                </c:pt>
                <c:pt idx="767">
                  <c:v>2.17</c:v>
                </c:pt>
                <c:pt idx="768">
                  <c:v>2.0499999999999998</c:v>
                </c:pt>
                <c:pt idx="769">
                  <c:v>2.04</c:v>
                </c:pt>
                <c:pt idx="770">
                  <c:v>2.08</c:v>
                </c:pt>
                <c:pt idx="771">
                  <c:v>2.09</c:v>
                </c:pt>
                <c:pt idx="772">
                  <c:v>2.09</c:v>
                </c:pt>
                <c:pt idx="773">
                  <c:v>2.09</c:v>
                </c:pt>
                <c:pt idx="774">
                  <c:v>2.02</c:v>
                </c:pt>
                <c:pt idx="775">
                  <c:v>2.0099999999999998</c:v>
                </c:pt>
                <c:pt idx="776">
                  <c:v>2.0099999999999998</c:v>
                </c:pt>
                <c:pt idx="777">
                  <c:v>2.0099999999999998</c:v>
                </c:pt>
                <c:pt idx="778">
                  <c:v>2</c:v>
                </c:pt>
                <c:pt idx="779">
                  <c:v>2</c:v>
                </c:pt>
                <c:pt idx="780">
                  <c:v>2</c:v>
                </c:pt>
                <c:pt idx="781">
                  <c:v>1.98</c:v>
                </c:pt>
                <c:pt idx="782">
                  <c:v>1.99</c:v>
                </c:pt>
                <c:pt idx="783">
                  <c:v>2</c:v>
                </c:pt>
                <c:pt idx="784">
                  <c:v>1.94</c:v>
                </c:pt>
                <c:pt idx="785">
                  <c:v>1.97</c:v>
                </c:pt>
                <c:pt idx="786">
                  <c:v>1.97</c:v>
                </c:pt>
                <c:pt idx="787">
                  <c:v>1.97</c:v>
                </c:pt>
                <c:pt idx="788">
                  <c:v>1.99</c:v>
                </c:pt>
                <c:pt idx="789">
                  <c:v>1.99</c:v>
                </c:pt>
                <c:pt idx="790">
                  <c:v>1.99</c:v>
                </c:pt>
                <c:pt idx="791">
                  <c:v>2.0099999999999998</c:v>
                </c:pt>
                <c:pt idx="792">
                  <c:v>1.99</c:v>
                </c:pt>
                <c:pt idx="793">
                  <c:v>1.99</c:v>
                </c:pt>
                <c:pt idx="794">
                  <c:v>1.99</c:v>
                </c:pt>
                <c:pt idx="795">
                  <c:v>1.99</c:v>
                </c:pt>
                <c:pt idx="796">
                  <c:v>2.0699999999999998</c:v>
                </c:pt>
                <c:pt idx="797">
                  <c:v>2.12</c:v>
                </c:pt>
                <c:pt idx="798">
                  <c:v>2.12</c:v>
                </c:pt>
                <c:pt idx="799">
                  <c:v>2.04</c:v>
                </c:pt>
                <c:pt idx="800">
                  <c:v>2.04</c:v>
                </c:pt>
                <c:pt idx="801">
                  <c:v>2.04</c:v>
                </c:pt>
                <c:pt idx="802">
                  <c:v>2.0499999999999998</c:v>
                </c:pt>
                <c:pt idx="803">
                  <c:v>2.0699999999999998</c:v>
                </c:pt>
                <c:pt idx="804">
                  <c:v>2.15</c:v>
                </c:pt>
                <c:pt idx="805">
                  <c:v>2.13</c:v>
                </c:pt>
                <c:pt idx="806">
                  <c:v>2.1800000000000002</c:v>
                </c:pt>
                <c:pt idx="807">
                  <c:v>2.1800000000000002</c:v>
                </c:pt>
                <c:pt idx="808">
                  <c:v>2.1800000000000002</c:v>
                </c:pt>
                <c:pt idx="809">
                  <c:v>2.02</c:v>
                </c:pt>
                <c:pt idx="810">
                  <c:v>2.06</c:v>
                </c:pt>
                <c:pt idx="811">
                  <c:v>2.14</c:v>
                </c:pt>
                <c:pt idx="812">
                  <c:v>2.15</c:v>
                </c:pt>
                <c:pt idx="813">
                  <c:v>2.15</c:v>
                </c:pt>
                <c:pt idx="814">
                  <c:v>2.15</c:v>
                </c:pt>
                <c:pt idx="815">
                  <c:v>2.15</c:v>
                </c:pt>
                <c:pt idx="816">
                  <c:v>2.25</c:v>
                </c:pt>
                <c:pt idx="817">
                  <c:v>2.25</c:v>
                </c:pt>
                <c:pt idx="818">
                  <c:v>2.29</c:v>
                </c:pt>
                <c:pt idx="819">
                  <c:v>2.25</c:v>
                </c:pt>
                <c:pt idx="820">
                  <c:v>2.29</c:v>
                </c:pt>
                <c:pt idx="821">
                  <c:v>2.29</c:v>
                </c:pt>
                <c:pt idx="822">
                  <c:v>2.29</c:v>
                </c:pt>
                <c:pt idx="823">
                  <c:v>2.19</c:v>
                </c:pt>
                <c:pt idx="824">
                  <c:v>2.19</c:v>
                </c:pt>
                <c:pt idx="825">
                  <c:v>2.1</c:v>
                </c:pt>
                <c:pt idx="826">
                  <c:v>2.04</c:v>
                </c:pt>
                <c:pt idx="827">
                  <c:v>2.09</c:v>
                </c:pt>
                <c:pt idx="828">
                  <c:v>2.09</c:v>
                </c:pt>
                <c:pt idx="829">
                  <c:v>2.09</c:v>
                </c:pt>
                <c:pt idx="830">
                  <c:v>2.08</c:v>
                </c:pt>
                <c:pt idx="831">
                  <c:v>2.04</c:v>
                </c:pt>
                <c:pt idx="832">
                  <c:v>2.04</c:v>
                </c:pt>
                <c:pt idx="833">
                  <c:v>2.2000000000000002</c:v>
                </c:pt>
                <c:pt idx="834">
                  <c:v>2.2000000000000002</c:v>
                </c:pt>
                <c:pt idx="835">
                  <c:v>2.2000000000000002</c:v>
                </c:pt>
                <c:pt idx="836">
                  <c:v>2.2000000000000002</c:v>
                </c:pt>
                <c:pt idx="837">
                  <c:v>2.2000000000000002</c:v>
                </c:pt>
                <c:pt idx="838">
                  <c:v>2.2400000000000002</c:v>
                </c:pt>
                <c:pt idx="839">
                  <c:v>2.14</c:v>
                </c:pt>
                <c:pt idx="840">
                  <c:v>2.2000000000000002</c:v>
                </c:pt>
                <c:pt idx="841">
                  <c:v>2.21</c:v>
                </c:pt>
                <c:pt idx="842">
                  <c:v>2.21</c:v>
                </c:pt>
                <c:pt idx="843">
                  <c:v>2.21</c:v>
                </c:pt>
                <c:pt idx="844">
                  <c:v>2.27</c:v>
                </c:pt>
                <c:pt idx="845">
                  <c:v>2.14</c:v>
                </c:pt>
                <c:pt idx="846">
                  <c:v>2.0699999999999998</c:v>
                </c:pt>
                <c:pt idx="847">
                  <c:v>2.0699999999999998</c:v>
                </c:pt>
                <c:pt idx="848">
                  <c:v>2.12</c:v>
                </c:pt>
                <c:pt idx="849">
                  <c:v>2.12</c:v>
                </c:pt>
                <c:pt idx="850">
                  <c:v>2.12</c:v>
                </c:pt>
                <c:pt idx="851">
                  <c:v>2.0499999999999998</c:v>
                </c:pt>
                <c:pt idx="852">
                  <c:v>2.02</c:v>
                </c:pt>
                <c:pt idx="853">
                  <c:v>2.0099999999999998</c:v>
                </c:pt>
                <c:pt idx="854">
                  <c:v>2.0299999999999998</c:v>
                </c:pt>
                <c:pt idx="855">
                  <c:v>2.06</c:v>
                </c:pt>
                <c:pt idx="856">
                  <c:v>2.06</c:v>
                </c:pt>
                <c:pt idx="857">
                  <c:v>2.06</c:v>
                </c:pt>
                <c:pt idx="858">
                  <c:v>1.92</c:v>
                </c:pt>
                <c:pt idx="859">
                  <c:v>1.9</c:v>
                </c:pt>
                <c:pt idx="860">
                  <c:v>1.9</c:v>
                </c:pt>
                <c:pt idx="861">
                  <c:v>1.88</c:v>
                </c:pt>
                <c:pt idx="862">
                  <c:v>1.9</c:v>
                </c:pt>
                <c:pt idx="863">
                  <c:v>1.9</c:v>
                </c:pt>
                <c:pt idx="864">
                  <c:v>1.9</c:v>
                </c:pt>
                <c:pt idx="865">
                  <c:v>1.92</c:v>
                </c:pt>
                <c:pt idx="866">
                  <c:v>1.92</c:v>
                </c:pt>
                <c:pt idx="867">
                  <c:v>1.91</c:v>
                </c:pt>
                <c:pt idx="868">
                  <c:v>1.92</c:v>
                </c:pt>
                <c:pt idx="869">
                  <c:v>1.98</c:v>
                </c:pt>
                <c:pt idx="870">
                  <c:v>1.98</c:v>
                </c:pt>
                <c:pt idx="871">
                  <c:v>1.98</c:v>
                </c:pt>
                <c:pt idx="872">
                  <c:v>2.02</c:v>
                </c:pt>
                <c:pt idx="873">
                  <c:v>2</c:v>
                </c:pt>
                <c:pt idx="874">
                  <c:v>2.0299999999999998</c:v>
                </c:pt>
                <c:pt idx="875">
                  <c:v>2.0499999999999998</c:v>
                </c:pt>
                <c:pt idx="876">
                  <c:v>2.0699999999999998</c:v>
                </c:pt>
                <c:pt idx="877">
                  <c:v>2.0699999999999998</c:v>
                </c:pt>
                <c:pt idx="878">
                  <c:v>2.0699999999999998</c:v>
                </c:pt>
                <c:pt idx="879">
                  <c:v>2</c:v>
                </c:pt>
                <c:pt idx="880">
                  <c:v>2.06</c:v>
                </c:pt>
                <c:pt idx="881">
                  <c:v>2.15</c:v>
                </c:pt>
                <c:pt idx="882">
                  <c:v>1.99</c:v>
                </c:pt>
                <c:pt idx="883">
                  <c:v>2.06</c:v>
                </c:pt>
                <c:pt idx="884">
                  <c:v>2.06</c:v>
                </c:pt>
                <c:pt idx="885">
                  <c:v>2.06</c:v>
                </c:pt>
                <c:pt idx="886">
                  <c:v>2.06</c:v>
                </c:pt>
                <c:pt idx="887">
                  <c:v>2.02</c:v>
                </c:pt>
                <c:pt idx="888">
                  <c:v>2.02</c:v>
                </c:pt>
                <c:pt idx="889">
                  <c:v>2.13</c:v>
                </c:pt>
                <c:pt idx="890">
                  <c:v>2.0499999999999998</c:v>
                </c:pt>
                <c:pt idx="891">
                  <c:v>2.0499999999999998</c:v>
                </c:pt>
                <c:pt idx="892">
                  <c:v>2.0499999999999998</c:v>
                </c:pt>
                <c:pt idx="893">
                  <c:v>2.06</c:v>
                </c:pt>
                <c:pt idx="894">
                  <c:v>1.99</c:v>
                </c:pt>
                <c:pt idx="895">
                  <c:v>1.97</c:v>
                </c:pt>
                <c:pt idx="896">
                  <c:v>1.97</c:v>
                </c:pt>
                <c:pt idx="897">
                  <c:v>1.93</c:v>
                </c:pt>
                <c:pt idx="898">
                  <c:v>1.93</c:v>
                </c:pt>
                <c:pt idx="899">
                  <c:v>1.93</c:v>
                </c:pt>
                <c:pt idx="900">
                  <c:v>1.89</c:v>
                </c:pt>
                <c:pt idx="901">
                  <c:v>1.74</c:v>
                </c:pt>
                <c:pt idx="902">
                  <c:v>1.76</c:v>
                </c:pt>
                <c:pt idx="903">
                  <c:v>1.83</c:v>
                </c:pt>
                <c:pt idx="904">
                  <c:v>1.85</c:v>
                </c:pt>
                <c:pt idx="905">
                  <c:v>1.85</c:v>
                </c:pt>
                <c:pt idx="906">
                  <c:v>1.85</c:v>
                </c:pt>
                <c:pt idx="907">
                  <c:v>1.89</c:v>
                </c:pt>
                <c:pt idx="908">
                  <c:v>1.76</c:v>
                </c:pt>
                <c:pt idx="909">
                  <c:v>1.76</c:v>
                </c:pt>
                <c:pt idx="910">
                  <c:v>1.76</c:v>
                </c:pt>
                <c:pt idx="911">
                  <c:v>1.87</c:v>
                </c:pt>
                <c:pt idx="912">
                  <c:v>1.87</c:v>
                </c:pt>
                <c:pt idx="913">
                  <c:v>1.87</c:v>
                </c:pt>
                <c:pt idx="914">
                  <c:v>1.95</c:v>
                </c:pt>
                <c:pt idx="915">
                  <c:v>2.0299999999999998</c:v>
                </c:pt>
                <c:pt idx="916">
                  <c:v>2.0299999999999998</c:v>
                </c:pt>
                <c:pt idx="917">
                  <c:v>2.0699999999999998</c:v>
                </c:pt>
                <c:pt idx="918">
                  <c:v>2.11</c:v>
                </c:pt>
                <c:pt idx="919">
                  <c:v>2.11</c:v>
                </c:pt>
                <c:pt idx="920">
                  <c:v>2.11</c:v>
                </c:pt>
                <c:pt idx="921">
                  <c:v>2.08</c:v>
                </c:pt>
                <c:pt idx="922">
                  <c:v>2.09</c:v>
                </c:pt>
                <c:pt idx="923">
                  <c:v>2.11</c:v>
                </c:pt>
                <c:pt idx="924">
                  <c:v>2.1800000000000002</c:v>
                </c:pt>
                <c:pt idx="925">
                  <c:v>2.2400000000000002</c:v>
                </c:pt>
                <c:pt idx="926">
                  <c:v>2.2400000000000002</c:v>
                </c:pt>
                <c:pt idx="927">
                  <c:v>2.2400000000000002</c:v>
                </c:pt>
                <c:pt idx="928">
                  <c:v>2.2200000000000002</c:v>
                </c:pt>
                <c:pt idx="929">
                  <c:v>2.1800000000000002</c:v>
                </c:pt>
                <c:pt idx="930">
                  <c:v>2.15</c:v>
                </c:pt>
                <c:pt idx="931">
                  <c:v>2.2999999999999998</c:v>
                </c:pt>
                <c:pt idx="932">
                  <c:v>2.2999999999999998</c:v>
                </c:pt>
                <c:pt idx="933">
                  <c:v>2.2999999999999998</c:v>
                </c:pt>
                <c:pt idx="934">
                  <c:v>2.2999999999999998</c:v>
                </c:pt>
                <c:pt idx="935">
                  <c:v>2.14</c:v>
                </c:pt>
                <c:pt idx="936">
                  <c:v>2.2400000000000002</c:v>
                </c:pt>
                <c:pt idx="937">
                  <c:v>2.2599999999999998</c:v>
                </c:pt>
                <c:pt idx="938">
                  <c:v>2.2400000000000002</c:v>
                </c:pt>
                <c:pt idx="939">
                  <c:v>2.25</c:v>
                </c:pt>
                <c:pt idx="940">
                  <c:v>2.25</c:v>
                </c:pt>
                <c:pt idx="941">
                  <c:v>2.25</c:v>
                </c:pt>
                <c:pt idx="942">
                  <c:v>2.23</c:v>
                </c:pt>
                <c:pt idx="943">
                  <c:v>2.33</c:v>
                </c:pt>
                <c:pt idx="944">
                  <c:v>2.4300000000000002</c:v>
                </c:pt>
                <c:pt idx="945">
                  <c:v>2.41</c:v>
                </c:pt>
                <c:pt idx="946">
                  <c:v>2.36</c:v>
                </c:pt>
                <c:pt idx="947">
                  <c:v>2.36</c:v>
                </c:pt>
                <c:pt idx="948">
                  <c:v>2.36</c:v>
                </c:pt>
                <c:pt idx="949">
                  <c:v>2.33</c:v>
                </c:pt>
                <c:pt idx="950">
                  <c:v>2.29</c:v>
                </c:pt>
                <c:pt idx="951">
                  <c:v>2.2999999999999998</c:v>
                </c:pt>
                <c:pt idx="952">
                  <c:v>2.2799999999999998</c:v>
                </c:pt>
                <c:pt idx="953">
                  <c:v>2.29</c:v>
                </c:pt>
                <c:pt idx="954">
                  <c:v>2.29</c:v>
                </c:pt>
                <c:pt idx="955">
                  <c:v>2.29</c:v>
                </c:pt>
                <c:pt idx="956">
                  <c:v>2.2999999999999998</c:v>
                </c:pt>
                <c:pt idx="957">
                  <c:v>2.27</c:v>
                </c:pt>
                <c:pt idx="958">
                  <c:v>2.15</c:v>
                </c:pt>
                <c:pt idx="959">
                  <c:v>2.17</c:v>
                </c:pt>
                <c:pt idx="960">
                  <c:v>2.14</c:v>
                </c:pt>
                <c:pt idx="961">
                  <c:v>2.14</c:v>
                </c:pt>
                <c:pt idx="962">
                  <c:v>2.14</c:v>
                </c:pt>
                <c:pt idx="963">
                  <c:v>2.1</c:v>
                </c:pt>
                <c:pt idx="964">
                  <c:v>2.0499999999999998</c:v>
                </c:pt>
                <c:pt idx="965">
                  <c:v>2.16</c:v>
                </c:pt>
                <c:pt idx="966">
                  <c:v>2.14</c:v>
                </c:pt>
                <c:pt idx="967">
                  <c:v>2.14</c:v>
                </c:pt>
                <c:pt idx="968">
                  <c:v>2.14</c:v>
                </c:pt>
                <c:pt idx="969">
                  <c:v>2.14</c:v>
                </c:pt>
                <c:pt idx="970">
                  <c:v>2.15</c:v>
                </c:pt>
                <c:pt idx="971">
                  <c:v>2.09</c:v>
                </c:pt>
                <c:pt idx="972">
                  <c:v>2.14</c:v>
                </c:pt>
                <c:pt idx="973">
                  <c:v>2.0699999999999998</c:v>
                </c:pt>
                <c:pt idx="974">
                  <c:v>2.09</c:v>
                </c:pt>
                <c:pt idx="975">
                  <c:v>2.09</c:v>
                </c:pt>
                <c:pt idx="976">
                  <c:v>2.09</c:v>
                </c:pt>
                <c:pt idx="977">
                  <c:v>2.04</c:v>
                </c:pt>
                <c:pt idx="978">
                  <c:v>2.0299999999999998</c:v>
                </c:pt>
                <c:pt idx="979">
                  <c:v>2.02</c:v>
                </c:pt>
                <c:pt idx="980">
                  <c:v>2.0499999999999998</c:v>
                </c:pt>
                <c:pt idx="981">
                  <c:v>2.0499999999999998</c:v>
                </c:pt>
                <c:pt idx="982">
                  <c:v>2.0499999999999998</c:v>
                </c:pt>
                <c:pt idx="983">
                  <c:v>2.0499999999999998</c:v>
                </c:pt>
                <c:pt idx="984">
                  <c:v>2.06</c:v>
                </c:pt>
                <c:pt idx="985">
                  <c:v>2.04</c:v>
                </c:pt>
                <c:pt idx="986">
                  <c:v>2.04</c:v>
                </c:pt>
                <c:pt idx="987">
                  <c:v>2.13</c:v>
                </c:pt>
                <c:pt idx="988">
                  <c:v>2.13</c:v>
                </c:pt>
                <c:pt idx="989">
                  <c:v>2.13</c:v>
                </c:pt>
                <c:pt idx="990">
                  <c:v>2.13</c:v>
                </c:pt>
                <c:pt idx="991">
                  <c:v>2.13</c:v>
                </c:pt>
                <c:pt idx="992">
                  <c:v>2.13</c:v>
                </c:pt>
                <c:pt idx="993">
                  <c:v>2.0299999999999998</c:v>
                </c:pt>
                <c:pt idx="994">
                  <c:v>1.91</c:v>
                </c:pt>
                <c:pt idx="995">
                  <c:v>2.11</c:v>
                </c:pt>
                <c:pt idx="996">
                  <c:v>2.11</c:v>
                </c:pt>
                <c:pt idx="997">
                  <c:v>2.11</c:v>
                </c:pt>
                <c:pt idx="998">
                  <c:v>2.2999999999999998</c:v>
                </c:pt>
                <c:pt idx="999">
                  <c:v>2.3199999999999998</c:v>
                </c:pt>
                <c:pt idx="1000">
                  <c:v>2.35</c:v>
                </c:pt>
                <c:pt idx="1001">
                  <c:v>2.3199999999999998</c:v>
                </c:pt>
                <c:pt idx="1002">
                  <c:v>2.44</c:v>
                </c:pt>
                <c:pt idx="1003">
                  <c:v>2.44</c:v>
                </c:pt>
                <c:pt idx="1004">
                  <c:v>2.44</c:v>
                </c:pt>
                <c:pt idx="1005">
                  <c:v>2.5</c:v>
                </c:pt>
                <c:pt idx="1006">
                  <c:v>2.38</c:v>
                </c:pt>
                <c:pt idx="1007">
                  <c:v>2.44</c:v>
                </c:pt>
                <c:pt idx="1008">
                  <c:v>2.4300000000000002</c:v>
                </c:pt>
                <c:pt idx="1009">
                  <c:v>2.5499999999999998</c:v>
                </c:pt>
                <c:pt idx="1010">
                  <c:v>2.5499999999999998</c:v>
                </c:pt>
                <c:pt idx="1011">
                  <c:v>2.5499999999999998</c:v>
                </c:pt>
                <c:pt idx="1012">
                  <c:v>2.5</c:v>
                </c:pt>
                <c:pt idx="1013">
                  <c:v>2.4900000000000002</c:v>
                </c:pt>
                <c:pt idx="1014">
                  <c:v>2.4700000000000002</c:v>
                </c:pt>
                <c:pt idx="1015">
                  <c:v>2.48</c:v>
                </c:pt>
                <c:pt idx="1016">
                  <c:v>2.42</c:v>
                </c:pt>
                <c:pt idx="1017">
                  <c:v>2.42</c:v>
                </c:pt>
                <c:pt idx="1018">
                  <c:v>2.42</c:v>
                </c:pt>
                <c:pt idx="1019">
                  <c:v>2.4900000000000002</c:v>
                </c:pt>
                <c:pt idx="1020">
                  <c:v>2.4900000000000002</c:v>
                </c:pt>
                <c:pt idx="1021">
                  <c:v>2.48</c:v>
                </c:pt>
                <c:pt idx="1022">
                  <c:v>2.37</c:v>
                </c:pt>
                <c:pt idx="1023">
                  <c:v>2.41</c:v>
                </c:pt>
                <c:pt idx="1024">
                  <c:v>2.41</c:v>
                </c:pt>
                <c:pt idx="1025">
                  <c:v>2.41</c:v>
                </c:pt>
                <c:pt idx="1026">
                  <c:v>2.37</c:v>
                </c:pt>
                <c:pt idx="1027">
                  <c:v>2.35</c:v>
                </c:pt>
                <c:pt idx="1028">
                  <c:v>2.2999999999999998</c:v>
                </c:pt>
                <c:pt idx="1029">
                  <c:v>2.25</c:v>
                </c:pt>
                <c:pt idx="1030">
                  <c:v>2.1</c:v>
                </c:pt>
                <c:pt idx="1031">
                  <c:v>2.1</c:v>
                </c:pt>
                <c:pt idx="1032">
                  <c:v>2.1</c:v>
                </c:pt>
                <c:pt idx="1033">
                  <c:v>2.04</c:v>
                </c:pt>
                <c:pt idx="1034">
                  <c:v>1.93</c:v>
                </c:pt>
                <c:pt idx="1035">
                  <c:v>2.14</c:v>
                </c:pt>
                <c:pt idx="1036">
                  <c:v>2.15</c:v>
                </c:pt>
                <c:pt idx="1037">
                  <c:v>2.2000000000000002</c:v>
                </c:pt>
                <c:pt idx="1038">
                  <c:v>2.2000000000000002</c:v>
                </c:pt>
                <c:pt idx="1039">
                  <c:v>2.2000000000000002</c:v>
                </c:pt>
                <c:pt idx="1040">
                  <c:v>2.23</c:v>
                </c:pt>
                <c:pt idx="1041">
                  <c:v>2.2200000000000002</c:v>
                </c:pt>
                <c:pt idx="1042">
                  <c:v>2.31</c:v>
                </c:pt>
                <c:pt idx="1043">
                  <c:v>2.27</c:v>
                </c:pt>
                <c:pt idx="1044">
                  <c:v>2.2799999999999998</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Industry!$O$28:$O$32</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Industry!$R$28:$R$32</c:f>
              <c:numCache>
                <c:formatCode>General</c:formatCode>
                <c:ptCount val="5"/>
                <c:pt idx="0">
                  <c:v>4</c:v>
                </c:pt>
                <c:pt idx="1">
                  <c:v>4</c:v>
                </c:pt>
                <c:pt idx="2">
                  <c:v>5</c:v>
                </c:pt>
                <c:pt idx="3">
                  <c:v>4</c:v>
                </c:pt>
                <c:pt idx="4">
                  <c:v>3</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OPFI US Equity</c:v>
                </c:pt>
              </c:strCache>
            </c:strRef>
          </c:tx>
          <c:spPr>
            <a:ln w="28575" cap="rnd">
              <a:solidFill>
                <a:schemeClr val="accent1"/>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Data'!$U$5:$U$159</c:f>
              <c:numCache>
                <c:formatCode>General</c:formatCode>
                <c:ptCount val="155"/>
                <c:pt idx="0">
                  <c:v>4.5414847161572052</c:v>
                </c:pt>
                <c:pt idx="1">
                  <c:v>4.3537117903930129</c:v>
                </c:pt>
                <c:pt idx="2">
                  <c:v>4.3537117903930129</c:v>
                </c:pt>
                <c:pt idx="3">
                  <c:v>4.6288209606986896</c:v>
                </c:pt>
                <c:pt idx="4">
                  <c:v>4.7598253275109172</c:v>
                </c:pt>
                <c:pt idx="5">
                  <c:v>4.4759825327510914</c:v>
                </c:pt>
                <c:pt idx="6">
                  <c:v>4.7685589519650655</c:v>
                </c:pt>
                <c:pt idx="7">
                  <c:v>4.9956331877729259</c:v>
                </c:pt>
                <c:pt idx="8">
                  <c:v>5.2270742358078603</c:v>
                </c:pt>
                <c:pt idx="9">
                  <c:v>6.2139737991266379</c:v>
                </c:pt>
                <c:pt idx="10">
                  <c:v>6.109170305676856</c:v>
                </c:pt>
                <c:pt idx="11">
                  <c:v>5.8515283842794759</c:v>
                </c:pt>
                <c:pt idx="12">
                  <c:v>5.3711790393013104</c:v>
                </c:pt>
                <c:pt idx="13">
                  <c:v>6.0655021834061138</c:v>
                </c:pt>
                <c:pt idx="14">
                  <c:v>5.7641921397379905</c:v>
                </c:pt>
                <c:pt idx="15">
                  <c:v>5.1921397379912664</c:v>
                </c:pt>
                <c:pt idx="16">
                  <c:v>5.1921397379912664</c:v>
                </c:pt>
                <c:pt idx="17">
                  <c:v>5.3100436681222707</c:v>
                </c:pt>
                <c:pt idx="18">
                  <c:v>4.3056768558951966</c:v>
                </c:pt>
                <c:pt idx="19">
                  <c:v>4.1484716157205241</c:v>
                </c:pt>
                <c:pt idx="20">
                  <c:v>3.4847161572052405</c:v>
                </c:pt>
                <c:pt idx="21">
                  <c:v>3.6113537117903927</c:v>
                </c:pt>
                <c:pt idx="22">
                  <c:v>3.5633187772925763</c:v>
                </c:pt>
                <c:pt idx="23">
                  <c:v>4.0611353711790397</c:v>
                </c:pt>
                <c:pt idx="24">
                  <c:v>4.7729257641921397</c:v>
                </c:pt>
                <c:pt idx="25">
                  <c:v>4.0393013100436681</c:v>
                </c:pt>
                <c:pt idx="26">
                  <c:v>3.9519650655021836</c:v>
                </c:pt>
                <c:pt idx="27">
                  <c:v>4.1877729257641922</c:v>
                </c:pt>
                <c:pt idx="28">
                  <c:v>4.7729257641921397</c:v>
                </c:pt>
                <c:pt idx="29">
                  <c:v>6.7336244541484715</c:v>
                </c:pt>
                <c:pt idx="30">
                  <c:v>6.7336244541484715</c:v>
                </c:pt>
                <c:pt idx="31">
                  <c:v>6.0131004366812224</c:v>
                </c:pt>
                <c:pt idx="32">
                  <c:v>5.4541484716157207</c:v>
                </c:pt>
                <c:pt idx="33">
                  <c:v>4.253275109170306</c:v>
                </c:pt>
                <c:pt idx="34">
                  <c:v>4.253275109170306</c:v>
                </c:pt>
                <c:pt idx="35">
                  <c:v>3.301310043668122</c:v>
                </c:pt>
                <c:pt idx="36">
                  <c:v>3.301310043668122</c:v>
                </c:pt>
                <c:pt idx="37">
                  <c:v>3.126637554585153</c:v>
                </c:pt>
                <c:pt idx="38">
                  <c:v>3.3100436681222707</c:v>
                </c:pt>
                <c:pt idx="39">
                  <c:v>2.9868995633187772</c:v>
                </c:pt>
                <c:pt idx="40">
                  <c:v>3.3624454148471616</c:v>
                </c:pt>
                <c:pt idx="41">
                  <c:v>3.427947598253275</c:v>
                </c:pt>
                <c:pt idx="42">
                  <c:v>3.017467248908297</c:v>
                </c:pt>
                <c:pt idx="43">
                  <c:v>2.982532751091703</c:v>
                </c:pt>
                <c:pt idx="44">
                  <c:v>2.1179039301310043</c:v>
                </c:pt>
                <c:pt idx="45">
                  <c:v>2.3537117903930129</c:v>
                </c:pt>
                <c:pt idx="46">
                  <c:v>2.3406113537117905</c:v>
                </c:pt>
                <c:pt idx="47">
                  <c:v>2.1484716157205241</c:v>
                </c:pt>
                <c:pt idx="48">
                  <c:v>1.9956331877729259</c:v>
                </c:pt>
                <c:pt idx="49">
                  <c:v>2.0655021834061138</c:v>
                </c:pt>
                <c:pt idx="50">
                  <c:v>1.947598253275109</c:v>
                </c:pt>
                <c:pt idx="51">
                  <c:v>1.8777292576419213</c:v>
                </c:pt>
                <c:pt idx="52">
                  <c:v>1.8646288209606985</c:v>
                </c:pt>
                <c:pt idx="53">
                  <c:v>2.0742358078602621</c:v>
                </c:pt>
                <c:pt idx="54">
                  <c:v>2.0742358078602621</c:v>
                </c:pt>
                <c:pt idx="55">
                  <c:v>1.9432314410480349</c:v>
                </c:pt>
                <c:pt idx="56">
                  <c:v>2.0131004366812228</c:v>
                </c:pt>
                <c:pt idx="57">
                  <c:v>1.3668122270742358</c:v>
                </c:pt>
                <c:pt idx="58">
                  <c:v>1.6768558951965065</c:v>
                </c:pt>
                <c:pt idx="59">
                  <c:v>1.7074235807860263</c:v>
                </c:pt>
                <c:pt idx="60">
                  <c:v>1.6637554585152838</c:v>
                </c:pt>
                <c:pt idx="61">
                  <c:v>1.537117903930131</c:v>
                </c:pt>
                <c:pt idx="62">
                  <c:v>1.537117903930131</c:v>
                </c:pt>
                <c:pt idx="63">
                  <c:v>1.4672489082969431</c:v>
                </c:pt>
                <c:pt idx="64">
                  <c:v>1.5109170305676856</c:v>
                </c:pt>
                <c:pt idx="65">
                  <c:v>1.3449781659388647</c:v>
                </c:pt>
                <c:pt idx="66">
                  <c:v>1.4148471615720524</c:v>
                </c:pt>
                <c:pt idx="67">
                  <c:v>1.4104803493449782</c:v>
                </c:pt>
                <c:pt idx="68">
                  <c:v>1.4104803493449782</c:v>
                </c:pt>
                <c:pt idx="69">
                  <c:v>1.3362445414847162</c:v>
                </c:pt>
                <c:pt idx="70">
                  <c:v>1.1703056768558953</c:v>
                </c:pt>
                <c:pt idx="71">
                  <c:v>1.1921397379912664</c:v>
                </c:pt>
                <c:pt idx="72">
                  <c:v>1.3013100436681222</c:v>
                </c:pt>
                <c:pt idx="73">
                  <c:v>1.3275109170305677</c:v>
                </c:pt>
                <c:pt idx="74">
                  <c:v>1.1179039301310043</c:v>
                </c:pt>
                <c:pt idx="75">
                  <c:v>1.0917030567685588</c:v>
                </c:pt>
                <c:pt idx="76">
                  <c:v>1.0393013100436681</c:v>
                </c:pt>
                <c:pt idx="77">
                  <c:v>1.052401746724891</c:v>
                </c:pt>
                <c:pt idx="78">
                  <c:v>1.1179039301310043</c:v>
                </c:pt>
                <c:pt idx="79">
                  <c:v>1.5021834061135371</c:v>
                </c:pt>
                <c:pt idx="80">
                  <c:v>1.5327510917030567</c:v>
                </c:pt>
                <c:pt idx="81">
                  <c:v>1.5414847161572052</c:v>
                </c:pt>
                <c:pt idx="82">
                  <c:v>1.5414847161572052</c:v>
                </c:pt>
                <c:pt idx="83">
                  <c:v>1.3537117903930131</c:v>
                </c:pt>
                <c:pt idx="84">
                  <c:v>1.5283842794759825</c:v>
                </c:pt>
                <c:pt idx="85">
                  <c:v>1.6069868995633187</c:v>
                </c:pt>
                <c:pt idx="86">
                  <c:v>2.0567685589519651</c:v>
                </c:pt>
                <c:pt idx="87">
                  <c:v>2.0567685589519651</c:v>
                </c:pt>
                <c:pt idx="88">
                  <c:v>1.8471615720524019</c:v>
                </c:pt>
                <c:pt idx="89">
                  <c:v>1.8471615720524019</c:v>
                </c:pt>
                <c:pt idx="90">
                  <c:v>1.8471615720524019</c:v>
                </c:pt>
                <c:pt idx="91">
                  <c:v>1.8733624454148472</c:v>
                </c:pt>
                <c:pt idx="92">
                  <c:v>1.7205240174672489</c:v>
                </c:pt>
                <c:pt idx="93">
                  <c:v>1.6812227074235808</c:v>
                </c:pt>
                <c:pt idx="94">
                  <c:v>1.572052401746725</c:v>
                </c:pt>
                <c:pt idx="95">
                  <c:v>1.0698689956331879</c:v>
                </c:pt>
                <c:pt idx="96">
                  <c:v>1.0480349344978166</c:v>
                </c:pt>
                <c:pt idx="97">
                  <c:v>0.98253275109170302</c:v>
                </c:pt>
                <c:pt idx="98">
                  <c:v>1.0218340611353711</c:v>
                </c:pt>
                <c:pt idx="99">
                  <c:v>0.97816593886462888</c:v>
                </c:pt>
                <c:pt idx="100">
                  <c:v>1.1048034934497815</c:v>
                </c:pt>
                <c:pt idx="101">
                  <c:v>1.1091703056768558</c:v>
                </c:pt>
                <c:pt idx="102">
                  <c:v>1.1179039301310043</c:v>
                </c:pt>
                <c:pt idx="103">
                  <c:v>1.0873362445414847</c:v>
                </c:pt>
                <c:pt idx="104">
                  <c:v>1.1790393013100438</c:v>
                </c:pt>
                <c:pt idx="105">
                  <c:v>1.1397379912663754</c:v>
                </c:pt>
                <c:pt idx="106">
                  <c:v>1.1397379912663754</c:v>
                </c:pt>
                <c:pt idx="107">
                  <c:v>1.0611353711790394</c:v>
                </c:pt>
                <c:pt idx="108">
                  <c:v>1.1179039301310043</c:v>
                </c:pt>
                <c:pt idx="109">
                  <c:v>0.93886462882096067</c:v>
                </c:pt>
                <c:pt idx="110">
                  <c:v>0.90829694323144106</c:v>
                </c:pt>
                <c:pt idx="111">
                  <c:v>0.87772925764192133</c:v>
                </c:pt>
                <c:pt idx="112">
                  <c:v>0.84716157205240172</c:v>
                </c:pt>
                <c:pt idx="113">
                  <c:v>0.87772925764192133</c:v>
                </c:pt>
                <c:pt idx="114">
                  <c:v>0.92576419213973804</c:v>
                </c:pt>
                <c:pt idx="115">
                  <c:v>0.93013100436681218</c:v>
                </c:pt>
                <c:pt idx="116">
                  <c:v>0.98253275109170302</c:v>
                </c:pt>
                <c:pt idx="117">
                  <c:v>0.98253275109170302</c:v>
                </c:pt>
                <c:pt idx="118">
                  <c:v>0.89082969432314407</c:v>
                </c:pt>
                <c:pt idx="119">
                  <c:v>0.9606986899563319</c:v>
                </c:pt>
                <c:pt idx="120">
                  <c:v>0.9606986899563319</c:v>
                </c:pt>
                <c:pt idx="121">
                  <c:v>0.9039301310043667</c:v>
                </c:pt>
                <c:pt idx="122">
                  <c:v>0.88646288209606972</c:v>
                </c:pt>
                <c:pt idx="123">
                  <c:v>0.82096069868995625</c:v>
                </c:pt>
                <c:pt idx="124">
                  <c:v>0.83842794759825323</c:v>
                </c:pt>
                <c:pt idx="125">
                  <c:v>0.89519650655021821</c:v>
                </c:pt>
                <c:pt idx="126">
                  <c:v>0.86899563318777295</c:v>
                </c:pt>
                <c:pt idx="127">
                  <c:v>0.93013100436681218</c:v>
                </c:pt>
                <c:pt idx="128">
                  <c:v>0.86026200873362446</c:v>
                </c:pt>
                <c:pt idx="129">
                  <c:v>0.79912663755458513</c:v>
                </c:pt>
                <c:pt idx="130">
                  <c:v>0.76855895196506552</c:v>
                </c:pt>
                <c:pt idx="131">
                  <c:v>0.9039301310043667</c:v>
                </c:pt>
                <c:pt idx="132">
                  <c:v>0.95196506550218352</c:v>
                </c:pt>
                <c:pt idx="133">
                  <c:v>0.97816593886462888</c:v>
                </c:pt>
                <c:pt idx="134">
                  <c:v>0.97816593886462888</c:v>
                </c:pt>
                <c:pt idx="135">
                  <c:v>1.052401746724891</c:v>
                </c:pt>
                <c:pt idx="136">
                  <c:v>0.99563318777292564</c:v>
                </c:pt>
                <c:pt idx="137">
                  <c:v>0.94759825327510916</c:v>
                </c:pt>
                <c:pt idx="138">
                  <c:v>0.9039301310043667</c:v>
                </c:pt>
                <c:pt idx="139">
                  <c:v>0.9039301310043667</c:v>
                </c:pt>
                <c:pt idx="140">
                  <c:v>0.83406113537117899</c:v>
                </c:pt>
                <c:pt idx="141">
                  <c:v>0.83406113537117899</c:v>
                </c:pt>
                <c:pt idx="142">
                  <c:v>0.83406113537117899</c:v>
                </c:pt>
                <c:pt idx="143">
                  <c:v>1.0131004366812226</c:v>
                </c:pt>
                <c:pt idx="144">
                  <c:v>1.0611353711790394</c:v>
                </c:pt>
                <c:pt idx="145">
                  <c:v>1.0829694323144106</c:v>
                </c:pt>
                <c:pt idx="146">
                  <c:v>1.034934497816594</c:v>
                </c:pt>
                <c:pt idx="147">
                  <c:v>0.98253275109170302</c:v>
                </c:pt>
                <c:pt idx="148">
                  <c:v>0.93886462882096067</c:v>
                </c:pt>
                <c:pt idx="149">
                  <c:v>0.99126637554585151</c:v>
                </c:pt>
                <c:pt idx="150">
                  <c:v>0.97379912663755452</c:v>
                </c:pt>
                <c:pt idx="151">
                  <c:v>0.92576419213973804</c:v>
                </c:pt>
                <c:pt idx="152">
                  <c:v>0.94759825327510916</c:v>
                </c:pt>
                <c:pt idx="153">
                  <c:v>1</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NDX Index</c:v>
                </c:pt>
              </c:strCache>
            </c:strRef>
          </c:tx>
          <c:spPr>
            <a:ln w="19050" cap="rnd">
              <a:solidFill>
                <a:schemeClr val="accent3"/>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Data'!$V$5:$V$159</c:f>
              <c:numCache>
                <c:formatCode>General</c:formatCode>
                <c:ptCount val="155"/>
                <c:pt idx="0">
                  <c:v>2.0815159972667763</c:v>
                </c:pt>
                <c:pt idx="1">
                  <c:v>2.0815159972667763</c:v>
                </c:pt>
                <c:pt idx="2">
                  <c:v>2.0815159972667763</c:v>
                </c:pt>
                <c:pt idx="3">
                  <c:v>2.1071199766129882</c:v>
                </c:pt>
                <c:pt idx="4">
                  <c:v>2.0904922734894185</c:v>
                </c:pt>
                <c:pt idx="5">
                  <c:v>2.0604570241449567</c:v>
                </c:pt>
                <c:pt idx="6">
                  <c:v>2.0753546926411772</c:v>
                </c:pt>
                <c:pt idx="7">
                  <c:v>2.0596973016968914</c:v>
                </c:pt>
                <c:pt idx="8">
                  <c:v>2.0308696111909339</c:v>
                </c:pt>
                <c:pt idx="9">
                  <c:v>2.015758687270695</c:v>
                </c:pt>
                <c:pt idx="10">
                  <c:v>2.0151757891117108</c:v>
                </c:pt>
                <c:pt idx="11">
                  <c:v>1.942075384015262</c:v>
                </c:pt>
                <c:pt idx="12">
                  <c:v>1.9492940801182856</c:v>
                </c:pt>
                <c:pt idx="13">
                  <c:v>1.9368808373118795</c:v>
                </c:pt>
                <c:pt idx="14">
                  <c:v>1.9096801079783297</c:v>
                </c:pt>
                <c:pt idx="15">
                  <c:v>1.9057082257059863</c:v>
                </c:pt>
                <c:pt idx="16">
                  <c:v>1.9057082257059863</c:v>
                </c:pt>
                <c:pt idx="17">
                  <c:v>1.8542692403042089</c:v>
                </c:pt>
                <c:pt idx="18">
                  <c:v>1.7742797964476975</c:v>
                </c:pt>
                <c:pt idx="19">
                  <c:v>1.7262395693662138</c:v>
                </c:pt>
                <c:pt idx="20">
                  <c:v>1.5823819031447177</c:v>
                </c:pt>
                <c:pt idx="21">
                  <c:v>1.6701471728995008</c:v>
                </c:pt>
                <c:pt idx="22">
                  <c:v>1.5488279393039519</c:v>
                </c:pt>
                <c:pt idx="23">
                  <c:v>1.7130141788200044</c:v>
                </c:pt>
                <c:pt idx="24">
                  <c:v>1.7931626756802626</c:v>
                </c:pt>
                <c:pt idx="25">
                  <c:v>1.7604448508145025</c:v>
                </c:pt>
                <c:pt idx="26">
                  <c:v>1.7265647838878417</c:v>
                </c:pt>
                <c:pt idx="27">
                  <c:v>1.8149440515509445</c:v>
                </c:pt>
                <c:pt idx="28">
                  <c:v>1.8972695308647241</c:v>
                </c:pt>
                <c:pt idx="29">
                  <c:v>1.9332252839184971</c:v>
                </c:pt>
                <c:pt idx="30">
                  <c:v>1.9332252839184971</c:v>
                </c:pt>
                <c:pt idx="31">
                  <c:v>1.8924268556109725</c:v>
                </c:pt>
                <c:pt idx="32">
                  <c:v>1.8772946061483313</c:v>
                </c:pt>
                <c:pt idx="33">
                  <c:v>1.8468559486267684</c:v>
                </c:pt>
                <c:pt idx="34">
                  <c:v>1.8468559486267684</c:v>
                </c:pt>
                <c:pt idx="35">
                  <c:v>1.9157001308855164</c:v>
                </c:pt>
                <c:pt idx="36">
                  <c:v>1.8834976732944675</c:v>
                </c:pt>
                <c:pt idx="37">
                  <c:v>1.9106948483709505</c:v>
                </c:pt>
                <c:pt idx="38">
                  <c:v>1.963430249037907</c:v>
                </c:pt>
                <c:pt idx="39">
                  <c:v>1.9051546501678052</c:v>
                </c:pt>
                <c:pt idx="40">
                  <c:v>1.8806107279918178</c:v>
                </c:pt>
                <c:pt idx="41">
                  <c:v>1.8486481827527896</c:v>
                </c:pt>
                <c:pt idx="42">
                  <c:v>1.8250390301854165</c:v>
                </c:pt>
                <c:pt idx="43">
                  <c:v>1.8754561666804392</c:v>
                </c:pt>
                <c:pt idx="44">
                  <c:v>1.773894159555931</c:v>
                </c:pt>
                <c:pt idx="45">
                  <c:v>1.808323359199439</c:v>
                </c:pt>
                <c:pt idx="46">
                  <c:v>1.8092474660368523</c:v>
                </c:pt>
                <c:pt idx="47">
                  <c:v>1.8161409476182477</c:v>
                </c:pt>
                <c:pt idx="48">
                  <c:v>1.7594230019077475</c:v>
                </c:pt>
                <c:pt idx="49">
                  <c:v>1.782521230021743</c:v>
                </c:pt>
                <c:pt idx="50">
                  <c:v>1.7639955536244092</c:v>
                </c:pt>
                <c:pt idx="51">
                  <c:v>1.7258637066813813</c:v>
                </c:pt>
                <c:pt idx="52">
                  <c:v>1.6581302297560623</c:v>
                </c:pt>
                <c:pt idx="53">
                  <c:v>1.7341611198042313</c:v>
                </c:pt>
                <c:pt idx="54">
                  <c:v>1.7341611198042313</c:v>
                </c:pt>
                <c:pt idx="55">
                  <c:v>1.7563796692941513</c:v>
                </c:pt>
                <c:pt idx="56">
                  <c:v>1.6475785290884839</c:v>
                </c:pt>
                <c:pt idx="57">
                  <c:v>1.5900990838013846</c:v>
                </c:pt>
                <c:pt idx="58">
                  <c:v>1.6935581756353901</c:v>
                </c:pt>
                <c:pt idx="59">
                  <c:v>1.7613893946300505</c:v>
                </c:pt>
                <c:pt idx="60">
                  <c:v>1.8115053078386474</c:v>
                </c:pt>
                <c:pt idx="61">
                  <c:v>1.8161844872673183</c:v>
                </c:pt>
                <c:pt idx="62">
                  <c:v>1.7604430736859689</c:v>
                </c:pt>
                <c:pt idx="63">
                  <c:v>1.7304451440407103</c:v>
                </c:pt>
                <c:pt idx="64">
                  <c:v>1.7684872459927972</c:v>
                </c:pt>
                <c:pt idx="65">
                  <c:v>1.6949070161923063</c:v>
                </c:pt>
                <c:pt idx="66">
                  <c:v>1.6528157268766699</c:v>
                </c:pt>
                <c:pt idx="67">
                  <c:v>1.6593217944377652</c:v>
                </c:pt>
                <c:pt idx="68">
                  <c:v>1.6593217944377652</c:v>
                </c:pt>
                <c:pt idx="69">
                  <c:v>1.6170634550399809</c:v>
                </c:pt>
                <c:pt idx="70">
                  <c:v>1.6077299759821078</c:v>
                </c:pt>
                <c:pt idx="71">
                  <c:v>1.580108955750388</c:v>
                </c:pt>
                <c:pt idx="72">
                  <c:v>1.5292981852851979</c:v>
                </c:pt>
                <c:pt idx="73">
                  <c:v>1.5733656415300723</c:v>
                </c:pt>
                <c:pt idx="74">
                  <c:v>1.6083182055266918</c:v>
                </c:pt>
                <c:pt idx="75">
                  <c:v>1.6254683844391071</c:v>
                </c:pt>
                <c:pt idx="76">
                  <c:v>1.6240342417125833</c:v>
                </c:pt>
                <c:pt idx="77">
                  <c:v>1.598083722302341</c:v>
                </c:pt>
                <c:pt idx="78">
                  <c:v>1.5951230261655518</c:v>
                </c:pt>
                <c:pt idx="79">
                  <c:v>1.6195398836513948</c:v>
                </c:pt>
                <c:pt idx="80">
                  <c:v>1.5934916221718112</c:v>
                </c:pt>
                <c:pt idx="81">
                  <c:v>1.5889892670322219</c:v>
                </c:pt>
                <c:pt idx="82">
                  <c:v>1.5889892670322219</c:v>
                </c:pt>
                <c:pt idx="83">
                  <c:v>1.5650317972722854</c:v>
                </c:pt>
                <c:pt idx="84">
                  <c:v>1.5635416749969566</c:v>
                </c:pt>
                <c:pt idx="85">
                  <c:v>1.5399156397085154</c:v>
                </c:pt>
                <c:pt idx="86">
                  <c:v>1.4794488413566245</c:v>
                </c:pt>
                <c:pt idx="87">
                  <c:v>1.4794488413566245</c:v>
                </c:pt>
                <c:pt idx="88">
                  <c:v>1.4865502469764378</c:v>
                </c:pt>
                <c:pt idx="89">
                  <c:v>1.4865502469764378</c:v>
                </c:pt>
                <c:pt idx="90">
                  <c:v>1.4865502469764378</c:v>
                </c:pt>
                <c:pt idx="91">
                  <c:v>1.4414049622760039</c:v>
                </c:pt>
                <c:pt idx="92">
                  <c:v>1.4074564759008041</c:v>
                </c:pt>
                <c:pt idx="93">
                  <c:v>1.4183245054473432</c:v>
                </c:pt>
                <c:pt idx="94">
                  <c:v>1.4241072816953093</c:v>
                </c:pt>
                <c:pt idx="95">
                  <c:v>1.3757453943492643</c:v>
                </c:pt>
                <c:pt idx="96">
                  <c:v>1.3466129262998139</c:v>
                </c:pt>
                <c:pt idx="97">
                  <c:v>1.2738021931543231</c:v>
                </c:pt>
                <c:pt idx="98">
                  <c:v>1.297734783114791</c:v>
                </c:pt>
                <c:pt idx="99">
                  <c:v>1.3481945706946172</c:v>
                </c:pt>
                <c:pt idx="100">
                  <c:v>1.3370359806328531</c:v>
                </c:pt>
                <c:pt idx="101">
                  <c:v>1.3184134507304441</c:v>
                </c:pt>
                <c:pt idx="102">
                  <c:v>1.3123116799107171</c:v>
                </c:pt>
                <c:pt idx="103">
                  <c:v>1.3528719729947547</c:v>
                </c:pt>
                <c:pt idx="104">
                  <c:v>1.3738865179032371</c:v>
                </c:pt>
                <c:pt idx="105">
                  <c:v>1.3375078082584939</c:v>
                </c:pt>
                <c:pt idx="106">
                  <c:v>1.3375078082584939</c:v>
                </c:pt>
                <c:pt idx="107">
                  <c:v>1.3272208997424051</c:v>
                </c:pt>
                <c:pt idx="108">
                  <c:v>1.3511143928751361</c:v>
                </c:pt>
                <c:pt idx="109">
                  <c:v>1.369086493734289</c:v>
                </c:pt>
                <c:pt idx="110">
                  <c:v>1.4001107151076362</c:v>
                </c:pt>
                <c:pt idx="111">
                  <c:v>1.3726558563937974</c:v>
                </c:pt>
                <c:pt idx="112">
                  <c:v>1.3962259121334339</c:v>
                </c:pt>
                <c:pt idx="113">
                  <c:v>1.3369018074285748</c:v>
                </c:pt>
                <c:pt idx="114">
                  <c:v>1.3513898477978268</c:v>
                </c:pt>
                <c:pt idx="115">
                  <c:v>1.3052138285479704</c:v>
                </c:pt>
                <c:pt idx="116">
                  <c:v>1.3136800688815018</c:v>
                </c:pt>
                <c:pt idx="117">
                  <c:v>1.3136800688815018</c:v>
                </c:pt>
                <c:pt idx="118">
                  <c:v>1.2934385748850863</c:v>
                </c:pt>
                <c:pt idx="119">
                  <c:v>1.230638406768727</c:v>
                </c:pt>
                <c:pt idx="120">
                  <c:v>1.230638406768727</c:v>
                </c:pt>
                <c:pt idx="121">
                  <c:v>1.191876567760578</c:v>
                </c:pt>
                <c:pt idx="122">
                  <c:v>1.1810476350417758</c:v>
                </c:pt>
                <c:pt idx="123">
                  <c:v>1.1757011438487805</c:v>
                </c:pt>
                <c:pt idx="124">
                  <c:v>1.1524465284238381</c:v>
                </c:pt>
                <c:pt idx="125">
                  <c:v>1.1629271439500768</c:v>
                </c:pt>
                <c:pt idx="126">
                  <c:v>1.1596856615049966</c:v>
                </c:pt>
                <c:pt idx="127">
                  <c:v>1.1683153976636091</c:v>
                </c:pt>
                <c:pt idx="128">
                  <c:v>1.1260837151938268</c:v>
                </c:pt>
                <c:pt idx="129">
                  <c:v>1.116268634303379</c:v>
                </c:pt>
                <c:pt idx="130">
                  <c:v>1.0594502808307364</c:v>
                </c:pt>
                <c:pt idx="131">
                  <c:v>1.0931544120325818</c:v>
                </c:pt>
                <c:pt idx="132">
                  <c:v>1.0714121329896367</c:v>
                </c:pt>
                <c:pt idx="133">
                  <c:v>1.1109105917749158</c:v>
                </c:pt>
                <c:pt idx="134">
                  <c:v>1.1109105917749158</c:v>
                </c:pt>
                <c:pt idx="135">
                  <c:v>1.1075518188466258</c:v>
                </c:pt>
                <c:pt idx="136">
                  <c:v>1.0584924085511869</c:v>
                </c:pt>
                <c:pt idx="137">
                  <c:v>1.0549514799482145</c:v>
                </c:pt>
                <c:pt idx="138">
                  <c:v>0.98705717289061512</c:v>
                </c:pt>
                <c:pt idx="139">
                  <c:v>0.98705717289061512</c:v>
                </c:pt>
                <c:pt idx="140">
                  <c:v>0.98493705855016522</c:v>
                </c:pt>
                <c:pt idx="141">
                  <c:v>0.98493705855016522</c:v>
                </c:pt>
                <c:pt idx="142">
                  <c:v>0.98493705855016522</c:v>
                </c:pt>
                <c:pt idx="143">
                  <c:v>1.040192427477606</c:v>
                </c:pt>
                <c:pt idx="144">
                  <c:v>1.0473329299251561</c:v>
                </c:pt>
                <c:pt idx="145">
                  <c:v>1.0296460581956279</c:v>
                </c:pt>
                <c:pt idx="146">
                  <c:v>1.0265982827606981</c:v>
                </c:pt>
                <c:pt idx="147">
                  <c:v>1.0397037171308972</c:v>
                </c:pt>
                <c:pt idx="148">
                  <c:v>0.97537699560427249</c:v>
                </c:pt>
                <c:pt idx="149">
                  <c:v>1.0134581943840961</c:v>
                </c:pt>
                <c:pt idx="150">
                  <c:v>1.0156520595586855</c:v>
                </c:pt>
                <c:pt idx="151">
                  <c:v>0.98297688577772924</c:v>
                </c:pt>
                <c:pt idx="152">
                  <c:v>0.97093150857775501</c:v>
                </c:pt>
                <c:pt idx="153">
                  <c:v>0.99783368031767938</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S5SOFT Index</c:v>
                </c:pt>
              </c:strCache>
            </c:strRef>
          </c:tx>
          <c:spPr>
            <a:ln w="19050" cap="rnd">
              <a:solidFill>
                <a:schemeClr val="accent1">
                  <a:lumMod val="60000"/>
                  <a:lumOff val="40000"/>
                </a:schemeClr>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Data'!$W$5:$W$159</c:f>
              <c:numCache>
                <c:formatCode>General</c:formatCode>
                <c:ptCount val="155"/>
                <c:pt idx="0">
                  <c:v>2.1543553557949995</c:v>
                </c:pt>
                <c:pt idx="1">
                  <c:v>2.15233291166206</c:v>
                </c:pt>
                <c:pt idx="2">
                  <c:v>2.15233291166206</c:v>
                </c:pt>
                <c:pt idx="3">
                  <c:v>2.2147946127769025</c:v>
                </c:pt>
                <c:pt idx="4">
                  <c:v>2.2176454963141019</c:v>
                </c:pt>
                <c:pt idx="5">
                  <c:v>2.2746710569571813</c:v>
                </c:pt>
                <c:pt idx="6">
                  <c:v>2.233409514692307</c:v>
                </c:pt>
                <c:pt idx="7">
                  <c:v>2.2078357217811186</c:v>
                </c:pt>
                <c:pt idx="8">
                  <c:v>2.1688517303863684</c:v>
                </c:pt>
                <c:pt idx="9">
                  <c:v>2.1741116631118289</c:v>
                </c:pt>
                <c:pt idx="10">
                  <c:v>2.1625161414185512</c:v>
                </c:pt>
                <c:pt idx="11">
                  <c:v>2.1098826246012314</c:v>
                </c:pt>
                <c:pt idx="12">
                  <c:v>2.1002017184200215</c:v>
                </c:pt>
                <c:pt idx="13">
                  <c:v>2.0618410290532383</c:v>
                </c:pt>
                <c:pt idx="14">
                  <c:v>2.0168607143514636</c:v>
                </c:pt>
                <c:pt idx="15">
                  <c:v>2.0136600452880211</c:v>
                </c:pt>
                <c:pt idx="16">
                  <c:v>2.0136600452880211</c:v>
                </c:pt>
                <c:pt idx="17">
                  <c:v>1.9704049885201969</c:v>
                </c:pt>
                <c:pt idx="18">
                  <c:v>1.9155360002945563</c:v>
                </c:pt>
                <c:pt idx="19">
                  <c:v>1.7608019293433237</c:v>
                </c:pt>
                <c:pt idx="20">
                  <c:v>1.5902591305857197</c:v>
                </c:pt>
                <c:pt idx="21">
                  <c:v>1.7001996144469314</c:v>
                </c:pt>
                <c:pt idx="22">
                  <c:v>1.5675388511780934</c:v>
                </c:pt>
                <c:pt idx="23">
                  <c:v>1.6746705309639089</c:v>
                </c:pt>
                <c:pt idx="24">
                  <c:v>1.7629821714580269</c:v>
                </c:pt>
                <c:pt idx="25">
                  <c:v>1.7371532718096534</c:v>
                </c:pt>
                <c:pt idx="26">
                  <c:v>1.685519142210171</c:v>
                </c:pt>
                <c:pt idx="27">
                  <c:v>1.7579168562434087</c:v>
                </c:pt>
                <c:pt idx="28">
                  <c:v>1.8191135435377781</c:v>
                </c:pt>
                <c:pt idx="29">
                  <c:v>1.8993038479037854</c:v>
                </c:pt>
                <c:pt idx="30">
                  <c:v>1.8993038479037854</c:v>
                </c:pt>
                <c:pt idx="31">
                  <c:v>1.8597070743465192</c:v>
                </c:pt>
                <c:pt idx="32">
                  <c:v>1.9190154457924482</c:v>
                </c:pt>
                <c:pt idx="33">
                  <c:v>1.8250625274502739</c:v>
                </c:pt>
                <c:pt idx="34">
                  <c:v>1.8250625274502739</c:v>
                </c:pt>
                <c:pt idx="35">
                  <c:v>1.8921634892289729</c:v>
                </c:pt>
                <c:pt idx="36">
                  <c:v>1.8891179881809312</c:v>
                </c:pt>
                <c:pt idx="37">
                  <c:v>1.9302269923967672</c:v>
                </c:pt>
                <c:pt idx="38">
                  <c:v>1.9987586558767914</c:v>
                </c:pt>
                <c:pt idx="39">
                  <c:v>1.9962444080340214</c:v>
                </c:pt>
                <c:pt idx="40">
                  <c:v>1.9302348822958555</c:v>
                </c:pt>
                <c:pt idx="41">
                  <c:v>1.9054711190243876</c:v>
                </c:pt>
                <c:pt idx="42">
                  <c:v>1.8753027748775095</c:v>
                </c:pt>
                <c:pt idx="43">
                  <c:v>1.9026833546798938</c:v>
                </c:pt>
                <c:pt idx="44">
                  <c:v>1.7951466600742176</c:v>
                </c:pt>
                <c:pt idx="45">
                  <c:v>1.840960674112978</c:v>
                </c:pt>
                <c:pt idx="46">
                  <c:v>1.8228822853355706</c:v>
                </c:pt>
                <c:pt idx="47">
                  <c:v>1.8358953588983598</c:v>
                </c:pt>
                <c:pt idx="48">
                  <c:v>1.7756244197636712</c:v>
                </c:pt>
                <c:pt idx="49">
                  <c:v>1.8361162760728291</c:v>
                </c:pt>
                <c:pt idx="50">
                  <c:v>1.8465046432056136</c:v>
                </c:pt>
                <c:pt idx="51">
                  <c:v>1.8331523039820321</c:v>
                </c:pt>
                <c:pt idx="52">
                  <c:v>1.7346811034286871</c:v>
                </c:pt>
                <c:pt idx="53">
                  <c:v>1.7643576438657349</c:v>
                </c:pt>
                <c:pt idx="54">
                  <c:v>1.7643576438657349</c:v>
                </c:pt>
                <c:pt idx="55">
                  <c:v>1.7948731435724936</c:v>
                </c:pt>
                <c:pt idx="56">
                  <c:v>1.723277569279889</c:v>
                </c:pt>
                <c:pt idx="57">
                  <c:v>1.6593799065309955</c:v>
                </c:pt>
                <c:pt idx="58">
                  <c:v>1.7841954801398092</c:v>
                </c:pt>
                <c:pt idx="59">
                  <c:v>1.8374259993214688</c:v>
                </c:pt>
                <c:pt idx="60">
                  <c:v>1.8884473467584351</c:v>
                </c:pt>
                <c:pt idx="61">
                  <c:v>1.926368831742642</c:v>
                </c:pt>
                <c:pt idx="62">
                  <c:v>1.895056452227976</c:v>
                </c:pt>
                <c:pt idx="63">
                  <c:v>1.8433960229648663</c:v>
                </c:pt>
                <c:pt idx="64">
                  <c:v>1.8407187172076072</c:v>
                </c:pt>
                <c:pt idx="65">
                  <c:v>1.7537851790875596</c:v>
                </c:pt>
                <c:pt idx="66">
                  <c:v>1.695336806642243</c:v>
                </c:pt>
                <c:pt idx="67">
                  <c:v>1.7870884431388123</c:v>
                </c:pt>
                <c:pt idx="68">
                  <c:v>1.7870884431388123</c:v>
                </c:pt>
                <c:pt idx="69">
                  <c:v>1.729934014143959</c:v>
                </c:pt>
                <c:pt idx="70">
                  <c:v>1.728882027598867</c:v>
                </c:pt>
                <c:pt idx="71">
                  <c:v>1.6922229264687705</c:v>
                </c:pt>
                <c:pt idx="72">
                  <c:v>1.6796990266494494</c:v>
                </c:pt>
                <c:pt idx="73">
                  <c:v>1.7229383036190968</c:v>
                </c:pt>
                <c:pt idx="74">
                  <c:v>1.7841928501734463</c:v>
                </c:pt>
                <c:pt idx="75">
                  <c:v>1.7892581653880648</c:v>
                </c:pt>
                <c:pt idx="76">
                  <c:v>1.7891740064644572</c:v>
                </c:pt>
                <c:pt idx="77">
                  <c:v>1.7664958065186347</c:v>
                </c:pt>
                <c:pt idx="78">
                  <c:v>1.7377029347794641</c:v>
                </c:pt>
                <c:pt idx="79">
                  <c:v>1.7798139561795003</c:v>
                </c:pt>
                <c:pt idx="80">
                  <c:v>1.7470314254680683</c:v>
                </c:pt>
                <c:pt idx="81">
                  <c:v>1.7840797616198489</c:v>
                </c:pt>
                <c:pt idx="82">
                  <c:v>1.7840797616198489</c:v>
                </c:pt>
                <c:pt idx="83">
                  <c:v>1.7518863433736682</c:v>
                </c:pt>
                <c:pt idx="84">
                  <c:v>1.7633424768497212</c:v>
                </c:pt>
                <c:pt idx="85">
                  <c:v>1.7108141586869103</c:v>
                </c:pt>
                <c:pt idx="86">
                  <c:v>1.6107860180468292</c:v>
                </c:pt>
                <c:pt idx="87">
                  <c:v>1.6107860180468292</c:v>
                </c:pt>
                <c:pt idx="88">
                  <c:v>1.617055857855578</c:v>
                </c:pt>
                <c:pt idx="89">
                  <c:v>1.617055857855578</c:v>
                </c:pt>
                <c:pt idx="90">
                  <c:v>1.617055857855578</c:v>
                </c:pt>
                <c:pt idx="91">
                  <c:v>1.6120825914636552</c:v>
                </c:pt>
                <c:pt idx="92">
                  <c:v>1.5944171074051963</c:v>
                </c:pt>
                <c:pt idx="93">
                  <c:v>1.6094158055718466</c:v>
                </c:pt>
                <c:pt idx="94">
                  <c:v>1.6049922021497345</c:v>
                </c:pt>
                <c:pt idx="95">
                  <c:v>1.5551096301478304</c:v>
                </c:pt>
                <c:pt idx="96">
                  <c:v>1.5024971530614124</c:v>
                </c:pt>
                <c:pt idx="97">
                  <c:v>1.4251629921653302</c:v>
                </c:pt>
                <c:pt idx="98">
                  <c:v>1.4092858852335277</c:v>
                </c:pt>
                <c:pt idx="99">
                  <c:v>1.438578450581617</c:v>
                </c:pt>
                <c:pt idx="100">
                  <c:v>1.4256416460433472</c:v>
                </c:pt>
                <c:pt idx="101">
                  <c:v>1.390500035504546</c:v>
                </c:pt>
                <c:pt idx="102">
                  <c:v>1.376216688188558</c:v>
                </c:pt>
                <c:pt idx="103">
                  <c:v>1.4268225009402129</c:v>
                </c:pt>
                <c:pt idx="104">
                  <c:v>1.477104827829252</c:v>
                </c:pt>
                <c:pt idx="105">
                  <c:v>1.4077447249449679</c:v>
                </c:pt>
                <c:pt idx="106">
                  <c:v>1.4077447249449679</c:v>
                </c:pt>
                <c:pt idx="107">
                  <c:v>1.392740766845592</c:v>
                </c:pt>
                <c:pt idx="108">
                  <c:v>1.402587360907654</c:v>
                </c:pt>
                <c:pt idx="109">
                  <c:v>1.4208472173640898</c:v>
                </c:pt>
                <c:pt idx="110">
                  <c:v>1.4579060733813214</c:v>
                </c:pt>
                <c:pt idx="111">
                  <c:v>1.4773678244655251</c:v>
                </c:pt>
                <c:pt idx="112">
                  <c:v>1.4840505689932226</c:v>
                </c:pt>
                <c:pt idx="113">
                  <c:v>1.4227460530779812</c:v>
                </c:pt>
                <c:pt idx="114">
                  <c:v>1.4367742936567842</c:v>
                </c:pt>
                <c:pt idx="115">
                  <c:v>1.3996759881441116</c:v>
                </c:pt>
                <c:pt idx="116">
                  <c:v>1.4130519970649575</c:v>
                </c:pt>
                <c:pt idx="117">
                  <c:v>1.4130519970649575</c:v>
                </c:pt>
                <c:pt idx="118">
                  <c:v>1.4113056994001048</c:v>
                </c:pt>
                <c:pt idx="119">
                  <c:v>1.3459852248489743</c:v>
                </c:pt>
                <c:pt idx="120">
                  <c:v>1.3459852248489743</c:v>
                </c:pt>
                <c:pt idx="121">
                  <c:v>1.2916580096940562</c:v>
                </c:pt>
                <c:pt idx="122">
                  <c:v>1.2836024227250133</c:v>
                </c:pt>
                <c:pt idx="123">
                  <c:v>1.2822006506536783</c:v>
                </c:pt>
                <c:pt idx="124">
                  <c:v>1.2171431727388207</c:v>
                </c:pt>
                <c:pt idx="125">
                  <c:v>1.2383854110505927</c:v>
                </c:pt>
                <c:pt idx="126">
                  <c:v>1.2361315298777329</c:v>
                </c:pt>
                <c:pt idx="127">
                  <c:v>1.2334410742886599</c:v>
                </c:pt>
                <c:pt idx="128">
                  <c:v>1.1881241238924556</c:v>
                </c:pt>
                <c:pt idx="129">
                  <c:v>1.1684467155665079</c:v>
                </c:pt>
                <c:pt idx="130">
                  <c:v>1.0963830072613372</c:v>
                </c:pt>
                <c:pt idx="131">
                  <c:v>1.1238214463237017</c:v>
                </c:pt>
                <c:pt idx="132">
                  <c:v>1.0876094394752691</c:v>
                </c:pt>
                <c:pt idx="133">
                  <c:v>1.1665794394489695</c:v>
                </c:pt>
                <c:pt idx="134">
                  <c:v>1.1665794394489695</c:v>
                </c:pt>
                <c:pt idx="135">
                  <c:v>1.1202815115994667</c:v>
                </c:pt>
                <c:pt idx="136">
                  <c:v>1.071895390457956</c:v>
                </c:pt>
                <c:pt idx="137">
                  <c:v>1.0702306217503479</c:v>
                </c:pt>
                <c:pt idx="138">
                  <c:v>1.0032453784916091</c:v>
                </c:pt>
                <c:pt idx="139">
                  <c:v>1.0032453784916091</c:v>
                </c:pt>
                <c:pt idx="140">
                  <c:v>1.0256816215320606</c:v>
                </c:pt>
                <c:pt idx="141">
                  <c:v>1.0256816215320606</c:v>
                </c:pt>
                <c:pt idx="142">
                  <c:v>1.0256816215320606</c:v>
                </c:pt>
                <c:pt idx="143">
                  <c:v>1.073299792495654</c:v>
                </c:pt>
                <c:pt idx="144">
                  <c:v>1.0617463502641802</c:v>
                </c:pt>
                <c:pt idx="145">
                  <c:v>1.0440124870802903</c:v>
                </c:pt>
                <c:pt idx="146">
                  <c:v>1.037474390702543</c:v>
                </c:pt>
                <c:pt idx="147">
                  <c:v>1.0514894814495324</c:v>
                </c:pt>
                <c:pt idx="148">
                  <c:v>0.97940473341345968</c:v>
                </c:pt>
                <c:pt idx="149">
                  <c:v>1.0203980191093356</c:v>
                </c:pt>
                <c:pt idx="150">
                  <c:v>1.0517182885230898</c:v>
                </c:pt>
                <c:pt idx="151">
                  <c:v>1.0041316771558493</c:v>
                </c:pt>
                <c:pt idx="152">
                  <c:v>0.97663800879986751</c:v>
                </c:pt>
                <c:pt idx="153">
                  <c:v>1.0165398584552103</c:v>
                </c:pt>
                <c:pt idx="154">
                  <c:v>1</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#NOME?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ENOVA INTERNATIO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REGIONAL MANAGEM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WORLD ACCEPTANCE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EZCORP INC-A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ONEMAIN HOLDINGS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#NOME?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ENOVA INTERNATIO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REGIONAL MANAGEM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WORLD ACCEPTANCE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EZCORP INC-A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ONEMAIN HOLDINGS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#NOME?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ENOVA INTERNATIO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REGIONAL MANAGEM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WORLD ACCEPTANCE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EZCORP INC-A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ONEMAIN HOLDINGS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#NOME?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ENOVA INTERNATIO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REGIONAL MANAGEM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WORLD ACCEPTANCE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EZCORP INC-A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ONEMAIN HOLDINGS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#NOME?</c:v>
                </c:pt>
              </c:strCache>
            </c:strRef>
          </c:tx>
          <c:spPr>
            <a:ln w="28575" cap="rnd">
              <a:solidFill>
                <a:schemeClr val="accent1"/>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ENOVA INTERNATIO</c:v>
                </c:pt>
              </c:strCache>
            </c:strRef>
          </c:tx>
          <c:spPr>
            <a:ln w="28575" cap="rnd">
              <a:solidFill>
                <a:schemeClr val="accent3"/>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REGIONAL MANAGEM</c:v>
                </c:pt>
              </c:strCache>
            </c:strRef>
          </c:tx>
          <c:spPr>
            <a:ln w="28575" cap="rnd">
              <a:solidFill>
                <a:schemeClr val="accent5"/>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WORLD ACCEPTANCE</c:v>
                </c:pt>
              </c:strCache>
            </c:strRef>
          </c:tx>
          <c:spPr>
            <a:ln w="28575" cap="rnd">
              <a:solidFill>
                <a:schemeClr val="accent1">
                  <a:lumMod val="60000"/>
                </a:schemeClr>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EZCORP INC-A</c:v>
                </c:pt>
              </c:strCache>
            </c:strRef>
          </c:tx>
          <c:spPr>
            <a:ln w="28575" cap="rnd">
              <a:solidFill>
                <a:schemeClr val="accent3">
                  <a:lumMod val="60000"/>
                </a:schemeClr>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ONEMAIN HOLDINGS</c:v>
                </c:pt>
              </c:strCache>
            </c:strRef>
          </c:tx>
          <c:spPr>
            <a:ln w="28575" cap="rnd">
              <a:solidFill>
                <a:schemeClr val="accent5">
                  <a:lumMod val="60000"/>
                </a:schemeClr>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#NOME?</c:v>
                </c:pt>
              </c:strCache>
            </c:strRef>
          </c:tx>
          <c:spPr>
            <a:ln w="28575" cap="rnd">
              <a:solidFill>
                <a:schemeClr val="accent1"/>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ENOVA INTERNATIO</c:v>
                </c:pt>
              </c:strCache>
            </c:strRef>
          </c:tx>
          <c:spPr>
            <a:ln w="28575" cap="rnd">
              <a:solidFill>
                <a:schemeClr val="accent2"/>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REGIONAL MANAGEM</c:v>
                </c:pt>
              </c:strCache>
            </c:strRef>
          </c:tx>
          <c:spPr>
            <a:ln w="28575" cap="rnd">
              <a:solidFill>
                <a:schemeClr val="accent3"/>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WORLD ACCEPTANCE</c:v>
                </c:pt>
              </c:strCache>
            </c:strRef>
          </c:tx>
          <c:spPr>
            <a:ln w="28575" cap="rnd">
              <a:solidFill>
                <a:schemeClr val="accent4"/>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EZCORP INC-A</c:v>
                </c:pt>
              </c:strCache>
            </c:strRef>
          </c:tx>
          <c:spPr>
            <a:ln w="28575" cap="rnd">
              <a:solidFill>
                <a:schemeClr val="accent5"/>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ONEMAIN HOLDINGS</c:v>
                </c:pt>
              </c:strCache>
            </c:strRef>
          </c:tx>
          <c:spPr>
            <a:ln w="28575" cap="rnd">
              <a:solidFill>
                <a:schemeClr val="accent6"/>
              </a:solidFill>
              <a:round/>
            </a:ln>
            <a:effectLst/>
          </c:spPr>
          <c:marker>
            <c:symbol val="none"/>
          </c:marker>
          <c:cat>
            <c:numRef>
              <c:f>'Stock Data'!$B$5:$B$159</c:f>
              <c:numCache>
                <c:formatCode>m/d/yy</c:formatCode>
                <c:ptCount val="155"/>
                <c:pt idx="0">
                  <c:v>45951</c:v>
                </c:pt>
                <c:pt idx="1">
                  <c:v>45944</c:v>
                </c:pt>
                <c:pt idx="2">
                  <c:v>45937</c:v>
                </c:pt>
                <c:pt idx="3">
                  <c:v>45930</c:v>
                </c:pt>
                <c:pt idx="4">
                  <c:v>45923</c:v>
                </c:pt>
                <c:pt idx="5">
                  <c:v>45916</c:v>
                </c:pt>
                <c:pt idx="6">
                  <c:v>45909</c:v>
                </c:pt>
                <c:pt idx="7">
                  <c:v>45902</c:v>
                </c:pt>
                <c:pt idx="8">
                  <c:v>45895</c:v>
                </c:pt>
                <c:pt idx="9">
                  <c:v>45888</c:v>
                </c:pt>
                <c:pt idx="10">
                  <c:v>45881</c:v>
                </c:pt>
                <c:pt idx="11">
                  <c:v>45874</c:v>
                </c:pt>
                <c:pt idx="12">
                  <c:v>45867</c:v>
                </c:pt>
                <c:pt idx="13">
                  <c:v>45860</c:v>
                </c:pt>
                <c:pt idx="14">
                  <c:v>45853</c:v>
                </c:pt>
                <c:pt idx="15">
                  <c:v>45846</c:v>
                </c:pt>
                <c:pt idx="16">
                  <c:v>45839</c:v>
                </c:pt>
                <c:pt idx="17">
                  <c:v>45832</c:v>
                </c:pt>
                <c:pt idx="18">
                  <c:v>45825</c:v>
                </c:pt>
                <c:pt idx="19">
                  <c:v>45818</c:v>
                </c:pt>
                <c:pt idx="20">
                  <c:v>45811</c:v>
                </c:pt>
                <c:pt idx="21">
                  <c:v>45804</c:v>
                </c:pt>
                <c:pt idx="22">
                  <c:v>45797</c:v>
                </c:pt>
                <c:pt idx="23">
                  <c:v>45790</c:v>
                </c:pt>
                <c:pt idx="24">
                  <c:v>45783</c:v>
                </c:pt>
                <c:pt idx="25">
                  <c:v>45776</c:v>
                </c:pt>
                <c:pt idx="26">
                  <c:v>45769</c:v>
                </c:pt>
                <c:pt idx="27">
                  <c:v>45762</c:v>
                </c:pt>
                <c:pt idx="28">
                  <c:v>45755</c:v>
                </c:pt>
                <c:pt idx="29">
                  <c:v>45748</c:v>
                </c:pt>
                <c:pt idx="30">
                  <c:v>45741</c:v>
                </c:pt>
                <c:pt idx="31">
                  <c:v>45734</c:v>
                </c:pt>
                <c:pt idx="32">
                  <c:v>45727</c:v>
                </c:pt>
                <c:pt idx="33">
                  <c:v>45720</c:v>
                </c:pt>
                <c:pt idx="34">
                  <c:v>45713</c:v>
                </c:pt>
                <c:pt idx="35">
                  <c:v>45706</c:v>
                </c:pt>
                <c:pt idx="36">
                  <c:v>45699</c:v>
                </c:pt>
                <c:pt idx="37">
                  <c:v>45692</c:v>
                </c:pt>
                <c:pt idx="38">
                  <c:v>45685</c:v>
                </c:pt>
                <c:pt idx="39">
                  <c:v>45678</c:v>
                </c:pt>
                <c:pt idx="40">
                  <c:v>45671</c:v>
                </c:pt>
                <c:pt idx="41">
                  <c:v>45664</c:v>
                </c:pt>
                <c:pt idx="42">
                  <c:v>45657</c:v>
                </c:pt>
                <c:pt idx="43">
                  <c:v>45650</c:v>
                </c:pt>
                <c:pt idx="44">
                  <c:v>45643</c:v>
                </c:pt>
                <c:pt idx="45">
                  <c:v>45636</c:v>
                </c:pt>
                <c:pt idx="46">
                  <c:v>45629</c:v>
                </c:pt>
                <c:pt idx="47">
                  <c:v>45622</c:v>
                </c:pt>
                <c:pt idx="48">
                  <c:v>45615</c:v>
                </c:pt>
                <c:pt idx="49">
                  <c:v>45608</c:v>
                </c:pt>
                <c:pt idx="50">
                  <c:v>45601</c:v>
                </c:pt>
                <c:pt idx="51">
                  <c:v>45594</c:v>
                </c:pt>
                <c:pt idx="52">
                  <c:v>45587</c:v>
                </c:pt>
                <c:pt idx="53">
                  <c:v>45580</c:v>
                </c:pt>
                <c:pt idx="54">
                  <c:v>45573</c:v>
                </c:pt>
                <c:pt idx="55">
                  <c:v>45566</c:v>
                </c:pt>
                <c:pt idx="56">
                  <c:v>45559</c:v>
                </c:pt>
                <c:pt idx="57">
                  <c:v>45552</c:v>
                </c:pt>
                <c:pt idx="58">
                  <c:v>45545</c:v>
                </c:pt>
                <c:pt idx="59">
                  <c:v>45538</c:v>
                </c:pt>
                <c:pt idx="60">
                  <c:v>45531</c:v>
                </c:pt>
                <c:pt idx="61">
                  <c:v>45524</c:v>
                </c:pt>
                <c:pt idx="62">
                  <c:v>45517</c:v>
                </c:pt>
                <c:pt idx="63">
                  <c:v>45510</c:v>
                </c:pt>
                <c:pt idx="64">
                  <c:v>45503</c:v>
                </c:pt>
                <c:pt idx="65">
                  <c:v>45496</c:v>
                </c:pt>
                <c:pt idx="66">
                  <c:v>45489</c:v>
                </c:pt>
                <c:pt idx="67">
                  <c:v>45482</c:v>
                </c:pt>
                <c:pt idx="68">
                  <c:v>45475</c:v>
                </c:pt>
                <c:pt idx="69">
                  <c:v>45468</c:v>
                </c:pt>
                <c:pt idx="70">
                  <c:v>45461</c:v>
                </c:pt>
                <c:pt idx="71">
                  <c:v>45454</c:v>
                </c:pt>
                <c:pt idx="72">
                  <c:v>45447</c:v>
                </c:pt>
                <c:pt idx="73">
                  <c:v>45440</c:v>
                </c:pt>
                <c:pt idx="74">
                  <c:v>45433</c:v>
                </c:pt>
                <c:pt idx="75">
                  <c:v>45426</c:v>
                </c:pt>
                <c:pt idx="76">
                  <c:v>45419</c:v>
                </c:pt>
                <c:pt idx="77">
                  <c:v>45412</c:v>
                </c:pt>
                <c:pt idx="78">
                  <c:v>45405</c:v>
                </c:pt>
                <c:pt idx="79">
                  <c:v>45398</c:v>
                </c:pt>
                <c:pt idx="80">
                  <c:v>45391</c:v>
                </c:pt>
                <c:pt idx="81">
                  <c:v>45384</c:v>
                </c:pt>
                <c:pt idx="82">
                  <c:v>45377</c:v>
                </c:pt>
                <c:pt idx="83">
                  <c:v>45370</c:v>
                </c:pt>
                <c:pt idx="84">
                  <c:v>45363</c:v>
                </c:pt>
                <c:pt idx="85">
                  <c:v>45356</c:v>
                </c:pt>
                <c:pt idx="86">
                  <c:v>45349</c:v>
                </c:pt>
                <c:pt idx="87">
                  <c:v>45342</c:v>
                </c:pt>
                <c:pt idx="88">
                  <c:v>45335</c:v>
                </c:pt>
                <c:pt idx="89">
                  <c:v>45328</c:v>
                </c:pt>
                <c:pt idx="90">
                  <c:v>45321</c:v>
                </c:pt>
                <c:pt idx="91">
                  <c:v>45314</c:v>
                </c:pt>
                <c:pt idx="92">
                  <c:v>45307</c:v>
                </c:pt>
                <c:pt idx="93">
                  <c:v>45300</c:v>
                </c:pt>
                <c:pt idx="94">
                  <c:v>45293</c:v>
                </c:pt>
                <c:pt idx="95">
                  <c:v>45286</c:v>
                </c:pt>
                <c:pt idx="96">
                  <c:v>45279</c:v>
                </c:pt>
                <c:pt idx="97">
                  <c:v>45272</c:v>
                </c:pt>
                <c:pt idx="98">
                  <c:v>45265</c:v>
                </c:pt>
                <c:pt idx="99">
                  <c:v>45258</c:v>
                </c:pt>
                <c:pt idx="100">
                  <c:v>45251</c:v>
                </c:pt>
                <c:pt idx="101">
                  <c:v>45244</c:v>
                </c:pt>
                <c:pt idx="102">
                  <c:v>45237</c:v>
                </c:pt>
                <c:pt idx="103">
                  <c:v>45230</c:v>
                </c:pt>
                <c:pt idx="104">
                  <c:v>45223</c:v>
                </c:pt>
                <c:pt idx="105">
                  <c:v>45216</c:v>
                </c:pt>
                <c:pt idx="106">
                  <c:v>45209</c:v>
                </c:pt>
                <c:pt idx="107">
                  <c:v>45202</c:v>
                </c:pt>
                <c:pt idx="108">
                  <c:v>45195</c:v>
                </c:pt>
                <c:pt idx="109">
                  <c:v>45188</c:v>
                </c:pt>
                <c:pt idx="110">
                  <c:v>45181</c:v>
                </c:pt>
                <c:pt idx="111">
                  <c:v>45174</c:v>
                </c:pt>
                <c:pt idx="112">
                  <c:v>45167</c:v>
                </c:pt>
                <c:pt idx="113">
                  <c:v>45160</c:v>
                </c:pt>
                <c:pt idx="114">
                  <c:v>45153</c:v>
                </c:pt>
                <c:pt idx="115">
                  <c:v>45146</c:v>
                </c:pt>
                <c:pt idx="116">
                  <c:v>45139</c:v>
                </c:pt>
                <c:pt idx="117">
                  <c:v>45132</c:v>
                </c:pt>
                <c:pt idx="118">
                  <c:v>45125</c:v>
                </c:pt>
                <c:pt idx="119">
                  <c:v>45118</c:v>
                </c:pt>
                <c:pt idx="120">
                  <c:v>45111</c:v>
                </c:pt>
                <c:pt idx="121">
                  <c:v>45104</c:v>
                </c:pt>
                <c:pt idx="122">
                  <c:v>45097</c:v>
                </c:pt>
                <c:pt idx="123">
                  <c:v>45090</c:v>
                </c:pt>
                <c:pt idx="124">
                  <c:v>45083</c:v>
                </c:pt>
                <c:pt idx="125">
                  <c:v>45076</c:v>
                </c:pt>
                <c:pt idx="126">
                  <c:v>45069</c:v>
                </c:pt>
                <c:pt idx="127">
                  <c:v>45062</c:v>
                </c:pt>
                <c:pt idx="128">
                  <c:v>45055</c:v>
                </c:pt>
                <c:pt idx="129">
                  <c:v>45048</c:v>
                </c:pt>
                <c:pt idx="130">
                  <c:v>45041</c:v>
                </c:pt>
                <c:pt idx="131">
                  <c:v>45034</c:v>
                </c:pt>
                <c:pt idx="132">
                  <c:v>45027</c:v>
                </c:pt>
                <c:pt idx="133">
                  <c:v>45020</c:v>
                </c:pt>
                <c:pt idx="134">
                  <c:v>45013</c:v>
                </c:pt>
                <c:pt idx="135">
                  <c:v>45006</c:v>
                </c:pt>
                <c:pt idx="136">
                  <c:v>44999</c:v>
                </c:pt>
                <c:pt idx="137">
                  <c:v>44992</c:v>
                </c:pt>
                <c:pt idx="138">
                  <c:v>44985</c:v>
                </c:pt>
                <c:pt idx="139">
                  <c:v>44978</c:v>
                </c:pt>
                <c:pt idx="140">
                  <c:v>44971</c:v>
                </c:pt>
                <c:pt idx="141">
                  <c:v>44964</c:v>
                </c:pt>
                <c:pt idx="142">
                  <c:v>44957</c:v>
                </c:pt>
                <c:pt idx="143">
                  <c:v>44950</c:v>
                </c:pt>
                <c:pt idx="144">
                  <c:v>44943</c:v>
                </c:pt>
                <c:pt idx="145">
                  <c:v>44936</c:v>
                </c:pt>
                <c:pt idx="146">
                  <c:v>44929</c:v>
                </c:pt>
                <c:pt idx="147">
                  <c:v>44922</c:v>
                </c:pt>
                <c:pt idx="148">
                  <c:v>44915</c:v>
                </c:pt>
                <c:pt idx="149">
                  <c:v>44908</c:v>
                </c:pt>
                <c:pt idx="150">
                  <c:v>44901</c:v>
                </c:pt>
                <c:pt idx="151">
                  <c:v>44894</c:v>
                </c:pt>
                <c:pt idx="152">
                  <c:v>44887</c:v>
                </c:pt>
                <c:pt idx="153">
                  <c:v>44880</c:v>
                </c:pt>
                <c:pt idx="154">
                  <c:v>44873</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2.5084074719770699E-2</c:v>
                </c:pt>
                <c:pt idx="1">
                  <c:v>8.6932772179986073E-2</c:v>
                </c:pt>
                <c:pt idx="2">
                  <c:v>8.6931434542385902E-2</c:v>
                </c:pt>
                <c:pt idx="3">
                  <c:v>8.6909665093193852E-2</c:v>
                </c:pt>
                <c:pt idx="4">
                  <c:v>8.6905146936065145E-2</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0.22745289619307443</c:v>
                </c:pt>
                <c:pt idx="1">
                  <c:v>0.21849994489639524</c:v>
                </c:pt>
                <c:pt idx="2">
                  <c:v>0.25493260042040888</c:v>
                </c:pt>
                <c:pt idx="3">
                  <c:v>0.25471985597354696</c:v>
                </c:pt>
                <c:pt idx="4">
                  <c:v>0.25296763296982583</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Sensitivity!$AJ$28:$AJ$34</c:f>
              <c:numCache>
                <c:formatCode>General</c:formatCode>
                <c:ptCount val="7"/>
                <c:pt idx="0">
                  <c:v>-4.1032428185292957E-2</c:v>
                </c:pt>
                <c:pt idx="1">
                  <c:v>-0.55182043595520724</c:v>
                </c:pt>
                <c:pt idx="2">
                  <c:v>-1.4387895257546539</c:v>
                </c:pt>
                <c:pt idx="3">
                  <c:v>-2.1473553691493272</c:v>
                </c:pt>
                <c:pt idx="4">
                  <c:v>-2.3526438186265679</c:v>
                </c:pt>
                <c:pt idx="5">
                  <c:v>-7.323454233490704</c:v>
                </c:pt>
                <c:pt idx="6">
                  <c:v>20.521203317203749</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Sensitivity!$AK$28:$AK$34</c:f>
              <c:numCache>
                <c:formatCode>General</c:formatCode>
                <c:ptCount val="7"/>
                <c:pt idx="0">
                  <c:v>3.7048986762670211E-2</c:v>
                </c:pt>
                <c:pt idx="1">
                  <c:v>0.59695398630146101</c:v>
                </c:pt>
                <c:pt idx="2">
                  <c:v>1.4387895257546504</c:v>
                </c:pt>
                <c:pt idx="3">
                  <c:v>2.1473553691493272</c:v>
                </c:pt>
                <c:pt idx="4">
                  <c:v>2.5463281262657276</c:v>
                </c:pt>
                <c:pt idx="5">
                  <c:v>6.8266452245118252</c:v>
                </c:pt>
                <c:pt idx="6">
                  <c:v>36.406940138741376</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Sensitivity!$AJ$28:$AJ$34</c:f>
              <c:numCache>
                <c:formatCode>General</c:formatCode>
                <c:ptCount val="7"/>
                <c:pt idx="0">
                  <c:v>-4.1032428185292957E-2</c:v>
                </c:pt>
                <c:pt idx="1">
                  <c:v>-0.55182043595520724</c:v>
                </c:pt>
                <c:pt idx="2">
                  <c:v>-1.4387895257546539</c:v>
                </c:pt>
                <c:pt idx="3">
                  <c:v>-2.1473553691493272</c:v>
                </c:pt>
                <c:pt idx="4">
                  <c:v>-2.3526438186265679</c:v>
                </c:pt>
                <c:pt idx="5">
                  <c:v>-7.323454233490704</c:v>
                </c:pt>
                <c:pt idx="6">
                  <c:v>20.521203317203749</c:v>
                </c:pt>
              </c:numCache>
            </c:numRef>
          </c:val>
          <c:extLst>
            <c:ext xmlns:c16="http://schemas.microsoft.com/office/drawing/2014/chart" uri="{C3380CC4-5D6E-409C-BE32-E72D297353CC}">
              <c16:uniqueId val="{00000000-78C3-1B42-A127-1E107BD619D5}"/>
            </c:ext>
          </c:extLst>
        </c:ser>
        <c:ser>
          <c:idx val="1"/>
          <c:order val="1"/>
          <c:spPr>
            <a:solidFill>
              <a:srgbClr val="7B1314"/>
            </a:solidFill>
            <a:ln>
              <a:noFill/>
            </a:ln>
            <a:effectLst/>
          </c:spPr>
          <c:invertIfNegative val="0"/>
          <c:cat>
            <c:strRef>
              <c:f>Sensitivity!$AD$28:$AD$34</c:f>
              <c:strCache>
                <c:ptCount val="7"/>
                <c:pt idx="0">
                  <c:v>SG&amp;A Margin</c:v>
                </c:pt>
                <c:pt idx="1">
                  <c:v>COGS Margin</c:v>
                </c:pt>
                <c:pt idx="2">
                  <c:v>Capex Intensity</c:v>
                </c:pt>
                <c:pt idx="3">
                  <c:v>EBITDA Exit</c:v>
                </c:pt>
                <c:pt idx="4">
                  <c:v>WACC</c:v>
                </c:pt>
                <c:pt idx="5">
                  <c:v>Revenue Exit</c:v>
                </c:pt>
                <c:pt idx="6">
                  <c:v>Terminal g</c:v>
                </c:pt>
              </c:strCache>
            </c:strRef>
          </c:cat>
          <c:val>
            <c:numRef>
              <c:f>Sensitivity!$AK$28:$AK$34</c:f>
              <c:numCache>
                <c:formatCode>General</c:formatCode>
                <c:ptCount val="7"/>
                <c:pt idx="0">
                  <c:v>3.7048986762670211E-2</c:v>
                </c:pt>
                <c:pt idx="1">
                  <c:v>0.59695398630146101</c:v>
                </c:pt>
                <c:pt idx="2">
                  <c:v>1.4387895257546504</c:v>
                </c:pt>
                <c:pt idx="3">
                  <c:v>2.1473553691493272</c:v>
                </c:pt>
                <c:pt idx="4">
                  <c:v>2.5463281262657276</c:v>
                </c:pt>
                <c:pt idx="5">
                  <c:v>6.8266452245118252</c:v>
                </c:pt>
                <c:pt idx="6">
                  <c:v>36.406940138741376</c:v>
                </c:pt>
              </c:numCache>
            </c:numRef>
          </c:val>
          <c:extLst>
            <c:ext xmlns:c16="http://schemas.microsoft.com/office/drawing/2014/chart" uri="{C3380CC4-5D6E-409C-BE32-E72D297353CC}">
              <c16:uniqueId val="{00000001-78C3-1B42-A127-1E107BD619D5}"/>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OPFI US Equity</c:v>
                </c:pt>
              </c:strCache>
            </c:strRef>
          </c:tx>
          <c:spPr>
            <a:ln w="28575" cap="rnd">
              <a:solidFill>
                <a:schemeClr val="accent1"/>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Data'!$U$5:$U$159</c:f>
              <c:numCache>
                <c:formatCode>General</c:formatCode>
                <c:ptCount val="155"/>
                <c:pt idx="0">
                  <c:v>4.5414847161572052</c:v>
                </c:pt>
                <c:pt idx="1">
                  <c:v>4.3537117903930129</c:v>
                </c:pt>
                <c:pt idx="2">
                  <c:v>4.3537117903930129</c:v>
                </c:pt>
                <c:pt idx="3">
                  <c:v>4.6288209606986896</c:v>
                </c:pt>
                <c:pt idx="4">
                  <c:v>4.7598253275109172</c:v>
                </c:pt>
                <c:pt idx="5">
                  <c:v>4.4759825327510914</c:v>
                </c:pt>
                <c:pt idx="6">
                  <c:v>4.7685589519650655</c:v>
                </c:pt>
                <c:pt idx="7">
                  <c:v>4.9956331877729259</c:v>
                </c:pt>
                <c:pt idx="8">
                  <c:v>5.2270742358078603</c:v>
                </c:pt>
                <c:pt idx="9">
                  <c:v>6.2139737991266379</c:v>
                </c:pt>
                <c:pt idx="10">
                  <c:v>6.109170305676856</c:v>
                </c:pt>
                <c:pt idx="11">
                  <c:v>5.8515283842794759</c:v>
                </c:pt>
                <c:pt idx="12">
                  <c:v>5.3711790393013104</c:v>
                </c:pt>
                <c:pt idx="13">
                  <c:v>6.0655021834061138</c:v>
                </c:pt>
                <c:pt idx="14">
                  <c:v>5.7641921397379905</c:v>
                </c:pt>
                <c:pt idx="15">
                  <c:v>5.1921397379912664</c:v>
                </c:pt>
                <c:pt idx="16">
                  <c:v>5.1921397379912664</c:v>
                </c:pt>
                <c:pt idx="17">
                  <c:v>5.3100436681222707</c:v>
                </c:pt>
                <c:pt idx="18">
                  <c:v>4.3056768558951966</c:v>
                </c:pt>
                <c:pt idx="19">
                  <c:v>4.1484716157205241</c:v>
                </c:pt>
                <c:pt idx="20">
                  <c:v>3.4847161572052405</c:v>
                </c:pt>
                <c:pt idx="21">
                  <c:v>3.6113537117903927</c:v>
                </c:pt>
                <c:pt idx="22">
                  <c:v>3.5633187772925763</c:v>
                </c:pt>
                <c:pt idx="23">
                  <c:v>4.0611353711790397</c:v>
                </c:pt>
                <c:pt idx="24">
                  <c:v>4.7729257641921397</c:v>
                </c:pt>
                <c:pt idx="25">
                  <c:v>4.0393013100436681</c:v>
                </c:pt>
                <c:pt idx="26">
                  <c:v>3.9519650655021836</c:v>
                </c:pt>
                <c:pt idx="27">
                  <c:v>4.1877729257641922</c:v>
                </c:pt>
                <c:pt idx="28">
                  <c:v>4.7729257641921397</c:v>
                </c:pt>
                <c:pt idx="29">
                  <c:v>6.7336244541484715</c:v>
                </c:pt>
                <c:pt idx="30">
                  <c:v>6.7336244541484715</c:v>
                </c:pt>
                <c:pt idx="31">
                  <c:v>6.0131004366812224</c:v>
                </c:pt>
                <c:pt idx="32">
                  <c:v>5.4541484716157207</c:v>
                </c:pt>
                <c:pt idx="33">
                  <c:v>4.253275109170306</c:v>
                </c:pt>
                <c:pt idx="34">
                  <c:v>4.253275109170306</c:v>
                </c:pt>
                <c:pt idx="35">
                  <c:v>3.301310043668122</c:v>
                </c:pt>
                <c:pt idx="36">
                  <c:v>3.301310043668122</c:v>
                </c:pt>
                <c:pt idx="37">
                  <c:v>3.126637554585153</c:v>
                </c:pt>
                <c:pt idx="38">
                  <c:v>3.3100436681222707</c:v>
                </c:pt>
                <c:pt idx="39">
                  <c:v>2.9868995633187772</c:v>
                </c:pt>
                <c:pt idx="40">
                  <c:v>3.3624454148471616</c:v>
                </c:pt>
                <c:pt idx="41">
                  <c:v>3.427947598253275</c:v>
                </c:pt>
                <c:pt idx="42">
                  <c:v>3.017467248908297</c:v>
                </c:pt>
                <c:pt idx="43">
                  <c:v>2.982532751091703</c:v>
                </c:pt>
                <c:pt idx="44">
                  <c:v>2.1179039301310043</c:v>
                </c:pt>
                <c:pt idx="45">
                  <c:v>2.3537117903930129</c:v>
                </c:pt>
                <c:pt idx="46">
                  <c:v>2.3406113537117905</c:v>
                </c:pt>
                <c:pt idx="47">
                  <c:v>2.1484716157205241</c:v>
                </c:pt>
                <c:pt idx="48">
                  <c:v>1.9956331877729259</c:v>
                </c:pt>
                <c:pt idx="49">
                  <c:v>2.0655021834061138</c:v>
                </c:pt>
                <c:pt idx="50">
                  <c:v>1.947598253275109</c:v>
                </c:pt>
                <c:pt idx="51">
                  <c:v>1.8777292576419213</c:v>
                </c:pt>
                <c:pt idx="52">
                  <c:v>1.8646288209606985</c:v>
                </c:pt>
                <c:pt idx="53">
                  <c:v>2.0742358078602621</c:v>
                </c:pt>
                <c:pt idx="54">
                  <c:v>2.0742358078602621</c:v>
                </c:pt>
                <c:pt idx="55">
                  <c:v>1.9432314410480349</c:v>
                </c:pt>
                <c:pt idx="56">
                  <c:v>2.0131004366812228</c:v>
                </c:pt>
                <c:pt idx="57">
                  <c:v>1.3668122270742358</c:v>
                </c:pt>
                <c:pt idx="58">
                  <c:v>1.6768558951965065</c:v>
                </c:pt>
                <c:pt idx="59">
                  <c:v>1.7074235807860263</c:v>
                </c:pt>
                <c:pt idx="60">
                  <c:v>1.6637554585152838</c:v>
                </c:pt>
                <c:pt idx="61">
                  <c:v>1.537117903930131</c:v>
                </c:pt>
                <c:pt idx="62">
                  <c:v>1.537117903930131</c:v>
                </c:pt>
                <c:pt idx="63">
                  <c:v>1.4672489082969431</c:v>
                </c:pt>
                <c:pt idx="64">
                  <c:v>1.5109170305676856</c:v>
                </c:pt>
                <c:pt idx="65">
                  <c:v>1.3449781659388647</c:v>
                </c:pt>
                <c:pt idx="66">
                  <c:v>1.4148471615720524</c:v>
                </c:pt>
                <c:pt idx="67">
                  <c:v>1.4104803493449782</c:v>
                </c:pt>
                <c:pt idx="68">
                  <c:v>1.4104803493449782</c:v>
                </c:pt>
                <c:pt idx="69">
                  <c:v>1.3362445414847162</c:v>
                </c:pt>
                <c:pt idx="70">
                  <c:v>1.1703056768558953</c:v>
                </c:pt>
                <c:pt idx="71">
                  <c:v>1.1921397379912664</c:v>
                </c:pt>
                <c:pt idx="72">
                  <c:v>1.3013100436681222</c:v>
                </c:pt>
                <c:pt idx="73">
                  <c:v>1.3275109170305677</c:v>
                </c:pt>
                <c:pt idx="74">
                  <c:v>1.1179039301310043</c:v>
                </c:pt>
                <c:pt idx="75">
                  <c:v>1.0917030567685588</c:v>
                </c:pt>
                <c:pt idx="76">
                  <c:v>1.0393013100436681</c:v>
                </c:pt>
                <c:pt idx="77">
                  <c:v>1.052401746724891</c:v>
                </c:pt>
                <c:pt idx="78">
                  <c:v>1.1179039301310043</c:v>
                </c:pt>
                <c:pt idx="79">
                  <c:v>1.5021834061135371</c:v>
                </c:pt>
                <c:pt idx="80">
                  <c:v>1.5327510917030567</c:v>
                </c:pt>
                <c:pt idx="81">
                  <c:v>1.5414847161572052</c:v>
                </c:pt>
                <c:pt idx="82">
                  <c:v>1.5414847161572052</c:v>
                </c:pt>
                <c:pt idx="83">
                  <c:v>1.3537117903930131</c:v>
                </c:pt>
                <c:pt idx="84">
                  <c:v>1.5283842794759825</c:v>
                </c:pt>
                <c:pt idx="85">
                  <c:v>1.6069868995633187</c:v>
                </c:pt>
                <c:pt idx="86">
                  <c:v>2.0567685589519651</c:v>
                </c:pt>
                <c:pt idx="87">
                  <c:v>2.0567685589519651</c:v>
                </c:pt>
                <c:pt idx="88">
                  <c:v>1.8471615720524019</c:v>
                </c:pt>
                <c:pt idx="89">
                  <c:v>1.8471615720524019</c:v>
                </c:pt>
                <c:pt idx="90">
                  <c:v>1.8471615720524019</c:v>
                </c:pt>
                <c:pt idx="91">
                  <c:v>1.8733624454148472</c:v>
                </c:pt>
                <c:pt idx="92">
                  <c:v>1.7205240174672489</c:v>
                </c:pt>
                <c:pt idx="93">
                  <c:v>1.6812227074235808</c:v>
                </c:pt>
                <c:pt idx="94">
                  <c:v>1.572052401746725</c:v>
                </c:pt>
                <c:pt idx="95">
                  <c:v>1.0698689956331879</c:v>
                </c:pt>
                <c:pt idx="96">
                  <c:v>1.0480349344978166</c:v>
                </c:pt>
                <c:pt idx="97">
                  <c:v>0.98253275109170302</c:v>
                </c:pt>
                <c:pt idx="98">
                  <c:v>1.0218340611353711</c:v>
                </c:pt>
                <c:pt idx="99">
                  <c:v>0.97816593886462888</c:v>
                </c:pt>
                <c:pt idx="100">
                  <c:v>1.1048034934497815</c:v>
                </c:pt>
                <c:pt idx="101">
                  <c:v>1.1091703056768558</c:v>
                </c:pt>
                <c:pt idx="102">
                  <c:v>1.1179039301310043</c:v>
                </c:pt>
                <c:pt idx="103">
                  <c:v>1.0873362445414847</c:v>
                </c:pt>
                <c:pt idx="104">
                  <c:v>1.1790393013100438</c:v>
                </c:pt>
                <c:pt idx="105">
                  <c:v>1.1397379912663754</c:v>
                </c:pt>
                <c:pt idx="106">
                  <c:v>1.1397379912663754</c:v>
                </c:pt>
                <c:pt idx="107">
                  <c:v>1.0611353711790394</c:v>
                </c:pt>
                <c:pt idx="108">
                  <c:v>1.1179039301310043</c:v>
                </c:pt>
                <c:pt idx="109">
                  <c:v>0.93886462882096067</c:v>
                </c:pt>
                <c:pt idx="110">
                  <c:v>0.90829694323144106</c:v>
                </c:pt>
                <c:pt idx="111">
                  <c:v>0.87772925764192133</c:v>
                </c:pt>
                <c:pt idx="112">
                  <c:v>0.84716157205240172</c:v>
                </c:pt>
                <c:pt idx="113">
                  <c:v>0.87772925764192133</c:v>
                </c:pt>
                <c:pt idx="114">
                  <c:v>0.92576419213973804</c:v>
                </c:pt>
                <c:pt idx="115">
                  <c:v>0.93013100436681218</c:v>
                </c:pt>
                <c:pt idx="116">
                  <c:v>0.98253275109170302</c:v>
                </c:pt>
                <c:pt idx="117">
                  <c:v>0.98253275109170302</c:v>
                </c:pt>
                <c:pt idx="118">
                  <c:v>0.89082969432314407</c:v>
                </c:pt>
                <c:pt idx="119">
                  <c:v>0.9606986899563319</c:v>
                </c:pt>
                <c:pt idx="120">
                  <c:v>0.9606986899563319</c:v>
                </c:pt>
                <c:pt idx="121">
                  <c:v>0.9039301310043667</c:v>
                </c:pt>
                <c:pt idx="122">
                  <c:v>0.88646288209606972</c:v>
                </c:pt>
                <c:pt idx="123">
                  <c:v>0.82096069868995625</c:v>
                </c:pt>
                <c:pt idx="124">
                  <c:v>0.83842794759825323</c:v>
                </c:pt>
                <c:pt idx="125">
                  <c:v>0.89519650655021821</c:v>
                </c:pt>
                <c:pt idx="126">
                  <c:v>0.86899563318777295</c:v>
                </c:pt>
                <c:pt idx="127">
                  <c:v>0.93013100436681218</c:v>
                </c:pt>
                <c:pt idx="128">
                  <c:v>0.86026200873362446</c:v>
                </c:pt>
                <c:pt idx="129">
                  <c:v>0.79912663755458513</c:v>
                </c:pt>
                <c:pt idx="130">
                  <c:v>0.76855895196506552</c:v>
                </c:pt>
                <c:pt idx="131">
                  <c:v>0.9039301310043667</c:v>
                </c:pt>
                <c:pt idx="132">
                  <c:v>0.95196506550218352</c:v>
                </c:pt>
                <c:pt idx="133">
                  <c:v>0.97816593886462888</c:v>
                </c:pt>
                <c:pt idx="134">
                  <c:v>0.97816593886462888</c:v>
                </c:pt>
                <c:pt idx="135">
                  <c:v>1.052401746724891</c:v>
                </c:pt>
                <c:pt idx="136">
                  <c:v>0.99563318777292564</c:v>
                </c:pt>
                <c:pt idx="137">
                  <c:v>0.94759825327510916</c:v>
                </c:pt>
                <c:pt idx="138">
                  <c:v>0.9039301310043667</c:v>
                </c:pt>
                <c:pt idx="139">
                  <c:v>0.9039301310043667</c:v>
                </c:pt>
                <c:pt idx="140">
                  <c:v>0.83406113537117899</c:v>
                </c:pt>
                <c:pt idx="141">
                  <c:v>0.83406113537117899</c:v>
                </c:pt>
                <c:pt idx="142">
                  <c:v>0.83406113537117899</c:v>
                </c:pt>
                <c:pt idx="143">
                  <c:v>1.0131004366812226</c:v>
                </c:pt>
                <c:pt idx="144">
                  <c:v>1.0611353711790394</c:v>
                </c:pt>
                <c:pt idx="145">
                  <c:v>1.0829694323144106</c:v>
                </c:pt>
                <c:pt idx="146">
                  <c:v>1.034934497816594</c:v>
                </c:pt>
                <c:pt idx="147">
                  <c:v>0.98253275109170302</c:v>
                </c:pt>
                <c:pt idx="148">
                  <c:v>0.93886462882096067</c:v>
                </c:pt>
                <c:pt idx="149">
                  <c:v>0.99126637554585151</c:v>
                </c:pt>
                <c:pt idx="150">
                  <c:v>0.97379912663755452</c:v>
                </c:pt>
                <c:pt idx="151">
                  <c:v>0.92576419213973804</c:v>
                </c:pt>
                <c:pt idx="152">
                  <c:v>0.94759825327510916</c:v>
                </c:pt>
                <c:pt idx="153">
                  <c:v>1</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NDX Index</c:v>
                </c:pt>
              </c:strCache>
            </c:strRef>
          </c:tx>
          <c:spPr>
            <a:ln w="28575" cap="rnd">
              <a:solidFill>
                <a:schemeClr val="accent3"/>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Data'!$V$5:$V$159</c:f>
              <c:numCache>
                <c:formatCode>General</c:formatCode>
                <c:ptCount val="155"/>
                <c:pt idx="0">
                  <c:v>2.0815159972667763</c:v>
                </c:pt>
                <c:pt idx="1">
                  <c:v>2.0815159972667763</c:v>
                </c:pt>
                <c:pt idx="2">
                  <c:v>2.0815159972667763</c:v>
                </c:pt>
                <c:pt idx="3">
                  <c:v>2.1071199766129882</c:v>
                </c:pt>
                <c:pt idx="4">
                  <c:v>2.0904922734894185</c:v>
                </c:pt>
                <c:pt idx="5">
                  <c:v>2.0604570241449567</c:v>
                </c:pt>
                <c:pt idx="6">
                  <c:v>2.0753546926411772</c:v>
                </c:pt>
                <c:pt idx="7">
                  <c:v>2.0596973016968914</c:v>
                </c:pt>
                <c:pt idx="8">
                  <c:v>2.0308696111909339</c:v>
                </c:pt>
                <c:pt idx="9">
                  <c:v>2.015758687270695</c:v>
                </c:pt>
                <c:pt idx="10">
                  <c:v>2.0151757891117108</c:v>
                </c:pt>
                <c:pt idx="11">
                  <c:v>1.942075384015262</c:v>
                </c:pt>
                <c:pt idx="12">
                  <c:v>1.9492940801182856</c:v>
                </c:pt>
                <c:pt idx="13">
                  <c:v>1.9368808373118795</c:v>
                </c:pt>
                <c:pt idx="14">
                  <c:v>1.9096801079783297</c:v>
                </c:pt>
                <c:pt idx="15">
                  <c:v>1.9057082257059863</c:v>
                </c:pt>
                <c:pt idx="16">
                  <c:v>1.9057082257059863</c:v>
                </c:pt>
                <c:pt idx="17">
                  <c:v>1.8542692403042089</c:v>
                </c:pt>
                <c:pt idx="18">
                  <c:v>1.7742797964476975</c:v>
                </c:pt>
                <c:pt idx="19">
                  <c:v>1.7262395693662138</c:v>
                </c:pt>
                <c:pt idx="20">
                  <c:v>1.5823819031447177</c:v>
                </c:pt>
                <c:pt idx="21">
                  <c:v>1.6701471728995008</c:v>
                </c:pt>
                <c:pt idx="22">
                  <c:v>1.5488279393039519</c:v>
                </c:pt>
                <c:pt idx="23">
                  <c:v>1.7130141788200044</c:v>
                </c:pt>
                <c:pt idx="24">
                  <c:v>1.7931626756802626</c:v>
                </c:pt>
                <c:pt idx="25">
                  <c:v>1.7604448508145025</c:v>
                </c:pt>
                <c:pt idx="26">
                  <c:v>1.7265647838878417</c:v>
                </c:pt>
                <c:pt idx="27">
                  <c:v>1.8149440515509445</c:v>
                </c:pt>
                <c:pt idx="28">
                  <c:v>1.8972695308647241</c:v>
                </c:pt>
                <c:pt idx="29">
                  <c:v>1.9332252839184971</c:v>
                </c:pt>
                <c:pt idx="30">
                  <c:v>1.9332252839184971</c:v>
                </c:pt>
                <c:pt idx="31">
                  <c:v>1.8924268556109725</c:v>
                </c:pt>
                <c:pt idx="32">
                  <c:v>1.8772946061483313</c:v>
                </c:pt>
                <c:pt idx="33">
                  <c:v>1.8468559486267684</c:v>
                </c:pt>
                <c:pt idx="34">
                  <c:v>1.8468559486267684</c:v>
                </c:pt>
                <c:pt idx="35">
                  <c:v>1.9157001308855164</c:v>
                </c:pt>
                <c:pt idx="36">
                  <c:v>1.8834976732944675</c:v>
                </c:pt>
                <c:pt idx="37">
                  <c:v>1.9106948483709505</c:v>
                </c:pt>
                <c:pt idx="38">
                  <c:v>1.963430249037907</c:v>
                </c:pt>
                <c:pt idx="39">
                  <c:v>1.9051546501678052</c:v>
                </c:pt>
                <c:pt idx="40">
                  <c:v>1.8806107279918178</c:v>
                </c:pt>
                <c:pt idx="41">
                  <c:v>1.8486481827527896</c:v>
                </c:pt>
                <c:pt idx="42">
                  <c:v>1.8250390301854165</c:v>
                </c:pt>
                <c:pt idx="43">
                  <c:v>1.8754561666804392</c:v>
                </c:pt>
                <c:pt idx="44">
                  <c:v>1.773894159555931</c:v>
                </c:pt>
                <c:pt idx="45">
                  <c:v>1.808323359199439</c:v>
                </c:pt>
                <c:pt idx="46">
                  <c:v>1.8092474660368523</c:v>
                </c:pt>
                <c:pt idx="47">
                  <c:v>1.8161409476182477</c:v>
                </c:pt>
                <c:pt idx="48">
                  <c:v>1.7594230019077475</c:v>
                </c:pt>
                <c:pt idx="49">
                  <c:v>1.782521230021743</c:v>
                </c:pt>
                <c:pt idx="50">
                  <c:v>1.7639955536244092</c:v>
                </c:pt>
                <c:pt idx="51">
                  <c:v>1.7258637066813813</c:v>
                </c:pt>
                <c:pt idx="52">
                  <c:v>1.6581302297560623</c:v>
                </c:pt>
                <c:pt idx="53">
                  <c:v>1.7341611198042313</c:v>
                </c:pt>
                <c:pt idx="54">
                  <c:v>1.7341611198042313</c:v>
                </c:pt>
                <c:pt idx="55">
                  <c:v>1.7563796692941513</c:v>
                </c:pt>
                <c:pt idx="56">
                  <c:v>1.6475785290884839</c:v>
                </c:pt>
                <c:pt idx="57">
                  <c:v>1.5900990838013846</c:v>
                </c:pt>
                <c:pt idx="58">
                  <c:v>1.6935581756353901</c:v>
                </c:pt>
                <c:pt idx="59">
                  <c:v>1.7613893946300505</c:v>
                </c:pt>
                <c:pt idx="60">
                  <c:v>1.8115053078386474</c:v>
                </c:pt>
                <c:pt idx="61">
                  <c:v>1.8161844872673183</c:v>
                </c:pt>
                <c:pt idx="62">
                  <c:v>1.7604430736859689</c:v>
                </c:pt>
                <c:pt idx="63">
                  <c:v>1.7304451440407103</c:v>
                </c:pt>
                <c:pt idx="64">
                  <c:v>1.7684872459927972</c:v>
                </c:pt>
                <c:pt idx="65">
                  <c:v>1.6949070161923063</c:v>
                </c:pt>
                <c:pt idx="66">
                  <c:v>1.6528157268766699</c:v>
                </c:pt>
                <c:pt idx="67">
                  <c:v>1.6593217944377652</c:v>
                </c:pt>
                <c:pt idx="68">
                  <c:v>1.6593217944377652</c:v>
                </c:pt>
                <c:pt idx="69">
                  <c:v>1.6170634550399809</c:v>
                </c:pt>
                <c:pt idx="70">
                  <c:v>1.6077299759821078</c:v>
                </c:pt>
                <c:pt idx="71">
                  <c:v>1.580108955750388</c:v>
                </c:pt>
                <c:pt idx="72">
                  <c:v>1.5292981852851979</c:v>
                </c:pt>
                <c:pt idx="73">
                  <c:v>1.5733656415300723</c:v>
                </c:pt>
                <c:pt idx="74">
                  <c:v>1.6083182055266918</c:v>
                </c:pt>
                <c:pt idx="75">
                  <c:v>1.6254683844391071</c:v>
                </c:pt>
                <c:pt idx="76">
                  <c:v>1.6240342417125833</c:v>
                </c:pt>
                <c:pt idx="77">
                  <c:v>1.598083722302341</c:v>
                </c:pt>
                <c:pt idx="78">
                  <c:v>1.5951230261655518</c:v>
                </c:pt>
                <c:pt idx="79">
                  <c:v>1.6195398836513948</c:v>
                </c:pt>
                <c:pt idx="80">
                  <c:v>1.5934916221718112</c:v>
                </c:pt>
                <c:pt idx="81">
                  <c:v>1.5889892670322219</c:v>
                </c:pt>
                <c:pt idx="82">
                  <c:v>1.5889892670322219</c:v>
                </c:pt>
                <c:pt idx="83">
                  <c:v>1.5650317972722854</c:v>
                </c:pt>
                <c:pt idx="84">
                  <c:v>1.5635416749969566</c:v>
                </c:pt>
                <c:pt idx="85">
                  <c:v>1.5399156397085154</c:v>
                </c:pt>
                <c:pt idx="86">
                  <c:v>1.4794488413566245</c:v>
                </c:pt>
                <c:pt idx="87">
                  <c:v>1.4794488413566245</c:v>
                </c:pt>
                <c:pt idx="88">
                  <c:v>1.4865502469764378</c:v>
                </c:pt>
                <c:pt idx="89">
                  <c:v>1.4865502469764378</c:v>
                </c:pt>
                <c:pt idx="90">
                  <c:v>1.4865502469764378</c:v>
                </c:pt>
                <c:pt idx="91">
                  <c:v>1.4414049622760039</c:v>
                </c:pt>
                <c:pt idx="92">
                  <c:v>1.4074564759008041</c:v>
                </c:pt>
                <c:pt idx="93">
                  <c:v>1.4183245054473432</c:v>
                </c:pt>
                <c:pt idx="94">
                  <c:v>1.4241072816953093</c:v>
                </c:pt>
                <c:pt idx="95">
                  <c:v>1.3757453943492643</c:v>
                </c:pt>
                <c:pt idx="96">
                  <c:v>1.3466129262998139</c:v>
                </c:pt>
                <c:pt idx="97">
                  <c:v>1.2738021931543231</c:v>
                </c:pt>
                <c:pt idx="98">
                  <c:v>1.297734783114791</c:v>
                </c:pt>
                <c:pt idx="99">
                  <c:v>1.3481945706946172</c:v>
                </c:pt>
                <c:pt idx="100">
                  <c:v>1.3370359806328531</c:v>
                </c:pt>
                <c:pt idx="101">
                  <c:v>1.3184134507304441</c:v>
                </c:pt>
                <c:pt idx="102">
                  <c:v>1.3123116799107171</c:v>
                </c:pt>
                <c:pt idx="103">
                  <c:v>1.3528719729947547</c:v>
                </c:pt>
                <c:pt idx="104">
                  <c:v>1.3738865179032371</c:v>
                </c:pt>
                <c:pt idx="105">
                  <c:v>1.3375078082584939</c:v>
                </c:pt>
                <c:pt idx="106">
                  <c:v>1.3375078082584939</c:v>
                </c:pt>
                <c:pt idx="107">
                  <c:v>1.3272208997424051</c:v>
                </c:pt>
                <c:pt idx="108">
                  <c:v>1.3511143928751361</c:v>
                </c:pt>
                <c:pt idx="109">
                  <c:v>1.369086493734289</c:v>
                </c:pt>
                <c:pt idx="110">
                  <c:v>1.4001107151076362</c:v>
                </c:pt>
                <c:pt idx="111">
                  <c:v>1.3726558563937974</c:v>
                </c:pt>
                <c:pt idx="112">
                  <c:v>1.3962259121334339</c:v>
                </c:pt>
                <c:pt idx="113">
                  <c:v>1.3369018074285748</c:v>
                </c:pt>
                <c:pt idx="114">
                  <c:v>1.3513898477978268</c:v>
                </c:pt>
                <c:pt idx="115">
                  <c:v>1.3052138285479704</c:v>
                </c:pt>
                <c:pt idx="116">
                  <c:v>1.3136800688815018</c:v>
                </c:pt>
                <c:pt idx="117">
                  <c:v>1.3136800688815018</c:v>
                </c:pt>
                <c:pt idx="118">
                  <c:v>1.2934385748850863</c:v>
                </c:pt>
                <c:pt idx="119">
                  <c:v>1.230638406768727</c:v>
                </c:pt>
                <c:pt idx="120">
                  <c:v>1.230638406768727</c:v>
                </c:pt>
                <c:pt idx="121">
                  <c:v>1.191876567760578</c:v>
                </c:pt>
                <c:pt idx="122">
                  <c:v>1.1810476350417758</c:v>
                </c:pt>
                <c:pt idx="123">
                  <c:v>1.1757011438487805</c:v>
                </c:pt>
                <c:pt idx="124">
                  <c:v>1.1524465284238381</c:v>
                </c:pt>
                <c:pt idx="125">
                  <c:v>1.1629271439500768</c:v>
                </c:pt>
                <c:pt idx="126">
                  <c:v>1.1596856615049966</c:v>
                </c:pt>
                <c:pt idx="127">
                  <c:v>1.1683153976636091</c:v>
                </c:pt>
                <c:pt idx="128">
                  <c:v>1.1260837151938268</c:v>
                </c:pt>
                <c:pt idx="129">
                  <c:v>1.116268634303379</c:v>
                </c:pt>
                <c:pt idx="130">
                  <c:v>1.0594502808307364</c:v>
                </c:pt>
                <c:pt idx="131">
                  <c:v>1.0931544120325818</c:v>
                </c:pt>
                <c:pt idx="132">
                  <c:v>1.0714121329896367</c:v>
                </c:pt>
                <c:pt idx="133">
                  <c:v>1.1109105917749158</c:v>
                </c:pt>
                <c:pt idx="134">
                  <c:v>1.1109105917749158</c:v>
                </c:pt>
                <c:pt idx="135">
                  <c:v>1.1075518188466258</c:v>
                </c:pt>
                <c:pt idx="136">
                  <c:v>1.0584924085511869</c:v>
                </c:pt>
                <c:pt idx="137">
                  <c:v>1.0549514799482145</c:v>
                </c:pt>
                <c:pt idx="138">
                  <c:v>0.98705717289061512</c:v>
                </c:pt>
                <c:pt idx="139">
                  <c:v>0.98705717289061512</c:v>
                </c:pt>
                <c:pt idx="140">
                  <c:v>0.98493705855016522</c:v>
                </c:pt>
                <c:pt idx="141">
                  <c:v>0.98493705855016522</c:v>
                </c:pt>
                <c:pt idx="142">
                  <c:v>0.98493705855016522</c:v>
                </c:pt>
                <c:pt idx="143">
                  <c:v>1.040192427477606</c:v>
                </c:pt>
                <c:pt idx="144">
                  <c:v>1.0473329299251561</c:v>
                </c:pt>
                <c:pt idx="145">
                  <c:v>1.0296460581956279</c:v>
                </c:pt>
                <c:pt idx="146">
                  <c:v>1.0265982827606981</c:v>
                </c:pt>
                <c:pt idx="147">
                  <c:v>1.0397037171308972</c:v>
                </c:pt>
                <c:pt idx="148">
                  <c:v>0.97537699560427249</c:v>
                </c:pt>
                <c:pt idx="149">
                  <c:v>1.0134581943840961</c:v>
                </c:pt>
                <c:pt idx="150">
                  <c:v>1.0156520595586855</c:v>
                </c:pt>
                <c:pt idx="151">
                  <c:v>0.98297688577772924</c:v>
                </c:pt>
                <c:pt idx="152">
                  <c:v>0.97093150857775501</c:v>
                </c:pt>
                <c:pt idx="153">
                  <c:v>0.99783368031767938</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S5SOFT Index</c:v>
                </c:pt>
              </c:strCache>
            </c:strRef>
          </c:tx>
          <c:spPr>
            <a:ln w="28575" cap="rnd">
              <a:solidFill>
                <a:schemeClr val="accent5"/>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Data'!$W$5:$W$159</c:f>
              <c:numCache>
                <c:formatCode>General</c:formatCode>
                <c:ptCount val="155"/>
                <c:pt idx="0">
                  <c:v>2.1543553557949995</c:v>
                </c:pt>
                <c:pt idx="1">
                  <c:v>2.15233291166206</c:v>
                </c:pt>
                <c:pt idx="2">
                  <c:v>2.15233291166206</c:v>
                </c:pt>
                <c:pt idx="3">
                  <c:v>2.2147946127769025</c:v>
                </c:pt>
                <c:pt idx="4">
                  <c:v>2.2176454963141019</c:v>
                </c:pt>
                <c:pt idx="5">
                  <c:v>2.2746710569571813</c:v>
                </c:pt>
                <c:pt idx="6">
                  <c:v>2.233409514692307</c:v>
                </c:pt>
                <c:pt idx="7">
                  <c:v>2.2078357217811186</c:v>
                </c:pt>
                <c:pt idx="8">
                  <c:v>2.1688517303863684</c:v>
                </c:pt>
                <c:pt idx="9">
                  <c:v>2.1741116631118289</c:v>
                </c:pt>
                <c:pt idx="10">
                  <c:v>2.1625161414185512</c:v>
                </c:pt>
                <c:pt idx="11">
                  <c:v>2.1098826246012314</c:v>
                </c:pt>
                <c:pt idx="12">
                  <c:v>2.1002017184200215</c:v>
                </c:pt>
                <c:pt idx="13">
                  <c:v>2.0618410290532383</c:v>
                </c:pt>
                <c:pt idx="14">
                  <c:v>2.0168607143514636</c:v>
                </c:pt>
                <c:pt idx="15">
                  <c:v>2.0136600452880211</c:v>
                </c:pt>
                <c:pt idx="16">
                  <c:v>2.0136600452880211</c:v>
                </c:pt>
                <c:pt idx="17">
                  <c:v>1.9704049885201969</c:v>
                </c:pt>
                <c:pt idx="18">
                  <c:v>1.9155360002945563</c:v>
                </c:pt>
                <c:pt idx="19">
                  <c:v>1.7608019293433237</c:v>
                </c:pt>
                <c:pt idx="20">
                  <c:v>1.5902591305857197</c:v>
                </c:pt>
                <c:pt idx="21">
                  <c:v>1.7001996144469314</c:v>
                </c:pt>
                <c:pt idx="22">
                  <c:v>1.5675388511780934</c:v>
                </c:pt>
                <c:pt idx="23">
                  <c:v>1.6746705309639089</c:v>
                </c:pt>
                <c:pt idx="24">
                  <c:v>1.7629821714580269</c:v>
                </c:pt>
                <c:pt idx="25">
                  <c:v>1.7371532718096534</c:v>
                </c:pt>
                <c:pt idx="26">
                  <c:v>1.685519142210171</c:v>
                </c:pt>
                <c:pt idx="27">
                  <c:v>1.7579168562434087</c:v>
                </c:pt>
                <c:pt idx="28">
                  <c:v>1.8191135435377781</c:v>
                </c:pt>
                <c:pt idx="29">
                  <c:v>1.8993038479037854</c:v>
                </c:pt>
                <c:pt idx="30">
                  <c:v>1.8993038479037854</c:v>
                </c:pt>
                <c:pt idx="31">
                  <c:v>1.8597070743465192</c:v>
                </c:pt>
                <c:pt idx="32">
                  <c:v>1.9190154457924482</c:v>
                </c:pt>
                <c:pt idx="33">
                  <c:v>1.8250625274502739</c:v>
                </c:pt>
                <c:pt idx="34">
                  <c:v>1.8250625274502739</c:v>
                </c:pt>
                <c:pt idx="35">
                  <c:v>1.8921634892289729</c:v>
                </c:pt>
                <c:pt idx="36">
                  <c:v>1.8891179881809312</c:v>
                </c:pt>
                <c:pt idx="37">
                  <c:v>1.9302269923967672</c:v>
                </c:pt>
                <c:pt idx="38">
                  <c:v>1.9987586558767914</c:v>
                </c:pt>
                <c:pt idx="39">
                  <c:v>1.9962444080340214</c:v>
                </c:pt>
                <c:pt idx="40">
                  <c:v>1.9302348822958555</c:v>
                </c:pt>
                <c:pt idx="41">
                  <c:v>1.9054711190243876</c:v>
                </c:pt>
                <c:pt idx="42">
                  <c:v>1.8753027748775095</c:v>
                </c:pt>
                <c:pt idx="43">
                  <c:v>1.9026833546798938</c:v>
                </c:pt>
                <c:pt idx="44">
                  <c:v>1.7951466600742176</c:v>
                </c:pt>
                <c:pt idx="45">
                  <c:v>1.840960674112978</c:v>
                </c:pt>
                <c:pt idx="46">
                  <c:v>1.8228822853355706</c:v>
                </c:pt>
                <c:pt idx="47">
                  <c:v>1.8358953588983598</c:v>
                </c:pt>
                <c:pt idx="48">
                  <c:v>1.7756244197636712</c:v>
                </c:pt>
                <c:pt idx="49">
                  <c:v>1.8361162760728291</c:v>
                </c:pt>
                <c:pt idx="50">
                  <c:v>1.8465046432056136</c:v>
                </c:pt>
                <c:pt idx="51">
                  <c:v>1.8331523039820321</c:v>
                </c:pt>
                <c:pt idx="52">
                  <c:v>1.7346811034286871</c:v>
                </c:pt>
                <c:pt idx="53">
                  <c:v>1.7643576438657349</c:v>
                </c:pt>
                <c:pt idx="54">
                  <c:v>1.7643576438657349</c:v>
                </c:pt>
                <c:pt idx="55">
                  <c:v>1.7948731435724936</c:v>
                </c:pt>
                <c:pt idx="56">
                  <c:v>1.723277569279889</c:v>
                </c:pt>
                <c:pt idx="57">
                  <c:v>1.6593799065309955</c:v>
                </c:pt>
                <c:pt idx="58">
                  <c:v>1.7841954801398092</c:v>
                </c:pt>
                <c:pt idx="59">
                  <c:v>1.8374259993214688</c:v>
                </c:pt>
                <c:pt idx="60">
                  <c:v>1.8884473467584351</c:v>
                </c:pt>
                <c:pt idx="61">
                  <c:v>1.926368831742642</c:v>
                </c:pt>
                <c:pt idx="62">
                  <c:v>1.895056452227976</c:v>
                </c:pt>
                <c:pt idx="63">
                  <c:v>1.8433960229648663</c:v>
                </c:pt>
                <c:pt idx="64">
                  <c:v>1.8407187172076072</c:v>
                </c:pt>
                <c:pt idx="65">
                  <c:v>1.7537851790875596</c:v>
                </c:pt>
                <c:pt idx="66">
                  <c:v>1.695336806642243</c:v>
                </c:pt>
                <c:pt idx="67">
                  <c:v>1.7870884431388123</c:v>
                </c:pt>
                <c:pt idx="68">
                  <c:v>1.7870884431388123</c:v>
                </c:pt>
                <c:pt idx="69">
                  <c:v>1.729934014143959</c:v>
                </c:pt>
                <c:pt idx="70">
                  <c:v>1.728882027598867</c:v>
                </c:pt>
                <c:pt idx="71">
                  <c:v>1.6922229264687705</c:v>
                </c:pt>
                <c:pt idx="72">
                  <c:v>1.6796990266494494</c:v>
                </c:pt>
                <c:pt idx="73">
                  <c:v>1.7229383036190968</c:v>
                </c:pt>
                <c:pt idx="74">
                  <c:v>1.7841928501734463</c:v>
                </c:pt>
                <c:pt idx="75">
                  <c:v>1.7892581653880648</c:v>
                </c:pt>
                <c:pt idx="76">
                  <c:v>1.7891740064644572</c:v>
                </c:pt>
                <c:pt idx="77">
                  <c:v>1.7664958065186347</c:v>
                </c:pt>
                <c:pt idx="78">
                  <c:v>1.7377029347794641</c:v>
                </c:pt>
                <c:pt idx="79">
                  <c:v>1.7798139561795003</c:v>
                </c:pt>
                <c:pt idx="80">
                  <c:v>1.7470314254680683</c:v>
                </c:pt>
                <c:pt idx="81">
                  <c:v>1.7840797616198489</c:v>
                </c:pt>
                <c:pt idx="82">
                  <c:v>1.7840797616198489</c:v>
                </c:pt>
                <c:pt idx="83">
                  <c:v>1.7518863433736682</c:v>
                </c:pt>
                <c:pt idx="84">
                  <c:v>1.7633424768497212</c:v>
                </c:pt>
                <c:pt idx="85">
                  <c:v>1.7108141586869103</c:v>
                </c:pt>
                <c:pt idx="86">
                  <c:v>1.6107860180468292</c:v>
                </c:pt>
                <c:pt idx="87">
                  <c:v>1.6107860180468292</c:v>
                </c:pt>
                <c:pt idx="88">
                  <c:v>1.617055857855578</c:v>
                </c:pt>
                <c:pt idx="89">
                  <c:v>1.617055857855578</c:v>
                </c:pt>
                <c:pt idx="90">
                  <c:v>1.617055857855578</c:v>
                </c:pt>
                <c:pt idx="91">
                  <c:v>1.6120825914636552</c:v>
                </c:pt>
                <c:pt idx="92">
                  <c:v>1.5944171074051963</c:v>
                </c:pt>
                <c:pt idx="93">
                  <c:v>1.6094158055718466</c:v>
                </c:pt>
                <c:pt idx="94">
                  <c:v>1.6049922021497345</c:v>
                </c:pt>
                <c:pt idx="95">
                  <c:v>1.5551096301478304</c:v>
                </c:pt>
                <c:pt idx="96">
                  <c:v>1.5024971530614124</c:v>
                </c:pt>
                <c:pt idx="97">
                  <c:v>1.4251629921653302</c:v>
                </c:pt>
                <c:pt idx="98">
                  <c:v>1.4092858852335277</c:v>
                </c:pt>
                <c:pt idx="99">
                  <c:v>1.438578450581617</c:v>
                </c:pt>
                <c:pt idx="100">
                  <c:v>1.4256416460433472</c:v>
                </c:pt>
                <c:pt idx="101">
                  <c:v>1.390500035504546</c:v>
                </c:pt>
                <c:pt idx="102">
                  <c:v>1.376216688188558</c:v>
                </c:pt>
                <c:pt idx="103">
                  <c:v>1.4268225009402129</c:v>
                </c:pt>
                <c:pt idx="104">
                  <c:v>1.477104827829252</c:v>
                </c:pt>
                <c:pt idx="105">
                  <c:v>1.4077447249449679</c:v>
                </c:pt>
                <c:pt idx="106">
                  <c:v>1.4077447249449679</c:v>
                </c:pt>
                <c:pt idx="107">
                  <c:v>1.392740766845592</c:v>
                </c:pt>
                <c:pt idx="108">
                  <c:v>1.402587360907654</c:v>
                </c:pt>
                <c:pt idx="109">
                  <c:v>1.4208472173640898</c:v>
                </c:pt>
                <c:pt idx="110">
                  <c:v>1.4579060733813214</c:v>
                </c:pt>
                <c:pt idx="111">
                  <c:v>1.4773678244655251</c:v>
                </c:pt>
                <c:pt idx="112">
                  <c:v>1.4840505689932226</c:v>
                </c:pt>
                <c:pt idx="113">
                  <c:v>1.4227460530779812</c:v>
                </c:pt>
                <c:pt idx="114">
                  <c:v>1.4367742936567842</c:v>
                </c:pt>
                <c:pt idx="115">
                  <c:v>1.3996759881441116</c:v>
                </c:pt>
                <c:pt idx="116">
                  <c:v>1.4130519970649575</c:v>
                </c:pt>
                <c:pt idx="117">
                  <c:v>1.4130519970649575</c:v>
                </c:pt>
                <c:pt idx="118">
                  <c:v>1.4113056994001048</c:v>
                </c:pt>
                <c:pt idx="119">
                  <c:v>1.3459852248489743</c:v>
                </c:pt>
                <c:pt idx="120">
                  <c:v>1.3459852248489743</c:v>
                </c:pt>
                <c:pt idx="121">
                  <c:v>1.2916580096940562</c:v>
                </c:pt>
                <c:pt idx="122">
                  <c:v>1.2836024227250133</c:v>
                </c:pt>
                <c:pt idx="123">
                  <c:v>1.2822006506536783</c:v>
                </c:pt>
                <c:pt idx="124">
                  <c:v>1.2171431727388207</c:v>
                </c:pt>
                <c:pt idx="125">
                  <c:v>1.2383854110505927</c:v>
                </c:pt>
                <c:pt idx="126">
                  <c:v>1.2361315298777329</c:v>
                </c:pt>
                <c:pt idx="127">
                  <c:v>1.2334410742886599</c:v>
                </c:pt>
                <c:pt idx="128">
                  <c:v>1.1881241238924556</c:v>
                </c:pt>
                <c:pt idx="129">
                  <c:v>1.1684467155665079</c:v>
                </c:pt>
                <c:pt idx="130">
                  <c:v>1.0963830072613372</c:v>
                </c:pt>
                <c:pt idx="131">
                  <c:v>1.1238214463237017</c:v>
                </c:pt>
                <c:pt idx="132">
                  <c:v>1.0876094394752691</c:v>
                </c:pt>
                <c:pt idx="133">
                  <c:v>1.1665794394489695</c:v>
                </c:pt>
                <c:pt idx="134">
                  <c:v>1.1665794394489695</c:v>
                </c:pt>
                <c:pt idx="135">
                  <c:v>1.1202815115994667</c:v>
                </c:pt>
                <c:pt idx="136">
                  <c:v>1.071895390457956</c:v>
                </c:pt>
                <c:pt idx="137">
                  <c:v>1.0702306217503479</c:v>
                </c:pt>
                <c:pt idx="138">
                  <c:v>1.0032453784916091</c:v>
                </c:pt>
                <c:pt idx="139">
                  <c:v>1.0032453784916091</c:v>
                </c:pt>
                <c:pt idx="140">
                  <c:v>1.0256816215320606</c:v>
                </c:pt>
                <c:pt idx="141">
                  <c:v>1.0256816215320606</c:v>
                </c:pt>
                <c:pt idx="142">
                  <c:v>1.0256816215320606</c:v>
                </c:pt>
                <c:pt idx="143">
                  <c:v>1.073299792495654</c:v>
                </c:pt>
                <c:pt idx="144">
                  <c:v>1.0617463502641802</c:v>
                </c:pt>
                <c:pt idx="145">
                  <c:v>1.0440124870802903</c:v>
                </c:pt>
                <c:pt idx="146">
                  <c:v>1.037474390702543</c:v>
                </c:pt>
                <c:pt idx="147">
                  <c:v>1.0514894814495324</c:v>
                </c:pt>
                <c:pt idx="148">
                  <c:v>0.97940473341345968</c:v>
                </c:pt>
                <c:pt idx="149">
                  <c:v>1.0203980191093356</c:v>
                </c:pt>
                <c:pt idx="150">
                  <c:v>1.0517182885230898</c:v>
                </c:pt>
                <c:pt idx="151">
                  <c:v>1.0041316771558493</c:v>
                </c:pt>
                <c:pt idx="152">
                  <c:v>0.97663800879986751</c:v>
                </c:pt>
                <c:pt idx="153">
                  <c:v>1.0165398584552103</c:v>
                </c:pt>
                <c:pt idx="154">
                  <c:v>1</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#NOME?</c:v>
                </c:pt>
              </c:strCache>
            </c:strRef>
          </c:tx>
          <c:spPr>
            <a:ln w="28575" cap="rnd">
              <a:solidFill>
                <a:schemeClr val="accent1"/>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Data'!$AF$5:$AF$159</c:f>
              <c:numCache>
                <c:formatCode>General</c:formatCode>
                <c:ptCount val="155"/>
                <c:pt idx="0">
                  <c:v>4.5414847161572052</c:v>
                </c:pt>
                <c:pt idx="1">
                  <c:v>4.3537117903930129</c:v>
                </c:pt>
                <c:pt idx="2">
                  <c:v>4.3537117903930129</c:v>
                </c:pt>
                <c:pt idx="3">
                  <c:v>4.6288209606986896</c:v>
                </c:pt>
                <c:pt idx="4">
                  <c:v>4.7598253275109172</c:v>
                </c:pt>
                <c:pt idx="5">
                  <c:v>4.4759825327510914</c:v>
                </c:pt>
                <c:pt idx="6">
                  <c:v>4.7685589519650655</c:v>
                </c:pt>
                <c:pt idx="7">
                  <c:v>4.9956331877729259</c:v>
                </c:pt>
                <c:pt idx="8">
                  <c:v>5.2270742358078603</c:v>
                </c:pt>
                <c:pt idx="9">
                  <c:v>6.2139737991266379</c:v>
                </c:pt>
                <c:pt idx="10">
                  <c:v>6.109170305676856</c:v>
                </c:pt>
                <c:pt idx="11">
                  <c:v>5.8515283842794759</c:v>
                </c:pt>
                <c:pt idx="12">
                  <c:v>5.3711790393013104</c:v>
                </c:pt>
                <c:pt idx="13">
                  <c:v>6.0655021834061138</c:v>
                </c:pt>
                <c:pt idx="14">
                  <c:v>5.7641921397379905</c:v>
                </c:pt>
                <c:pt idx="15">
                  <c:v>5.1921397379912664</c:v>
                </c:pt>
                <c:pt idx="16">
                  <c:v>5.1921397379912664</c:v>
                </c:pt>
                <c:pt idx="17">
                  <c:v>5.3100436681222707</c:v>
                </c:pt>
                <c:pt idx="18">
                  <c:v>4.3056768558951966</c:v>
                </c:pt>
                <c:pt idx="19">
                  <c:v>4.1484716157205241</c:v>
                </c:pt>
                <c:pt idx="20">
                  <c:v>3.4847161572052405</c:v>
                </c:pt>
                <c:pt idx="21">
                  <c:v>3.6113537117903927</c:v>
                </c:pt>
                <c:pt idx="22">
                  <c:v>3.5633187772925763</c:v>
                </c:pt>
                <c:pt idx="23">
                  <c:v>4.0611353711790397</c:v>
                </c:pt>
                <c:pt idx="24">
                  <c:v>4.7729257641921397</c:v>
                </c:pt>
                <c:pt idx="25">
                  <c:v>4.0393013100436681</c:v>
                </c:pt>
                <c:pt idx="26">
                  <c:v>3.9519650655021836</c:v>
                </c:pt>
                <c:pt idx="27">
                  <c:v>4.1877729257641922</c:v>
                </c:pt>
                <c:pt idx="28">
                  <c:v>4.7729257641921397</c:v>
                </c:pt>
                <c:pt idx="29">
                  <c:v>6.7336244541484715</c:v>
                </c:pt>
                <c:pt idx="30">
                  <c:v>6.7336244541484715</c:v>
                </c:pt>
                <c:pt idx="31">
                  <c:v>6.0131004366812224</c:v>
                </c:pt>
                <c:pt idx="32">
                  <c:v>5.4541484716157207</c:v>
                </c:pt>
                <c:pt idx="33">
                  <c:v>4.253275109170306</c:v>
                </c:pt>
                <c:pt idx="34">
                  <c:v>4.253275109170306</c:v>
                </c:pt>
                <c:pt idx="35">
                  <c:v>3.301310043668122</c:v>
                </c:pt>
                <c:pt idx="36">
                  <c:v>3.301310043668122</c:v>
                </c:pt>
                <c:pt idx="37">
                  <c:v>3.126637554585153</c:v>
                </c:pt>
                <c:pt idx="38">
                  <c:v>3.3100436681222707</c:v>
                </c:pt>
                <c:pt idx="39">
                  <c:v>2.9868995633187772</c:v>
                </c:pt>
                <c:pt idx="40">
                  <c:v>3.3624454148471616</c:v>
                </c:pt>
                <c:pt idx="41">
                  <c:v>3.427947598253275</c:v>
                </c:pt>
                <c:pt idx="42">
                  <c:v>3.017467248908297</c:v>
                </c:pt>
                <c:pt idx="43">
                  <c:v>2.982532751091703</c:v>
                </c:pt>
                <c:pt idx="44">
                  <c:v>2.1179039301310043</c:v>
                </c:pt>
                <c:pt idx="45">
                  <c:v>2.3537117903930129</c:v>
                </c:pt>
                <c:pt idx="46">
                  <c:v>2.3406113537117905</c:v>
                </c:pt>
                <c:pt idx="47">
                  <c:v>2.1484716157205241</c:v>
                </c:pt>
                <c:pt idx="48">
                  <c:v>1.9956331877729259</c:v>
                </c:pt>
                <c:pt idx="49">
                  <c:v>2.0655021834061138</c:v>
                </c:pt>
                <c:pt idx="50">
                  <c:v>1.947598253275109</c:v>
                </c:pt>
                <c:pt idx="51">
                  <c:v>1.8777292576419213</c:v>
                </c:pt>
                <c:pt idx="52">
                  <c:v>1.8646288209606985</c:v>
                </c:pt>
                <c:pt idx="53">
                  <c:v>2.0742358078602621</c:v>
                </c:pt>
                <c:pt idx="54">
                  <c:v>2.0742358078602621</c:v>
                </c:pt>
                <c:pt idx="55">
                  <c:v>1.9432314410480349</c:v>
                </c:pt>
                <c:pt idx="56">
                  <c:v>2.0131004366812228</c:v>
                </c:pt>
                <c:pt idx="57">
                  <c:v>1.3668122270742358</c:v>
                </c:pt>
                <c:pt idx="58">
                  <c:v>1.6768558951965065</c:v>
                </c:pt>
                <c:pt idx="59">
                  <c:v>1.7074235807860263</c:v>
                </c:pt>
                <c:pt idx="60">
                  <c:v>1.6637554585152838</c:v>
                </c:pt>
                <c:pt idx="61">
                  <c:v>1.537117903930131</c:v>
                </c:pt>
                <c:pt idx="62">
                  <c:v>1.537117903930131</c:v>
                </c:pt>
                <c:pt idx="63">
                  <c:v>1.4672489082969431</c:v>
                </c:pt>
                <c:pt idx="64">
                  <c:v>1.5109170305676856</c:v>
                </c:pt>
                <c:pt idx="65">
                  <c:v>1.3449781659388647</c:v>
                </c:pt>
                <c:pt idx="66">
                  <c:v>1.4148471615720524</c:v>
                </c:pt>
                <c:pt idx="67">
                  <c:v>1.4104803493449782</c:v>
                </c:pt>
                <c:pt idx="68">
                  <c:v>1.4104803493449782</c:v>
                </c:pt>
                <c:pt idx="69">
                  <c:v>1.3362445414847162</c:v>
                </c:pt>
                <c:pt idx="70">
                  <c:v>1.1703056768558953</c:v>
                </c:pt>
                <c:pt idx="71">
                  <c:v>1.1921397379912664</c:v>
                </c:pt>
                <c:pt idx="72">
                  <c:v>1.3013100436681222</c:v>
                </c:pt>
                <c:pt idx="73">
                  <c:v>1.3275109170305677</c:v>
                </c:pt>
                <c:pt idx="74">
                  <c:v>1.1179039301310043</c:v>
                </c:pt>
                <c:pt idx="75">
                  <c:v>1.0917030567685588</c:v>
                </c:pt>
                <c:pt idx="76">
                  <c:v>1.0393013100436681</c:v>
                </c:pt>
                <c:pt idx="77">
                  <c:v>1.052401746724891</c:v>
                </c:pt>
                <c:pt idx="78">
                  <c:v>1.1179039301310043</c:v>
                </c:pt>
                <c:pt idx="79">
                  <c:v>1.5021834061135371</c:v>
                </c:pt>
                <c:pt idx="80">
                  <c:v>1.5327510917030567</c:v>
                </c:pt>
                <c:pt idx="81">
                  <c:v>1.5414847161572052</c:v>
                </c:pt>
                <c:pt idx="82">
                  <c:v>1.5414847161572052</c:v>
                </c:pt>
                <c:pt idx="83">
                  <c:v>1.3537117903930131</c:v>
                </c:pt>
                <c:pt idx="84">
                  <c:v>1.5283842794759825</c:v>
                </c:pt>
                <c:pt idx="85">
                  <c:v>1.6069868995633187</c:v>
                </c:pt>
                <c:pt idx="86">
                  <c:v>2.0567685589519651</c:v>
                </c:pt>
                <c:pt idx="87">
                  <c:v>2.0567685589519651</c:v>
                </c:pt>
                <c:pt idx="88">
                  <c:v>1.8471615720524019</c:v>
                </c:pt>
                <c:pt idx="89">
                  <c:v>1.8471615720524019</c:v>
                </c:pt>
                <c:pt idx="90">
                  <c:v>1.8471615720524019</c:v>
                </c:pt>
                <c:pt idx="91">
                  <c:v>1.8733624454148472</c:v>
                </c:pt>
                <c:pt idx="92">
                  <c:v>1.7205240174672489</c:v>
                </c:pt>
                <c:pt idx="93">
                  <c:v>1.6812227074235808</c:v>
                </c:pt>
                <c:pt idx="94">
                  <c:v>1.572052401746725</c:v>
                </c:pt>
                <c:pt idx="95">
                  <c:v>1.0698689956331879</c:v>
                </c:pt>
                <c:pt idx="96">
                  <c:v>1.0480349344978166</c:v>
                </c:pt>
                <c:pt idx="97">
                  <c:v>0.98253275109170302</c:v>
                </c:pt>
                <c:pt idx="98">
                  <c:v>1.0218340611353711</c:v>
                </c:pt>
                <c:pt idx="99">
                  <c:v>0.97816593886462888</c:v>
                </c:pt>
                <c:pt idx="100">
                  <c:v>1.1048034934497815</c:v>
                </c:pt>
                <c:pt idx="101">
                  <c:v>1.1091703056768558</c:v>
                </c:pt>
                <c:pt idx="102">
                  <c:v>1.1179039301310043</c:v>
                </c:pt>
                <c:pt idx="103">
                  <c:v>1.0873362445414847</c:v>
                </c:pt>
                <c:pt idx="104">
                  <c:v>1.1790393013100438</c:v>
                </c:pt>
                <c:pt idx="105">
                  <c:v>1.1397379912663754</c:v>
                </c:pt>
                <c:pt idx="106">
                  <c:v>1.1397379912663754</c:v>
                </c:pt>
                <c:pt idx="107">
                  <c:v>1.0611353711790394</c:v>
                </c:pt>
                <c:pt idx="108">
                  <c:v>1.1179039301310043</c:v>
                </c:pt>
                <c:pt idx="109">
                  <c:v>0.93886462882096067</c:v>
                </c:pt>
                <c:pt idx="110">
                  <c:v>0.90829694323144106</c:v>
                </c:pt>
                <c:pt idx="111">
                  <c:v>0.87772925764192133</c:v>
                </c:pt>
                <c:pt idx="112">
                  <c:v>0.84716157205240172</c:v>
                </c:pt>
                <c:pt idx="113">
                  <c:v>0.87772925764192133</c:v>
                </c:pt>
                <c:pt idx="114">
                  <c:v>0.92576419213973804</c:v>
                </c:pt>
                <c:pt idx="115">
                  <c:v>0.93013100436681218</c:v>
                </c:pt>
                <c:pt idx="116">
                  <c:v>0.98253275109170302</c:v>
                </c:pt>
                <c:pt idx="117">
                  <c:v>0.98253275109170302</c:v>
                </c:pt>
                <c:pt idx="118">
                  <c:v>0.89082969432314407</c:v>
                </c:pt>
                <c:pt idx="119">
                  <c:v>0.9606986899563319</c:v>
                </c:pt>
                <c:pt idx="120">
                  <c:v>0.9606986899563319</c:v>
                </c:pt>
                <c:pt idx="121">
                  <c:v>0.9039301310043667</c:v>
                </c:pt>
                <c:pt idx="122">
                  <c:v>0.88646288209606972</c:v>
                </c:pt>
                <c:pt idx="123">
                  <c:v>0.82096069868995625</c:v>
                </c:pt>
                <c:pt idx="124">
                  <c:v>0.83842794759825323</c:v>
                </c:pt>
                <c:pt idx="125">
                  <c:v>0.89519650655021821</c:v>
                </c:pt>
                <c:pt idx="126">
                  <c:v>0.86899563318777295</c:v>
                </c:pt>
                <c:pt idx="127">
                  <c:v>0.93013100436681218</c:v>
                </c:pt>
                <c:pt idx="128">
                  <c:v>0.86026200873362446</c:v>
                </c:pt>
                <c:pt idx="129">
                  <c:v>0.79912663755458513</c:v>
                </c:pt>
                <c:pt idx="130">
                  <c:v>0.76855895196506552</c:v>
                </c:pt>
                <c:pt idx="131">
                  <c:v>0.9039301310043667</c:v>
                </c:pt>
                <c:pt idx="132">
                  <c:v>0.95196506550218352</c:v>
                </c:pt>
                <c:pt idx="133">
                  <c:v>0.97816593886462888</c:v>
                </c:pt>
                <c:pt idx="134">
                  <c:v>0.97816593886462888</c:v>
                </c:pt>
                <c:pt idx="135">
                  <c:v>1.052401746724891</c:v>
                </c:pt>
                <c:pt idx="136">
                  <c:v>0.99563318777292564</c:v>
                </c:pt>
                <c:pt idx="137">
                  <c:v>0.94759825327510916</c:v>
                </c:pt>
                <c:pt idx="138">
                  <c:v>0.9039301310043667</c:v>
                </c:pt>
                <c:pt idx="139">
                  <c:v>0.9039301310043667</c:v>
                </c:pt>
                <c:pt idx="140">
                  <c:v>0.83406113537117899</c:v>
                </c:pt>
                <c:pt idx="141">
                  <c:v>0.83406113537117899</c:v>
                </c:pt>
                <c:pt idx="142">
                  <c:v>0.83406113537117899</c:v>
                </c:pt>
                <c:pt idx="143">
                  <c:v>1.0131004366812226</c:v>
                </c:pt>
                <c:pt idx="144">
                  <c:v>1.0611353711790394</c:v>
                </c:pt>
                <c:pt idx="145">
                  <c:v>1.0829694323144106</c:v>
                </c:pt>
                <c:pt idx="146">
                  <c:v>1.034934497816594</c:v>
                </c:pt>
                <c:pt idx="147">
                  <c:v>0.98253275109170302</c:v>
                </c:pt>
                <c:pt idx="148">
                  <c:v>0.93886462882096067</c:v>
                </c:pt>
                <c:pt idx="149">
                  <c:v>0.99126637554585151</c:v>
                </c:pt>
                <c:pt idx="150">
                  <c:v>0.97379912663755452</c:v>
                </c:pt>
                <c:pt idx="151">
                  <c:v>0.92576419213973804</c:v>
                </c:pt>
                <c:pt idx="152">
                  <c:v>0.94759825327510916</c:v>
                </c:pt>
                <c:pt idx="153">
                  <c:v>1</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ENOVA INTERNATIO</c:v>
                </c:pt>
              </c:strCache>
            </c:strRef>
          </c:tx>
          <c:spPr>
            <a:ln w="28575" cap="rnd">
              <a:solidFill>
                <a:schemeClr val="accent3"/>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Data'!$AG$5:$AG$159</c:f>
              <c:numCache>
                <c:formatCode>General</c:formatCode>
                <c:ptCount val="155"/>
                <c:pt idx="0">
                  <c:v>4.0088046054859463</c:v>
                </c:pt>
                <c:pt idx="1">
                  <c:v>3.8811378259397222</c:v>
                </c:pt>
                <c:pt idx="2">
                  <c:v>3.8811378259397222</c:v>
                </c:pt>
                <c:pt idx="3">
                  <c:v>3.6528953606501862</c:v>
                </c:pt>
                <c:pt idx="4">
                  <c:v>3.5309854385370807</c:v>
                </c:pt>
                <c:pt idx="5">
                  <c:v>3.4744327802235011</c:v>
                </c:pt>
                <c:pt idx="6">
                  <c:v>3.5428377920758551</c:v>
                </c:pt>
                <c:pt idx="7">
                  <c:v>3.8279715543515072</c:v>
                </c:pt>
                <c:pt idx="8">
                  <c:v>3.9190653572637997</c:v>
                </c:pt>
                <c:pt idx="9">
                  <c:v>3.9329495428377919</c:v>
                </c:pt>
                <c:pt idx="10">
                  <c:v>3.7764984761259734</c:v>
                </c:pt>
                <c:pt idx="11">
                  <c:v>3.3789366745682354</c:v>
                </c:pt>
                <c:pt idx="12">
                  <c:v>3.2516085336945477</c:v>
                </c:pt>
                <c:pt idx="13">
                  <c:v>3.2875042329834065</c:v>
                </c:pt>
                <c:pt idx="14">
                  <c:v>3.1462919065357262</c:v>
                </c:pt>
                <c:pt idx="15">
                  <c:v>3.2949542837792074</c:v>
                </c:pt>
                <c:pt idx="16">
                  <c:v>3.2949542837792074</c:v>
                </c:pt>
                <c:pt idx="17">
                  <c:v>3.3074839146630546</c:v>
                </c:pt>
                <c:pt idx="18">
                  <c:v>3.1693193362682019</c:v>
                </c:pt>
                <c:pt idx="19">
                  <c:v>3.3616661022688787</c:v>
                </c:pt>
                <c:pt idx="20">
                  <c:v>3.0152387402641381</c:v>
                </c:pt>
                <c:pt idx="21">
                  <c:v>3.072130037250254</c:v>
                </c:pt>
                <c:pt idx="22">
                  <c:v>2.951574669827294</c:v>
                </c:pt>
                <c:pt idx="23">
                  <c:v>3.2698950220115135</c:v>
                </c:pt>
                <c:pt idx="24">
                  <c:v>3.4520826278360985</c:v>
                </c:pt>
                <c:pt idx="25">
                  <c:v>3.155096512021673</c:v>
                </c:pt>
                <c:pt idx="26">
                  <c:v>2.9522519471723672</c:v>
                </c:pt>
                <c:pt idx="27">
                  <c:v>3.3880799187267185</c:v>
                </c:pt>
                <c:pt idx="28">
                  <c:v>3.4507280731459535</c:v>
                </c:pt>
                <c:pt idx="29">
                  <c:v>3.8516762614290547</c:v>
                </c:pt>
                <c:pt idx="30">
                  <c:v>3.8516762614290547</c:v>
                </c:pt>
                <c:pt idx="31">
                  <c:v>3.7534710463934982</c:v>
                </c:pt>
                <c:pt idx="32">
                  <c:v>3.7168980697595666</c:v>
                </c:pt>
                <c:pt idx="33">
                  <c:v>3.3193362682018286</c:v>
                </c:pt>
                <c:pt idx="34">
                  <c:v>3.3193362682018286</c:v>
                </c:pt>
                <c:pt idx="35">
                  <c:v>3.3501523874026415</c:v>
                </c:pt>
                <c:pt idx="36">
                  <c:v>3.282763291567897</c:v>
                </c:pt>
                <c:pt idx="37">
                  <c:v>3.2617676938706395</c:v>
                </c:pt>
                <c:pt idx="38">
                  <c:v>3.4392143582797154</c:v>
                </c:pt>
                <c:pt idx="39">
                  <c:v>3.4524212665086353</c:v>
                </c:pt>
                <c:pt idx="40">
                  <c:v>3.590585844903488</c:v>
                </c:pt>
                <c:pt idx="41">
                  <c:v>3.6139519133084996</c:v>
                </c:pt>
                <c:pt idx="42">
                  <c:v>3.3846935320013545</c:v>
                </c:pt>
                <c:pt idx="43">
                  <c:v>3.4883169657974942</c:v>
                </c:pt>
                <c:pt idx="44">
                  <c:v>3.0250592617676939</c:v>
                </c:pt>
                <c:pt idx="45">
                  <c:v>2.9451405350491027</c:v>
                </c:pt>
                <c:pt idx="46">
                  <c:v>2.9180494412461901</c:v>
                </c:pt>
                <c:pt idx="47">
                  <c:v>2.9048425330172707</c:v>
                </c:pt>
                <c:pt idx="48">
                  <c:v>2.8252624449712158</c:v>
                </c:pt>
                <c:pt idx="49">
                  <c:v>2.8374534371825262</c:v>
                </c:pt>
                <c:pt idx="50">
                  <c:v>2.8428716559431089</c:v>
                </c:pt>
                <c:pt idx="51">
                  <c:v>2.726718591263122</c:v>
                </c:pt>
                <c:pt idx="52">
                  <c:v>2.5987131730443616</c:v>
                </c:pt>
                <c:pt idx="53">
                  <c:v>2.8252624449712158</c:v>
                </c:pt>
                <c:pt idx="54">
                  <c:v>2.8252624449712158</c:v>
                </c:pt>
                <c:pt idx="55">
                  <c:v>2.8283101930240431</c:v>
                </c:pt>
                <c:pt idx="56">
                  <c:v>2.5902472062309512</c:v>
                </c:pt>
                <c:pt idx="57">
                  <c:v>2.5364036572976634</c:v>
                </c:pt>
                <c:pt idx="58">
                  <c:v>2.786996274974602</c:v>
                </c:pt>
                <c:pt idx="59">
                  <c:v>2.4920419911953946</c:v>
                </c:pt>
                <c:pt idx="60">
                  <c:v>2.3129021334236368</c:v>
                </c:pt>
                <c:pt idx="61">
                  <c:v>2.0822891974263462</c:v>
                </c:pt>
                <c:pt idx="62">
                  <c:v>2.1012529630883847</c:v>
                </c:pt>
                <c:pt idx="63">
                  <c:v>2.0785641720284458</c:v>
                </c:pt>
                <c:pt idx="64">
                  <c:v>2.0270910938029121</c:v>
                </c:pt>
                <c:pt idx="65">
                  <c:v>1.9983068066373177</c:v>
                </c:pt>
                <c:pt idx="66">
                  <c:v>2.0558753809685064</c:v>
                </c:pt>
                <c:pt idx="67">
                  <c:v>2.0653572637995259</c:v>
                </c:pt>
                <c:pt idx="68">
                  <c:v>2.0653572637995259</c:v>
                </c:pt>
                <c:pt idx="69">
                  <c:v>2.1296986115814427</c:v>
                </c:pt>
                <c:pt idx="70">
                  <c:v>2.12428039282086</c:v>
                </c:pt>
                <c:pt idx="71">
                  <c:v>2.0904165255672198</c:v>
                </c:pt>
                <c:pt idx="72">
                  <c:v>2.0734845919403995</c:v>
                </c:pt>
                <c:pt idx="73">
                  <c:v>2.0030477480528277</c:v>
                </c:pt>
                <c:pt idx="74">
                  <c:v>2.1337622756518795</c:v>
                </c:pt>
                <c:pt idx="75">
                  <c:v>2.0917710802573652</c:v>
                </c:pt>
                <c:pt idx="76">
                  <c:v>2.0541821876058246</c:v>
                </c:pt>
                <c:pt idx="77">
                  <c:v>2.0189637656620385</c:v>
                </c:pt>
                <c:pt idx="78">
                  <c:v>2.0910938029122925</c:v>
                </c:pt>
                <c:pt idx="79">
                  <c:v>2.1236031154757873</c:v>
                </c:pt>
                <c:pt idx="80">
                  <c:v>2.0765323399932272</c:v>
                </c:pt>
                <c:pt idx="81">
                  <c:v>1.9363359295631559</c:v>
                </c:pt>
                <c:pt idx="82">
                  <c:v>1.9363359295631559</c:v>
                </c:pt>
                <c:pt idx="83">
                  <c:v>1.8300033863867253</c:v>
                </c:pt>
                <c:pt idx="84">
                  <c:v>1.9979681679647816</c:v>
                </c:pt>
                <c:pt idx="85">
                  <c:v>1.925499492041991</c:v>
                </c:pt>
                <c:pt idx="86">
                  <c:v>1.8933288181510326</c:v>
                </c:pt>
                <c:pt idx="87">
                  <c:v>1.8933288181510326</c:v>
                </c:pt>
                <c:pt idx="88">
                  <c:v>1.8049441246190314</c:v>
                </c:pt>
                <c:pt idx="89">
                  <c:v>1.8049441246190314</c:v>
                </c:pt>
                <c:pt idx="90">
                  <c:v>1.8049441246190314</c:v>
                </c:pt>
                <c:pt idx="91">
                  <c:v>1.6505248899424314</c:v>
                </c:pt>
                <c:pt idx="92">
                  <c:v>1.5157466982729426</c:v>
                </c:pt>
                <c:pt idx="93">
                  <c:v>1.3694547917372162</c:v>
                </c:pt>
                <c:pt idx="94">
                  <c:v>1.3836776159837452</c:v>
                </c:pt>
                <c:pt idx="95">
                  <c:v>1.3718252624449712</c:v>
                </c:pt>
                <c:pt idx="96">
                  <c:v>1.4375211649170336</c:v>
                </c:pt>
                <c:pt idx="97">
                  <c:v>1.3386386725364037</c:v>
                </c:pt>
                <c:pt idx="98">
                  <c:v>1.547917372163901</c:v>
                </c:pt>
                <c:pt idx="99">
                  <c:v>1.6908228919742634</c:v>
                </c:pt>
                <c:pt idx="100">
                  <c:v>1.6962411107348461</c:v>
                </c:pt>
                <c:pt idx="101">
                  <c:v>1.6979343040975279</c:v>
                </c:pt>
                <c:pt idx="102">
                  <c:v>1.6376566203860481</c:v>
                </c:pt>
                <c:pt idx="103">
                  <c:v>1.6708432102946158</c:v>
                </c:pt>
                <c:pt idx="104">
                  <c:v>1.6793091771080257</c:v>
                </c:pt>
                <c:pt idx="105">
                  <c:v>1.7287504232983406</c:v>
                </c:pt>
                <c:pt idx="106">
                  <c:v>1.7287504232983406</c:v>
                </c:pt>
                <c:pt idx="107">
                  <c:v>1.7060616322384017</c:v>
                </c:pt>
                <c:pt idx="108">
                  <c:v>1.7541483237385709</c:v>
                </c:pt>
                <c:pt idx="109">
                  <c:v>1.8858787673552317</c:v>
                </c:pt>
                <c:pt idx="110">
                  <c:v>1.8655604470030478</c:v>
                </c:pt>
                <c:pt idx="111">
                  <c:v>1.9244835760243819</c:v>
                </c:pt>
                <c:pt idx="112">
                  <c:v>1.9095834744327802</c:v>
                </c:pt>
                <c:pt idx="113">
                  <c:v>1.7798848628513377</c:v>
                </c:pt>
                <c:pt idx="114">
                  <c:v>1.8377920758550628</c:v>
                </c:pt>
                <c:pt idx="115">
                  <c:v>1.7321368100237047</c:v>
                </c:pt>
                <c:pt idx="116">
                  <c:v>1.7426346088723332</c:v>
                </c:pt>
                <c:pt idx="117">
                  <c:v>1.7426346088723332</c:v>
                </c:pt>
                <c:pt idx="118">
                  <c:v>1.6352861496782931</c:v>
                </c:pt>
                <c:pt idx="119">
                  <c:v>1.5492719268540467</c:v>
                </c:pt>
                <c:pt idx="120">
                  <c:v>1.5492719268540467</c:v>
                </c:pt>
                <c:pt idx="121">
                  <c:v>1.4629190653572639</c:v>
                </c:pt>
                <c:pt idx="122">
                  <c:v>1.4530985438537078</c:v>
                </c:pt>
                <c:pt idx="123">
                  <c:v>1.5126989502201151</c:v>
                </c:pt>
                <c:pt idx="124">
                  <c:v>1.6457839485269217</c:v>
                </c:pt>
                <c:pt idx="125">
                  <c:v>1.5726379952590583</c:v>
                </c:pt>
                <c:pt idx="126">
                  <c:v>1.4937351845580764</c:v>
                </c:pt>
                <c:pt idx="127">
                  <c:v>1.4913647138503217</c:v>
                </c:pt>
                <c:pt idx="128">
                  <c:v>1.4686759227903825</c:v>
                </c:pt>
                <c:pt idx="129">
                  <c:v>1.4277006434134776</c:v>
                </c:pt>
                <c:pt idx="130">
                  <c:v>1.4690145614629191</c:v>
                </c:pt>
                <c:pt idx="131">
                  <c:v>1.6440907551642396</c:v>
                </c:pt>
                <c:pt idx="132">
                  <c:v>1.6454453098543855</c:v>
                </c:pt>
                <c:pt idx="133">
                  <c:v>1.7216390111750763</c:v>
                </c:pt>
                <c:pt idx="134">
                  <c:v>1.7216390111750763</c:v>
                </c:pt>
                <c:pt idx="135">
                  <c:v>1.7480528276329155</c:v>
                </c:pt>
                <c:pt idx="136">
                  <c:v>1.5062648154419234</c:v>
                </c:pt>
                <c:pt idx="137">
                  <c:v>1.3955299695225194</c:v>
                </c:pt>
                <c:pt idx="138">
                  <c:v>1.3047748052827632</c:v>
                </c:pt>
                <c:pt idx="139">
                  <c:v>1.3047748052827632</c:v>
                </c:pt>
                <c:pt idx="140">
                  <c:v>1.2675245513037587</c:v>
                </c:pt>
                <c:pt idx="141">
                  <c:v>1.2675245513037587</c:v>
                </c:pt>
                <c:pt idx="142">
                  <c:v>1.2675245513037587</c:v>
                </c:pt>
                <c:pt idx="143">
                  <c:v>1.3369454791737214</c:v>
                </c:pt>
                <c:pt idx="144">
                  <c:v>1.3420250592617677</c:v>
                </c:pt>
                <c:pt idx="145">
                  <c:v>1.3325431764307485</c:v>
                </c:pt>
                <c:pt idx="146">
                  <c:v>1.3142566881137827</c:v>
                </c:pt>
                <c:pt idx="147">
                  <c:v>1.3040975279376903</c:v>
                </c:pt>
                <c:pt idx="148">
                  <c:v>1.266847273958686</c:v>
                </c:pt>
                <c:pt idx="149">
                  <c:v>1.2695563833389774</c:v>
                </c:pt>
                <c:pt idx="150">
                  <c:v>1.054520826278361</c:v>
                </c:pt>
                <c:pt idx="151">
                  <c:v>1.0829664747714189</c:v>
                </c:pt>
                <c:pt idx="152">
                  <c:v>1.0287842871655943</c:v>
                </c:pt>
                <c:pt idx="153">
                  <c:v>1.0149001015916017</c:v>
                </c:pt>
                <c:pt idx="154">
                  <c:v>1</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REGIONAL MANAGEM</c:v>
                </c:pt>
              </c:strCache>
            </c:strRef>
          </c:tx>
          <c:spPr>
            <a:ln w="28575" cap="rnd">
              <a:solidFill>
                <a:schemeClr val="accent5"/>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Data'!$AH$5:$AH$159</c:f>
              <c:numCache>
                <c:formatCode>General</c:formatCode>
                <c:ptCount val="155"/>
                <c:pt idx="0">
                  <c:v>1.5207600281491906</c:v>
                </c:pt>
                <c:pt idx="1">
                  <c:v>1.4419422941590427</c:v>
                </c:pt>
                <c:pt idx="2">
                  <c:v>1.4419422941590427</c:v>
                </c:pt>
                <c:pt idx="3">
                  <c:v>1.32899366643209</c:v>
                </c:pt>
                <c:pt idx="4">
                  <c:v>1.2670654468684024</c:v>
                </c:pt>
                <c:pt idx="5">
                  <c:v>1.1917663617171004</c:v>
                </c:pt>
                <c:pt idx="6">
                  <c:v>1.1168191414496833</c:v>
                </c:pt>
                <c:pt idx="7">
                  <c:v>1.1323011963406051</c:v>
                </c:pt>
                <c:pt idx="8">
                  <c:v>1.1470795214637579</c:v>
                </c:pt>
                <c:pt idx="9">
                  <c:v>1.1646727656579874</c:v>
                </c:pt>
                <c:pt idx="10">
                  <c:v>1.0277973258268824</c:v>
                </c:pt>
                <c:pt idx="11">
                  <c:v>0.97959183673469385</c:v>
                </c:pt>
                <c:pt idx="12">
                  <c:v>0.99085151301900065</c:v>
                </c:pt>
                <c:pt idx="13">
                  <c:v>0.97959183673469385</c:v>
                </c:pt>
                <c:pt idx="14">
                  <c:v>0.92681210415200554</c:v>
                </c:pt>
                <c:pt idx="15">
                  <c:v>1.0186488388458832</c:v>
                </c:pt>
                <c:pt idx="16">
                  <c:v>1.0186488388458832</c:v>
                </c:pt>
                <c:pt idx="17">
                  <c:v>1.043631245601689</c:v>
                </c:pt>
                <c:pt idx="18">
                  <c:v>0.9662209711470795</c:v>
                </c:pt>
                <c:pt idx="19">
                  <c:v>1.1826178747361011</c:v>
                </c:pt>
                <c:pt idx="20">
                  <c:v>1.1045038705137227</c:v>
                </c:pt>
                <c:pt idx="21">
                  <c:v>1.0805770584095706</c:v>
                </c:pt>
                <c:pt idx="22">
                  <c:v>0.99190710767065449</c:v>
                </c:pt>
                <c:pt idx="23">
                  <c:v>1.0594651653764953</c:v>
                </c:pt>
                <c:pt idx="24">
                  <c:v>1.1185784658691063</c:v>
                </c:pt>
                <c:pt idx="25">
                  <c:v>1.0464461646727656</c:v>
                </c:pt>
                <c:pt idx="26">
                  <c:v>1.0439831104855735</c:v>
                </c:pt>
                <c:pt idx="27">
                  <c:v>1.126319493314567</c:v>
                </c:pt>
                <c:pt idx="28">
                  <c:v>1.1562280084447571</c:v>
                </c:pt>
                <c:pt idx="29">
                  <c:v>1.2744546094299787</c:v>
                </c:pt>
                <c:pt idx="30">
                  <c:v>1.2744546094299787</c:v>
                </c:pt>
                <c:pt idx="31">
                  <c:v>1.2674173117522871</c:v>
                </c:pt>
                <c:pt idx="32">
                  <c:v>1.2691766361717101</c:v>
                </c:pt>
                <c:pt idx="33">
                  <c:v>1.1389866291344122</c:v>
                </c:pt>
                <c:pt idx="34">
                  <c:v>1.1389866291344122</c:v>
                </c:pt>
                <c:pt idx="35">
                  <c:v>1.171710063335679</c:v>
                </c:pt>
                <c:pt idx="36">
                  <c:v>1.1787473610133707</c:v>
                </c:pt>
                <c:pt idx="37">
                  <c:v>1.1548205489092187</c:v>
                </c:pt>
                <c:pt idx="38">
                  <c:v>1.2023223082336383</c:v>
                </c:pt>
                <c:pt idx="39">
                  <c:v>1.1935256861365235</c:v>
                </c:pt>
                <c:pt idx="40">
                  <c:v>1.0897255453905699</c:v>
                </c:pt>
                <c:pt idx="41">
                  <c:v>1.0883180858550316</c:v>
                </c:pt>
                <c:pt idx="42">
                  <c:v>1.0485573539760731</c:v>
                </c:pt>
                <c:pt idx="43">
                  <c:v>1.0675580577058408</c:v>
                </c:pt>
                <c:pt idx="44">
                  <c:v>1.0358902181562279</c:v>
                </c:pt>
                <c:pt idx="45">
                  <c:v>1.0246305418719213</c:v>
                </c:pt>
                <c:pt idx="46">
                  <c:v>1.0696692470091484</c:v>
                </c:pt>
                <c:pt idx="47">
                  <c:v>1.1069669247009148</c:v>
                </c:pt>
                <c:pt idx="48">
                  <c:v>1.1020408163265305</c:v>
                </c:pt>
                <c:pt idx="49">
                  <c:v>1.1509500351864883</c:v>
                </c:pt>
                <c:pt idx="50">
                  <c:v>1.1502463054187191</c:v>
                </c:pt>
                <c:pt idx="51">
                  <c:v>1.1425052779732581</c:v>
                </c:pt>
                <c:pt idx="52">
                  <c:v>1.0971147079521464</c:v>
                </c:pt>
                <c:pt idx="53">
                  <c:v>1.1305418719211824</c:v>
                </c:pt>
                <c:pt idx="54">
                  <c:v>1.1305418719211824</c:v>
                </c:pt>
                <c:pt idx="55">
                  <c:v>1.1509500351864883</c:v>
                </c:pt>
                <c:pt idx="56">
                  <c:v>1.0661505981703026</c:v>
                </c:pt>
                <c:pt idx="57">
                  <c:v>1.0175932441942295</c:v>
                </c:pt>
                <c:pt idx="58">
                  <c:v>1.110133708655876</c:v>
                </c:pt>
                <c:pt idx="59">
                  <c:v>1.0763546798029555</c:v>
                </c:pt>
                <c:pt idx="60">
                  <c:v>0.96903589021815617</c:v>
                </c:pt>
                <c:pt idx="61">
                  <c:v>0.96410978184377183</c:v>
                </c:pt>
                <c:pt idx="62">
                  <c:v>0.99894440534834616</c:v>
                </c:pt>
                <c:pt idx="63">
                  <c:v>0.96762843068261783</c:v>
                </c:pt>
                <c:pt idx="64">
                  <c:v>0.95425756509500348</c:v>
                </c:pt>
                <c:pt idx="65">
                  <c:v>0.9929627023223081</c:v>
                </c:pt>
                <c:pt idx="66">
                  <c:v>0.99225897255453899</c:v>
                </c:pt>
                <c:pt idx="67">
                  <c:v>1.0091484869809992</c:v>
                </c:pt>
                <c:pt idx="68">
                  <c:v>1.0091484869809992</c:v>
                </c:pt>
                <c:pt idx="69">
                  <c:v>1.0394088669950738</c:v>
                </c:pt>
                <c:pt idx="70">
                  <c:v>1.0710767065446869</c:v>
                </c:pt>
                <c:pt idx="71">
                  <c:v>0.91942294159042914</c:v>
                </c:pt>
                <c:pt idx="72">
                  <c:v>0.90710767065446862</c:v>
                </c:pt>
                <c:pt idx="73">
                  <c:v>0.87473610133708646</c:v>
                </c:pt>
                <c:pt idx="74">
                  <c:v>0.87121745249824067</c:v>
                </c:pt>
                <c:pt idx="75">
                  <c:v>0.84658691062631941</c:v>
                </c:pt>
                <c:pt idx="76">
                  <c:v>0.85327234342012659</c:v>
                </c:pt>
                <c:pt idx="77">
                  <c:v>0.80577058409570712</c:v>
                </c:pt>
                <c:pt idx="78">
                  <c:v>0.84940182969739619</c:v>
                </c:pt>
                <c:pt idx="79">
                  <c:v>0.80471498944405351</c:v>
                </c:pt>
                <c:pt idx="80">
                  <c:v>0.81703026038001403</c:v>
                </c:pt>
                <c:pt idx="81">
                  <c:v>0.7484166080225193</c:v>
                </c:pt>
                <c:pt idx="82">
                  <c:v>0.7484166080225193</c:v>
                </c:pt>
                <c:pt idx="83">
                  <c:v>0.84342012667135813</c:v>
                </c:pt>
                <c:pt idx="84">
                  <c:v>0.91097818437719913</c:v>
                </c:pt>
                <c:pt idx="85">
                  <c:v>0.91414496833216041</c:v>
                </c:pt>
                <c:pt idx="86">
                  <c:v>0.87719915552427863</c:v>
                </c:pt>
                <c:pt idx="87">
                  <c:v>0.87719915552427863</c:v>
                </c:pt>
                <c:pt idx="88">
                  <c:v>0.8687543983110485</c:v>
                </c:pt>
                <c:pt idx="89">
                  <c:v>0.8687543983110485</c:v>
                </c:pt>
                <c:pt idx="90">
                  <c:v>0.8687543983110485</c:v>
                </c:pt>
                <c:pt idx="91">
                  <c:v>0.81914144968332159</c:v>
                </c:pt>
                <c:pt idx="92">
                  <c:v>0.82019704433497531</c:v>
                </c:pt>
                <c:pt idx="93">
                  <c:v>0.76249120337790288</c:v>
                </c:pt>
                <c:pt idx="94">
                  <c:v>0.81386347642505275</c:v>
                </c:pt>
                <c:pt idx="95">
                  <c:v>0.82653061224489788</c:v>
                </c:pt>
                <c:pt idx="96">
                  <c:v>0.77726952850105557</c:v>
                </c:pt>
                <c:pt idx="97">
                  <c:v>0.864883884588318</c:v>
                </c:pt>
                <c:pt idx="98">
                  <c:v>0.85573539760731876</c:v>
                </c:pt>
                <c:pt idx="99">
                  <c:v>0.9060520760028149</c:v>
                </c:pt>
                <c:pt idx="100">
                  <c:v>0.93947923997185068</c:v>
                </c:pt>
                <c:pt idx="101">
                  <c:v>0.95953553835327232</c:v>
                </c:pt>
                <c:pt idx="102">
                  <c:v>0.94053483462350451</c:v>
                </c:pt>
                <c:pt idx="103">
                  <c:v>0.94053483462350451</c:v>
                </c:pt>
                <c:pt idx="104">
                  <c:v>0.96798029556650245</c:v>
                </c:pt>
                <c:pt idx="105">
                  <c:v>1.0080928923293455</c:v>
                </c:pt>
                <c:pt idx="106">
                  <c:v>1.0080928923293455</c:v>
                </c:pt>
                <c:pt idx="107">
                  <c:v>0.96586910626319489</c:v>
                </c:pt>
                <c:pt idx="108">
                  <c:v>0.99612948627726938</c:v>
                </c:pt>
                <c:pt idx="109">
                  <c:v>1.0869106263194932</c:v>
                </c:pt>
                <c:pt idx="110">
                  <c:v>1.1432090077410275</c:v>
                </c:pt>
                <c:pt idx="111">
                  <c:v>1.160450387051372</c:v>
                </c:pt>
                <c:pt idx="112">
                  <c:v>1.1724137931034482</c:v>
                </c:pt>
                <c:pt idx="113">
                  <c:v>1.109429978888107</c:v>
                </c:pt>
                <c:pt idx="114">
                  <c:v>1.0795214637579169</c:v>
                </c:pt>
                <c:pt idx="115">
                  <c:v>1.0014074595355382</c:v>
                </c:pt>
                <c:pt idx="116">
                  <c:v>1.0809289232934551</c:v>
                </c:pt>
                <c:pt idx="117">
                  <c:v>1.0809289232934551</c:v>
                </c:pt>
                <c:pt idx="118">
                  <c:v>0.9627023223082336</c:v>
                </c:pt>
                <c:pt idx="119">
                  <c:v>0.93103448275862066</c:v>
                </c:pt>
                <c:pt idx="120">
                  <c:v>0.93103448275862066</c:v>
                </c:pt>
                <c:pt idx="121">
                  <c:v>0.91133004926108363</c:v>
                </c:pt>
                <c:pt idx="122">
                  <c:v>0.93912737508796618</c:v>
                </c:pt>
                <c:pt idx="123">
                  <c:v>0.93349753694581283</c:v>
                </c:pt>
                <c:pt idx="124">
                  <c:v>0.94862772695285003</c:v>
                </c:pt>
                <c:pt idx="125">
                  <c:v>0.94123856439127374</c:v>
                </c:pt>
                <c:pt idx="126">
                  <c:v>0.91097818437719913</c:v>
                </c:pt>
                <c:pt idx="127">
                  <c:v>0.92294159042927515</c:v>
                </c:pt>
                <c:pt idx="128">
                  <c:v>0.89690358902181555</c:v>
                </c:pt>
                <c:pt idx="129">
                  <c:v>0.87860661505981696</c:v>
                </c:pt>
                <c:pt idx="130">
                  <c:v>0.94088669950738901</c:v>
                </c:pt>
                <c:pt idx="131">
                  <c:v>1.0914848698099928</c:v>
                </c:pt>
                <c:pt idx="132">
                  <c:v>1.1157635467980296</c:v>
                </c:pt>
                <c:pt idx="133">
                  <c:v>1.1667839549612946</c:v>
                </c:pt>
                <c:pt idx="134">
                  <c:v>1.1667839549612946</c:v>
                </c:pt>
                <c:pt idx="135">
                  <c:v>1.2853624208304011</c:v>
                </c:pt>
                <c:pt idx="136">
                  <c:v>1.1847290640394088</c:v>
                </c:pt>
                <c:pt idx="137">
                  <c:v>1.1681914144968333</c:v>
                </c:pt>
                <c:pt idx="138">
                  <c:v>1.0612244897959182</c:v>
                </c:pt>
                <c:pt idx="139">
                  <c:v>1.0612244897959182</c:v>
                </c:pt>
                <c:pt idx="140">
                  <c:v>0.99507389162561577</c:v>
                </c:pt>
                <c:pt idx="141">
                  <c:v>0.99507389162561577</c:v>
                </c:pt>
                <c:pt idx="142">
                  <c:v>0.99507389162561577</c:v>
                </c:pt>
                <c:pt idx="143">
                  <c:v>1.0330752990851513</c:v>
                </c:pt>
                <c:pt idx="144">
                  <c:v>1.0506685432793805</c:v>
                </c:pt>
                <c:pt idx="145">
                  <c:v>1.0285010555946517</c:v>
                </c:pt>
                <c:pt idx="146">
                  <c:v>1.0302603800140746</c:v>
                </c:pt>
                <c:pt idx="147">
                  <c:v>1.0358902181562279</c:v>
                </c:pt>
                <c:pt idx="148">
                  <c:v>1.0147783251231526</c:v>
                </c:pt>
                <c:pt idx="149">
                  <c:v>1.194933145672062</c:v>
                </c:pt>
                <c:pt idx="150">
                  <c:v>1.0499648135116115</c:v>
                </c:pt>
                <c:pt idx="151">
                  <c:v>1.0256861365235748</c:v>
                </c:pt>
                <c:pt idx="152">
                  <c:v>0.99155524278676976</c:v>
                </c:pt>
                <c:pt idx="153">
                  <c:v>1.0066854327938071</c:v>
                </c:pt>
                <c:pt idx="154">
                  <c:v>1</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WORLD ACCEPTANCE</c:v>
                </c:pt>
              </c:strCache>
            </c:strRef>
          </c:tx>
          <c:spPr>
            <a:ln w="28575" cap="rnd">
              <a:solidFill>
                <a:schemeClr val="accent1">
                  <a:lumMod val="60000"/>
                </a:schemeClr>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Data'!$AI$5:$AI$159</c:f>
              <c:numCache>
                <c:formatCode>General</c:formatCode>
                <c:ptCount val="155"/>
                <c:pt idx="0">
                  <c:v>1.8454116638078901</c:v>
                </c:pt>
                <c:pt idx="1">
                  <c:v>1.8274013722126929</c:v>
                </c:pt>
                <c:pt idx="2">
                  <c:v>1.8274013722126929</c:v>
                </c:pt>
                <c:pt idx="3">
                  <c:v>1.7720840480274445</c:v>
                </c:pt>
                <c:pt idx="4">
                  <c:v>1.7293096054888508</c:v>
                </c:pt>
                <c:pt idx="5">
                  <c:v>1.6991852487135506</c:v>
                </c:pt>
                <c:pt idx="6">
                  <c:v>1.7400300171526586</c:v>
                </c:pt>
                <c:pt idx="7">
                  <c:v>1.7436749571183534</c:v>
                </c:pt>
                <c:pt idx="8">
                  <c:v>1.8270797598627788</c:v>
                </c:pt>
                <c:pt idx="9">
                  <c:v>1.8576329331046313</c:v>
                </c:pt>
                <c:pt idx="10">
                  <c:v>1.7701543739279588</c:v>
                </c:pt>
                <c:pt idx="11">
                  <c:v>1.6759219554030875</c:v>
                </c:pt>
                <c:pt idx="12">
                  <c:v>1.6441895368782162</c:v>
                </c:pt>
                <c:pt idx="13">
                  <c:v>1.6896440823327616</c:v>
                </c:pt>
                <c:pt idx="14">
                  <c:v>1.6674528301886791</c:v>
                </c:pt>
                <c:pt idx="15">
                  <c:v>1.5915523156089195</c:v>
                </c:pt>
                <c:pt idx="16">
                  <c:v>1.5915523156089195</c:v>
                </c:pt>
                <c:pt idx="17">
                  <c:v>1.5799742710120068</c:v>
                </c:pt>
                <c:pt idx="18">
                  <c:v>1.436320754716981</c:v>
                </c:pt>
                <c:pt idx="19">
                  <c:v>1.4719125214408235</c:v>
                </c:pt>
                <c:pt idx="20">
                  <c:v>1.3228987993138936</c:v>
                </c:pt>
                <c:pt idx="21">
                  <c:v>1.3088550600343054</c:v>
                </c:pt>
                <c:pt idx="22">
                  <c:v>1.2480703259005146</c:v>
                </c:pt>
                <c:pt idx="23">
                  <c:v>1.3566680960548885</c:v>
                </c:pt>
                <c:pt idx="24">
                  <c:v>1.4045883361921099</c:v>
                </c:pt>
                <c:pt idx="25">
                  <c:v>1.3241852487135506</c:v>
                </c:pt>
                <c:pt idx="26">
                  <c:v>1.2717624356775299</c:v>
                </c:pt>
                <c:pt idx="27">
                  <c:v>1.4029802744425386</c:v>
                </c:pt>
                <c:pt idx="28">
                  <c:v>1.4605488850771871</c:v>
                </c:pt>
                <c:pt idx="29">
                  <c:v>1.5494210977701544</c:v>
                </c:pt>
                <c:pt idx="30">
                  <c:v>1.5494210977701544</c:v>
                </c:pt>
                <c:pt idx="31">
                  <c:v>1.4964622641509435</c:v>
                </c:pt>
                <c:pt idx="32">
                  <c:v>1.3866852487135506</c:v>
                </c:pt>
                <c:pt idx="33">
                  <c:v>1.2066895368782162</c:v>
                </c:pt>
                <c:pt idx="34">
                  <c:v>1.2066895368782162</c:v>
                </c:pt>
                <c:pt idx="35">
                  <c:v>1.2244854202401372</c:v>
                </c:pt>
                <c:pt idx="36">
                  <c:v>1.1993996569468266</c:v>
                </c:pt>
                <c:pt idx="37">
                  <c:v>1.1722770154373927</c:v>
                </c:pt>
                <c:pt idx="38">
                  <c:v>1.2629716981132075</c:v>
                </c:pt>
                <c:pt idx="39">
                  <c:v>1.2899871355060033</c:v>
                </c:pt>
                <c:pt idx="40">
                  <c:v>1.2971698113207546</c:v>
                </c:pt>
                <c:pt idx="41">
                  <c:v>1.2947041166380788</c:v>
                </c:pt>
                <c:pt idx="42">
                  <c:v>1.2445325900514579</c:v>
                </c:pt>
                <c:pt idx="43">
                  <c:v>1.3337264150943395</c:v>
                </c:pt>
                <c:pt idx="44">
                  <c:v>1.2119425385934819</c:v>
                </c:pt>
                <c:pt idx="45">
                  <c:v>1.2638293310463122</c:v>
                </c:pt>
                <c:pt idx="46">
                  <c:v>1.2631861063464838</c:v>
                </c:pt>
                <c:pt idx="47">
                  <c:v>1.2353130360205833</c:v>
                </c:pt>
                <c:pt idx="48">
                  <c:v>1.203795025728988</c:v>
                </c:pt>
                <c:pt idx="49">
                  <c:v>1.2647941680960548</c:v>
                </c:pt>
                <c:pt idx="50">
                  <c:v>1.2866638078902228</c:v>
                </c:pt>
                <c:pt idx="51">
                  <c:v>1.2963121783876501</c:v>
                </c:pt>
                <c:pt idx="52">
                  <c:v>1.2001500857632934</c:v>
                </c:pt>
                <c:pt idx="53">
                  <c:v>1.2728344768439108</c:v>
                </c:pt>
                <c:pt idx="54">
                  <c:v>1.2728344768439108</c:v>
                </c:pt>
                <c:pt idx="55">
                  <c:v>1.2169811320754715</c:v>
                </c:pt>
                <c:pt idx="56">
                  <c:v>1.1392581475128645</c:v>
                </c:pt>
                <c:pt idx="57">
                  <c:v>1.1224271012006861</c:v>
                </c:pt>
                <c:pt idx="58">
                  <c:v>1.3134648370497426</c:v>
                </c:pt>
                <c:pt idx="59">
                  <c:v>1.5171526586620927</c:v>
                </c:pt>
                <c:pt idx="60">
                  <c:v>1.4640866209262435</c:v>
                </c:pt>
                <c:pt idx="61">
                  <c:v>1.3518439108061748</c:v>
                </c:pt>
                <c:pt idx="62">
                  <c:v>1.3405874785591767</c:v>
                </c:pt>
                <c:pt idx="63">
                  <c:v>1.3167881646655231</c:v>
                </c:pt>
                <c:pt idx="64">
                  <c:v>1.3011363636363638</c:v>
                </c:pt>
                <c:pt idx="65">
                  <c:v>1.3555960548885078</c:v>
                </c:pt>
                <c:pt idx="66">
                  <c:v>1.3873284734133791</c:v>
                </c:pt>
                <c:pt idx="67">
                  <c:v>1.3948327615780447</c:v>
                </c:pt>
                <c:pt idx="68">
                  <c:v>1.3948327615780447</c:v>
                </c:pt>
                <c:pt idx="69">
                  <c:v>1.4678387650085762</c:v>
                </c:pt>
                <c:pt idx="70">
                  <c:v>1.500214408233276</c:v>
                </c:pt>
                <c:pt idx="71">
                  <c:v>1.5289451114922814</c:v>
                </c:pt>
                <c:pt idx="72">
                  <c:v>1.4548670668953689</c:v>
                </c:pt>
                <c:pt idx="73">
                  <c:v>1.4417881646655233</c:v>
                </c:pt>
                <c:pt idx="74">
                  <c:v>1.5195111492281304</c:v>
                </c:pt>
                <c:pt idx="75">
                  <c:v>1.4896012006861061</c:v>
                </c:pt>
                <c:pt idx="76">
                  <c:v>1.4679459691252144</c:v>
                </c:pt>
                <c:pt idx="77">
                  <c:v>1.3879716981132075</c:v>
                </c:pt>
                <c:pt idx="78">
                  <c:v>1.3907590051457974</c:v>
                </c:pt>
                <c:pt idx="79">
                  <c:v>1.3142152658662092</c:v>
                </c:pt>
                <c:pt idx="80">
                  <c:v>1.2713336192109777</c:v>
                </c:pt>
                <c:pt idx="81">
                  <c:v>1.4440394511149226</c:v>
                </c:pt>
                <c:pt idx="82">
                  <c:v>1.4440394511149226</c:v>
                </c:pt>
                <c:pt idx="83">
                  <c:v>1.4086620926243567</c:v>
                </c:pt>
                <c:pt idx="84">
                  <c:v>1.5324828473413377</c:v>
                </c:pt>
                <c:pt idx="85">
                  <c:v>1.51897512864494</c:v>
                </c:pt>
                <c:pt idx="86">
                  <c:v>1.4035162950257289</c:v>
                </c:pt>
                <c:pt idx="87">
                  <c:v>1.4035162950257289</c:v>
                </c:pt>
                <c:pt idx="88">
                  <c:v>1.4659090909090911</c:v>
                </c:pt>
                <c:pt idx="89">
                  <c:v>1.4659090909090911</c:v>
                </c:pt>
                <c:pt idx="90">
                  <c:v>1.4659090909090911</c:v>
                </c:pt>
                <c:pt idx="91">
                  <c:v>1.3266509433962264</c:v>
                </c:pt>
                <c:pt idx="92">
                  <c:v>1.279695540308748</c:v>
                </c:pt>
                <c:pt idx="93">
                  <c:v>1.1861063464837049</c:v>
                </c:pt>
                <c:pt idx="94">
                  <c:v>1.2059391080617494</c:v>
                </c:pt>
                <c:pt idx="95">
                  <c:v>1.1120283018867925</c:v>
                </c:pt>
                <c:pt idx="96">
                  <c:v>1.1227487135506005</c:v>
                </c:pt>
                <c:pt idx="97">
                  <c:v>1.0351629502572899</c:v>
                </c:pt>
                <c:pt idx="98">
                  <c:v>1.0841552315608918</c:v>
                </c:pt>
                <c:pt idx="99">
                  <c:v>1.3768224699828473</c:v>
                </c:pt>
                <c:pt idx="100">
                  <c:v>1.3173241852487134</c:v>
                </c:pt>
                <c:pt idx="101">
                  <c:v>1.3562392795883362</c:v>
                </c:pt>
                <c:pt idx="102">
                  <c:v>1.3489493996569468</c:v>
                </c:pt>
                <c:pt idx="103">
                  <c:v>1.4164879931389365</c:v>
                </c:pt>
                <c:pt idx="104">
                  <c:v>1.4340694682675816</c:v>
                </c:pt>
                <c:pt idx="105">
                  <c:v>1.3895797598627788</c:v>
                </c:pt>
                <c:pt idx="106">
                  <c:v>1.3895797598627788</c:v>
                </c:pt>
                <c:pt idx="107">
                  <c:v>1.4171312178387649</c:v>
                </c:pt>
                <c:pt idx="108">
                  <c:v>1.5500643224699828</c:v>
                </c:pt>
                <c:pt idx="109">
                  <c:v>1.6097770154373927</c:v>
                </c:pt>
                <c:pt idx="110">
                  <c:v>1.6926457975986275</c:v>
                </c:pt>
                <c:pt idx="111">
                  <c:v>1.6186749571183534</c:v>
                </c:pt>
                <c:pt idx="112">
                  <c:v>1.5048241852487136</c:v>
                </c:pt>
                <c:pt idx="113">
                  <c:v>1.4654802744425384</c:v>
                </c:pt>
                <c:pt idx="114">
                  <c:v>1.4475771869639793</c:v>
                </c:pt>
                <c:pt idx="115">
                  <c:v>1.3929030874785593</c:v>
                </c:pt>
                <c:pt idx="116">
                  <c:v>1.3251500857632932</c:v>
                </c:pt>
                <c:pt idx="117">
                  <c:v>1.3251500857632932</c:v>
                </c:pt>
                <c:pt idx="118">
                  <c:v>1.2399228130360205</c:v>
                </c:pt>
                <c:pt idx="119">
                  <c:v>1.2069039451114922</c:v>
                </c:pt>
                <c:pt idx="120">
                  <c:v>1.2069039451114922</c:v>
                </c:pt>
                <c:pt idx="121">
                  <c:v>1.1125643224699828</c:v>
                </c:pt>
                <c:pt idx="122">
                  <c:v>1.2067967409948541</c:v>
                </c:pt>
                <c:pt idx="123">
                  <c:v>1.0572469982847341</c:v>
                </c:pt>
                <c:pt idx="124">
                  <c:v>1.0027873070325901</c:v>
                </c:pt>
                <c:pt idx="125">
                  <c:v>0.89644082332761577</c:v>
                </c:pt>
                <c:pt idx="126">
                  <c:v>0.8649228130360207</c:v>
                </c:pt>
                <c:pt idx="127">
                  <c:v>0.88089622641509435</c:v>
                </c:pt>
                <c:pt idx="128">
                  <c:v>0.850557461406518</c:v>
                </c:pt>
                <c:pt idx="129">
                  <c:v>0.84476843910806176</c:v>
                </c:pt>
                <c:pt idx="130">
                  <c:v>0.87810891938250424</c:v>
                </c:pt>
                <c:pt idx="131">
                  <c:v>0.97566466552315612</c:v>
                </c:pt>
                <c:pt idx="132">
                  <c:v>0.99281732418524871</c:v>
                </c:pt>
                <c:pt idx="133">
                  <c:v>1.0423992281303602</c:v>
                </c:pt>
                <c:pt idx="134">
                  <c:v>1.0423992281303602</c:v>
                </c:pt>
                <c:pt idx="135">
                  <c:v>1.0791166380789021</c:v>
                </c:pt>
                <c:pt idx="136">
                  <c:v>1.0228344768439108</c:v>
                </c:pt>
                <c:pt idx="137">
                  <c:v>0.87907375643224694</c:v>
                </c:pt>
                <c:pt idx="138">
                  <c:v>0.75825471698113212</c:v>
                </c:pt>
                <c:pt idx="139">
                  <c:v>0.75825471698113212</c:v>
                </c:pt>
                <c:pt idx="140">
                  <c:v>0.638507718696398</c:v>
                </c:pt>
                <c:pt idx="141">
                  <c:v>0.638507718696398</c:v>
                </c:pt>
                <c:pt idx="142">
                  <c:v>0.638507718696398</c:v>
                </c:pt>
                <c:pt idx="143">
                  <c:v>0.76200686106346482</c:v>
                </c:pt>
                <c:pt idx="144">
                  <c:v>0.76104202401372212</c:v>
                </c:pt>
                <c:pt idx="145">
                  <c:v>0.73466981132075471</c:v>
                </c:pt>
                <c:pt idx="146">
                  <c:v>0.74324614065180106</c:v>
                </c:pt>
                <c:pt idx="147">
                  <c:v>0.81614493996569459</c:v>
                </c:pt>
                <c:pt idx="148">
                  <c:v>0.75857632933104635</c:v>
                </c:pt>
                <c:pt idx="149">
                  <c:v>0.87071183533447682</c:v>
                </c:pt>
                <c:pt idx="150">
                  <c:v>1.0898370497427101</c:v>
                </c:pt>
                <c:pt idx="151">
                  <c:v>1.0985205831903946</c:v>
                </c:pt>
                <c:pt idx="152">
                  <c:v>1.0558533447684391</c:v>
                </c:pt>
                <c:pt idx="153">
                  <c:v>1.0406303602058318</c:v>
                </c:pt>
                <c:pt idx="154">
                  <c:v>1</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EZCORP INC-A</c:v>
                </c:pt>
              </c:strCache>
            </c:strRef>
          </c:tx>
          <c:spPr>
            <a:ln w="28575" cap="rnd">
              <a:solidFill>
                <a:schemeClr val="accent3">
                  <a:lumMod val="60000"/>
                </a:schemeClr>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Data'!$AJ$5:$AJ$159</c:f>
              <c:numCache>
                <c:formatCode>General</c:formatCode>
                <c:ptCount val="155"/>
                <c:pt idx="0">
                  <c:v>2.1270236612702367</c:v>
                </c:pt>
                <c:pt idx="1">
                  <c:v>2.0199252801992529</c:v>
                </c:pt>
                <c:pt idx="2">
                  <c:v>2.0199252801992529</c:v>
                </c:pt>
                <c:pt idx="3">
                  <c:v>1.9887920298879205</c:v>
                </c:pt>
                <c:pt idx="4">
                  <c:v>1.9427148194271484</c:v>
                </c:pt>
                <c:pt idx="5">
                  <c:v>1.8356164383561646</c:v>
                </c:pt>
                <c:pt idx="6">
                  <c:v>1.6575342465753427</c:v>
                </c:pt>
                <c:pt idx="7">
                  <c:v>1.7310087173100874</c:v>
                </c:pt>
                <c:pt idx="8">
                  <c:v>1.7683686176836861</c:v>
                </c:pt>
                <c:pt idx="9">
                  <c:v>1.7484433374844335</c:v>
                </c:pt>
                <c:pt idx="10">
                  <c:v>1.7285180572851808</c:v>
                </c:pt>
                <c:pt idx="11">
                  <c:v>1.6413449564134497</c:v>
                </c:pt>
                <c:pt idx="12">
                  <c:v>1.658779576587796</c:v>
                </c:pt>
                <c:pt idx="13">
                  <c:v>1.7073474470734746</c:v>
                </c:pt>
                <c:pt idx="14">
                  <c:v>1.6500622665006228</c:v>
                </c:pt>
                <c:pt idx="15">
                  <c:v>1.7310087173100874</c:v>
                </c:pt>
                <c:pt idx="16">
                  <c:v>1.7310087173100874</c:v>
                </c:pt>
                <c:pt idx="17">
                  <c:v>1.816936488169365</c:v>
                </c:pt>
                <c:pt idx="18">
                  <c:v>1.9302615193026154</c:v>
                </c:pt>
                <c:pt idx="19">
                  <c:v>2.0298879202988793</c:v>
                </c:pt>
                <c:pt idx="20">
                  <c:v>1.9626400996264011</c:v>
                </c:pt>
                <c:pt idx="21">
                  <c:v>1.9414694894146951</c:v>
                </c:pt>
                <c:pt idx="22">
                  <c:v>1.9302615193026154</c:v>
                </c:pt>
                <c:pt idx="23">
                  <c:v>1.833125778331258</c:v>
                </c:pt>
                <c:pt idx="24">
                  <c:v>1.8542963885429642</c:v>
                </c:pt>
                <c:pt idx="25">
                  <c:v>1.7198007471980077</c:v>
                </c:pt>
                <c:pt idx="26">
                  <c:v>1.6413449564134497</c:v>
                </c:pt>
                <c:pt idx="27">
                  <c:v>1.6861768368617684</c:v>
                </c:pt>
                <c:pt idx="28">
                  <c:v>1.6687422166874224</c:v>
                </c:pt>
                <c:pt idx="29">
                  <c:v>1.6699875466998757</c:v>
                </c:pt>
                <c:pt idx="30">
                  <c:v>1.6699875466998757</c:v>
                </c:pt>
                <c:pt idx="31">
                  <c:v>1.4856787048567872</c:v>
                </c:pt>
                <c:pt idx="32">
                  <c:v>1.5392278953922791</c:v>
                </c:pt>
                <c:pt idx="33">
                  <c:v>1.5155666251556663</c:v>
                </c:pt>
                <c:pt idx="34">
                  <c:v>1.5155666251556663</c:v>
                </c:pt>
                <c:pt idx="35">
                  <c:v>1.5068493150684932</c:v>
                </c:pt>
                <c:pt idx="36">
                  <c:v>1.5267745952677461</c:v>
                </c:pt>
                <c:pt idx="37">
                  <c:v>1.4620174346201744</c:v>
                </c:pt>
                <c:pt idx="38">
                  <c:v>1.493150684931507</c:v>
                </c:pt>
                <c:pt idx="39">
                  <c:v>1.5080946450809465</c:v>
                </c:pt>
                <c:pt idx="40">
                  <c:v>1.5753424657534247</c:v>
                </c:pt>
                <c:pt idx="41">
                  <c:v>1.5716064757160648</c:v>
                </c:pt>
                <c:pt idx="42">
                  <c:v>1.5018679950186802</c:v>
                </c:pt>
                <c:pt idx="43">
                  <c:v>1.4657534246575343</c:v>
                </c:pt>
                <c:pt idx="44">
                  <c:v>1.435865504358655</c:v>
                </c:pt>
                <c:pt idx="45">
                  <c:v>1.4782067247820672</c:v>
                </c:pt>
                <c:pt idx="46">
                  <c:v>1.430884184308842</c:v>
                </c:pt>
                <c:pt idx="47">
                  <c:v>1.402241594022416</c:v>
                </c:pt>
                <c:pt idx="48">
                  <c:v>1.4109589041095891</c:v>
                </c:pt>
                <c:pt idx="49">
                  <c:v>1.3960149439601497</c:v>
                </c:pt>
                <c:pt idx="50">
                  <c:v>1.3723536737235369</c:v>
                </c:pt>
                <c:pt idx="51">
                  <c:v>1.3449564134495644</c:v>
                </c:pt>
                <c:pt idx="52">
                  <c:v>1.3935242839352429</c:v>
                </c:pt>
                <c:pt idx="53">
                  <c:v>1.4694894146948942</c:v>
                </c:pt>
                <c:pt idx="54">
                  <c:v>1.4694894146948942</c:v>
                </c:pt>
                <c:pt idx="55">
                  <c:v>1.4943960149439603</c:v>
                </c:pt>
                <c:pt idx="56">
                  <c:v>1.4296388542963887</c:v>
                </c:pt>
                <c:pt idx="57">
                  <c:v>1.3872976338729766</c:v>
                </c:pt>
                <c:pt idx="58">
                  <c:v>1.2602739726027397</c:v>
                </c:pt>
                <c:pt idx="59">
                  <c:v>1.2577833125778333</c:v>
                </c:pt>
                <c:pt idx="60">
                  <c:v>1.2615193026151932</c:v>
                </c:pt>
                <c:pt idx="61">
                  <c:v>1.2440846824408469</c:v>
                </c:pt>
                <c:pt idx="62">
                  <c:v>1.2876712328767124</c:v>
                </c:pt>
                <c:pt idx="63">
                  <c:v>1.2789539227895392</c:v>
                </c:pt>
                <c:pt idx="64">
                  <c:v>1.2714819427148196</c:v>
                </c:pt>
                <c:pt idx="65">
                  <c:v>1.2789539227895392</c:v>
                </c:pt>
                <c:pt idx="66">
                  <c:v>1.2851805728518058</c:v>
                </c:pt>
                <c:pt idx="67">
                  <c:v>1.2465753424657535</c:v>
                </c:pt>
                <c:pt idx="68">
                  <c:v>1.2465753424657535</c:v>
                </c:pt>
                <c:pt idx="69">
                  <c:v>1.2839352428393527</c:v>
                </c:pt>
                <c:pt idx="70">
                  <c:v>1.2851805728518058</c:v>
                </c:pt>
                <c:pt idx="71">
                  <c:v>1.3922789539227896</c:v>
                </c:pt>
                <c:pt idx="72">
                  <c:v>1.3897882938978832</c:v>
                </c:pt>
                <c:pt idx="73">
                  <c:v>1.3474470734744708</c:v>
                </c:pt>
                <c:pt idx="74">
                  <c:v>1.3486924034869241</c:v>
                </c:pt>
                <c:pt idx="75">
                  <c:v>1.3835616438356164</c:v>
                </c:pt>
                <c:pt idx="76">
                  <c:v>1.3424657534246576</c:v>
                </c:pt>
                <c:pt idx="77">
                  <c:v>1.2814445828144458</c:v>
                </c:pt>
                <c:pt idx="78">
                  <c:v>1.318804483188045</c:v>
                </c:pt>
                <c:pt idx="79">
                  <c:v>1.2789539227895392</c:v>
                </c:pt>
                <c:pt idx="80">
                  <c:v>1.3138231631382318</c:v>
                </c:pt>
                <c:pt idx="81">
                  <c:v>1.3013698630136987</c:v>
                </c:pt>
                <c:pt idx="82">
                  <c:v>1.3013698630136987</c:v>
                </c:pt>
                <c:pt idx="83">
                  <c:v>1.2839352428393527</c:v>
                </c:pt>
                <c:pt idx="84">
                  <c:v>1.0933997509339974</c:v>
                </c:pt>
                <c:pt idx="85">
                  <c:v>1.0772104607721047</c:v>
                </c:pt>
                <c:pt idx="86">
                  <c:v>1.0759651307596514</c:v>
                </c:pt>
                <c:pt idx="87">
                  <c:v>1.0759651307596514</c:v>
                </c:pt>
                <c:pt idx="88">
                  <c:v>1.1008717310087173</c:v>
                </c:pt>
                <c:pt idx="89">
                  <c:v>1.1008717310087173</c:v>
                </c:pt>
                <c:pt idx="90">
                  <c:v>1.1008717310087173</c:v>
                </c:pt>
                <c:pt idx="91">
                  <c:v>1.0797011207970113</c:v>
                </c:pt>
                <c:pt idx="92">
                  <c:v>1.0909090909090911</c:v>
                </c:pt>
                <c:pt idx="93">
                  <c:v>1.0099626400996264</c:v>
                </c:pt>
                <c:pt idx="94">
                  <c:v>1.044831880448319</c:v>
                </c:pt>
                <c:pt idx="95">
                  <c:v>1.0273972602739727</c:v>
                </c:pt>
                <c:pt idx="96">
                  <c:v>1.0585305105853051</c:v>
                </c:pt>
                <c:pt idx="97">
                  <c:v>1.0136986301369864</c:v>
                </c:pt>
                <c:pt idx="98">
                  <c:v>0.98879202988792048</c:v>
                </c:pt>
                <c:pt idx="99">
                  <c:v>0.99875466998754669</c:v>
                </c:pt>
                <c:pt idx="100">
                  <c:v>1.0373599003735992</c:v>
                </c:pt>
                <c:pt idx="101">
                  <c:v>1.0348692403486925</c:v>
                </c:pt>
                <c:pt idx="102">
                  <c:v>0.97633872976338731</c:v>
                </c:pt>
                <c:pt idx="103">
                  <c:v>0.98132004981320053</c:v>
                </c:pt>
                <c:pt idx="104">
                  <c:v>1.0112079701120797</c:v>
                </c:pt>
                <c:pt idx="105">
                  <c:v>1.083437110834371</c:v>
                </c:pt>
                <c:pt idx="106">
                  <c:v>1.083437110834371</c:v>
                </c:pt>
                <c:pt idx="107">
                  <c:v>1.0647571606475719</c:v>
                </c:pt>
                <c:pt idx="108">
                  <c:v>1.1008717310087173</c:v>
                </c:pt>
                <c:pt idx="109">
                  <c:v>1.1594022415940226</c:v>
                </c:pt>
                <c:pt idx="110">
                  <c:v>1.12826899128269</c:v>
                </c:pt>
                <c:pt idx="111">
                  <c:v>1.1618929016189292</c:v>
                </c:pt>
                <c:pt idx="112">
                  <c:v>1.0933997509339974</c:v>
                </c:pt>
                <c:pt idx="113">
                  <c:v>1.0809464508094646</c:v>
                </c:pt>
                <c:pt idx="114">
                  <c:v>1.0410958904109588</c:v>
                </c:pt>
                <c:pt idx="115">
                  <c:v>1.0273972602739727</c:v>
                </c:pt>
                <c:pt idx="116">
                  <c:v>1.078455790784558</c:v>
                </c:pt>
                <c:pt idx="117">
                  <c:v>1.078455790784558</c:v>
                </c:pt>
                <c:pt idx="118">
                  <c:v>1.0410958904109588</c:v>
                </c:pt>
                <c:pt idx="119">
                  <c:v>1.0909090909090911</c:v>
                </c:pt>
                <c:pt idx="120">
                  <c:v>1.0909090909090911</c:v>
                </c:pt>
                <c:pt idx="121">
                  <c:v>1.0896637608966377</c:v>
                </c:pt>
                <c:pt idx="122">
                  <c:v>1.1220423412204235</c:v>
                </c:pt>
                <c:pt idx="123">
                  <c:v>1.0933997509339974</c:v>
                </c:pt>
                <c:pt idx="124">
                  <c:v>1.0859277708592778</c:v>
                </c:pt>
                <c:pt idx="125">
                  <c:v>1.1220423412204235</c:v>
                </c:pt>
                <c:pt idx="126">
                  <c:v>1.0946450809464507</c:v>
                </c:pt>
                <c:pt idx="127">
                  <c:v>1.0635118306351183</c:v>
                </c:pt>
                <c:pt idx="128">
                  <c:v>1.0610211706102117</c:v>
                </c:pt>
                <c:pt idx="129">
                  <c:v>1.0224159402241595</c:v>
                </c:pt>
                <c:pt idx="130">
                  <c:v>1.0323785803237857</c:v>
                </c:pt>
                <c:pt idx="131">
                  <c:v>1.1058530510585307</c:v>
                </c:pt>
                <c:pt idx="132">
                  <c:v>1.1046077210460772</c:v>
                </c:pt>
                <c:pt idx="133">
                  <c:v>1.1544209215442092</c:v>
                </c:pt>
                <c:pt idx="134">
                  <c:v>1.1544209215442092</c:v>
                </c:pt>
                <c:pt idx="135">
                  <c:v>1.1594022415940226</c:v>
                </c:pt>
                <c:pt idx="136">
                  <c:v>1.1046077210460772</c:v>
                </c:pt>
                <c:pt idx="137">
                  <c:v>1.1295143212951433</c:v>
                </c:pt>
                <c:pt idx="138">
                  <c:v>1.0983810709838109</c:v>
                </c:pt>
                <c:pt idx="139">
                  <c:v>1.0983810709838109</c:v>
                </c:pt>
                <c:pt idx="140">
                  <c:v>1.0585305105853051</c:v>
                </c:pt>
                <c:pt idx="141">
                  <c:v>1.0585305105853051</c:v>
                </c:pt>
                <c:pt idx="142">
                  <c:v>1.0585305105853051</c:v>
                </c:pt>
                <c:pt idx="143">
                  <c:v>1.0423412204234122</c:v>
                </c:pt>
                <c:pt idx="144">
                  <c:v>1.2889165628891657</c:v>
                </c:pt>
                <c:pt idx="145">
                  <c:v>1.2503113325031132</c:v>
                </c:pt>
                <c:pt idx="146">
                  <c:v>1.2353673723536738</c:v>
                </c:pt>
                <c:pt idx="147">
                  <c:v>1.2204234122042343</c:v>
                </c:pt>
                <c:pt idx="148">
                  <c:v>1.1581569115815693</c:v>
                </c:pt>
                <c:pt idx="149">
                  <c:v>1.2029887920298881</c:v>
                </c:pt>
                <c:pt idx="150">
                  <c:v>1.0697384806973849</c:v>
                </c:pt>
                <c:pt idx="151">
                  <c:v>1.016189290161893</c:v>
                </c:pt>
                <c:pt idx="152">
                  <c:v>0.9701120797011209</c:v>
                </c:pt>
                <c:pt idx="153">
                  <c:v>0.98505603985056045</c:v>
                </c:pt>
                <c:pt idx="154">
                  <c:v>1</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ONEMAIN HOLDINGS</c:v>
                </c:pt>
              </c:strCache>
            </c:strRef>
          </c:tx>
          <c:spPr>
            <a:ln w="28575" cap="rnd">
              <a:solidFill>
                <a:schemeClr val="accent5">
                  <a:lumMod val="60000"/>
                </a:schemeClr>
              </a:solidFill>
              <a:round/>
            </a:ln>
            <a:effectLst/>
          </c:spPr>
          <c:marker>
            <c:symbol val="none"/>
          </c:marker>
          <c:cat>
            <c:numRef>
              <c:f>'Stock Data'!$Q$5:$Q$159</c:f>
              <c:numCache>
                <c:formatCode>m/d/yy</c:formatCode>
                <c:ptCount val="155"/>
                <c:pt idx="0">
                  <c:v>45908</c:v>
                </c:pt>
                <c:pt idx="1">
                  <c:v>45901</c:v>
                </c:pt>
                <c:pt idx="2">
                  <c:v>45894</c:v>
                </c:pt>
                <c:pt idx="3">
                  <c:v>45887</c:v>
                </c:pt>
                <c:pt idx="4">
                  <c:v>45880</c:v>
                </c:pt>
                <c:pt idx="5">
                  <c:v>45873</c:v>
                </c:pt>
                <c:pt idx="6">
                  <c:v>45866</c:v>
                </c:pt>
                <c:pt idx="7">
                  <c:v>45859</c:v>
                </c:pt>
                <c:pt idx="8">
                  <c:v>45852</c:v>
                </c:pt>
                <c:pt idx="9">
                  <c:v>45845</c:v>
                </c:pt>
                <c:pt idx="10">
                  <c:v>45838</c:v>
                </c:pt>
                <c:pt idx="11">
                  <c:v>45831</c:v>
                </c:pt>
                <c:pt idx="12">
                  <c:v>45824</c:v>
                </c:pt>
                <c:pt idx="13">
                  <c:v>45817</c:v>
                </c:pt>
                <c:pt idx="14">
                  <c:v>45810</c:v>
                </c:pt>
                <c:pt idx="15">
                  <c:v>45803</c:v>
                </c:pt>
                <c:pt idx="16">
                  <c:v>45796</c:v>
                </c:pt>
                <c:pt idx="17">
                  <c:v>45789</c:v>
                </c:pt>
                <c:pt idx="18">
                  <c:v>45782</c:v>
                </c:pt>
                <c:pt idx="19">
                  <c:v>45775</c:v>
                </c:pt>
                <c:pt idx="20">
                  <c:v>45768</c:v>
                </c:pt>
                <c:pt idx="21">
                  <c:v>45761</c:v>
                </c:pt>
                <c:pt idx="22">
                  <c:v>45754</c:v>
                </c:pt>
                <c:pt idx="23">
                  <c:v>45747</c:v>
                </c:pt>
                <c:pt idx="24">
                  <c:v>45740</c:v>
                </c:pt>
                <c:pt idx="25">
                  <c:v>45733</c:v>
                </c:pt>
                <c:pt idx="26">
                  <c:v>45726</c:v>
                </c:pt>
                <c:pt idx="27">
                  <c:v>45719</c:v>
                </c:pt>
                <c:pt idx="28">
                  <c:v>45712</c:v>
                </c:pt>
                <c:pt idx="29">
                  <c:v>45705</c:v>
                </c:pt>
                <c:pt idx="30">
                  <c:v>45698</c:v>
                </c:pt>
                <c:pt idx="31">
                  <c:v>45691</c:v>
                </c:pt>
                <c:pt idx="32">
                  <c:v>45684</c:v>
                </c:pt>
                <c:pt idx="33">
                  <c:v>45677</c:v>
                </c:pt>
                <c:pt idx="34">
                  <c:v>45670</c:v>
                </c:pt>
                <c:pt idx="35">
                  <c:v>45663</c:v>
                </c:pt>
                <c:pt idx="36">
                  <c:v>45656</c:v>
                </c:pt>
                <c:pt idx="37">
                  <c:v>45649</c:v>
                </c:pt>
                <c:pt idx="38">
                  <c:v>45642</c:v>
                </c:pt>
                <c:pt idx="39">
                  <c:v>45635</c:v>
                </c:pt>
                <c:pt idx="40">
                  <c:v>45628</c:v>
                </c:pt>
                <c:pt idx="41">
                  <c:v>45621</c:v>
                </c:pt>
                <c:pt idx="42">
                  <c:v>45614</c:v>
                </c:pt>
                <c:pt idx="43">
                  <c:v>45607</c:v>
                </c:pt>
                <c:pt idx="44">
                  <c:v>45600</c:v>
                </c:pt>
                <c:pt idx="45">
                  <c:v>45593</c:v>
                </c:pt>
                <c:pt idx="46">
                  <c:v>45586</c:v>
                </c:pt>
                <c:pt idx="47">
                  <c:v>45579</c:v>
                </c:pt>
                <c:pt idx="48">
                  <c:v>45572</c:v>
                </c:pt>
                <c:pt idx="49">
                  <c:v>45565</c:v>
                </c:pt>
                <c:pt idx="50">
                  <c:v>45558</c:v>
                </c:pt>
                <c:pt idx="51">
                  <c:v>45551</c:v>
                </c:pt>
                <c:pt idx="52">
                  <c:v>45544</c:v>
                </c:pt>
                <c:pt idx="53">
                  <c:v>45537</c:v>
                </c:pt>
                <c:pt idx="54">
                  <c:v>45530</c:v>
                </c:pt>
                <c:pt idx="55">
                  <c:v>45523</c:v>
                </c:pt>
                <c:pt idx="56">
                  <c:v>45516</c:v>
                </c:pt>
                <c:pt idx="57">
                  <c:v>45509</c:v>
                </c:pt>
                <c:pt idx="58">
                  <c:v>45502</c:v>
                </c:pt>
                <c:pt idx="59">
                  <c:v>45495</c:v>
                </c:pt>
                <c:pt idx="60">
                  <c:v>45488</c:v>
                </c:pt>
                <c:pt idx="61">
                  <c:v>45481</c:v>
                </c:pt>
                <c:pt idx="62">
                  <c:v>45474</c:v>
                </c:pt>
                <c:pt idx="63">
                  <c:v>45467</c:v>
                </c:pt>
                <c:pt idx="64">
                  <c:v>45460</c:v>
                </c:pt>
                <c:pt idx="65">
                  <c:v>45453</c:v>
                </c:pt>
                <c:pt idx="66">
                  <c:v>45446</c:v>
                </c:pt>
                <c:pt idx="67">
                  <c:v>45439</c:v>
                </c:pt>
                <c:pt idx="68">
                  <c:v>45432</c:v>
                </c:pt>
                <c:pt idx="69">
                  <c:v>45425</c:v>
                </c:pt>
                <c:pt idx="70">
                  <c:v>45418</c:v>
                </c:pt>
                <c:pt idx="71">
                  <c:v>45411</c:v>
                </c:pt>
                <c:pt idx="72">
                  <c:v>45404</c:v>
                </c:pt>
                <c:pt idx="73">
                  <c:v>45397</c:v>
                </c:pt>
                <c:pt idx="74">
                  <c:v>45390</c:v>
                </c:pt>
                <c:pt idx="75">
                  <c:v>45383</c:v>
                </c:pt>
                <c:pt idx="76">
                  <c:v>45376</c:v>
                </c:pt>
                <c:pt idx="77">
                  <c:v>45369</c:v>
                </c:pt>
                <c:pt idx="78">
                  <c:v>45362</c:v>
                </c:pt>
                <c:pt idx="79">
                  <c:v>45355</c:v>
                </c:pt>
                <c:pt idx="80">
                  <c:v>45348</c:v>
                </c:pt>
                <c:pt idx="81">
                  <c:v>45341</c:v>
                </c:pt>
                <c:pt idx="82">
                  <c:v>45334</c:v>
                </c:pt>
                <c:pt idx="83">
                  <c:v>45327</c:v>
                </c:pt>
                <c:pt idx="84">
                  <c:v>45320</c:v>
                </c:pt>
                <c:pt idx="85">
                  <c:v>45313</c:v>
                </c:pt>
                <c:pt idx="86">
                  <c:v>45306</c:v>
                </c:pt>
                <c:pt idx="87">
                  <c:v>45299</c:v>
                </c:pt>
                <c:pt idx="88">
                  <c:v>45292</c:v>
                </c:pt>
                <c:pt idx="89">
                  <c:v>45285</c:v>
                </c:pt>
                <c:pt idx="90">
                  <c:v>45278</c:v>
                </c:pt>
                <c:pt idx="91">
                  <c:v>45271</c:v>
                </c:pt>
                <c:pt idx="92">
                  <c:v>45264</c:v>
                </c:pt>
                <c:pt idx="93">
                  <c:v>45257</c:v>
                </c:pt>
                <c:pt idx="94">
                  <c:v>45250</c:v>
                </c:pt>
                <c:pt idx="95">
                  <c:v>45243</c:v>
                </c:pt>
                <c:pt idx="96">
                  <c:v>45236</c:v>
                </c:pt>
                <c:pt idx="97">
                  <c:v>45229</c:v>
                </c:pt>
                <c:pt idx="98">
                  <c:v>45222</c:v>
                </c:pt>
                <c:pt idx="99">
                  <c:v>45215</c:v>
                </c:pt>
                <c:pt idx="100">
                  <c:v>45208</c:v>
                </c:pt>
                <c:pt idx="101">
                  <c:v>45201</c:v>
                </c:pt>
                <c:pt idx="102">
                  <c:v>45194</c:v>
                </c:pt>
                <c:pt idx="103">
                  <c:v>45187</c:v>
                </c:pt>
                <c:pt idx="104">
                  <c:v>45180</c:v>
                </c:pt>
                <c:pt idx="105">
                  <c:v>45173</c:v>
                </c:pt>
                <c:pt idx="106">
                  <c:v>45166</c:v>
                </c:pt>
                <c:pt idx="107">
                  <c:v>45159</c:v>
                </c:pt>
                <c:pt idx="108">
                  <c:v>45152</c:v>
                </c:pt>
                <c:pt idx="109">
                  <c:v>45145</c:v>
                </c:pt>
                <c:pt idx="110">
                  <c:v>45138</c:v>
                </c:pt>
                <c:pt idx="111">
                  <c:v>45131</c:v>
                </c:pt>
                <c:pt idx="112">
                  <c:v>45124</c:v>
                </c:pt>
                <c:pt idx="113">
                  <c:v>45117</c:v>
                </c:pt>
                <c:pt idx="114">
                  <c:v>45110</c:v>
                </c:pt>
                <c:pt idx="115">
                  <c:v>45103</c:v>
                </c:pt>
                <c:pt idx="116">
                  <c:v>45096</c:v>
                </c:pt>
                <c:pt idx="117">
                  <c:v>45089</c:v>
                </c:pt>
                <c:pt idx="118">
                  <c:v>45082</c:v>
                </c:pt>
                <c:pt idx="119">
                  <c:v>45075</c:v>
                </c:pt>
                <c:pt idx="120">
                  <c:v>45068</c:v>
                </c:pt>
                <c:pt idx="121">
                  <c:v>45061</c:v>
                </c:pt>
                <c:pt idx="122">
                  <c:v>45054</c:v>
                </c:pt>
                <c:pt idx="123">
                  <c:v>45047</c:v>
                </c:pt>
                <c:pt idx="124">
                  <c:v>45040</c:v>
                </c:pt>
                <c:pt idx="125">
                  <c:v>45033</c:v>
                </c:pt>
                <c:pt idx="126">
                  <c:v>45026</c:v>
                </c:pt>
                <c:pt idx="127">
                  <c:v>45019</c:v>
                </c:pt>
                <c:pt idx="128">
                  <c:v>45012</c:v>
                </c:pt>
                <c:pt idx="129">
                  <c:v>45005</c:v>
                </c:pt>
                <c:pt idx="130">
                  <c:v>44998</c:v>
                </c:pt>
                <c:pt idx="131">
                  <c:v>44991</c:v>
                </c:pt>
                <c:pt idx="132">
                  <c:v>44984</c:v>
                </c:pt>
                <c:pt idx="133">
                  <c:v>44977</c:v>
                </c:pt>
                <c:pt idx="134">
                  <c:v>44970</c:v>
                </c:pt>
                <c:pt idx="135">
                  <c:v>44963</c:v>
                </c:pt>
                <c:pt idx="136">
                  <c:v>44956</c:v>
                </c:pt>
                <c:pt idx="137">
                  <c:v>44949</c:v>
                </c:pt>
                <c:pt idx="138">
                  <c:v>44942</c:v>
                </c:pt>
                <c:pt idx="139">
                  <c:v>44935</c:v>
                </c:pt>
                <c:pt idx="140">
                  <c:v>44928</c:v>
                </c:pt>
                <c:pt idx="141">
                  <c:v>44921</c:v>
                </c:pt>
                <c:pt idx="142">
                  <c:v>44914</c:v>
                </c:pt>
                <c:pt idx="143">
                  <c:v>44907</c:v>
                </c:pt>
                <c:pt idx="144">
                  <c:v>44900</c:v>
                </c:pt>
                <c:pt idx="145">
                  <c:v>44893</c:v>
                </c:pt>
                <c:pt idx="146">
                  <c:v>44886</c:v>
                </c:pt>
                <c:pt idx="147">
                  <c:v>44879</c:v>
                </c:pt>
                <c:pt idx="148">
                  <c:v>44872</c:v>
                </c:pt>
                <c:pt idx="149">
                  <c:v>44865</c:v>
                </c:pt>
                <c:pt idx="150">
                  <c:v>44858</c:v>
                </c:pt>
                <c:pt idx="151">
                  <c:v>44851</c:v>
                </c:pt>
                <c:pt idx="152">
                  <c:v>44844</c:v>
                </c:pt>
                <c:pt idx="153">
                  <c:v>44837</c:v>
                </c:pt>
                <c:pt idx="154">
                  <c:v>44830</c:v>
                </c:pt>
              </c:numCache>
            </c:numRef>
          </c:cat>
          <c:val>
            <c:numRef>
              <c:f>'Stock Data'!$AK$5:$AK$159</c:f>
              <c:numCache>
                <c:formatCode>General</c:formatCode>
                <c:ptCount val="155"/>
                <c:pt idx="0">
                  <c:v>2.0927764464224583</c:v>
                </c:pt>
                <c:pt idx="1">
                  <c:v>2.0602533378979802</c:v>
                </c:pt>
                <c:pt idx="2">
                  <c:v>2.0602533378979802</c:v>
                </c:pt>
                <c:pt idx="3">
                  <c:v>1.9914412872304006</c:v>
                </c:pt>
                <c:pt idx="4">
                  <c:v>1.9048271140020541</c:v>
                </c:pt>
                <c:pt idx="5">
                  <c:v>1.9116740842177338</c:v>
                </c:pt>
                <c:pt idx="6">
                  <c:v>2.0263608353303662</c:v>
                </c:pt>
                <c:pt idx="7">
                  <c:v>1.9565217391304346</c:v>
                </c:pt>
                <c:pt idx="8">
                  <c:v>2.0143786374529271</c:v>
                </c:pt>
                <c:pt idx="9">
                  <c:v>2.0325231085244777</c:v>
                </c:pt>
                <c:pt idx="10">
                  <c:v>1.951386511468675</c:v>
                </c:pt>
                <c:pt idx="11">
                  <c:v>1.8497090037658337</c:v>
                </c:pt>
                <c:pt idx="12">
                  <c:v>1.8103389250256763</c:v>
                </c:pt>
                <c:pt idx="13">
                  <c:v>1.809996576514892</c:v>
                </c:pt>
                <c:pt idx="14">
                  <c:v>1.764464224580623</c:v>
                </c:pt>
                <c:pt idx="15">
                  <c:v>1.7713111947963027</c:v>
                </c:pt>
                <c:pt idx="16">
                  <c:v>1.7713111947963027</c:v>
                </c:pt>
                <c:pt idx="17">
                  <c:v>1.7733652858610063</c:v>
                </c:pt>
                <c:pt idx="18">
                  <c:v>1.6747689147552207</c:v>
                </c:pt>
                <c:pt idx="19">
                  <c:v>1.6826429305032522</c:v>
                </c:pt>
                <c:pt idx="20">
                  <c:v>1.4943512495720643</c:v>
                </c:pt>
                <c:pt idx="21">
                  <c:v>1.5111263266004793</c:v>
                </c:pt>
                <c:pt idx="22">
                  <c:v>1.4221157137966449</c:v>
                </c:pt>
                <c:pt idx="23">
                  <c:v>1.6733995207120849</c:v>
                </c:pt>
                <c:pt idx="24">
                  <c:v>1.809996576514892</c:v>
                </c:pt>
                <c:pt idx="25">
                  <c:v>1.6634714138993496</c:v>
                </c:pt>
                <c:pt idx="26">
                  <c:v>1.595344060253338</c:v>
                </c:pt>
                <c:pt idx="27">
                  <c:v>1.7788428620335501</c:v>
                </c:pt>
                <c:pt idx="28">
                  <c:v>1.8158165011982197</c:v>
                </c:pt>
                <c:pt idx="29">
                  <c:v>1.9096199931530298</c:v>
                </c:pt>
                <c:pt idx="30">
                  <c:v>1.9096199931530298</c:v>
                </c:pt>
                <c:pt idx="31">
                  <c:v>1.8675111263266004</c:v>
                </c:pt>
                <c:pt idx="32">
                  <c:v>1.9726121191372816</c:v>
                </c:pt>
                <c:pt idx="33">
                  <c:v>1.8000684697021567</c:v>
                </c:pt>
                <c:pt idx="34">
                  <c:v>1.8000684697021567</c:v>
                </c:pt>
                <c:pt idx="35">
                  <c:v>1.8209517288599792</c:v>
                </c:pt>
                <c:pt idx="36">
                  <c:v>1.7884286203355015</c:v>
                </c:pt>
                <c:pt idx="37">
                  <c:v>1.7785005135227663</c:v>
                </c:pt>
                <c:pt idx="38">
                  <c:v>1.9079082505991096</c:v>
                </c:pt>
                <c:pt idx="39">
                  <c:v>1.9010612803834304</c:v>
                </c:pt>
                <c:pt idx="40">
                  <c:v>1.9548099965765149</c:v>
                </c:pt>
                <c:pt idx="41">
                  <c:v>1.9650804519000342</c:v>
                </c:pt>
                <c:pt idx="42">
                  <c:v>1.8846285518657993</c:v>
                </c:pt>
                <c:pt idx="43">
                  <c:v>1.9106470386853818</c:v>
                </c:pt>
                <c:pt idx="44">
                  <c:v>1.7161930845600821</c:v>
                </c:pt>
                <c:pt idx="45">
                  <c:v>1.6466963368709346</c:v>
                </c:pt>
                <c:pt idx="46">
                  <c:v>1.5956864087641218</c:v>
                </c:pt>
                <c:pt idx="47">
                  <c:v>1.5867853474837383</c:v>
                </c:pt>
                <c:pt idx="48">
                  <c:v>1.6086956521739131</c:v>
                </c:pt>
                <c:pt idx="49">
                  <c:v>1.6114344402601848</c:v>
                </c:pt>
                <c:pt idx="50">
                  <c:v>1.6545703526189659</c:v>
                </c:pt>
                <c:pt idx="51">
                  <c:v>1.6097226977062651</c:v>
                </c:pt>
                <c:pt idx="52">
                  <c:v>1.5049640534063677</c:v>
                </c:pt>
                <c:pt idx="53">
                  <c:v>1.6733995207120849</c:v>
                </c:pt>
                <c:pt idx="54">
                  <c:v>1.6733995207120849</c:v>
                </c:pt>
                <c:pt idx="55">
                  <c:v>1.6217048955837041</c:v>
                </c:pt>
                <c:pt idx="56">
                  <c:v>1.5200273878808626</c:v>
                </c:pt>
                <c:pt idx="57">
                  <c:v>1.5190003423485106</c:v>
                </c:pt>
                <c:pt idx="58">
                  <c:v>1.7897980143786374</c:v>
                </c:pt>
                <c:pt idx="59">
                  <c:v>1.7610407394727832</c:v>
                </c:pt>
                <c:pt idx="60">
                  <c:v>1.7579596028757274</c:v>
                </c:pt>
                <c:pt idx="61">
                  <c:v>1.6340294419719272</c:v>
                </c:pt>
                <c:pt idx="62">
                  <c:v>1.6525162615542623</c:v>
                </c:pt>
                <c:pt idx="63">
                  <c:v>1.6977062649777475</c:v>
                </c:pt>
                <c:pt idx="64">
                  <c:v>1.6432728517630948</c:v>
                </c:pt>
                <c:pt idx="65">
                  <c:v>1.6792194453954123</c:v>
                </c:pt>
                <c:pt idx="66">
                  <c:v>1.6569667921944538</c:v>
                </c:pt>
                <c:pt idx="67">
                  <c:v>1.7031838411502909</c:v>
                </c:pt>
                <c:pt idx="68">
                  <c:v>1.7031838411502909</c:v>
                </c:pt>
                <c:pt idx="69">
                  <c:v>1.7363916466963367</c:v>
                </c:pt>
                <c:pt idx="70">
                  <c:v>1.778158165011982</c:v>
                </c:pt>
                <c:pt idx="71">
                  <c:v>1.7408421773365286</c:v>
                </c:pt>
                <c:pt idx="72">
                  <c:v>1.6829852790140361</c:v>
                </c:pt>
                <c:pt idx="73">
                  <c:v>1.6032180760013692</c:v>
                </c:pt>
                <c:pt idx="74">
                  <c:v>1.7021567956179389</c:v>
                </c:pt>
                <c:pt idx="75">
                  <c:v>1.7196165696679218</c:v>
                </c:pt>
                <c:pt idx="76">
                  <c:v>1.6963368709346114</c:v>
                </c:pt>
                <c:pt idx="77">
                  <c:v>1.6470386853817185</c:v>
                </c:pt>
                <c:pt idx="78">
                  <c:v>1.6518315645326942</c:v>
                </c:pt>
                <c:pt idx="79">
                  <c:v>1.6121191372817529</c:v>
                </c:pt>
                <c:pt idx="80">
                  <c:v>1.5795960287572748</c:v>
                </c:pt>
                <c:pt idx="81">
                  <c:v>1.5905511811023623</c:v>
                </c:pt>
                <c:pt idx="82">
                  <c:v>1.5905511811023623</c:v>
                </c:pt>
                <c:pt idx="83">
                  <c:v>1.6179390619650804</c:v>
                </c:pt>
                <c:pt idx="84">
                  <c:v>1.669976035604245</c:v>
                </c:pt>
                <c:pt idx="85">
                  <c:v>1.5833618623758987</c:v>
                </c:pt>
                <c:pt idx="86">
                  <c:v>1.6877781581650118</c:v>
                </c:pt>
                <c:pt idx="87">
                  <c:v>1.6877781581650118</c:v>
                </c:pt>
                <c:pt idx="88">
                  <c:v>1.6672372475179733</c:v>
                </c:pt>
                <c:pt idx="89">
                  <c:v>1.6672372475179733</c:v>
                </c:pt>
                <c:pt idx="90">
                  <c:v>1.6672372475179733</c:v>
                </c:pt>
                <c:pt idx="91">
                  <c:v>1.516946251283807</c:v>
                </c:pt>
                <c:pt idx="92">
                  <c:v>1.485107839780897</c:v>
                </c:pt>
                <c:pt idx="93">
                  <c:v>1.3495378295104417</c:v>
                </c:pt>
                <c:pt idx="94">
                  <c:v>1.3197535090722354</c:v>
                </c:pt>
                <c:pt idx="95">
                  <c:v>1.2707976720301266</c:v>
                </c:pt>
                <c:pt idx="96">
                  <c:v>1.297158507360493</c:v>
                </c:pt>
                <c:pt idx="97">
                  <c:v>1.2115713796644985</c:v>
                </c:pt>
                <c:pt idx="98">
                  <c:v>1.2564190345771997</c:v>
                </c:pt>
                <c:pt idx="99">
                  <c:v>1.3231769941800753</c:v>
                </c:pt>
                <c:pt idx="100">
                  <c:v>1.2916809311879491</c:v>
                </c:pt>
                <c:pt idx="101">
                  <c:v>1.3433755563163301</c:v>
                </c:pt>
                <c:pt idx="102">
                  <c:v>1.3557001027045532</c:v>
                </c:pt>
                <c:pt idx="103">
                  <c:v>1.3830879835672714</c:v>
                </c:pt>
                <c:pt idx="104">
                  <c:v>1.3642588154741526</c:v>
                </c:pt>
                <c:pt idx="105">
                  <c:v>1.376583361862376</c:v>
                </c:pt>
                <c:pt idx="106">
                  <c:v>1.376583361862376</c:v>
                </c:pt>
                <c:pt idx="107">
                  <c:v>1.3615200273878809</c:v>
                </c:pt>
                <c:pt idx="108">
                  <c:v>1.4508729887024991</c:v>
                </c:pt>
                <c:pt idx="109">
                  <c:v>1.5429647381033893</c:v>
                </c:pt>
                <c:pt idx="110">
                  <c:v>1.5570010270455321</c:v>
                </c:pt>
                <c:pt idx="111">
                  <c:v>1.656282095172886</c:v>
                </c:pt>
                <c:pt idx="112">
                  <c:v>1.6104073947278328</c:v>
                </c:pt>
                <c:pt idx="113">
                  <c:v>1.5285861006504622</c:v>
                </c:pt>
                <c:pt idx="114">
                  <c:v>1.5097569325573434</c:v>
                </c:pt>
                <c:pt idx="115">
                  <c:v>1.4337555631633003</c:v>
                </c:pt>
                <c:pt idx="116">
                  <c:v>1.4714138993495376</c:v>
                </c:pt>
                <c:pt idx="117">
                  <c:v>1.4714138993495376</c:v>
                </c:pt>
                <c:pt idx="118">
                  <c:v>1.4008901061280383</c:v>
                </c:pt>
                <c:pt idx="119">
                  <c:v>1.280383430332078</c:v>
                </c:pt>
                <c:pt idx="120">
                  <c:v>1.280383430332078</c:v>
                </c:pt>
                <c:pt idx="121">
                  <c:v>1.2420403971242726</c:v>
                </c:pt>
                <c:pt idx="122">
                  <c:v>1.2249229715850736</c:v>
                </c:pt>
                <c:pt idx="123">
                  <c:v>1.3320780554604585</c:v>
                </c:pt>
                <c:pt idx="124">
                  <c:v>1.3218076001369394</c:v>
                </c:pt>
                <c:pt idx="125">
                  <c:v>1.3026360835330364</c:v>
                </c:pt>
                <c:pt idx="126">
                  <c:v>1.2403286545703525</c:v>
                </c:pt>
                <c:pt idx="127">
                  <c:v>1.2636083533036631</c:v>
                </c:pt>
                <c:pt idx="128">
                  <c:v>1.2088325915782268</c:v>
                </c:pt>
                <c:pt idx="129">
                  <c:v>1.1804176651831564</c:v>
                </c:pt>
                <c:pt idx="130">
                  <c:v>1.2211571379664499</c:v>
                </c:pt>
                <c:pt idx="131">
                  <c:v>1.4628551865799382</c:v>
                </c:pt>
                <c:pt idx="132">
                  <c:v>1.4905854159534406</c:v>
                </c:pt>
                <c:pt idx="133">
                  <c:v>1.5696679219445395</c:v>
                </c:pt>
                <c:pt idx="134">
                  <c:v>1.5696679219445395</c:v>
                </c:pt>
                <c:pt idx="135">
                  <c:v>1.4484765491270113</c:v>
                </c:pt>
                <c:pt idx="136">
                  <c:v>1.4440260184868194</c:v>
                </c:pt>
                <c:pt idx="137">
                  <c:v>1.4197192742211571</c:v>
                </c:pt>
                <c:pt idx="138">
                  <c:v>1.2437521396781923</c:v>
                </c:pt>
                <c:pt idx="139">
                  <c:v>1.2437521396781923</c:v>
                </c:pt>
                <c:pt idx="140">
                  <c:v>1.1369394043135912</c:v>
                </c:pt>
                <c:pt idx="141">
                  <c:v>1.1369394043135912</c:v>
                </c:pt>
                <c:pt idx="142">
                  <c:v>1.1369394043135912</c:v>
                </c:pt>
                <c:pt idx="143">
                  <c:v>1.264293050325231</c:v>
                </c:pt>
                <c:pt idx="144">
                  <c:v>1.3135912358781239</c:v>
                </c:pt>
                <c:pt idx="145">
                  <c:v>1.2937350222526531</c:v>
                </c:pt>
                <c:pt idx="146">
                  <c:v>1.2827798699075659</c:v>
                </c:pt>
                <c:pt idx="147">
                  <c:v>1.3067442656624444</c:v>
                </c:pt>
                <c:pt idx="148">
                  <c:v>1.3156453269428277</c:v>
                </c:pt>
                <c:pt idx="149">
                  <c:v>1.3200958575830195</c:v>
                </c:pt>
                <c:pt idx="150">
                  <c:v>1.0571722013009244</c:v>
                </c:pt>
                <c:pt idx="151">
                  <c:v>1.1379664498459432</c:v>
                </c:pt>
                <c:pt idx="152">
                  <c:v>1.0725778842862033</c:v>
                </c:pt>
                <c:pt idx="153">
                  <c:v>1.0640191715166039</c:v>
                </c:pt>
                <c:pt idx="154">
                  <c:v>1</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1.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0.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23" Type="http://schemas.openxmlformats.org/officeDocument/2006/relationships/image" Target="../media/image3.png"/><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2.xml"/><Relationship Id="rId9" Type="http://schemas.openxmlformats.org/officeDocument/2006/relationships/hyperlink" Target="#Industry!A1"/><Relationship Id="rId14" Type="http://schemas.openxmlformats.org/officeDocument/2006/relationships/hyperlink" Target="#WACC!A1"/><Relationship Id="rId22"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image" Target="../media/image4.jpeg"/><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20" Type="http://schemas.openxmlformats.org/officeDocument/2006/relationships/image" Target="../media/image6.png"/><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19" Type="http://schemas.openxmlformats.org/officeDocument/2006/relationships/image" Target="../media/image5.png"/><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4.xml"/><Relationship Id="rId16" Type="http://schemas.openxmlformats.org/officeDocument/2006/relationships/hyperlink" Target="#BS!A1"/><Relationship Id="rId1" Type="http://schemas.openxmlformats.org/officeDocument/2006/relationships/chart" Target="../charts/chart13.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20" Type="http://schemas.openxmlformats.org/officeDocument/2006/relationships/image" Target="../media/image7.tmp"/><Relationship Id="rId1" Type="http://schemas.openxmlformats.org/officeDocument/2006/relationships/chart" Target="../charts/chart1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chart" Target="../charts/chart17.xml"/><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2.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9.xml"/><Relationship Id="rId16" Type="http://schemas.openxmlformats.org/officeDocument/2006/relationships/hyperlink" Target="#BS!A1"/><Relationship Id="rId1" Type="http://schemas.openxmlformats.org/officeDocument/2006/relationships/chart" Target="../charts/chart18.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Upside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15" name="Rounded Rectangle 14">
          <a:extLst>
            <a:ext uri="{FF2B5EF4-FFF2-40B4-BE49-F238E27FC236}">
              <a16:creationId xmlns:a16="http://schemas.microsoft.com/office/drawing/2014/main" id="{00000000-0008-0000-0000-00000F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96,0%</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19049</xdr:colOff>
      <xdr:row>11</xdr:row>
      <xdr:rowOff>171450</xdr:rowOff>
    </xdr:from>
    <xdr:to>
      <xdr:col>15</xdr:col>
      <xdr:colOff>866774</xdr:colOff>
      <xdr:row>33</xdr:row>
      <xdr:rowOff>47625</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 uri="{147F2762-F138-4A5C-976F-8EAC2B608ADB}">
              <a16:predDERef xmlns:a16="http://schemas.microsoft.com/office/drawing/2014/main" pred="{EF79F394-B769-4EE4-A0F8-95BECC6912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22</xdr:row>
      <xdr:rowOff>9525</xdr:rowOff>
    </xdr:from>
    <xdr:to>
      <xdr:col>19</xdr:col>
      <xdr:colOff>200025</xdr:colOff>
      <xdr:row>25</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18</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86177</xdr:colOff>
      <xdr:row>46</xdr:row>
      <xdr:rowOff>76651</xdr:rowOff>
    </xdr:from>
    <xdr:to>
      <xdr:col>5</xdr:col>
      <xdr:colOff>95061</xdr:colOff>
      <xdr:row>62</xdr:row>
      <xdr:rowOff>117835</xdr:rowOff>
    </xdr:to>
    <xdr:pic>
      <xdr:nvPicPr>
        <xdr:cNvPr id="5" name="Imagem 4">
          <a:extLst>
            <a:ext uri="{FF2B5EF4-FFF2-40B4-BE49-F238E27FC236}">
              <a16:creationId xmlns:a16="http://schemas.microsoft.com/office/drawing/2014/main" id="{0F3387C3-08FA-AC14-0E0E-632E829190A5}"/>
            </a:ext>
          </a:extLst>
        </xdr:cNvPr>
        <xdr:cNvPicPr>
          <a:picLocks noChangeAspect="1"/>
        </xdr:cNvPicPr>
      </xdr:nvPicPr>
      <xdr:blipFill>
        <a:blip xmlns:r="http://schemas.openxmlformats.org/officeDocument/2006/relationships" r:embed="rId22"/>
        <a:stretch>
          <a:fillRect/>
        </a:stretch>
      </xdr:blipFill>
      <xdr:spPr>
        <a:xfrm>
          <a:off x="86177" y="7814486"/>
          <a:ext cx="4516075" cy="3026339"/>
        </a:xfrm>
        <a:prstGeom prst="rect">
          <a:avLst/>
        </a:prstGeom>
      </xdr:spPr>
    </xdr:pic>
    <xdr:clientData/>
  </xdr:twoCellAnchor>
  <xdr:twoCellAnchor editAs="oneCell">
    <xdr:from>
      <xdr:col>11</xdr:col>
      <xdr:colOff>134471</xdr:colOff>
      <xdr:row>12</xdr:row>
      <xdr:rowOff>44823</xdr:rowOff>
    </xdr:from>
    <xdr:to>
      <xdr:col>19</xdr:col>
      <xdr:colOff>350902</xdr:colOff>
      <xdr:row>36</xdr:row>
      <xdr:rowOff>2561</xdr:rowOff>
    </xdr:to>
    <xdr:pic>
      <xdr:nvPicPr>
        <xdr:cNvPr id="6" name="Imagem 5">
          <a:extLst>
            <a:ext uri="{FF2B5EF4-FFF2-40B4-BE49-F238E27FC236}">
              <a16:creationId xmlns:a16="http://schemas.microsoft.com/office/drawing/2014/main" id="{731178A3-77A5-436E-88AE-CE9905DEBF10}"/>
            </a:ext>
          </a:extLst>
        </xdr:cNvPr>
        <xdr:cNvPicPr>
          <a:picLocks noChangeAspect="1"/>
        </xdr:cNvPicPr>
      </xdr:nvPicPr>
      <xdr:blipFill>
        <a:blip xmlns:r="http://schemas.openxmlformats.org/officeDocument/2006/relationships" r:embed="rId23"/>
        <a:stretch>
          <a:fillRect/>
        </a:stretch>
      </xdr:blipFill>
      <xdr:spPr>
        <a:xfrm>
          <a:off x="17716500" y="2028264"/>
          <a:ext cx="4890031" cy="41106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19050</xdr:colOff>
      <xdr:row>10</xdr:row>
      <xdr:rowOff>28575</xdr:rowOff>
    </xdr:from>
    <xdr:to>
      <xdr:col>56</xdr:col>
      <xdr:colOff>371475</xdr:colOff>
      <xdr:row>23</xdr:row>
      <xdr:rowOff>49530</xdr:rowOff>
    </xdr:to>
    <xdr:pic>
      <xdr:nvPicPr>
        <xdr:cNvPr id="4" name="Picture 1">
          <a:extLst>
            <a:ext uri="{FF2B5EF4-FFF2-40B4-BE49-F238E27FC236}">
              <a16:creationId xmlns:a16="http://schemas.microsoft.com/office/drawing/2014/main" id="{0EE51E2D-94E1-D153-B1EB-B729ED75211C}"/>
            </a:ext>
            <a:ext uri="{147F2762-F138-4A5C-976F-8EAC2B608ADB}">
              <a16:predDERef xmlns:a16="http://schemas.microsoft.com/office/drawing/2014/main" pred="{5C935EBB-8975-4ACE-95E5-F01198A12F4E}"/>
            </a:ext>
          </a:extLst>
        </xdr:cNvPr>
        <xdr:cNvPicPr>
          <a:picLocks noChangeAspect="1"/>
        </xdr:cNvPicPr>
      </xdr:nvPicPr>
      <xdr:blipFill>
        <a:blip xmlns:r="http://schemas.openxmlformats.org/officeDocument/2006/relationships" r:embed="rId18"/>
        <a:srcRect t="16944"/>
        <a:stretch>
          <a:fillRect/>
        </a:stretch>
      </xdr:blipFill>
      <xdr:spPr>
        <a:xfrm>
          <a:off x="12163425" y="1647825"/>
          <a:ext cx="3781425" cy="2352675"/>
        </a:xfrm>
        <a:prstGeom prst="rect">
          <a:avLst/>
        </a:prstGeom>
      </xdr:spPr>
    </xdr:pic>
    <xdr:clientData/>
  </xdr:twoCellAnchor>
  <xdr:twoCellAnchor editAs="oneCell">
    <xdr:from>
      <xdr:col>55</xdr:col>
      <xdr:colOff>561975</xdr:colOff>
      <xdr:row>20</xdr:row>
      <xdr:rowOff>85725</xdr:rowOff>
    </xdr:from>
    <xdr:to>
      <xdr:col>59</xdr:col>
      <xdr:colOff>171450</xdr:colOff>
      <xdr:row>29</xdr:row>
      <xdr:rowOff>155575</xdr:rowOff>
    </xdr:to>
    <xdr:pic>
      <xdr:nvPicPr>
        <xdr:cNvPr id="11" name="Picture 3">
          <a:extLst>
            <a:ext uri="{FF2B5EF4-FFF2-40B4-BE49-F238E27FC236}">
              <a16:creationId xmlns:a16="http://schemas.microsoft.com/office/drawing/2014/main" id="{4D6533C5-5424-6147-B6FF-46A3FE13A306}"/>
            </a:ext>
            <a:ext uri="{147F2762-F138-4A5C-976F-8EAC2B608ADB}">
              <a16:predDERef xmlns:a16="http://schemas.microsoft.com/office/drawing/2014/main" pred="{0EE51E2D-94E1-D153-B1EB-B729ED75211C}"/>
            </a:ext>
          </a:extLst>
        </xdr:cNvPr>
        <xdr:cNvPicPr>
          <a:picLocks noChangeAspect="1"/>
        </xdr:cNvPicPr>
      </xdr:nvPicPr>
      <xdr:blipFill>
        <a:blip xmlns:r="http://schemas.openxmlformats.org/officeDocument/2006/relationships" r:embed="rId19"/>
        <a:srcRect l="9000" t="23333" r="8667" b="24000"/>
        <a:stretch>
          <a:fillRect/>
        </a:stretch>
      </xdr:blipFill>
      <xdr:spPr>
        <a:xfrm>
          <a:off x="15449550" y="3467100"/>
          <a:ext cx="2352675" cy="1504950"/>
        </a:xfrm>
        <a:prstGeom prst="rect">
          <a:avLst/>
        </a:prstGeom>
      </xdr:spPr>
    </xdr:pic>
    <xdr:clientData/>
  </xdr:twoCellAnchor>
  <xdr:twoCellAnchor editAs="oneCell">
    <xdr:from>
      <xdr:col>51</xdr:col>
      <xdr:colOff>209550</xdr:colOff>
      <xdr:row>24</xdr:row>
      <xdr:rowOff>47625</xdr:rowOff>
    </xdr:from>
    <xdr:to>
      <xdr:col>55</xdr:col>
      <xdr:colOff>504825</xdr:colOff>
      <xdr:row>29</xdr:row>
      <xdr:rowOff>317500</xdr:rowOff>
    </xdr:to>
    <xdr:pic>
      <xdr:nvPicPr>
        <xdr:cNvPr id="20" name="Picture 1">
          <a:extLst>
            <a:ext uri="{FF2B5EF4-FFF2-40B4-BE49-F238E27FC236}">
              <a16:creationId xmlns:a16="http://schemas.microsoft.com/office/drawing/2014/main" id="{E3480707-7B7E-90D0-D553-C32F39831A3D}"/>
            </a:ext>
            <a:ext uri="{147F2762-F138-4A5C-976F-8EAC2B608ADB}">
              <a16:predDERef xmlns:a16="http://schemas.microsoft.com/office/drawing/2014/main" pred="{4D6533C5-5424-6147-B6FF-46A3FE13A306}"/>
            </a:ext>
          </a:extLst>
        </xdr:cNvPr>
        <xdr:cNvPicPr>
          <a:picLocks noChangeAspect="1"/>
        </xdr:cNvPicPr>
      </xdr:nvPicPr>
      <xdr:blipFill>
        <a:blip xmlns:r="http://schemas.openxmlformats.org/officeDocument/2006/relationships" r:embed="rId20"/>
        <a:stretch>
          <a:fillRect/>
        </a:stretch>
      </xdr:blipFill>
      <xdr:spPr>
        <a:xfrm>
          <a:off x="12353925" y="4191000"/>
          <a:ext cx="3038475" cy="9429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258857" cy="745435"/>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40</xdr:row>
      <xdr:rowOff>0</xdr:rowOff>
    </xdr:from>
    <xdr:to>
      <xdr:col>38</xdr:col>
      <xdr:colOff>161691</xdr:colOff>
      <xdr:row>58</xdr:row>
      <xdr:rowOff>127526</xdr:rowOff>
    </xdr:to>
    <xdr:graphicFrame macro="">
      <xdr:nvGraphicFramePr>
        <xdr:cNvPr id="2" name="Chart 3">
          <a:extLst>
            <a:ext uri="{FF2B5EF4-FFF2-40B4-BE49-F238E27FC236}">
              <a16:creationId xmlns:a16="http://schemas.microsoft.com/office/drawing/2014/main" id="{F8A168FC-F925-474F-841E-6B997CCEE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xdr:col>
      <xdr:colOff>314325</xdr:colOff>
      <xdr:row>12</xdr:row>
      <xdr:rowOff>38100</xdr:rowOff>
    </xdr:from>
    <xdr:to>
      <xdr:col>14</xdr:col>
      <xdr:colOff>161925</xdr:colOff>
      <xdr:row>37</xdr:row>
      <xdr:rowOff>142875</xdr:rowOff>
    </xdr:to>
    <xdr:pic>
      <xdr:nvPicPr>
        <xdr:cNvPr id="3" name="Imagem 2" descr="Uma imagem com texto, diagrama, Gráfico, captura de ecrã&#10;&#10;Os conteúdos gerados por IA poderão estar incorretos.">
          <a:extLst>
            <a:ext uri="{FF2B5EF4-FFF2-40B4-BE49-F238E27FC236}">
              <a16:creationId xmlns:a16="http://schemas.microsoft.com/office/drawing/2014/main" id="{6692AD84-2A0C-1E82-2667-222B8052E715}"/>
            </a:ext>
            <a:ext uri="{147F2762-F138-4A5C-976F-8EAC2B608ADB}">
              <a16:predDERef xmlns:a16="http://schemas.microsoft.com/office/drawing/2014/main" pred="{F8A168FC-F925-474F-841E-6B997CCEE2F3}"/>
            </a:ext>
          </a:extLst>
        </xdr:cNvPr>
        <xdr:cNvPicPr>
          <a:picLocks noChangeAspect="1"/>
        </xdr:cNvPicPr>
      </xdr:nvPicPr>
      <xdr:blipFill>
        <a:blip xmlns:r="http://schemas.openxmlformats.org/officeDocument/2006/relationships" r:embed="rId20"/>
        <a:stretch>
          <a:fillRect/>
        </a:stretch>
      </xdr:blipFill>
      <xdr:spPr>
        <a:xfrm>
          <a:off x="1162050" y="2038350"/>
          <a:ext cx="8124825" cy="48672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mailto:joaogarcia@aln.iseg.ulisboa.pt" TargetMode="External"/><Relationship Id="rId13" Type="http://schemas.openxmlformats.org/officeDocument/2006/relationships/drawing" Target="../drawings/drawing2.xml"/><Relationship Id="rId3" Type="http://schemas.openxmlformats.org/officeDocument/2006/relationships/hyperlink" Target="mailto:raul.vasconcelos@aln.iseg.ulisboa.pt" TargetMode="External"/><Relationship Id="rId7" Type="http://schemas.openxmlformats.org/officeDocument/2006/relationships/hyperlink" Target="mailto:61624@aln.iseg.ulisboa.pt" TargetMode="External"/><Relationship Id="rId12" Type="http://schemas.openxmlformats.org/officeDocument/2006/relationships/printerSettings" Target="../printerSettings/printerSettings1.bin"/><Relationship Id="rId2" Type="http://schemas.openxmlformats.org/officeDocument/2006/relationships/hyperlink" Target="mailto:lis@iseg.ulisboa.pt" TargetMode="External"/><Relationship Id="rId1" Type="http://schemas.openxmlformats.org/officeDocument/2006/relationships/hyperlink" Target="mailto:raul.vasconcelos@aln.iseg.ulisboa.pt" TargetMode="External"/><Relationship Id="rId6" Type="http://schemas.openxmlformats.org/officeDocument/2006/relationships/hyperlink" Target="mailto:rauk.vasconcelos@aln.iseg.ulisboa.pt" TargetMode="External"/><Relationship Id="rId11" Type="http://schemas.openxmlformats.org/officeDocument/2006/relationships/hyperlink" Target="mailto:63113l@aln.iseg.ulisboa.pt" TargetMode="External"/><Relationship Id="rId5" Type="http://schemas.openxmlformats.org/officeDocument/2006/relationships/hyperlink" Target="mailto:raul.vasconcelos@aln.iseg.ulisboa.pt" TargetMode="External"/><Relationship Id="rId10" Type="http://schemas.openxmlformats.org/officeDocument/2006/relationships/hyperlink" Target="mailto:raul.vasconcelos@aln.iseg.ulisboa.pt" TargetMode="External"/><Relationship Id="rId4" Type="http://schemas.openxmlformats.org/officeDocument/2006/relationships/hyperlink" Target="mailto:raul.vasconcelos@aln.iseg.ulisboa.pt" TargetMode="External"/><Relationship Id="rId9" Type="http://schemas.openxmlformats.org/officeDocument/2006/relationships/hyperlink" Target="mailto:rauk.vasconcelos@aln.iseg.ulisboa.pt"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topLeftCell="A16" zoomScale="54" zoomScaleNormal="85" workbookViewId="0">
      <selection activeCell="R8" sqref="R8"/>
    </sheetView>
  </sheetViews>
  <sheetFormatPr baseColWidth="10" defaultColWidth="9" defaultRowHeight="15" customHeight="1"/>
  <cols>
    <col min="1" max="2" width="9" style="545"/>
    <col min="3" max="5" width="10.1640625" style="545" bestFit="1" customWidth="1"/>
    <col min="6" max="16384" width="9" style="545"/>
  </cols>
  <sheetData>
    <row r="1" s="540" customFormat="1" ht="15" customHeight="1"/>
    <row r="2" s="540" customFormat="1" ht="15" customHeight="1"/>
    <row r="3" s="540" customFormat="1" ht="15" customHeight="1"/>
    <row r="4" s="540" customFormat="1" ht="15" customHeight="1"/>
    <row r="5" ht="4" customHeight="1"/>
    <row r="101" spans="3:3" ht="15" customHeight="1">
      <c r="C101" s="567"/>
    </row>
    <row r="102" spans="3:3" ht="15" customHeight="1">
      <c r="C102" s="567"/>
    </row>
    <row r="103" spans="3:3" ht="15" customHeight="1">
      <c r="C103" s="567"/>
    </row>
    <row r="104" spans="3:3" ht="15" customHeight="1">
      <c r="C104" s="567"/>
    </row>
    <row r="105" spans="3:3" ht="15" customHeight="1">
      <c r="C105" s="567"/>
    </row>
    <row r="106" spans="3:3" ht="15" customHeight="1">
      <c r="C106" s="567"/>
    </row>
    <row r="107" spans="3:3" ht="15" customHeight="1">
      <c r="C107" s="567"/>
    </row>
    <row r="108" spans="3:3" ht="15" customHeight="1">
      <c r="C108" s="567"/>
    </row>
    <row r="109" spans="3:3" ht="15" customHeight="1">
      <c r="C109" s="567"/>
    </row>
    <row r="110" spans="3:3" ht="15" customHeight="1">
      <c r="C110" s="567"/>
    </row>
    <row r="111" spans="3:3" ht="15" customHeight="1">
      <c r="C111" s="567"/>
    </row>
    <row r="112" spans="3:3" ht="15" customHeight="1">
      <c r="C112" s="567"/>
    </row>
    <row r="113" spans="3:3" ht="15" customHeight="1">
      <c r="C113" s="567"/>
    </row>
    <row r="114" spans="3:3" ht="15" customHeight="1">
      <c r="C114" s="567"/>
    </row>
    <row r="115" spans="3:3" ht="15" customHeight="1">
      <c r="C115" s="567"/>
    </row>
    <row r="116" spans="3:3" ht="15" customHeight="1">
      <c r="C116" s="567"/>
    </row>
    <row r="117" spans="3:3" ht="15" customHeight="1">
      <c r="C117" s="567"/>
    </row>
    <row r="118" spans="3:3" ht="15" customHeight="1">
      <c r="C118" s="567"/>
    </row>
    <row r="119" spans="3:3" ht="15" customHeight="1">
      <c r="C119" s="567"/>
    </row>
    <row r="120" spans="3:3" ht="15" customHeight="1">
      <c r="C120" s="567"/>
    </row>
    <row r="121" spans="3:3" ht="15" customHeight="1">
      <c r="C121" s="567"/>
    </row>
    <row r="122" spans="3:3" ht="15" customHeight="1">
      <c r="C122" s="567"/>
    </row>
    <row r="123" spans="3:3" ht="15" customHeight="1">
      <c r="C123" s="567"/>
    </row>
    <row r="124" spans="3:3" ht="15" customHeight="1">
      <c r="C124" s="567"/>
    </row>
    <row r="125" spans="3:3" ht="15" customHeight="1">
      <c r="C125" s="567"/>
    </row>
    <row r="126" spans="3:3" ht="15" customHeight="1">
      <c r="C126" s="567"/>
    </row>
    <row r="127" spans="3:3" ht="15" customHeight="1">
      <c r="C127" s="567"/>
    </row>
    <row r="128" spans="3:3" ht="15" customHeight="1">
      <c r="C128" s="567"/>
    </row>
    <row r="129" spans="3:3" ht="15" customHeight="1">
      <c r="C129" s="567"/>
    </row>
    <row r="130" spans="3:3" ht="15" customHeight="1">
      <c r="C130" s="567"/>
    </row>
    <row r="131" spans="3:3" ht="15" customHeight="1">
      <c r="C131" s="567"/>
    </row>
    <row r="132" spans="3:3" ht="15" customHeight="1">
      <c r="C132" s="567"/>
    </row>
    <row r="133" spans="3:3" ht="15" customHeight="1">
      <c r="C133" s="567"/>
    </row>
    <row r="134" spans="3:3" ht="15" customHeight="1">
      <c r="C134" s="567"/>
    </row>
    <row r="135" spans="3:3" ht="15" customHeight="1">
      <c r="C135" s="567"/>
    </row>
    <row r="136" spans="3:3" ht="15" customHeight="1">
      <c r="C136" s="567"/>
    </row>
    <row r="137" spans="3:3" ht="15" customHeight="1">
      <c r="C137" s="567"/>
    </row>
    <row r="138" spans="3:3" ht="15" customHeight="1">
      <c r="C138" s="567"/>
    </row>
    <row r="139" spans="3:3" ht="15" customHeight="1">
      <c r="C139" s="567"/>
    </row>
    <row r="140" spans="3:3" ht="15" customHeight="1">
      <c r="C140" s="567"/>
    </row>
    <row r="141" spans="3:3" ht="15" customHeight="1">
      <c r="C141" s="567"/>
    </row>
    <row r="142" spans="3:3" ht="15" customHeight="1">
      <c r="C142" s="567"/>
    </row>
    <row r="143" spans="3:3" ht="15" customHeight="1">
      <c r="C143" s="567"/>
    </row>
    <row r="144" spans="3:3" ht="15" customHeight="1">
      <c r="C144" s="567"/>
    </row>
    <row r="145" spans="3:12" ht="15" customHeight="1">
      <c r="C145" s="567"/>
    </row>
    <row r="146" spans="3:12" ht="15" customHeight="1">
      <c r="C146" s="567"/>
    </row>
    <row r="147" spans="3:12" ht="15" customHeight="1">
      <c r="C147" s="567"/>
    </row>
    <row r="148" spans="3:12" ht="15" customHeight="1">
      <c r="C148" s="567"/>
    </row>
    <row r="149" spans="3:12" ht="15" customHeight="1">
      <c r="C149" s="567"/>
    </row>
    <row r="150" spans="3:12" ht="15" customHeight="1">
      <c r="C150" s="567"/>
    </row>
    <row r="151" spans="3:12" ht="15" customHeight="1">
      <c r="C151" s="567"/>
    </row>
    <row r="152" spans="3:12" ht="15" customHeight="1">
      <c r="C152" s="567"/>
    </row>
    <row r="153" spans="3:12" ht="15" customHeight="1">
      <c r="C153" s="567"/>
    </row>
    <row r="154" spans="3:12" ht="15" customHeight="1">
      <c r="C154" s="567">
        <f t="shared" ref="C154:C164" si="0">+C155+1</f>
        <v>45947</v>
      </c>
    </row>
    <row r="155" spans="3:12" ht="15" customHeight="1">
      <c r="C155" s="567">
        <f t="shared" si="0"/>
        <v>45946</v>
      </c>
    </row>
    <row r="156" spans="3:12" ht="15" customHeight="1">
      <c r="C156" s="567">
        <f t="shared" si="0"/>
        <v>45945</v>
      </c>
    </row>
    <row r="157" spans="3:12" ht="15" customHeight="1">
      <c r="C157" s="567">
        <f t="shared" si="0"/>
        <v>45944</v>
      </c>
    </row>
    <row r="158" spans="3:12" ht="15" customHeight="1">
      <c r="C158" s="567">
        <f t="shared" si="0"/>
        <v>45943</v>
      </c>
    </row>
    <row r="159" spans="3:12" ht="15" customHeight="1">
      <c r="C159" s="567">
        <f t="shared" si="0"/>
        <v>45942</v>
      </c>
    </row>
    <row r="160" spans="3:12" ht="15" customHeight="1">
      <c r="C160" s="567">
        <f t="shared" si="0"/>
        <v>45941</v>
      </c>
      <c r="L160" s="545">
        <f ca="1">IF(FCFF!$R$157="Revenue Exit",FCFF!$AF$169,IF(FCFF!$R$157="EBITDA Exit",FCFF!Z169,FCFF!AL169))</f>
        <v>20.277513899753728</v>
      </c>
    </row>
    <row r="161" spans="3:5" ht="15" customHeight="1">
      <c r="C161" s="567">
        <f t="shared" si="0"/>
        <v>45940</v>
      </c>
    </row>
    <row r="162" spans="3:5" ht="15" customHeight="1">
      <c r="C162" s="567">
        <f t="shared" si="0"/>
        <v>45939</v>
      </c>
      <c r="E162" s="545">
        <f ca="1">IF(FCFF!$R$157="Revenue Exit",FCFF!$AF$169,IF(FCFF!$R$157="EBITDA Exit",FCFF!Z169,FCFF!AL169))</f>
        <v>20.277513899753728</v>
      </c>
    </row>
    <row r="163" spans="3:5" ht="15" customHeight="1">
      <c r="C163" s="567">
        <f t="shared" si="0"/>
        <v>45938</v>
      </c>
      <c r="E163" s="545">
        <f t="shared" ref="E163:E192" ca="1" si="1">E164+($E$162-$E$193)/COUNTA($C$162:$C$192)</f>
        <v>19.957110225568144</v>
      </c>
    </row>
    <row r="164" spans="3:5" ht="15" customHeight="1">
      <c r="C164" s="567">
        <f t="shared" si="0"/>
        <v>45937</v>
      </c>
      <c r="E164" s="545">
        <f t="shared" ca="1" si="1"/>
        <v>19.636706551382538</v>
      </c>
    </row>
    <row r="165" spans="3:5" ht="15" customHeight="1">
      <c r="C165" s="567">
        <f t="shared" ref="C165:C191" si="2">+C166+1</f>
        <v>45936</v>
      </c>
      <c r="E165" s="545">
        <f t="shared" ca="1" si="1"/>
        <v>19.316302877196932</v>
      </c>
    </row>
    <row r="166" spans="3:5" ht="15" customHeight="1">
      <c r="C166" s="567">
        <f t="shared" si="2"/>
        <v>45935</v>
      </c>
      <c r="E166" s="545">
        <f t="shared" ca="1" si="1"/>
        <v>18.995899203011327</v>
      </c>
    </row>
    <row r="167" spans="3:5" ht="15" customHeight="1">
      <c r="C167" s="567">
        <f t="shared" si="2"/>
        <v>45934</v>
      </c>
      <c r="E167" s="545">
        <f t="shared" ca="1" si="1"/>
        <v>18.675495528825721</v>
      </c>
    </row>
    <row r="168" spans="3:5" ht="15" customHeight="1">
      <c r="C168" s="567">
        <f t="shared" si="2"/>
        <v>45933</v>
      </c>
      <c r="E168" s="545">
        <f t="shared" ca="1" si="1"/>
        <v>18.355091854640115</v>
      </c>
    </row>
    <row r="169" spans="3:5" ht="15" customHeight="1">
      <c r="C169" s="567">
        <f t="shared" si="2"/>
        <v>45932</v>
      </c>
      <c r="E169" s="545">
        <f t="shared" ca="1" si="1"/>
        <v>18.034688180454509</v>
      </c>
    </row>
    <row r="170" spans="3:5" ht="15" customHeight="1">
      <c r="C170" s="567">
        <f t="shared" si="2"/>
        <v>45931</v>
      </c>
      <c r="E170" s="545">
        <f t="shared" ca="1" si="1"/>
        <v>17.714284506268903</v>
      </c>
    </row>
    <row r="171" spans="3:5" ht="15" customHeight="1">
      <c r="C171" s="567">
        <f t="shared" si="2"/>
        <v>45930</v>
      </c>
      <c r="E171" s="545">
        <f t="shared" ca="1" si="1"/>
        <v>17.393880832083298</v>
      </c>
    </row>
    <row r="172" spans="3:5" ht="15" customHeight="1">
      <c r="C172" s="567">
        <f t="shared" si="2"/>
        <v>45929</v>
      </c>
      <c r="E172" s="545">
        <f t="shared" ca="1" si="1"/>
        <v>17.073477157897692</v>
      </c>
    </row>
    <row r="173" spans="3:5" ht="15" customHeight="1">
      <c r="C173" s="567">
        <f t="shared" si="2"/>
        <v>45928</v>
      </c>
      <c r="E173" s="545">
        <f t="shared" ca="1" si="1"/>
        <v>16.753073483712086</v>
      </c>
    </row>
    <row r="174" spans="3:5" ht="15" customHeight="1">
      <c r="C174" s="567">
        <f t="shared" si="2"/>
        <v>45927</v>
      </c>
      <c r="E174" s="545">
        <f t="shared" ca="1" si="1"/>
        <v>16.43266980952648</v>
      </c>
    </row>
    <row r="175" spans="3:5" ht="15" customHeight="1">
      <c r="C175" s="567">
        <f t="shared" si="2"/>
        <v>45926</v>
      </c>
      <c r="E175" s="545">
        <f t="shared" ca="1" si="1"/>
        <v>16.112266135340874</v>
      </c>
    </row>
    <row r="176" spans="3:5" ht="15" customHeight="1">
      <c r="C176" s="567">
        <f t="shared" si="2"/>
        <v>45925</v>
      </c>
      <c r="E176" s="545">
        <f t="shared" ca="1" si="1"/>
        <v>15.791862461155269</v>
      </c>
    </row>
    <row r="177" spans="3:5" ht="15" customHeight="1">
      <c r="C177" s="567">
        <f t="shared" si="2"/>
        <v>45924</v>
      </c>
      <c r="E177" s="545">
        <f t="shared" ca="1" si="1"/>
        <v>15.471458786969665</v>
      </c>
    </row>
    <row r="178" spans="3:5" ht="15" customHeight="1">
      <c r="C178" s="567">
        <f t="shared" si="2"/>
        <v>45923</v>
      </c>
      <c r="E178" s="545">
        <f t="shared" ca="1" si="1"/>
        <v>15.151055112784061</v>
      </c>
    </row>
    <row r="179" spans="3:5" ht="15" customHeight="1">
      <c r="C179" s="567">
        <f t="shared" si="2"/>
        <v>45922</v>
      </c>
      <c r="E179" s="545">
        <f t="shared" ca="1" si="1"/>
        <v>14.830651438598457</v>
      </c>
    </row>
    <row r="180" spans="3:5" ht="15" customHeight="1">
      <c r="C180" s="567">
        <f t="shared" si="2"/>
        <v>45921</v>
      </c>
      <c r="E180" s="545">
        <f t="shared" ca="1" si="1"/>
        <v>14.510247764412853</v>
      </c>
    </row>
    <row r="181" spans="3:5" ht="15" customHeight="1">
      <c r="C181" s="567">
        <f t="shared" si="2"/>
        <v>45920</v>
      </c>
      <c r="E181" s="545">
        <f t="shared" ca="1" si="1"/>
        <v>14.189844090227249</v>
      </c>
    </row>
    <row r="182" spans="3:5" ht="15" customHeight="1">
      <c r="C182" s="567">
        <f t="shared" si="2"/>
        <v>45919</v>
      </c>
      <c r="E182" s="545">
        <f t="shared" ca="1" si="1"/>
        <v>13.869440416041645</v>
      </c>
    </row>
    <row r="183" spans="3:5" ht="15" customHeight="1">
      <c r="C183" s="567">
        <f t="shared" si="2"/>
        <v>45918</v>
      </c>
      <c r="E183" s="545">
        <f t="shared" ca="1" si="1"/>
        <v>13.549036741856041</v>
      </c>
    </row>
    <row r="184" spans="3:5" ht="15" customHeight="1">
      <c r="C184" s="567">
        <f t="shared" si="2"/>
        <v>45917</v>
      </c>
      <c r="E184" s="545">
        <f t="shared" ca="1" si="1"/>
        <v>13.228633067670437</v>
      </c>
    </row>
    <row r="185" spans="3:5" ht="15" customHeight="1">
      <c r="C185" s="567">
        <f t="shared" si="2"/>
        <v>45916</v>
      </c>
      <c r="E185" s="545">
        <f t="shared" ca="1" si="1"/>
        <v>12.908229393484833</v>
      </c>
    </row>
    <row r="186" spans="3:5" ht="15" customHeight="1">
      <c r="C186" s="567">
        <f t="shared" si="2"/>
        <v>45915</v>
      </c>
      <c r="E186" s="545">
        <f t="shared" ca="1" si="1"/>
        <v>12.587825719299229</v>
      </c>
    </row>
    <row r="187" spans="3:5" ht="15" customHeight="1">
      <c r="C187" s="567">
        <f t="shared" si="2"/>
        <v>45914</v>
      </c>
      <c r="E187" s="545">
        <f t="shared" ca="1" si="1"/>
        <v>12.267422045113625</v>
      </c>
    </row>
    <row r="188" spans="3:5" ht="15" customHeight="1">
      <c r="C188" s="567">
        <f t="shared" si="2"/>
        <v>45913</v>
      </c>
      <c r="E188" s="545">
        <f t="shared" ca="1" si="1"/>
        <v>11.947018370928021</v>
      </c>
    </row>
    <row r="189" spans="3:5" ht="15" customHeight="1">
      <c r="C189" s="567">
        <f t="shared" si="2"/>
        <v>45912</v>
      </c>
      <c r="E189" s="545">
        <f t="shared" ca="1" si="1"/>
        <v>11.626614696742417</v>
      </c>
    </row>
    <row r="190" spans="3:5" ht="15" customHeight="1">
      <c r="C190" s="567">
        <f t="shared" si="2"/>
        <v>45911</v>
      </c>
      <c r="E190" s="545">
        <f t="shared" ca="1" si="1"/>
        <v>11.306211022556813</v>
      </c>
    </row>
    <row r="191" spans="3:5" ht="15" customHeight="1">
      <c r="C191" s="567">
        <f t="shared" si="2"/>
        <v>45910</v>
      </c>
      <c r="E191" s="545">
        <f t="shared" ca="1" si="1"/>
        <v>10.985807348371209</v>
      </c>
    </row>
    <row r="192" spans="3:5" ht="15" customHeight="1">
      <c r="C192" s="567">
        <f>+C193+1</f>
        <v>45909</v>
      </c>
      <c r="E192" s="545">
        <f t="shared" ca="1" si="1"/>
        <v>10.665403674185605</v>
      </c>
    </row>
    <row r="193" spans="2:5" ht="15" customHeight="1">
      <c r="B193" s="545" t="s">
        <v>0</v>
      </c>
      <c r="C193" s="566">
        <f>+'Stock Data'!AM4</f>
        <v>45908</v>
      </c>
      <c r="D193" s="545">
        <f>_xlfn.XLOOKUP(C193,'Stock Data'!$AM$4:$AM$1051,'Stock Data'!$AN$4:$AN$1051)</f>
        <v>10.345000000000001</v>
      </c>
      <c r="E193" s="545">
        <f>D193</f>
        <v>10.345000000000001</v>
      </c>
    </row>
    <row r="194" spans="2:5" ht="15" customHeight="1">
      <c r="C194" s="566">
        <f>+'Stock Data'!AM5</f>
        <v>45907</v>
      </c>
      <c r="D194" s="545">
        <f>_xlfn.XLOOKUP(C194,'Stock Data'!$AM$4:$AM$1051,'Stock Data'!$AN$4:$AN$1051)</f>
        <v>10.46</v>
      </c>
    </row>
    <row r="195" spans="2:5" ht="15" customHeight="1">
      <c r="C195" s="566">
        <f>+'Stock Data'!AM6</f>
        <v>45906</v>
      </c>
      <c r="D195" s="545">
        <f>_xlfn.XLOOKUP(C195,'Stock Data'!$AM$4:$AM$1051,'Stock Data'!$AN$4:$AN$1051)</f>
        <v>10.46</v>
      </c>
    </row>
    <row r="196" spans="2:5" ht="15" customHeight="1">
      <c r="C196" s="566">
        <f>+'Stock Data'!AM7</f>
        <v>45905</v>
      </c>
      <c r="D196" s="545">
        <f>_xlfn.XLOOKUP(C196,'Stock Data'!$AM$4:$AM$1051,'Stock Data'!$AN$4:$AN$1051)</f>
        <v>10.46</v>
      </c>
    </row>
    <row r="197" spans="2:5" ht="15" customHeight="1">
      <c r="C197" s="566">
        <f>+'Stock Data'!AM8</f>
        <v>45904</v>
      </c>
      <c r="D197" s="545">
        <f>_xlfn.XLOOKUP(C197,'Stock Data'!$AM$4:$AM$1051,'Stock Data'!$AN$4:$AN$1051)</f>
        <v>10.45</v>
      </c>
    </row>
    <row r="198" spans="2:5" ht="15" customHeight="1">
      <c r="C198" s="566">
        <f>+'Stock Data'!AM9</f>
        <v>45903</v>
      </c>
      <c r="D198" s="545">
        <f>_xlfn.XLOOKUP(C198,'Stock Data'!$AM$4:$AM$1051,'Stock Data'!$AN$4:$AN$1051)</f>
        <v>10.11</v>
      </c>
    </row>
    <row r="199" spans="2:5" ht="15" customHeight="1">
      <c r="C199" s="566">
        <f>+'Stock Data'!AM10</f>
        <v>45902</v>
      </c>
      <c r="D199" s="545">
        <f>_xlfn.XLOOKUP(C199,'Stock Data'!$AM$4:$AM$1051,'Stock Data'!$AN$4:$AN$1051)</f>
        <v>10.29</v>
      </c>
    </row>
    <row r="200" spans="2:5" ht="15" customHeight="1">
      <c r="C200" s="566">
        <f>+'Stock Data'!AM11</f>
        <v>45901</v>
      </c>
      <c r="D200" s="545">
        <f>_xlfn.XLOOKUP(C200,'Stock Data'!$AM$4:$AM$1051,'Stock Data'!$AN$4:$AN$1051)</f>
        <v>10.210000000000001</v>
      </c>
    </row>
    <row r="201" spans="2:5" ht="15" customHeight="1">
      <c r="C201" s="566">
        <f>+'Stock Data'!AM12</f>
        <v>45900</v>
      </c>
      <c r="D201" s="545">
        <f>_xlfn.XLOOKUP(C201,'Stock Data'!$AM$4:$AM$1051,'Stock Data'!$AN$4:$AN$1051)</f>
        <v>10.210000000000001</v>
      </c>
    </row>
    <row r="202" spans="2:5" ht="15" customHeight="1">
      <c r="C202" s="566">
        <f>+'Stock Data'!AM13</f>
        <v>45899</v>
      </c>
      <c r="D202" s="545">
        <f>_xlfn.XLOOKUP(C202,'Stock Data'!$AM$4:$AM$1051,'Stock Data'!$AN$4:$AN$1051)</f>
        <v>10.210000000000001</v>
      </c>
    </row>
    <row r="203" spans="2:5" ht="15" customHeight="1">
      <c r="C203" s="566">
        <f>+'Stock Data'!AM14</f>
        <v>45898</v>
      </c>
      <c r="D203" s="545">
        <f>_xlfn.XLOOKUP(C203,'Stock Data'!$AM$4:$AM$1051,'Stock Data'!$AN$4:$AN$1051)</f>
        <v>10.210000000000001</v>
      </c>
    </row>
    <row r="204" spans="2:5" ht="15" customHeight="1">
      <c r="C204" s="566">
        <f>+'Stock Data'!AM15</f>
        <v>45897</v>
      </c>
      <c r="D204" s="545">
        <f>_xlfn.XLOOKUP(C204,'Stock Data'!$AM$4:$AM$1051,'Stock Data'!$AN$4:$AN$1051)</f>
        <v>10.16</v>
      </c>
    </row>
    <row r="205" spans="2:5" ht="15" customHeight="1">
      <c r="C205" s="566">
        <f>+'Stock Data'!AM16</f>
        <v>45896</v>
      </c>
      <c r="D205" s="545">
        <f>_xlfn.XLOOKUP(C205,'Stock Data'!$AM$4:$AM$1051,'Stock Data'!$AN$4:$AN$1051)</f>
        <v>10.15</v>
      </c>
    </row>
    <row r="206" spans="2:5" ht="15" customHeight="1">
      <c r="C206" s="566">
        <f>+'Stock Data'!AM17</f>
        <v>45895</v>
      </c>
      <c r="D206" s="545">
        <f>_xlfn.XLOOKUP(C206,'Stock Data'!$AM$4:$AM$1051,'Stock Data'!$AN$4:$AN$1051)</f>
        <v>10.73</v>
      </c>
    </row>
    <row r="207" spans="2:5" ht="15" customHeight="1">
      <c r="C207" s="566">
        <f>+'Stock Data'!AM18</f>
        <v>45894</v>
      </c>
      <c r="D207" s="545">
        <f>_xlfn.XLOOKUP(C207,'Stock Data'!$AM$4:$AM$1051,'Stock Data'!$AN$4:$AN$1051)</f>
        <v>9.9700000000000006</v>
      </c>
    </row>
    <row r="208" spans="2:5" ht="15" customHeight="1">
      <c r="C208" s="566">
        <f>+'Stock Data'!AM19</f>
        <v>45893</v>
      </c>
      <c r="D208" s="545">
        <f>_xlfn.XLOOKUP(C208,'Stock Data'!$AM$4:$AM$1051,'Stock Data'!$AN$4:$AN$1051)</f>
        <v>9.7799999999999994</v>
      </c>
    </row>
    <row r="209" spans="3:4" ht="15" customHeight="1">
      <c r="C209" s="566">
        <f>+'Stock Data'!AM20</f>
        <v>45892</v>
      </c>
      <c r="D209" s="545">
        <f>_xlfn.XLOOKUP(C209,'Stock Data'!$AM$4:$AM$1051,'Stock Data'!$AN$4:$AN$1051)</f>
        <v>9.7799999999999994</v>
      </c>
    </row>
    <row r="210" spans="3:4" ht="15" customHeight="1">
      <c r="C210" s="566">
        <f>+'Stock Data'!AM21</f>
        <v>45891</v>
      </c>
      <c r="D210" s="545">
        <f>_xlfn.XLOOKUP(C210,'Stock Data'!$AM$4:$AM$1051,'Stock Data'!$AN$4:$AN$1051)</f>
        <v>9.7799999999999994</v>
      </c>
    </row>
    <row r="211" spans="3:4" ht="15" customHeight="1">
      <c r="C211" s="566">
        <f>+'Stock Data'!AM22</f>
        <v>45890</v>
      </c>
      <c r="D211" s="545">
        <f>_xlfn.XLOOKUP(C211,'Stock Data'!$AM$4:$AM$1051,'Stock Data'!$AN$4:$AN$1051)</f>
        <v>9.65</v>
      </c>
    </row>
    <row r="212" spans="3:4" ht="15" customHeight="1">
      <c r="C212" s="566">
        <f>+'Stock Data'!AM23</f>
        <v>45889</v>
      </c>
      <c r="D212" s="545">
        <f>_xlfn.XLOOKUP(C212,'Stock Data'!$AM$4:$AM$1051,'Stock Data'!$AN$4:$AN$1051)</f>
        <v>9.58</v>
      </c>
    </row>
    <row r="213" spans="3:4" ht="15" customHeight="1">
      <c r="C213" s="566">
        <f>+'Stock Data'!AM24</f>
        <v>45888</v>
      </c>
      <c r="D213" s="545">
        <f>_xlfn.XLOOKUP(C213,'Stock Data'!$AM$4:$AM$1051,'Stock Data'!$AN$4:$AN$1051)</f>
        <v>9.89</v>
      </c>
    </row>
    <row r="214" spans="3:4" ht="15" customHeight="1">
      <c r="C214" s="566">
        <f>+'Stock Data'!AM25</f>
        <v>45887</v>
      </c>
      <c r="D214" s="545">
        <f>_xlfn.XLOOKUP(C214,'Stock Data'!$AM$4:$AM$1051,'Stock Data'!$AN$4:$AN$1051)</f>
        <v>10.6</v>
      </c>
    </row>
    <row r="215" spans="3:4" ht="15" customHeight="1">
      <c r="C215" s="566">
        <f>+'Stock Data'!AM26</f>
        <v>45886</v>
      </c>
      <c r="D215" s="545">
        <f>_xlfn.XLOOKUP(C215,'Stock Data'!$AM$4:$AM$1051,'Stock Data'!$AN$4:$AN$1051)</f>
        <v>10.42</v>
      </c>
    </row>
    <row r="216" spans="3:4" ht="15" customHeight="1">
      <c r="C216" s="566">
        <f>+'Stock Data'!AM27</f>
        <v>45885</v>
      </c>
      <c r="D216" s="545">
        <f>_xlfn.XLOOKUP(C216,'Stock Data'!$AM$4:$AM$1051,'Stock Data'!$AN$4:$AN$1051)</f>
        <v>10.42</v>
      </c>
    </row>
    <row r="217" spans="3:4" ht="15" customHeight="1">
      <c r="C217" s="566">
        <f>+'Stock Data'!AM28</f>
        <v>45884</v>
      </c>
      <c r="D217" s="545">
        <f>_xlfn.XLOOKUP(C217,'Stock Data'!$AM$4:$AM$1051,'Stock Data'!$AN$4:$AN$1051)</f>
        <v>10.42</v>
      </c>
    </row>
    <row r="218" spans="3:4" ht="15" customHeight="1">
      <c r="C218" s="566">
        <f>+'Stock Data'!AM29</f>
        <v>45883</v>
      </c>
      <c r="D218" s="545">
        <f>_xlfn.XLOOKUP(C218,'Stock Data'!$AM$4:$AM$1051,'Stock Data'!$AN$4:$AN$1051)</f>
        <v>10.57</v>
      </c>
    </row>
    <row r="219" spans="3:4" ht="15" customHeight="1">
      <c r="C219" s="566">
        <f>+'Stock Data'!AM30</f>
        <v>45882</v>
      </c>
      <c r="D219" s="545">
        <f>_xlfn.XLOOKUP(C219,'Stock Data'!$AM$4:$AM$1051,'Stock Data'!$AN$4:$AN$1051)</f>
        <v>10.76</v>
      </c>
    </row>
    <row r="220" spans="3:4" ht="15" customHeight="1">
      <c r="C220" s="566">
        <f>+'Stock Data'!AM31</f>
        <v>45881</v>
      </c>
      <c r="D220" s="545">
        <f>_xlfn.XLOOKUP(C220,'Stock Data'!$AM$4:$AM$1051,'Stock Data'!$AN$4:$AN$1051)</f>
        <v>10.79</v>
      </c>
    </row>
    <row r="221" spans="3:4" ht="15" customHeight="1">
      <c r="C221" s="566">
        <f>+'Stock Data'!AM32</f>
        <v>45880</v>
      </c>
      <c r="D221" s="545">
        <f>_xlfn.XLOOKUP(C221,'Stock Data'!$AM$4:$AM$1051,'Stock Data'!$AN$4:$AN$1051)</f>
        <v>10.9</v>
      </c>
    </row>
    <row r="222" spans="3:4" ht="15" customHeight="1">
      <c r="C222" s="566">
        <f>+'Stock Data'!AM33</f>
        <v>45879</v>
      </c>
      <c r="D222" s="545">
        <f>_xlfn.XLOOKUP(C222,'Stock Data'!$AM$4:$AM$1051,'Stock Data'!$AN$4:$AN$1051)</f>
        <v>10.76</v>
      </c>
    </row>
    <row r="223" spans="3:4" ht="15" customHeight="1">
      <c r="C223" s="566">
        <f>+'Stock Data'!AM34</f>
        <v>45878</v>
      </c>
      <c r="D223" s="545">
        <f>_xlfn.XLOOKUP(C223,'Stock Data'!$AM$4:$AM$1051,'Stock Data'!$AN$4:$AN$1051)</f>
        <v>10.76</v>
      </c>
    </row>
    <row r="224" spans="3:4" ht="15" customHeight="1">
      <c r="C224" s="566">
        <f>+'Stock Data'!AM35</f>
        <v>45877</v>
      </c>
      <c r="D224" s="545">
        <f>_xlfn.XLOOKUP(C224,'Stock Data'!$AM$4:$AM$1051,'Stock Data'!$AN$4:$AN$1051)</f>
        <v>10.76</v>
      </c>
    </row>
    <row r="225" spans="3:4" ht="15" customHeight="1">
      <c r="C225" s="566">
        <f>+'Stock Data'!AM36</f>
        <v>45876</v>
      </c>
      <c r="D225" s="545">
        <f>_xlfn.XLOOKUP(C225,'Stock Data'!$AM$4:$AM$1051,'Stock Data'!$AN$4:$AN$1051)</f>
        <v>10.35</v>
      </c>
    </row>
    <row r="226" spans="3:4" ht="15" customHeight="1">
      <c r="C226" s="566">
        <f>+'Stock Data'!AM37</f>
        <v>45875</v>
      </c>
      <c r="D226" s="545">
        <f>_xlfn.XLOOKUP(C226,'Stock Data'!$AM$4:$AM$1051,'Stock Data'!$AN$4:$AN$1051)</f>
        <v>11.33</v>
      </c>
    </row>
    <row r="227" spans="3:4" ht="15" customHeight="1">
      <c r="C227" s="566">
        <f>+'Stock Data'!AM38</f>
        <v>45874</v>
      </c>
      <c r="D227" s="545">
        <f>_xlfn.XLOOKUP(C227,'Stock Data'!$AM$4:$AM$1051,'Stock Data'!$AN$4:$AN$1051)</f>
        <v>9.99</v>
      </c>
    </row>
    <row r="228" spans="3:4" ht="15" customHeight="1">
      <c r="C228" s="566">
        <f>+'Stock Data'!AM39</f>
        <v>45873</v>
      </c>
      <c r="D228" s="545">
        <f>_xlfn.XLOOKUP(C228,'Stock Data'!$AM$4:$AM$1051,'Stock Data'!$AN$4:$AN$1051)</f>
        <v>10.25</v>
      </c>
    </row>
    <row r="229" spans="3:4" ht="15" customHeight="1">
      <c r="C229" s="566">
        <f>+'Stock Data'!AM40</f>
        <v>45872</v>
      </c>
      <c r="D229" s="545">
        <f>_xlfn.XLOOKUP(C229,'Stock Data'!$AM$4:$AM$1051,'Stock Data'!$AN$4:$AN$1051)</f>
        <v>10.4</v>
      </c>
    </row>
    <row r="230" spans="3:4" ht="15" customHeight="1">
      <c r="C230" s="566">
        <f>+'Stock Data'!AM41</f>
        <v>45871</v>
      </c>
      <c r="D230" s="545">
        <f>_xlfn.XLOOKUP(C230,'Stock Data'!$AM$4:$AM$1051,'Stock Data'!$AN$4:$AN$1051)</f>
        <v>10.4</v>
      </c>
    </row>
    <row r="231" spans="3:4" ht="15" customHeight="1">
      <c r="C231" s="566">
        <f>+'Stock Data'!AM42</f>
        <v>45870</v>
      </c>
      <c r="D231" s="545">
        <f>_xlfn.XLOOKUP(C231,'Stock Data'!$AM$4:$AM$1051,'Stock Data'!$AN$4:$AN$1051)</f>
        <v>10.4</v>
      </c>
    </row>
    <row r="232" spans="3:4" ht="15" customHeight="1">
      <c r="C232" s="566">
        <f>+'Stock Data'!AM43</f>
        <v>45869</v>
      </c>
      <c r="D232" s="545">
        <f>_xlfn.XLOOKUP(C232,'Stock Data'!$AM$4:$AM$1051,'Stock Data'!$AN$4:$AN$1051)</f>
        <v>10.64</v>
      </c>
    </row>
    <row r="233" spans="3:4" ht="15" customHeight="1">
      <c r="C233" s="566">
        <f>+'Stock Data'!AM44</f>
        <v>45868</v>
      </c>
      <c r="D233" s="545">
        <f>_xlfn.XLOOKUP(C233,'Stock Data'!$AM$4:$AM$1051,'Stock Data'!$AN$4:$AN$1051)</f>
        <v>10.69</v>
      </c>
    </row>
    <row r="234" spans="3:4" ht="15" customHeight="1">
      <c r="C234" s="566">
        <f>+'Stock Data'!AM45</f>
        <v>45867</v>
      </c>
      <c r="D234" s="545">
        <f>_xlfn.XLOOKUP(C234,'Stock Data'!$AM$4:$AM$1051,'Stock Data'!$AN$4:$AN$1051)</f>
        <v>10.88</v>
      </c>
    </row>
    <row r="235" spans="3:4" ht="15" customHeight="1">
      <c r="C235" s="566">
        <f>+'Stock Data'!AM46</f>
        <v>45866</v>
      </c>
      <c r="D235" s="545">
        <f>_xlfn.XLOOKUP(C235,'Stock Data'!$AM$4:$AM$1051,'Stock Data'!$AN$4:$AN$1051)</f>
        <v>10.92</v>
      </c>
    </row>
    <row r="236" spans="3:4" ht="15" customHeight="1">
      <c r="C236" s="566">
        <f>+'Stock Data'!AM47</f>
        <v>45865</v>
      </c>
      <c r="D236" s="545">
        <f>_xlfn.XLOOKUP(C236,'Stock Data'!$AM$4:$AM$1051,'Stock Data'!$AN$4:$AN$1051)</f>
        <v>11.27</v>
      </c>
    </row>
    <row r="237" spans="3:4" ht="15" customHeight="1">
      <c r="C237" s="566">
        <f>+'Stock Data'!AM48</f>
        <v>45864</v>
      </c>
      <c r="D237" s="545">
        <f>_xlfn.XLOOKUP(C237,'Stock Data'!$AM$4:$AM$1051,'Stock Data'!$AN$4:$AN$1051)</f>
        <v>11.27</v>
      </c>
    </row>
    <row r="238" spans="3:4" ht="15" customHeight="1">
      <c r="C238" s="566">
        <f>+'Stock Data'!AM49</f>
        <v>45863</v>
      </c>
      <c r="D238" s="545">
        <f>_xlfn.XLOOKUP(C238,'Stock Data'!$AM$4:$AM$1051,'Stock Data'!$AN$4:$AN$1051)</f>
        <v>11.27</v>
      </c>
    </row>
    <row r="239" spans="3:4" ht="15" customHeight="1">
      <c r="C239" s="566">
        <f>+'Stock Data'!AM50</f>
        <v>45862</v>
      </c>
      <c r="D239" s="545">
        <f>_xlfn.XLOOKUP(C239,'Stock Data'!$AM$4:$AM$1051,'Stock Data'!$AN$4:$AN$1051)</f>
        <v>11.25</v>
      </c>
    </row>
    <row r="240" spans="3:4" ht="15" customHeight="1">
      <c r="C240" s="566">
        <f>+'Stock Data'!AM51</f>
        <v>45861</v>
      </c>
      <c r="D240" s="545">
        <f>_xlfn.XLOOKUP(C240,'Stock Data'!$AM$4:$AM$1051,'Stock Data'!$AN$4:$AN$1051)</f>
        <v>11.65</v>
      </c>
    </row>
    <row r="241" spans="3:4" ht="15" customHeight="1">
      <c r="C241" s="566">
        <f>+'Stock Data'!AM52</f>
        <v>45860</v>
      </c>
      <c r="D241" s="545">
        <f>_xlfn.XLOOKUP(C241,'Stock Data'!$AM$4:$AM$1051,'Stock Data'!$AN$4:$AN$1051)</f>
        <v>11.28</v>
      </c>
    </row>
    <row r="242" spans="3:4" ht="15" customHeight="1">
      <c r="C242" s="566">
        <f>+'Stock Data'!AM53</f>
        <v>45859</v>
      </c>
      <c r="D242" s="545">
        <f>_xlfn.XLOOKUP(C242,'Stock Data'!$AM$4:$AM$1051,'Stock Data'!$AN$4:$AN$1051)</f>
        <v>11.44</v>
      </c>
    </row>
    <row r="243" spans="3:4" ht="15" customHeight="1">
      <c r="C243" s="566">
        <f>+'Stock Data'!AM54</f>
        <v>45858</v>
      </c>
      <c r="D243" s="545">
        <f>_xlfn.XLOOKUP(C243,'Stock Data'!$AM$4:$AM$1051,'Stock Data'!$AN$4:$AN$1051)</f>
        <v>11.64</v>
      </c>
    </row>
    <row r="244" spans="3:4" ht="15" customHeight="1">
      <c r="C244" s="566">
        <f>+'Stock Data'!AM55</f>
        <v>45857</v>
      </c>
      <c r="D244" s="545">
        <f>_xlfn.XLOOKUP(C244,'Stock Data'!$AM$4:$AM$1051,'Stock Data'!$AN$4:$AN$1051)</f>
        <v>11.64</v>
      </c>
    </row>
    <row r="245" spans="3:4" ht="15" customHeight="1">
      <c r="C245" s="566">
        <f>+'Stock Data'!AM56</f>
        <v>45856</v>
      </c>
      <c r="D245" s="545">
        <f>_xlfn.XLOOKUP(C245,'Stock Data'!$AM$4:$AM$1051,'Stock Data'!$AN$4:$AN$1051)</f>
        <v>11.64</v>
      </c>
    </row>
    <row r="246" spans="3:4" ht="15" customHeight="1">
      <c r="C246" s="566">
        <f>+'Stock Data'!AM57</f>
        <v>45855</v>
      </c>
      <c r="D246" s="545">
        <f>_xlfn.XLOOKUP(C246,'Stock Data'!$AM$4:$AM$1051,'Stock Data'!$AN$4:$AN$1051)</f>
        <v>11.65</v>
      </c>
    </row>
    <row r="247" spans="3:4" ht="15" customHeight="1">
      <c r="C247" s="566">
        <f>+'Stock Data'!AM58</f>
        <v>45854</v>
      </c>
      <c r="D247" s="545">
        <f>_xlfn.XLOOKUP(C247,'Stock Data'!$AM$4:$AM$1051,'Stock Data'!$AN$4:$AN$1051)</f>
        <v>11.75</v>
      </c>
    </row>
    <row r="248" spans="3:4" ht="15" customHeight="1">
      <c r="C248" s="566">
        <f>+'Stock Data'!AM59</f>
        <v>45853</v>
      </c>
      <c r="D248" s="545">
        <f>_xlfn.XLOOKUP(C248,'Stock Data'!$AM$4:$AM$1051,'Stock Data'!$AN$4:$AN$1051)</f>
        <v>11.49</v>
      </c>
    </row>
    <row r="249" spans="3:4" ht="15" customHeight="1">
      <c r="C249" s="566">
        <f>+'Stock Data'!AM60</f>
        <v>45852</v>
      </c>
      <c r="D249" s="545">
        <f>_xlfn.XLOOKUP(C249,'Stock Data'!$AM$4:$AM$1051,'Stock Data'!$AN$4:$AN$1051)</f>
        <v>11.97</v>
      </c>
    </row>
    <row r="250" spans="3:4" ht="15" customHeight="1">
      <c r="C250" s="566">
        <f>+'Stock Data'!AM61</f>
        <v>45851</v>
      </c>
      <c r="D250" s="545">
        <f>_xlfn.XLOOKUP(C250,'Stock Data'!$AM$4:$AM$1051,'Stock Data'!$AN$4:$AN$1051)</f>
        <v>12.27</v>
      </c>
    </row>
    <row r="251" spans="3:4" ht="15" customHeight="1">
      <c r="C251" s="566">
        <f>+'Stock Data'!AM62</f>
        <v>45850</v>
      </c>
      <c r="D251" s="545">
        <f>_xlfn.XLOOKUP(C251,'Stock Data'!$AM$4:$AM$1051,'Stock Data'!$AN$4:$AN$1051)</f>
        <v>12.27</v>
      </c>
    </row>
    <row r="252" spans="3:4" ht="15" customHeight="1">
      <c r="C252" s="566">
        <f>+'Stock Data'!AM63</f>
        <v>45849</v>
      </c>
      <c r="D252" s="545">
        <f>_xlfn.XLOOKUP(C252,'Stock Data'!$AM$4:$AM$1051,'Stock Data'!$AN$4:$AN$1051)</f>
        <v>12.27</v>
      </c>
    </row>
    <row r="253" spans="3:4" ht="15" customHeight="1">
      <c r="C253" s="566">
        <f>+'Stock Data'!AM64</f>
        <v>45848</v>
      </c>
      <c r="D253" s="545">
        <f>_xlfn.XLOOKUP(C253,'Stock Data'!$AM$4:$AM$1051,'Stock Data'!$AN$4:$AN$1051)</f>
        <v>13.35</v>
      </c>
    </row>
    <row r="254" spans="3:4" ht="15" customHeight="1">
      <c r="C254" s="566">
        <f>+'Stock Data'!AM65</f>
        <v>45847</v>
      </c>
      <c r="D254" s="545">
        <f>_xlfn.XLOOKUP(C254,'Stock Data'!$AM$4:$AM$1051,'Stock Data'!$AN$4:$AN$1051)</f>
        <v>13.69</v>
      </c>
    </row>
    <row r="255" spans="3:4" ht="15" customHeight="1">
      <c r="C255" s="566">
        <f>+'Stock Data'!AM66</f>
        <v>45846</v>
      </c>
      <c r="D255" s="545">
        <f>_xlfn.XLOOKUP(C255,'Stock Data'!$AM$4:$AM$1051,'Stock Data'!$AN$4:$AN$1051)</f>
        <v>14.25</v>
      </c>
    </row>
    <row r="256" spans="3:4" ht="15" customHeight="1">
      <c r="C256" s="566">
        <f>+'Stock Data'!AM67</f>
        <v>45845</v>
      </c>
      <c r="D256" s="545">
        <f>_xlfn.XLOOKUP(C256,'Stock Data'!$AM$4:$AM$1051,'Stock Data'!$AN$4:$AN$1051)</f>
        <v>14.23</v>
      </c>
    </row>
    <row r="257" spans="3:4" ht="15" customHeight="1">
      <c r="C257" s="566">
        <f>+'Stock Data'!AM68</f>
        <v>45844</v>
      </c>
      <c r="D257" s="545">
        <f>_xlfn.XLOOKUP(C257,'Stock Data'!$AM$4:$AM$1051,'Stock Data'!$AN$4:$AN$1051)</f>
        <v>13.72</v>
      </c>
    </row>
    <row r="258" spans="3:4" ht="15" customHeight="1">
      <c r="C258" s="566">
        <f>+'Stock Data'!AM69</f>
        <v>45843</v>
      </c>
      <c r="D258" s="545">
        <f>_xlfn.XLOOKUP(C258,'Stock Data'!$AM$4:$AM$1051,'Stock Data'!$AN$4:$AN$1051)</f>
        <v>13.72</v>
      </c>
    </row>
    <row r="259" spans="3:4" ht="15" customHeight="1">
      <c r="C259" s="566">
        <f>+'Stock Data'!AM70</f>
        <v>45842</v>
      </c>
      <c r="D259" s="545">
        <f>_xlfn.XLOOKUP(C259,'Stock Data'!$AM$4:$AM$1051,'Stock Data'!$AN$4:$AN$1051)</f>
        <v>13.72</v>
      </c>
    </row>
    <row r="260" spans="3:4" ht="15" customHeight="1">
      <c r="C260" s="566">
        <f>+'Stock Data'!AM71</f>
        <v>45841</v>
      </c>
      <c r="D260" s="545">
        <f>_xlfn.XLOOKUP(C260,'Stock Data'!$AM$4:$AM$1051,'Stock Data'!$AN$4:$AN$1051)</f>
        <v>13.72</v>
      </c>
    </row>
    <row r="261" spans="3:4" ht="15" customHeight="1">
      <c r="C261" s="566">
        <f>+'Stock Data'!AM72</f>
        <v>45840</v>
      </c>
      <c r="D261" s="545">
        <f>_xlfn.XLOOKUP(C261,'Stock Data'!$AM$4:$AM$1051,'Stock Data'!$AN$4:$AN$1051)</f>
        <v>13.51</v>
      </c>
    </row>
    <row r="262" spans="3:4" ht="15" customHeight="1">
      <c r="C262" s="566">
        <f>+'Stock Data'!AM73</f>
        <v>45839</v>
      </c>
      <c r="D262" s="545">
        <f>_xlfn.XLOOKUP(C262,'Stock Data'!$AM$4:$AM$1051,'Stock Data'!$AN$4:$AN$1051)</f>
        <v>13.58</v>
      </c>
    </row>
    <row r="263" spans="3:4" ht="15" customHeight="1">
      <c r="C263" s="566">
        <f>+'Stock Data'!AM74</f>
        <v>45838</v>
      </c>
      <c r="D263" s="545">
        <f>_xlfn.XLOOKUP(C263,'Stock Data'!$AM$4:$AM$1051,'Stock Data'!$AN$4:$AN$1051)</f>
        <v>13.99</v>
      </c>
    </row>
    <row r="264" spans="3:4" ht="15" customHeight="1">
      <c r="C264" s="566">
        <f>+'Stock Data'!AM75</f>
        <v>45837</v>
      </c>
      <c r="D264" s="545">
        <f>_xlfn.XLOOKUP(C264,'Stock Data'!$AM$4:$AM$1051,'Stock Data'!$AN$4:$AN$1051)</f>
        <v>14.61</v>
      </c>
    </row>
    <row r="265" spans="3:4" ht="15" customHeight="1">
      <c r="C265" s="566">
        <f>+'Stock Data'!AM76</f>
        <v>45836</v>
      </c>
      <c r="D265" s="545">
        <f>_xlfn.XLOOKUP(C265,'Stock Data'!$AM$4:$AM$1051,'Stock Data'!$AN$4:$AN$1051)</f>
        <v>14.61</v>
      </c>
    </row>
    <row r="266" spans="3:4" ht="15" customHeight="1">
      <c r="C266" s="566">
        <f>+'Stock Data'!AM77</f>
        <v>45835</v>
      </c>
      <c r="D266" s="545">
        <f>_xlfn.XLOOKUP(C266,'Stock Data'!$AM$4:$AM$1051,'Stock Data'!$AN$4:$AN$1051)</f>
        <v>14.61</v>
      </c>
    </row>
    <row r="267" spans="3:4" ht="15" customHeight="1">
      <c r="C267" s="566">
        <f>+'Stock Data'!AM78</f>
        <v>45834</v>
      </c>
      <c r="D267" s="545">
        <f>_xlfn.XLOOKUP(C267,'Stock Data'!$AM$4:$AM$1051,'Stock Data'!$AN$4:$AN$1051)</f>
        <v>14.5</v>
      </c>
    </row>
    <row r="268" spans="3:4" ht="15" customHeight="1">
      <c r="C268" s="566">
        <f>+'Stock Data'!AM79</f>
        <v>45833</v>
      </c>
      <c r="D268" s="545">
        <f>_xlfn.XLOOKUP(C268,'Stock Data'!$AM$4:$AM$1051,'Stock Data'!$AN$4:$AN$1051)</f>
        <v>14.45</v>
      </c>
    </row>
    <row r="269" spans="3:4" ht="15" customHeight="1">
      <c r="C269" s="566">
        <f>+'Stock Data'!AM80</f>
        <v>45832</v>
      </c>
      <c r="D269" s="545">
        <f>_xlfn.XLOOKUP(C269,'Stock Data'!$AM$4:$AM$1051,'Stock Data'!$AN$4:$AN$1051)</f>
        <v>14.48</v>
      </c>
    </row>
    <row r="270" spans="3:4" ht="15" customHeight="1">
      <c r="C270" s="566">
        <f>+'Stock Data'!AM81</f>
        <v>45831</v>
      </c>
      <c r="D270" s="545">
        <f>_xlfn.XLOOKUP(C270,'Stock Data'!$AM$4:$AM$1051,'Stock Data'!$AN$4:$AN$1051)</f>
        <v>13.4</v>
      </c>
    </row>
    <row r="271" spans="3:4" ht="15" customHeight="1">
      <c r="C271" s="566">
        <f>+'Stock Data'!AM82</f>
        <v>45830</v>
      </c>
      <c r="D271" s="545">
        <f>_xlfn.XLOOKUP(C271,'Stock Data'!$AM$4:$AM$1051,'Stock Data'!$AN$4:$AN$1051)</f>
        <v>12.85</v>
      </c>
    </row>
    <row r="272" spans="3:4" ht="15" customHeight="1">
      <c r="C272" s="566">
        <f>+'Stock Data'!AM83</f>
        <v>45829</v>
      </c>
      <c r="D272" s="545">
        <f>_xlfn.XLOOKUP(C272,'Stock Data'!$AM$4:$AM$1051,'Stock Data'!$AN$4:$AN$1051)</f>
        <v>12.85</v>
      </c>
    </row>
    <row r="273" spans="3:4" ht="15" customHeight="1">
      <c r="C273" s="566">
        <f>+'Stock Data'!AM84</f>
        <v>45828</v>
      </c>
      <c r="D273" s="545">
        <f>_xlfn.XLOOKUP(C273,'Stock Data'!$AM$4:$AM$1051,'Stock Data'!$AN$4:$AN$1051)</f>
        <v>12.85</v>
      </c>
    </row>
    <row r="274" spans="3:4" ht="15" customHeight="1">
      <c r="C274" s="566">
        <f>+'Stock Data'!AM85</f>
        <v>45827</v>
      </c>
      <c r="D274" s="545">
        <f>_xlfn.XLOOKUP(C274,'Stock Data'!$AM$4:$AM$1051,'Stock Data'!$AN$4:$AN$1051)</f>
        <v>12.58</v>
      </c>
    </row>
    <row r="275" spans="3:4" ht="15" customHeight="1">
      <c r="C275" s="566">
        <f>+'Stock Data'!AM86</f>
        <v>45826</v>
      </c>
      <c r="D275" s="545">
        <f>_xlfn.XLOOKUP(C275,'Stock Data'!$AM$4:$AM$1051,'Stock Data'!$AN$4:$AN$1051)</f>
        <v>12.58</v>
      </c>
    </row>
    <row r="276" spans="3:4" ht="15" customHeight="1">
      <c r="C276" s="566">
        <f>+'Stock Data'!AM87</f>
        <v>45825</v>
      </c>
      <c r="D276" s="545">
        <f>_xlfn.XLOOKUP(C276,'Stock Data'!$AM$4:$AM$1051,'Stock Data'!$AN$4:$AN$1051)</f>
        <v>11.95</v>
      </c>
    </row>
    <row r="277" spans="3:4" ht="15" customHeight="1">
      <c r="C277" s="566">
        <f>+'Stock Data'!AM88</f>
        <v>45824</v>
      </c>
      <c r="D277" s="545">
        <f>_xlfn.XLOOKUP(C277,'Stock Data'!$AM$4:$AM$1051,'Stock Data'!$AN$4:$AN$1051)</f>
        <v>12.3</v>
      </c>
    </row>
    <row r="278" spans="3:4" ht="15" customHeight="1">
      <c r="C278" s="566">
        <f>+'Stock Data'!AM89</f>
        <v>45823</v>
      </c>
      <c r="D278" s="545">
        <f>_xlfn.XLOOKUP(C278,'Stock Data'!$AM$4:$AM$1051,'Stock Data'!$AN$4:$AN$1051)</f>
        <v>12.21</v>
      </c>
    </row>
    <row r="279" spans="3:4" ht="15" customHeight="1">
      <c r="C279" s="566">
        <f>+'Stock Data'!AM90</f>
        <v>45822</v>
      </c>
      <c r="D279" s="545">
        <f>_xlfn.XLOOKUP(C279,'Stock Data'!$AM$4:$AM$1051,'Stock Data'!$AN$4:$AN$1051)</f>
        <v>12.21</v>
      </c>
    </row>
    <row r="280" spans="3:4" ht="15" customHeight="1">
      <c r="C280" s="566">
        <f>+'Stock Data'!AM91</f>
        <v>45821</v>
      </c>
      <c r="D280" s="545">
        <f>_xlfn.XLOOKUP(C280,'Stock Data'!$AM$4:$AM$1051,'Stock Data'!$AN$4:$AN$1051)</f>
        <v>12.21</v>
      </c>
    </row>
    <row r="281" spans="3:4" ht="15" customHeight="1">
      <c r="C281" s="566">
        <f>+'Stock Data'!AM92</f>
        <v>45820</v>
      </c>
      <c r="D281" s="545">
        <f>_xlfn.XLOOKUP(C281,'Stock Data'!$AM$4:$AM$1051,'Stock Data'!$AN$4:$AN$1051)</f>
        <v>12.56</v>
      </c>
    </row>
    <row r="282" spans="3:4" ht="15" customHeight="1">
      <c r="C282" s="566">
        <f>+'Stock Data'!AM93</f>
        <v>45819</v>
      </c>
      <c r="D282" s="545">
        <f>_xlfn.XLOOKUP(C282,'Stock Data'!$AM$4:$AM$1051,'Stock Data'!$AN$4:$AN$1051)</f>
        <v>13.9</v>
      </c>
    </row>
    <row r="283" spans="3:4" ht="15" customHeight="1">
      <c r="C283" s="566">
        <f>+'Stock Data'!AM94</f>
        <v>45818</v>
      </c>
      <c r="D283" s="545">
        <f>_xlfn.XLOOKUP(C283,'Stock Data'!$AM$4:$AM$1051,'Stock Data'!$AN$4:$AN$1051)</f>
        <v>13.93</v>
      </c>
    </row>
    <row r="284" spans="3:4" ht="15" customHeight="1">
      <c r="C284" s="566">
        <f>+'Stock Data'!AM95</f>
        <v>45817</v>
      </c>
      <c r="D284" s="545">
        <f>_xlfn.XLOOKUP(C284,'Stock Data'!$AM$4:$AM$1051,'Stock Data'!$AN$4:$AN$1051)</f>
        <v>13.89</v>
      </c>
    </row>
    <row r="285" spans="3:4" ht="15" customHeight="1">
      <c r="C285" s="566">
        <f>+'Stock Data'!AM96</f>
        <v>45816</v>
      </c>
      <c r="D285" s="545">
        <f>_xlfn.XLOOKUP(C285,'Stock Data'!$AM$4:$AM$1051,'Stock Data'!$AN$4:$AN$1051)</f>
        <v>14.18</v>
      </c>
    </row>
    <row r="286" spans="3:4" ht="15" customHeight="1">
      <c r="C286" s="566">
        <f>+'Stock Data'!AM97</f>
        <v>45815</v>
      </c>
      <c r="D286" s="545">
        <f>_xlfn.XLOOKUP(C286,'Stock Data'!$AM$4:$AM$1051,'Stock Data'!$AN$4:$AN$1051)</f>
        <v>14.18</v>
      </c>
    </row>
    <row r="287" spans="3:4" ht="15" customHeight="1">
      <c r="C287" s="566">
        <f>+'Stock Data'!AM98</f>
        <v>45814</v>
      </c>
      <c r="D287" s="545">
        <f>_xlfn.XLOOKUP(C287,'Stock Data'!$AM$4:$AM$1051,'Stock Data'!$AN$4:$AN$1051)</f>
        <v>14.18</v>
      </c>
    </row>
    <row r="288" spans="3:4" ht="15" customHeight="1">
      <c r="C288" s="566">
        <f>+'Stock Data'!AM99</f>
        <v>45813</v>
      </c>
      <c r="D288" s="545">
        <f>_xlfn.XLOOKUP(C288,'Stock Data'!$AM$4:$AM$1051,'Stock Data'!$AN$4:$AN$1051)</f>
        <v>13.55</v>
      </c>
    </row>
    <row r="289" spans="3:4" ht="15" customHeight="1">
      <c r="C289" s="566">
        <f>+'Stock Data'!AM100</f>
        <v>45812</v>
      </c>
      <c r="D289" s="545">
        <f>_xlfn.XLOOKUP(C289,'Stock Data'!$AM$4:$AM$1051,'Stock Data'!$AN$4:$AN$1051)</f>
        <v>13.49</v>
      </c>
    </row>
    <row r="290" spans="3:4" ht="15" customHeight="1">
      <c r="C290" s="566">
        <f>+'Stock Data'!AM101</f>
        <v>45811</v>
      </c>
      <c r="D290" s="545">
        <f>_xlfn.XLOOKUP(C290,'Stock Data'!$AM$4:$AM$1051,'Stock Data'!$AN$4:$AN$1051)</f>
        <v>13.14</v>
      </c>
    </row>
    <row r="291" spans="3:4" ht="15" customHeight="1">
      <c r="C291" s="566">
        <f>+'Stock Data'!AM102</f>
        <v>45810</v>
      </c>
      <c r="D291" s="545">
        <f>_xlfn.XLOOKUP(C291,'Stock Data'!$AM$4:$AM$1051,'Stock Data'!$AN$4:$AN$1051)</f>
        <v>13.2</v>
      </c>
    </row>
    <row r="292" spans="3:4" ht="15" customHeight="1">
      <c r="C292" s="566">
        <f>+'Stock Data'!AM103</f>
        <v>45809</v>
      </c>
      <c r="D292" s="545">
        <f>_xlfn.XLOOKUP(C292,'Stock Data'!$AM$4:$AM$1051,'Stock Data'!$AN$4:$AN$1051)</f>
        <v>12.67</v>
      </c>
    </row>
    <row r="293" spans="3:4" ht="15" customHeight="1">
      <c r="C293" s="566">
        <f>+'Stock Data'!AM104</f>
        <v>45808</v>
      </c>
      <c r="D293" s="545">
        <f>_xlfn.XLOOKUP(C293,'Stock Data'!$AM$4:$AM$1051,'Stock Data'!$AN$4:$AN$1051)</f>
        <v>12.67</v>
      </c>
    </row>
    <row r="294" spans="3:4" ht="15" customHeight="1">
      <c r="C294" s="566">
        <f>+'Stock Data'!AM105</f>
        <v>45807</v>
      </c>
      <c r="D294" s="545">
        <f>_xlfn.XLOOKUP(C294,'Stock Data'!$AM$4:$AM$1051,'Stock Data'!$AN$4:$AN$1051)</f>
        <v>12.67</v>
      </c>
    </row>
    <row r="295" spans="3:4" ht="15" customHeight="1">
      <c r="C295" s="566">
        <f>+'Stock Data'!AM106</f>
        <v>45806</v>
      </c>
      <c r="D295" s="545">
        <f>_xlfn.XLOOKUP(C295,'Stock Data'!$AM$4:$AM$1051,'Stock Data'!$AN$4:$AN$1051)</f>
        <v>12.94</v>
      </c>
    </row>
    <row r="296" spans="3:4" ht="15" customHeight="1">
      <c r="C296" s="566">
        <f>+'Stock Data'!AM107</f>
        <v>45805</v>
      </c>
      <c r="D296" s="545">
        <f>_xlfn.XLOOKUP(C296,'Stock Data'!$AM$4:$AM$1051,'Stock Data'!$AN$4:$AN$1051)</f>
        <v>13.21</v>
      </c>
    </row>
    <row r="297" spans="3:4" ht="15" customHeight="1">
      <c r="C297" s="566">
        <f>+'Stock Data'!AM108</f>
        <v>45804</v>
      </c>
      <c r="D297" s="545">
        <f>_xlfn.XLOOKUP(C297,'Stock Data'!$AM$4:$AM$1051,'Stock Data'!$AN$4:$AN$1051)</f>
        <v>13.03</v>
      </c>
    </row>
    <row r="298" spans="3:4" ht="15" customHeight="1">
      <c r="C298" s="566">
        <f>+'Stock Data'!AM109</f>
        <v>45803</v>
      </c>
      <c r="D298" s="545">
        <f>_xlfn.XLOOKUP(C298,'Stock Data'!$AM$4:$AM$1051,'Stock Data'!$AN$4:$AN$1051)</f>
        <v>11.98</v>
      </c>
    </row>
    <row r="299" spans="3:4" ht="15" customHeight="1">
      <c r="C299" s="566">
        <f>+'Stock Data'!AM110</f>
        <v>45802</v>
      </c>
      <c r="D299" s="545">
        <f>_xlfn.XLOOKUP(C299,'Stock Data'!$AM$4:$AM$1051,'Stock Data'!$AN$4:$AN$1051)</f>
        <v>11.98</v>
      </c>
    </row>
    <row r="300" spans="3:4" ht="15" customHeight="1">
      <c r="C300" s="566">
        <f>+'Stock Data'!AM111</f>
        <v>45801</v>
      </c>
      <c r="D300" s="545">
        <f>_xlfn.XLOOKUP(C300,'Stock Data'!$AM$4:$AM$1051,'Stock Data'!$AN$4:$AN$1051)</f>
        <v>11.98</v>
      </c>
    </row>
    <row r="301" spans="3:4" ht="15" customHeight="1">
      <c r="C301" s="566">
        <f>+'Stock Data'!AM112</f>
        <v>45800</v>
      </c>
      <c r="D301" s="545">
        <f>_xlfn.XLOOKUP(C301,'Stock Data'!$AM$4:$AM$1051,'Stock Data'!$AN$4:$AN$1051)</f>
        <v>11.98</v>
      </c>
    </row>
    <row r="302" spans="3:4" ht="15" customHeight="1">
      <c r="C302" s="566">
        <f>+'Stock Data'!AM113</f>
        <v>45799</v>
      </c>
      <c r="D302" s="545">
        <f>_xlfn.XLOOKUP(C302,'Stock Data'!$AM$4:$AM$1051,'Stock Data'!$AN$4:$AN$1051)</f>
        <v>11.73</v>
      </c>
    </row>
    <row r="303" spans="3:4" ht="15" customHeight="1">
      <c r="C303" s="566">
        <f>+'Stock Data'!AM114</f>
        <v>45798</v>
      </c>
      <c r="D303" s="545">
        <f>_xlfn.XLOOKUP(C303,'Stock Data'!$AM$4:$AM$1051,'Stock Data'!$AN$4:$AN$1051)</f>
        <v>11.33</v>
      </c>
    </row>
    <row r="304" spans="3:4" ht="15" customHeight="1">
      <c r="C304" s="566">
        <f>+'Stock Data'!AM115</f>
        <v>45797</v>
      </c>
      <c r="D304" s="545">
        <f>_xlfn.XLOOKUP(C304,'Stock Data'!$AM$4:$AM$1051,'Stock Data'!$AN$4:$AN$1051)</f>
        <v>12.21</v>
      </c>
    </row>
    <row r="305" spans="3:4" ht="15" customHeight="1">
      <c r="C305" s="566">
        <f>+'Stock Data'!AM116</f>
        <v>45796</v>
      </c>
      <c r="D305" s="545">
        <f>_xlfn.XLOOKUP(C305,'Stock Data'!$AM$4:$AM$1051,'Stock Data'!$AN$4:$AN$1051)</f>
        <v>11.89</v>
      </c>
    </row>
    <row r="306" spans="3:4" ht="15" customHeight="1">
      <c r="C306" s="566">
        <f>+'Stock Data'!AM117</f>
        <v>45795</v>
      </c>
      <c r="D306" s="545">
        <f>_xlfn.XLOOKUP(C306,'Stock Data'!$AM$4:$AM$1051,'Stock Data'!$AN$4:$AN$1051)</f>
        <v>11.81</v>
      </c>
    </row>
    <row r="307" spans="3:4" ht="15" customHeight="1">
      <c r="C307" s="566">
        <f>+'Stock Data'!AM118</f>
        <v>45794</v>
      </c>
      <c r="D307" s="545">
        <f>_xlfn.XLOOKUP(C307,'Stock Data'!$AM$4:$AM$1051,'Stock Data'!$AN$4:$AN$1051)</f>
        <v>11.81</v>
      </c>
    </row>
    <row r="308" spans="3:4" ht="15" customHeight="1">
      <c r="C308" s="566">
        <f>+'Stock Data'!AM119</f>
        <v>45793</v>
      </c>
      <c r="D308" s="545">
        <f>_xlfn.XLOOKUP(C308,'Stock Data'!$AM$4:$AM$1051,'Stock Data'!$AN$4:$AN$1051)</f>
        <v>11.81</v>
      </c>
    </row>
    <row r="309" spans="3:4" ht="15" customHeight="1">
      <c r="C309" s="566">
        <f>+'Stock Data'!AM120</f>
        <v>45792</v>
      </c>
      <c r="D309" s="545">
        <f>_xlfn.XLOOKUP(C309,'Stock Data'!$AM$4:$AM$1051,'Stock Data'!$AN$4:$AN$1051)</f>
        <v>11.39</v>
      </c>
    </row>
    <row r="310" spans="3:4" ht="15" customHeight="1">
      <c r="C310" s="566">
        <f>+'Stock Data'!AM121</f>
        <v>45791</v>
      </c>
      <c r="D310" s="545">
        <f>_xlfn.XLOOKUP(C310,'Stock Data'!$AM$4:$AM$1051,'Stock Data'!$AN$4:$AN$1051)</f>
        <v>12.1</v>
      </c>
    </row>
    <row r="311" spans="3:4" ht="15" customHeight="1">
      <c r="C311" s="566">
        <f>+'Stock Data'!AM122</f>
        <v>45790</v>
      </c>
      <c r="D311" s="545">
        <f>_xlfn.XLOOKUP(C311,'Stock Data'!$AM$4:$AM$1051,'Stock Data'!$AN$4:$AN$1051)</f>
        <v>12.43</v>
      </c>
    </row>
    <row r="312" spans="3:4" ht="15" customHeight="1">
      <c r="C312" s="566">
        <f>+'Stock Data'!AM123</f>
        <v>45789</v>
      </c>
      <c r="D312" s="545">
        <f>_xlfn.XLOOKUP(C312,'Stock Data'!$AM$4:$AM$1051,'Stock Data'!$AN$4:$AN$1051)</f>
        <v>12.16</v>
      </c>
    </row>
    <row r="313" spans="3:4" ht="15" customHeight="1">
      <c r="C313" s="566">
        <f>+'Stock Data'!AM124</f>
        <v>45788</v>
      </c>
      <c r="D313" s="545">
        <f>_xlfn.XLOOKUP(C313,'Stock Data'!$AM$4:$AM$1051,'Stock Data'!$AN$4:$AN$1051)</f>
        <v>11.64</v>
      </c>
    </row>
    <row r="314" spans="3:4" ht="15" customHeight="1">
      <c r="C314" s="566">
        <f>+'Stock Data'!AM125</f>
        <v>45787</v>
      </c>
      <c r="D314" s="545">
        <f>_xlfn.XLOOKUP(C314,'Stock Data'!$AM$4:$AM$1051,'Stock Data'!$AN$4:$AN$1051)</f>
        <v>11.64</v>
      </c>
    </row>
    <row r="315" spans="3:4" ht="15" customHeight="1">
      <c r="C315" s="566">
        <f>+'Stock Data'!AM126</f>
        <v>45786</v>
      </c>
      <c r="D315" s="545">
        <f>_xlfn.XLOOKUP(C315,'Stock Data'!$AM$4:$AM$1051,'Stock Data'!$AN$4:$AN$1051)</f>
        <v>11.64</v>
      </c>
    </row>
    <row r="316" spans="3:4" ht="15" customHeight="1">
      <c r="C316" s="566">
        <f>+'Stock Data'!AM127</f>
        <v>45785</v>
      </c>
      <c r="D316" s="545">
        <f>_xlfn.XLOOKUP(C316,'Stock Data'!$AM$4:$AM$1051,'Stock Data'!$AN$4:$AN$1051)</f>
        <v>11.61</v>
      </c>
    </row>
    <row r="317" spans="3:4" ht="15" customHeight="1">
      <c r="C317" s="566">
        <f>+'Stock Data'!AM128</f>
        <v>45784</v>
      </c>
      <c r="D317" s="545">
        <f>_xlfn.XLOOKUP(C317,'Stock Data'!$AM$4:$AM$1051,'Stock Data'!$AN$4:$AN$1051)</f>
        <v>10.84</v>
      </c>
    </row>
    <row r="318" spans="3:4" ht="15" customHeight="1">
      <c r="C318" s="566">
        <f>+'Stock Data'!AM129</f>
        <v>45783</v>
      </c>
      <c r="D318" s="545">
        <f>_xlfn.XLOOKUP(C318,'Stock Data'!$AM$4:$AM$1051,'Stock Data'!$AN$4:$AN$1051)</f>
        <v>9.6999999999999993</v>
      </c>
    </row>
    <row r="319" spans="3:4" ht="15" customHeight="1">
      <c r="C319" s="566">
        <f>+'Stock Data'!AM130</f>
        <v>45782</v>
      </c>
      <c r="D319" s="545">
        <f>_xlfn.XLOOKUP(C319,'Stock Data'!$AM$4:$AM$1051,'Stock Data'!$AN$4:$AN$1051)</f>
        <v>9.86</v>
      </c>
    </row>
    <row r="320" spans="3:4" ht="15" customHeight="1">
      <c r="C320" s="566">
        <f>+'Stock Data'!AM131</f>
        <v>45781</v>
      </c>
      <c r="D320" s="545">
        <f>_xlfn.XLOOKUP(C320,'Stock Data'!$AM$4:$AM$1051,'Stock Data'!$AN$4:$AN$1051)</f>
        <v>9.93</v>
      </c>
    </row>
    <row r="321" spans="3:4" ht="15" customHeight="1">
      <c r="C321" s="566">
        <f>+'Stock Data'!AM132</f>
        <v>45780</v>
      </c>
      <c r="D321" s="545">
        <f>_xlfn.XLOOKUP(C321,'Stock Data'!$AM$4:$AM$1051,'Stock Data'!$AN$4:$AN$1051)</f>
        <v>9.93</v>
      </c>
    </row>
    <row r="322" spans="3:4" ht="15" customHeight="1">
      <c r="C322" s="566">
        <f>+'Stock Data'!AM133</f>
        <v>45779</v>
      </c>
      <c r="D322" s="545">
        <f>_xlfn.XLOOKUP(C322,'Stock Data'!$AM$4:$AM$1051,'Stock Data'!$AN$4:$AN$1051)</f>
        <v>9.93</v>
      </c>
    </row>
    <row r="323" spans="3:4" ht="15" customHeight="1">
      <c r="C323" s="566">
        <f>+'Stock Data'!AM134</f>
        <v>45778</v>
      </c>
      <c r="D323" s="545">
        <f>_xlfn.XLOOKUP(C323,'Stock Data'!$AM$4:$AM$1051,'Stock Data'!$AN$4:$AN$1051)</f>
        <v>9.6</v>
      </c>
    </row>
    <row r="324" spans="3:4" ht="15" customHeight="1">
      <c r="C324" s="566">
        <f>+'Stock Data'!AM135</f>
        <v>45777</v>
      </c>
      <c r="D324" s="545">
        <f>_xlfn.XLOOKUP(C324,'Stock Data'!$AM$4:$AM$1051,'Stock Data'!$AN$4:$AN$1051)</f>
        <v>9.35</v>
      </c>
    </row>
    <row r="325" spans="3:4" ht="15" customHeight="1">
      <c r="C325" s="566">
        <f>+'Stock Data'!AM136</f>
        <v>45776</v>
      </c>
      <c r="D325" s="545">
        <f>_xlfn.XLOOKUP(C325,'Stock Data'!$AM$4:$AM$1051,'Stock Data'!$AN$4:$AN$1051)</f>
        <v>9.48</v>
      </c>
    </row>
    <row r="326" spans="3:4" ht="15" customHeight="1">
      <c r="C326" s="566">
        <f>+'Stock Data'!AM137</f>
        <v>45775</v>
      </c>
      <c r="D326" s="545">
        <f>_xlfn.XLOOKUP(C326,'Stock Data'!$AM$4:$AM$1051,'Stock Data'!$AN$4:$AN$1051)</f>
        <v>9.5</v>
      </c>
    </row>
    <row r="327" spans="3:4" ht="15" customHeight="1">
      <c r="C327" s="566">
        <f>+'Stock Data'!AM138</f>
        <v>45774</v>
      </c>
      <c r="D327" s="545">
        <f>_xlfn.XLOOKUP(C327,'Stock Data'!$AM$4:$AM$1051,'Stock Data'!$AN$4:$AN$1051)</f>
        <v>9.27</v>
      </c>
    </row>
    <row r="328" spans="3:4" ht="15" customHeight="1">
      <c r="C328" s="566">
        <f>+'Stock Data'!AM139</f>
        <v>45773</v>
      </c>
      <c r="D328" s="545">
        <f>_xlfn.XLOOKUP(C328,'Stock Data'!$AM$4:$AM$1051,'Stock Data'!$AN$4:$AN$1051)</f>
        <v>9.27</v>
      </c>
    </row>
    <row r="329" spans="3:4" ht="15" customHeight="1">
      <c r="C329" s="566">
        <f>+'Stock Data'!AM140</f>
        <v>45772</v>
      </c>
      <c r="D329" s="545">
        <f>_xlfn.XLOOKUP(C329,'Stock Data'!$AM$4:$AM$1051,'Stock Data'!$AN$4:$AN$1051)</f>
        <v>9.27</v>
      </c>
    </row>
    <row r="330" spans="3:4" ht="15" customHeight="1">
      <c r="C330" s="566">
        <f>+'Stock Data'!AM141</f>
        <v>45771</v>
      </c>
      <c r="D330" s="545">
        <f>_xlfn.XLOOKUP(C330,'Stock Data'!$AM$4:$AM$1051,'Stock Data'!$AN$4:$AN$1051)</f>
        <v>9.3699999999999992</v>
      </c>
    </row>
    <row r="331" spans="3:4" ht="15" customHeight="1">
      <c r="C331" s="566">
        <f>+'Stock Data'!AM142</f>
        <v>45770</v>
      </c>
      <c r="D331" s="545">
        <f>_xlfn.XLOOKUP(C331,'Stock Data'!$AM$4:$AM$1051,'Stock Data'!$AN$4:$AN$1051)</f>
        <v>8.86</v>
      </c>
    </row>
    <row r="332" spans="3:4" ht="15" customHeight="1">
      <c r="C332" s="566">
        <f>+'Stock Data'!AM143</f>
        <v>45769</v>
      </c>
      <c r="D332" s="545">
        <f>_xlfn.XLOOKUP(C332,'Stock Data'!$AM$4:$AM$1051,'Stock Data'!$AN$4:$AN$1051)</f>
        <v>8.44</v>
      </c>
    </row>
    <row r="333" spans="3:4" ht="15" customHeight="1">
      <c r="C333" s="566">
        <f>+'Stock Data'!AM144</f>
        <v>45768</v>
      </c>
      <c r="D333" s="545">
        <f>_xlfn.XLOOKUP(C333,'Stock Data'!$AM$4:$AM$1051,'Stock Data'!$AN$4:$AN$1051)</f>
        <v>7.98</v>
      </c>
    </row>
    <row r="334" spans="3:4" ht="15" customHeight="1">
      <c r="C334" s="566">
        <f>+'Stock Data'!AM145</f>
        <v>45767</v>
      </c>
      <c r="D334" s="545">
        <f>_xlfn.XLOOKUP(C334,'Stock Data'!$AM$4:$AM$1051,'Stock Data'!$AN$4:$AN$1051)</f>
        <v>8.3000000000000007</v>
      </c>
    </row>
    <row r="335" spans="3:4" ht="15" customHeight="1">
      <c r="C335" s="566">
        <f>+'Stock Data'!AM146</f>
        <v>45766</v>
      </c>
      <c r="D335" s="545">
        <f>_xlfn.XLOOKUP(C335,'Stock Data'!$AM$4:$AM$1051,'Stock Data'!$AN$4:$AN$1051)</f>
        <v>8.3000000000000007</v>
      </c>
    </row>
    <row r="336" spans="3:4" ht="15" customHeight="1">
      <c r="C336" s="566">
        <f>+'Stock Data'!AM147</f>
        <v>45765</v>
      </c>
      <c r="D336" s="545">
        <f>_xlfn.XLOOKUP(C336,'Stock Data'!$AM$4:$AM$1051,'Stock Data'!$AN$4:$AN$1051)</f>
        <v>8.3000000000000007</v>
      </c>
    </row>
    <row r="337" spans="3:4" ht="15" customHeight="1">
      <c r="C337" s="566">
        <f>+'Stock Data'!AM148</f>
        <v>45764</v>
      </c>
      <c r="D337" s="545">
        <f>_xlfn.XLOOKUP(C337,'Stock Data'!$AM$4:$AM$1051,'Stock Data'!$AN$4:$AN$1051)</f>
        <v>8.3000000000000007</v>
      </c>
    </row>
    <row r="338" spans="3:4" ht="15" customHeight="1">
      <c r="C338" s="566">
        <f>+'Stock Data'!AM149</f>
        <v>45763</v>
      </c>
      <c r="D338" s="545">
        <f>_xlfn.XLOOKUP(C338,'Stock Data'!$AM$4:$AM$1051,'Stock Data'!$AN$4:$AN$1051)</f>
        <v>8.35</v>
      </c>
    </row>
    <row r="339" spans="3:4" ht="15" customHeight="1">
      <c r="C339" s="566">
        <f>+'Stock Data'!AM150</f>
        <v>45762</v>
      </c>
      <c r="D339" s="545">
        <f>_xlfn.XLOOKUP(C339,'Stock Data'!$AM$4:$AM$1051,'Stock Data'!$AN$4:$AN$1051)</f>
        <v>8.49</v>
      </c>
    </row>
    <row r="340" spans="3:4" ht="15" customHeight="1">
      <c r="C340" s="566">
        <f>+'Stock Data'!AM151</f>
        <v>45761</v>
      </c>
      <c r="D340" s="545">
        <f>_xlfn.XLOOKUP(C340,'Stock Data'!$AM$4:$AM$1051,'Stock Data'!$AN$4:$AN$1051)</f>
        <v>8.27</v>
      </c>
    </row>
    <row r="341" spans="3:4" ht="15" customHeight="1">
      <c r="C341" s="566">
        <f>+'Stock Data'!AM152</f>
        <v>45760</v>
      </c>
      <c r="D341" s="545">
        <f>_xlfn.XLOOKUP(C341,'Stock Data'!$AM$4:$AM$1051,'Stock Data'!$AN$4:$AN$1051)</f>
        <v>8.4700000000000006</v>
      </c>
    </row>
    <row r="342" spans="3:4" ht="15" customHeight="1">
      <c r="C342" s="566">
        <f>+'Stock Data'!AM153</f>
        <v>45759</v>
      </c>
      <c r="D342" s="545">
        <f>_xlfn.XLOOKUP(C342,'Stock Data'!$AM$4:$AM$1051,'Stock Data'!$AN$4:$AN$1051)</f>
        <v>8.4700000000000006</v>
      </c>
    </row>
    <row r="343" spans="3:4" ht="15" customHeight="1">
      <c r="C343" s="566">
        <f>+'Stock Data'!AM154</f>
        <v>45758</v>
      </c>
      <c r="D343" s="545">
        <f>_xlfn.XLOOKUP(C343,'Stock Data'!$AM$4:$AM$1051,'Stock Data'!$AN$4:$AN$1051)</f>
        <v>8.4700000000000006</v>
      </c>
    </row>
    <row r="344" spans="3:4" ht="15" customHeight="1">
      <c r="C344" s="566">
        <f>+'Stock Data'!AM155</f>
        <v>45757</v>
      </c>
      <c r="D344" s="545">
        <f>_xlfn.XLOOKUP(C344,'Stock Data'!$AM$4:$AM$1051,'Stock Data'!$AN$4:$AN$1051)</f>
        <v>8.33</v>
      </c>
    </row>
    <row r="345" spans="3:4" ht="15" customHeight="1">
      <c r="C345" s="566">
        <f>+'Stock Data'!AM156</f>
        <v>45756</v>
      </c>
      <c r="D345" s="545">
        <f>_xlfn.XLOOKUP(C345,'Stock Data'!$AM$4:$AM$1051,'Stock Data'!$AN$4:$AN$1051)</f>
        <v>8.66</v>
      </c>
    </row>
    <row r="346" spans="3:4" ht="15" customHeight="1">
      <c r="C346" s="566">
        <f>+'Stock Data'!AM157</f>
        <v>45755</v>
      </c>
      <c r="D346" s="545">
        <f>_xlfn.XLOOKUP(C346,'Stock Data'!$AM$4:$AM$1051,'Stock Data'!$AN$4:$AN$1051)</f>
        <v>7.92</v>
      </c>
    </row>
    <row r="347" spans="3:4" ht="15" customHeight="1">
      <c r="C347" s="566">
        <f>+'Stock Data'!AM158</f>
        <v>45754</v>
      </c>
      <c r="D347" s="545">
        <f>_xlfn.XLOOKUP(C347,'Stock Data'!$AM$4:$AM$1051,'Stock Data'!$AN$4:$AN$1051)</f>
        <v>8.16</v>
      </c>
    </row>
    <row r="348" spans="3:4" ht="15" customHeight="1">
      <c r="C348" s="566">
        <f>+'Stock Data'!AM159</f>
        <v>45753</v>
      </c>
      <c r="D348" s="545">
        <f>_xlfn.XLOOKUP(C348,'Stock Data'!$AM$4:$AM$1051,'Stock Data'!$AN$4:$AN$1051)</f>
        <v>8.27</v>
      </c>
    </row>
    <row r="349" spans="3:4" ht="15" customHeight="1">
      <c r="C349" s="566">
        <f>+'Stock Data'!AM160</f>
        <v>45752</v>
      </c>
      <c r="D349" s="545">
        <f>_xlfn.XLOOKUP(C349,'Stock Data'!$AM$4:$AM$1051,'Stock Data'!$AN$4:$AN$1051)</f>
        <v>8.27</v>
      </c>
    </row>
    <row r="350" spans="3:4" ht="15" customHeight="1">
      <c r="C350" s="566">
        <f>+'Stock Data'!AM161</f>
        <v>45751</v>
      </c>
      <c r="D350" s="545">
        <f>_xlfn.XLOOKUP(C350,'Stock Data'!$AM$4:$AM$1051,'Stock Data'!$AN$4:$AN$1051)</f>
        <v>8.27</v>
      </c>
    </row>
    <row r="351" spans="3:4" ht="15" customHeight="1">
      <c r="C351" s="566">
        <f>+'Stock Data'!AM162</f>
        <v>45750</v>
      </c>
      <c r="D351" s="545">
        <f>_xlfn.XLOOKUP(C351,'Stock Data'!$AM$4:$AM$1051,'Stock Data'!$AN$4:$AN$1051)</f>
        <v>8.9600000000000009</v>
      </c>
    </row>
    <row r="352" spans="3:4" ht="15" customHeight="1">
      <c r="C352" s="566">
        <f>+'Stock Data'!AM163</f>
        <v>45749</v>
      </c>
      <c r="D352" s="545">
        <f>_xlfn.XLOOKUP(C352,'Stock Data'!$AM$4:$AM$1051,'Stock Data'!$AN$4:$AN$1051)</f>
        <v>9.7799999999999994</v>
      </c>
    </row>
    <row r="353" spans="3:4" ht="15" customHeight="1">
      <c r="C353" s="566">
        <f>+'Stock Data'!AM164</f>
        <v>45748</v>
      </c>
      <c r="D353" s="545">
        <f>_xlfn.XLOOKUP(C353,'Stock Data'!$AM$4:$AM$1051,'Stock Data'!$AN$4:$AN$1051)</f>
        <v>9.33</v>
      </c>
    </row>
    <row r="354" spans="3:4" ht="15" customHeight="1">
      <c r="C354" s="566">
        <f>+'Stock Data'!AM165</f>
        <v>45747</v>
      </c>
      <c r="D354" s="545">
        <f>_xlfn.XLOOKUP(C354,'Stock Data'!$AM$4:$AM$1051,'Stock Data'!$AN$4:$AN$1051)</f>
        <v>9.3000000000000007</v>
      </c>
    </row>
    <row r="355" spans="3:4" ht="15" customHeight="1">
      <c r="C355" s="566">
        <f>+'Stock Data'!AM166</f>
        <v>45746</v>
      </c>
      <c r="D355" s="545">
        <f>_xlfn.XLOOKUP(C355,'Stock Data'!$AM$4:$AM$1051,'Stock Data'!$AN$4:$AN$1051)</f>
        <v>9.51</v>
      </c>
    </row>
    <row r="356" spans="3:4" ht="15" customHeight="1">
      <c r="C356" s="566">
        <f>+'Stock Data'!AM167</f>
        <v>45745</v>
      </c>
      <c r="D356" s="545">
        <f>_xlfn.XLOOKUP(C356,'Stock Data'!$AM$4:$AM$1051,'Stock Data'!$AN$4:$AN$1051)</f>
        <v>9.51</v>
      </c>
    </row>
    <row r="357" spans="3:4" ht="15" customHeight="1">
      <c r="C357" s="566">
        <f>+'Stock Data'!AM168</f>
        <v>45744</v>
      </c>
      <c r="D357" s="545">
        <f>_xlfn.XLOOKUP(C357,'Stock Data'!$AM$4:$AM$1051,'Stock Data'!$AN$4:$AN$1051)</f>
        <v>9.51</v>
      </c>
    </row>
    <row r="358" spans="3:4" ht="15" customHeight="1">
      <c r="C358" s="566">
        <f>+'Stock Data'!AM169</f>
        <v>45743</v>
      </c>
      <c r="D358" s="545">
        <f>_xlfn.XLOOKUP(C358,'Stock Data'!$AM$4:$AM$1051,'Stock Data'!$AN$4:$AN$1051)</f>
        <v>9.32</v>
      </c>
    </row>
    <row r="359" spans="3:4" ht="15" customHeight="1">
      <c r="C359" s="566">
        <f>+'Stock Data'!AM170</f>
        <v>45742</v>
      </c>
      <c r="D359" s="545">
        <f>_xlfn.XLOOKUP(C359,'Stock Data'!$AM$4:$AM$1051,'Stock Data'!$AN$4:$AN$1051)</f>
        <v>9.9499999999999993</v>
      </c>
    </row>
    <row r="360" spans="3:4" ht="15" customHeight="1">
      <c r="C360" s="566">
        <f>+'Stock Data'!AM171</f>
        <v>45741</v>
      </c>
      <c r="D360" s="545">
        <f>_xlfn.XLOOKUP(C360,'Stock Data'!$AM$4:$AM$1051,'Stock Data'!$AN$4:$AN$1051)</f>
        <v>10.74</v>
      </c>
    </row>
    <row r="361" spans="3:4" ht="15" customHeight="1">
      <c r="C361" s="566">
        <f>+'Stock Data'!AM172</f>
        <v>45740</v>
      </c>
      <c r="D361" s="545">
        <f>_xlfn.XLOOKUP(C361,'Stock Data'!$AM$4:$AM$1051,'Stock Data'!$AN$4:$AN$1051)</f>
        <v>10.93</v>
      </c>
    </row>
    <row r="362" spans="3:4" ht="15" customHeight="1">
      <c r="C362" s="566">
        <f>+'Stock Data'!AM173</f>
        <v>45739</v>
      </c>
      <c r="D362" s="545">
        <f>_xlfn.XLOOKUP(C362,'Stock Data'!$AM$4:$AM$1051,'Stock Data'!$AN$4:$AN$1051)</f>
        <v>9.76</v>
      </c>
    </row>
    <row r="363" spans="3:4" ht="15" customHeight="1">
      <c r="C363" s="566">
        <f>+'Stock Data'!AM174</f>
        <v>45738</v>
      </c>
      <c r="D363" s="545">
        <f>_xlfn.XLOOKUP(C363,'Stock Data'!$AM$4:$AM$1051,'Stock Data'!$AN$4:$AN$1051)</f>
        <v>9.76</v>
      </c>
    </row>
    <row r="364" spans="3:4" ht="15" customHeight="1">
      <c r="C364" s="566">
        <f>+'Stock Data'!AM175</f>
        <v>45737</v>
      </c>
      <c r="D364" s="545">
        <f>_xlfn.XLOOKUP(C364,'Stock Data'!$AM$4:$AM$1051,'Stock Data'!$AN$4:$AN$1051)</f>
        <v>9.76</v>
      </c>
    </row>
    <row r="365" spans="3:4" ht="15" customHeight="1">
      <c r="C365" s="566">
        <f>+'Stock Data'!AM176</f>
        <v>45736</v>
      </c>
      <c r="D365" s="545">
        <f>_xlfn.XLOOKUP(C365,'Stock Data'!$AM$4:$AM$1051,'Stock Data'!$AN$4:$AN$1051)</f>
        <v>9.91</v>
      </c>
    </row>
    <row r="366" spans="3:4" ht="15" customHeight="1">
      <c r="C366" s="566">
        <f>+'Stock Data'!AM177</f>
        <v>45735</v>
      </c>
      <c r="D366" s="545">
        <f>_xlfn.XLOOKUP(C366,'Stock Data'!$AM$4:$AM$1051,'Stock Data'!$AN$4:$AN$1051)</f>
        <v>9.68</v>
      </c>
    </row>
    <row r="367" spans="3:4" ht="15" customHeight="1">
      <c r="C367" s="566">
        <f>+'Stock Data'!AM178</f>
        <v>45734</v>
      </c>
      <c r="D367" s="545">
        <f>_xlfn.XLOOKUP(C367,'Stock Data'!$AM$4:$AM$1051,'Stock Data'!$AN$4:$AN$1051)</f>
        <v>9.14</v>
      </c>
    </row>
    <row r="368" spans="3:4" ht="15" customHeight="1">
      <c r="C368" s="566">
        <f>+'Stock Data'!AM179</f>
        <v>45733</v>
      </c>
      <c r="D368" s="545">
        <f>_xlfn.XLOOKUP(C368,'Stock Data'!$AM$4:$AM$1051,'Stock Data'!$AN$4:$AN$1051)</f>
        <v>9.25</v>
      </c>
    </row>
    <row r="369" spans="3:4" ht="15" customHeight="1">
      <c r="C369" s="566">
        <f>+'Stock Data'!AM180</f>
        <v>45732</v>
      </c>
      <c r="D369" s="545">
        <f>_xlfn.XLOOKUP(C369,'Stock Data'!$AM$4:$AM$1051,'Stock Data'!$AN$4:$AN$1051)</f>
        <v>9.25</v>
      </c>
    </row>
    <row r="370" spans="3:4" ht="15" customHeight="1">
      <c r="C370" s="566">
        <f>+'Stock Data'!AM181</f>
        <v>45731</v>
      </c>
      <c r="D370" s="545">
        <f>_xlfn.XLOOKUP(C370,'Stock Data'!$AM$4:$AM$1051,'Stock Data'!$AN$4:$AN$1051)</f>
        <v>9.25</v>
      </c>
    </row>
    <row r="371" spans="3:4" ht="15" customHeight="1">
      <c r="C371" s="566">
        <f>+'Stock Data'!AM182</f>
        <v>45730</v>
      </c>
      <c r="D371" s="545">
        <f>_xlfn.XLOOKUP(C371,'Stock Data'!$AM$4:$AM$1051,'Stock Data'!$AN$4:$AN$1051)</f>
        <v>9.25</v>
      </c>
    </row>
    <row r="372" spans="3:4" ht="15" customHeight="1">
      <c r="C372" s="566">
        <f>+'Stock Data'!AM183</f>
        <v>45729</v>
      </c>
      <c r="D372" s="545">
        <f>_xlfn.XLOOKUP(C372,'Stock Data'!$AM$4:$AM$1051,'Stock Data'!$AN$4:$AN$1051)</f>
        <v>8.8800000000000008</v>
      </c>
    </row>
    <row r="373" spans="3:4" ht="15" customHeight="1">
      <c r="C373" s="566">
        <f>+'Stock Data'!AM184</f>
        <v>45728</v>
      </c>
      <c r="D373" s="545">
        <f>_xlfn.XLOOKUP(C373,'Stock Data'!$AM$4:$AM$1051,'Stock Data'!$AN$4:$AN$1051)</f>
        <v>9.35</v>
      </c>
    </row>
    <row r="374" spans="3:4" ht="15" customHeight="1">
      <c r="C374" s="566">
        <f>+'Stock Data'!AM185</f>
        <v>45727</v>
      </c>
      <c r="D374" s="545">
        <f>_xlfn.XLOOKUP(C374,'Stock Data'!$AM$4:$AM$1051,'Stock Data'!$AN$4:$AN$1051)</f>
        <v>9.2100000000000009</v>
      </c>
    </row>
    <row r="375" spans="3:4" ht="15" customHeight="1">
      <c r="C375" s="566">
        <f>+'Stock Data'!AM186</f>
        <v>45726</v>
      </c>
      <c r="D375" s="545">
        <f>_xlfn.XLOOKUP(C375,'Stock Data'!$AM$4:$AM$1051,'Stock Data'!$AN$4:$AN$1051)</f>
        <v>9.0500000000000007</v>
      </c>
    </row>
    <row r="376" spans="3:4" ht="15" customHeight="1">
      <c r="C376" s="566">
        <f>+'Stock Data'!AM187</f>
        <v>45725</v>
      </c>
      <c r="D376" s="545">
        <f>_xlfn.XLOOKUP(C376,'Stock Data'!$AM$4:$AM$1051,'Stock Data'!$AN$4:$AN$1051)</f>
        <v>9.65</v>
      </c>
    </row>
    <row r="377" spans="3:4" ht="15" customHeight="1">
      <c r="C377" s="566">
        <f>+'Stock Data'!AM188</f>
        <v>45724</v>
      </c>
      <c r="D377" s="545">
        <f>_xlfn.XLOOKUP(C377,'Stock Data'!$AM$4:$AM$1051,'Stock Data'!$AN$4:$AN$1051)</f>
        <v>9.65</v>
      </c>
    </row>
    <row r="378" spans="3:4" ht="15" customHeight="1">
      <c r="C378" s="566">
        <f>+'Stock Data'!AM189</f>
        <v>45723</v>
      </c>
      <c r="D378" s="545">
        <f>_xlfn.XLOOKUP(C378,'Stock Data'!$AM$4:$AM$1051,'Stock Data'!$AN$4:$AN$1051)</f>
        <v>9.65</v>
      </c>
    </row>
    <row r="379" spans="3:4" ht="15" customHeight="1">
      <c r="C379" s="566">
        <f>+'Stock Data'!AM190</f>
        <v>45722</v>
      </c>
      <c r="D379" s="545">
        <f>_xlfn.XLOOKUP(C379,'Stock Data'!$AM$4:$AM$1051,'Stock Data'!$AN$4:$AN$1051)</f>
        <v>9.69</v>
      </c>
    </row>
    <row r="380" spans="3:4" ht="15" customHeight="1">
      <c r="C380" s="566">
        <f>+'Stock Data'!AM191</f>
        <v>45721</v>
      </c>
      <c r="D380" s="545">
        <f>_xlfn.XLOOKUP(C380,'Stock Data'!$AM$4:$AM$1051,'Stock Data'!$AN$4:$AN$1051)</f>
        <v>10.36</v>
      </c>
    </row>
    <row r="381" spans="3:4" ht="15" customHeight="1">
      <c r="C381" s="566">
        <f>+'Stock Data'!AM192</f>
        <v>45720</v>
      </c>
      <c r="D381" s="545">
        <f>_xlfn.XLOOKUP(C381,'Stock Data'!$AM$4:$AM$1051,'Stock Data'!$AN$4:$AN$1051)</f>
        <v>9.35</v>
      </c>
    </row>
    <row r="382" spans="3:4" ht="15" customHeight="1">
      <c r="C382" s="566">
        <f>+'Stock Data'!AM193</f>
        <v>45719</v>
      </c>
      <c r="D382" s="545">
        <f>_xlfn.XLOOKUP(C382,'Stock Data'!$AM$4:$AM$1051,'Stock Data'!$AN$4:$AN$1051)</f>
        <v>9.59</v>
      </c>
    </row>
    <row r="383" spans="3:4" ht="15" customHeight="1">
      <c r="C383" s="566">
        <f>+'Stock Data'!AM194</f>
        <v>45718</v>
      </c>
      <c r="D383" s="545">
        <f>_xlfn.XLOOKUP(C383,'Stock Data'!$AM$4:$AM$1051,'Stock Data'!$AN$4:$AN$1051)</f>
        <v>9.86</v>
      </c>
    </row>
    <row r="384" spans="3:4" ht="15" customHeight="1">
      <c r="C384" s="566">
        <f>+'Stock Data'!AM195</f>
        <v>45717</v>
      </c>
      <c r="D384" s="545">
        <f>_xlfn.XLOOKUP(C384,'Stock Data'!$AM$4:$AM$1051,'Stock Data'!$AN$4:$AN$1051)</f>
        <v>9.86</v>
      </c>
    </row>
    <row r="385" spans="3:4" ht="15" customHeight="1">
      <c r="C385" s="566">
        <f>+'Stock Data'!AM196</f>
        <v>45716</v>
      </c>
      <c r="D385" s="545">
        <f>_xlfn.XLOOKUP(C385,'Stock Data'!$AM$4:$AM$1051,'Stock Data'!$AN$4:$AN$1051)</f>
        <v>9.86</v>
      </c>
    </row>
    <row r="386" spans="3:4" ht="15" customHeight="1">
      <c r="C386" s="566">
        <f>+'Stock Data'!AM197</f>
        <v>45715</v>
      </c>
      <c r="D386" s="545">
        <f>_xlfn.XLOOKUP(C386,'Stock Data'!$AM$4:$AM$1051,'Stock Data'!$AN$4:$AN$1051)</f>
        <v>10.130000000000001</v>
      </c>
    </row>
    <row r="387" spans="3:4" ht="15" customHeight="1">
      <c r="C387" s="566">
        <f>+'Stock Data'!AM198</f>
        <v>45714</v>
      </c>
      <c r="D387" s="545">
        <f>_xlfn.XLOOKUP(C387,'Stock Data'!$AM$4:$AM$1051,'Stock Data'!$AN$4:$AN$1051)</f>
        <v>10.51</v>
      </c>
    </row>
    <row r="388" spans="3:4" ht="15" customHeight="1">
      <c r="C388" s="566">
        <f>+'Stock Data'!AM199</f>
        <v>45713</v>
      </c>
      <c r="D388" s="545">
        <f>_xlfn.XLOOKUP(C388,'Stock Data'!$AM$4:$AM$1051,'Stock Data'!$AN$4:$AN$1051)</f>
        <v>10.7</v>
      </c>
    </row>
    <row r="389" spans="3:4" ht="15" customHeight="1">
      <c r="C389" s="566">
        <f>+'Stock Data'!AM200</f>
        <v>45712</v>
      </c>
      <c r="D389" s="545">
        <f>_xlfn.XLOOKUP(C389,'Stock Data'!$AM$4:$AM$1051,'Stock Data'!$AN$4:$AN$1051)</f>
        <v>10.93</v>
      </c>
    </row>
    <row r="390" spans="3:4" ht="15" customHeight="1">
      <c r="C390" s="566">
        <f>+'Stock Data'!AM201</f>
        <v>45711</v>
      </c>
      <c r="D390" s="545">
        <f>_xlfn.XLOOKUP(C390,'Stock Data'!$AM$4:$AM$1051,'Stock Data'!$AN$4:$AN$1051)</f>
        <v>11.29</v>
      </c>
    </row>
    <row r="391" spans="3:4" ht="15" customHeight="1">
      <c r="C391" s="566">
        <f>+'Stock Data'!AM202</f>
        <v>45710</v>
      </c>
      <c r="D391" s="545">
        <f>_xlfn.XLOOKUP(C391,'Stock Data'!$AM$4:$AM$1051,'Stock Data'!$AN$4:$AN$1051)</f>
        <v>11.29</v>
      </c>
    </row>
    <row r="392" spans="3:4" ht="15" customHeight="1">
      <c r="C392" s="566">
        <f>+'Stock Data'!AM203</f>
        <v>45709</v>
      </c>
      <c r="D392" s="545">
        <f>_xlfn.XLOOKUP(C392,'Stock Data'!$AM$4:$AM$1051,'Stock Data'!$AN$4:$AN$1051)</f>
        <v>11.29</v>
      </c>
    </row>
    <row r="393" spans="3:4" ht="15" customHeight="1">
      <c r="C393" s="566">
        <f>+'Stock Data'!AM204</f>
        <v>45708</v>
      </c>
      <c r="D393" s="545">
        <f>_xlfn.XLOOKUP(C393,'Stock Data'!$AM$4:$AM$1051,'Stock Data'!$AN$4:$AN$1051)</f>
        <v>11.32</v>
      </c>
    </row>
    <row r="394" spans="3:4" ht="15" customHeight="1">
      <c r="C394" s="566">
        <f>+'Stock Data'!AM205</f>
        <v>45707</v>
      </c>
      <c r="D394" s="545">
        <f>_xlfn.XLOOKUP(C394,'Stock Data'!$AM$4:$AM$1051,'Stock Data'!$AN$4:$AN$1051)</f>
        <v>11.62</v>
      </c>
    </row>
    <row r="395" spans="3:4" ht="15" customHeight="1">
      <c r="C395" s="566">
        <f>+'Stock Data'!AM206</f>
        <v>45706</v>
      </c>
      <c r="D395" s="545">
        <f>_xlfn.XLOOKUP(C395,'Stock Data'!$AM$4:$AM$1051,'Stock Data'!$AN$4:$AN$1051)</f>
        <v>12</v>
      </c>
    </row>
    <row r="396" spans="3:4" ht="15" customHeight="1">
      <c r="C396" s="566">
        <f>+'Stock Data'!AM207</f>
        <v>45705</v>
      </c>
      <c r="D396" s="545">
        <f>_xlfn.XLOOKUP(C396,'Stock Data'!$AM$4:$AM$1051,'Stock Data'!$AN$4:$AN$1051)</f>
        <v>13.11</v>
      </c>
    </row>
    <row r="397" spans="3:4" ht="15" customHeight="1">
      <c r="C397" s="566">
        <f>+'Stock Data'!AM208</f>
        <v>45704</v>
      </c>
      <c r="D397" s="545">
        <f>_xlfn.XLOOKUP(C397,'Stock Data'!$AM$4:$AM$1051,'Stock Data'!$AN$4:$AN$1051)</f>
        <v>13.11</v>
      </c>
    </row>
    <row r="398" spans="3:4" ht="15" customHeight="1">
      <c r="C398" s="566">
        <f>+'Stock Data'!AM209</f>
        <v>45703</v>
      </c>
      <c r="D398" s="545">
        <f>_xlfn.XLOOKUP(C398,'Stock Data'!$AM$4:$AM$1051,'Stock Data'!$AN$4:$AN$1051)</f>
        <v>13.11</v>
      </c>
    </row>
    <row r="399" spans="3:4" ht="15" customHeight="1">
      <c r="C399" s="566">
        <f>+'Stock Data'!AM210</f>
        <v>45702</v>
      </c>
      <c r="D399" s="545">
        <f>_xlfn.XLOOKUP(C399,'Stock Data'!$AM$4:$AM$1051,'Stock Data'!$AN$4:$AN$1051)</f>
        <v>13.11</v>
      </c>
    </row>
    <row r="400" spans="3:4" ht="15" customHeight="1">
      <c r="C400" s="566">
        <f>+'Stock Data'!AM211</f>
        <v>45701</v>
      </c>
      <c r="D400" s="545">
        <f>_xlfn.XLOOKUP(C400,'Stock Data'!$AM$4:$AM$1051,'Stock Data'!$AN$4:$AN$1051)</f>
        <v>13.03</v>
      </c>
    </row>
    <row r="401" spans="3:4" ht="15" customHeight="1">
      <c r="C401" s="566">
        <f>+'Stock Data'!AM212</f>
        <v>45700</v>
      </c>
      <c r="D401" s="545">
        <f>_xlfn.XLOOKUP(C401,'Stock Data'!$AM$4:$AM$1051,'Stock Data'!$AN$4:$AN$1051)</f>
        <v>14.3</v>
      </c>
    </row>
    <row r="402" spans="3:4" ht="15" customHeight="1">
      <c r="C402" s="566">
        <f>+'Stock Data'!AM213</f>
        <v>45699</v>
      </c>
      <c r="D402" s="545">
        <f>_xlfn.XLOOKUP(C402,'Stock Data'!$AM$4:$AM$1051,'Stock Data'!$AN$4:$AN$1051)</f>
        <v>15</v>
      </c>
    </row>
    <row r="403" spans="3:4" ht="15" customHeight="1">
      <c r="C403" s="566">
        <f>+'Stock Data'!AM214</f>
        <v>45698</v>
      </c>
      <c r="D403" s="545">
        <f>_xlfn.XLOOKUP(C403,'Stock Data'!$AM$4:$AM$1051,'Stock Data'!$AN$4:$AN$1051)</f>
        <v>15.42</v>
      </c>
    </row>
    <row r="404" spans="3:4" ht="15" customHeight="1">
      <c r="C404" s="566">
        <f>+'Stock Data'!AM215</f>
        <v>45697</v>
      </c>
      <c r="D404" s="545">
        <f>_xlfn.XLOOKUP(C404,'Stock Data'!$AM$4:$AM$1051,'Stock Data'!$AN$4:$AN$1051)</f>
        <v>16.940000000000001</v>
      </c>
    </row>
    <row r="405" spans="3:4" ht="15" customHeight="1">
      <c r="C405" s="566">
        <f>+'Stock Data'!AM216</f>
        <v>45696</v>
      </c>
      <c r="D405" s="545">
        <f>_xlfn.XLOOKUP(C405,'Stock Data'!$AM$4:$AM$1051,'Stock Data'!$AN$4:$AN$1051)</f>
        <v>16.940000000000001</v>
      </c>
    </row>
    <row r="406" spans="3:4" ht="15" customHeight="1">
      <c r="C406" s="566">
        <f>+'Stock Data'!AM217</f>
        <v>45695</v>
      </c>
      <c r="D406" s="545">
        <f>_xlfn.XLOOKUP(C406,'Stock Data'!$AM$4:$AM$1051,'Stock Data'!$AN$4:$AN$1051)</f>
        <v>16.940000000000001</v>
      </c>
    </row>
    <row r="407" spans="3:4" ht="15" customHeight="1">
      <c r="C407" s="566">
        <f>+'Stock Data'!AM218</f>
        <v>45694</v>
      </c>
      <c r="D407" s="545">
        <f>_xlfn.XLOOKUP(C407,'Stock Data'!$AM$4:$AM$1051,'Stock Data'!$AN$4:$AN$1051)</f>
        <v>16.36</v>
      </c>
    </row>
    <row r="408" spans="3:4" ht="15" customHeight="1">
      <c r="C408" s="566">
        <f>+'Stock Data'!AM219</f>
        <v>45693</v>
      </c>
      <c r="D408" s="545">
        <f>_xlfn.XLOOKUP(C408,'Stock Data'!$AM$4:$AM$1051,'Stock Data'!$AN$4:$AN$1051)</f>
        <v>15.57</v>
      </c>
    </row>
    <row r="409" spans="3:4" ht="15" customHeight="1">
      <c r="C409" s="566">
        <f>+'Stock Data'!AM220</f>
        <v>45692</v>
      </c>
      <c r="D409" s="545">
        <f>_xlfn.XLOOKUP(C409,'Stock Data'!$AM$4:$AM$1051,'Stock Data'!$AN$4:$AN$1051)</f>
        <v>15</v>
      </c>
    </row>
    <row r="410" spans="3:4" ht="15" customHeight="1">
      <c r="C410" s="566">
        <f>+'Stock Data'!AM221</f>
        <v>45691</v>
      </c>
      <c r="D410" s="545">
        <f>_xlfn.XLOOKUP(C410,'Stock Data'!$AM$4:$AM$1051,'Stock Data'!$AN$4:$AN$1051)</f>
        <v>13.77</v>
      </c>
    </row>
    <row r="411" spans="3:4" ht="15" customHeight="1">
      <c r="C411" s="566">
        <f>+'Stock Data'!AM222</f>
        <v>45690</v>
      </c>
      <c r="D411" s="545">
        <f>_xlfn.XLOOKUP(C411,'Stock Data'!$AM$4:$AM$1051,'Stock Data'!$AN$4:$AN$1051)</f>
        <v>13.71</v>
      </c>
    </row>
    <row r="412" spans="3:4" ht="15" customHeight="1">
      <c r="C412" s="566">
        <f>+'Stock Data'!AM223</f>
        <v>45689</v>
      </c>
      <c r="D412" s="545">
        <f>_xlfn.XLOOKUP(C412,'Stock Data'!$AM$4:$AM$1051,'Stock Data'!$AN$4:$AN$1051)</f>
        <v>13.71</v>
      </c>
    </row>
    <row r="413" spans="3:4" ht="15" customHeight="1">
      <c r="C413" s="566">
        <f>+'Stock Data'!AM224</f>
        <v>45688</v>
      </c>
      <c r="D413" s="545">
        <f>_xlfn.XLOOKUP(C413,'Stock Data'!$AM$4:$AM$1051,'Stock Data'!$AN$4:$AN$1051)</f>
        <v>13.71</v>
      </c>
    </row>
    <row r="414" spans="3:4" ht="15" customHeight="1">
      <c r="C414" s="566">
        <f>+'Stock Data'!AM225</f>
        <v>45687</v>
      </c>
      <c r="D414" s="545">
        <f>_xlfn.XLOOKUP(C414,'Stock Data'!$AM$4:$AM$1051,'Stock Data'!$AN$4:$AN$1051)</f>
        <v>13.81</v>
      </c>
    </row>
    <row r="415" spans="3:4" ht="15" customHeight="1">
      <c r="C415" s="566">
        <f>+'Stock Data'!AM226</f>
        <v>45686</v>
      </c>
      <c r="D415" s="545">
        <f>_xlfn.XLOOKUP(C415,'Stock Data'!$AM$4:$AM$1051,'Stock Data'!$AN$4:$AN$1051)</f>
        <v>13.85</v>
      </c>
    </row>
    <row r="416" spans="3:4" ht="15" customHeight="1">
      <c r="C416" s="566">
        <f>+'Stock Data'!AM227</f>
        <v>45685</v>
      </c>
      <c r="D416" s="545">
        <f>_xlfn.XLOOKUP(C416,'Stock Data'!$AM$4:$AM$1051,'Stock Data'!$AN$4:$AN$1051)</f>
        <v>13.88</v>
      </c>
    </row>
    <row r="417" spans="3:4" ht="15" customHeight="1">
      <c r="C417" s="566">
        <f>+'Stock Data'!AM228</f>
        <v>45684</v>
      </c>
      <c r="D417" s="545">
        <f>_xlfn.XLOOKUP(C417,'Stock Data'!$AM$4:$AM$1051,'Stock Data'!$AN$4:$AN$1051)</f>
        <v>12.49</v>
      </c>
    </row>
    <row r="418" spans="3:4" ht="15" customHeight="1">
      <c r="C418" s="566">
        <f>+'Stock Data'!AM229</f>
        <v>45683</v>
      </c>
      <c r="D418" s="545">
        <f>_xlfn.XLOOKUP(C418,'Stock Data'!$AM$4:$AM$1051,'Stock Data'!$AN$4:$AN$1051)</f>
        <v>12.64</v>
      </c>
    </row>
    <row r="419" spans="3:4" ht="15" customHeight="1">
      <c r="C419" s="566">
        <f>+'Stock Data'!AM230</f>
        <v>45682</v>
      </c>
      <c r="D419" s="545">
        <f>_xlfn.XLOOKUP(C419,'Stock Data'!$AM$4:$AM$1051,'Stock Data'!$AN$4:$AN$1051)</f>
        <v>12.64</v>
      </c>
    </row>
    <row r="420" spans="3:4" ht="15" customHeight="1">
      <c r="C420" s="566">
        <f>+'Stock Data'!AM231</f>
        <v>45681</v>
      </c>
      <c r="D420" s="545">
        <f>_xlfn.XLOOKUP(C420,'Stock Data'!$AM$4:$AM$1051,'Stock Data'!$AN$4:$AN$1051)</f>
        <v>12.64</v>
      </c>
    </row>
    <row r="421" spans="3:4" ht="15" customHeight="1">
      <c r="C421" s="566">
        <f>+'Stock Data'!AM232</f>
        <v>45680</v>
      </c>
      <c r="D421" s="545">
        <f>_xlfn.XLOOKUP(C421,'Stock Data'!$AM$4:$AM$1051,'Stock Data'!$AN$4:$AN$1051)</f>
        <v>12.04</v>
      </c>
    </row>
    <row r="422" spans="3:4" ht="15" customHeight="1">
      <c r="C422" s="566">
        <f>+'Stock Data'!AM233</f>
        <v>45679</v>
      </c>
      <c r="D422" s="545">
        <f>_xlfn.XLOOKUP(C422,'Stock Data'!$AM$4:$AM$1051,'Stock Data'!$AN$4:$AN$1051)</f>
        <v>11.84</v>
      </c>
    </row>
    <row r="423" spans="3:4" ht="15" customHeight="1">
      <c r="C423" s="566">
        <f>+'Stock Data'!AM234</f>
        <v>45678</v>
      </c>
      <c r="D423" s="545">
        <f>_xlfn.XLOOKUP(C423,'Stock Data'!$AM$4:$AM$1051,'Stock Data'!$AN$4:$AN$1051)</f>
        <v>11.92</v>
      </c>
    </row>
    <row r="424" spans="3:4" ht="15" customHeight="1">
      <c r="C424" s="566">
        <f>+'Stock Data'!AM235</f>
        <v>45677</v>
      </c>
      <c r="D424" s="545">
        <f>_xlfn.XLOOKUP(C424,'Stock Data'!$AM$4:$AM$1051,'Stock Data'!$AN$4:$AN$1051)</f>
        <v>11.02</v>
      </c>
    </row>
    <row r="425" spans="3:4" ht="15" customHeight="1">
      <c r="C425" s="566">
        <f>+'Stock Data'!AM236</f>
        <v>45676</v>
      </c>
      <c r="D425" s="545">
        <f>_xlfn.XLOOKUP(C425,'Stock Data'!$AM$4:$AM$1051,'Stock Data'!$AN$4:$AN$1051)</f>
        <v>11.02</v>
      </c>
    </row>
    <row r="426" spans="3:4" ht="15" customHeight="1">
      <c r="C426" s="566">
        <f>+'Stock Data'!AM237</f>
        <v>45675</v>
      </c>
      <c r="D426" s="545">
        <f>_xlfn.XLOOKUP(C426,'Stock Data'!$AM$4:$AM$1051,'Stock Data'!$AN$4:$AN$1051)</f>
        <v>11.02</v>
      </c>
    </row>
    <row r="427" spans="3:4" ht="15" customHeight="1">
      <c r="C427" s="566">
        <f>+'Stock Data'!AM238</f>
        <v>45674</v>
      </c>
      <c r="D427" s="545">
        <f>_xlfn.XLOOKUP(C427,'Stock Data'!$AM$4:$AM$1051,'Stock Data'!$AN$4:$AN$1051)</f>
        <v>11.02</v>
      </c>
    </row>
    <row r="428" spans="3:4" ht="15" customHeight="1">
      <c r="C428" s="566">
        <f>+'Stock Data'!AM239</f>
        <v>45673</v>
      </c>
      <c r="D428" s="545">
        <f>_xlfn.XLOOKUP(C428,'Stock Data'!$AM$4:$AM$1051,'Stock Data'!$AN$4:$AN$1051)</f>
        <v>11.26</v>
      </c>
    </row>
    <row r="429" spans="3:4" ht="15" customHeight="1">
      <c r="C429" s="566">
        <f>+'Stock Data'!AM240</f>
        <v>45672</v>
      </c>
      <c r="D429" s="545">
        <f>_xlfn.XLOOKUP(C429,'Stock Data'!$AM$4:$AM$1051,'Stock Data'!$AN$4:$AN$1051)</f>
        <v>11.91</v>
      </c>
    </row>
    <row r="430" spans="3:4" ht="15" customHeight="1">
      <c r="C430" s="566">
        <f>+'Stock Data'!AM241</f>
        <v>45671</v>
      </c>
      <c r="D430" s="545">
        <f>_xlfn.XLOOKUP(C430,'Stock Data'!$AM$4:$AM$1051,'Stock Data'!$AN$4:$AN$1051)</f>
        <v>10.61</v>
      </c>
    </row>
    <row r="431" spans="3:4" ht="15" customHeight="1">
      <c r="C431" s="566">
        <f>+'Stock Data'!AM242</f>
        <v>45670</v>
      </c>
      <c r="D431" s="545">
        <f>_xlfn.XLOOKUP(C431,'Stock Data'!$AM$4:$AM$1051,'Stock Data'!$AN$4:$AN$1051)</f>
        <v>9.74</v>
      </c>
    </row>
    <row r="432" spans="3:4" ht="15" customHeight="1">
      <c r="C432" s="566">
        <f>+'Stock Data'!AM243</f>
        <v>45669</v>
      </c>
      <c r="D432" s="545">
        <f>_xlfn.XLOOKUP(C432,'Stock Data'!$AM$4:$AM$1051,'Stock Data'!$AN$4:$AN$1051)</f>
        <v>9.2899999999999991</v>
      </c>
    </row>
    <row r="433" spans="3:4" ht="15" customHeight="1">
      <c r="C433" s="566">
        <f>+'Stock Data'!AM244</f>
        <v>45668</v>
      </c>
      <c r="D433" s="545">
        <f>_xlfn.XLOOKUP(C433,'Stock Data'!$AM$4:$AM$1051,'Stock Data'!$AN$4:$AN$1051)</f>
        <v>9.2899999999999991</v>
      </c>
    </row>
    <row r="434" spans="3:4" ht="15" customHeight="1">
      <c r="C434" s="566">
        <f>+'Stock Data'!AM245</f>
        <v>45667</v>
      </c>
      <c r="D434" s="545">
        <f>_xlfn.XLOOKUP(C434,'Stock Data'!$AM$4:$AM$1051,'Stock Data'!$AN$4:$AN$1051)</f>
        <v>9.2899999999999991</v>
      </c>
    </row>
    <row r="435" spans="3:4" ht="15" customHeight="1">
      <c r="C435" s="566">
        <f>+'Stock Data'!AM246</f>
        <v>45666</v>
      </c>
      <c r="D435" s="545">
        <f>_xlfn.XLOOKUP(C435,'Stock Data'!$AM$4:$AM$1051,'Stock Data'!$AN$4:$AN$1051)</f>
        <v>8.2200000000000006</v>
      </c>
    </row>
    <row r="436" spans="3:4" ht="15" customHeight="1">
      <c r="C436" s="566">
        <f>+'Stock Data'!AM247</f>
        <v>45665</v>
      </c>
      <c r="D436" s="545">
        <f>_xlfn.XLOOKUP(C436,'Stock Data'!$AM$4:$AM$1051,'Stock Data'!$AN$4:$AN$1051)</f>
        <v>8.2200000000000006</v>
      </c>
    </row>
    <row r="437" spans="3:4" ht="15" customHeight="1">
      <c r="C437" s="566">
        <f>+'Stock Data'!AM248</f>
        <v>45664</v>
      </c>
      <c r="D437" s="545">
        <f>_xlfn.XLOOKUP(C437,'Stock Data'!$AM$4:$AM$1051,'Stock Data'!$AN$4:$AN$1051)</f>
        <v>7.22</v>
      </c>
    </row>
    <row r="438" spans="3:4" ht="15" customHeight="1">
      <c r="C438" s="566">
        <f>+'Stock Data'!AM249</f>
        <v>45663</v>
      </c>
      <c r="D438" s="545">
        <f>_xlfn.XLOOKUP(C438,'Stock Data'!$AM$4:$AM$1051,'Stock Data'!$AN$4:$AN$1051)</f>
        <v>7.56</v>
      </c>
    </row>
    <row r="439" spans="3:4" ht="15" customHeight="1">
      <c r="C439" s="566">
        <f>+'Stock Data'!AM250</f>
        <v>45662</v>
      </c>
      <c r="D439" s="545">
        <f>_xlfn.XLOOKUP(C439,'Stock Data'!$AM$4:$AM$1051,'Stock Data'!$AN$4:$AN$1051)</f>
        <v>8.58</v>
      </c>
    </row>
    <row r="440" spans="3:4" ht="15" customHeight="1">
      <c r="C440" s="566">
        <f>+'Stock Data'!AM251</f>
        <v>45661</v>
      </c>
      <c r="D440" s="545">
        <f>_xlfn.XLOOKUP(C440,'Stock Data'!$AM$4:$AM$1051,'Stock Data'!$AN$4:$AN$1051)</f>
        <v>8.58</v>
      </c>
    </row>
    <row r="441" spans="3:4" ht="15" customHeight="1">
      <c r="C441" s="566">
        <f>+'Stock Data'!AM252</f>
        <v>45660</v>
      </c>
      <c r="D441" s="545">
        <f>_xlfn.XLOOKUP(C441,'Stock Data'!$AM$4:$AM$1051,'Stock Data'!$AN$4:$AN$1051)</f>
        <v>8.58</v>
      </c>
    </row>
    <row r="442" spans="3:4" ht="15" customHeight="1">
      <c r="C442" s="566">
        <f>+'Stock Data'!AM253</f>
        <v>45659</v>
      </c>
      <c r="D442" s="545">
        <f>_xlfn.XLOOKUP(C442,'Stock Data'!$AM$4:$AM$1051,'Stock Data'!$AN$4:$AN$1051)</f>
        <v>8.08</v>
      </c>
    </row>
    <row r="443" spans="3:4" ht="15" customHeight="1">
      <c r="C443" s="566">
        <f>+'Stock Data'!AM254</f>
        <v>45658</v>
      </c>
      <c r="D443" s="545">
        <f>_xlfn.XLOOKUP(C443,'Stock Data'!$AM$4:$AM$1051,'Stock Data'!$AN$4:$AN$1051)</f>
        <v>7.66</v>
      </c>
    </row>
    <row r="444" spans="3:4" ht="15" customHeight="1">
      <c r="C444" s="566">
        <f>+'Stock Data'!AM255</f>
        <v>45657</v>
      </c>
      <c r="D444" s="545">
        <f>_xlfn.XLOOKUP(C444,'Stock Data'!$AM$4:$AM$1051,'Stock Data'!$AN$4:$AN$1051)</f>
        <v>7.66</v>
      </c>
    </row>
    <row r="445" spans="3:4" ht="15" customHeight="1">
      <c r="C445" s="566">
        <f>+'Stock Data'!AM256</f>
        <v>45656</v>
      </c>
      <c r="D445" s="545">
        <f>_xlfn.XLOOKUP(C445,'Stock Data'!$AM$4:$AM$1051,'Stock Data'!$AN$4:$AN$1051)</f>
        <v>7.56</v>
      </c>
    </row>
    <row r="446" spans="3:4" ht="15" customHeight="1">
      <c r="C446" s="566">
        <f>+'Stock Data'!AM257</f>
        <v>45655</v>
      </c>
      <c r="D446" s="545">
        <f>_xlfn.XLOOKUP(C446,'Stock Data'!$AM$4:$AM$1051,'Stock Data'!$AN$4:$AN$1051)</f>
        <v>7.65</v>
      </c>
    </row>
    <row r="447" spans="3:4" ht="15" customHeight="1">
      <c r="C447" s="566">
        <f>+'Stock Data'!AM258</f>
        <v>45654</v>
      </c>
      <c r="D447" s="545">
        <f>_xlfn.XLOOKUP(C447,'Stock Data'!$AM$4:$AM$1051,'Stock Data'!$AN$4:$AN$1051)</f>
        <v>7.65</v>
      </c>
    </row>
    <row r="448" spans="3:4" ht="15" customHeight="1">
      <c r="C448" s="566">
        <f>+'Stock Data'!AM259</f>
        <v>45653</v>
      </c>
      <c r="D448" s="545">
        <f>_xlfn.XLOOKUP(C448,'Stock Data'!$AM$4:$AM$1051,'Stock Data'!$AN$4:$AN$1051)</f>
        <v>7.65</v>
      </c>
    </row>
    <row r="449" spans="3:4" ht="15" customHeight="1">
      <c r="C449" s="566">
        <f>+'Stock Data'!AM260</f>
        <v>45652</v>
      </c>
      <c r="D449" s="545">
        <f>_xlfn.XLOOKUP(C449,'Stock Data'!$AM$4:$AM$1051,'Stock Data'!$AN$4:$AN$1051)</f>
        <v>7.9</v>
      </c>
    </row>
    <row r="450" spans="3:4" ht="15" customHeight="1">
      <c r="C450" s="566">
        <f>+'Stock Data'!AM261</f>
        <v>45651</v>
      </c>
      <c r="D450" s="545">
        <f>_xlfn.XLOOKUP(C450,'Stock Data'!$AM$4:$AM$1051,'Stock Data'!$AN$4:$AN$1051)</f>
        <v>7.36</v>
      </c>
    </row>
    <row r="451" spans="3:4" ht="15" customHeight="1">
      <c r="C451" s="566">
        <f>+'Stock Data'!AM262</f>
        <v>45650</v>
      </c>
      <c r="D451" s="545">
        <f>_xlfn.XLOOKUP(C451,'Stock Data'!$AM$4:$AM$1051,'Stock Data'!$AN$4:$AN$1051)</f>
        <v>7.36</v>
      </c>
    </row>
    <row r="452" spans="3:4" ht="15" customHeight="1">
      <c r="C452" s="566">
        <f>+'Stock Data'!AM263</f>
        <v>45649</v>
      </c>
      <c r="D452" s="545">
        <f>_xlfn.XLOOKUP(C452,'Stock Data'!$AM$4:$AM$1051,'Stock Data'!$AN$4:$AN$1051)</f>
        <v>7.16</v>
      </c>
    </row>
    <row r="453" spans="3:4" ht="15" customHeight="1">
      <c r="C453" s="566">
        <f>+'Stock Data'!AM264</f>
        <v>45648</v>
      </c>
      <c r="D453" s="545">
        <f>_xlfn.XLOOKUP(C453,'Stock Data'!$AM$4:$AM$1051,'Stock Data'!$AN$4:$AN$1051)</f>
        <v>7.23</v>
      </c>
    </row>
    <row r="454" spans="3:4" ht="15" customHeight="1">
      <c r="C454" s="566">
        <f>+'Stock Data'!AM265</f>
        <v>45647</v>
      </c>
      <c r="D454" s="545">
        <f>_xlfn.XLOOKUP(C454,'Stock Data'!$AM$4:$AM$1051,'Stock Data'!$AN$4:$AN$1051)</f>
        <v>7.23</v>
      </c>
    </row>
    <row r="455" spans="3:4" ht="15" customHeight="1">
      <c r="C455" s="566">
        <f>+'Stock Data'!AM266</f>
        <v>45646</v>
      </c>
      <c r="D455" s="545">
        <f>_xlfn.XLOOKUP(C455,'Stock Data'!$AM$4:$AM$1051,'Stock Data'!$AN$4:$AN$1051)</f>
        <v>7.23</v>
      </c>
    </row>
    <row r="456" spans="3:4" ht="15" customHeight="1">
      <c r="C456" s="566">
        <f>+'Stock Data'!AM267</f>
        <v>45645</v>
      </c>
      <c r="D456" s="545">
        <f>_xlfn.XLOOKUP(C456,'Stock Data'!$AM$4:$AM$1051,'Stock Data'!$AN$4:$AN$1051)</f>
        <v>7.22</v>
      </c>
    </row>
    <row r="457" spans="3:4" ht="15" customHeight="1">
      <c r="C457" s="566">
        <f>+'Stock Data'!AM268</f>
        <v>45644</v>
      </c>
      <c r="D457" s="545">
        <f>_xlfn.XLOOKUP(C457,'Stock Data'!$AM$4:$AM$1051,'Stock Data'!$AN$4:$AN$1051)</f>
        <v>7.31</v>
      </c>
    </row>
    <row r="458" spans="3:4" ht="15" customHeight="1">
      <c r="C458" s="566">
        <f>+'Stock Data'!AM269</f>
        <v>45643</v>
      </c>
      <c r="D458" s="545">
        <f>_xlfn.XLOOKUP(C458,'Stock Data'!$AM$4:$AM$1051,'Stock Data'!$AN$4:$AN$1051)</f>
        <v>7.71</v>
      </c>
    </row>
    <row r="459" spans="3:4" ht="15" customHeight="1">
      <c r="C459" s="566">
        <f>+'Stock Data'!AM270</f>
        <v>45642</v>
      </c>
      <c r="D459" s="545">
        <f>_xlfn.XLOOKUP(C459,'Stock Data'!$AM$4:$AM$1051,'Stock Data'!$AN$4:$AN$1051)</f>
        <v>7.58</v>
      </c>
    </row>
    <row r="460" spans="3:4" ht="15" customHeight="1">
      <c r="C460" s="566">
        <f>+'Stock Data'!AM271</f>
        <v>45641</v>
      </c>
      <c r="D460" s="545">
        <f>_xlfn.XLOOKUP(C460,'Stock Data'!$AM$4:$AM$1051,'Stock Data'!$AN$4:$AN$1051)</f>
        <v>7.34</v>
      </c>
    </row>
    <row r="461" spans="3:4" ht="15" customHeight="1">
      <c r="C461" s="566">
        <f>+'Stock Data'!AM272</f>
        <v>45640</v>
      </c>
      <c r="D461" s="545">
        <f>_xlfn.XLOOKUP(C461,'Stock Data'!$AM$4:$AM$1051,'Stock Data'!$AN$4:$AN$1051)</f>
        <v>7.34</v>
      </c>
    </row>
    <row r="462" spans="3:4" ht="15" customHeight="1">
      <c r="C462" s="566">
        <f>+'Stock Data'!AM273</f>
        <v>45639</v>
      </c>
      <c r="D462" s="545">
        <f>_xlfn.XLOOKUP(C462,'Stock Data'!$AM$4:$AM$1051,'Stock Data'!$AN$4:$AN$1051)</f>
        <v>7.34</v>
      </c>
    </row>
    <row r="463" spans="3:4" ht="15" customHeight="1">
      <c r="C463" s="566">
        <f>+'Stock Data'!AM274</f>
        <v>45638</v>
      </c>
      <c r="D463" s="545">
        <f>_xlfn.XLOOKUP(C463,'Stock Data'!$AM$4:$AM$1051,'Stock Data'!$AN$4:$AN$1051)</f>
        <v>6.66</v>
      </c>
    </row>
    <row r="464" spans="3:4" ht="15" customHeight="1">
      <c r="C464" s="566">
        <f>+'Stock Data'!AM275</f>
        <v>45637</v>
      </c>
      <c r="D464" s="545">
        <f>_xlfn.XLOOKUP(C464,'Stock Data'!$AM$4:$AM$1051,'Stock Data'!$AN$4:$AN$1051)</f>
        <v>6.84</v>
      </c>
    </row>
    <row r="465" spans="3:4" ht="15" customHeight="1">
      <c r="C465" s="566">
        <f>+'Stock Data'!AM276</f>
        <v>45636</v>
      </c>
      <c r="D465" s="545">
        <f>_xlfn.XLOOKUP(C465,'Stock Data'!$AM$4:$AM$1051,'Stock Data'!$AN$4:$AN$1051)</f>
        <v>6.85</v>
      </c>
    </row>
    <row r="466" spans="3:4" ht="15" customHeight="1">
      <c r="C466" s="566">
        <f>+'Stock Data'!AM277</f>
        <v>45635</v>
      </c>
      <c r="D466" s="545">
        <f>_xlfn.XLOOKUP(C466,'Stock Data'!$AM$4:$AM$1051,'Stock Data'!$AN$4:$AN$1051)</f>
        <v>6.84</v>
      </c>
    </row>
    <row r="467" spans="3:4" ht="15" customHeight="1">
      <c r="C467" s="566">
        <f>+'Stock Data'!AM278</f>
        <v>45634</v>
      </c>
      <c r="D467" s="545">
        <f>_xlfn.XLOOKUP(C467,'Stock Data'!$AM$4:$AM$1051,'Stock Data'!$AN$4:$AN$1051)</f>
        <v>7.29</v>
      </c>
    </row>
    <row r="468" spans="3:4" ht="15" customHeight="1">
      <c r="C468" s="566">
        <f>+'Stock Data'!AM279</f>
        <v>45633</v>
      </c>
      <c r="D468" s="545">
        <f>_xlfn.XLOOKUP(C468,'Stock Data'!$AM$4:$AM$1051,'Stock Data'!$AN$4:$AN$1051)</f>
        <v>7.29</v>
      </c>
    </row>
    <row r="469" spans="3:4" ht="15" customHeight="1">
      <c r="C469" s="566">
        <f>+'Stock Data'!AM280</f>
        <v>45632</v>
      </c>
      <c r="D469" s="545">
        <f>_xlfn.XLOOKUP(C469,'Stock Data'!$AM$4:$AM$1051,'Stock Data'!$AN$4:$AN$1051)</f>
        <v>7.29</v>
      </c>
    </row>
    <row r="470" spans="3:4" ht="15" customHeight="1">
      <c r="C470" s="566">
        <f>+'Stock Data'!AM281</f>
        <v>45631</v>
      </c>
      <c r="D470" s="545">
        <f>_xlfn.XLOOKUP(C470,'Stock Data'!$AM$4:$AM$1051,'Stock Data'!$AN$4:$AN$1051)</f>
        <v>7.35</v>
      </c>
    </row>
    <row r="471" spans="3:4" ht="15" customHeight="1">
      <c r="C471" s="566">
        <f>+'Stock Data'!AM282</f>
        <v>45630</v>
      </c>
      <c r="D471" s="545">
        <f>_xlfn.XLOOKUP(C471,'Stock Data'!$AM$4:$AM$1051,'Stock Data'!$AN$4:$AN$1051)</f>
        <v>7.73</v>
      </c>
    </row>
    <row r="472" spans="3:4" ht="15" customHeight="1">
      <c r="C472" s="566">
        <f>+'Stock Data'!AM283</f>
        <v>45629</v>
      </c>
      <c r="D472" s="545">
        <f>_xlfn.XLOOKUP(C472,'Stock Data'!$AM$4:$AM$1051,'Stock Data'!$AN$4:$AN$1051)</f>
        <v>7.68</v>
      </c>
    </row>
    <row r="473" spans="3:4" ht="15" customHeight="1">
      <c r="C473" s="566">
        <f>+'Stock Data'!AM284</f>
        <v>45628</v>
      </c>
      <c r="D473" s="545">
        <f>_xlfn.XLOOKUP(C473,'Stock Data'!$AM$4:$AM$1051,'Stock Data'!$AN$4:$AN$1051)</f>
        <v>7.7</v>
      </c>
    </row>
    <row r="474" spans="3:4" ht="15" customHeight="1">
      <c r="C474" s="566">
        <f>+'Stock Data'!AM285</f>
        <v>45627</v>
      </c>
      <c r="D474" s="545">
        <f>_xlfn.XLOOKUP(C474,'Stock Data'!$AM$4:$AM$1051,'Stock Data'!$AN$4:$AN$1051)</f>
        <v>8.16</v>
      </c>
    </row>
    <row r="475" spans="3:4" ht="15" customHeight="1">
      <c r="C475" s="566">
        <f>+'Stock Data'!AM286</f>
        <v>45626</v>
      </c>
      <c r="D475" s="545">
        <f>_xlfn.XLOOKUP(C475,'Stock Data'!$AM$4:$AM$1051,'Stock Data'!$AN$4:$AN$1051)</f>
        <v>8.16</v>
      </c>
    </row>
    <row r="476" spans="3:4" ht="15" customHeight="1">
      <c r="C476" s="566">
        <f>+'Stock Data'!AM287</f>
        <v>45625</v>
      </c>
      <c r="D476" s="545">
        <f>_xlfn.XLOOKUP(C476,'Stock Data'!$AM$4:$AM$1051,'Stock Data'!$AN$4:$AN$1051)</f>
        <v>8.16</v>
      </c>
    </row>
    <row r="477" spans="3:4" ht="15" customHeight="1">
      <c r="C477" s="566">
        <f>+'Stock Data'!AM288</f>
        <v>45624</v>
      </c>
      <c r="D477" s="545">
        <f>_xlfn.XLOOKUP(C477,'Stock Data'!$AM$4:$AM$1051,'Stock Data'!$AN$4:$AN$1051)</f>
        <v>7.98</v>
      </c>
    </row>
    <row r="478" spans="3:4" ht="15" customHeight="1">
      <c r="C478" s="566">
        <f>+'Stock Data'!AM289</f>
        <v>45623</v>
      </c>
      <c r="D478" s="545">
        <f>_xlfn.XLOOKUP(C478,'Stock Data'!$AM$4:$AM$1051,'Stock Data'!$AN$4:$AN$1051)</f>
        <v>7.98</v>
      </c>
    </row>
    <row r="479" spans="3:4" ht="15" customHeight="1">
      <c r="C479" s="566">
        <f>+'Stock Data'!AM290</f>
        <v>45622</v>
      </c>
      <c r="D479" s="545">
        <f>_xlfn.XLOOKUP(C479,'Stock Data'!$AM$4:$AM$1051,'Stock Data'!$AN$4:$AN$1051)</f>
        <v>8</v>
      </c>
    </row>
    <row r="480" spans="3:4" ht="15" customHeight="1">
      <c r="C480" s="566">
        <f>+'Stock Data'!AM291</f>
        <v>45621</v>
      </c>
      <c r="D480" s="545">
        <f>_xlfn.XLOOKUP(C480,'Stock Data'!$AM$4:$AM$1051,'Stock Data'!$AN$4:$AN$1051)</f>
        <v>7.85</v>
      </c>
    </row>
    <row r="481" spans="3:4" ht="15" customHeight="1">
      <c r="C481" s="566">
        <f>+'Stock Data'!AM292</f>
        <v>45620</v>
      </c>
      <c r="D481" s="545">
        <f>_xlfn.XLOOKUP(C481,'Stock Data'!$AM$4:$AM$1051,'Stock Data'!$AN$4:$AN$1051)</f>
        <v>7.61</v>
      </c>
    </row>
    <row r="482" spans="3:4" ht="15" customHeight="1">
      <c r="C482" s="566">
        <f>+'Stock Data'!AM293</f>
        <v>45619</v>
      </c>
      <c r="D482" s="545">
        <f>_xlfn.XLOOKUP(C482,'Stock Data'!$AM$4:$AM$1051,'Stock Data'!$AN$4:$AN$1051)</f>
        <v>7.61</v>
      </c>
    </row>
    <row r="483" spans="3:4" ht="15" customHeight="1">
      <c r="C483" s="566">
        <f>+'Stock Data'!AM294</f>
        <v>45618</v>
      </c>
      <c r="D483" s="545">
        <f>_xlfn.XLOOKUP(C483,'Stock Data'!$AM$4:$AM$1051,'Stock Data'!$AN$4:$AN$1051)</f>
        <v>7.61</v>
      </c>
    </row>
    <row r="484" spans="3:4" ht="15" customHeight="1">
      <c r="C484" s="566">
        <f>+'Stock Data'!AM295</f>
        <v>45617</v>
      </c>
      <c r="D484" s="545">
        <f>_xlfn.XLOOKUP(C484,'Stock Data'!$AM$4:$AM$1051,'Stock Data'!$AN$4:$AN$1051)</f>
        <v>7.22</v>
      </c>
    </row>
    <row r="485" spans="3:4" ht="15" customHeight="1">
      <c r="C485" s="566">
        <f>+'Stock Data'!AM296</f>
        <v>45616</v>
      </c>
      <c r="D485" s="545">
        <f>_xlfn.XLOOKUP(C485,'Stock Data'!$AM$4:$AM$1051,'Stock Data'!$AN$4:$AN$1051)</f>
        <v>7.1</v>
      </c>
    </row>
    <row r="486" spans="3:4" ht="15" customHeight="1">
      <c r="C486" s="566">
        <f>+'Stock Data'!AM297</f>
        <v>45615</v>
      </c>
      <c r="D486" s="545">
        <f>_xlfn.XLOOKUP(C486,'Stock Data'!$AM$4:$AM$1051,'Stock Data'!$AN$4:$AN$1051)</f>
        <v>7.13</v>
      </c>
    </row>
    <row r="487" spans="3:4" ht="15" customHeight="1">
      <c r="C487" s="566">
        <f>+'Stock Data'!AM298</f>
        <v>45614</v>
      </c>
      <c r="D487" s="545">
        <f>_xlfn.XLOOKUP(C487,'Stock Data'!$AM$4:$AM$1051,'Stock Data'!$AN$4:$AN$1051)</f>
        <v>6.91</v>
      </c>
    </row>
    <row r="488" spans="3:4" ht="15" customHeight="1">
      <c r="C488" s="566">
        <f>+'Stock Data'!AM299</f>
        <v>45613</v>
      </c>
      <c r="D488" s="545">
        <f>_xlfn.XLOOKUP(C488,'Stock Data'!$AM$4:$AM$1051,'Stock Data'!$AN$4:$AN$1051)</f>
        <v>6.53</v>
      </c>
    </row>
    <row r="489" spans="3:4" ht="15" customHeight="1">
      <c r="C489" s="566">
        <f>+'Stock Data'!AM300</f>
        <v>45612</v>
      </c>
      <c r="D489" s="545">
        <f>_xlfn.XLOOKUP(C489,'Stock Data'!$AM$4:$AM$1051,'Stock Data'!$AN$4:$AN$1051)</f>
        <v>6.53</v>
      </c>
    </row>
    <row r="490" spans="3:4" ht="15" customHeight="1">
      <c r="C490" s="566">
        <f>+'Stock Data'!AM301</f>
        <v>45611</v>
      </c>
      <c r="D490" s="545">
        <f>_xlfn.XLOOKUP(C490,'Stock Data'!$AM$4:$AM$1051,'Stock Data'!$AN$4:$AN$1051)</f>
        <v>6.53</v>
      </c>
    </row>
    <row r="491" spans="3:4" ht="15" customHeight="1">
      <c r="C491" s="566">
        <f>+'Stock Data'!AM302</f>
        <v>45610</v>
      </c>
      <c r="D491" s="545">
        <f>_xlfn.XLOOKUP(C491,'Stock Data'!$AM$4:$AM$1051,'Stock Data'!$AN$4:$AN$1051)</f>
        <v>6.57</v>
      </c>
    </row>
    <row r="492" spans="3:4" ht="15" customHeight="1">
      <c r="C492" s="566">
        <f>+'Stock Data'!AM303</f>
        <v>45609</v>
      </c>
      <c r="D492" s="545">
        <f>_xlfn.XLOOKUP(C492,'Stock Data'!$AM$4:$AM$1051,'Stock Data'!$AN$4:$AN$1051)</f>
        <v>6.75</v>
      </c>
    </row>
    <row r="493" spans="3:4" ht="15" customHeight="1">
      <c r="C493" s="566">
        <f>+'Stock Data'!AM304</f>
        <v>45608</v>
      </c>
      <c r="D493" s="545">
        <f>_xlfn.XLOOKUP(C493,'Stock Data'!$AM$4:$AM$1051,'Stock Data'!$AN$4:$AN$1051)</f>
        <v>7.14</v>
      </c>
    </row>
    <row r="494" spans="3:4" ht="15" customHeight="1">
      <c r="C494" s="566">
        <f>+'Stock Data'!AM305</f>
        <v>45607</v>
      </c>
      <c r="D494" s="545">
        <f>_xlfn.XLOOKUP(C494,'Stock Data'!$AM$4:$AM$1051,'Stock Data'!$AN$4:$AN$1051)</f>
        <v>6.83</v>
      </c>
    </row>
    <row r="495" spans="3:4" ht="15" customHeight="1">
      <c r="C495" s="566">
        <f>+'Stock Data'!AM306</f>
        <v>45606</v>
      </c>
      <c r="D495" s="545">
        <f>_xlfn.XLOOKUP(C495,'Stock Data'!$AM$4:$AM$1051,'Stock Data'!$AN$4:$AN$1051)</f>
        <v>6.5</v>
      </c>
    </row>
    <row r="496" spans="3:4" ht="15" customHeight="1">
      <c r="C496" s="566">
        <f>+'Stock Data'!AM307</f>
        <v>45605</v>
      </c>
      <c r="D496" s="545">
        <f>_xlfn.XLOOKUP(C496,'Stock Data'!$AM$4:$AM$1051,'Stock Data'!$AN$4:$AN$1051)</f>
        <v>6.5</v>
      </c>
    </row>
    <row r="497" spans="3:4" ht="15" customHeight="1">
      <c r="C497" s="566">
        <f>+'Stock Data'!AM308</f>
        <v>45604</v>
      </c>
      <c r="D497" s="545">
        <f>_xlfn.XLOOKUP(C497,'Stock Data'!$AM$4:$AM$1051,'Stock Data'!$AN$4:$AN$1051)</f>
        <v>6.5</v>
      </c>
    </row>
    <row r="498" spans="3:4" ht="15" customHeight="1">
      <c r="C498" s="566">
        <f>+'Stock Data'!AM309</f>
        <v>45603</v>
      </c>
      <c r="D498" s="545">
        <f>_xlfn.XLOOKUP(C498,'Stock Data'!$AM$4:$AM$1051,'Stock Data'!$AN$4:$AN$1051)</f>
        <v>6.62</v>
      </c>
    </row>
    <row r="499" spans="3:4" ht="15" customHeight="1">
      <c r="C499" s="566">
        <f>+'Stock Data'!AM310</f>
        <v>45602</v>
      </c>
      <c r="D499" s="545">
        <f>_xlfn.XLOOKUP(C499,'Stock Data'!$AM$4:$AM$1051,'Stock Data'!$AN$4:$AN$1051)</f>
        <v>5.41</v>
      </c>
    </row>
    <row r="500" spans="3:4" ht="15" customHeight="1">
      <c r="C500" s="566">
        <f>+'Stock Data'!AM311</f>
        <v>45601</v>
      </c>
      <c r="D500" s="545">
        <f>_xlfn.XLOOKUP(C500,'Stock Data'!$AM$4:$AM$1051,'Stock Data'!$AN$4:$AN$1051)</f>
        <v>4.9400000000000004</v>
      </c>
    </row>
    <row r="501" spans="3:4" ht="15" customHeight="1">
      <c r="C501" s="566">
        <f>+'Stock Data'!AM312</f>
        <v>45600</v>
      </c>
      <c r="D501" s="545">
        <f>_xlfn.XLOOKUP(C501,'Stock Data'!$AM$4:$AM$1051,'Stock Data'!$AN$4:$AN$1051)</f>
        <v>4.8499999999999996</v>
      </c>
    </row>
    <row r="502" spans="3:4" ht="15" customHeight="1">
      <c r="C502" s="566">
        <f>+'Stock Data'!AM313</f>
        <v>45599</v>
      </c>
      <c r="D502" s="545">
        <f>_xlfn.XLOOKUP(C502,'Stock Data'!$AM$4:$AM$1051,'Stock Data'!$AN$4:$AN$1051)</f>
        <v>5.05</v>
      </c>
    </row>
    <row r="503" spans="3:4" ht="15" customHeight="1">
      <c r="C503" s="566">
        <f>+'Stock Data'!AM314</f>
        <v>45598</v>
      </c>
      <c r="D503" s="545">
        <f>_xlfn.XLOOKUP(C503,'Stock Data'!$AM$4:$AM$1051,'Stock Data'!$AN$4:$AN$1051)</f>
        <v>5.05</v>
      </c>
    </row>
    <row r="504" spans="3:4" ht="15" customHeight="1">
      <c r="C504" s="566">
        <f>+'Stock Data'!AM315</f>
        <v>45597</v>
      </c>
      <c r="D504" s="545">
        <f>_xlfn.XLOOKUP(C504,'Stock Data'!$AM$4:$AM$1051,'Stock Data'!$AN$4:$AN$1051)</f>
        <v>5.05</v>
      </c>
    </row>
    <row r="505" spans="3:4" ht="15" customHeight="1">
      <c r="C505" s="566">
        <f>+'Stock Data'!AM316</f>
        <v>45596</v>
      </c>
      <c r="D505" s="545">
        <f>_xlfn.XLOOKUP(C505,'Stock Data'!$AM$4:$AM$1051,'Stock Data'!$AN$4:$AN$1051)</f>
        <v>5.12</v>
      </c>
    </row>
    <row r="506" spans="3:4" ht="15" customHeight="1">
      <c r="C506" s="566">
        <f>+'Stock Data'!AM317</f>
        <v>45595</v>
      </c>
      <c r="D506" s="545">
        <f>_xlfn.XLOOKUP(C506,'Stock Data'!$AM$4:$AM$1051,'Stock Data'!$AN$4:$AN$1051)</f>
        <v>5.24</v>
      </c>
    </row>
    <row r="507" spans="3:4" ht="15" customHeight="1">
      <c r="C507" s="566">
        <f>+'Stock Data'!AM318</f>
        <v>45594</v>
      </c>
      <c r="D507" s="545">
        <f>_xlfn.XLOOKUP(C507,'Stock Data'!$AM$4:$AM$1051,'Stock Data'!$AN$4:$AN$1051)</f>
        <v>5.25</v>
      </c>
    </row>
    <row r="508" spans="3:4" ht="15" customHeight="1">
      <c r="C508" s="566">
        <f>+'Stock Data'!AM319</f>
        <v>45593</v>
      </c>
      <c r="D508" s="545">
        <f>_xlfn.XLOOKUP(C508,'Stock Data'!$AM$4:$AM$1051,'Stock Data'!$AN$4:$AN$1051)</f>
        <v>5.39</v>
      </c>
    </row>
    <row r="509" spans="3:4" ht="15" customHeight="1">
      <c r="C509" s="566">
        <f>+'Stock Data'!AM320</f>
        <v>45592</v>
      </c>
      <c r="D509" s="545">
        <f>_xlfn.XLOOKUP(C509,'Stock Data'!$AM$4:$AM$1051,'Stock Data'!$AN$4:$AN$1051)</f>
        <v>5.05</v>
      </c>
    </row>
    <row r="510" spans="3:4" ht="15" customHeight="1">
      <c r="C510" s="566">
        <f>+'Stock Data'!AM321</f>
        <v>45591</v>
      </c>
      <c r="D510" s="545">
        <f>_xlfn.XLOOKUP(C510,'Stock Data'!$AM$4:$AM$1051,'Stock Data'!$AN$4:$AN$1051)</f>
        <v>5.05</v>
      </c>
    </row>
    <row r="511" spans="3:4" ht="15" customHeight="1">
      <c r="C511" s="566">
        <f>+'Stock Data'!AM322</f>
        <v>45590</v>
      </c>
      <c r="D511" s="545">
        <f>_xlfn.XLOOKUP(C511,'Stock Data'!$AM$4:$AM$1051,'Stock Data'!$AN$4:$AN$1051)</f>
        <v>5.05</v>
      </c>
    </row>
    <row r="512" spans="3:4" ht="15" customHeight="1">
      <c r="C512" s="566">
        <f>+'Stock Data'!AM323</f>
        <v>45589</v>
      </c>
      <c r="D512" s="545">
        <f>_xlfn.XLOOKUP(C512,'Stock Data'!$AM$4:$AM$1051,'Stock Data'!$AN$4:$AN$1051)</f>
        <v>5.12</v>
      </c>
    </row>
    <row r="513" spans="3:4" ht="15" customHeight="1">
      <c r="C513" s="566">
        <f>+'Stock Data'!AM324</f>
        <v>45588</v>
      </c>
      <c r="D513" s="545">
        <f>_xlfn.XLOOKUP(C513,'Stock Data'!$AM$4:$AM$1051,'Stock Data'!$AN$4:$AN$1051)</f>
        <v>5.15</v>
      </c>
    </row>
    <row r="514" spans="3:4" ht="15" customHeight="1">
      <c r="C514" s="566">
        <f>+'Stock Data'!AM325</f>
        <v>45587</v>
      </c>
      <c r="D514" s="545">
        <f>_xlfn.XLOOKUP(C514,'Stock Data'!$AM$4:$AM$1051,'Stock Data'!$AN$4:$AN$1051)</f>
        <v>5.55</v>
      </c>
    </row>
    <row r="515" spans="3:4" ht="15" customHeight="1">
      <c r="C515" s="566">
        <f>+'Stock Data'!AM326</f>
        <v>45586</v>
      </c>
      <c r="D515" s="545">
        <f>_xlfn.XLOOKUP(C515,'Stock Data'!$AM$4:$AM$1051,'Stock Data'!$AN$4:$AN$1051)</f>
        <v>5.36</v>
      </c>
    </row>
    <row r="516" spans="3:4" ht="15" customHeight="1">
      <c r="C516" s="566">
        <f>+'Stock Data'!AM327</f>
        <v>45585</v>
      </c>
      <c r="D516" s="545">
        <f>_xlfn.XLOOKUP(C516,'Stock Data'!$AM$4:$AM$1051,'Stock Data'!$AN$4:$AN$1051)</f>
        <v>5.19</v>
      </c>
    </row>
    <row r="517" spans="3:4" ht="15" customHeight="1">
      <c r="C517" s="566">
        <f>+'Stock Data'!AM328</f>
        <v>45584</v>
      </c>
      <c r="D517" s="545">
        <f>_xlfn.XLOOKUP(C517,'Stock Data'!$AM$4:$AM$1051,'Stock Data'!$AN$4:$AN$1051)</f>
        <v>5.19</v>
      </c>
    </row>
    <row r="518" spans="3:4" ht="15" customHeight="1">
      <c r="C518" s="566">
        <f>+'Stock Data'!AM329</f>
        <v>45583</v>
      </c>
      <c r="D518" s="545">
        <f>_xlfn.XLOOKUP(C518,'Stock Data'!$AM$4:$AM$1051,'Stock Data'!$AN$4:$AN$1051)</f>
        <v>5.19</v>
      </c>
    </row>
    <row r="519" spans="3:4" ht="15" customHeight="1">
      <c r="C519" s="566">
        <f>+'Stock Data'!AM330</f>
        <v>45582</v>
      </c>
      <c r="D519" s="545">
        <f>_xlfn.XLOOKUP(C519,'Stock Data'!$AM$4:$AM$1051,'Stock Data'!$AN$4:$AN$1051)</f>
        <v>4.82</v>
      </c>
    </row>
    <row r="520" spans="3:4" ht="15" customHeight="1">
      <c r="C520" s="566">
        <f>+'Stock Data'!AM331</f>
        <v>45581</v>
      </c>
      <c r="D520" s="545">
        <f>_xlfn.XLOOKUP(C520,'Stock Data'!$AM$4:$AM$1051,'Stock Data'!$AN$4:$AN$1051)</f>
        <v>4.87</v>
      </c>
    </row>
    <row r="521" spans="3:4" ht="15" customHeight="1">
      <c r="C521" s="566">
        <f>+'Stock Data'!AM332</f>
        <v>45580</v>
      </c>
      <c r="D521" s="545">
        <f>_xlfn.XLOOKUP(C521,'Stock Data'!$AM$4:$AM$1051,'Stock Data'!$AN$4:$AN$1051)</f>
        <v>4.88</v>
      </c>
    </row>
    <row r="522" spans="3:4" ht="15" customHeight="1">
      <c r="C522" s="566">
        <f>+'Stock Data'!AM333</f>
        <v>45579</v>
      </c>
      <c r="D522" s="545">
        <f>_xlfn.XLOOKUP(C522,'Stock Data'!$AM$4:$AM$1051,'Stock Data'!$AN$4:$AN$1051)</f>
        <v>4.92</v>
      </c>
    </row>
    <row r="523" spans="3:4" ht="15" customHeight="1">
      <c r="C523" s="566">
        <f>+'Stock Data'!AM334</f>
        <v>45578</v>
      </c>
      <c r="D523" s="545">
        <f>_xlfn.XLOOKUP(C523,'Stock Data'!$AM$4:$AM$1051,'Stock Data'!$AN$4:$AN$1051)</f>
        <v>4.7</v>
      </c>
    </row>
    <row r="524" spans="3:4" ht="15" customHeight="1">
      <c r="C524" s="566">
        <f>+'Stock Data'!AM335</f>
        <v>45577</v>
      </c>
      <c r="D524" s="545">
        <f>_xlfn.XLOOKUP(C524,'Stock Data'!$AM$4:$AM$1051,'Stock Data'!$AN$4:$AN$1051)</f>
        <v>4.7</v>
      </c>
    </row>
    <row r="525" spans="3:4" ht="15" customHeight="1">
      <c r="C525" s="566">
        <f>+'Stock Data'!AM336</f>
        <v>45576</v>
      </c>
      <c r="D525" s="545">
        <f>_xlfn.XLOOKUP(C525,'Stock Data'!$AM$4:$AM$1051,'Stock Data'!$AN$4:$AN$1051)</f>
        <v>4.7</v>
      </c>
    </row>
    <row r="526" spans="3:4" ht="15" customHeight="1">
      <c r="C526" s="566">
        <f>+'Stock Data'!AM337</f>
        <v>45575</v>
      </c>
      <c r="D526" s="545">
        <f>_xlfn.XLOOKUP(C526,'Stock Data'!$AM$4:$AM$1051,'Stock Data'!$AN$4:$AN$1051)</f>
        <v>4.83</v>
      </c>
    </row>
    <row r="527" spans="3:4" ht="15" customHeight="1">
      <c r="C527" s="566">
        <f>+'Stock Data'!AM338</f>
        <v>45574</v>
      </c>
      <c r="D527" s="545">
        <f>_xlfn.XLOOKUP(C527,'Stock Data'!$AM$4:$AM$1051,'Stock Data'!$AN$4:$AN$1051)</f>
        <v>4.96</v>
      </c>
    </row>
    <row r="528" spans="3:4" ht="15" customHeight="1">
      <c r="C528" s="566">
        <f>+'Stock Data'!AM339</f>
        <v>45573</v>
      </c>
      <c r="D528" s="545">
        <f>_xlfn.XLOOKUP(C528,'Stock Data'!$AM$4:$AM$1051,'Stock Data'!$AN$4:$AN$1051)</f>
        <v>4.75</v>
      </c>
    </row>
    <row r="529" spans="3:4" ht="15" customHeight="1">
      <c r="C529" s="566">
        <f>+'Stock Data'!AM340</f>
        <v>45572</v>
      </c>
      <c r="D529" s="545">
        <f>_xlfn.XLOOKUP(C529,'Stock Data'!$AM$4:$AM$1051,'Stock Data'!$AN$4:$AN$1051)</f>
        <v>4.57</v>
      </c>
    </row>
    <row r="530" spans="3:4" ht="15" customHeight="1">
      <c r="C530" s="566">
        <f>+'Stock Data'!AM341</f>
        <v>45571</v>
      </c>
      <c r="D530" s="545">
        <f>_xlfn.XLOOKUP(C530,'Stock Data'!$AM$4:$AM$1051,'Stock Data'!$AN$4:$AN$1051)</f>
        <v>4.47</v>
      </c>
    </row>
    <row r="531" spans="3:4" ht="15" customHeight="1">
      <c r="C531" s="566">
        <f>+'Stock Data'!AM342</f>
        <v>45570</v>
      </c>
      <c r="D531" s="545">
        <f>_xlfn.XLOOKUP(C531,'Stock Data'!$AM$4:$AM$1051,'Stock Data'!$AN$4:$AN$1051)</f>
        <v>4.47</v>
      </c>
    </row>
    <row r="532" spans="3:4" ht="15" customHeight="1">
      <c r="C532" s="566">
        <f>+'Stock Data'!AM343</f>
        <v>45569</v>
      </c>
      <c r="D532" s="545">
        <f>_xlfn.XLOOKUP(C532,'Stock Data'!$AM$4:$AM$1051,'Stock Data'!$AN$4:$AN$1051)</f>
        <v>4.47</v>
      </c>
    </row>
    <row r="533" spans="3:4" ht="15" customHeight="1">
      <c r="C533" s="566">
        <f>+'Stock Data'!AM344</f>
        <v>45568</v>
      </c>
      <c r="D533" s="545">
        <f>_xlfn.XLOOKUP(C533,'Stock Data'!$AM$4:$AM$1051,'Stock Data'!$AN$4:$AN$1051)</f>
        <v>4.5199999999999996</v>
      </c>
    </row>
    <row r="534" spans="3:4" ht="15" customHeight="1">
      <c r="C534" s="566">
        <f>+'Stock Data'!AM345</f>
        <v>45567</v>
      </c>
      <c r="D534" s="545">
        <f>_xlfn.XLOOKUP(C534,'Stock Data'!$AM$4:$AM$1051,'Stock Data'!$AN$4:$AN$1051)</f>
        <v>4.6900000000000004</v>
      </c>
    </row>
    <row r="535" spans="3:4" ht="15" customHeight="1">
      <c r="C535" s="566">
        <f>+'Stock Data'!AM346</f>
        <v>45566</v>
      </c>
      <c r="D535" s="545">
        <f>_xlfn.XLOOKUP(C535,'Stock Data'!$AM$4:$AM$1051,'Stock Data'!$AN$4:$AN$1051)</f>
        <v>4.9400000000000004</v>
      </c>
    </row>
    <row r="536" spans="3:4" ht="15" customHeight="1">
      <c r="C536" s="566">
        <f>+'Stock Data'!AM347</f>
        <v>45565</v>
      </c>
      <c r="D536" s="545">
        <f>_xlfn.XLOOKUP(C536,'Stock Data'!$AM$4:$AM$1051,'Stock Data'!$AN$4:$AN$1051)</f>
        <v>4.7300000000000004</v>
      </c>
    </row>
    <row r="537" spans="3:4" ht="15" customHeight="1">
      <c r="C537" s="566">
        <f>+'Stock Data'!AM348</f>
        <v>45564</v>
      </c>
      <c r="D537" s="545">
        <f>_xlfn.XLOOKUP(C537,'Stock Data'!$AM$4:$AM$1051,'Stock Data'!$AN$4:$AN$1051)</f>
        <v>4.88</v>
      </c>
    </row>
    <row r="538" spans="3:4" ht="15" customHeight="1">
      <c r="C538" s="566">
        <f>+'Stock Data'!AM349</f>
        <v>45563</v>
      </c>
      <c r="D538" s="545">
        <f>_xlfn.XLOOKUP(C538,'Stock Data'!$AM$4:$AM$1051,'Stock Data'!$AN$4:$AN$1051)</f>
        <v>4.88</v>
      </c>
    </row>
    <row r="539" spans="3:4" ht="15" customHeight="1">
      <c r="C539" s="566">
        <f>+'Stock Data'!AM350</f>
        <v>45562</v>
      </c>
      <c r="D539" s="545">
        <f>_xlfn.XLOOKUP(C539,'Stock Data'!$AM$4:$AM$1051,'Stock Data'!$AN$4:$AN$1051)</f>
        <v>4.88</v>
      </c>
    </row>
    <row r="540" spans="3:4" ht="15" customHeight="1">
      <c r="C540" s="566">
        <f>+'Stock Data'!AM351</f>
        <v>45561</v>
      </c>
      <c r="D540" s="545">
        <f>_xlfn.XLOOKUP(C540,'Stock Data'!$AM$4:$AM$1051,'Stock Data'!$AN$4:$AN$1051)</f>
        <v>4.76</v>
      </c>
    </row>
    <row r="541" spans="3:4" ht="15" customHeight="1">
      <c r="C541" s="566">
        <f>+'Stock Data'!AM352</f>
        <v>45560</v>
      </c>
      <c r="D541" s="545">
        <f>_xlfn.XLOOKUP(C541,'Stock Data'!$AM$4:$AM$1051,'Stock Data'!$AN$4:$AN$1051)</f>
        <v>4.57</v>
      </c>
    </row>
    <row r="542" spans="3:4" ht="15" customHeight="1">
      <c r="C542" s="566">
        <f>+'Stock Data'!AM353</f>
        <v>45559</v>
      </c>
      <c r="D542" s="545">
        <f>_xlfn.XLOOKUP(C542,'Stock Data'!$AM$4:$AM$1051,'Stock Data'!$AN$4:$AN$1051)</f>
        <v>4.5</v>
      </c>
    </row>
    <row r="543" spans="3:4" ht="15" customHeight="1">
      <c r="C543" s="566">
        <f>+'Stock Data'!AM354</f>
        <v>45558</v>
      </c>
      <c r="D543" s="545">
        <f>_xlfn.XLOOKUP(C543,'Stock Data'!$AM$4:$AM$1051,'Stock Data'!$AN$4:$AN$1051)</f>
        <v>4.46</v>
      </c>
    </row>
    <row r="544" spans="3:4" ht="15" customHeight="1">
      <c r="C544" s="566">
        <f>+'Stock Data'!AM355</f>
        <v>45557</v>
      </c>
      <c r="D544" s="545">
        <f>_xlfn.XLOOKUP(C544,'Stock Data'!$AM$4:$AM$1051,'Stock Data'!$AN$4:$AN$1051)</f>
        <v>4.38</v>
      </c>
    </row>
    <row r="545" spans="3:4" ht="15" customHeight="1">
      <c r="C545" s="566">
        <f>+'Stock Data'!AM356</f>
        <v>45556</v>
      </c>
      <c r="D545" s="545">
        <f>_xlfn.XLOOKUP(C545,'Stock Data'!$AM$4:$AM$1051,'Stock Data'!$AN$4:$AN$1051)</f>
        <v>4.38</v>
      </c>
    </row>
    <row r="546" spans="3:4" ht="15" customHeight="1">
      <c r="C546" s="566">
        <f>+'Stock Data'!AM357</f>
        <v>45555</v>
      </c>
      <c r="D546" s="545">
        <f>_xlfn.XLOOKUP(C546,'Stock Data'!$AM$4:$AM$1051,'Stock Data'!$AN$4:$AN$1051)</f>
        <v>4.38</v>
      </c>
    </row>
    <row r="547" spans="3:4" ht="15" customHeight="1">
      <c r="C547" s="566">
        <f>+'Stock Data'!AM358</f>
        <v>45554</v>
      </c>
      <c r="D547" s="545">
        <f>_xlfn.XLOOKUP(C547,'Stock Data'!$AM$4:$AM$1051,'Stock Data'!$AN$4:$AN$1051)</f>
        <v>4.32</v>
      </c>
    </row>
    <row r="548" spans="3:4" ht="15" customHeight="1">
      <c r="C548" s="566">
        <f>+'Stock Data'!AM359</f>
        <v>45553</v>
      </c>
      <c r="D548" s="545">
        <f>_xlfn.XLOOKUP(C548,'Stock Data'!$AM$4:$AM$1051,'Stock Data'!$AN$4:$AN$1051)</f>
        <v>4.3600000000000003</v>
      </c>
    </row>
    <row r="549" spans="3:4" ht="15" customHeight="1">
      <c r="C549" s="566">
        <f>+'Stock Data'!AM360</f>
        <v>45552</v>
      </c>
      <c r="D549" s="545">
        <f>_xlfn.XLOOKUP(C549,'Stock Data'!$AM$4:$AM$1051,'Stock Data'!$AN$4:$AN$1051)</f>
        <v>4.46</v>
      </c>
    </row>
    <row r="550" spans="3:4" ht="15" customHeight="1">
      <c r="C550" s="566">
        <f>+'Stock Data'!AM361</f>
        <v>45551</v>
      </c>
      <c r="D550" s="545">
        <f>_xlfn.XLOOKUP(C550,'Stock Data'!$AM$4:$AM$1051,'Stock Data'!$AN$4:$AN$1051)</f>
        <v>4.3</v>
      </c>
    </row>
    <row r="551" spans="3:4" ht="15" customHeight="1">
      <c r="C551" s="566">
        <f>+'Stock Data'!AM362</f>
        <v>45550</v>
      </c>
      <c r="D551" s="545">
        <f>_xlfn.XLOOKUP(C551,'Stock Data'!$AM$4:$AM$1051,'Stock Data'!$AN$4:$AN$1051)</f>
        <v>4.33</v>
      </c>
    </row>
    <row r="552" spans="3:4" ht="15" customHeight="1">
      <c r="C552" s="566">
        <f>+'Stock Data'!AM363</f>
        <v>45549</v>
      </c>
      <c r="D552" s="545">
        <f>_xlfn.XLOOKUP(C552,'Stock Data'!$AM$4:$AM$1051,'Stock Data'!$AN$4:$AN$1051)</f>
        <v>4.33</v>
      </c>
    </row>
    <row r="553" spans="3:4" ht="15" customHeight="1">
      <c r="C553" s="566">
        <f>+'Stock Data'!AM364</f>
        <v>45548</v>
      </c>
      <c r="D553" s="545">
        <f>_xlfn.XLOOKUP(C553,'Stock Data'!$AM$4:$AM$1051,'Stock Data'!$AN$4:$AN$1051)</f>
        <v>4.33</v>
      </c>
    </row>
    <row r="554" spans="3:4" ht="15" customHeight="1">
      <c r="C554" s="566">
        <f>+'Stock Data'!AM365</f>
        <v>45547</v>
      </c>
      <c r="D554" s="545">
        <f>_xlfn.XLOOKUP(C554,'Stock Data'!$AM$4:$AM$1051,'Stock Data'!$AN$4:$AN$1051)</f>
        <v>4.26</v>
      </c>
    </row>
    <row r="555" spans="3:4" ht="15" customHeight="1">
      <c r="C555" s="566">
        <f>+'Stock Data'!AM366</f>
        <v>45546</v>
      </c>
      <c r="D555" s="545">
        <f>_xlfn.XLOOKUP(C555,'Stock Data'!$AM$4:$AM$1051,'Stock Data'!$AN$4:$AN$1051)</f>
        <v>4.18</v>
      </c>
    </row>
    <row r="556" spans="3:4" ht="15" customHeight="1">
      <c r="C556" s="566">
        <f>+'Stock Data'!AM367</f>
        <v>45545</v>
      </c>
      <c r="D556" s="545">
        <f>_xlfn.XLOOKUP(C556,'Stock Data'!$AM$4:$AM$1051,'Stock Data'!$AN$4:$AN$1051)</f>
        <v>4.0599999999999996</v>
      </c>
    </row>
    <row r="557" spans="3:4" ht="15" customHeight="1">
      <c r="C557" s="566">
        <f>+'Stock Data'!AM368</f>
        <v>45544</v>
      </c>
      <c r="D557" s="545">
        <f>_xlfn.XLOOKUP(C557,'Stock Data'!$AM$4:$AM$1051,'Stock Data'!$AN$4:$AN$1051)</f>
        <v>4.2699999999999996</v>
      </c>
    </row>
    <row r="558" spans="3:4" ht="15" customHeight="1">
      <c r="C558" s="566">
        <f>+'Stock Data'!AM369</f>
        <v>45543</v>
      </c>
      <c r="D558" s="545">
        <f>_xlfn.XLOOKUP(C558,'Stock Data'!$AM$4:$AM$1051,'Stock Data'!$AN$4:$AN$1051)</f>
        <v>4.07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AA42"/>
  <sheetViews>
    <sheetView showGridLines="0" zoomScaleNormal="100" workbookViewId="0">
      <selection activeCell="E16" sqref="E16"/>
    </sheetView>
  </sheetViews>
  <sheetFormatPr baseColWidth="10" defaultColWidth="9" defaultRowHeight="15" customHeight="1"/>
  <cols>
    <col min="1" max="1" width="2.1640625" style="23" customWidth="1"/>
    <col min="2" max="2" width="25.6640625" style="23" customWidth="1"/>
    <col min="3" max="4" width="11.6640625" style="23" customWidth="1"/>
    <col min="5" max="5" width="10.33203125" style="23" customWidth="1"/>
    <col min="6" max="6" width="25.6640625" style="23" customWidth="1"/>
    <col min="7" max="8" width="11.6640625" style="23" customWidth="1"/>
    <col min="9" max="9" width="10.33203125" style="23" customWidth="1"/>
    <col min="10" max="10" width="27.1640625" style="23" customWidth="1"/>
    <col min="11" max="12" width="11.6640625" style="23" customWidth="1"/>
    <col min="13" max="13" width="10.33203125" style="23" customWidth="1"/>
    <col min="14" max="14" width="25.6640625" style="23" customWidth="1"/>
    <col min="15" max="16" width="11.6640625" style="23" customWidth="1"/>
    <col min="17" max="22" width="9" style="23"/>
    <col min="23" max="23" width="31.1640625" style="23" customWidth="1"/>
    <col min="24" max="24" width="12.1640625" style="23" customWidth="1"/>
    <col min="25" max="25" width="9.6640625" style="23" customWidth="1"/>
    <col min="26" max="26" width="37.83203125" style="23" customWidth="1"/>
    <col min="27" max="16384" width="9" style="23"/>
  </cols>
  <sheetData>
    <row r="1" spans="2:27" s="546" customFormat="1" ht="15" customHeight="1"/>
    <row r="2" spans="2:27" s="546" customFormat="1" ht="15" customHeight="1"/>
    <row r="3" spans="2:27" s="546" customFormat="1" ht="15" customHeight="1"/>
    <row r="4" spans="2:27" s="546" customFormat="1" ht="15" customHeight="1"/>
    <row r="5" spans="2:27" s="36" customFormat="1" ht="4" customHeight="1"/>
    <row r="7" spans="2:27" ht="15" customHeight="1">
      <c r="B7" s="355" t="s">
        <v>1</v>
      </c>
      <c r="C7" s="185"/>
      <c r="D7" s="185"/>
      <c r="F7" s="355" t="s">
        <v>2</v>
      </c>
      <c r="G7" s="185"/>
      <c r="H7" s="185"/>
      <c r="J7" s="355" t="s">
        <v>3</v>
      </c>
      <c r="K7" s="185"/>
      <c r="L7" s="185"/>
      <c r="M7" s="185"/>
      <c r="N7" s="185"/>
      <c r="O7" s="185"/>
      <c r="P7" s="185"/>
    </row>
    <row r="8" spans="2:27" ht="15" customHeight="1">
      <c r="B8" s="355"/>
      <c r="C8" s="185"/>
      <c r="D8" s="185"/>
      <c r="F8" s="355"/>
      <c r="G8" s="185"/>
      <c r="H8" s="185"/>
      <c r="J8" s="185"/>
      <c r="K8" s="185"/>
      <c r="L8" s="185"/>
      <c r="M8" s="185"/>
      <c r="N8" s="185"/>
      <c r="O8" s="185"/>
      <c r="P8" s="185"/>
    </row>
    <row r="9" spans="2:27" ht="15" customHeight="1">
      <c r="B9" s="185"/>
      <c r="C9" s="185"/>
      <c r="D9" s="185"/>
      <c r="F9" s="185"/>
      <c r="G9" s="185"/>
      <c r="H9" s="185"/>
      <c r="J9" s="185"/>
      <c r="K9" s="185"/>
      <c r="L9" s="185"/>
      <c r="M9" s="185"/>
      <c r="N9" s="185"/>
      <c r="O9" s="185"/>
      <c r="P9" s="185"/>
    </row>
    <row r="10" spans="2:27" ht="4" customHeight="1">
      <c r="B10" s="36"/>
      <c r="C10" s="36"/>
      <c r="D10" s="36"/>
      <c r="F10" s="36"/>
      <c r="G10" s="36"/>
      <c r="H10" s="36"/>
      <c r="J10" s="36"/>
      <c r="K10" s="36"/>
      <c r="L10" s="36"/>
      <c r="M10" s="36"/>
      <c r="N10" s="36"/>
      <c r="O10" s="36"/>
      <c r="P10" s="36"/>
    </row>
    <row r="11" spans="2:27" ht="4" customHeight="1"/>
    <row r="12" spans="2:27" ht="15" customHeight="1">
      <c r="B12" s="518" t="s">
        <v>4</v>
      </c>
      <c r="F12" s="356" t="s">
        <v>5</v>
      </c>
      <c r="H12" s="525" t="s">
        <v>741</v>
      </c>
      <c r="J12" s="500"/>
    </row>
    <row r="13" spans="2:27" ht="15" customHeight="1">
      <c r="B13" s="538" t="s">
        <v>6</v>
      </c>
      <c r="F13" s="356" t="s">
        <v>7</v>
      </c>
      <c r="J13" s="500"/>
    </row>
    <row r="14" spans="2:27" ht="15" customHeight="1">
      <c r="B14" s="717" t="s">
        <v>8</v>
      </c>
      <c r="F14" s="356" t="s">
        <v>9</v>
      </c>
      <c r="J14" s="500"/>
      <c r="V14" s="444"/>
      <c r="W14" s="444"/>
      <c r="X14" s="444"/>
      <c r="Y14" s="444"/>
      <c r="Z14" s="444"/>
    </row>
    <row r="15" spans="2:27" ht="15" customHeight="1">
      <c r="B15" s="780" t="s">
        <v>10</v>
      </c>
      <c r="J15" s="500"/>
      <c r="V15" s="444"/>
      <c r="W15" s="827"/>
      <c r="X15" s="827"/>
      <c r="Y15" s="444"/>
      <c r="Z15" s="828"/>
      <c r="AA15" s="720"/>
    </row>
    <row r="16" spans="2:27" ht="15" customHeight="1">
      <c r="B16" s="538" t="s">
        <v>12</v>
      </c>
      <c r="F16" s="356" t="s">
        <v>13</v>
      </c>
      <c r="H16" s="554" t="s">
        <v>14</v>
      </c>
      <c r="J16" s="500"/>
      <c r="V16" s="444"/>
      <c r="W16" s="829"/>
      <c r="X16" s="830"/>
      <c r="Y16" s="444"/>
      <c r="Z16" s="831"/>
    </row>
    <row r="17" spans="2:26" ht="15" customHeight="1">
      <c r="B17" s="781" t="s">
        <v>15</v>
      </c>
      <c r="F17" s="356" t="s">
        <v>16</v>
      </c>
      <c r="G17" s="519"/>
      <c r="H17" s="554" t="s">
        <v>17</v>
      </c>
      <c r="V17" s="444"/>
      <c r="W17" s="832"/>
      <c r="X17" s="830"/>
      <c r="Y17" s="444"/>
      <c r="Z17" s="833"/>
    </row>
    <row r="18" spans="2:26" ht="15" customHeight="1">
      <c r="B18" s="518" t="s">
        <v>738</v>
      </c>
      <c r="V18" s="444"/>
      <c r="W18" s="829"/>
      <c r="X18" s="830"/>
      <c r="Y18" s="444"/>
      <c r="Z18" s="833"/>
    </row>
    <row r="19" spans="2:26" ht="15" customHeight="1">
      <c r="B19" s="538" t="s">
        <v>739</v>
      </c>
      <c r="F19" s="356" t="s">
        <v>20</v>
      </c>
      <c r="H19" s="718">
        <v>10.345000000000001</v>
      </c>
      <c r="V19" s="444"/>
      <c r="W19" s="832"/>
      <c r="X19" s="830"/>
      <c r="Y19" s="444"/>
      <c r="Z19" s="833"/>
    </row>
    <row r="20" spans="2:26" ht="15" customHeight="1">
      <c r="B20" s="781" t="s">
        <v>740</v>
      </c>
      <c r="F20" s="356" t="s">
        <v>22</v>
      </c>
      <c r="H20" s="718">
        <v>-296.62352940000005</v>
      </c>
      <c r="V20" s="444"/>
      <c r="W20" s="829"/>
      <c r="X20" s="830"/>
      <c r="Y20" s="444"/>
      <c r="Z20" s="833"/>
    </row>
    <row r="21" spans="2:26" ht="15" customHeight="1">
      <c r="B21" s="518" t="s">
        <v>18</v>
      </c>
      <c r="F21" s="357" t="s">
        <v>23</v>
      </c>
      <c r="G21" s="519"/>
      <c r="H21" s="550">
        <v>1.2550896406173706</v>
      </c>
      <c r="V21" s="444"/>
      <c r="W21" s="832"/>
      <c r="X21" s="830"/>
      <c r="Y21" s="444"/>
      <c r="Z21" s="833"/>
    </row>
    <row r="22" spans="2:26" ht="15" customHeight="1">
      <c r="B22" s="538" t="s">
        <v>19</v>
      </c>
      <c r="F22" s="357" t="s">
        <v>24</v>
      </c>
      <c r="H22" s="551">
        <v>0.49721275329589842</v>
      </c>
      <c r="V22" s="444"/>
      <c r="W22" s="832"/>
      <c r="X22" s="830"/>
      <c r="Y22" s="444"/>
      <c r="Z22" s="833"/>
    </row>
    <row r="23" spans="2:26" ht="15" customHeight="1">
      <c r="B23" s="539" t="s">
        <v>21</v>
      </c>
      <c r="F23" s="357" t="s">
        <v>25</v>
      </c>
      <c r="H23" s="718">
        <v>11.445500373840332</v>
      </c>
      <c r="V23" s="444"/>
      <c r="W23" s="832"/>
      <c r="X23" s="830"/>
      <c r="Y23" s="444"/>
      <c r="Z23" s="833"/>
    </row>
    <row r="24" spans="2:26" ht="15" customHeight="1">
      <c r="B24" s="524"/>
      <c r="F24" s="356"/>
      <c r="H24" s="552"/>
      <c r="V24" s="444"/>
      <c r="W24" s="832"/>
      <c r="X24" s="830"/>
      <c r="Y24" s="444"/>
      <c r="Z24" s="833"/>
    </row>
    <row r="25" spans="2:26" ht="15" customHeight="1">
      <c r="B25" s="356" t="s">
        <v>26</v>
      </c>
      <c r="F25" s="357" t="s">
        <v>27</v>
      </c>
      <c r="H25" s="553">
        <v>1152697</v>
      </c>
      <c r="V25" s="444"/>
      <c r="W25" s="829"/>
      <c r="X25" s="830"/>
      <c r="Y25" s="444"/>
      <c r="Z25" s="833"/>
    </row>
    <row r="26" spans="2:26" ht="15" customHeight="1">
      <c r="B26" s="518" t="s">
        <v>28</v>
      </c>
      <c r="F26" s="357" t="s">
        <v>29</v>
      </c>
      <c r="H26" s="553">
        <v>28.357889999999998</v>
      </c>
      <c r="V26" s="444"/>
      <c r="W26" s="444"/>
      <c r="X26" s="444"/>
      <c r="Y26" s="444"/>
      <c r="Z26" s="444"/>
    </row>
    <row r="27" spans="2:26" ht="15" customHeight="1">
      <c r="B27" s="538" t="s">
        <v>19</v>
      </c>
      <c r="F27" s="357" t="s">
        <v>30</v>
      </c>
      <c r="H27" s="551">
        <v>0.93777949999999999</v>
      </c>
      <c r="V27" s="444"/>
      <c r="W27" s="444"/>
      <c r="X27" s="444"/>
      <c r="Y27" s="444"/>
      <c r="Z27" s="444"/>
    </row>
    <row r="28" spans="2:26" ht="15" customHeight="1">
      <c r="B28" s="539" t="s">
        <v>21</v>
      </c>
      <c r="F28" s="357" t="s">
        <v>31</v>
      </c>
      <c r="H28" s="551">
        <v>0.19641220000000001</v>
      </c>
    </row>
    <row r="29" spans="2:26" ht="15" customHeight="1">
      <c r="F29" s="356"/>
      <c r="H29" s="552"/>
    </row>
    <row r="30" spans="2:26" ht="15" customHeight="1">
      <c r="B30" s="512" t="s">
        <v>32</v>
      </c>
      <c r="F30" s="357" t="s">
        <v>33</v>
      </c>
      <c r="H30" s="551">
        <v>6.222049665895453E-2</v>
      </c>
    </row>
    <row r="31" spans="2:26" ht="15" customHeight="1">
      <c r="B31" s="523" t="s">
        <v>34</v>
      </c>
      <c r="F31" s="357" t="s">
        <v>35</v>
      </c>
      <c r="H31" s="551">
        <v>0.71446344715841681</v>
      </c>
    </row>
    <row r="32" spans="2:26" ht="15" customHeight="1">
      <c r="B32" s="524" t="s">
        <v>36</v>
      </c>
      <c r="W32" s="719" t="s">
        <v>37</v>
      </c>
    </row>
    <row r="34" spans="2:16" ht="15" customHeight="1">
      <c r="B34" s="782" t="s">
        <v>38</v>
      </c>
      <c r="C34" s="782"/>
      <c r="D34" s="782"/>
      <c r="E34" s="782"/>
      <c r="F34" s="782"/>
      <c r="G34" s="782"/>
      <c r="H34" s="782"/>
      <c r="I34" s="782"/>
      <c r="J34" s="782"/>
      <c r="K34" s="782"/>
      <c r="L34" s="782"/>
      <c r="M34" s="782"/>
      <c r="N34" s="782"/>
      <c r="O34" s="782"/>
      <c r="P34" s="782"/>
    </row>
    <row r="35" spans="2:16" ht="15" customHeight="1">
      <c r="B35" s="782"/>
      <c r="C35" s="782"/>
      <c r="D35" s="782"/>
      <c r="E35" s="782"/>
      <c r="F35" s="782"/>
      <c r="G35" s="782"/>
      <c r="H35" s="782"/>
      <c r="I35" s="782"/>
      <c r="J35" s="782"/>
      <c r="K35" s="782"/>
      <c r="L35" s="782"/>
      <c r="M35" s="782"/>
      <c r="N35" s="782"/>
      <c r="O35" s="782"/>
      <c r="P35" s="782"/>
    </row>
    <row r="36" spans="2:16" ht="15" customHeight="1">
      <c r="B36" s="782"/>
      <c r="C36" s="782"/>
      <c r="D36" s="782"/>
      <c r="E36" s="782"/>
      <c r="F36" s="782"/>
      <c r="G36" s="782"/>
      <c r="H36" s="782"/>
      <c r="I36" s="782"/>
      <c r="J36" s="782"/>
      <c r="K36" s="782"/>
      <c r="L36" s="782"/>
      <c r="M36" s="782"/>
      <c r="N36" s="782"/>
      <c r="O36" s="782"/>
      <c r="P36" s="782"/>
    </row>
    <row r="37" spans="2:16" ht="15" customHeight="1">
      <c r="B37" s="782"/>
      <c r="C37" s="782"/>
      <c r="D37" s="782"/>
      <c r="E37" s="782"/>
      <c r="F37" s="782"/>
      <c r="G37" s="782"/>
      <c r="H37" s="782"/>
      <c r="I37" s="782"/>
      <c r="J37" s="782"/>
      <c r="K37" s="782"/>
      <c r="L37" s="782"/>
      <c r="M37" s="782"/>
      <c r="N37" s="782"/>
      <c r="O37" s="782"/>
      <c r="P37" s="782"/>
    </row>
    <row r="38" spans="2:16" ht="15" customHeight="1">
      <c r="B38" s="782"/>
      <c r="C38" s="782"/>
      <c r="D38" s="782"/>
      <c r="E38" s="782"/>
      <c r="F38" s="782"/>
      <c r="G38" s="782"/>
      <c r="H38" s="782"/>
      <c r="I38" s="782"/>
      <c r="J38" s="782"/>
      <c r="K38" s="782"/>
      <c r="L38" s="782"/>
      <c r="M38" s="782"/>
      <c r="N38" s="782"/>
      <c r="O38" s="782"/>
      <c r="P38" s="782"/>
    </row>
    <row r="39" spans="2:16" ht="15" customHeight="1">
      <c r="B39" s="782"/>
      <c r="C39" s="782"/>
      <c r="D39" s="782"/>
      <c r="E39" s="782"/>
      <c r="F39" s="782"/>
      <c r="G39" s="782"/>
      <c r="H39" s="782"/>
      <c r="I39" s="782"/>
      <c r="J39" s="782"/>
      <c r="K39" s="782"/>
      <c r="L39" s="782"/>
      <c r="M39" s="782"/>
      <c r="N39" s="782"/>
      <c r="O39" s="782"/>
      <c r="P39" s="782"/>
    </row>
    <row r="40" spans="2:16" ht="15" customHeight="1">
      <c r="B40" s="782"/>
      <c r="C40" s="782"/>
      <c r="D40" s="782"/>
      <c r="E40" s="782"/>
      <c r="F40" s="782"/>
      <c r="G40" s="782"/>
      <c r="H40" s="782"/>
      <c r="I40" s="782"/>
      <c r="J40" s="782"/>
      <c r="K40" s="782"/>
      <c r="L40" s="782"/>
      <c r="M40" s="782"/>
      <c r="N40" s="782"/>
      <c r="O40" s="782"/>
      <c r="P40" s="782"/>
    </row>
    <row r="41" spans="2:16" ht="15" customHeight="1">
      <c r="B41" s="782"/>
      <c r="C41" s="782"/>
      <c r="D41" s="782"/>
      <c r="E41" s="782"/>
      <c r="F41" s="782"/>
      <c r="G41" s="782"/>
      <c r="H41" s="782"/>
      <c r="I41" s="782"/>
      <c r="J41" s="782"/>
      <c r="K41" s="782"/>
      <c r="L41" s="782"/>
      <c r="M41" s="782"/>
      <c r="N41" s="782"/>
      <c r="O41" s="782"/>
      <c r="P41" s="782"/>
    </row>
    <row r="42" spans="2:16" ht="15" customHeight="1">
      <c r="B42" s="782"/>
      <c r="C42" s="782"/>
      <c r="D42" s="782"/>
      <c r="E42" s="782"/>
      <c r="F42" s="782"/>
      <c r="G42" s="782"/>
      <c r="H42" s="782"/>
      <c r="I42" s="782"/>
      <c r="J42" s="782"/>
      <c r="K42" s="782"/>
      <c r="L42" s="782"/>
      <c r="M42" s="782"/>
      <c r="N42" s="782"/>
      <c r="O42" s="782"/>
      <c r="P42" s="782"/>
    </row>
  </sheetData>
  <mergeCells count="3">
    <mergeCell ref="B34:P42"/>
    <mergeCell ref="W15:X15"/>
    <mergeCell ref="Z16:Z25"/>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13" r:id="rId1" display="raul.vasconcelos@aln.iseg.ulisboa.pt" xr:uid="{00000000-0004-0000-0100-000000000000}"/>
    <hyperlink ref="B32" r:id="rId2" xr:uid="{068F08CB-A223-45FB-9A9F-060ED37D18D0}"/>
    <hyperlink ref="B16" r:id="rId3" display="raul.vasconcelos@aln.iseg.ulisboa.pt" xr:uid="{FD4701D8-9D0D-47A0-98A3-D3BA361A6E2C}"/>
    <hyperlink ref="B19" r:id="rId4" display="raul.vasconcelos@aln.iseg.ulisboa.pt" xr:uid="{74A150EF-E1E9-440E-BAAC-8A58B9944593}"/>
    <hyperlink ref="B22" r:id="rId5" display="raul.vasconcelos@aln.iseg.ulisboa.pt" xr:uid="{85D5983D-4DD8-4DA5-BA80-A4BEFD1DF94C}"/>
    <hyperlink ref="B23" r:id="rId6" display="rauk.vasconcelos@aln.iseg.ulisboa.pt" xr:uid="{E770599D-BBD3-45EF-AF07-531EDA57B54A}"/>
    <hyperlink ref="B20" r:id="rId7" xr:uid="{C6051890-0086-4F44-BE87-0F39A966C1E1}"/>
    <hyperlink ref="B17" r:id="rId8" xr:uid="{FECFC8A4-17B5-422E-842D-175BC747C7E8}"/>
    <hyperlink ref="B28" r:id="rId9" display="rauk.vasconcelos@aln.iseg.ulisboa.pt" xr:uid="{94506CAF-6362-4736-BCCD-4F903315458C}"/>
    <hyperlink ref="B27" r:id="rId10" display="raul.vasconcelos@aln.iseg.ulisboa.pt" xr:uid="{43462756-4C52-4C0A-B3F4-7EC34985C8F3}"/>
    <hyperlink ref="B14" r:id="rId11" xr:uid="{0FF62843-EC69-4B6D-AB7E-0F3AC047BEE8}"/>
  </hyperlinks>
  <pageMargins left="0.7" right="0.7" top="0.75" bottom="0.75" header="0.3" footer="0.3"/>
  <pageSetup paperSize="9" orientation="portrait"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2"/>
  <sheetViews>
    <sheetView showGridLines="0" topLeftCell="B2" zoomScale="70" zoomScaleNormal="70" workbookViewId="0">
      <selection activeCell="U14" sqref="U14"/>
    </sheetView>
  </sheetViews>
  <sheetFormatPr baseColWidth="10" defaultColWidth="11.6640625" defaultRowHeight="15" customHeight="1"/>
  <cols>
    <col min="1" max="1" width="2.1640625" style="23" customWidth="1"/>
    <col min="2" max="2" width="46.83203125" style="23" customWidth="1"/>
    <col min="3" max="3" width="3.6640625" style="23" customWidth="1"/>
    <col min="4" max="4" width="15.1640625" style="23" bestFit="1" customWidth="1"/>
    <col min="5" max="5" width="14.6640625" style="23" customWidth="1"/>
    <col min="6" max="6" width="26" style="23" bestFit="1" customWidth="1"/>
    <col min="7" max="7" width="17" style="23" customWidth="1"/>
    <col min="8" max="9" width="11.6640625" style="23"/>
    <col min="10" max="10" width="17.1640625" style="23" bestFit="1" customWidth="1"/>
    <col min="11" max="11" width="11.6640625" style="23"/>
    <col min="12" max="12" width="14.5" style="23" customWidth="1"/>
    <col min="13" max="13" width="11.6640625" style="23"/>
    <col min="14" max="14" width="1.6640625" style="23" customWidth="1"/>
    <col min="15" max="16384" width="11.6640625" style="23"/>
  </cols>
  <sheetData>
    <row r="1" spans="1:19" s="546" customFormat="1" ht="15" customHeight="1"/>
    <row r="2" spans="1:19" s="546" customFormat="1" ht="15" customHeight="1"/>
    <row r="3" spans="1:19" s="546" customFormat="1" ht="15" customHeight="1"/>
    <row r="4" spans="1:19" s="546" customFormat="1" ht="15" customHeight="1"/>
    <row r="5" spans="1:19" s="36" customFormat="1" ht="4" customHeight="1"/>
    <row r="6" spans="1:19" ht="15" customHeight="1">
      <c r="D6" s="390">
        <v>584.16999999999996</v>
      </c>
      <c r="E6" s="390">
        <v>627.76</v>
      </c>
      <c r="F6" s="390">
        <v>676.06</v>
      </c>
      <c r="G6" s="390">
        <v>729.63</v>
      </c>
      <c r="H6" s="390">
        <v>789.13</v>
      </c>
      <c r="I6" s="390">
        <v>855.3</v>
      </c>
      <c r="J6" s="390">
        <v>929</v>
      </c>
      <c r="K6" s="390">
        <v>997.69</v>
      </c>
      <c r="L6" s="390">
        <v>1067.6300000000001</v>
      </c>
      <c r="M6" s="390">
        <v>1137.57</v>
      </c>
    </row>
    <row r="7" spans="1:19" ht="15" customHeight="1">
      <c r="A7" s="44" t="s">
        <v>39</v>
      </c>
      <c r="B7" s="355" t="s">
        <v>40</v>
      </c>
      <c r="C7" s="185"/>
      <c r="D7" s="32"/>
      <c r="E7" s="32"/>
      <c r="F7" s="32"/>
      <c r="G7" s="32"/>
      <c r="H7" s="32"/>
      <c r="I7" s="32"/>
      <c r="J7" s="32"/>
      <c r="K7" s="32"/>
      <c r="L7" s="32"/>
      <c r="M7" s="32"/>
      <c r="N7" s="390"/>
      <c r="O7" s="355" t="s">
        <v>41</v>
      </c>
      <c r="P7" s="185"/>
      <c r="Q7" s="185"/>
      <c r="R7" s="185"/>
      <c r="S7" s="185"/>
    </row>
    <row r="8" spans="1:19" ht="15" customHeight="1">
      <c r="B8" s="185"/>
      <c r="C8" s="185"/>
      <c r="D8" s="32"/>
      <c r="E8" s="32"/>
      <c r="F8" s="32"/>
      <c r="G8" s="32"/>
      <c r="H8" s="32"/>
      <c r="I8" s="32"/>
      <c r="J8" s="32"/>
      <c r="K8" s="32"/>
      <c r="L8" s="32"/>
      <c r="M8" s="32"/>
      <c r="N8" s="390"/>
      <c r="O8" s="185"/>
      <c r="P8" s="185"/>
      <c r="Q8" s="185"/>
      <c r="R8" s="185"/>
      <c r="S8" s="185"/>
    </row>
    <row r="9" spans="1:19" ht="15" customHeight="1">
      <c r="B9" s="355" t="s">
        <v>42</v>
      </c>
      <c r="C9" s="32"/>
      <c r="D9" s="420">
        <v>2022</v>
      </c>
      <c r="E9" s="420">
        <f>+D9+1</f>
        <v>2023</v>
      </c>
      <c r="F9" s="420">
        <f>+E9+1</f>
        <v>2024</v>
      </c>
      <c r="G9" s="421">
        <f>+F9+1</f>
        <v>2025</v>
      </c>
      <c r="H9" s="421">
        <f t="shared" ref="H9:K9" si="0">+G9+1</f>
        <v>2026</v>
      </c>
      <c r="I9" s="421">
        <f t="shared" si="0"/>
        <v>2027</v>
      </c>
      <c r="J9" s="421">
        <f t="shared" si="0"/>
        <v>2028</v>
      </c>
      <c r="K9" s="421">
        <f t="shared" si="0"/>
        <v>2029</v>
      </c>
      <c r="L9" s="506"/>
      <c r="M9" s="507" t="str">
        <f>"CAGR "&amp;$G$9&amp;" - "&amp;$K$9</f>
        <v>CAGR 2025 - 2029</v>
      </c>
      <c r="N9" s="508"/>
      <c r="O9" s="32"/>
      <c r="P9" s="32"/>
      <c r="Q9" s="32"/>
      <c r="R9" s="32"/>
      <c r="S9" s="32"/>
    </row>
    <row r="10" spans="1:19" ht="4" customHeight="1">
      <c r="B10" s="36"/>
      <c r="C10" s="36"/>
      <c r="D10" s="36"/>
      <c r="E10" s="36"/>
      <c r="F10" s="36"/>
      <c r="G10" s="36"/>
      <c r="H10" s="36"/>
      <c r="I10" s="36"/>
      <c r="J10" s="36"/>
      <c r="K10" s="36"/>
      <c r="L10" s="36"/>
      <c r="M10" s="360"/>
      <c r="O10" s="36"/>
      <c r="P10" s="36"/>
      <c r="Q10" s="36"/>
      <c r="R10" s="36"/>
      <c r="S10" s="36"/>
    </row>
    <row r="11" spans="1:19" ht="4" customHeight="1">
      <c r="M11" s="500"/>
    </row>
    <row r="12" spans="1:19" ht="15" customHeight="1">
      <c r="B12" s="356" t="s">
        <v>43</v>
      </c>
      <c r="C12" s="33"/>
      <c r="D12" s="515"/>
      <c r="E12" s="515"/>
      <c r="F12" s="666">
        <v>0.34</v>
      </c>
      <c r="G12" s="666">
        <v>0.39</v>
      </c>
      <c r="H12" s="666">
        <f>G12*(1+L12)^1</f>
        <v>0.45317999999999997</v>
      </c>
      <c r="I12" s="666">
        <f>G12*(1+L12)^2</f>
        <v>0.52659515999999995</v>
      </c>
      <c r="J12" s="666">
        <f>G12*(1+L12)^3</f>
        <v>0.61190357591999989</v>
      </c>
      <c r="K12" s="666">
        <f>G12*(1+L12)^4</f>
        <v>0.71103195521903972</v>
      </c>
      <c r="L12" s="665">
        <v>0.16200000000000001</v>
      </c>
      <c r="M12" s="509">
        <f>(K12/G12)^(1/5)-1</f>
        <v>0.12762553646671737</v>
      </c>
    </row>
    <row r="13" spans="1:19" ht="15" customHeight="1">
      <c r="B13" s="513" t="s">
        <v>44</v>
      </c>
      <c r="D13" s="514"/>
      <c r="E13" s="514"/>
      <c r="F13" s="669">
        <f>Segments!AF14/(F12*10^6)</f>
        <v>1.5469499999999998E-3</v>
      </c>
      <c r="G13" s="669">
        <f>Segments!AL14/(G12*10^6)</f>
        <v>1.8552644125600958E-3</v>
      </c>
      <c r="H13" s="669">
        <f>Segments!AR14/(H12*10^6)</f>
        <v>1.8767786162763003E-3</v>
      </c>
      <c r="I13" s="669">
        <f>Segments!AT14/(I12*10^6)</f>
        <v>1.9184593311549071E-3</v>
      </c>
      <c r="J13" s="669">
        <f>Segments!AV14/(J12*10^6)</f>
        <v>2.1224791085157988E-3</v>
      </c>
      <c r="K13" s="669">
        <f>Segments!AX14/(K12*10^6)</f>
        <v>2.3296483636647339E-3</v>
      </c>
      <c r="L13" s="504"/>
      <c r="M13" s="517">
        <f>((K13*K12)/(G13*G12))^(1/5)-1</f>
        <v>0.18016250999770067</v>
      </c>
    </row>
    <row r="14" spans="1:19" ht="15" customHeight="1">
      <c r="B14" s="516" t="s">
        <v>45</v>
      </c>
      <c r="C14" s="33"/>
      <c r="D14" s="515"/>
      <c r="E14" s="666">
        <v>30.9</v>
      </c>
      <c r="F14" s="666">
        <v>33.770000000000003</v>
      </c>
      <c r="G14" s="666">
        <v>36.130000000000003</v>
      </c>
      <c r="H14" s="666">
        <f>G14*(1+L14)^1</f>
        <v>38.695230000000002</v>
      </c>
      <c r="I14" s="666">
        <f>G14*(1+L14)^2</f>
        <v>41.442591329999999</v>
      </c>
      <c r="J14" s="666">
        <f>G14*(1+L14)^3</f>
        <v>44.385015314429999</v>
      </c>
      <c r="K14" s="666">
        <v>47.55</v>
      </c>
      <c r="L14" s="665">
        <v>7.0999999999999994E-2</v>
      </c>
      <c r="M14" s="509">
        <f>(K14/G14)^(1/5)-1</f>
        <v>5.6468401289066161E-2</v>
      </c>
    </row>
    <row r="15" spans="1:19" ht="15" customHeight="1">
      <c r="B15" s="513" t="s">
        <v>44</v>
      </c>
      <c r="D15" s="515"/>
      <c r="E15" s="669">
        <f>Segments!Z14/(Industry!E14*10^6)</f>
        <v>1.647084142394822E-5</v>
      </c>
      <c r="F15" s="669">
        <f>Segments!AF14/(Industry!F14*10^6)</f>
        <v>1.5574859342611783E-5</v>
      </c>
      <c r="G15" s="669">
        <f>Segments!AL14/(Industry!G14*10^6)</f>
        <v>2.0026380318251793E-5</v>
      </c>
      <c r="H15" s="669">
        <f>Segments!AR14/(Industry!H14*10^6)</f>
        <v>2.1979932237748525E-5</v>
      </c>
      <c r="I15" s="669">
        <f>Segments!AN14/(Industry!I14*10^6)</f>
        <v>3.9208100501640724E-6</v>
      </c>
      <c r="J15" s="669">
        <f>Segments!AV14/(Industry!J14*10^6)</f>
        <v>2.9261059101044713E-5</v>
      </c>
      <c r="K15" s="669">
        <f>Segments!AX14/(Industry!K14*10^6)</f>
        <v>3.4836055331006775E-5</v>
      </c>
      <c r="L15" s="504"/>
      <c r="M15" s="517">
        <f>((K15*K14)/(G15*G14))^(1/5)-1</f>
        <v>0.18016250999770067</v>
      </c>
    </row>
    <row r="16" spans="1:19" ht="15" customHeight="1">
      <c r="B16" s="516" t="s">
        <v>46</v>
      </c>
      <c r="C16" s="667"/>
      <c r="D16" s="666"/>
      <c r="E16" s="666"/>
      <c r="F16" s="666">
        <v>0.1</v>
      </c>
      <c r="G16" s="666">
        <v>0.11</v>
      </c>
      <c r="H16" s="666">
        <f>G16*(1+L16)^1</f>
        <v>0.12166</v>
      </c>
      <c r="I16" s="666">
        <f>G16*(1+L16)^2</f>
        <v>0.13455596000000003</v>
      </c>
      <c r="J16" s="666">
        <f>G16*(1+L16)^3</f>
        <v>0.14881889176000004</v>
      </c>
      <c r="K16" s="666">
        <f>G16*(1+L16)^4</f>
        <v>0.16459369428656007</v>
      </c>
      <c r="L16" s="665">
        <v>0.106</v>
      </c>
      <c r="M16" s="509">
        <f>(K16/G16)^(1/5)-1</f>
        <v>8.3937150919552783E-2</v>
      </c>
    </row>
    <row r="17" spans="1:19" ht="15" customHeight="1">
      <c r="B17" s="513" t="s">
        <v>44</v>
      </c>
      <c r="D17" s="514"/>
      <c r="E17" s="670"/>
      <c r="F17" s="669">
        <f>Segments!AF14/(F16*10^6)</f>
        <v>5.2596299999999995E-3</v>
      </c>
      <c r="G17" s="669">
        <f>Segments!AL14/(G16*(10^6))</f>
        <v>6.5777556445312481E-3</v>
      </c>
      <c r="H17" s="671">
        <f>Segments!AR14/(H16*10^6)</f>
        <v>6.9909463531488891E-3</v>
      </c>
      <c r="I17" s="669">
        <f>Segments!AT14/(I16*10^6)</f>
        <v>7.5080390228943481E-3</v>
      </c>
      <c r="J17" s="669">
        <f>Segments!AV14/(J16*10^6)</f>
        <v>8.7270677866006854E-3</v>
      </c>
      <c r="K17" s="669">
        <f>Segments!AX14/(K16*10^6)</f>
        <v>1.0063899702654833E-2</v>
      </c>
      <c r="L17" s="504"/>
      <c r="M17" s="517">
        <f>((K17*K16)/(G17*G16))^(1/5)-1</f>
        <v>0.18016250999770067</v>
      </c>
    </row>
    <row r="18" spans="1:19" ht="15" customHeight="1">
      <c r="E18" s="505"/>
      <c r="F18" s="672"/>
      <c r="G18" s="672"/>
      <c r="H18" s="672"/>
      <c r="I18" s="672"/>
      <c r="J18" s="672"/>
      <c r="K18" s="672"/>
    </row>
    <row r="19" spans="1:19" ht="15" customHeight="1">
      <c r="A19" s="44" t="s">
        <v>39</v>
      </c>
      <c r="B19" s="32"/>
      <c r="C19" s="32"/>
      <c r="D19" s="32"/>
      <c r="E19" s="32"/>
      <c r="F19" s="32"/>
      <c r="G19" s="32"/>
      <c r="H19" s="32"/>
      <c r="I19" s="32"/>
      <c r="J19" s="32"/>
      <c r="K19" s="32"/>
      <c r="L19" s="32"/>
      <c r="M19" s="32"/>
      <c r="O19" s="32"/>
      <c r="P19" s="32"/>
      <c r="Q19" s="32"/>
      <c r="R19" s="32"/>
      <c r="S19" s="32"/>
    </row>
    <row r="20" spans="1:19" ht="15" customHeight="1">
      <c r="B20" s="32"/>
      <c r="C20" s="32"/>
      <c r="D20" s="32"/>
      <c r="E20" s="32"/>
      <c r="F20" s="32"/>
      <c r="G20" s="32"/>
      <c r="H20" s="32"/>
      <c r="I20" s="32"/>
      <c r="J20" s="32"/>
      <c r="K20" s="32"/>
      <c r="L20" s="32"/>
      <c r="M20" s="32"/>
      <c r="O20" s="32"/>
      <c r="P20" s="32"/>
      <c r="Q20" s="32"/>
      <c r="R20" s="32"/>
      <c r="S20" s="32"/>
    </row>
    <row r="21" spans="1:19" s="390" customFormat="1" ht="15" customHeight="1">
      <c r="B21" s="355" t="s">
        <v>47</v>
      </c>
      <c r="C21" s="32"/>
      <c r="D21" s="355" t="s">
        <v>48</v>
      </c>
      <c r="E21" s="32"/>
      <c r="F21" s="32"/>
      <c r="G21" s="32"/>
      <c r="H21" s="32"/>
      <c r="I21" s="32"/>
      <c r="J21" s="32"/>
      <c r="K21" s="32"/>
      <c r="L21" s="32"/>
      <c r="M21" s="32"/>
      <c r="O21" s="355" t="s">
        <v>49</v>
      </c>
      <c r="P21" s="32"/>
      <c r="Q21" s="32"/>
      <c r="R21" s="32"/>
      <c r="S21" s="32"/>
    </row>
    <row r="22" spans="1:19" ht="4" customHeight="1">
      <c r="B22" s="36"/>
      <c r="C22" s="36"/>
      <c r="D22" s="36"/>
      <c r="E22" s="36"/>
      <c r="F22" s="36"/>
      <c r="G22" s="36"/>
      <c r="H22" s="36"/>
      <c r="I22" s="36"/>
      <c r="J22" s="36"/>
      <c r="K22" s="36"/>
      <c r="L22" s="36"/>
      <c r="M22" s="36"/>
      <c r="O22" s="36"/>
      <c r="P22" s="36"/>
      <c r="Q22" s="36"/>
      <c r="R22" s="36"/>
      <c r="S22" s="36"/>
    </row>
    <row r="23" spans="1:19" ht="60" customHeight="1">
      <c r="B23" s="516" t="s">
        <v>50</v>
      </c>
      <c r="C23" s="510"/>
      <c r="D23" s="784" t="s">
        <v>51</v>
      </c>
      <c r="E23" s="785"/>
      <c r="F23" s="785"/>
      <c r="G23" s="785"/>
      <c r="H23" s="785"/>
      <c r="I23" s="785"/>
      <c r="J23" s="785"/>
      <c r="K23" s="785"/>
      <c r="L23" s="785"/>
      <c r="M23" s="785"/>
    </row>
    <row r="24" spans="1:19" ht="60" customHeight="1">
      <c r="B24" s="516" t="s">
        <v>52</v>
      </c>
      <c r="C24" s="510"/>
      <c r="D24" s="784" t="s">
        <v>53</v>
      </c>
      <c r="E24" s="785"/>
      <c r="F24" s="785"/>
      <c r="G24" s="785"/>
      <c r="H24" s="785"/>
      <c r="I24" s="785"/>
      <c r="J24" s="785"/>
      <c r="K24" s="785"/>
      <c r="L24" s="785"/>
      <c r="M24" s="785"/>
    </row>
    <row r="25" spans="1:19" ht="60" customHeight="1">
      <c r="B25" s="516" t="s">
        <v>54</v>
      </c>
      <c r="C25" s="510"/>
      <c r="D25" s="784" t="s">
        <v>55</v>
      </c>
      <c r="E25" s="785"/>
      <c r="F25" s="785"/>
      <c r="G25" s="785"/>
      <c r="H25" s="785"/>
      <c r="I25" s="785"/>
      <c r="J25" s="785"/>
      <c r="K25" s="785"/>
      <c r="L25" s="785"/>
      <c r="M25" s="785"/>
    </row>
    <row r="26" spans="1:19" ht="60" customHeight="1">
      <c r="B26" s="516" t="s">
        <v>56</v>
      </c>
      <c r="C26" s="510"/>
      <c r="D26" s="784" t="s">
        <v>57</v>
      </c>
      <c r="E26" s="785"/>
      <c r="F26" s="785"/>
      <c r="G26" s="785"/>
      <c r="H26" s="785"/>
      <c r="I26" s="785"/>
      <c r="J26" s="785"/>
      <c r="K26" s="785"/>
      <c r="L26" s="785"/>
      <c r="M26" s="785"/>
    </row>
    <row r="27" spans="1:19" ht="60" customHeight="1">
      <c r="B27" s="516" t="s">
        <v>58</v>
      </c>
      <c r="C27" s="510"/>
      <c r="D27" s="784" t="s">
        <v>59</v>
      </c>
      <c r="E27" s="785"/>
      <c r="F27" s="785"/>
      <c r="G27" s="785"/>
      <c r="H27" s="785"/>
      <c r="I27" s="785"/>
      <c r="J27" s="785"/>
      <c r="K27" s="785"/>
      <c r="L27" s="785"/>
      <c r="M27" s="785"/>
    </row>
    <row r="28" spans="1:19" ht="15" customHeight="1">
      <c r="O28" s="357" t="s">
        <v>60</v>
      </c>
      <c r="R28" s="511">
        <v>4</v>
      </c>
    </row>
    <row r="29" spans="1:19" ht="15" customHeight="1">
      <c r="O29" s="357" t="s">
        <v>61</v>
      </c>
      <c r="R29" s="511">
        <v>4</v>
      </c>
    </row>
    <row r="30" spans="1:19" ht="15" customHeight="1">
      <c r="O30" s="357" t="s">
        <v>62</v>
      </c>
      <c r="R30" s="511">
        <v>5</v>
      </c>
    </row>
    <row r="31" spans="1:19" ht="15" customHeight="1">
      <c r="O31" s="357" t="s">
        <v>63</v>
      </c>
      <c r="R31" s="511">
        <v>4</v>
      </c>
    </row>
    <row r="32" spans="1:19" ht="15" customHeight="1">
      <c r="O32" s="357" t="s">
        <v>64</v>
      </c>
      <c r="R32" s="511">
        <v>3</v>
      </c>
    </row>
  </sheetData>
  <mergeCells count="5">
    <mergeCell ref="D23:M23"/>
    <mergeCell ref="D24:M24"/>
    <mergeCell ref="D25:M25"/>
    <mergeCell ref="D26:M26"/>
    <mergeCell ref="D27:M27"/>
  </mergeCells>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7000000}">
          <x14:colorSeries rgb="FF7B1314"/>
          <x14:colorNegative rgb="FFD00000"/>
          <x14:colorAxis rgb="FF000000"/>
          <x14:colorMarkers rgb="FFD00000"/>
          <x14:colorFirst rgb="FFD00000"/>
          <x14:colorLast rgb="FFD00000"/>
          <x14:colorHigh rgb="FFD00000"/>
          <x14:colorLow rgb="FFD00000"/>
          <x14:sparklines>
            <x14:sparkline>
              <xm:f>Industry!D12:K12</xm:f>
              <xm:sqref>L12</xm:sqref>
            </x14:sparkline>
          </x14:sparklines>
        </x14:sparklineGroup>
        <x14:sparklineGroup type="column" displayEmptyCellsAs="gap" xr2:uid="{F9D68C52-3033-4C33-B213-06030C26010B}">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N94"/>
  <sheetViews>
    <sheetView showGridLines="0" topLeftCell="A57" zoomScale="70" zoomScaleNormal="70" workbookViewId="0">
      <selection activeCell="K51" sqref="K51:K52"/>
    </sheetView>
  </sheetViews>
  <sheetFormatPr baseColWidth="10" defaultColWidth="7.6640625" defaultRowHeight="15" customHeight="1"/>
  <cols>
    <col min="1" max="1" width="2" style="358" customWidth="1"/>
    <col min="2" max="2" width="29.6640625" style="358" customWidth="1"/>
    <col min="3" max="4" width="9.1640625" style="358" customWidth="1"/>
    <col min="5" max="5" width="9.1640625" style="359" customWidth="1"/>
    <col min="6" max="6" width="1.6640625" style="358" customWidth="1"/>
    <col min="7" max="7" width="24.1640625" style="358" customWidth="1"/>
    <col min="8" max="8" width="11" style="358" customWidth="1"/>
    <col min="9" max="9" width="25" style="358" customWidth="1"/>
    <col min="10" max="10" width="34.6640625" style="358" customWidth="1"/>
    <col min="11" max="11" width="75.5" style="358" customWidth="1"/>
    <col min="12" max="16384" width="7.6640625" style="358"/>
  </cols>
  <sheetData>
    <row r="1" spans="1:14" s="557" customFormat="1" ht="15" customHeight="1">
      <c r="A1" s="556"/>
      <c r="E1" s="556"/>
    </row>
    <row r="2" spans="1:14" s="557" customFormat="1" ht="15" customHeight="1">
      <c r="E2" s="556"/>
    </row>
    <row r="3" spans="1:14" s="557" customFormat="1" ht="15" customHeight="1">
      <c r="E3" s="556"/>
    </row>
    <row r="4" spans="1:14" s="557" customFormat="1" ht="15" customHeight="1">
      <c r="E4" s="556"/>
    </row>
    <row r="5" spans="1:14" s="371" customFormat="1" ht="4" customHeight="1">
      <c r="E5" s="372"/>
    </row>
    <row r="7" spans="1:14" s="97" customFormat="1" ht="15" customHeight="1">
      <c r="A7" s="361" t="s">
        <v>39</v>
      </c>
      <c r="B7" s="362" t="s">
        <v>65</v>
      </c>
      <c r="C7" s="362"/>
      <c r="D7" s="362"/>
      <c r="E7" s="32"/>
      <c r="F7" s="320"/>
      <c r="G7" s="320"/>
      <c r="H7" s="320"/>
      <c r="I7" s="32"/>
      <c r="J7" s="320"/>
      <c r="K7" s="320"/>
    </row>
    <row r="8" spans="1:14" s="97" customFormat="1" ht="15" customHeight="1">
      <c r="B8" s="363"/>
      <c r="C8" s="363"/>
      <c r="D8" s="363"/>
      <c r="E8" s="32"/>
      <c r="F8" s="364"/>
      <c r="G8" s="364"/>
      <c r="H8" s="364"/>
      <c r="I8" s="365"/>
      <c r="J8" s="364"/>
      <c r="K8" s="364"/>
    </row>
    <row r="9" spans="1:14" s="97" customFormat="1" ht="14.25" customHeight="1">
      <c r="B9" s="363"/>
      <c r="C9" s="363"/>
      <c r="D9" s="363"/>
      <c r="E9" s="32"/>
      <c r="F9" s="366"/>
      <c r="G9" s="366"/>
      <c r="H9" s="366"/>
      <c r="I9" s="364"/>
      <c r="J9" s="366"/>
      <c r="K9" s="366"/>
    </row>
    <row r="10" spans="1:14" s="97" customFormat="1" ht="4" customHeight="1">
      <c r="A10" s="55"/>
      <c r="B10" s="367"/>
      <c r="C10" s="367"/>
      <c r="D10" s="367"/>
      <c r="E10" s="368"/>
      <c r="F10" s="369"/>
      <c r="G10" s="369"/>
      <c r="H10" s="369"/>
      <c r="I10" s="370"/>
      <c r="J10" s="369"/>
      <c r="K10" s="369"/>
    </row>
    <row r="11" spans="1:14" s="23" customFormat="1" ht="15" customHeight="1"/>
    <row r="12" spans="1:14" s="23" customFormat="1" ht="15" customHeight="1">
      <c r="B12" s="678" t="s">
        <v>66</v>
      </c>
      <c r="C12" s="678"/>
      <c r="D12" s="678"/>
      <c r="E12" s="679"/>
      <c r="F12" s="680"/>
      <c r="G12" s="681" t="s">
        <v>67</v>
      </c>
      <c r="H12" s="682"/>
      <c r="I12" s="681"/>
      <c r="J12" s="682"/>
      <c r="K12" s="682"/>
      <c r="L12"/>
      <c r="M12" s="687" t="s">
        <v>68</v>
      </c>
      <c r="N12" s="677"/>
    </row>
    <row r="13" spans="1:14" s="23" customFormat="1" ht="4" customHeight="1">
      <c r="B13" s="683"/>
      <c r="C13" s="683"/>
      <c r="D13" s="683"/>
      <c r="E13" s="684"/>
      <c r="F13" s="685"/>
      <c r="G13" s="686"/>
      <c r="H13" s="686"/>
      <c r="I13" s="686"/>
      <c r="J13" s="686"/>
      <c r="K13" s="686"/>
      <c r="L13"/>
      <c r="M13"/>
      <c r="N13" s="677"/>
    </row>
    <row r="14" spans="1:14" s="23" customFormat="1" ht="4" customHeight="1">
      <c r="B14" s="687"/>
      <c r="C14" s="687"/>
      <c r="D14" s="687"/>
      <c r="E14" s="688"/>
      <c r="F14" s="685"/>
      <c r="G14" s="685"/>
      <c r="H14" s="685"/>
      <c r="I14" s="685"/>
      <c r="J14" s="685"/>
      <c r="K14" s="677"/>
    </row>
    <row r="15" spans="1:14" ht="15" customHeight="1">
      <c r="B15" s="689" t="s">
        <v>69</v>
      </c>
      <c r="C15" s="689"/>
      <c r="D15" s="796">
        <v>28</v>
      </c>
      <c r="E15" s="796"/>
      <c r="F15"/>
      <c r="G15"/>
      <c r="H15" s="690"/>
      <c r="I15" s="690"/>
      <c r="J15" s="690"/>
      <c r="K15"/>
    </row>
    <row r="16" spans="1:14" ht="15" customHeight="1">
      <c r="B16" s="691" t="s">
        <v>70</v>
      </c>
      <c r="C16" s="692"/>
      <c r="D16" s="797">
        <v>2</v>
      </c>
      <c r="E16" s="797"/>
      <c r="F16"/>
      <c r="G16" s="689"/>
      <c r="H16" s="813"/>
      <c r="I16" s="813"/>
      <c r="J16" s="813"/>
      <c r="K16"/>
    </row>
    <row r="17" spans="2:11" ht="15" customHeight="1">
      <c r="B17" s="691" t="s">
        <v>71</v>
      </c>
      <c r="C17" s="692"/>
      <c r="D17" s="798">
        <v>27</v>
      </c>
      <c r="E17" s="798"/>
      <c r="F17"/>
      <c r="G17"/>
      <c r="H17" s="813"/>
      <c r="I17" s="813"/>
      <c r="J17" s="813"/>
      <c r="K17" s="693"/>
    </row>
    <row r="18" spans="2:11" ht="15" customHeight="1">
      <c r="B18" s="691" t="s">
        <v>72</v>
      </c>
      <c r="C18" s="692"/>
      <c r="D18" s="799">
        <v>38</v>
      </c>
      <c r="E18" s="799"/>
      <c r="F18"/>
      <c r="G18" s="689"/>
      <c r="H18" s="813"/>
      <c r="I18" s="813"/>
      <c r="J18" s="813"/>
      <c r="K18" s="693"/>
    </row>
    <row r="19" spans="2:11" ht="15" customHeight="1">
      <c r="B19" s="689" t="s">
        <v>73</v>
      </c>
      <c r="C19" s="689"/>
      <c r="D19" s="795" t="s">
        <v>74</v>
      </c>
      <c r="E19" s="795"/>
      <c r="F19"/>
      <c r="G19"/>
      <c r="H19" s="813"/>
      <c r="I19" s="813"/>
      <c r="J19" s="813"/>
      <c r="K19" s="693"/>
    </row>
    <row r="20" spans="2:11" ht="15" customHeight="1">
      <c r="B20" s="691" t="s">
        <v>75</v>
      </c>
      <c r="C20" s="692"/>
      <c r="D20" s="800" t="s">
        <v>74</v>
      </c>
      <c r="E20" s="800"/>
      <c r="F20"/>
      <c r="G20" s="689"/>
      <c r="H20" s="813"/>
      <c r="I20" s="813"/>
      <c r="J20" s="813"/>
      <c r="K20" s="693"/>
    </row>
    <row r="21" spans="2:11" ht="15" customHeight="1">
      <c r="B21" s="691" t="s">
        <v>76</v>
      </c>
      <c r="C21" s="692"/>
      <c r="D21" s="800" t="s">
        <v>74</v>
      </c>
      <c r="E21" s="800"/>
      <c r="F21"/>
      <c r="G21"/>
      <c r="H21" s="813"/>
      <c r="I21" s="813"/>
      <c r="J21" s="813"/>
      <c r="K21" s="693"/>
    </row>
    <row r="22" spans="2:11" ht="15" customHeight="1">
      <c r="B22" s="691" t="s">
        <v>77</v>
      </c>
      <c r="C22" s="692"/>
      <c r="D22" s="800" t="s">
        <v>74</v>
      </c>
      <c r="E22" s="800"/>
      <c r="F22"/>
      <c r="G22" s="689"/>
      <c r="H22" s="813"/>
      <c r="I22" s="813"/>
      <c r="J22" s="813"/>
      <c r="K22" s="693"/>
    </row>
    <row r="23" spans="2:11" ht="15" customHeight="1">
      <c r="B23" s="689" t="s">
        <v>78</v>
      </c>
      <c r="C23" s="689"/>
      <c r="D23" s="794" t="s">
        <v>79</v>
      </c>
      <c r="E23" s="794"/>
      <c r="F23"/>
      <c r="G23"/>
      <c r="H23" s="813"/>
      <c r="I23" s="813"/>
      <c r="J23" s="813"/>
      <c r="K23" s="693"/>
    </row>
    <row r="24" spans="2:11" ht="15" customHeight="1">
      <c r="B24" s="689" t="s">
        <v>68</v>
      </c>
      <c r="C24" s="689"/>
      <c r="D24" s="794" t="s">
        <v>80</v>
      </c>
      <c r="E24" s="794"/>
      <c r="F24"/>
      <c r="G24"/>
      <c r="H24"/>
      <c r="I24"/>
      <c r="J24"/>
      <c r="K24"/>
    </row>
    <row r="25" spans="2:11" ht="15" customHeight="1">
      <c r="B25" s="691" t="s">
        <v>81</v>
      </c>
      <c r="C25" s="692"/>
      <c r="D25" s="801">
        <v>2.8</v>
      </c>
      <c r="E25" s="801"/>
      <c r="F25"/>
      <c r="G25" s="694"/>
      <c r="H25" s="694"/>
      <c r="I25" s="694"/>
      <c r="J25"/>
      <c r="K25" s="694"/>
    </row>
    <row r="26" spans="2:11" ht="15" customHeight="1">
      <c r="B26" s="691" t="s">
        <v>82</v>
      </c>
      <c r="C26" s="692"/>
      <c r="D26" s="799">
        <v>9</v>
      </c>
      <c r="E26" s="799"/>
      <c r="F26"/>
      <c r="G26" s="689"/>
      <c r="H26" s="813"/>
      <c r="I26" s="813"/>
      <c r="J26" s="813"/>
      <c r="K26" s="689"/>
    </row>
    <row r="27" spans="2:11" ht="15" customHeight="1">
      <c r="B27" s="689" t="s">
        <v>83</v>
      </c>
      <c r="C27" s="689"/>
      <c r="D27" s="793" t="s">
        <v>74</v>
      </c>
      <c r="E27" s="793"/>
      <c r="F27"/>
      <c r="G27"/>
      <c r="H27" s="813"/>
      <c r="I27" s="813"/>
      <c r="J27" s="813"/>
      <c r="K27" s="690"/>
    </row>
    <row r="28" spans="2:11" ht="15" customHeight="1">
      <c r="B28"/>
      <c r="C28"/>
      <c r="D28"/>
      <c r="E28"/>
      <c r="F28"/>
      <c r="G28" s="689"/>
      <c r="H28" s="813"/>
      <c r="I28" s="813"/>
      <c r="J28" s="813"/>
      <c r="K28" s="690"/>
    </row>
    <row r="29" spans="2:11" ht="15" customHeight="1">
      <c r="B29"/>
      <c r="C29"/>
      <c r="D29"/>
      <c r="E29"/>
      <c r="F29"/>
      <c r="G29"/>
      <c r="H29" s="813"/>
      <c r="I29" s="813"/>
      <c r="J29" s="813"/>
      <c r="K29" s="690"/>
    </row>
    <row r="30" spans="2:11" ht="15" customHeight="1">
      <c r="B30" t="s">
        <v>84</v>
      </c>
      <c r="C30"/>
      <c r="D30"/>
      <c r="E30"/>
      <c r="F30"/>
      <c r="G30" t="s">
        <v>85</v>
      </c>
      <c r="H30"/>
      <c r="I30"/>
      <c r="J30"/>
      <c r="K30"/>
    </row>
    <row r="31" spans="2:11" s="23" customFormat="1" ht="4" customHeight="1">
      <c r="B31" s="695"/>
      <c r="C31" s="695"/>
      <c r="D31" s="695"/>
      <c r="E31" s="695"/>
      <c r="F31" s="687"/>
      <c r="G31" s="695"/>
      <c r="H31" s="695"/>
      <c r="I31" s="695"/>
      <c r="J31" s="695"/>
      <c r="K31" s="695"/>
    </row>
    <row r="32" spans="2:11" ht="15" customHeight="1" thickBot="1">
      <c r="B32" s="696"/>
      <c r="C32" s="696"/>
      <c r="D32" s="696"/>
      <c r="E32" s="696"/>
      <c r="F32"/>
      <c r="G32" s="696"/>
      <c r="H32" s="697" t="s">
        <v>86</v>
      </c>
      <c r="I32" s="697" t="s">
        <v>87</v>
      </c>
      <c r="J32" s="697" t="s">
        <v>88</v>
      </c>
      <c r="K32" s="697" t="s">
        <v>89</v>
      </c>
    </row>
    <row r="33" spans="2:11" ht="15" customHeight="1">
      <c r="B33" s="698" t="s">
        <v>90</v>
      </c>
      <c r="C33" s="786" t="s">
        <v>91</v>
      </c>
      <c r="D33" s="786"/>
      <c r="E33" s="786"/>
      <c r="F33"/>
      <c r="G33" s="809" t="s">
        <v>92</v>
      </c>
      <c r="H33" s="804"/>
      <c r="I33" s="803" t="s">
        <v>93</v>
      </c>
      <c r="J33" s="803" t="s">
        <v>93</v>
      </c>
      <c r="K33" s="803" t="s">
        <v>93</v>
      </c>
    </row>
    <row r="34" spans="2:11" ht="15" customHeight="1">
      <c r="B34" s="698" t="s">
        <v>94</v>
      </c>
      <c r="C34" s="786" t="s">
        <v>95</v>
      </c>
      <c r="D34" s="786"/>
      <c r="E34" s="786"/>
      <c r="F34"/>
      <c r="G34" s="809"/>
      <c r="H34" s="804"/>
      <c r="I34" s="803"/>
      <c r="J34" s="803"/>
      <c r="K34" s="803"/>
    </row>
    <row r="35" spans="2:11" ht="15" customHeight="1">
      <c r="B35" s="698" t="s">
        <v>96</v>
      </c>
      <c r="C35" s="786" t="s">
        <v>97</v>
      </c>
      <c r="D35" s="786"/>
      <c r="E35" s="786"/>
      <c r="F35"/>
      <c r="G35" s="809" t="s">
        <v>98</v>
      </c>
      <c r="H35" s="804"/>
      <c r="I35" s="803" t="s">
        <v>93</v>
      </c>
      <c r="J35" s="803" t="s">
        <v>93</v>
      </c>
      <c r="K35" s="803" t="s">
        <v>93</v>
      </c>
    </row>
    <row r="36" spans="2:11" ht="15" customHeight="1">
      <c r="B36" s="698" t="s">
        <v>99</v>
      </c>
      <c r="C36" s="786" t="s">
        <v>97</v>
      </c>
      <c r="D36" s="786"/>
      <c r="E36" s="786"/>
      <c r="F36"/>
      <c r="G36" s="809"/>
      <c r="H36" s="804"/>
      <c r="I36" s="803"/>
      <c r="J36" s="803"/>
      <c r="K36" s="803"/>
    </row>
    <row r="37" spans="2:11" ht="15" customHeight="1">
      <c r="B37"/>
      <c r="C37" s="802"/>
      <c r="D37" s="802"/>
      <c r="E37" s="802"/>
      <c r="F37"/>
      <c r="G37" s="809" t="s">
        <v>100</v>
      </c>
      <c r="H37" s="804"/>
      <c r="I37" s="803" t="s">
        <v>93</v>
      </c>
      <c r="J37" s="803" t="s">
        <v>93</v>
      </c>
      <c r="K37" s="803" t="s">
        <v>93</v>
      </c>
    </row>
    <row r="38" spans="2:11" ht="15" customHeight="1">
      <c r="B38" s="698" t="s">
        <v>101</v>
      </c>
      <c r="C38" s="786" t="s">
        <v>102</v>
      </c>
      <c r="D38" s="786"/>
      <c r="E38" s="786"/>
      <c r="F38"/>
      <c r="G38" s="809"/>
      <c r="H38" s="804"/>
      <c r="I38" s="803"/>
      <c r="J38" s="803"/>
      <c r="K38" s="803"/>
    </row>
    <row r="39" spans="2:11" ht="15" customHeight="1">
      <c r="B39" s="698" t="s">
        <v>103</v>
      </c>
      <c r="C39" s="805">
        <v>450</v>
      </c>
      <c r="D39" s="786"/>
      <c r="E39" s="786"/>
      <c r="F39"/>
      <c r="G39" s="809" t="s">
        <v>104</v>
      </c>
      <c r="H39" s="804"/>
      <c r="I39" s="803" t="s">
        <v>93</v>
      </c>
      <c r="J39" s="803" t="s">
        <v>93</v>
      </c>
      <c r="K39" s="803" t="s">
        <v>93</v>
      </c>
    </row>
    <row r="40" spans="2:11" ht="15" customHeight="1">
      <c r="B40"/>
      <c r="C40" s="700"/>
      <c r="D40" s="699"/>
      <c r="E40" s="699"/>
      <c r="F40"/>
      <c r="G40" s="809"/>
      <c r="H40" s="804"/>
      <c r="I40" s="803"/>
      <c r="J40" s="803"/>
      <c r="K40" s="803"/>
    </row>
    <row r="41" spans="2:11" ht="15" customHeight="1">
      <c r="B41" s="689" t="s">
        <v>105</v>
      </c>
      <c r="C41" s="806">
        <v>45727</v>
      </c>
      <c r="D41" s="786"/>
      <c r="E41" s="786"/>
      <c r="F41"/>
      <c r="G41" s="809" t="s">
        <v>106</v>
      </c>
      <c r="H41" s="804"/>
      <c r="I41" s="803" t="s">
        <v>93</v>
      </c>
      <c r="J41" s="803" t="s">
        <v>93</v>
      </c>
      <c r="K41" s="803" t="s">
        <v>93</v>
      </c>
    </row>
    <row r="42" spans="2:11" ht="15" customHeight="1">
      <c r="B42" s="689" t="s">
        <v>107</v>
      </c>
      <c r="C42" s="786" t="s">
        <v>74</v>
      </c>
      <c r="D42" s="786"/>
      <c r="E42" s="786"/>
      <c r="F42"/>
      <c r="G42" s="809"/>
      <c r="H42" s="804"/>
      <c r="I42" s="803"/>
      <c r="J42" s="803"/>
      <c r="K42" s="803"/>
    </row>
    <row r="43" spans="2:11" ht="15" customHeight="1">
      <c r="B43"/>
      <c r="C43" s="701"/>
      <c r="D43" s="701"/>
      <c r="E43" s="701"/>
      <c r="F43"/>
      <c r="G43" s="702"/>
      <c r="H43" s="703"/>
      <c r="I43" s="704"/>
      <c r="J43" s="705"/>
      <c r="K43" s="705"/>
    </row>
    <row r="44" spans="2:11" ht="15" customHeight="1">
      <c r="B44" t="s">
        <v>108</v>
      </c>
      <c r="C44"/>
      <c r="D44"/>
      <c r="E44"/>
      <c r="F44"/>
      <c r="G44" t="s">
        <v>109</v>
      </c>
      <c r="H44"/>
      <c r="I44"/>
      <c r="J44"/>
      <c r="K44"/>
    </row>
    <row r="45" spans="2:11" s="23" customFormat="1" ht="4" customHeight="1">
      <c r="B45" s="695"/>
      <c r="C45" s="695"/>
      <c r="D45" s="695"/>
      <c r="E45" s="695"/>
      <c r="F45" s="687"/>
      <c r="G45" s="695"/>
      <c r="H45" s="695"/>
      <c r="I45" s="695"/>
      <c r="J45" s="695"/>
      <c r="K45" s="695"/>
    </row>
    <row r="46" spans="2:11" ht="15" customHeight="1" thickBot="1">
      <c r="B46" s="696"/>
      <c r="C46" s="696"/>
      <c r="D46" s="696"/>
      <c r="E46" s="696"/>
      <c r="F46"/>
      <c r="G46" s="696"/>
      <c r="H46" s="697" t="s">
        <v>86</v>
      </c>
      <c r="I46" s="697" t="s">
        <v>87</v>
      </c>
      <c r="J46" s="697" t="s">
        <v>88</v>
      </c>
      <c r="K46" s="697" t="s">
        <v>89</v>
      </c>
    </row>
    <row r="47" spans="2:11" ht="15" customHeight="1">
      <c r="B47" s="792"/>
      <c r="C47" s="792"/>
      <c r="D47" s="792"/>
      <c r="E47" s="792"/>
      <c r="F47"/>
      <c r="G47" s="809" t="s">
        <v>110</v>
      </c>
      <c r="H47" s="804"/>
      <c r="I47" s="803" t="s">
        <v>93</v>
      </c>
      <c r="J47" s="803" t="s">
        <v>93</v>
      </c>
      <c r="K47" s="803" t="s">
        <v>93</v>
      </c>
    </row>
    <row r="48" spans="2:11" ht="15" customHeight="1">
      <c r="B48" s="789"/>
      <c r="C48" s="789"/>
      <c r="D48" s="789"/>
      <c r="E48" s="789"/>
      <c r="F48"/>
      <c r="G48" s="809"/>
      <c r="H48" s="804"/>
      <c r="I48" s="803"/>
      <c r="J48" s="803"/>
      <c r="K48" s="803"/>
    </row>
    <row r="49" spans="2:11" ht="15" customHeight="1">
      <c r="B49" s="789"/>
      <c r="C49" s="789"/>
      <c r="D49" s="789"/>
      <c r="E49" s="789"/>
      <c r="F49"/>
      <c r="G49" s="809" t="s">
        <v>111</v>
      </c>
      <c r="H49" s="810"/>
      <c r="I49" s="803" t="s">
        <v>93</v>
      </c>
      <c r="J49" s="803" t="s">
        <v>93</v>
      </c>
      <c r="K49" s="807" t="s">
        <v>112</v>
      </c>
    </row>
    <row r="50" spans="2:11" ht="15" customHeight="1">
      <c r="B50" s="789"/>
      <c r="C50" s="789"/>
      <c r="D50" s="789"/>
      <c r="E50" s="789"/>
      <c r="F50"/>
      <c r="G50" s="809"/>
      <c r="H50" s="810"/>
      <c r="I50" s="803"/>
      <c r="J50" s="803"/>
      <c r="K50" s="807"/>
    </row>
    <row r="51" spans="2:11" ht="15" customHeight="1">
      <c r="B51" s="789"/>
      <c r="C51" s="789"/>
      <c r="D51" s="789"/>
      <c r="E51" s="789"/>
      <c r="F51"/>
      <c r="G51" s="809" t="s">
        <v>113</v>
      </c>
      <c r="H51" s="811"/>
      <c r="I51" s="803" t="s">
        <v>93</v>
      </c>
      <c r="J51" s="803" t="s">
        <v>93</v>
      </c>
      <c r="K51" s="807" t="s">
        <v>114</v>
      </c>
    </row>
    <row r="52" spans="2:11" ht="15" customHeight="1">
      <c r="B52" s="789"/>
      <c r="C52" s="789"/>
      <c r="D52" s="789"/>
      <c r="E52" s="789"/>
      <c r="F52"/>
      <c r="G52" s="809"/>
      <c r="H52" s="811"/>
      <c r="I52" s="803"/>
      <c r="J52" s="803"/>
      <c r="K52" s="807"/>
    </row>
    <row r="53" spans="2:11" ht="15" customHeight="1">
      <c r="B53" s="789"/>
      <c r="C53" s="789"/>
      <c r="D53" s="789"/>
      <c r="E53" s="789"/>
      <c r="F53"/>
      <c r="G53" s="809" t="s">
        <v>115</v>
      </c>
      <c r="H53" s="812"/>
      <c r="I53" s="803" t="s">
        <v>93</v>
      </c>
      <c r="J53" s="803" t="s">
        <v>93</v>
      </c>
      <c r="K53" s="803" t="s">
        <v>93</v>
      </c>
    </row>
    <row r="54" spans="2:11" ht="15" customHeight="1">
      <c r="B54" s="789"/>
      <c r="C54" s="789"/>
      <c r="D54" s="789"/>
      <c r="E54" s="789"/>
      <c r="F54"/>
      <c r="G54" s="809"/>
      <c r="H54" s="812"/>
      <c r="I54" s="803"/>
      <c r="J54" s="803"/>
      <c r="K54" s="803"/>
    </row>
    <row r="55" spans="2:11" ht="15" customHeight="1">
      <c r="B55" s="789"/>
      <c r="C55" s="789"/>
      <c r="D55" s="789"/>
      <c r="E55" s="789"/>
      <c r="F55"/>
      <c r="G55" s="809" t="s">
        <v>116</v>
      </c>
      <c r="H55" s="804"/>
      <c r="I55" s="803" t="s">
        <v>93</v>
      </c>
      <c r="J55" s="803" t="s">
        <v>93</v>
      </c>
      <c r="K55" s="803" t="s">
        <v>93</v>
      </c>
    </row>
    <row r="56" spans="2:11" ht="15" customHeight="1">
      <c r="B56" s="789"/>
      <c r="C56" s="789"/>
      <c r="D56" s="789"/>
      <c r="E56" s="789"/>
      <c r="F56"/>
      <c r="G56" s="809"/>
      <c r="H56" s="804"/>
      <c r="I56" s="803"/>
      <c r="J56" s="803"/>
      <c r="K56" s="803"/>
    </row>
    <row r="57" spans="2:11" ht="15" customHeight="1">
      <c r="B57" s="789"/>
      <c r="C57" s="789"/>
      <c r="D57" s="789"/>
      <c r="E57" s="789"/>
      <c r="F57"/>
      <c r="G57" s="809" t="s">
        <v>117</v>
      </c>
      <c r="H57" s="804"/>
      <c r="I57" s="803" t="s">
        <v>93</v>
      </c>
      <c r="J57" s="803" t="s">
        <v>93</v>
      </c>
      <c r="K57" s="803" t="s">
        <v>93</v>
      </c>
    </row>
    <row r="58" spans="2:11" ht="15" customHeight="1">
      <c r="B58" s="789"/>
      <c r="C58" s="789"/>
      <c r="D58" s="789"/>
      <c r="E58" s="789"/>
      <c r="F58"/>
      <c r="G58" s="809"/>
      <c r="H58" s="804"/>
      <c r="I58" s="803"/>
      <c r="J58" s="803"/>
      <c r="K58" s="803"/>
    </row>
    <row r="59" spans="2:11" ht="15" customHeight="1">
      <c r="B59" s="789"/>
      <c r="C59" s="789"/>
      <c r="D59" s="789"/>
      <c r="E59" s="789"/>
      <c r="F59"/>
      <c r="G59" s="809" t="s">
        <v>118</v>
      </c>
      <c r="H59" s="810"/>
      <c r="I59" s="803" t="s">
        <v>93</v>
      </c>
      <c r="J59" s="803" t="s">
        <v>93</v>
      </c>
      <c r="K59" s="807" t="s">
        <v>119</v>
      </c>
    </row>
    <row r="60" spans="2:11" ht="15" customHeight="1">
      <c r="B60" s="789"/>
      <c r="C60" s="789"/>
      <c r="D60" s="789"/>
      <c r="E60" s="789"/>
      <c r="F60"/>
      <c r="G60" s="809"/>
      <c r="H60" s="810"/>
      <c r="I60" s="803"/>
      <c r="J60" s="803"/>
      <c r="K60" s="807"/>
    </row>
    <row r="61" spans="2:11" ht="15" customHeight="1">
      <c r="B61" s="789"/>
      <c r="C61" s="789"/>
      <c r="D61" s="789"/>
      <c r="E61" s="789"/>
      <c r="F61"/>
      <c r="G61" s="809" t="s">
        <v>120</v>
      </c>
      <c r="H61" s="804"/>
      <c r="I61" s="803" t="s">
        <v>93</v>
      </c>
      <c r="J61" s="803" t="s">
        <v>93</v>
      </c>
      <c r="K61" s="803" t="s">
        <v>93</v>
      </c>
    </row>
    <row r="62" spans="2:11" ht="15" customHeight="1">
      <c r="B62" s="789"/>
      <c r="C62" s="789"/>
      <c r="D62" s="789"/>
      <c r="E62" s="789"/>
      <c r="F62"/>
      <c r="G62" s="809"/>
      <c r="H62" s="804"/>
      <c r="I62" s="803"/>
      <c r="J62" s="803"/>
      <c r="K62" s="803"/>
    </row>
    <row r="63" spans="2:11" ht="15" customHeight="1">
      <c r="B63" s="789"/>
      <c r="C63" s="789"/>
      <c r="D63" s="789"/>
      <c r="E63" s="789"/>
      <c r="F63"/>
      <c r="G63" s="809" t="s">
        <v>121</v>
      </c>
      <c r="H63" s="811"/>
      <c r="I63" s="803" t="s">
        <v>93</v>
      </c>
      <c r="J63" s="803" t="s">
        <v>93</v>
      </c>
      <c r="K63" s="807" t="s">
        <v>122</v>
      </c>
    </row>
    <row r="64" spans="2:11" ht="15" customHeight="1">
      <c r="B64" s="789"/>
      <c r="C64" s="789"/>
      <c r="D64" s="789"/>
      <c r="E64" s="789"/>
      <c r="F64"/>
      <c r="G64" s="809"/>
      <c r="H64" s="811"/>
      <c r="I64" s="803"/>
      <c r="J64" s="803"/>
      <c r="K64" s="807"/>
    </row>
    <row r="65" spans="2:11" ht="15" customHeight="1">
      <c r="B65" s="789"/>
      <c r="C65" s="789"/>
      <c r="D65" s="789"/>
      <c r="E65" s="789"/>
      <c r="F65"/>
      <c r="G65" s="809" t="s">
        <v>123</v>
      </c>
      <c r="H65" s="814"/>
      <c r="I65" s="803" t="s">
        <v>93</v>
      </c>
      <c r="J65" s="807" t="s">
        <v>124</v>
      </c>
      <c r="K65" s="807" t="s">
        <v>125</v>
      </c>
    </row>
    <row r="66" spans="2:11" ht="30" customHeight="1">
      <c r="B66" s="789"/>
      <c r="C66" s="789"/>
      <c r="D66" s="789"/>
      <c r="E66" s="789"/>
      <c r="F66"/>
      <c r="G66" s="809"/>
      <c r="H66" s="814"/>
      <c r="I66" s="803"/>
      <c r="J66" s="807"/>
      <c r="K66" s="807"/>
    </row>
    <row r="67" spans="2:11" ht="15" customHeight="1">
      <c r="B67" s="789"/>
      <c r="C67" s="789"/>
      <c r="D67" s="789"/>
      <c r="E67" s="789"/>
      <c r="F67"/>
      <c r="G67" s="809" t="s">
        <v>126</v>
      </c>
      <c r="H67" s="811"/>
      <c r="I67" s="803" t="s">
        <v>93</v>
      </c>
      <c r="J67" s="808" t="s">
        <v>127</v>
      </c>
      <c r="K67" s="807" t="s">
        <v>128</v>
      </c>
    </row>
    <row r="68" spans="2:11" ht="15" customHeight="1">
      <c r="B68" s="789"/>
      <c r="C68" s="789"/>
      <c r="D68" s="789"/>
      <c r="E68" s="789"/>
      <c r="F68"/>
      <c r="G68" s="809"/>
      <c r="H68" s="811"/>
      <c r="I68" s="803"/>
      <c r="J68" s="808"/>
      <c r="K68" s="807"/>
    </row>
    <row r="69" spans="2:11" ht="15" customHeight="1">
      <c r="B69"/>
      <c r="C69"/>
      <c r="D69"/>
      <c r="E69"/>
      <c r="F69"/>
      <c r="G69" s="702"/>
      <c r="H69" s="703"/>
      <c r="I69" s="704"/>
      <c r="J69" s="705"/>
      <c r="K69" s="705"/>
    </row>
    <row r="70" spans="2:11" ht="15" customHeight="1">
      <c r="B70" t="s">
        <v>11</v>
      </c>
      <c r="C70"/>
      <c r="D70"/>
      <c r="E70"/>
      <c r="F70"/>
      <c r="G70" t="s">
        <v>129</v>
      </c>
      <c r="H70"/>
      <c r="I70"/>
      <c r="J70"/>
      <c r="K70"/>
    </row>
    <row r="71" spans="2:11" s="23" customFormat="1" ht="4" customHeight="1">
      <c r="B71" s="686"/>
      <c r="C71" s="686"/>
      <c r="D71" s="686"/>
      <c r="E71" s="686"/>
      <c r="F71" s="687"/>
      <c r="G71" s="695"/>
      <c r="H71" s="695"/>
      <c r="I71" s="695"/>
      <c r="J71" s="695"/>
      <c r="K71" s="695"/>
    </row>
    <row r="72" spans="2:11" ht="15" customHeight="1" thickBot="1">
      <c r="B72" s="697" t="s">
        <v>130</v>
      </c>
      <c r="C72" s="706" t="s">
        <v>131</v>
      </c>
      <c r="D72" s="706"/>
      <c r="E72" s="706" t="s">
        <v>132</v>
      </c>
      <c r="F72"/>
      <c r="G72" s="696"/>
      <c r="H72" s="697" t="s">
        <v>86</v>
      </c>
      <c r="I72" s="697" t="s">
        <v>87</v>
      </c>
      <c r="J72" s="697" t="s">
        <v>88</v>
      </c>
      <c r="K72" s="697" t="s">
        <v>89</v>
      </c>
    </row>
    <row r="73" spans="2:11" ht="15" customHeight="1">
      <c r="B73" t="s">
        <v>133</v>
      </c>
      <c r="C73" s="790" t="s">
        <v>134</v>
      </c>
      <c r="D73" s="790"/>
      <c r="E73" t="s">
        <v>135</v>
      </c>
      <c r="F73"/>
      <c r="G73" s="809" t="s">
        <v>136</v>
      </c>
      <c r="H73" s="817"/>
      <c r="I73" s="803" t="s">
        <v>93</v>
      </c>
      <c r="J73" s="803" t="s">
        <v>93</v>
      </c>
      <c r="K73" s="807" t="s">
        <v>137</v>
      </c>
    </row>
    <row r="74" spans="2:11" ht="15" customHeight="1">
      <c r="B74" t="s">
        <v>138</v>
      </c>
      <c r="C74" s="791" t="s">
        <v>139</v>
      </c>
      <c r="D74" s="791"/>
      <c r="E74" t="s">
        <v>140</v>
      </c>
      <c r="F74"/>
      <c r="G74" s="809"/>
      <c r="H74" s="817"/>
      <c r="I74" s="803"/>
      <c r="J74" s="803"/>
      <c r="K74" s="807"/>
    </row>
    <row r="75" spans="2:11" ht="15" customHeight="1">
      <c r="B75" t="s">
        <v>141</v>
      </c>
      <c r="C75" s="791" t="s">
        <v>139</v>
      </c>
      <c r="D75" s="791"/>
      <c r="E75" t="s">
        <v>142</v>
      </c>
      <c r="F75"/>
      <c r="G75" s="809" t="s">
        <v>143</v>
      </c>
      <c r="H75" s="816"/>
      <c r="I75" s="803" t="s">
        <v>93</v>
      </c>
      <c r="J75" s="803" t="s">
        <v>93</v>
      </c>
      <c r="K75" s="807" t="s">
        <v>144</v>
      </c>
    </row>
    <row r="76" spans="2:11" ht="15" customHeight="1">
      <c r="B76" t="s">
        <v>145</v>
      </c>
      <c r="C76" s="791" t="s">
        <v>146</v>
      </c>
      <c r="D76" s="791"/>
      <c r="E76" t="s">
        <v>147</v>
      </c>
      <c r="F76"/>
      <c r="G76" s="809"/>
      <c r="H76" s="816"/>
      <c r="I76" s="803"/>
      <c r="J76" s="803"/>
      <c r="K76" s="807"/>
    </row>
    <row r="77" spans="2:11" ht="15" customHeight="1">
      <c r="B77" s="707" t="s">
        <v>148</v>
      </c>
      <c r="C77" s="791" t="s">
        <v>149</v>
      </c>
      <c r="D77" s="791"/>
      <c r="E77" s="708" t="s">
        <v>150</v>
      </c>
      <c r="F77"/>
      <c r="G77" s="809" t="s">
        <v>151</v>
      </c>
      <c r="H77" s="815"/>
      <c r="I77" s="803" t="s">
        <v>93</v>
      </c>
      <c r="J77" s="803" t="s">
        <v>93</v>
      </c>
      <c r="K77" s="807" t="s">
        <v>152</v>
      </c>
    </row>
    <row r="78" spans="2:11" ht="15" customHeight="1">
      <c r="B78" s="709" t="s">
        <v>153</v>
      </c>
      <c r="C78" s="788" t="s">
        <v>149</v>
      </c>
      <c r="D78" s="788"/>
      <c r="E78" s="709" t="s">
        <v>154</v>
      </c>
      <c r="F78"/>
      <c r="G78" s="809"/>
      <c r="H78" s="815"/>
      <c r="I78" s="803"/>
      <c r="J78" s="803"/>
      <c r="K78" s="807"/>
    </row>
    <row r="79" spans="2:11" ht="15" customHeight="1">
      <c r="B79" s="709"/>
      <c r="C79" s="788"/>
      <c r="D79" s="788"/>
      <c r="E79" s="709"/>
      <c r="F79"/>
      <c r="G79" s="809" t="s">
        <v>155</v>
      </c>
      <c r="H79" s="816"/>
      <c r="I79" s="803" t="s">
        <v>93</v>
      </c>
      <c r="J79" s="803" t="s">
        <v>93</v>
      </c>
      <c r="K79" s="807" t="s">
        <v>156</v>
      </c>
    </row>
    <row r="80" spans="2:11" ht="15" customHeight="1">
      <c r="B80" s="709"/>
      <c r="C80" s="788"/>
      <c r="D80" s="788"/>
      <c r="E80" s="709"/>
      <c r="F80"/>
      <c r="G80" s="809"/>
      <c r="H80" s="816"/>
      <c r="I80" s="803"/>
      <c r="J80" s="803"/>
      <c r="K80" s="807"/>
    </row>
    <row r="81" spans="2:11" ht="15" customHeight="1">
      <c r="B81" s="709"/>
      <c r="C81" s="788"/>
      <c r="D81" s="788"/>
      <c r="E81" s="709"/>
      <c r="F81"/>
      <c r="G81" s="809" t="s">
        <v>157</v>
      </c>
      <c r="H81" s="818"/>
      <c r="I81" s="803" t="s">
        <v>93</v>
      </c>
      <c r="J81" s="803" t="s">
        <v>93</v>
      </c>
      <c r="K81" s="807" t="s">
        <v>158</v>
      </c>
    </row>
    <row r="82" spans="2:11" ht="15" customHeight="1">
      <c r="B82" s="709"/>
      <c r="C82" s="788"/>
      <c r="D82" s="788"/>
      <c r="E82" s="709"/>
      <c r="F82"/>
      <c r="G82" s="809"/>
      <c r="H82" s="818"/>
      <c r="I82" s="803"/>
      <c r="J82" s="803"/>
      <c r="K82" s="807"/>
    </row>
    <row r="83" spans="2:11" ht="15" customHeight="1">
      <c r="B83" s="709"/>
      <c r="C83" s="788"/>
      <c r="D83" s="788"/>
      <c r="E83" s="709"/>
      <c r="F83"/>
      <c r="G83" s="809" t="s">
        <v>159</v>
      </c>
      <c r="H83" s="819"/>
      <c r="I83" s="803" t="s">
        <v>93</v>
      </c>
      <c r="J83" s="803" t="s">
        <v>93</v>
      </c>
      <c r="K83" s="807" t="s">
        <v>160</v>
      </c>
    </row>
    <row r="84" spans="2:11" ht="15" customHeight="1">
      <c r="B84"/>
      <c r="C84" s="787"/>
      <c r="D84" s="787"/>
      <c r="E84"/>
      <c r="F84"/>
      <c r="G84" s="809"/>
      <c r="H84" s="819"/>
      <c r="I84" s="803"/>
      <c r="J84" s="803"/>
      <c r="K84" s="807"/>
    </row>
    <row r="85" spans="2:11" ht="15" customHeight="1">
      <c r="B85"/>
      <c r="C85" s="787"/>
      <c r="D85" s="787"/>
      <c r="E85"/>
      <c r="F85"/>
      <c r="G85" s="809" t="s">
        <v>161</v>
      </c>
      <c r="H85" s="818"/>
      <c r="I85" s="803" t="s">
        <v>93</v>
      </c>
      <c r="J85" s="803" t="s">
        <v>93</v>
      </c>
      <c r="K85" s="807" t="s">
        <v>127</v>
      </c>
    </row>
    <row r="86" spans="2:11" ht="15" customHeight="1">
      <c r="B86"/>
      <c r="C86" s="787"/>
      <c r="D86" s="787"/>
      <c r="E86"/>
      <c r="F86"/>
      <c r="G86" s="809"/>
      <c r="H86" s="818"/>
      <c r="I86" s="803"/>
      <c r="J86" s="803"/>
      <c r="K86" s="807"/>
    </row>
    <row r="87" spans="2:11" ht="15" customHeight="1">
      <c r="B87"/>
      <c r="C87" s="787"/>
      <c r="D87" s="787"/>
      <c r="E87"/>
      <c r="F87"/>
      <c r="G87" s="809" t="s">
        <v>162</v>
      </c>
      <c r="H87" s="816"/>
      <c r="I87" s="803" t="s">
        <v>93</v>
      </c>
      <c r="J87" s="803" t="s">
        <v>93</v>
      </c>
      <c r="K87" s="807" t="s">
        <v>163</v>
      </c>
    </row>
    <row r="88" spans="2:11" ht="15" customHeight="1">
      <c r="B88"/>
      <c r="C88" s="787"/>
      <c r="D88" s="787"/>
      <c r="E88"/>
      <c r="F88"/>
      <c r="G88" s="809"/>
      <c r="H88" s="816"/>
      <c r="I88" s="803"/>
      <c r="J88" s="803"/>
      <c r="K88" s="807"/>
    </row>
    <row r="89" spans="2:11" ht="15" customHeight="1">
      <c r="B89"/>
      <c r="C89" s="787"/>
      <c r="D89" s="787"/>
      <c r="E89"/>
      <c r="F89"/>
      <c r="G89" s="809" t="s">
        <v>164</v>
      </c>
      <c r="H89" s="817"/>
      <c r="I89" s="803" t="s">
        <v>93</v>
      </c>
      <c r="J89" s="807" t="s">
        <v>165</v>
      </c>
      <c r="K89" s="807" t="s">
        <v>166</v>
      </c>
    </row>
    <row r="90" spans="2:11" ht="15" customHeight="1">
      <c r="B90"/>
      <c r="C90" s="787"/>
      <c r="D90" s="787"/>
      <c r="E90"/>
      <c r="F90"/>
      <c r="G90" s="809"/>
      <c r="H90" s="817"/>
      <c r="I90" s="803"/>
      <c r="J90" s="807"/>
      <c r="K90" s="807"/>
    </row>
    <row r="91" spans="2:11" ht="15" customHeight="1">
      <c r="B91"/>
      <c r="C91" s="787"/>
      <c r="D91" s="787"/>
      <c r="E91"/>
      <c r="F91"/>
      <c r="G91" s="809" t="s">
        <v>167</v>
      </c>
      <c r="H91" s="819"/>
      <c r="I91" s="803" t="s">
        <v>93</v>
      </c>
      <c r="J91" s="803" t="s">
        <v>93</v>
      </c>
      <c r="K91" s="807" t="s">
        <v>168</v>
      </c>
    </row>
    <row r="92" spans="2:11" ht="15" customHeight="1">
      <c r="B92"/>
      <c r="C92" s="787"/>
      <c r="D92" s="787"/>
      <c r="E92"/>
      <c r="F92"/>
      <c r="G92" s="809"/>
      <c r="H92" s="819"/>
      <c r="I92" s="803"/>
      <c r="J92" s="803"/>
      <c r="K92" s="807"/>
    </row>
    <row r="93" spans="2:11" ht="15" customHeight="1">
      <c r="B93"/>
      <c r="C93" s="787"/>
      <c r="D93" s="787"/>
      <c r="E93"/>
      <c r="F93"/>
      <c r="G93" s="809" t="s">
        <v>169</v>
      </c>
      <c r="H93" s="820"/>
      <c r="I93" s="803" t="s">
        <v>93</v>
      </c>
      <c r="J93" s="803" t="s">
        <v>93</v>
      </c>
      <c r="K93" s="807" t="s">
        <v>170</v>
      </c>
    </row>
    <row r="94" spans="2:11" ht="15" customHeight="1">
      <c r="B94"/>
      <c r="C94"/>
      <c r="D94"/>
      <c r="E94"/>
      <c r="F94"/>
      <c r="G94" s="809"/>
      <c r="H94" s="820"/>
      <c r="I94" s="803"/>
      <c r="J94" s="803"/>
      <c r="K94" s="807"/>
    </row>
  </sheetData>
  <mergeCells count="206">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D27:E27"/>
    <mergeCell ref="D23:E23"/>
    <mergeCell ref="D24:E24"/>
    <mergeCell ref="D19:E19"/>
    <mergeCell ref="D15:E15"/>
    <mergeCell ref="D16:E16"/>
    <mergeCell ref="D17:E17"/>
    <mergeCell ref="D18:E18"/>
    <mergeCell ref="D20:E20"/>
    <mergeCell ref="D21:E21"/>
    <mergeCell ref="D22:E22"/>
    <mergeCell ref="D25:E25"/>
    <mergeCell ref="D26:E26"/>
    <mergeCell ref="C90:D90"/>
    <mergeCell ref="C91:D91"/>
    <mergeCell ref="C92:D92"/>
    <mergeCell ref="C93:D93"/>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36"/>
  <sheetViews>
    <sheetView showGridLines="0" topLeftCell="A16" zoomScale="80" zoomScaleNormal="80" workbookViewId="0">
      <selection activeCell="Z43" sqref="Z43"/>
    </sheetView>
  </sheetViews>
  <sheetFormatPr baseColWidth="10" defaultColWidth="9" defaultRowHeight="15" customHeight="1" outlineLevelCol="1"/>
  <cols>
    <col min="1" max="1" width="2.1640625" style="97" customWidth="1"/>
    <col min="2" max="2" width="21.33203125" style="97" customWidth="1"/>
    <col min="3" max="3" width="3.33203125" style="23" customWidth="1"/>
    <col min="4" max="7" width="9.6640625" style="97" hidden="1" customWidth="1" outlineLevel="1"/>
    <col min="8" max="8" width="11.6640625" style="97" customWidth="1" collapsed="1"/>
    <col min="9" max="9" width="1.6640625" style="23" customWidth="1"/>
    <col min="10" max="13" width="9.6640625" style="97" hidden="1" customWidth="1" outlineLevel="1"/>
    <col min="14" max="14" width="11.6640625" style="97" customWidth="1" collapsed="1"/>
    <col min="15" max="15" width="1.6640625" style="23" customWidth="1"/>
    <col min="16" max="19" width="9.6640625" style="97" hidden="1" customWidth="1" outlineLevel="1"/>
    <col min="20" max="20" width="11.6640625" style="97" customWidth="1" collapsed="1"/>
    <col min="21" max="21" width="1.6640625" style="23" customWidth="1"/>
    <col min="22" max="25" width="9.6640625" style="97" hidden="1" customWidth="1" outlineLevel="1"/>
    <col min="26" max="26" width="11.6640625" style="97" customWidth="1" collapsed="1"/>
    <col min="27" max="27" width="1.6640625" style="23" customWidth="1"/>
    <col min="28" max="31" width="9.6640625" style="97" hidden="1" customWidth="1" outlineLevel="1"/>
    <col min="32" max="32" width="11.6640625" style="97" customWidth="1" collapsed="1"/>
    <col min="33" max="33" width="1.6640625" style="23" customWidth="1"/>
    <col min="34" max="37" width="9.6640625" style="97" hidden="1" customWidth="1" outlineLevel="1"/>
    <col min="38" max="38" width="11.6640625" style="97" customWidth="1" collapsed="1"/>
    <col min="39" max="39" width="1.6640625" style="23" customWidth="1"/>
    <col min="40" max="43" width="9.6640625" style="97" hidden="1" customWidth="1" outlineLevel="1"/>
    <col min="44" max="44" width="11.6640625" style="97" customWidth="1" collapsed="1"/>
    <col min="45" max="45" width="1.6640625" style="23" customWidth="1"/>
    <col min="46" max="46" width="11.6640625" style="97" customWidth="1"/>
    <col min="47" max="47" width="1.6640625" style="23" customWidth="1"/>
    <col min="48" max="48" width="11.6640625" style="105" customWidth="1"/>
    <col min="49" max="49" width="1.6640625" style="23" customWidth="1"/>
    <col min="50" max="50" width="11.6640625" style="97" customWidth="1"/>
    <col min="51" max="51" width="1.6640625" style="97" customWidth="1"/>
    <col min="52" max="16384" width="9" style="97"/>
  </cols>
  <sheetData>
    <row r="1" spans="1:59" s="546" customFormat="1" ht="15" customHeight="1"/>
    <row r="2" spans="1:59" s="546" customFormat="1" ht="15" customHeight="1"/>
    <row r="3" spans="1:59" s="546" customFormat="1" ht="15" customHeight="1"/>
    <row r="4" spans="1:59" s="546" customFormat="1" ht="15" customHeight="1"/>
    <row r="5" spans="1:59" s="287" customFormat="1" ht="4" customHeight="1">
      <c r="C5" s="36"/>
      <c r="I5" s="36"/>
      <c r="O5" s="36"/>
      <c r="U5" s="36"/>
      <c r="AA5" s="36"/>
      <c r="AG5" s="36"/>
      <c r="AM5" s="36"/>
      <c r="AS5" s="36"/>
      <c r="AU5" s="36"/>
      <c r="AV5" s="288"/>
      <c r="AW5" s="36"/>
    </row>
    <row r="7" spans="1:59" s="41" customFormat="1" ht="15" customHeight="1">
      <c r="A7" s="44" t="s">
        <v>39</v>
      </c>
      <c r="B7" s="161" t="s">
        <v>171</v>
      </c>
      <c r="C7" s="18"/>
      <c r="D7" s="201">
        <f>F7</f>
        <v>2020</v>
      </c>
      <c r="E7" s="201">
        <f>F7</f>
        <v>2020</v>
      </c>
      <c r="F7" s="201">
        <v>2020</v>
      </c>
      <c r="G7" s="201">
        <f>F7</f>
        <v>2020</v>
      </c>
      <c r="H7" s="201">
        <f>F7</f>
        <v>2020</v>
      </c>
      <c r="I7" s="18"/>
      <c r="J7" s="201">
        <f>L7</f>
        <v>2021</v>
      </c>
      <c r="K7" s="201">
        <f>L7</f>
        <v>2021</v>
      </c>
      <c r="L7" s="201">
        <v>2021</v>
      </c>
      <c r="M7" s="201">
        <f>L7</f>
        <v>2021</v>
      </c>
      <c r="N7" s="201">
        <f>L7</f>
        <v>2021</v>
      </c>
      <c r="O7" s="169"/>
      <c r="P7" s="201">
        <f>R7</f>
        <v>2022</v>
      </c>
      <c r="Q7" s="201">
        <f>R7</f>
        <v>2022</v>
      </c>
      <c r="R7" s="201">
        <v>2022</v>
      </c>
      <c r="S7" s="201">
        <f>R7</f>
        <v>2022</v>
      </c>
      <c r="T7" s="201">
        <f>R7</f>
        <v>2022</v>
      </c>
      <c r="U7" s="169"/>
      <c r="V7" s="201">
        <f>X7</f>
        <v>2023</v>
      </c>
      <c r="W7" s="201">
        <f>X7</f>
        <v>2023</v>
      </c>
      <c r="X7" s="201">
        <v>2023</v>
      </c>
      <c r="Y7" s="201">
        <f>X7</f>
        <v>2023</v>
      </c>
      <c r="Z7" s="201">
        <f>X7</f>
        <v>2023</v>
      </c>
      <c r="AA7" s="170"/>
      <c r="AB7" s="201">
        <f>AD7</f>
        <v>2024</v>
      </c>
      <c r="AC7" s="201">
        <f>AD7</f>
        <v>2024</v>
      </c>
      <c r="AD7" s="201">
        <v>2024</v>
      </c>
      <c r="AE7" s="201">
        <f>AD7</f>
        <v>2024</v>
      </c>
      <c r="AF7" s="201">
        <f>AD7</f>
        <v>2024</v>
      </c>
      <c r="AG7" s="170"/>
      <c r="AH7" s="201">
        <f>AJ7</f>
        <v>2025</v>
      </c>
      <c r="AI7" s="201">
        <f>AJ7</f>
        <v>2025</v>
      </c>
      <c r="AJ7" s="202">
        <v>2025</v>
      </c>
      <c r="AK7" s="201">
        <f>AJ7</f>
        <v>2025</v>
      </c>
      <c r="AL7" s="201">
        <f>AJ7</f>
        <v>2025</v>
      </c>
      <c r="AM7" s="171"/>
      <c r="AN7" s="201">
        <f>AP7</f>
        <v>2025</v>
      </c>
      <c r="AO7" s="201">
        <f>AP7</f>
        <v>2025</v>
      </c>
      <c r="AP7" s="202">
        <v>2025</v>
      </c>
      <c r="AQ7" s="201">
        <f>AP7</f>
        <v>2025</v>
      </c>
      <c r="AR7" s="201">
        <f>AP7</f>
        <v>2025</v>
      </c>
      <c r="AS7" s="18"/>
      <c r="AT7" s="162"/>
      <c r="AU7" s="18"/>
      <c r="AV7" s="163"/>
      <c r="AW7" s="18"/>
      <c r="AX7" s="163"/>
      <c r="AY7" s="19"/>
      <c r="AZ7" s="164" t="s">
        <v>172</v>
      </c>
      <c r="BA7" s="164"/>
      <c r="BB7" s="164"/>
      <c r="BC7" s="164"/>
      <c r="BD7" s="164"/>
      <c r="BE7" s="164"/>
      <c r="BF7" s="164"/>
      <c r="BG7" s="164"/>
    </row>
    <row r="8" spans="1:59" s="41" customFormat="1" ht="15" customHeight="1">
      <c r="B8" s="164"/>
      <c r="C8" s="18"/>
      <c r="D8" s="822">
        <v>2020</v>
      </c>
      <c r="E8" s="822"/>
      <c r="F8" s="822"/>
      <c r="G8" s="822"/>
      <c r="H8" s="822"/>
      <c r="I8" s="169"/>
      <c r="J8" s="822">
        <f>D8+1</f>
        <v>2021</v>
      </c>
      <c r="K8" s="822"/>
      <c r="L8" s="822"/>
      <c r="M8" s="822"/>
      <c r="N8" s="822"/>
      <c r="O8" s="169"/>
      <c r="P8" s="822">
        <f>J8+1</f>
        <v>2022</v>
      </c>
      <c r="Q8" s="822"/>
      <c r="R8" s="822"/>
      <c r="S8" s="822"/>
      <c r="T8" s="822"/>
      <c r="U8" s="169"/>
      <c r="V8" s="822">
        <f>P8+1</f>
        <v>2023</v>
      </c>
      <c r="W8" s="822"/>
      <c r="X8" s="822"/>
      <c r="Y8" s="822"/>
      <c r="Z8" s="822"/>
      <c r="AA8" s="169"/>
      <c r="AB8" s="822">
        <f>V8+1</f>
        <v>2024</v>
      </c>
      <c r="AC8" s="822"/>
      <c r="AD8" s="822"/>
      <c r="AE8" s="822"/>
      <c r="AF8" s="822"/>
      <c r="AG8" s="169"/>
      <c r="AH8" s="821">
        <f>AB8+1</f>
        <v>2025</v>
      </c>
      <c r="AI8" s="821"/>
      <c r="AJ8" s="821"/>
      <c r="AK8" s="821"/>
      <c r="AL8" s="821"/>
      <c r="AM8" s="169"/>
      <c r="AN8" s="821">
        <f>AH8+1</f>
        <v>2026</v>
      </c>
      <c r="AO8" s="821"/>
      <c r="AP8" s="821"/>
      <c r="AQ8" s="821"/>
      <c r="AR8" s="821"/>
      <c r="AS8" s="171"/>
      <c r="AT8" s="166">
        <f>AN8+1</f>
        <v>2027</v>
      </c>
      <c r="AU8" s="167"/>
      <c r="AV8" s="166">
        <f>+AT8+1</f>
        <v>2028</v>
      </c>
      <c r="AW8" s="167"/>
      <c r="AX8" s="166">
        <f>+AV8+1</f>
        <v>2029</v>
      </c>
      <c r="AY8" s="520"/>
      <c r="AZ8" s="164"/>
      <c r="BA8" s="164"/>
      <c r="BB8" s="164"/>
      <c r="BC8" s="164"/>
      <c r="BD8" s="164"/>
      <c r="BE8" s="164"/>
      <c r="BF8" s="164"/>
      <c r="BG8" s="164"/>
    </row>
    <row r="9" spans="1:59" s="41" customFormat="1" ht="15" customHeight="1">
      <c r="B9" s="164"/>
      <c r="C9" s="18"/>
      <c r="D9" s="168" t="s">
        <v>173</v>
      </c>
      <c r="E9" s="168" t="s">
        <v>174</v>
      </c>
      <c r="F9" s="168" t="s">
        <v>175</v>
      </c>
      <c r="G9" s="168" t="s">
        <v>176</v>
      </c>
      <c r="H9" s="168" t="s">
        <v>177</v>
      </c>
      <c r="I9" s="18"/>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173</v>
      </c>
      <c r="AI9" s="168" t="s">
        <v>174</v>
      </c>
      <c r="AJ9" s="168" t="s">
        <v>175</v>
      </c>
      <c r="AK9" s="168" t="s">
        <v>176</v>
      </c>
      <c r="AL9" s="168" t="s">
        <v>177</v>
      </c>
      <c r="AM9" s="165"/>
      <c r="AN9" s="168" t="s">
        <v>173</v>
      </c>
      <c r="AO9" s="168" t="s">
        <v>174</v>
      </c>
      <c r="AP9" s="168" t="s">
        <v>175</v>
      </c>
      <c r="AQ9" s="168" t="s">
        <v>176</v>
      </c>
      <c r="AR9" s="168" t="s">
        <v>177</v>
      </c>
      <c r="AS9" s="165"/>
      <c r="AT9" s="168" t="s">
        <v>177</v>
      </c>
      <c r="AU9" s="165"/>
      <c r="AV9" s="168" t="s">
        <v>177</v>
      </c>
      <c r="AW9" s="165"/>
      <c r="AX9" s="168" t="s">
        <v>177</v>
      </c>
      <c r="AY9" s="521"/>
      <c r="AZ9" s="164"/>
      <c r="BA9" s="164"/>
      <c r="BB9" s="164"/>
      <c r="BC9" s="164"/>
      <c r="BD9" s="164"/>
      <c r="BE9" s="164"/>
      <c r="BF9" s="164"/>
      <c r="BG9" s="164"/>
    </row>
    <row r="10" spans="1:59" s="41" customFormat="1" ht="4"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59" s="41" customFormat="1" ht="4"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3"/>
      <c r="AH11" s="173"/>
      <c r="AI11" s="173"/>
      <c r="AJ11" s="173"/>
      <c r="AK11" s="173"/>
      <c r="AL11" s="175"/>
      <c r="AM11" s="34"/>
      <c r="AN11" s="175"/>
      <c r="AO11" s="175"/>
      <c r="AP11" s="175"/>
      <c r="AQ11" s="175"/>
      <c r="AR11" s="175"/>
      <c r="AS11" s="34"/>
      <c r="AT11" s="175"/>
      <c r="AU11" s="34"/>
      <c r="AV11" s="175"/>
      <c r="AW11" s="34"/>
      <c r="AX11" s="175"/>
    </row>
    <row r="12" spans="1:59" s="54" customFormat="1" ht="15" customHeight="1">
      <c r="B12" s="45" t="s">
        <v>178</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c r="AZ12" s="823"/>
      <c r="BA12" s="823"/>
      <c r="BB12" s="823"/>
      <c r="BC12" s="823"/>
      <c r="BD12" s="823"/>
      <c r="BE12" s="823"/>
      <c r="BF12" s="823"/>
      <c r="BG12" s="823"/>
    </row>
    <row r="13" spans="1:59" s="54" customFormat="1" ht="15" customHeight="1">
      <c r="A13" s="55"/>
      <c r="B13" s="56" t="s">
        <v>179</v>
      </c>
      <c r="C13" s="23"/>
      <c r="D13" s="46"/>
      <c r="E13" s="46"/>
      <c r="F13" s="46"/>
      <c r="G13" s="46"/>
      <c r="H13" s="47"/>
      <c r="I13" s="48"/>
      <c r="J13" s="46"/>
      <c r="K13" s="46"/>
      <c r="L13" s="46"/>
      <c r="M13" s="46"/>
      <c r="N13" s="47"/>
      <c r="O13" s="47"/>
      <c r="P13" s="46"/>
      <c r="Q13" s="46"/>
      <c r="R13" s="46"/>
      <c r="S13" s="46"/>
      <c r="T13" s="47"/>
      <c r="U13" s="47"/>
      <c r="V13" s="46"/>
      <c r="W13" s="46"/>
      <c r="X13" s="46"/>
      <c r="Y13" s="46"/>
      <c r="Z13" s="47"/>
      <c r="AA13" s="47"/>
      <c r="AB13" s="46"/>
      <c r="AC13" s="46"/>
      <c r="AD13" s="46"/>
      <c r="AE13" s="46"/>
      <c r="AF13" s="47"/>
      <c r="AG13" s="49"/>
      <c r="AH13" s="46"/>
      <c r="AI13" s="46"/>
      <c r="AJ13" s="50"/>
      <c r="AK13" s="50"/>
      <c r="AL13" s="47"/>
      <c r="AM13" s="51"/>
      <c r="AN13" s="50"/>
      <c r="AO13" s="50"/>
      <c r="AP13" s="50"/>
      <c r="AQ13" s="50"/>
      <c r="AR13" s="47"/>
      <c r="AS13" s="51"/>
      <c r="AT13" s="52"/>
      <c r="AU13" s="53"/>
      <c r="AV13" s="52"/>
      <c r="AW13" s="53"/>
      <c r="AX13" s="52"/>
      <c r="AZ13" s="823"/>
      <c r="BA13" s="823"/>
      <c r="BB13" s="823"/>
      <c r="BC13" s="823"/>
      <c r="BD13" s="823"/>
      <c r="BE13" s="823"/>
      <c r="BF13" s="823"/>
      <c r="BG13" s="823"/>
    </row>
    <row r="14" spans="1:59" s="54" customFormat="1" ht="15" customHeight="1">
      <c r="B14" s="59" t="s">
        <v>180</v>
      </c>
      <c r="C14" s="23"/>
      <c r="D14" s="62">
        <f>IS!D18</f>
        <v>0</v>
      </c>
      <c r="E14" s="62">
        <f>IS!E18</f>
        <v>0</v>
      </c>
      <c r="F14" s="62">
        <f>IS!F18</f>
        <v>0</v>
      </c>
      <c r="G14" s="62">
        <f>IS!G18</f>
        <v>0</v>
      </c>
      <c r="H14" s="63">
        <f>IS!H18</f>
        <v>0</v>
      </c>
      <c r="I14" s="96"/>
      <c r="J14" s="62">
        <f>IS!J18</f>
        <v>0</v>
      </c>
      <c r="K14" s="62">
        <f>IS!K18</f>
        <v>0</v>
      </c>
      <c r="L14" s="62">
        <f>IS!L18</f>
        <v>91.447999999999993</v>
      </c>
      <c r="M14" s="62">
        <f>IS!M18</f>
        <v>95.957999999999998</v>
      </c>
      <c r="N14" s="63">
        <f>IS!N18</f>
        <v>349.029</v>
      </c>
      <c r="O14" s="52"/>
      <c r="P14" s="62">
        <f>IS!P18</f>
        <v>100.336</v>
      </c>
      <c r="Q14" s="62">
        <f>IS!Q18</f>
        <v>107.873</v>
      </c>
      <c r="R14" s="62">
        <f>IS!R18</f>
        <v>123.605</v>
      </c>
      <c r="S14" s="62">
        <f>IS!S18</f>
        <v>120.03</v>
      </c>
      <c r="T14" s="63">
        <f>IS!T18</f>
        <v>452.85899999999998</v>
      </c>
      <c r="U14" s="52"/>
      <c r="V14" s="62">
        <f>IS!V18</f>
        <v>120.374</v>
      </c>
      <c r="W14" s="62">
        <f>IS!W18</f>
        <v>122.486</v>
      </c>
      <c r="X14" s="62">
        <f>IS!X18</f>
        <v>133.16499999999999</v>
      </c>
      <c r="Y14" s="62">
        <f>IS!Y18</f>
        <v>132.92400000000001</v>
      </c>
      <c r="Z14" s="63">
        <f>IS!Z18</f>
        <v>508.94900000000001</v>
      </c>
      <c r="AA14" s="52"/>
      <c r="AB14" s="62">
        <f>IS!AB18</f>
        <v>127.343</v>
      </c>
      <c r="AC14" s="62">
        <f>IS!AC18</f>
        <v>126.304</v>
      </c>
      <c r="AD14" s="62">
        <f>IS!AD18</f>
        <v>136.59299999999999</v>
      </c>
      <c r="AE14" s="62">
        <f>IS!AE18</f>
        <v>135.72300000000001</v>
      </c>
      <c r="AF14" s="63">
        <f>IS!AF18</f>
        <v>525.96299999999997</v>
      </c>
      <c r="AG14" s="503"/>
      <c r="AH14" s="62">
        <f>IS!AH18</f>
        <v>140.268</v>
      </c>
      <c r="AI14" s="62">
        <f>IS!AI18</f>
        <v>142.44300000000001</v>
      </c>
      <c r="AJ14" s="62">
        <f>IS!AJ18</f>
        <v>150.10345832730678</v>
      </c>
      <c r="AK14" s="62">
        <f>IS!AK18</f>
        <v>156.13392858041604</v>
      </c>
      <c r="AL14" s="63">
        <f>IS!AL18</f>
        <v>723.55312089843733</v>
      </c>
      <c r="AM14" s="53"/>
      <c r="AN14" s="62">
        <f>IS!AN18</f>
        <v>162.48852859150645</v>
      </c>
      <c r="AO14" s="62">
        <f>IS!AO18</f>
        <v>168.79837460152729</v>
      </c>
      <c r="AP14" s="62">
        <f>IS!AP18</f>
        <v>176.8683179582022</v>
      </c>
      <c r="AQ14" s="62">
        <f>IS!AQ18</f>
        <v>186.71814897517865</v>
      </c>
      <c r="AR14" s="63">
        <f>IS!AR18</f>
        <v>850.51853332409382</v>
      </c>
      <c r="AS14" s="53"/>
      <c r="AT14" s="63">
        <f>IS!AT18</f>
        <v>1010.2513984430111</v>
      </c>
      <c r="AU14" s="53"/>
      <c r="AV14" s="63">
        <f>IS!AV18</f>
        <v>1298.7525563163108</v>
      </c>
      <c r="AW14" s="53"/>
      <c r="AX14" s="63">
        <f>IS!AX18</f>
        <v>1656.4544309893722</v>
      </c>
      <c r="AZ14" s="823"/>
      <c r="BA14" s="823"/>
      <c r="BB14" s="823"/>
      <c r="BC14" s="823"/>
      <c r="BD14" s="823"/>
      <c r="BE14" s="823"/>
      <c r="BF14" s="823"/>
      <c r="BG14" s="823"/>
    </row>
    <row r="15" spans="1:59" ht="15" customHeight="1">
      <c r="AG15" s="204"/>
      <c r="AZ15" s="823"/>
      <c r="BA15" s="823"/>
      <c r="BB15" s="823"/>
      <c r="BC15" s="823"/>
      <c r="BD15" s="823"/>
      <c r="BE15" s="823"/>
      <c r="BF15" s="823"/>
      <c r="BG15" s="823"/>
    </row>
    <row r="16" spans="1:59" ht="15" customHeight="1">
      <c r="B16" s="45" t="s">
        <v>181</v>
      </c>
      <c r="AG16" s="204"/>
      <c r="AZ16" s="823"/>
      <c r="BA16" s="823"/>
      <c r="BB16" s="823"/>
      <c r="BC16" s="823"/>
      <c r="BD16" s="823"/>
      <c r="BE16" s="823"/>
      <c r="BF16" s="823"/>
      <c r="BG16" s="823"/>
    </row>
    <row r="17" spans="1:59" ht="15" customHeight="1">
      <c r="B17" s="56" t="s">
        <v>182</v>
      </c>
      <c r="D17" s="46"/>
      <c r="E17" s="46"/>
      <c r="F17" s="46"/>
      <c r="G17" s="46"/>
      <c r="H17" s="47">
        <f>H18</f>
        <v>0</v>
      </c>
      <c r="I17" s="47"/>
      <c r="J17" s="47">
        <f t="shared" ref="J17:AF17" si="0">J18</f>
        <v>0</v>
      </c>
      <c r="K17" s="47">
        <f t="shared" si="0"/>
        <v>0</v>
      </c>
      <c r="L17" s="47">
        <f t="shared" si="0"/>
        <v>91.447999999999993</v>
      </c>
      <c r="M17" s="47">
        <f t="shared" si="0"/>
        <v>95.957999999999998</v>
      </c>
      <c r="N17" s="47">
        <f t="shared" si="0"/>
        <v>349.029</v>
      </c>
      <c r="O17" s="47"/>
      <c r="P17" s="47">
        <f t="shared" si="0"/>
        <v>100.336</v>
      </c>
      <c r="Q17" s="47">
        <f t="shared" si="0"/>
        <v>107.873</v>
      </c>
      <c r="R17" s="47">
        <f t="shared" si="0"/>
        <v>123.605</v>
      </c>
      <c r="S17" s="47">
        <f t="shared" si="0"/>
        <v>120.03</v>
      </c>
      <c r="T17" s="47">
        <f t="shared" si="0"/>
        <v>452.85899999999998</v>
      </c>
      <c r="U17" s="47"/>
      <c r="V17" s="47">
        <f t="shared" si="0"/>
        <v>120.374</v>
      </c>
      <c r="W17" s="47">
        <f t="shared" si="0"/>
        <v>122.486</v>
      </c>
      <c r="X17" s="47">
        <f t="shared" si="0"/>
        <v>133.16499999999999</v>
      </c>
      <c r="Y17" s="47">
        <f t="shared" si="0"/>
        <v>132.92400000000001</v>
      </c>
      <c r="Z17" s="47">
        <f t="shared" si="0"/>
        <v>508.94900000000001</v>
      </c>
      <c r="AA17" s="47"/>
      <c r="AB17" s="47">
        <f t="shared" si="0"/>
        <v>127.343</v>
      </c>
      <c r="AC17" s="47">
        <f t="shared" si="0"/>
        <v>126.304</v>
      </c>
      <c r="AD17" s="47">
        <f t="shared" si="0"/>
        <v>136.59299999999999</v>
      </c>
      <c r="AE17" s="47">
        <f t="shared" si="0"/>
        <v>135.72300000000001</v>
      </c>
      <c r="AF17" s="47">
        <f t="shared" si="0"/>
        <v>525.96299999999997</v>
      </c>
      <c r="AG17" s="49"/>
      <c r="AH17" s="46"/>
      <c r="AI17" s="46"/>
      <c r="AJ17" s="50"/>
      <c r="AK17" s="50"/>
      <c r="AL17" s="47">
        <f>AL18</f>
        <v>723.55312089843733</v>
      </c>
      <c r="AM17" s="47"/>
      <c r="AN17" s="47">
        <f t="shared" ref="AN17:AX17" si="1">AN18</f>
        <v>162.48852859150645</v>
      </c>
      <c r="AO17" s="47">
        <f t="shared" si="1"/>
        <v>168.79837460152729</v>
      </c>
      <c r="AP17" s="47">
        <f t="shared" si="1"/>
        <v>176.8683179582022</v>
      </c>
      <c r="AQ17" s="47">
        <f t="shared" si="1"/>
        <v>186.71814897517865</v>
      </c>
      <c r="AR17" s="47">
        <f t="shared" si="1"/>
        <v>850.51853332409382</v>
      </c>
      <c r="AS17" s="47"/>
      <c r="AT17" s="47">
        <f t="shared" si="1"/>
        <v>1010.2513984430111</v>
      </c>
      <c r="AU17" s="47"/>
      <c r="AV17" s="47">
        <f t="shared" si="1"/>
        <v>1298.7525563163108</v>
      </c>
      <c r="AW17" s="47"/>
      <c r="AX17" s="47">
        <f t="shared" si="1"/>
        <v>1656.4544309893722</v>
      </c>
      <c r="AZ17" s="823"/>
      <c r="BA17" s="823"/>
      <c r="BB17" s="823"/>
      <c r="BC17" s="823"/>
      <c r="BD17" s="823"/>
      <c r="BE17" s="823"/>
      <c r="BF17" s="823"/>
      <c r="BG17" s="823"/>
    </row>
    <row r="18" spans="1:59" ht="15" customHeight="1">
      <c r="B18" s="59" t="s">
        <v>180</v>
      </c>
      <c r="D18" s="62">
        <f>IS!D18</f>
        <v>0</v>
      </c>
      <c r="E18" s="62">
        <f>IS!E18</f>
        <v>0</v>
      </c>
      <c r="F18" s="62">
        <f>IS!F18</f>
        <v>0</v>
      </c>
      <c r="G18" s="62">
        <f>IS!G18</f>
        <v>0</v>
      </c>
      <c r="H18" s="63">
        <f>IS!H18</f>
        <v>0</v>
      </c>
      <c r="I18" s="96"/>
      <c r="J18" s="62">
        <f>IS!J18</f>
        <v>0</v>
      </c>
      <c r="K18" s="62">
        <f>IS!K18</f>
        <v>0</v>
      </c>
      <c r="L18" s="62">
        <f>IS!L18</f>
        <v>91.447999999999993</v>
      </c>
      <c r="M18" s="62">
        <f>IS!M18</f>
        <v>95.957999999999998</v>
      </c>
      <c r="N18" s="63">
        <f>IS!N18</f>
        <v>349.029</v>
      </c>
      <c r="O18" s="52"/>
      <c r="P18" s="62">
        <f>IS!P18</f>
        <v>100.336</v>
      </c>
      <c r="Q18" s="62">
        <f>IS!Q18</f>
        <v>107.873</v>
      </c>
      <c r="R18" s="62">
        <f>IS!R18</f>
        <v>123.605</v>
      </c>
      <c r="S18" s="62">
        <f>IS!S18</f>
        <v>120.03</v>
      </c>
      <c r="T18" s="63">
        <f>IS!T18</f>
        <v>452.85899999999998</v>
      </c>
      <c r="U18" s="52"/>
      <c r="V18" s="62">
        <f>IS!V18</f>
        <v>120.374</v>
      </c>
      <c r="W18" s="62">
        <f>IS!W18</f>
        <v>122.486</v>
      </c>
      <c r="X18" s="62">
        <f>IS!X18</f>
        <v>133.16499999999999</v>
      </c>
      <c r="Y18" s="62">
        <f>IS!Y18</f>
        <v>132.92400000000001</v>
      </c>
      <c r="Z18" s="63">
        <f>IS!Z18</f>
        <v>508.94900000000001</v>
      </c>
      <c r="AA18" s="52"/>
      <c r="AB18" s="62">
        <f>IS!AB18</f>
        <v>127.343</v>
      </c>
      <c r="AC18" s="62">
        <f>IS!AC18</f>
        <v>126.304</v>
      </c>
      <c r="AD18" s="62">
        <f>IS!AD18</f>
        <v>136.59299999999999</v>
      </c>
      <c r="AE18" s="62">
        <f>IS!AE18</f>
        <v>135.72300000000001</v>
      </c>
      <c r="AF18" s="63">
        <f>IS!AF18</f>
        <v>525.96299999999997</v>
      </c>
      <c r="AG18" s="503"/>
      <c r="AH18" s="62">
        <f>IS!AH18</f>
        <v>140.268</v>
      </c>
      <c r="AI18" s="62">
        <f>IS!AI18</f>
        <v>142.44300000000001</v>
      </c>
      <c r="AJ18" s="62">
        <f>IS!AJ18</f>
        <v>150.10345832730678</v>
      </c>
      <c r="AK18" s="62">
        <f>IS!AK18</f>
        <v>156.13392858041604</v>
      </c>
      <c r="AL18" s="63">
        <f>IS!AL18</f>
        <v>723.55312089843733</v>
      </c>
      <c r="AM18" s="53"/>
      <c r="AN18" s="62">
        <f>IS!AN18</f>
        <v>162.48852859150645</v>
      </c>
      <c r="AO18" s="62">
        <f>IS!AO18</f>
        <v>168.79837460152729</v>
      </c>
      <c r="AP18" s="62">
        <f>IS!AP18</f>
        <v>176.8683179582022</v>
      </c>
      <c r="AQ18" s="62">
        <f>IS!AQ18</f>
        <v>186.71814897517865</v>
      </c>
      <c r="AR18" s="63">
        <f>IS!AR18</f>
        <v>850.51853332409382</v>
      </c>
      <c r="AS18" s="53"/>
      <c r="AT18" s="63">
        <f>IS!AT18</f>
        <v>1010.2513984430111</v>
      </c>
      <c r="AU18" s="53"/>
      <c r="AV18" s="63">
        <f>IS!AV18</f>
        <v>1298.7525563163108</v>
      </c>
      <c r="AW18" s="53"/>
      <c r="AX18" s="63">
        <f>IS!AX18</f>
        <v>1656.4544309893722</v>
      </c>
      <c r="AZ18" s="823"/>
      <c r="BA18" s="823"/>
      <c r="BB18" s="823"/>
      <c r="BC18" s="823"/>
      <c r="BD18" s="823"/>
      <c r="BE18" s="823"/>
      <c r="BF18" s="823"/>
      <c r="BG18" s="823"/>
    </row>
    <row r="19" spans="1:59" ht="15" customHeight="1">
      <c r="AG19" s="204"/>
    </row>
    <row r="20" spans="1:59" ht="15" customHeight="1">
      <c r="B20" s="97" t="s">
        <v>183</v>
      </c>
      <c r="AG20" s="204"/>
    </row>
    <row r="21" spans="1:59" ht="15" customHeight="1">
      <c r="B21" s="56" t="s">
        <v>184</v>
      </c>
      <c r="D21" s="46"/>
      <c r="E21" s="46"/>
      <c r="F21" s="46"/>
      <c r="G21" s="46"/>
      <c r="J21" s="46"/>
      <c r="K21" s="46"/>
      <c r="L21" s="46"/>
      <c r="M21" s="46"/>
      <c r="P21" s="46"/>
      <c r="Q21" s="46"/>
      <c r="R21" s="46"/>
      <c r="S21" s="46"/>
      <c r="V21" s="46"/>
      <c r="W21" s="46"/>
      <c r="X21" s="46"/>
      <c r="Y21" s="46"/>
      <c r="AB21" s="46"/>
      <c r="AC21" s="46"/>
      <c r="AD21" s="46"/>
      <c r="AE21" s="46"/>
      <c r="AG21" s="204"/>
      <c r="AH21" s="46"/>
      <c r="AI21" s="46"/>
      <c r="AJ21" s="46"/>
      <c r="AK21" s="46"/>
      <c r="AN21" s="46"/>
      <c r="AO21" s="46"/>
      <c r="AP21" s="46"/>
      <c r="AQ21" s="46"/>
    </row>
    <row r="22" spans="1:59" ht="15" customHeight="1">
      <c r="B22" s="56" t="s">
        <v>185</v>
      </c>
      <c r="D22" s="46"/>
      <c r="E22" s="46"/>
      <c r="F22" s="46"/>
      <c r="G22" s="46"/>
      <c r="J22" s="46"/>
      <c r="K22" s="46"/>
      <c r="L22" s="46"/>
      <c r="M22" s="46"/>
      <c r="P22" s="46"/>
      <c r="Q22" s="46"/>
      <c r="R22" s="46"/>
      <c r="S22" s="46"/>
      <c r="V22" s="46"/>
      <c r="W22" s="46"/>
      <c r="X22" s="46"/>
      <c r="Y22" s="46"/>
      <c r="AB22" s="46"/>
      <c r="AC22" s="46"/>
      <c r="AD22" s="46"/>
      <c r="AE22" s="46"/>
      <c r="AG22" s="204"/>
      <c r="AH22" s="46"/>
      <c r="AI22" s="46"/>
      <c r="AJ22" s="46"/>
      <c r="AK22" s="46"/>
      <c r="AN22" s="46"/>
      <c r="AO22" s="46"/>
      <c r="AP22" s="46"/>
      <c r="AQ22" s="46"/>
    </row>
    <row r="23" spans="1:59" ht="15" customHeight="1">
      <c r="B23" s="56" t="s">
        <v>186</v>
      </c>
      <c r="D23" s="46"/>
      <c r="E23" s="46"/>
      <c r="F23" s="46"/>
      <c r="G23" s="46"/>
      <c r="J23" s="46"/>
      <c r="K23" s="46"/>
      <c r="L23" s="46"/>
      <c r="M23" s="46"/>
      <c r="P23" s="46"/>
      <c r="Q23" s="46"/>
      <c r="R23" s="46"/>
      <c r="S23" s="46"/>
      <c r="V23" s="46"/>
      <c r="W23" s="46"/>
      <c r="X23" s="46"/>
      <c r="Y23" s="46"/>
      <c r="AB23" s="46"/>
      <c r="AC23" s="46"/>
      <c r="AD23" s="46"/>
      <c r="AE23" s="46"/>
      <c r="AG23" s="204"/>
      <c r="AH23" s="46"/>
      <c r="AI23" s="46"/>
      <c r="AJ23" s="46"/>
      <c r="AK23" s="46"/>
      <c r="AN23" s="46"/>
      <c r="AO23" s="46"/>
      <c r="AP23" s="46"/>
      <c r="AQ23" s="46"/>
    </row>
    <row r="25" spans="1:59" ht="15" customHeight="1">
      <c r="A25" s="44" t="s">
        <v>39</v>
      </c>
      <c r="B25" s="161" t="s">
        <v>187</v>
      </c>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row>
    <row r="26" spans="1:59" ht="15" customHeight="1">
      <c r="B26" s="164"/>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row>
    <row r="27" spans="1:59" ht="15" customHeight="1">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row>
    <row r="28" spans="1:59" ht="4" customHeight="1">
      <c r="B28" s="176"/>
      <c r="C28" s="176"/>
      <c r="D28" s="176"/>
      <c r="E28" s="176"/>
      <c r="F28" s="176"/>
      <c r="G28" s="176"/>
      <c r="H28" s="176"/>
      <c r="I28" s="176"/>
      <c r="J28" s="176"/>
      <c r="K28" s="176"/>
      <c r="L28" s="176"/>
      <c r="M28" s="176"/>
      <c r="N28" s="176"/>
      <c r="O28" s="176"/>
      <c r="P28" s="176"/>
      <c r="Q28" s="176"/>
      <c r="R28" s="176"/>
      <c r="S28" s="176"/>
      <c r="T28" s="176"/>
      <c r="U28" s="176"/>
      <c r="V28" s="176"/>
      <c r="W28" s="176"/>
      <c r="X28" s="176"/>
      <c r="Y28" s="176"/>
      <c r="Z28" s="176"/>
      <c r="AA28" s="176"/>
      <c r="AB28" s="176"/>
      <c r="AC28" s="176"/>
      <c r="AD28" s="176"/>
      <c r="AE28" s="176"/>
      <c r="AF28" s="176"/>
      <c r="AG28" s="176"/>
      <c r="AH28" s="176"/>
      <c r="AI28" s="176"/>
      <c r="AJ28" s="176"/>
      <c r="AK28" s="176"/>
      <c r="AL28" s="176"/>
      <c r="AM28" s="176"/>
      <c r="AN28" s="176"/>
      <c r="AO28" s="176"/>
      <c r="AP28" s="176"/>
      <c r="AQ28" s="176"/>
      <c r="AR28" s="176"/>
      <c r="AS28" s="176"/>
      <c r="AT28" s="176"/>
      <c r="AU28" s="176"/>
      <c r="AV28" s="176"/>
      <c r="AW28" s="176"/>
      <c r="AX28" s="176"/>
    </row>
    <row r="29" spans="1:59" ht="4" customHeight="1"/>
    <row r="30" spans="1:59" s="23" customFormat="1" ht="60" customHeight="1">
      <c r="B30" s="673" t="s">
        <v>188</v>
      </c>
      <c r="C30" s="510"/>
      <c r="D30" s="522"/>
      <c r="E30" s="522"/>
      <c r="F30" s="522"/>
      <c r="G30" s="522"/>
      <c r="H30" s="783" t="s">
        <v>189</v>
      </c>
      <c r="I30" s="783"/>
      <c r="J30" s="783"/>
      <c r="K30" s="783"/>
      <c r="L30" s="783"/>
      <c r="M30" s="783"/>
      <c r="N30" s="783"/>
      <c r="O30" s="783"/>
      <c r="P30" s="783"/>
      <c r="Q30" s="783"/>
      <c r="R30" s="783"/>
      <c r="S30" s="783"/>
      <c r="T30" s="783"/>
      <c r="U30" s="783"/>
      <c r="V30" s="783"/>
      <c r="W30" s="783"/>
      <c r="X30" s="783"/>
      <c r="Y30" s="783"/>
      <c r="Z30" s="783"/>
      <c r="AA30" s="783"/>
      <c r="AB30" s="783"/>
      <c r="AC30" s="783"/>
      <c r="AD30" s="783"/>
      <c r="AE30" s="783"/>
      <c r="AF30" s="783"/>
      <c r="AG30" s="783"/>
      <c r="AH30" s="783"/>
      <c r="AI30" s="783"/>
      <c r="AJ30" s="783"/>
      <c r="AK30" s="783"/>
      <c r="AL30" s="783"/>
      <c r="AM30" s="783"/>
      <c r="AN30" s="783"/>
      <c r="AO30" s="783"/>
      <c r="AP30" s="783"/>
      <c r="AQ30" s="783"/>
      <c r="AR30" s="783"/>
      <c r="AS30" s="783"/>
      <c r="AT30" s="783"/>
      <c r="AU30" s="783"/>
      <c r="AV30" s="783"/>
      <c r="AW30" s="783"/>
      <c r="AX30" s="783"/>
    </row>
    <row r="31" spans="1:59" ht="60" customHeight="1">
      <c r="B31" s="673" t="s">
        <v>190</v>
      </c>
      <c r="C31" s="510"/>
      <c r="D31" s="522"/>
      <c r="E31" s="522"/>
      <c r="F31" s="522"/>
      <c r="G31" s="522"/>
      <c r="H31" s="783" t="s">
        <v>191</v>
      </c>
      <c r="I31" s="783"/>
      <c r="J31" s="783"/>
      <c r="K31" s="783"/>
      <c r="L31" s="783"/>
      <c r="M31" s="783"/>
      <c r="N31" s="783"/>
      <c r="O31" s="783"/>
      <c r="P31" s="783"/>
      <c r="Q31" s="783"/>
      <c r="R31" s="783"/>
      <c r="S31" s="783"/>
      <c r="T31" s="783"/>
      <c r="U31" s="783"/>
      <c r="V31" s="783"/>
      <c r="W31" s="783"/>
      <c r="X31" s="783"/>
      <c r="Y31" s="783"/>
      <c r="Z31" s="783"/>
      <c r="AA31" s="783"/>
      <c r="AB31" s="783"/>
      <c r="AC31" s="783"/>
      <c r="AD31" s="783"/>
      <c r="AE31" s="783"/>
      <c r="AF31" s="783"/>
      <c r="AG31" s="783"/>
      <c r="AH31" s="783"/>
      <c r="AI31" s="783"/>
      <c r="AJ31" s="783"/>
      <c r="AK31" s="783"/>
      <c r="AL31" s="783"/>
      <c r="AM31" s="783"/>
      <c r="AN31" s="783"/>
      <c r="AO31" s="783"/>
      <c r="AP31" s="783"/>
      <c r="AQ31" s="783"/>
      <c r="AR31" s="783"/>
      <c r="AS31" s="783"/>
      <c r="AT31" s="783"/>
      <c r="AU31" s="783"/>
      <c r="AV31" s="783"/>
      <c r="AW31" s="783"/>
      <c r="AX31" s="783"/>
    </row>
    <row r="32" spans="1:59" ht="60" customHeight="1">
      <c r="B32" s="673" t="s">
        <v>192</v>
      </c>
      <c r="C32" s="204"/>
      <c r="H32" s="783" t="s">
        <v>193</v>
      </c>
      <c r="I32" s="783"/>
      <c r="J32" s="783"/>
      <c r="K32" s="783"/>
      <c r="L32" s="783"/>
      <c r="M32" s="783"/>
      <c r="N32" s="783"/>
      <c r="O32" s="783"/>
      <c r="P32" s="783"/>
      <c r="Q32" s="783"/>
      <c r="R32" s="783"/>
      <c r="S32" s="783"/>
      <c r="T32" s="783"/>
      <c r="U32" s="783"/>
      <c r="V32" s="783"/>
      <c r="W32" s="783"/>
      <c r="X32" s="783"/>
      <c r="Y32" s="783"/>
      <c r="Z32" s="783"/>
      <c r="AA32" s="783"/>
      <c r="AB32" s="783"/>
      <c r="AC32" s="783"/>
      <c r="AD32" s="783"/>
      <c r="AE32" s="783"/>
      <c r="AF32" s="783"/>
      <c r="AG32" s="783"/>
      <c r="AH32" s="783"/>
      <c r="AI32" s="783"/>
      <c r="AJ32" s="783"/>
      <c r="AK32" s="783"/>
      <c r="AL32" s="783"/>
      <c r="AM32" s="783"/>
      <c r="AN32" s="783"/>
      <c r="AO32" s="783"/>
      <c r="AP32" s="783"/>
      <c r="AQ32" s="783"/>
      <c r="AR32" s="783"/>
      <c r="AS32" s="783"/>
      <c r="AT32" s="783"/>
      <c r="AU32" s="783"/>
      <c r="AV32" s="783"/>
      <c r="AW32" s="783"/>
      <c r="AX32" s="783"/>
    </row>
    <row r="33" spans="2:50" ht="60" customHeight="1">
      <c r="B33" s="673" t="s">
        <v>194</v>
      </c>
      <c r="C33" s="204"/>
      <c r="H33" s="783" t="s">
        <v>195</v>
      </c>
      <c r="I33" s="783"/>
      <c r="J33" s="783"/>
      <c r="K33" s="783"/>
      <c r="L33" s="783"/>
      <c r="M33" s="783"/>
      <c r="N33" s="783"/>
      <c r="O33" s="783"/>
      <c r="P33" s="783"/>
      <c r="Q33" s="783"/>
      <c r="R33" s="783"/>
      <c r="S33" s="783"/>
      <c r="T33" s="783"/>
      <c r="U33" s="783"/>
      <c r="V33" s="783"/>
      <c r="W33" s="783"/>
      <c r="X33" s="783"/>
      <c r="Y33" s="783"/>
      <c r="Z33" s="783"/>
      <c r="AA33" s="783"/>
      <c r="AB33" s="783"/>
      <c r="AC33" s="783"/>
      <c r="AD33" s="783"/>
      <c r="AE33" s="783"/>
      <c r="AF33" s="783"/>
      <c r="AG33" s="783"/>
      <c r="AH33" s="783"/>
      <c r="AI33" s="783"/>
      <c r="AJ33" s="783"/>
      <c r="AK33" s="783"/>
      <c r="AL33" s="783"/>
      <c r="AM33" s="783"/>
      <c r="AN33" s="783"/>
      <c r="AO33" s="783"/>
      <c r="AP33" s="783"/>
      <c r="AQ33" s="783"/>
      <c r="AR33" s="783"/>
      <c r="AS33" s="783"/>
      <c r="AT33" s="783"/>
      <c r="AU33" s="783"/>
      <c r="AV33" s="783"/>
      <c r="AW33" s="783"/>
      <c r="AX33" s="783"/>
    </row>
    <row r="34" spans="2:50" ht="60" customHeight="1">
      <c r="B34" s="673" t="s">
        <v>185</v>
      </c>
      <c r="C34" s="204"/>
      <c r="H34" s="783" t="s">
        <v>196</v>
      </c>
      <c r="I34" s="783"/>
      <c r="J34" s="783"/>
      <c r="K34" s="783"/>
      <c r="L34" s="783"/>
      <c r="M34" s="783"/>
      <c r="N34" s="783"/>
      <c r="O34" s="783"/>
      <c r="P34" s="783"/>
      <c r="Q34" s="783"/>
      <c r="R34" s="783"/>
      <c r="S34" s="783"/>
      <c r="T34" s="783"/>
      <c r="U34" s="783"/>
      <c r="V34" s="783"/>
      <c r="W34" s="783"/>
      <c r="X34" s="783"/>
      <c r="Y34" s="783"/>
      <c r="Z34" s="783"/>
      <c r="AA34" s="783"/>
      <c r="AB34" s="783"/>
      <c r="AC34" s="783"/>
      <c r="AD34" s="783"/>
      <c r="AE34" s="783"/>
      <c r="AF34" s="783"/>
      <c r="AG34" s="783"/>
      <c r="AH34" s="783"/>
      <c r="AI34" s="783"/>
      <c r="AJ34" s="783"/>
      <c r="AK34" s="783"/>
      <c r="AL34" s="783"/>
      <c r="AM34" s="783"/>
      <c r="AN34" s="783"/>
      <c r="AO34" s="783"/>
      <c r="AP34" s="783"/>
      <c r="AQ34" s="783"/>
      <c r="AR34" s="783"/>
      <c r="AS34" s="783"/>
      <c r="AT34" s="783"/>
      <c r="AU34" s="783"/>
      <c r="AV34" s="783"/>
      <c r="AW34" s="783"/>
      <c r="AX34" s="783"/>
    </row>
    <row r="35" spans="2:50" ht="60" customHeight="1">
      <c r="B35" s="673" t="s">
        <v>197</v>
      </c>
      <c r="C35" s="204"/>
      <c r="H35" s="783" t="s">
        <v>198</v>
      </c>
      <c r="I35" s="783"/>
      <c r="J35" s="783"/>
      <c r="K35" s="783"/>
      <c r="L35" s="783"/>
      <c r="M35" s="783"/>
      <c r="N35" s="783"/>
      <c r="O35" s="783"/>
      <c r="P35" s="783"/>
      <c r="Q35" s="783"/>
      <c r="R35" s="783"/>
      <c r="S35" s="783"/>
      <c r="T35" s="783"/>
      <c r="U35" s="783"/>
      <c r="V35" s="783"/>
      <c r="W35" s="783"/>
      <c r="X35" s="783"/>
      <c r="Y35" s="783"/>
      <c r="Z35" s="783"/>
      <c r="AA35" s="783"/>
      <c r="AB35" s="783"/>
      <c r="AC35" s="783"/>
      <c r="AD35" s="783"/>
      <c r="AE35" s="783"/>
      <c r="AF35" s="783"/>
      <c r="AG35" s="783"/>
      <c r="AH35" s="783"/>
      <c r="AI35" s="783"/>
      <c r="AJ35" s="783"/>
      <c r="AK35" s="783"/>
      <c r="AL35" s="783"/>
      <c r="AM35" s="783"/>
      <c r="AN35" s="783"/>
      <c r="AO35" s="783"/>
      <c r="AP35" s="783"/>
      <c r="AQ35" s="783"/>
      <c r="AR35" s="783"/>
      <c r="AS35" s="783"/>
      <c r="AT35" s="783"/>
      <c r="AU35" s="783"/>
      <c r="AV35" s="783"/>
      <c r="AW35" s="783"/>
      <c r="AX35" s="783"/>
    </row>
    <row r="36" spans="2:50" ht="60" customHeight="1">
      <c r="B36" s="673" t="s">
        <v>199</v>
      </c>
      <c r="C36" s="204"/>
      <c r="H36" s="783" t="s">
        <v>200</v>
      </c>
      <c r="I36" s="783"/>
      <c r="J36" s="783"/>
      <c r="K36" s="783"/>
      <c r="L36" s="783"/>
      <c r="M36" s="783"/>
      <c r="N36" s="783"/>
      <c r="O36" s="783"/>
      <c r="P36" s="783"/>
      <c r="Q36" s="783"/>
      <c r="R36" s="783"/>
      <c r="S36" s="783"/>
      <c r="T36" s="783"/>
      <c r="U36" s="783"/>
      <c r="V36" s="783"/>
      <c r="W36" s="783"/>
      <c r="X36" s="783"/>
      <c r="Y36" s="783"/>
      <c r="Z36" s="783"/>
      <c r="AA36" s="783"/>
      <c r="AB36" s="783"/>
      <c r="AC36" s="783"/>
      <c r="AD36" s="783"/>
      <c r="AE36" s="783"/>
      <c r="AF36" s="783"/>
      <c r="AG36" s="783"/>
      <c r="AH36" s="783"/>
      <c r="AI36" s="783"/>
      <c r="AJ36" s="783"/>
      <c r="AK36" s="783"/>
      <c r="AL36" s="783"/>
      <c r="AM36" s="783"/>
      <c r="AN36" s="783"/>
      <c r="AO36" s="783"/>
      <c r="AP36" s="783"/>
      <c r="AQ36" s="783"/>
      <c r="AR36" s="783"/>
      <c r="AS36" s="783"/>
      <c r="AT36" s="783"/>
      <c r="AU36" s="783"/>
      <c r="AV36" s="783"/>
      <c r="AW36" s="783"/>
      <c r="AX36" s="783"/>
    </row>
  </sheetData>
  <mergeCells count="15">
    <mergeCell ref="AZ12:BG18"/>
    <mergeCell ref="H36:AX36"/>
    <mergeCell ref="H31:AX31"/>
    <mergeCell ref="H32:AX32"/>
    <mergeCell ref="H33:AX33"/>
    <mergeCell ref="H34:AX34"/>
    <mergeCell ref="H35:AX35"/>
    <mergeCell ref="AN8:AR8"/>
    <mergeCell ref="H30:AX30"/>
    <mergeCell ref="D8:H8"/>
    <mergeCell ref="J8:N8"/>
    <mergeCell ref="P8:T8"/>
    <mergeCell ref="V8:Z8"/>
    <mergeCell ref="AB8:AF8"/>
    <mergeCell ref="AH8:AL8"/>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91"/>
  <sheetViews>
    <sheetView showGridLines="0" topLeftCell="A47" zoomScale="80" zoomScaleNormal="80" workbookViewId="0">
      <selection activeCell="C36" sqref="C36"/>
    </sheetView>
  </sheetViews>
  <sheetFormatPr baseColWidth="10" defaultColWidth="11.6640625" defaultRowHeight="15" customHeight="1"/>
  <cols>
    <col min="1" max="1" width="2.1640625" style="23" customWidth="1"/>
    <col min="2" max="2" width="31.1640625" style="641" customWidth="1"/>
    <col min="3" max="3" width="9.5" style="644" bestFit="1" customWidth="1"/>
    <col min="4" max="4" width="17.33203125" style="23" bestFit="1" customWidth="1"/>
    <col min="5" max="5" width="19" style="23" bestFit="1" customWidth="1"/>
    <col min="6" max="6" width="19.1640625" style="23" bestFit="1" customWidth="1"/>
    <col min="7" max="7" width="13.1640625" style="23" bestFit="1" customWidth="1"/>
    <col min="8" max="8" width="17.83203125" style="644" bestFit="1" customWidth="1"/>
    <col min="9" max="9" width="18.1640625" style="23" bestFit="1" customWidth="1"/>
    <col min="10" max="10" width="17.83203125" style="23" customWidth="1"/>
    <col min="11" max="11" width="17" style="23" bestFit="1" customWidth="1"/>
    <col min="12" max="12" width="17.6640625" style="23" bestFit="1" customWidth="1"/>
    <col min="13" max="13" width="17.83203125" style="644" bestFit="1" customWidth="1"/>
    <col min="14" max="14" width="18.33203125" style="23" bestFit="1" customWidth="1"/>
    <col min="15" max="16" width="16.6640625" style="23" bestFit="1" customWidth="1"/>
    <col min="17" max="17" width="15.33203125" style="23" bestFit="1" customWidth="1"/>
    <col min="18" max="18" width="16.5" style="23" bestFit="1" customWidth="1"/>
    <col min="19" max="16384" width="11.6640625" style="23"/>
  </cols>
  <sheetData>
    <row r="1" spans="1:18" s="546" customFormat="1" ht="15" customHeight="1">
      <c r="B1" s="642"/>
      <c r="C1" s="642"/>
      <c r="H1" s="642"/>
      <c r="M1" s="642"/>
    </row>
    <row r="2" spans="1:18" s="546" customFormat="1" ht="15" customHeight="1">
      <c r="B2" s="642"/>
      <c r="C2" s="642"/>
      <c r="H2" s="642"/>
      <c r="M2" s="642"/>
    </row>
    <row r="3" spans="1:18" s="546" customFormat="1" ht="15" customHeight="1">
      <c r="B3" s="642"/>
      <c r="C3" s="642"/>
      <c r="H3" s="642"/>
      <c r="M3" s="642"/>
    </row>
    <row r="4" spans="1:18" s="546" customFormat="1" ht="15" customHeight="1">
      <c r="B4" s="642"/>
      <c r="C4" s="642"/>
      <c r="H4" s="642"/>
      <c r="M4" s="642"/>
    </row>
    <row r="5" spans="1:18" s="36" customFormat="1" ht="4" customHeight="1">
      <c r="B5" s="643"/>
      <c r="C5" s="643"/>
      <c r="H5" s="643"/>
      <c r="M5" s="643"/>
    </row>
    <row r="7" spans="1:18" ht="15" customHeight="1">
      <c r="B7" s="645" t="s">
        <v>201</v>
      </c>
      <c r="C7" s="642"/>
      <c r="D7" s="546"/>
      <c r="E7" s="546"/>
      <c r="F7" s="546"/>
      <c r="G7" s="546"/>
      <c r="H7" s="642"/>
      <c r="I7" s="546"/>
      <c r="J7" s="546"/>
      <c r="K7" s="546"/>
      <c r="L7" s="546"/>
      <c r="M7" s="642"/>
      <c r="N7" s="546"/>
      <c r="O7" s="546"/>
      <c r="P7" s="546"/>
      <c r="Q7" s="546"/>
      <c r="R7" s="546"/>
    </row>
    <row r="8" spans="1:18" ht="15" customHeight="1">
      <c r="B8" s="642"/>
      <c r="C8" s="642"/>
      <c r="D8" s="546"/>
      <c r="E8" s="546"/>
      <c r="F8" s="546"/>
      <c r="G8" s="546"/>
      <c r="H8" s="642"/>
      <c r="I8" s="546"/>
      <c r="J8" s="546"/>
      <c r="K8" s="546"/>
      <c r="L8" s="546"/>
      <c r="M8" s="642"/>
      <c r="N8" s="546"/>
      <c r="O8" s="546"/>
      <c r="P8" s="546"/>
      <c r="Q8" s="546"/>
      <c r="R8" s="546"/>
    </row>
    <row r="9" spans="1:18" ht="15" customHeight="1">
      <c r="B9" s="642"/>
      <c r="C9" s="642"/>
      <c r="D9" s="546"/>
      <c r="E9" s="546"/>
      <c r="F9" s="546"/>
      <c r="G9" s="546"/>
      <c r="H9" s="642"/>
      <c r="I9" s="546"/>
      <c r="J9" s="546"/>
      <c r="K9" s="546"/>
      <c r="L9" s="546"/>
      <c r="M9" s="642"/>
      <c r="N9" s="546"/>
      <c r="O9" s="546"/>
      <c r="P9" s="546"/>
      <c r="Q9" s="546"/>
      <c r="R9" s="546"/>
    </row>
    <row r="10" spans="1:18" ht="4" customHeight="1">
      <c r="B10" s="643"/>
      <c r="C10" s="643"/>
      <c r="D10" s="36"/>
      <c r="E10" s="36"/>
      <c r="F10" s="36"/>
      <c r="G10" s="36"/>
      <c r="H10" s="643"/>
      <c r="I10" s="36"/>
      <c r="J10" s="36"/>
      <c r="K10" s="36"/>
      <c r="L10" s="36"/>
      <c r="M10" s="643"/>
      <c r="N10" s="36"/>
      <c r="O10" s="36"/>
      <c r="P10" s="36"/>
      <c r="Q10" s="36"/>
      <c r="R10" s="36"/>
    </row>
    <row r="11" spans="1:18" ht="4" customHeight="1">
      <c r="C11" s="641"/>
      <c r="H11" s="641"/>
      <c r="M11" s="641"/>
    </row>
    <row r="12" spans="1:18" ht="15" customHeight="1">
      <c r="A12" s="361" t="s">
        <v>39</v>
      </c>
      <c r="B12" s="646" t="s">
        <v>202</v>
      </c>
      <c r="C12" s="651" t="s">
        <v>203</v>
      </c>
      <c r="D12" s="676" t="s">
        <v>204</v>
      </c>
      <c r="E12" s="558" t="s">
        <v>205</v>
      </c>
      <c r="F12" s="558" t="s">
        <v>206</v>
      </c>
      <c r="G12" s="558" t="s">
        <v>207</v>
      </c>
      <c r="H12" s="651" t="s">
        <v>208</v>
      </c>
      <c r="I12" s="676" t="s">
        <v>209</v>
      </c>
      <c r="J12" s="558" t="s">
        <v>210</v>
      </c>
      <c r="K12" s="558" t="s">
        <v>211</v>
      </c>
      <c r="L12" s="558" t="s">
        <v>212</v>
      </c>
      <c r="M12" s="651" t="s">
        <v>213</v>
      </c>
      <c r="N12" s="676" t="s">
        <v>214</v>
      </c>
      <c r="O12" s="558" t="s">
        <v>215</v>
      </c>
      <c r="P12" s="558" t="s">
        <v>216</v>
      </c>
      <c r="Q12" s="558" t="s">
        <v>217</v>
      </c>
      <c r="R12" s="558" t="s">
        <v>218</v>
      </c>
    </row>
    <row r="13" spans="1:18" ht="4" customHeight="1">
      <c r="A13" s="361"/>
      <c r="B13" s="647"/>
      <c r="C13" s="643"/>
      <c r="D13" s="36"/>
      <c r="E13" s="36"/>
      <c r="F13" s="36"/>
      <c r="G13" s="36"/>
      <c r="H13" s="643"/>
      <c r="I13" s="36"/>
      <c r="J13" s="36"/>
      <c r="K13" s="36"/>
      <c r="L13" s="36"/>
      <c r="M13" s="643"/>
      <c r="N13" s="36"/>
      <c r="O13" s="36"/>
      <c r="P13" s="36"/>
      <c r="Q13" s="36"/>
      <c r="R13" s="36"/>
    </row>
    <row r="14" spans="1:18" ht="15" customHeight="1">
      <c r="B14" s="648" t="s">
        <v>219</v>
      </c>
      <c r="C14" s="652">
        <v>6.7901780904151332E-2</v>
      </c>
      <c r="D14" s="547">
        <v>0.23418336755465119</v>
      </c>
      <c r="E14" s="547">
        <v>7.3190376752592767E-2</v>
      </c>
      <c r="F14" s="547">
        <v>7.7193325737467955E-3</v>
      </c>
      <c r="G14" s="547">
        <v>8.3064182922648166E-2</v>
      </c>
      <c r="H14" s="652">
        <v>9.321878998354971E-2</v>
      </c>
      <c r="I14" s="547">
        <v>0.1590453786754944</v>
      </c>
      <c r="J14" s="547">
        <v>0.60621769474611198</v>
      </c>
      <c r="K14" s="547">
        <v>0.22595016448622673</v>
      </c>
      <c r="L14" s="547">
        <v>0.22595016448622673</v>
      </c>
      <c r="M14" s="652">
        <v>0.217839360457043</v>
      </c>
      <c r="N14" s="547">
        <v>0.217839360457043</v>
      </c>
      <c r="O14" s="547">
        <v>-1.4687100893997496E-2</v>
      </c>
      <c r="P14" s="547">
        <v>8.879110699397863E-2</v>
      </c>
      <c r="Q14" s="547">
        <v>9.6750129114941075E-2</v>
      </c>
      <c r="R14" s="547">
        <v>-5.155831507182862E-2</v>
      </c>
    </row>
    <row r="15" spans="1:18" ht="15" customHeight="1">
      <c r="B15" s="648" t="s">
        <v>220</v>
      </c>
      <c r="C15" s="652">
        <v>0.11947342111818449</v>
      </c>
      <c r="D15" s="547">
        <v>0.25622651140091368</v>
      </c>
      <c r="E15" s="547">
        <v>8.8150739582902871E-2</v>
      </c>
      <c r="F15" s="547">
        <v>-2.3977107292830757E-2</v>
      </c>
      <c r="G15" s="547">
        <v>0.1338142282141781</v>
      </c>
      <c r="H15" s="652">
        <v>6.0899529751820225E-2</v>
      </c>
      <c r="I15" s="547">
        <v>1.7755776189850803E-2</v>
      </c>
      <c r="J15" s="547">
        <v>-7.3675667490469054E-2</v>
      </c>
      <c r="K15" s="547">
        <v>0.45917290769982699</v>
      </c>
      <c r="L15" s="547">
        <v>-4.4159497837407025E-2</v>
      </c>
      <c r="M15" s="652">
        <v>0.10373991943443683</v>
      </c>
      <c r="N15" s="547">
        <v>0.11684865705348479</v>
      </c>
      <c r="O15" s="547">
        <v>0.21000269538090555</v>
      </c>
      <c r="P15" s="547">
        <v>0.18934416312934199</v>
      </c>
      <c r="Q15" s="547">
        <v>0.12706483417336156</v>
      </c>
      <c r="R15" s="547">
        <v>0.33694906271731861</v>
      </c>
    </row>
    <row r="16" spans="1:18" ht="15" customHeight="1">
      <c r="B16" s="648" t="s">
        <v>221</v>
      </c>
      <c r="C16" s="652" t="s">
        <v>222</v>
      </c>
      <c r="D16" s="547">
        <v>0.23541343304642304</v>
      </c>
      <c r="E16" s="547" t="s">
        <v>222</v>
      </c>
      <c r="F16" s="547" t="s">
        <v>222</v>
      </c>
      <c r="G16" s="547">
        <v>8.4966064604827585E-2</v>
      </c>
      <c r="H16" s="652" t="s">
        <v>222</v>
      </c>
      <c r="I16" s="547" t="s">
        <v>222</v>
      </c>
      <c r="J16" s="547" t="s">
        <v>222</v>
      </c>
      <c r="K16" s="547" t="s">
        <v>222</v>
      </c>
      <c r="L16" s="547" t="s">
        <v>222</v>
      </c>
      <c r="M16" s="652" t="s">
        <v>222</v>
      </c>
      <c r="N16" s="547" t="s">
        <v>222</v>
      </c>
      <c r="O16" s="547" t="s">
        <v>222</v>
      </c>
      <c r="P16" s="547" t="s">
        <v>222</v>
      </c>
      <c r="Q16" s="547" t="s">
        <v>222</v>
      </c>
      <c r="R16" s="547" t="s">
        <v>222</v>
      </c>
    </row>
    <row r="17" spans="1:18" ht="15" customHeight="1">
      <c r="B17" s="648" t="s">
        <v>223</v>
      </c>
      <c r="C17" s="652">
        <v>0.96601965601965611</v>
      </c>
      <c r="D17" s="547">
        <v>0.33535562725705947</v>
      </c>
      <c r="E17" s="547">
        <v>0.37996088460959832</v>
      </c>
      <c r="F17" s="547">
        <v>8.2506089240415026E-3</v>
      </c>
      <c r="G17" s="547">
        <v>0.29133419568734498</v>
      </c>
      <c r="H17" s="652">
        <v>0.12823674475955604</v>
      </c>
      <c r="I17" s="547">
        <v>0.70427297348582862</v>
      </c>
      <c r="J17" s="547">
        <v>-1.392443307030639</v>
      </c>
      <c r="K17" s="547">
        <v>3.1551344146331806</v>
      </c>
      <c r="L17" s="547">
        <v>3.1551344146331806</v>
      </c>
      <c r="M17" s="652">
        <v>-1.230379801143372</v>
      </c>
      <c r="N17" s="547">
        <v>-1.230379801143372</v>
      </c>
      <c r="O17" s="547">
        <v>0.48546409807355517</v>
      </c>
      <c r="P17" s="547">
        <v>1.1523713420787085</v>
      </c>
      <c r="Q17" s="547">
        <v>-0.98610387354524931</v>
      </c>
      <c r="R17" s="547">
        <v>0.42587421145737125</v>
      </c>
    </row>
    <row r="18" spans="1:18" ht="15" customHeight="1">
      <c r="B18" s="648" t="s">
        <v>224</v>
      </c>
      <c r="C18" s="652">
        <v>0.75894399967281156</v>
      </c>
      <c r="D18" s="547">
        <v>0.31151631081405284</v>
      </c>
      <c r="E18" s="547">
        <v>0.19649026784798007</v>
      </c>
      <c r="F18" s="547">
        <v>5.1861299460543631E-2</v>
      </c>
      <c r="G18" s="547">
        <v>0.13305368122097727</v>
      </c>
      <c r="H18" s="652">
        <v>0.11369863013698622</v>
      </c>
      <c r="I18" s="547">
        <v>0.21994807965374275</v>
      </c>
      <c r="J18" s="547">
        <v>-1.6674270269339693</v>
      </c>
      <c r="K18" s="547">
        <v>0.27967659551861823</v>
      </c>
      <c r="L18" s="547">
        <v>0.27967659551861823</v>
      </c>
      <c r="M18" s="652">
        <v>0.76592955969369991</v>
      </c>
      <c r="N18" s="547">
        <v>0.76592955969369991</v>
      </c>
      <c r="O18" s="547">
        <v>0.15382550335570477</v>
      </c>
      <c r="P18" s="547">
        <v>0.39953810623556585</v>
      </c>
      <c r="Q18" s="547">
        <v>-0.2278195808357778</v>
      </c>
      <c r="R18" s="547">
        <v>-9.2804919105364814E-3</v>
      </c>
    </row>
    <row r="19" spans="1:18" ht="15" customHeight="1">
      <c r="B19" s="648" t="s">
        <v>225</v>
      </c>
      <c r="C19" s="652">
        <v>8.2328359248489344E-2</v>
      </c>
      <c r="D19" s="547">
        <v>0.33302128691509131</v>
      </c>
      <c r="E19" s="547">
        <v>7.9349951324067428E-2</v>
      </c>
      <c r="F19" s="547">
        <v>-3.6062257893109968E-2</v>
      </c>
      <c r="G19" s="547">
        <v>0.25230466164950682</v>
      </c>
      <c r="H19" s="652">
        <v>7.1456927352123861E-2</v>
      </c>
      <c r="I19" s="547">
        <v>-1.2476847845806696</v>
      </c>
      <c r="J19" s="547" t="e">
        <v>#VALUE!</v>
      </c>
      <c r="K19" s="547">
        <v>0.82638636416904276</v>
      </c>
      <c r="L19" s="547">
        <v>3.3552845092161415E-3</v>
      </c>
      <c r="M19" s="652">
        <v>-0.67113129721462728</v>
      </c>
      <c r="N19" s="547">
        <v>0.14604910974048646</v>
      </c>
      <c r="O19" s="547">
        <v>-1.2469733656174334E-2</v>
      </c>
      <c r="P19" s="547">
        <v>-0.13556643214030795</v>
      </c>
      <c r="Q19" s="547">
        <v>-0.40600667408231367</v>
      </c>
      <c r="R19" s="547">
        <v>1.0688896376726884</v>
      </c>
    </row>
    <row r="20" spans="1:18" ht="15" customHeight="1">
      <c r="B20" s="648"/>
      <c r="C20" s="641"/>
      <c r="H20" s="641"/>
      <c r="M20" s="641"/>
    </row>
    <row r="21" spans="1:18" ht="15" customHeight="1">
      <c r="A21" s="361" t="s">
        <v>39</v>
      </c>
      <c r="B21" s="646" t="s">
        <v>226</v>
      </c>
      <c r="C21" s="651" t="s">
        <v>203</v>
      </c>
      <c r="D21" s="558" t="s">
        <v>204</v>
      </c>
      <c r="E21" s="558" t="s">
        <v>205</v>
      </c>
      <c r="F21" s="558" t="s">
        <v>206</v>
      </c>
      <c r="G21" s="558" t="s">
        <v>207</v>
      </c>
      <c r="H21" s="651" t="s">
        <v>208</v>
      </c>
      <c r="I21" s="558" t="s">
        <v>209</v>
      </c>
      <c r="J21" s="558" t="s">
        <v>210</v>
      </c>
      <c r="K21" s="558" t="s">
        <v>211</v>
      </c>
      <c r="L21" s="558" t="s">
        <v>212</v>
      </c>
      <c r="M21" s="651" t="s">
        <v>213</v>
      </c>
      <c r="N21" s="558" t="s">
        <v>214</v>
      </c>
      <c r="O21" s="558" t="s">
        <v>215</v>
      </c>
      <c r="P21" s="558" t="s">
        <v>216</v>
      </c>
      <c r="Q21" s="558" t="s">
        <v>217</v>
      </c>
      <c r="R21" s="558" t="s">
        <v>218</v>
      </c>
    </row>
    <row r="22" spans="1:18" ht="4" customHeight="1">
      <c r="A22" s="361"/>
      <c r="B22" s="647"/>
      <c r="C22" s="643"/>
      <c r="D22" s="36"/>
      <c r="E22" s="36"/>
      <c r="F22" s="36"/>
      <c r="G22" s="36"/>
      <c r="H22" s="643"/>
      <c r="I22" s="36"/>
      <c r="J22" s="36"/>
      <c r="K22" s="36"/>
      <c r="L22" s="36"/>
      <c r="M22" s="643"/>
      <c r="N22" s="36"/>
      <c r="O22" s="36"/>
      <c r="P22" s="36"/>
      <c r="Q22" s="36"/>
      <c r="R22" s="36"/>
    </row>
    <row r="23" spans="1:18" ht="15" customHeight="1">
      <c r="B23" s="648" t="s">
        <v>227</v>
      </c>
      <c r="C23" s="652" t="e">
        <v>#VALUE!</v>
      </c>
      <c r="D23" s="547">
        <v>0.57545676875611407</v>
      </c>
      <c r="E23" s="547" t="e">
        <v>#VALUE!</v>
      </c>
      <c r="F23" s="547" t="e">
        <v>#VALUE!</v>
      </c>
      <c r="G23" s="547">
        <v>0.58735522149583086</v>
      </c>
      <c r="H23" s="652" t="e">
        <v>#VALUE!</v>
      </c>
      <c r="I23" s="547" t="e">
        <v>#VALUE!</v>
      </c>
      <c r="J23" s="547" t="e">
        <v>#VALUE!</v>
      </c>
      <c r="K23" s="547" t="e">
        <v>#VALUE!</v>
      </c>
      <c r="L23" s="547" t="e">
        <v>#VALUE!</v>
      </c>
      <c r="M23" s="652" t="e">
        <v>#VALUE!</v>
      </c>
      <c r="N23" s="547" t="e">
        <v>#VALUE!</v>
      </c>
      <c r="O23" s="547" t="e">
        <v>#VALUE!</v>
      </c>
      <c r="P23" s="547" t="e">
        <v>#VALUE!</v>
      </c>
      <c r="Q23" s="547" t="e">
        <v>#VALUE!</v>
      </c>
      <c r="R23" s="547" t="e">
        <v>#VALUE!</v>
      </c>
    </row>
    <row r="24" spans="1:18" ht="15" customHeight="1">
      <c r="B24" s="648" t="s">
        <v>228</v>
      </c>
      <c r="C24" s="652">
        <v>0.26474105592978975</v>
      </c>
      <c r="D24" s="547">
        <v>0.22001580254345698</v>
      </c>
      <c r="E24" s="547">
        <v>0.10520980674082103</v>
      </c>
      <c r="F24" s="547">
        <v>0.2144771852038877</v>
      </c>
      <c r="G24" s="547">
        <v>9.6874833204488281E-2</v>
      </c>
      <c r="H24" s="652">
        <v>0.14701344500771435</v>
      </c>
      <c r="I24" s="547">
        <v>8.2674829195525865E-2</v>
      </c>
      <c r="J24" s="547">
        <v>-0.27156071688912348</v>
      </c>
      <c r="K24" s="547">
        <v>8.723637395466452E-2</v>
      </c>
      <c r="L24" s="547">
        <v>-0.39016070242950646</v>
      </c>
      <c r="M24" s="652">
        <v>-9.6758699581640437E-4</v>
      </c>
      <c r="N24" s="547">
        <v>0.28235658914728684</v>
      </c>
      <c r="O24" s="547">
        <v>0.33914014517029595</v>
      </c>
      <c r="P24" s="547">
        <v>0.15110452035181018</v>
      </c>
      <c r="Q24" s="547">
        <v>9.3753504541886287E-2</v>
      </c>
      <c r="R24" s="547">
        <v>-2.7066330233233224E-2</v>
      </c>
    </row>
    <row r="25" spans="1:18" ht="15" customHeight="1">
      <c r="B25" s="648" t="s">
        <v>229</v>
      </c>
      <c r="C25" s="652">
        <v>0.30645355991690493</v>
      </c>
      <c r="D25" s="547">
        <v>0.24088418840316969</v>
      </c>
      <c r="E25" s="547">
        <v>0.22827794937367049</v>
      </c>
      <c r="F25" s="547">
        <v>0.33684815289727976</v>
      </c>
      <c r="G25" s="547">
        <v>0.20170403354496444</v>
      </c>
      <c r="H25" s="652">
        <v>0.39859555258318013</v>
      </c>
      <c r="I25" s="547">
        <v>0.4287063305049314</v>
      </c>
      <c r="J25" s="547">
        <v>-3.2314039301873994E-2</v>
      </c>
      <c r="K25" s="547">
        <v>0.39361318623783698</v>
      </c>
      <c r="L25" s="547">
        <v>0.47388361770574589</v>
      </c>
      <c r="M25" s="652">
        <v>8.8878249335906878E-2</v>
      </c>
      <c r="N25" s="547">
        <v>0.5570965651328581</v>
      </c>
      <c r="O25" s="547">
        <v>0.51559110052324841</v>
      </c>
      <c r="P25" s="547">
        <v>0.30627692415019969</v>
      </c>
      <c r="Q25" s="547">
        <v>0.56113214812913159</v>
      </c>
      <c r="R25" s="547">
        <v>3.3732972089174709E-2</v>
      </c>
    </row>
    <row r="26" spans="1:18" ht="15" customHeight="1">
      <c r="B26" s="648" t="s">
        <v>230</v>
      </c>
      <c r="C26" s="652">
        <v>1.3799449771181624E-2</v>
      </c>
      <c r="D26" s="547">
        <v>7.8805026713823459E-2</v>
      </c>
      <c r="E26" s="547">
        <v>8.021238469725063E-2</v>
      </c>
      <c r="F26" s="547">
        <v>0.17187496220423312</v>
      </c>
      <c r="G26" s="547">
        <v>7.1534828624606361E-2</v>
      </c>
      <c r="H26" s="652">
        <v>0.11218867092792595</v>
      </c>
      <c r="I26" s="547">
        <v>6.5221451796734733E-2</v>
      </c>
      <c r="J26" s="547">
        <v>-0.20200368247744011</v>
      </c>
      <c r="K26" s="547">
        <v>0.1864266490308461</v>
      </c>
      <c r="L26" s="547">
        <v>-0.26653432880313283</v>
      </c>
      <c r="M26" s="652">
        <v>-1.5489513166840307E-2</v>
      </c>
      <c r="N26" s="547">
        <v>0.21252713178294574</v>
      </c>
      <c r="O26" s="547">
        <v>0.24824120603015076</v>
      </c>
      <c r="P26" s="547">
        <v>0.113647985273062</v>
      </c>
      <c r="Q26" s="547">
        <v>6.2577099921498264E-2</v>
      </c>
      <c r="R26" s="547">
        <v>1.6184656303226758E-2</v>
      </c>
    </row>
    <row r="27" spans="1:18" ht="15" customHeight="1">
      <c r="B27" s="648" t="s">
        <v>231</v>
      </c>
      <c r="C27" s="652">
        <v>0.12993061598805103</v>
      </c>
      <c r="D27" s="547">
        <v>0.25069450632438606</v>
      </c>
      <c r="E27" s="547" t="e">
        <v>#VALUE!</v>
      </c>
      <c r="F27" s="547" t="e">
        <v>#VALUE!</v>
      </c>
      <c r="G27" s="547">
        <v>6.5564788826137282E-2</v>
      </c>
      <c r="H27" s="652" t="e">
        <v>#VALUE!</v>
      </c>
      <c r="I27" s="547" t="e">
        <v>#VALUE!</v>
      </c>
      <c r="J27" s="547">
        <v>0.55907256218257129</v>
      </c>
      <c r="K27" s="547" t="e">
        <v>#VALUE!</v>
      </c>
      <c r="L27" s="547" t="e">
        <v>#VALUE!</v>
      </c>
      <c r="M27" s="652">
        <v>0.27340665633719385</v>
      </c>
      <c r="N27" s="547" t="e">
        <v>#VALUE!</v>
      </c>
      <c r="O27" s="547" t="e">
        <v>#VALUE!</v>
      </c>
      <c r="P27" s="547" t="e">
        <v>#VALUE!</v>
      </c>
      <c r="Q27" s="547" t="e">
        <v>#VALUE!</v>
      </c>
      <c r="R27" s="547">
        <v>0.30390037005196602</v>
      </c>
    </row>
    <row r="28" spans="1:18" ht="15" customHeight="1">
      <c r="B28" s="648" t="s">
        <v>232</v>
      </c>
      <c r="C28" s="652">
        <v>3.1816470189738516E-2</v>
      </c>
      <c r="D28" s="547">
        <v>0</v>
      </c>
      <c r="E28" s="547" t="e">
        <v>#VALUE!</v>
      </c>
      <c r="F28" s="547" t="e">
        <v>#VALUE!</v>
      </c>
      <c r="G28" s="547">
        <v>0</v>
      </c>
      <c r="H28" s="652" t="e">
        <v>#VALUE!</v>
      </c>
      <c r="I28" s="547" t="e">
        <v>#VALUE!</v>
      </c>
      <c r="J28" s="547">
        <v>0.30380644449297106</v>
      </c>
      <c r="K28" s="547" t="e">
        <v>#VALUE!</v>
      </c>
      <c r="L28" s="547" t="e">
        <v>#VALUE!</v>
      </c>
      <c r="M28" s="652" t="e">
        <v>#VALUE!</v>
      </c>
      <c r="N28" s="547" t="e">
        <v>#VALUE!</v>
      </c>
      <c r="O28" s="547" t="e">
        <v>#VALUE!</v>
      </c>
      <c r="P28" s="547" t="e">
        <v>#VALUE!</v>
      </c>
      <c r="Q28" s="547" t="e">
        <v>#VALUE!</v>
      </c>
      <c r="R28" s="547">
        <v>0.18289319106863508</v>
      </c>
    </row>
    <row r="29" spans="1:18" ht="15" customHeight="1">
      <c r="B29" s="648"/>
      <c r="C29" s="641"/>
      <c r="H29" s="641"/>
      <c r="M29" s="641"/>
    </row>
    <row r="30" spans="1:18" ht="15" customHeight="1">
      <c r="A30" s="361" t="s">
        <v>39</v>
      </c>
      <c r="B30" s="646" t="s">
        <v>233</v>
      </c>
      <c r="C30" s="651" t="s">
        <v>203</v>
      </c>
      <c r="D30" s="558" t="s">
        <v>204</v>
      </c>
      <c r="E30" s="558" t="s">
        <v>205</v>
      </c>
      <c r="F30" s="558" t="s">
        <v>206</v>
      </c>
      <c r="G30" s="558" t="s">
        <v>207</v>
      </c>
      <c r="H30" s="651" t="s">
        <v>208</v>
      </c>
      <c r="I30" s="558" t="s">
        <v>209</v>
      </c>
      <c r="J30" s="558" t="s">
        <v>210</v>
      </c>
      <c r="K30" s="558" t="s">
        <v>211</v>
      </c>
      <c r="L30" s="558" t="s">
        <v>212</v>
      </c>
      <c r="M30" s="651" t="s">
        <v>213</v>
      </c>
      <c r="N30" s="558" t="s">
        <v>214</v>
      </c>
      <c r="O30" s="558" t="s">
        <v>215</v>
      </c>
      <c r="P30" s="558" t="s">
        <v>216</v>
      </c>
      <c r="Q30" s="558" t="s">
        <v>217</v>
      </c>
      <c r="R30" s="558" t="s">
        <v>218</v>
      </c>
    </row>
    <row r="31" spans="1:18" ht="4" customHeight="1">
      <c r="A31" s="361"/>
      <c r="B31" s="647"/>
      <c r="C31" s="643"/>
      <c r="D31" s="36"/>
      <c r="E31" s="36"/>
      <c r="F31" s="36"/>
      <c r="G31" s="36"/>
      <c r="H31" s="643"/>
      <c r="I31" s="36"/>
      <c r="J31" s="36"/>
      <c r="K31" s="36"/>
      <c r="L31" s="36"/>
      <c r="M31" s="643"/>
      <c r="N31" s="36"/>
      <c r="O31" s="36"/>
      <c r="P31" s="36"/>
      <c r="Q31" s="36"/>
      <c r="R31" s="36"/>
    </row>
    <row r="32" spans="1:18" ht="15" customHeight="1">
      <c r="B32" s="648" t="s">
        <v>234</v>
      </c>
      <c r="C32" s="652">
        <v>0.27863713212759361</v>
      </c>
      <c r="D32" s="547">
        <v>0.10934618903676747</v>
      </c>
      <c r="E32" s="547">
        <v>0.13157100525757295</v>
      </c>
      <c r="F32" s="547">
        <v>0.23960279946872917</v>
      </c>
      <c r="G32" s="547">
        <v>6.3733589728048309E-2</v>
      </c>
      <c r="H32" s="652">
        <v>9.7710315496159411E-2</v>
      </c>
      <c r="I32" s="547">
        <v>0.17398178738657122</v>
      </c>
      <c r="J32" s="547">
        <v>-2.1888272187227539E-2</v>
      </c>
      <c r="K32" s="547">
        <v>5.8716681367392332E-2</v>
      </c>
      <c r="L32" s="547">
        <v>-2.7901529139311623E-3</v>
      </c>
      <c r="M32" s="652">
        <v>7.3094913017716007E-2</v>
      </c>
      <c r="N32" s="547">
        <v>0.21198823584333129</v>
      </c>
      <c r="O32" s="547">
        <v>0.21951616276637773</v>
      </c>
      <c r="P32" s="547">
        <v>0.12212292917012006</v>
      </c>
      <c r="Q32" s="547">
        <v>6.3865048033522415E-2</v>
      </c>
      <c r="R32" s="547">
        <v>9.0657328680489146E-2</v>
      </c>
    </row>
    <row r="33" spans="1:18" ht="15" customHeight="1">
      <c r="B33" s="648" t="s">
        <v>235</v>
      </c>
      <c r="C33" s="652">
        <v>0.54885256902686907</v>
      </c>
      <c r="D33" s="547">
        <v>0.31174744820254524</v>
      </c>
      <c r="E33" s="547">
        <v>0.12810183560216695</v>
      </c>
      <c r="F33" s="547">
        <v>0.24193499572455313</v>
      </c>
      <c r="G33" s="547">
        <v>6.0353900778130756E-2</v>
      </c>
      <c r="H33" s="652">
        <v>9.8088384939671466E-2</v>
      </c>
      <c r="I33" s="547">
        <v>-1.8600427291294219</v>
      </c>
      <c r="J33" s="547">
        <v>8.4549093238412323E-2</v>
      </c>
      <c r="K33" s="547">
        <v>-0.13051476971847384</v>
      </c>
      <c r="L33" s="547">
        <v>0.20602886133576948</v>
      </c>
      <c r="M33" s="652">
        <v>7.5504141236156751E-3</v>
      </c>
      <c r="N33" s="547">
        <v>0.24195965701088426</v>
      </c>
      <c r="O33" s="547">
        <v>0.2043131950706342</v>
      </c>
      <c r="P33" s="547">
        <v>0.12856384592053383</v>
      </c>
      <c r="Q33" s="547">
        <v>3.0717018033305531E-2</v>
      </c>
      <c r="R33" s="547">
        <v>0.10206324759649636</v>
      </c>
    </row>
    <row r="34" spans="1:18" ht="15" customHeight="1">
      <c r="B34" s="648" t="s">
        <v>236</v>
      </c>
      <c r="C34" s="652">
        <v>1.7966040462427748</v>
      </c>
      <c r="D34" s="547">
        <v>0.11344948254356954</v>
      </c>
      <c r="E34" s="547" t="e">
        <v>#VALUE!</v>
      </c>
      <c r="F34" s="547" t="e">
        <v>#VALUE!</v>
      </c>
      <c r="G34" s="547">
        <v>9.2322838683211991E-2</v>
      </c>
      <c r="H34" s="652" t="e">
        <v>#VALUE!</v>
      </c>
      <c r="I34" s="547" t="e">
        <v>#VALUE!</v>
      </c>
      <c r="J34" s="547">
        <v>-0.10103474457537949</v>
      </c>
      <c r="K34" s="547" t="e">
        <v>#VALUE!</v>
      </c>
      <c r="L34" s="547" t="e">
        <v>#VALUE!</v>
      </c>
      <c r="M34" s="652">
        <v>1.3573158347004132E-3</v>
      </c>
      <c r="N34" s="547" t="e">
        <v>#VALUE!</v>
      </c>
      <c r="O34" s="547" t="e">
        <v>#VALUE!</v>
      </c>
      <c r="P34" s="547" t="e">
        <v>#VALUE!</v>
      </c>
      <c r="Q34" s="547" t="e">
        <v>#VALUE!</v>
      </c>
      <c r="R34" s="547">
        <v>-8.924523947160699E-3</v>
      </c>
    </row>
    <row r="35" spans="1:18" ht="15" customHeight="1">
      <c r="B35" s="648" t="s">
        <v>237</v>
      </c>
      <c r="C35" s="652">
        <v>0.59451866463432856</v>
      </c>
      <c r="D35" s="547">
        <v>0.48855046161815646</v>
      </c>
      <c r="E35" s="547">
        <v>0.15143750105019069</v>
      </c>
      <c r="F35" s="547">
        <v>0.25481309449058925</v>
      </c>
      <c r="G35" s="547">
        <v>0.13986335575107731</v>
      </c>
      <c r="H35" s="652">
        <v>0.2090253838921968</v>
      </c>
      <c r="I35" s="547">
        <v>4.8494072209705225E-2</v>
      </c>
      <c r="J35" s="547">
        <v>-0.27298023745376787</v>
      </c>
      <c r="K35" s="547">
        <v>3.5760951422606803E-2</v>
      </c>
      <c r="L35" s="547">
        <v>-0.32553439850314725</v>
      </c>
      <c r="M35" s="652">
        <v>-1.9093734439121549E-3</v>
      </c>
      <c r="N35" s="547">
        <v>0.27460796139927623</v>
      </c>
      <c r="O35" s="547">
        <v>0.33883744282048422</v>
      </c>
      <c r="P35" s="547">
        <v>9.7229534087917874E-2</v>
      </c>
      <c r="Q35" s="547">
        <v>6.0130906998489532E-2</v>
      </c>
      <c r="R35" s="547">
        <v>-2.8436866754056444E-2</v>
      </c>
    </row>
    <row r="36" spans="1:18" ht="15" customHeight="1">
      <c r="B36" s="648" t="s">
        <v>238</v>
      </c>
      <c r="C36" s="652">
        <v>-2.0949373026048344</v>
      </c>
      <c r="D36" s="547">
        <v>0.215642439996686</v>
      </c>
      <c r="E36" s="547">
        <v>9.8110627332755052E-2</v>
      </c>
      <c r="F36" s="547">
        <v>0.1908103424373655</v>
      </c>
      <c r="G36" s="547">
        <v>0.10952195155714751</v>
      </c>
      <c r="H36" s="652">
        <v>0.20466121315017749</v>
      </c>
      <c r="I36" s="547">
        <v>5.4956606953281029E-2</v>
      </c>
      <c r="J36" s="547">
        <v>-9.6497357069080733E-3</v>
      </c>
      <c r="K36" s="547">
        <v>8.8010303027548656E-2</v>
      </c>
      <c r="L36" s="547">
        <v>-1.2633799248053367E-2</v>
      </c>
      <c r="M36" s="652">
        <v>-2.6790884465497336E-2</v>
      </c>
      <c r="N36" s="547">
        <v>0.21359029074419844</v>
      </c>
      <c r="O36" s="547">
        <v>0.29786829685470845</v>
      </c>
      <c r="P36" s="547">
        <v>-3.7936793017613515E-3</v>
      </c>
      <c r="Q36" s="547">
        <v>4.0589473684210529E-2</v>
      </c>
      <c r="R36" s="547">
        <v>1.7992076535796091E-2</v>
      </c>
    </row>
    <row r="37" spans="1:18" ht="15" customHeight="1">
      <c r="B37" s="648" t="s">
        <v>239</v>
      </c>
      <c r="C37" s="652">
        <v>-5.3747067714534191E-2</v>
      </c>
      <c r="D37" s="547">
        <v>4.8606866123232312E-2</v>
      </c>
      <c r="E37" s="547">
        <v>1.8488982033090511E-2</v>
      </c>
      <c r="F37" s="547">
        <v>7.830042670336694E-2</v>
      </c>
      <c r="G37" s="547">
        <v>5.7823944199495984E-2</v>
      </c>
      <c r="H37" s="652">
        <v>2.5641521474290795E-2</v>
      </c>
      <c r="I37" s="547">
        <v>7.2712153197059346E-3</v>
      </c>
      <c r="J37" s="547">
        <v>-2.9561954467238021E-3</v>
      </c>
      <c r="K37" s="547">
        <v>1.5228892204709837E-2</v>
      </c>
      <c r="L37" s="547">
        <v>-1.4297567661952432E-3</v>
      </c>
      <c r="M37" s="652">
        <v>-4.322023836441603E-3</v>
      </c>
      <c r="N37" s="547">
        <v>2.727868743620173E-2</v>
      </c>
      <c r="O37" s="547">
        <v>3.1855969501302379E-2</v>
      </c>
      <c r="P37" s="547">
        <v>0</v>
      </c>
      <c r="Q37" s="547">
        <v>3.0994439848797393E-3</v>
      </c>
      <c r="R37" s="547">
        <v>5.0483328583531802E-3</v>
      </c>
    </row>
    <row r="38" spans="1:18" ht="15" customHeight="1">
      <c r="B38" s="714"/>
      <c r="C38" s="715"/>
      <c r="D38" s="716"/>
      <c r="E38" s="716"/>
      <c r="F38" s="716"/>
      <c r="G38" s="716"/>
      <c r="H38" s="715"/>
      <c r="M38" s="641"/>
    </row>
    <row r="39" spans="1:18" ht="15" customHeight="1">
      <c r="A39" s="361" t="s">
        <v>39</v>
      </c>
      <c r="B39" s="646" t="s">
        <v>240</v>
      </c>
      <c r="C39" s="651" t="s">
        <v>203</v>
      </c>
      <c r="D39" s="558" t="s">
        <v>204</v>
      </c>
      <c r="E39" s="558" t="s">
        <v>205</v>
      </c>
      <c r="F39" s="558" t="s">
        <v>206</v>
      </c>
      <c r="G39" s="558" t="s">
        <v>207</v>
      </c>
      <c r="H39" s="651" t="s">
        <v>208</v>
      </c>
      <c r="I39" s="558" t="s">
        <v>209</v>
      </c>
      <c r="J39" s="558" t="s">
        <v>210</v>
      </c>
      <c r="K39" s="558" t="s">
        <v>211</v>
      </c>
      <c r="L39" s="558" t="s">
        <v>212</v>
      </c>
      <c r="M39" s="651" t="s">
        <v>213</v>
      </c>
      <c r="N39" s="558" t="s">
        <v>214</v>
      </c>
      <c r="O39" s="558" t="s">
        <v>215</v>
      </c>
      <c r="P39" s="558" t="s">
        <v>216</v>
      </c>
      <c r="Q39" s="558" t="s">
        <v>217</v>
      </c>
      <c r="R39" s="558" t="s">
        <v>218</v>
      </c>
    </row>
    <row r="40" spans="1:18" ht="4" customHeight="1">
      <c r="A40" s="361"/>
      <c r="B40" s="647"/>
      <c r="C40" s="643"/>
      <c r="D40" s="36"/>
      <c r="E40" s="36"/>
      <c r="F40" s="36"/>
      <c r="G40" s="36"/>
      <c r="H40" s="643"/>
      <c r="I40" s="36"/>
      <c r="J40" s="36"/>
      <c r="K40" s="36"/>
      <c r="L40" s="36"/>
      <c r="M40" s="643"/>
      <c r="N40" s="36"/>
      <c r="O40" s="36"/>
      <c r="P40" s="36"/>
      <c r="Q40" s="36"/>
      <c r="R40" s="36"/>
    </row>
    <row r="41" spans="1:18" ht="15" customHeight="1">
      <c r="B41" s="648" t="s">
        <v>241</v>
      </c>
      <c r="C41" s="653">
        <v>0.89055956510716694</v>
      </c>
      <c r="D41" s="654">
        <v>0.55570145033449558</v>
      </c>
      <c r="E41" s="654">
        <v>0.32563855381912965</v>
      </c>
      <c r="F41" s="654">
        <v>0.54790663397524053</v>
      </c>
      <c r="G41" s="654">
        <v>0.72616217404591676</v>
      </c>
      <c r="H41" s="653">
        <v>0.23131514319416782</v>
      </c>
      <c r="I41" s="654">
        <v>0.12263665979860013</v>
      </c>
      <c r="J41" s="654">
        <v>0.39634609961815614</v>
      </c>
      <c r="K41" s="654">
        <v>0.1129084939627126</v>
      </c>
      <c r="L41" s="654">
        <v>0.19032164412107855</v>
      </c>
      <c r="M41" s="653">
        <v>0.34732881847085506</v>
      </c>
      <c r="N41" s="654">
        <v>0.19207947085819563</v>
      </c>
      <c r="O41" s="654">
        <v>0.15639897140081768</v>
      </c>
      <c r="P41" s="654">
        <v>0.10068078097535878</v>
      </c>
      <c r="Q41" s="654">
        <v>8.1575062041235172E-2</v>
      </c>
      <c r="R41" s="654">
        <v>0.31192091841620911</v>
      </c>
    </row>
    <row r="42" spans="1:18" ht="15" customHeight="1">
      <c r="B42" s="648" t="s">
        <v>242</v>
      </c>
      <c r="C42" s="653">
        <v>2.1227444253859349</v>
      </c>
      <c r="D42" s="654">
        <v>1.668316486755721</v>
      </c>
      <c r="E42" s="654" t="e">
        <v>#VALUE!</v>
      </c>
      <c r="F42" s="654" t="e">
        <v>#VALUE!</v>
      </c>
      <c r="G42" s="654">
        <v>1.5369537776766313</v>
      </c>
      <c r="H42" s="653" t="e">
        <v>#VALUE!</v>
      </c>
      <c r="I42" s="654" t="e">
        <v>#VALUE!</v>
      </c>
      <c r="J42" s="654">
        <v>5.048203664049483</v>
      </c>
      <c r="K42" s="654" t="e">
        <v>#VALUE!</v>
      </c>
      <c r="L42" s="654" t="e">
        <v>#VALUE!</v>
      </c>
      <c r="M42" s="653">
        <v>0.4587026190504066</v>
      </c>
      <c r="N42" s="654" t="e">
        <v>#VALUE!</v>
      </c>
      <c r="O42" s="654" t="e">
        <v>#VALUE!</v>
      </c>
      <c r="P42" s="654" t="e">
        <v>#VALUE!</v>
      </c>
      <c r="Q42" s="654" t="e">
        <v>#VALUE!</v>
      </c>
      <c r="R42" s="654">
        <v>0.52675298604969079</v>
      </c>
    </row>
    <row r="43" spans="1:18" ht="15" customHeight="1">
      <c r="B43" s="648" t="s">
        <v>243</v>
      </c>
      <c r="C43" s="653">
        <v>22.097223051657213</v>
      </c>
      <c r="D43" s="654">
        <v>21.402801525713535</v>
      </c>
      <c r="E43" s="654">
        <v>11.699487316830545</v>
      </c>
      <c r="F43" s="654">
        <v>5.7707081195015721</v>
      </c>
      <c r="G43" s="654">
        <v>4.1173012687585944</v>
      </c>
      <c r="H43" s="653" t="s">
        <v>244</v>
      </c>
      <c r="I43" s="654">
        <v>5.5164573461024409</v>
      </c>
      <c r="J43" s="654">
        <v>9.9952591619043147</v>
      </c>
      <c r="K43" s="654">
        <v>10.934091905788556</v>
      </c>
      <c r="L43" s="654">
        <v>45.782840523509442</v>
      </c>
      <c r="M43" s="653">
        <v>9.9721807681066839</v>
      </c>
      <c r="N43" s="654" t="s">
        <v>244</v>
      </c>
      <c r="O43" s="654">
        <v>21.497027892089619</v>
      </c>
      <c r="P43" s="654">
        <v>11.373004066250124</v>
      </c>
      <c r="Q43" s="654">
        <v>1.6388114646331844</v>
      </c>
      <c r="R43" s="654">
        <v>6.4467481470966357</v>
      </c>
    </row>
    <row r="44" spans="1:18" ht="15" customHeight="1">
      <c r="B44" s="648" t="s">
        <v>245</v>
      </c>
      <c r="C44" s="655">
        <v>1247.2516853932584</v>
      </c>
      <c r="D44" s="548">
        <v>1639.0928931169558</v>
      </c>
      <c r="E44" s="548">
        <v>286.99155326137964</v>
      </c>
      <c r="F44" s="548">
        <v>200.0585542635659</v>
      </c>
      <c r="G44" s="548">
        <v>164.26906666666667</v>
      </c>
      <c r="H44" s="655">
        <v>664.55555555555554</v>
      </c>
      <c r="I44" s="548">
        <v>1246.0339321357285</v>
      </c>
      <c r="J44" s="548">
        <v>713.96982397317686</v>
      </c>
      <c r="K44" s="548">
        <v>832.74699999999996</v>
      </c>
      <c r="L44" s="548">
        <v>265.53849480968859</v>
      </c>
      <c r="M44" s="655">
        <v>1676.3626086956522</v>
      </c>
      <c r="N44" s="548">
        <v>1157.25</v>
      </c>
      <c r="O44" s="548">
        <v>1119.3809523809523</v>
      </c>
      <c r="P44" s="548">
        <v>1090.0570342205324</v>
      </c>
      <c r="Q44" s="548">
        <v>1456.1682242990655</v>
      </c>
      <c r="R44" s="548">
        <v>1461.6554850407979</v>
      </c>
    </row>
    <row r="45" spans="1:18" ht="15" customHeight="1">
      <c r="B45" s="648" t="s">
        <v>246</v>
      </c>
      <c r="C45" s="655">
        <v>359.62696629213485</v>
      </c>
      <c r="D45" s="548">
        <v>372.08729714605482</v>
      </c>
      <c r="E45" s="548">
        <v>21.521820741435945</v>
      </c>
      <c r="F45" s="548">
        <v>35.545235024665253</v>
      </c>
      <c r="G45" s="548">
        <v>18.3856</v>
      </c>
      <c r="H45" s="655">
        <v>101.66666666666667</v>
      </c>
      <c r="I45" s="548">
        <v>98.597804391217565</v>
      </c>
      <c r="J45" s="548">
        <v>46.274098910310144</v>
      </c>
      <c r="K45" s="548">
        <v>62.9694</v>
      </c>
      <c r="L45" s="548">
        <v>9.2902249134948089</v>
      </c>
      <c r="M45" s="655">
        <v>86.307826086956524</v>
      </c>
      <c r="N45" s="548">
        <v>212.05</v>
      </c>
      <c r="O45" s="548">
        <v>304.71428571428572</v>
      </c>
      <c r="P45" s="548">
        <v>1.520912547528517</v>
      </c>
      <c r="Q45" s="548">
        <v>151.61362829764579</v>
      </c>
      <c r="R45" s="548">
        <v>750.13145965548506</v>
      </c>
    </row>
    <row r="46" spans="1:18" ht="15" customHeight="1">
      <c r="B46" s="648"/>
      <c r="C46" s="641"/>
      <c r="H46" s="641"/>
      <c r="M46" s="641"/>
    </row>
    <row r="47" spans="1:18" ht="15" customHeight="1">
      <c r="A47" s="361" t="s">
        <v>39</v>
      </c>
      <c r="B47" s="646" t="s">
        <v>247</v>
      </c>
      <c r="C47" s="651" t="s">
        <v>203</v>
      </c>
      <c r="D47" s="558" t="s">
        <v>204</v>
      </c>
      <c r="E47" s="558" t="s">
        <v>205</v>
      </c>
      <c r="F47" s="558" t="s">
        <v>206</v>
      </c>
      <c r="G47" s="558" t="s">
        <v>207</v>
      </c>
      <c r="H47" s="651" t="s">
        <v>208</v>
      </c>
      <c r="I47" s="558" t="s">
        <v>209</v>
      </c>
      <c r="J47" s="558" t="s">
        <v>210</v>
      </c>
      <c r="K47" s="558" t="s">
        <v>211</v>
      </c>
      <c r="L47" s="558" t="s">
        <v>212</v>
      </c>
      <c r="M47" s="651" t="s">
        <v>213</v>
      </c>
      <c r="N47" s="558" t="s">
        <v>214</v>
      </c>
      <c r="O47" s="558" t="s">
        <v>215</v>
      </c>
      <c r="P47" s="558" t="s">
        <v>216</v>
      </c>
      <c r="Q47" s="558" t="s">
        <v>217</v>
      </c>
      <c r="R47" s="558" t="s">
        <v>218</v>
      </c>
    </row>
    <row r="48" spans="1:18" ht="4" customHeight="1">
      <c r="A48" s="361"/>
      <c r="B48" s="647"/>
      <c r="C48" s="643"/>
      <c r="D48" s="36"/>
      <c r="E48" s="36"/>
      <c r="F48" s="36"/>
      <c r="G48" s="36"/>
      <c r="H48" s="643"/>
      <c r="I48" s="36"/>
      <c r="J48" s="36"/>
      <c r="K48" s="36"/>
      <c r="L48" s="36"/>
      <c r="M48" s="643"/>
      <c r="N48" s="36"/>
      <c r="O48" s="36"/>
      <c r="P48" s="36"/>
      <c r="Q48" s="36"/>
      <c r="R48" s="36"/>
    </row>
    <row r="49" spans="1:18" ht="15" customHeight="1">
      <c r="B49" s="648" t="s">
        <v>248</v>
      </c>
      <c r="C49" s="655" t="s">
        <v>244</v>
      </c>
      <c r="D49" s="548" t="s">
        <v>244</v>
      </c>
      <c r="E49" s="548" t="s">
        <v>244</v>
      </c>
      <c r="F49" s="548" t="s">
        <v>244</v>
      </c>
      <c r="G49" s="548">
        <v>81.968855162830423</v>
      </c>
      <c r="H49" s="655" t="s">
        <v>244</v>
      </c>
      <c r="I49" s="548" t="s">
        <v>244</v>
      </c>
      <c r="J49" s="548" t="s">
        <v>244</v>
      </c>
      <c r="K49" s="548" t="s">
        <v>244</v>
      </c>
      <c r="L49" s="548" t="s">
        <v>244</v>
      </c>
      <c r="M49" s="655">
        <v>7.6650649413300114</v>
      </c>
      <c r="N49" s="548" t="s">
        <v>244</v>
      </c>
      <c r="O49" s="548" t="s">
        <v>244</v>
      </c>
      <c r="P49" s="548" t="s">
        <v>244</v>
      </c>
      <c r="Q49" s="548" t="s">
        <v>244</v>
      </c>
      <c r="R49" s="548">
        <v>44.102587541542455</v>
      </c>
    </row>
    <row r="50" spans="1:18" ht="15" customHeight="1">
      <c r="B50" s="648" t="s">
        <v>249</v>
      </c>
      <c r="C50" s="655" t="s">
        <v>244</v>
      </c>
      <c r="D50" s="548" t="s">
        <v>244</v>
      </c>
      <c r="E50" s="548" t="s">
        <v>244</v>
      </c>
      <c r="F50" s="548" t="s">
        <v>244</v>
      </c>
      <c r="G50" s="548">
        <v>142.45582764729684</v>
      </c>
      <c r="H50" s="655" t="s">
        <v>244</v>
      </c>
      <c r="I50" s="548" t="s">
        <v>244</v>
      </c>
      <c r="J50" s="548" t="s">
        <v>244</v>
      </c>
      <c r="K50" s="548" t="s">
        <v>244</v>
      </c>
      <c r="L50" s="548" t="s">
        <v>244</v>
      </c>
      <c r="M50" s="655" t="s">
        <v>244</v>
      </c>
      <c r="N50" s="548" t="s">
        <v>244</v>
      </c>
      <c r="O50" s="548" t="s">
        <v>244</v>
      </c>
      <c r="P50" s="548" t="s">
        <v>244</v>
      </c>
      <c r="Q50" s="548" t="s">
        <v>244</v>
      </c>
      <c r="R50" s="548" t="s">
        <v>244</v>
      </c>
    </row>
    <row r="51" spans="1:18" ht="15" customHeight="1">
      <c r="B51" s="648" t="s">
        <v>250</v>
      </c>
      <c r="C51" s="655" t="s">
        <v>244</v>
      </c>
      <c r="D51" s="548">
        <v>86.492746150523985</v>
      </c>
      <c r="E51" s="548" t="s">
        <v>244</v>
      </c>
      <c r="F51" s="548" t="s">
        <v>244</v>
      </c>
      <c r="G51" s="548">
        <v>12.070037178288734</v>
      </c>
      <c r="H51" s="655" t="s">
        <v>244</v>
      </c>
      <c r="I51" s="548" t="s">
        <v>244</v>
      </c>
      <c r="J51" s="548" t="s">
        <v>244</v>
      </c>
      <c r="K51" s="548" t="s">
        <v>244</v>
      </c>
      <c r="L51" s="548" t="s">
        <v>244</v>
      </c>
      <c r="M51" s="655" t="s">
        <v>244</v>
      </c>
      <c r="N51" s="548" t="s">
        <v>244</v>
      </c>
      <c r="O51" s="548" t="s">
        <v>244</v>
      </c>
      <c r="P51" s="548" t="s">
        <v>244</v>
      </c>
      <c r="Q51" s="548" t="s">
        <v>244</v>
      </c>
      <c r="R51" s="548" t="s">
        <v>244</v>
      </c>
    </row>
    <row r="52" spans="1:18" ht="15" customHeight="1">
      <c r="B52" s="648" t="s">
        <v>251</v>
      </c>
      <c r="C52" s="655" t="s">
        <v>244</v>
      </c>
      <c r="D52" s="548" t="s">
        <v>244</v>
      </c>
      <c r="E52" s="548" t="s">
        <v>244</v>
      </c>
      <c r="F52" s="548" t="s">
        <v>244</v>
      </c>
      <c r="G52" s="548">
        <v>202.82373732396348</v>
      </c>
      <c r="H52" s="655" t="s">
        <v>244</v>
      </c>
      <c r="I52" s="548" t="s">
        <v>244</v>
      </c>
      <c r="J52" s="548" t="s">
        <v>244</v>
      </c>
      <c r="K52" s="548" t="s">
        <v>244</v>
      </c>
      <c r="L52" s="548" t="s">
        <v>244</v>
      </c>
      <c r="M52" s="655" t="s">
        <v>244</v>
      </c>
      <c r="N52" s="548" t="s">
        <v>244</v>
      </c>
      <c r="O52" s="548" t="s">
        <v>244</v>
      </c>
      <c r="P52" s="548" t="s">
        <v>244</v>
      </c>
      <c r="Q52" s="548" t="s">
        <v>244</v>
      </c>
      <c r="R52" s="548" t="s">
        <v>244</v>
      </c>
    </row>
    <row r="53" spans="1:18" ht="15" customHeight="1">
      <c r="B53" s="648" t="s">
        <v>252</v>
      </c>
      <c r="C53" s="652">
        <v>9.1221688314262181E-2</v>
      </c>
      <c r="D53" s="547">
        <v>1.5406442820031965</v>
      </c>
      <c r="E53" s="547" t="s">
        <v>244</v>
      </c>
      <c r="F53" s="547" t="s">
        <v>244</v>
      </c>
      <c r="G53" s="547">
        <v>0.55650972631893358</v>
      </c>
      <c r="H53" s="652" t="s">
        <v>244</v>
      </c>
      <c r="I53" s="547" t="s">
        <v>244</v>
      </c>
      <c r="J53" s="547">
        <v>1.7243861577005892</v>
      </c>
      <c r="K53" s="547" t="s">
        <v>244</v>
      </c>
      <c r="L53" s="547" t="s">
        <v>244</v>
      </c>
      <c r="M53" s="652">
        <v>-0.9482144830136886</v>
      </c>
      <c r="N53" s="547" t="s">
        <v>244</v>
      </c>
      <c r="O53" s="547" t="s">
        <v>244</v>
      </c>
      <c r="P53" s="547" t="s">
        <v>244</v>
      </c>
      <c r="Q53" s="547" t="s">
        <v>244</v>
      </c>
      <c r="R53" s="547">
        <v>2.632263649930592</v>
      </c>
    </row>
    <row r="54" spans="1:18" ht="15" customHeight="1">
      <c r="B54" s="648" t="s">
        <v>253</v>
      </c>
      <c r="C54" s="653">
        <v>2.3254574703398352</v>
      </c>
      <c r="D54" s="654">
        <v>2.6311328789003312</v>
      </c>
      <c r="E54" s="654">
        <v>4.973222376329173</v>
      </c>
      <c r="F54" s="654">
        <v>2.2696142015041838</v>
      </c>
      <c r="G54" s="654">
        <v>1.0409224206878167</v>
      </c>
      <c r="H54" s="653">
        <v>4.0464767616191901</v>
      </c>
      <c r="I54" s="654">
        <v>-40.484646359081545</v>
      </c>
      <c r="J54" s="654">
        <v>-1.0779550608599064</v>
      </c>
      <c r="K54" s="654">
        <v>-4.7989329104973324</v>
      </c>
      <c r="L54" s="654">
        <v>-3.4166717313352488</v>
      </c>
      <c r="M54" s="653">
        <v>-48.790767386091126</v>
      </c>
      <c r="N54" s="654">
        <v>2.1629694706786733</v>
      </c>
      <c r="O54" s="654">
        <v>1.387059598287784</v>
      </c>
      <c r="P54" s="654">
        <v>3.0725888324873099</v>
      </c>
      <c r="Q54" s="654">
        <v>5.4162679425837323</v>
      </c>
      <c r="R54" s="654">
        <v>-9.0968455306910503</v>
      </c>
    </row>
    <row r="55" spans="1:18" ht="15" customHeight="1">
      <c r="B55" s="648" t="s">
        <v>254</v>
      </c>
      <c r="C55" s="652">
        <v>0.61564406621758561</v>
      </c>
      <c r="D55" s="547">
        <v>0.5788908119497328</v>
      </c>
      <c r="E55" s="547">
        <v>0.45696793389328516</v>
      </c>
      <c r="F55" s="547">
        <v>0.44997334252009991</v>
      </c>
      <c r="G55" s="547">
        <v>0.10083918588294441</v>
      </c>
      <c r="H55" s="652">
        <v>0.47168822090178258</v>
      </c>
      <c r="I55" s="547">
        <v>-2.2690244356239142</v>
      </c>
      <c r="J55" s="547">
        <v>0.29273024910137491</v>
      </c>
      <c r="K55" s="547">
        <v>-0.29733112597727945</v>
      </c>
      <c r="L55" s="547">
        <v>0.73781409249252861</v>
      </c>
      <c r="M55" s="652">
        <v>4.7209312038684913E-2</v>
      </c>
      <c r="N55" s="547">
        <v>0.40751469006041546</v>
      </c>
      <c r="O55" s="547">
        <v>0.35647795548785649</v>
      </c>
      <c r="P55" s="547">
        <v>0.33666431829137156</v>
      </c>
      <c r="Q55" s="547">
        <v>0.27628287265849044</v>
      </c>
      <c r="R55" s="547">
        <v>0.24621822521439568</v>
      </c>
    </row>
    <row r="56" spans="1:18" ht="15" customHeight="1">
      <c r="B56" s="648"/>
      <c r="C56" s="641"/>
      <c r="H56" s="641"/>
      <c r="M56" s="641"/>
    </row>
    <row r="57" spans="1:18" ht="15" customHeight="1">
      <c r="A57" s="361" t="s">
        <v>39</v>
      </c>
      <c r="B57" s="646" t="s">
        <v>255</v>
      </c>
      <c r="C57" s="651" t="s">
        <v>203</v>
      </c>
      <c r="D57" s="558" t="s">
        <v>204</v>
      </c>
      <c r="E57" s="558" t="s">
        <v>205</v>
      </c>
      <c r="F57" s="558" t="s">
        <v>206</v>
      </c>
      <c r="G57" s="558" t="s">
        <v>207</v>
      </c>
      <c r="H57" s="651" t="s">
        <v>208</v>
      </c>
      <c r="I57" s="558" t="s">
        <v>209</v>
      </c>
      <c r="J57" s="558" t="s">
        <v>210</v>
      </c>
      <c r="K57" s="558" t="s">
        <v>211</v>
      </c>
      <c r="L57" s="558" t="s">
        <v>212</v>
      </c>
      <c r="M57" s="651" t="s">
        <v>213</v>
      </c>
      <c r="N57" s="558" t="s">
        <v>214</v>
      </c>
      <c r="O57" s="558" t="s">
        <v>215</v>
      </c>
      <c r="P57" s="558" t="s">
        <v>216</v>
      </c>
      <c r="Q57" s="558" t="s">
        <v>217</v>
      </c>
      <c r="R57" s="558" t="s">
        <v>218</v>
      </c>
    </row>
    <row r="58" spans="1:18" ht="4" customHeight="1">
      <c r="A58" s="361"/>
      <c r="B58" s="647"/>
      <c r="C58" s="643"/>
      <c r="D58" s="36"/>
      <c r="E58" s="36"/>
      <c r="F58" s="36"/>
      <c r="G58" s="36"/>
      <c r="H58" s="643"/>
      <c r="I58" s="36"/>
      <c r="J58" s="36"/>
      <c r="K58" s="36"/>
      <c r="L58" s="36"/>
      <c r="M58" s="643"/>
      <c r="N58" s="36"/>
      <c r="O58" s="36"/>
      <c r="P58" s="36"/>
      <c r="Q58" s="36"/>
      <c r="R58" s="36"/>
    </row>
    <row r="59" spans="1:18" ht="15" customHeight="1">
      <c r="B59" s="648" t="s">
        <v>256</v>
      </c>
      <c r="C59" s="653">
        <v>1.6053442295255453</v>
      </c>
      <c r="D59" s="654">
        <v>5.5850468561321174</v>
      </c>
      <c r="E59" s="654">
        <v>11.050547955017548</v>
      </c>
      <c r="F59" s="654">
        <v>2.8271657974389126</v>
      </c>
      <c r="G59" s="654">
        <v>1.1669517068204405</v>
      </c>
      <c r="H59" s="653">
        <v>8.9278523489932891</v>
      </c>
      <c r="I59" s="654">
        <v>-2.1390076805087705</v>
      </c>
      <c r="J59" s="654" t="s">
        <v>244</v>
      </c>
      <c r="K59" s="654">
        <v>1.1663718552859508</v>
      </c>
      <c r="L59" s="654">
        <v>2.9805828913583721</v>
      </c>
      <c r="M59" s="653">
        <v>0.42831546448310637</v>
      </c>
      <c r="N59" s="654">
        <v>-0.26741119900729021</v>
      </c>
      <c r="O59" s="654">
        <v>0.22054455445544555</v>
      </c>
      <c r="P59" s="654">
        <v>-0.36689254598257504</v>
      </c>
      <c r="Q59" s="654">
        <v>1.0454077547752487</v>
      </c>
      <c r="R59" s="654">
        <v>5.3496032877014557</v>
      </c>
    </row>
    <row r="60" spans="1:18" ht="15" customHeight="1">
      <c r="B60" s="648" t="s">
        <v>257</v>
      </c>
      <c r="C60" s="653">
        <v>0.87101507097903463</v>
      </c>
      <c r="D60" s="654">
        <v>2.3577557897046058</v>
      </c>
      <c r="E60" s="654">
        <v>5.717242764511715</v>
      </c>
      <c r="F60" s="654">
        <v>2.059363972389983</v>
      </c>
      <c r="G60" s="654">
        <v>4.8718708139263365</v>
      </c>
      <c r="H60" s="653">
        <v>7.8332715820674323</v>
      </c>
      <c r="I60" s="654">
        <v>0.5224357591438421</v>
      </c>
      <c r="J60" s="654">
        <v>3.5316460720989444</v>
      </c>
      <c r="K60" s="654">
        <v>-0.51157862350008487</v>
      </c>
      <c r="L60" s="654">
        <v>4.0097978789514972</v>
      </c>
      <c r="M60" s="653">
        <v>4.9930947012401488</v>
      </c>
      <c r="N60" s="654">
        <v>7.6259138911454097E-2</v>
      </c>
      <c r="O60" s="654">
        <v>0.9536594336152997</v>
      </c>
      <c r="P60" s="654">
        <v>0.15075199056325567</v>
      </c>
      <c r="Q60" s="654">
        <v>8.2659176029962556</v>
      </c>
      <c r="R60" s="654">
        <v>0.96701289636375654</v>
      </c>
    </row>
    <row r="61" spans="1:18" ht="15" customHeight="1">
      <c r="B61" s="648" t="s">
        <v>258</v>
      </c>
      <c r="C61" s="653">
        <v>3.1145208911156841</v>
      </c>
      <c r="D61" s="654">
        <v>2.0133382912939588</v>
      </c>
      <c r="E61" s="654" t="e">
        <v>#VALUE!</v>
      </c>
      <c r="F61" s="654" t="e">
        <v>#VALUE!</v>
      </c>
      <c r="G61" s="654">
        <v>8.2834008097165981</v>
      </c>
      <c r="H61" s="653" t="e">
        <v>#VALUE!</v>
      </c>
      <c r="I61" s="654" t="e">
        <v>#VALUE!</v>
      </c>
      <c r="J61" s="654">
        <v>-4.2751218064452301</v>
      </c>
      <c r="K61" s="654" t="e">
        <v>#VALUE!</v>
      </c>
      <c r="L61" s="654" t="e">
        <v>#VALUE!</v>
      </c>
      <c r="M61" s="653">
        <v>-0.30294224482382853</v>
      </c>
      <c r="N61" s="654" t="e">
        <v>#VALUE!</v>
      </c>
      <c r="O61" s="654" t="e">
        <v>#VALUE!</v>
      </c>
      <c r="P61" s="654" t="e">
        <v>#VALUE!</v>
      </c>
      <c r="Q61" s="654" t="e">
        <v>#VALUE!</v>
      </c>
      <c r="R61" s="654" t="e">
        <v>#VALUE!</v>
      </c>
    </row>
    <row r="62" spans="1:18" ht="15" customHeight="1">
      <c r="B62" s="648" t="s">
        <v>259</v>
      </c>
      <c r="C62" s="652">
        <v>0.58638976450954949</v>
      </c>
      <c r="D62" s="547">
        <v>0.75043497344076149</v>
      </c>
      <c r="E62" s="547">
        <v>0.80901396246901158</v>
      </c>
      <c r="F62" s="547">
        <v>0.54459864685819048</v>
      </c>
      <c r="G62" s="547">
        <v>0.41336976025746752</v>
      </c>
      <c r="H62" s="652">
        <v>0.87128393368561174</v>
      </c>
      <c r="I62" s="547">
        <v>2.0800841900611065E-2</v>
      </c>
      <c r="J62" s="547">
        <v>0.69639500897555895</v>
      </c>
      <c r="K62" s="547">
        <v>0.3283592797483123</v>
      </c>
      <c r="L62" s="547">
        <v>0.82204270464065421</v>
      </c>
      <c r="M62" s="652">
        <v>6.3850239185227101E-2</v>
      </c>
      <c r="N62" s="547">
        <v>0.48255414768116844</v>
      </c>
      <c r="O62" s="547">
        <v>0.4755259077211153</v>
      </c>
      <c r="P62" s="547">
        <v>0.4296331050014075</v>
      </c>
      <c r="Q62" s="547">
        <v>0.57899040062986407</v>
      </c>
      <c r="R62" s="547">
        <v>0.47777193555632702</v>
      </c>
    </row>
    <row r="63" spans="1:18" ht="15" customHeight="1">
      <c r="B63" s="648" t="s">
        <v>260</v>
      </c>
      <c r="C63" s="652">
        <v>7.474732873164444E-3</v>
      </c>
      <c r="D63" s="547">
        <v>9.6440294538828681E-4</v>
      </c>
      <c r="E63" s="547">
        <v>0</v>
      </c>
      <c r="F63" s="547">
        <v>4.368782026695673E-2</v>
      </c>
      <c r="G63" s="547">
        <v>0.28586698462982102</v>
      </c>
      <c r="H63" s="652">
        <v>2.9166666666666668E-3</v>
      </c>
      <c r="I63" s="547">
        <v>0.47922952775243843</v>
      </c>
      <c r="J63" s="547">
        <v>0</v>
      </c>
      <c r="K63" s="547">
        <v>0</v>
      </c>
      <c r="L63" s="547">
        <v>7.0737212570799934E-3</v>
      </c>
      <c r="M63" s="652">
        <v>4.0548478592887231E-2</v>
      </c>
      <c r="N63" s="547">
        <v>0</v>
      </c>
      <c r="O63" s="547">
        <v>0</v>
      </c>
      <c r="P63" s="547">
        <v>5.1325732756737864E-3</v>
      </c>
      <c r="Q63" s="547">
        <v>8.4989539748953971E-2</v>
      </c>
      <c r="R63" s="547">
        <v>5.9033012542778901E-3</v>
      </c>
    </row>
    <row r="64" spans="1:18" ht="15" customHeight="1">
      <c r="B64" s="648"/>
      <c r="C64" s="641"/>
      <c r="H64" s="641"/>
      <c r="M64" s="641"/>
    </row>
    <row r="65" spans="1:18" ht="15" customHeight="1">
      <c r="A65" s="361" t="s">
        <v>39</v>
      </c>
      <c r="B65" s="646" t="s">
        <v>261</v>
      </c>
      <c r="C65" s="651" t="s">
        <v>203</v>
      </c>
      <c r="D65" s="558" t="s">
        <v>204</v>
      </c>
      <c r="E65" s="558" t="s">
        <v>205</v>
      </c>
      <c r="F65" s="558" t="s">
        <v>206</v>
      </c>
      <c r="G65" s="558" t="s">
        <v>207</v>
      </c>
      <c r="H65" s="651" t="s">
        <v>208</v>
      </c>
      <c r="I65" s="558" t="s">
        <v>209</v>
      </c>
      <c r="J65" s="558" t="s">
        <v>210</v>
      </c>
      <c r="K65" s="558" t="s">
        <v>211</v>
      </c>
      <c r="L65" s="558" t="s">
        <v>212</v>
      </c>
      <c r="M65" s="651" t="s">
        <v>213</v>
      </c>
      <c r="N65" s="558" t="s">
        <v>214</v>
      </c>
      <c r="O65" s="558" t="s">
        <v>215</v>
      </c>
      <c r="P65" s="558" t="s">
        <v>216</v>
      </c>
      <c r="Q65" s="558" t="s">
        <v>217</v>
      </c>
      <c r="R65" s="558" t="s">
        <v>218</v>
      </c>
    </row>
    <row r="66" spans="1:18" ht="4" customHeight="1">
      <c r="A66" s="361"/>
      <c r="B66" s="647"/>
      <c r="C66" s="643"/>
      <c r="D66" s="36"/>
      <c r="E66" s="36"/>
      <c r="F66" s="36"/>
      <c r="G66" s="36"/>
      <c r="H66" s="643"/>
      <c r="I66" s="36"/>
      <c r="J66" s="36"/>
      <c r="K66" s="36"/>
      <c r="L66" s="36"/>
      <c r="M66" s="643"/>
      <c r="N66" s="36"/>
      <c r="O66" s="36"/>
      <c r="P66" s="36"/>
      <c r="Q66" s="36"/>
      <c r="R66" s="36"/>
    </row>
    <row r="67" spans="1:18" ht="15" customHeight="1">
      <c r="B67" s="648" t="s">
        <v>262</v>
      </c>
      <c r="C67" s="653">
        <v>2.4680755898468076</v>
      </c>
      <c r="D67" s="654">
        <v>19.256526783213985</v>
      </c>
      <c r="E67" s="654" t="s">
        <v>244</v>
      </c>
      <c r="F67" s="654" t="s">
        <v>244</v>
      </c>
      <c r="G67" s="654">
        <v>2.7062369838553404</v>
      </c>
      <c r="H67" s="653" t="s">
        <v>244</v>
      </c>
      <c r="I67" s="654" t="s">
        <v>244</v>
      </c>
      <c r="J67" s="654">
        <v>29.624034035198509</v>
      </c>
      <c r="K67" s="654" t="s">
        <v>244</v>
      </c>
      <c r="L67" s="654" t="s">
        <v>244</v>
      </c>
      <c r="M67" s="653">
        <v>0.53929996435301841</v>
      </c>
      <c r="N67" s="654" t="s">
        <v>244</v>
      </c>
      <c r="O67" s="654" t="s">
        <v>244</v>
      </c>
      <c r="P67" s="654" t="s">
        <v>244</v>
      </c>
      <c r="Q67" s="654" t="s">
        <v>244</v>
      </c>
      <c r="R67" s="654">
        <v>20.330682803612333</v>
      </c>
    </row>
    <row r="68" spans="1:18" ht="15" customHeight="1">
      <c r="B68" s="648" t="s">
        <v>263</v>
      </c>
      <c r="C68" s="653">
        <v>1.7148607849714861</v>
      </c>
      <c r="D68" s="654">
        <v>0.2956754810577269</v>
      </c>
      <c r="E68" s="654" t="s">
        <v>244</v>
      </c>
      <c r="F68" s="654" t="s">
        <v>244</v>
      </c>
      <c r="G68" s="654">
        <v>1.6504638480642371</v>
      </c>
      <c r="H68" s="653" t="s">
        <v>244</v>
      </c>
      <c r="I68" s="654" t="s">
        <v>244</v>
      </c>
      <c r="J68" s="654">
        <v>13.102587539261796</v>
      </c>
      <c r="K68" s="654" t="s">
        <v>244</v>
      </c>
      <c r="L68" s="654" t="s">
        <v>244</v>
      </c>
      <c r="M68" s="653">
        <v>0.36690161099925933</v>
      </c>
      <c r="N68" s="654" t="s">
        <v>244</v>
      </c>
      <c r="O68" s="654" t="s">
        <v>244</v>
      </c>
      <c r="P68" s="654" t="s">
        <v>244</v>
      </c>
      <c r="Q68" s="654" t="s">
        <v>244</v>
      </c>
      <c r="R68" s="654">
        <v>5.5685417747140731</v>
      </c>
    </row>
    <row r="69" spans="1:18" ht="15" customHeight="1">
      <c r="B69" s="648" t="s">
        <v>264</v>
      </c>
      <c r="C69" s="653">
        <v>1.7148607849714861</v>
      </c>
      <c r="D69" s="654">
        <v>0.2956754810577269</v>
      </c>
      <c r="E69" s="654" t="s">
        <v>244</v>
      </c>
      <c r="F69" s="654" t="s">
        <v>244</v>
      </c>
      <c r="G69" s="654">
        <v>0.63299019589645733</v>
      </c>
      <c r="H69" s="653" t="s">
        <v>244</v>
      </c>
      <c r="I69" s="654" t="s">
        <v>244</v>
      </c>
      <c r="J69" s="654">
        <v>13.102587539261796</v>
      </c>
      <c r="K69" s="654" t="s">
        <v>244</v>
      </c>
      <c r="L69" s="654" t="s">
        <v>244</v>
      </c>
      <c r="M69" s="653">
        <v>0.35903351149420826</v>
      </c>
      <c r="N69" s="654" t="s">
        <v>244</v>
      </c>
      <c r="O69" s="654" t="s">
        <v>244</v>
      </c>
      <c r="P69" s="654" t="s">
        <v>244</v>
      </c>
      <c r="Q69" s="654" t="s">
        <v>244</v>
      </c>
      <c r="R69" s="654">
        <v>4.6736950847966545</v>
      </c>
    </row>
    <row r="71" spans="1:18" ht="15" customHeight="1">
      <c r="A71" s="361" t="s">
        <v>39</v>
      </c>
      <c r="B71" s="646" t="s">
        <v>265</v>
      </c>
      <c r="C71" s="651" t="s">
        <v>203</v>
      </c>
      <c r="D71" s="558" t="s">
        <v>204</v>
      </c>
      <c r="E71" s="558" t="s">
        <v>205</v>
      </c>
      <c r="F71" s="558" t="s">
        <v>206</v>
      </c>
      <c r="G71" s="558" t="s">
        <v>207</v>
      </c>
      <c r="H71" s="651" t="s">
        <v>208</v>
      </c>
      <c r="I71" s="558" t="s">
        <v>209</v>
      </c>
      <c r="J71" s="558" t="s">
        <v>210</v>
      </c>
      <c r="K71" s="558" t="s">
        <v>211</v>
      </c>
      <c r="L71" s="558" t="s">
        <v>212</v>
      </c>
      <c r="M71" s="651" t="s">
        <v>213</v>
      </c>
      <c r="N71" s="558" t="s">
        <v>214</v>
      </c>
      <c r="O71" s="558" t="s">
        <v>215</v>
      </c>
      <c r="P71" s="558" t="s">
        <v>216</v>
      </c>
      <c r="Q71" s="558" t="s">
        <v>217</v>
      </c>
      <c r="R71" s="558" t="s">
        <v>218</v>
      </c>
    </row>
    <row r="72" spans="1:18" ht="4" customHeight="1">
      <c r="A72" s="361"/>
      <c r="B72" s="647"/>
      <c r="C72" s="643"/>
      <c r="D72" s="36"/>
      <c r="E72" s="36"/>
      <c r="F72" s="36"/>
      <c r="G72" s="36"/>
      <c r="H72" s="643"/>
      <c r="I72" s="36"/>
      <c r="J72" s="36"/>
      <c r="K72" s="36"/>
      <c r="L72" s="36"/>
      <c r="M72" s="643"/>
      <c r="N72" s="36"/>
      <c r="O72" s="36"/>
      <c r="P72" s="36"/>
      <c r="Q72" s="36"/>
      <c r="R72" s="36"/>
    </row>
    <row r="73" spans="1:18" ht="15" customHeight="1">
      <c r="B73" s="648" t="s">
        <v>266</v>
      </c>
      <c r="C73" s="652">
        <v>2.4735580259447908E-2</v>
      </c>
      <c r="D73" s="547">
        <v>1.6337572428324176E-2</v>
      </c>
      <c r="E73" s="547" t="e">
        <v>#VALUE!</v>
      </c>
      <c r="F73" s="547" t="e">
        <v>#VALUE!</v>
      </c>
      <c r="G73" s="547">
        <v>3.0788514482585256E-2</v>
      </c>
      <c r="H73" s="652" t="e">
        <v>#VALUE!</v>
      </c>
      <c r="I73" s="547" t="e">
        <v>#VALUE!</v>
      </c>
      <c r="J73" s="547">
        <v>1.5694517758841717E-2</v>
      </c>
      <c r="K73" s="547" t="e">
        <v>#VALUE!</v>
      </c>
      <c r="L73" s="547" t="e">
        <v>#VALUE!</v>
      </c>
      <c r="M73" s="652">
        <v>4.3093006689576281E-2</v>
      </c>
      <c r="N73" s="547" t="e">
        <v>#VALUE!</v>
      </c>
      <c r="O73" s="547" t="e">
        <v>#VALUE!</v>
      </c>
      <c r="P73" s="547" t="e">
        <v>#VALUE!</v>
      </c>
      <c r="Q73" s="547" t="e">
        <v>#VALUE!</v>
      </c>
      <c r="R73" s="547">
        <v>5.9604355770912651E-2</v>
      </c>
    </row>
    <row r="74" spans="1:18" ht="15" customHeight="1">
      <c r="B74" s="648" t="s">
        <v>267</v>
      </c>
      <c r="C74" s="652">
        <v>1.3522502858330734</v>
      </c>
      <c r="D74" s="547">
        <v>1.0799612007859327</v>
      </c>
      <c r="E74" s="547" t="e">
        <v>#VALUE!</v>
      </c>
      <c r="F74" s="547" t="e">
        <v>#VALUE!</v>
      </c>
      <c r="G74" s="547">
        <v>1.0814962653844991</v>
      </c>
      <c r="H74" s="652" t="e">
        <v>#VALUE!</v>
      </c>
      <c r="I74" s="547" t="e">
        <v>#VALUE!</v>
      </c>
      <c r="J74" s="547">
        <v>0.48615504404107257</v>
      </c>
      <c r="K74" s="547" t="e">
        <v>#VALUE!</v>
      </c>
      <c r="L74" s="547" t="e">
        <v>#VALUE!</v>
      </c>
      <c r="M74" s="652">
        <v>0.87707056753916823</v>
      </c>
      <c r="N74" s="547" t="e">
        <v>#VALUE!</v>
      </c>
      <c r="O74" s="547" t="e">
        <v>#VALUE!</v>
      </c>
      <c r="P74" s="547" t="e">
        <v>#VALUE!</v>
      </c>
      <c r="Q74" s="547" t="e">
        <v>#VALUE!</v>
      </c>
      <c r="R74" s="547">
        <v>0.85388490998596034</v>
      </c>
    </row>
    <row r="75" spans="1:18" ht="15" customHeight="1">
      <c r="B75" s="648" t="s">
        <v>268</v>
      </c>
      <c r="C75" s="652" t="e">
        <v>#VALUE!</v>
      </c>
      <c r="D75" s="547" t="e">
        <v>#VALUE!</v>
      </c>
      <c r="E75" s="547" t="e">
        <v>#VALUE!</v>
      </c>
      <c r="F75" s="547" t="e">
        <v>#VALUE!</v>
      </c>
      <c r="G75" s="547" t="e">
        <v>#VALUE!</v>
      </c>
      <c r="H75" s="652" t="e">
        <v>#VALUE!</v>
      </c>
      <c r="I75" s="547" t="e">
        <v>#VALUE!</v>
      </c>
      <c r="J75" s="547" t="e">
        <v>#VALUE!</v>
      </c>
      <c r="K75" s="547" t="e">
        <v>#VALUE!</v>
      </c>
      <c r="L75" s="547" t="e">
        <v>#VALUE!</v>
      </c>
      <c r="M75" s="652" t="e">
        <v>#VALUE!</v>
      </c>
      <c r="N75" s="547" t="e">
        <v>#VALUE!</v>
      </c>
      <c r="O75" s="547" t="e">
        <v>#VALUE!</v>
      </c>
      <c r="P75" s="547" t="e">
        <v>#VALUE!</v>
      </c>
      <c r="Q75" s="547" t="e">
        <v>#VALUE!</v>
      </c>
      <c r="R75" s="547" t="e">
        <v>#VALUE!</v>
      </c>
    </row>
    <row r="76" spans="1:18" ht="15" customHeight="1">
      <c r="B76" s="648" t="s">
        <v>269</v>
      </c>
      <c r="C76" s="653" t="e">
        <v>#VALUE!</v>
      </c>
      <c r="D76" s="654" t="e">
        <v>#VALUE!</v>
      </c>
      <c r="E76" s="654" t="e">
        <v>#VALUE!</v>
      </c>
      <c r="F76" s="654" t="e">
        <v>#VALUE!</v>
      </c>
      <c r="G76" s="654" t="e">
        <v>#VALUE!</v>
      </c>
      <c r="H76" s="653" t="e">
        <v>#VALUE!</v>
      </c>
      <c r="I76" s="654" t="e">
        <v>#VALUE!</v>
      </c>
      <c r="J76" s="654" t="e">
        <v>#VALUE!</v>
      </c>
      <c r="K76" s="654" t="e">
        <v>#VALUE!</v>
      </c>
      <c r="L76" s="654" t="e">
        <v>#VALUE!</v>
      </c>
      <c r="M76" s="653" t="e">
        <v>#VALUE!</v>
      </c>
      <c r="N76" s="654" t="e">
        <v>#VALUE!</v>
      </c>
      <c r="O76" s="654" t="e">
        <v>#VALUE!</v>
      </c>
      <c r="P76" s="654" t="e">
        <v>#VALUE!</v>
      </c>
      <c r="Q76" s="654" t="e">
        <v>#VALUE!</v>
      </c>
      <c r="R76" s="654" t="e">
        <v>#VALUE!</v>
      </c>
    </row>
    <row r="77" spans="1:18" ht="15" customHeight="1">
      <c r="B77" s="648" t="s">
        <v>270</v>
      </c>
      <c r="C77" s="652">
        <v>0</v>
      </c>
      <c r="D77" s="547">
        <v>0</v>
      </c>
      <c r="E77" s="547">
        <v>0.28059281538797387</v>
      </c>
      <c r="F77" s="547">
        <v>0</v>
      </c>
      <c r="G77" s="547">
        <v>0</v>
      </c>
      <c r="H77" s="652">
        <v>0.9783889980353635</v>
      </c>
      <c r="I77" s="547">
        <v>0</v>
      </c>
      <c r="J77" s="547" t="e">
        <v>#VALUE!</v>
      </c>
      <c r="K77" s="547">
        <v>0</v>
      </c>
      <c r="L77" s="547" t="e">
        <v>#VALUE!</v>
      </c>
      <c r="M77" s="652" t="e">
        <v>#VALUE!</v>
      </c>
      <c r="N77" s="547">
        <v>0.11613656259118763</v>
      </c>
      <c r="O77" s="547">
        <v>0.15924426450742241</v>
      </c>
      <c r="P77" s="547">
        <v>0.20981539846915806</v>
      </c>
      <c r="Q77" s="547">
        <v>0.6588472271914132</v>
      </c>
      <c r="R77" s="547">
        <v>0</v>
      </c>
    </row>
    <row r="78" spans="1:18" ht="15" customHeight="1">
      <c r="B78" s="648" t="s">
        <v>271</v>
      </c>
      <c r="C78" s="652">
        <v>1.1583160658438334E-2</v>
      </c>
      <c r="D78" s="547">
        <v>0.13703815366176328</v>
      </c>
      <c r="E78" s="547">
        <v>4.383927116453748E-2</v>
      </c>
      <c r="F78" s="547">
        <v>0.20693209568085841</v>
      </c>
      <c r="G78" s="547">
        <v>0.11303921048162122</v>
      </c>
      <c r="H78" s="652">
        <v>0.19595072270470545</v>
      </c>
      <c r="I78" s="547">
        <v>0</v>
      </c>
      <c r="J78" s="547">
        <v>-0.16501550972263967</v>
      </c>
      <c r="K78" s="547">
        <v>1.6802033166100506E-2</v>
      </c>
      <c r="L78" s="547" t="e">
        <v>#VALUE!</v>
      </c>
      <c r="M78" s="652">
        <v>-0.70405862457722768</v>
      </c>
      <c r="N78" s="547">
        <v>0.14587445987002437</v>
      </c>
      <c r="O78" s="547">
        <v>8.5202893220546763E-2</v>
      </c>
      <c r="P78" s="547">
        <v>7.8965801549985254E-2</v>
      </c>
      <c r="Q78" s="547">
        <v>0.37985901123595506</v>
      </c>
      <c r="R78" s="547" t="e">
        <v>#VALUE!</v>
      </c>
    </row>
    <row r="79" spans="1:18" ht="15" customHeight="1">
      <c r="B79" s="648" t="s">
        <v>272</v>
      </c>
      <c r="C79" s="652">
        <v>1.5089281853949588E-2</v>
      </c>
      <c r="D79" s="547">
        <v>0.18802581087967052</v>
      </c>
      <c r="E79" s="547">
        <v>1.3163423531292878E-2</v>
      </c>
      <c r="F79" s="547">
        <v>0.21323101960130389</v>
      </c>
      <c r="G79" s="547">
        <v>0.10251419302514192</v>
      </c>
      <c r="H79" s="652">
        <v>1.2967765839199704E-2</v>
      </c>
      <c r="I79" s="547">
        <v>0</v>
      </c>
      <c r="J79" s="547">
        <v>0</v>
      </c>
      <c r="K79" s="547">
        <v>0</v>
      </c>
      <c r="L79" s="547">
        <v>0</v>
      </c>
      <c r="M79" s="652">
        <v>0</v>
      </c>
      <c r="N79" s="547">
        <v>0.10235580828594638</v>
      </c>
      <c r="O79" s="547">
        <v>9.8516320474777447E-3</v>
      </c>
      <c r="P79" s="547">
        <v>4.0420728013657141E-2</v>
      </c>
      <c r="Q79" s="547">
        <v>8.3922261484098946E-3</v>
      </c>
      <c r="R79" s="547">
        <v>0.69757491097846236</v>
      </c>
    </row>
    <row r="80" spans="1:18" ht="15" customHeight="1">
      <c r="B80" s="648"/>
      <c r="C80" s="641"/>
      <c r="H80" s="641"/>
      <c r="M80" s="641"/>
    </row>
    <row r="81" spans="1:18" ht="15" customHeight="1">
      <c r="A81" s="361" t="s">
        <v>39</v>
      </c>
      <c r="B81" s="646" t="s">
        <v>273</v>
      </c>
      <c r="C81" s="651" t="s">
        <v>203</v>
      </c>
      <c r="D81" s="558" t="s">
        <v>204</v>
      </c>
      <c r="E81" s="558" t="s">
        <v>205</v>
      </c>
      <c r="F81" s="558" t="s">
        <v>206</v>
      </c>
      <c r="G81" s="558" t="s">
        <v>207</v>
      </c>
      <c r="H81" s="651" t="s">
        <v>208</v>
      </c>
      <c r="I81" s="558" t="s">
        <v>209</v>
      </c>
      <c r="J81" s="558" t="s">
        <v>210</v>
      </c>
      <c r="K81" s="558" t="s">
        <v>211</v>
      </c>
      <c r="L81" s="558" t="s">
        <v>212</v>
      </c>
      <c r="M81" s="651" t="s">
        <v>213</v>
      </c>
      <c r="N81" s="558" t="s">
        <v>214</v>
      </c>
      <c r="O81" s="558" t="s">
        <v>215</v>
      </c>
      <c r="P81" s="558" t="s">
        <v>216</v>
      </c>
      <c r="Q81" s="558" t="s">
        <v>217</v>
      </c>
      <c r="R81" s="558" t="s">
        <v>218</v>
      </c>
    </row>
    <row r="82" spans="1:18" ht="4" customHeight="1">
      <c r="A82" s="361"/>
      <c r="B82" s="647"/>
      <c r="C82" s="643"/>
      <c r="D82" s="36"/>
      <c r="E82" s="36"/>
      <c r="F82" s="36"/>
      <c r="G82" s="36"/>
      <c r="H82" s="643"/>
      <c r="I82" s="36"/>
      <c r="J82" s="36"/>
      <c r="K82" s="36"/>
      <c r="L82" s="36"/>
      <c r="M82" s="643"/>
      <c r="N82" s="36"/>
      <c r="O82" s="36"/>
      <c r="P82" s="36"/>
      <c r="Q82" s="36"/>
      <c r="R82" s="36"/>
    </row>
    <row r="83" spans="1:18" ht="15" customHeight="1">
      <c r="B83" s="648" t="s">
        <v>274</v>
      </c>
      <c r="C83" s="653">
        <v>11.204359861591694</v>
      </c>
      <c r="D83" s="654">
        <v>19.356565936139695</v>
      </c>
      <c r="E83" s="654">
        <v>18.388170940170941</v>
      </c>
      <c r="F83" s="654">
        <v>32.689852347266878</v>
      </c>
      <c r="G83" s="654">
        <v>5.1300748916042567</v>
      </c>
      <c r="H83" s="653">
        <v>14.013499480789202</v>
      </c>
      <c r="I83" s="654">
        <v>-74.813234876455553</v>
      </c>
      <c r="J83" s="654">
        <v>4.0659654788661701</v>
      </c>
      <c r="K83" s="654">
        <v>-11.108425010167945</v>
      </c>
      <c r="L83" s="654">
        <v>31.271614748887476</v>
      </c>
      <c r="M83" s="653">
        <v>-32.683935742971883</v>
      </c>
      <c r="N83" s="654">
        <v>12.086253236950945</v>
      </c>
      <c r="O83" s="654">
        <v>9.6553747488743031</v>
      </c>
      <c r="P83" s="654">
        <v>6.8755156447419292</v>
      </c>
      <c r="Q83" s="654">
        <v>14.60056428859331</v>
      </c>
      <c r="R83" s="654">
        <v>18.342282189312201</v>
      </c>
    </row>
    <row r="84" spans="1:18" ht="15" customHeight="1">
      <c r="B84" s="648" t="s">
        <v>275</v>
      </c>
      <c r="C84" s="653">
        <v>10.754186851211072</v>
      </c>
      <c r="D84" s="654">
        <v>18.810281055783406</v>
      </c>
      <c r="E84" s="654">
        <v>18.042598290598296</v>
      </c>
      <c r="F84" s="654">
        <v>32.216053762057875</v>
      </c>
      <c r="G84" s="654">
        <v>3.5637454561380459</v>
      </c>
      <c r="H84" s="653">
        <v>14.013499480789202</v>
      </c>
      <c r="I84" s="654">
        <v>-76.355467196819092</v>
      </c>
      <c r="J84" s="654">
        <v>3.8479717197285441</v>
      </c>
      <c r="K84" s="654">
        <v>-12.638725485333358</v>
      </c>
      <c r="L84" s="654">
        <v>31.201207883026065</v>
      </c>
      <c r="M84" s="653">
        <v>-2.8497991967871439</v>
      </c>
      <c r="N84" s="654">
        <v>12.086253236950945</v>
      </c>
      <c r="O84" s="654">
        <v>9.3482364185837028</v>
      </c>
      <c r="P84" s="654">
        <v>6.4196468834516995</v>
      </c>
      <c r="Q84" s="654">
        <v>3.4437726723095525</v>
      </c>
      <c r="R84" s="654">
        <v>13.901993854400111</v>
      </c>
    </row>
    <row r="86" spans="1:18" ht="15" customHeight="1">
      <c r="A86" s="361" t="s">
        <v>39</v>
      </c>
      <c r="B86" s="646" t="s">
        <v>276</v>
      </c>
      <c r="C86" s="651" t="s">
        <v>203</v>
      </c>
      <c r="D86" s="558" t="s">
        <v>204</v>
      </c>
      <c r="E86" s="558" t="s">
        <v>205</v>
      </c>
      <c r="F86" s="558" t="s">
        <v>206</v>
      </c>
      <c r="G86" s="558" t="s">
        <v>207</v>
      </c>
      <c r="H86" s="651" t="s">
        <v>208</v>
      </c>
      <c r="I86" s="558" t="s">
        <v>209</v>
      </c>
      <c r="J86" s="558" t="s">
        <v>210</v>
      </c>
      <c r="K86" s="558" t="s">
        <v>211</v>
      </c>
      <c r="L86" s="558" t="s">
        <v>212</v>
      </c>
      <c r="M86" s="651" t="s">
        <v>213</v>
      </c>
      <c r="N86" s="558" t="s">
        <v>214</v>
      </c>
      <c r="O86" s="558" t="s">
        <v>215</v>
      </c>
      <c r="P86" s="558" t="s">
        <v>216</v>
      </c>
      <c r="Q86" s="558" t="s">
        <v>217</v>
      </c>
      <c r="R86" s="558" t="s">
        <v>218</v>
      </c>
    </row>
    <row r="87" spans="1:18" ht="4" customHeight="1">
      <c r="A87" s="361"/>
      <c r="B87" s="647"/>
      <c r="C87" s="643"/>
      <c r="D87" s="36"/>
      <c r="E87" s="36"/>
      <c r="F87" s="36"/>
      <c r="G87" s="36"/>
      <c r="H87" s="643"/>
      <c r="I87" s="36"/>
      <c r="J87" s="36"/>
      <c r="K87" s="36"/>
      <c r="L87" s="36"/>
      <c r="M87" s="643"/>
      <c r="N87" s="36"/>
      <c r="O87" s="36"/>
      <c r="P87" s="36"/>
      <c r="Q87" s="36"/>
      <c r="R87" s="36"/>
    </row>
    <row r="88" spans="1:18" ht="15" customHeight="1">
      <c r="B88" s="648" t="s">
        <v>277</v>
      </c>
      <c r="C88" s="652">
        <v>0</v>
      </c>
      <c r="D88" s="547">
        <v>4.7622585438335863E-2</v>
      </c>
      <c r="E88" s="547">
        <v>3.2883817427385997E-2</v>
      </c>
      <c r="F88" s="547">
        <v>1.5022072689196531E-2</v>
      </c>
      <c r="G88" s="547">
        <v>0.53723491398925982</v>
      </c>
      <c r="H88" s="652">
        <v>3.850140228992549E-3</v>
      </c>
      <c r="I88" s="547">
        <v>1.2452492928070269E-2</v>
      </c>
      <c r="J88" s="547" t="e">
        <v>#VALUE!</v>
      </c>
      <c r="K88" s="547">
        <v>4.8724123254292762E-2</v>
      </c>
      <c r="L88" s="547" t="e">
        <v>#VALUE!</v>
      </c>
      <c r="M88" s="652">
        <v>0</v>
      </c>
      <c r="N88" s="547">
        <v>1.0340479192938234E-2</v>
      </c>
      <c r="O88" s="547">
        <v>0</v>
      </c>
      <c r="P88" s="547">
        <v>2.3517115233866459E-3</v>
      </c>
      <c r="Q88" s="547">
        <v>1.0579545343468721E-2</v>
      </c>
      <c r="R88" s="547">
        <v>5.6284923581657598E-2</v>
      </c>
    </row>
    <row r="89" spans="1:18" ht="15" customHeight="1">
      <c r="B89" s="648" t="s">
        <v>278</v>
      </c>
      <c r="C89" s="652">
        <v>1.0019716215779437E-2</v>
      </c>
      <c r="D89" s="547">
        <v>1.1970802919708028E-2</v>
      </c>
      <c r="E89" s="547">
        <v>1.8982061263918788E-2</v>
      </c>
      <c r="F89" s="547">
        <v>-3.4857511744467981E-2</v>
      </c>
      <c r="G89" s="547">
        <v>8.9583179092322506E-3</v>
      </c>
      <c r="H89" s="652">
        <v>5.2429220552254454E-3</v>
      </c>
      <c r="I89" s="547">
        <v>3.451462967556989E-2</v>
      </c>
      <c r="J89" s="547">
        <v>0.20957444134429279</v>
      </c>
      <c r="K89" s="547">
        <v>6.53582727394625E-2</v>
      </c>
      <c r="L89" s="547">
        <v>2.4353066022701281E-2</v>
      </c>
      <c r="M89" s="652">
        <v>1.7360877464504407E-2</v>
      </c>
      <c r="N89" s="547" t="e">
        <v>#VALUE!</v>
      </c>
      <c r="O89" s="547" t="e">
        <v>#VALUE!</v>
      </c>
      <c r="P89" s="547">
        <v>1.0549149022952278E-2</v>
      </c>
      <c r="Q89" s="547" t="e">
        <v>#VALUE!</v>
      </c>
      <c r="R89" s="547">
        <v>9.9687322835915512E-2</v>
      </c>
    </row>
    <row r="90" spans="1:18" ht="15" customHeight="1">
      <c r="B90" s="648" t="s">
        <v>279</v>
      </c>
      <c r="C90" s="652">
        <v>1.6275177112221515E-2</v>
      </c>
      <c r="D90" s="547">
        <v>2.0678861492704943E-2</v>
      </c>
      <c r="E90" s="547">
        <v>4.1539153748043144E-2</v>
      </c>
      <c r="F90" s="547">
        <v>-7.7465726190015197E-2</v>
      </c>
      <c r="G90" s="547">
        <v>8.883766594100824E-2</v>
      </c>
      <c r="H90" s="652">
        <v>1.1115227862171175E-2</v>
      </c>
      <c r="I90" s="547">
        <v>-1.5211219911820556E-2</v>
      </c>
      <c r="J90" s="547">
        <v>0.7159302531516496</v>
      </c>
      <c r="K90" s="547">
        <v>-0.21981645051334736</v>
      </c>
      <c r="L90" s="547">
        <v>3.3007049161165071E-2</v>
      </c>
      <c r="M90" s="652">
        <v>0.36774264895617026</v>
      </c>
      <c r="N90" s="547" t="e">
        <v>#VALUE!</v>
      </c>
      <c r="O90" s="547" t="e">
        <v>#VALUE!</v>
      </c>
      <c r="P90" s="547">
        <v>3.1334324577344565E-2</v>
      </c>
      <c r="Q90" s="547" t="e">
        <v>#VALUE!</v>
      </c>
      <c r="R90" s="547">
        <v>0.40487385833892803</v>
      </c>
    </row>
    <row r="91" spans="1:18" ht="15" customHeight="1">
      <c r="B91" s="648" t="s">
        <v>280</v>
      </c>
      <c r="C91" s="656">
        <v>-1.108228</v>
      </c>
      <c r="D91" s="555">
        <v>9.9618230000000008</v>
      </c>
      <c r="E91" s="555">
        <v>3.6349580000000001</v>
      </c>
      <c r="F91" s="555">
        <v>14.881312000000001</v>
      </c>
      <c r="G91" s="555">
        <v>1.7512970000000001</v>
      </c>
      <c r="H91" s="656">
        <v>5.9142700000000001</v>
      </c>
      <c r="I91" s="555">
        <v>0.65</v>
      </c>
      <c r="J91" s="555">
        <v>0.23929900000000004</v>
      </c>
      <c r="K91" s="555">
        <v>0.51427200000000006</v>
      </c>
      <c r="L91" s="555">
        <v>0.12738099999999997</v>
      </c>
      <c r="M91" s="656">
        <v>0.92911100000000002</v>
      </c>
      <c r="N91" s="555">
        <v>8.3099999999999987</v>
      </c>
      <c r="O91" s="555">
        <v>18.72</v>
      </c>
      <c r="P91" s="555">
        <v>3.0308079999999995</v>
      </c>
      <c r="Q91" s="555">
        <v>4.3064640000000001</v>
      </c>
      <c r="R91" s="555">
        <v>4.2226970000000001</v>
      </c>
    </row>
  </sheetData>
  <conditionalFormatting sqref="C38:H38">
    <cfRule type="colorScale" priority="1">
      <colorScale>
        <cfvo type="min"/>
        <cfvo type="percentile" val="50"/>
        <cfvo type="max"/>
        <color theme="4" tint="0.79998168889431442"/>
        <color theme="0"/>
        <color rgb="FF8DEB91"/>
      </colorScale>
    </cfRule>
  </conditionalFormatting>
  <conditionalFormatting sqref="C14:R14">
    <cfRule type="colorScale" priority="68">
      <colorScale>
        <cfvo type="min"/>
        <cfvo type="num" val="0"/>
        <cfvo type="max"/>
        <color theme="4" tint="0.79998168889431442"/>
        <color theme="0"/>
        <color rgb="FF8DEB91"/>
      </colorScale>
    </cfRule>
  </conditionalFormatting>
  <conditionalFormatting sqref="C15:R15">
    <cfRule type="colorScale" priority="50">
      <colorScale>
        <cfvo type="min"/>
        <cfvo type="num" val="0"/>
        <cfvo type="max"/>
        <color theme="4" tint="0.79998168889431442"/>
        <color theme="0"/>
        <color rgb="FF8DEB91"/>
      </colorScale>
    </cfRule>
  </conditionalFormatting>
  <conditionalFormatting sqref="C16:R16">
    <cfRule type="colorScale" priority="49">
      <colorScale>
        <cfvo type="min"/>
        <cfvo type="num" val="0"/>
        <cfvo type="max"/>
        <color theme="4" tint="0.79998168889431442"/>
        <color theme="0"/>
        <color rgb="FF8DEB91"/>
      </colorScale>
    </cfRule>
  </conditionalFormatting>
  <conditionalFormatting sqref="C17:R17">
    <cfRule type="colorScale" priority="48">
      <colorScale>
        <cfvo type="min"/>
        <cfvo type="num" val="0"/>
        <cfvo type="max"/>
        <color theme="4" tint="0.79998168889431442"/>
        <color theme="0"/>
        <color rgb="FF8DEB91"/>
      </colorScale>
    </cfRule>
  </conditionalFormatting>
  <conditionalFormatting sqref="C18:R18">
    <cfRule type="colorScale" priority="47">
      <colorScale>
        <cfvo type="min"/>
        <cfvo type="num" val="0"/>
        <cfvo type="max"/>
        <color theme="4" tint="0.79998168889431442"/>
        <color theme="0"/>
        <color rgb="FF8DEB91"/>
      </colorScale>
    </cfRule>
  </conditionalFormatting>
  <conditionalFormatting sqref="C19:R19">
    <cfRule type="colorScale" priority="46">
      <colorScale>
        <cfvo type="min"/>
        <cfvo type="num" val="0"/>
        <cfvo type="max"/>
        <color theme="4" tint="0.79998168889431442"/>
        <color theme="0"/>
        <color rgb="FF8DEB91"/>
      </colorScale>
    </cfRule>
  </conditionalFormatting>
  <conditionalFormatting sqref="C23:R23">
    <cfRule type="colorScale" priority="62">
      <colorScale>
        <cfvo type="min"/>
        <cfvo type="percentile" val="50"/>
        <cfvo type="max"/>
        <color theme="4" tint="0.79998168889431442"/>
        <color theme="0"/>
        <color rgb="FF8DEB91"/>
      </colorScale>
    </cfRule>
  </conditionalFormatting>
  <conditionalFormatting sqref="C24:R24">
    <cfRule type="colorScale" priority="45">
      <colorScale>
        <cfvo type="min"/>
        <cfvo type="percentile" val="50"/>
        <cfvo type="max"/>
        <color theme="4" tint="0.79998168889431442"/>
        <color theme="0"/>
        <color rgb="FF8DEB91"/>
      </colorScale>
    </cfRule>
  </conditionalFormatting>
  <conditionalFormatting sqref="C25:R25">
    <cfRule type="colorScale" priority="44">
      <colorScale>
        <cfvo type="min"/>
        <cfvo type="percentile" val="50"/>
        <cfvo type="max"/>
        <color theme="4" tint="0.79998168889431442"/>
        <color theme="0"/>
        <color rgb="FF8DEB91"/>
      </colorScale>
    </cfRule>
  </conditionalFormatting>
  <conditionalFormatting sqref="C26:R26">
    <cfRule type="colorScale" priority="43">
      <colorScale>
        <cfvo type="min"/>
        <cfvo type="percentile" val="50"/>
        <cfvo type="max"/>
        <color theme="4" tint="0.79998168889431442"/>
        <color theme="0"/>
        <color rgb="FF8DEB91"/>
      </colorScale>
    </cfRule>
  </conditionalFormatting>
  <conditionalFormatting sqref="C27:R27">
    <cfRule type="colorScale" priority="42">
      <colorScale>
        <cfvo type="min"/>
        <cfvo type="percentile" val="50"/>
        <cfvo type="max"/>
        <color theme="4" tint="0.79998168889431442"/>
        <color theme="0"/>
        <color rgb="FF8DEB91"/>
      </colorScale>
    </cfRule>
  </conditionalFormatting>
  <conditionalFormatting sqref="C28:R28">
    <cfRule type="colorScale" priority="41">
      <colorScale>
        <cfvo type="min"/>
        <cfvo type="percentile" val="50"/>
        <cfvo type="max"/>
        <color theme="4" tint="0.79998168889431442"/>
        <color theme="0"/>
        <color rgb="FF8DEB91"/>
      </colorScale>
    </cfRule>
  </conditionalFormatting>
  <conditionalFormatting sqref="C32:R32">
    <cfRule type="colorScale" priority="40">
      <colorScale>
        <cfvo type="min"/>
        <cfvo type="percentile" val="50"/>
        <cfvo type="max"/>
        <color theme="4" tint="0.79998168889431442"/>
        <color theme="0"/>
        <color rgb="FF8DEB91"/>
      </colorScale>
    </cfRule>
  </conditionalFormatting>
  <conditionalFormatting sqref="C33:R33">
    <cfRule type="colorScale" priority="39">
      <colorScale>
        <cfvo type="min"/>
        <cfvo type="percentile" val="50"/>
        <cfvo type="max"/>
        <color theme="4" tint="0.79998168889431442"/>
        <color theme="0"/>
        <color rgb="FF8DEB91"/>
      </colorScale>
    </cfRule>
  </conditionalFormatting>
  <conditionalFormatting sqref="C34:R34">
    <cfRule type="colorScale" priority="38">
      <colorScale>
        <cfvo type="min"/>
        <cfvo type="percentile" val="50"/>
        <cfvo type="max"/>
        <color theme="4" tint="0.79998168889431442"/>
        <color theme="0"/>
        <color rgb="FF8DEB91"/>
      </colorScale>
    </cfRule>
  </conditionalFormatting>
  <conditionalFormatting sqref="C35:R35">
    <cfRule type="colorScale" priority="37">
      <colorScale>
        <cfvo type="min"/>
        <cfvo type="percentile" val="50"/>
        <cfvo type="max"/>
        <color theme="4" tint="0.79998168889431442"/>
        <color theme="0"/>
        <color rgb="FF8DEB91"/>
      </colorScale>
    </cfRule>
  </conditionalFormatting>
  <conditionalFormatting sqref="C36:R36">
    <cfRule type="colorScale" priority="36">
      <colorScale>
        <cfvo type="min"/>
        <cfvo type="percentile" val="50"/>
        <cfvo type="max"/>
        <color theme="4" tint="0.79998168889431442"/>
        <color theme="0"/>
        <color rgb="FF8DEB91"/>
      </colorScale>
    </cfRule>
  </conditionalFormatting>
  <conditionalFormatting sqref="C37:R37">
    <cfRule type="colorScale" priority="35">
      <colorScale>
        <cfvo type="min"/>
        <cfvo type="percentile" val="50"/>
        <cfvo type="max"/>
        <color theme="4" tint="0.79998168889431442"/>
        <color theme="0"/>
        <color rgb="FF8DEB91"/>
      </colorScale>
    </cfRule>
  </conditionalFormatting>
  <conditionalFormatting sqref="C41:R41">
    <cfRule type="colorScale" priority="34">
      <colorScale>
        <cfvo type="min"/>
        <cfvo type="percentile" val="50"/>
        <cfvo type="max"/>
        <color theme="4" tint="0.79998168889431442"/>
        <color theme="0" tint="-4.9989318521683403E-2"/>
        <color rgb="FF8DEB91"/>
      </colorScale>
    </cfRule>
  </conditionalFormatting>
  <conditionalFormatting sqref="C42:R42">
    <cfRule type="colorScale" priority="33">
      <colorScale>
        <cfvo type="min"/>
        <cfvo type="percentile" val="50"/>
        <cfvo type="max"/>
        <color theme="4" tint="0.79998168889431442"/>
        <color theme="0" tint="-4.9989318521683403E-2"/>
        <color rgb="FF8DEB91"/>
      </colorScale>
    </cfRule>
  </conditionalFormatting>
  <conditionalFormatting sqref="C43:R43">
    <cfRule type="colorScale" priority="32">
      <colorScale>
        <cfvo type="min"/>
        <cfvo type="percentile" val="50"/>
        <cfvo type="max"/>
        <color theme="4" tint="0.79998168889431442"/>
        <color theme="0" tint="-4.9989318521683403E-2"/>
        <color rgb="FF8DEB91"/>
      </colorScale>
    </cfRule>
  </conditionalFormatting>
  <conditionalFormatting sqref="C44:R44">
    <cfRule type="colorScale" priority="31">
      <colorScale>
        <cfvo type="min"/>
        <cfvo type="percentile" val="50"/>
        <cfvo type="max"/>
        <color theme="4" tint="0.79998168889431442"/>
        <color theme="0"/>
        <color rgb="FF8DEB91"/>
      </colorScale>
    </cfRule>
  </conditionalFormatting>
  <conditionalFormatting sqref="C45:R45">
    <cfRule type="colorScale" priority="30">
      <colorScale>
        <cfvo type="min"/>
        <cfvo type="percentile" val="50"/>
        <cfvo type="max"/>
        <color theme="4" tint="0.79998168889431442"/>
        <color theme="0"/>
        <color rgb="FF8DEB91"/>
      </colorScale>
    </cfRule>
  </conditionalFormatting>
  <conditionalFormatting sqref="C49:R49">
    <cfRule type="colorScale" priority="29">
      <colorScale>
        <cfvo type="min"/>
        <cfvo type="percentile" val="50"/>
        <cfvo type="max"/>
        <color theme="4" tint="0.79998168889431442"/>
        <color theme="0"/>
        <color rgb="FF8DEB91"/>
      </colorScale>
    </cfRule>
  </conditionalFormatting>
  <conditionalFormatting sqref="C50:R50">
    <cfRule type="colorScale" priority="28">
      <colorScale>
        <cfvo type="min"/>
        <cfvo type="percentile" val="50"/>
        <cfvo type="max"/>
        <color theme="4" tint="0.79998168889431442"/>
        <color theme="0"/>
        <color rgb="FF8DEB91"/>
      </colorScale>
    </cfRule>
  </conditionalFormatting>
  <conditionalFormatting sqref="C51:R51">
    <cfRule type="colorScale" priority="27">
      <colorScale>
        <cfvo type="min"/>
        <cfvo type="percentile" val="50"/>
        <cfvo type="max"/>
        <color theme="4" tint="0.79998168889431442"/>
        <color theme="0"/>
        <color rgb="FF8DEB91"/>
      </colorScale>
    </cfRule>
  </conditionalFormatting>
  <conditionalFormatting sqref="C52:R52">
    <cfRule type="colorScale" priority="26">
      <colorScale>
        <cfvo type="min"/>
        <cfvo type="percentile" val="50"/>
        <cfvo type="max"/>
        <color theme="4" tint="0.79998168889431442"/>
        <color theme="0"/>
        <color rgb="FF8DEB91"/>
      </colorScale>
    </cfRule>
  </conditionalFormatting>
  <conditionalFormatting sqref="C53:R53">
    <cfRule type="colorScale" priority="25">
      <colorScale>
        <cfvo type="min"/>
        <cfvo type="percentile" val="50"/>
        <cfvo type="max"/>
        <color theme="4" tint="0.79998168889431442"/>
        <color theme="0"/>
        <color rgb="FF8DEB91"/>
      </colorScale>
    </cfRule>
  </conditionalFormatting>
  <conditionalFormatting sqref="C54:R54">
    <cfRule type="colorScale" priority="24">
      <colorScale>
        <cfvo type="min"/>
        <cfvo type="percentile" val="50"/>
        <cfvo type="max"/>
        <color theme="4" tint="0.79998168889431442"/>
        <color theme="0" tint="-4.9989318521683403E-2"/>
        <color rgb="FF8DEB91"/>
      </colorScale>
    </cfRule>
  </conditionalFormatting>
  <conditionalFormatting sqref="C55:R55">
    <cfRule type="colorScale" priority="23">
      <colorScale>
        <cfvo type="min"/>
        <cfvo type="percentile" val="50"/>
        <cfvo type="max"/>
        <color theme="4" tint="0.79998168889431442"/>
        <color theme="0"/>
        <color rgb="FF8DEB91"/>
      </colorScale>
    </cfRule>
  </conditionalFormatting>
  <conditionalFormatting sqref="C59:R59">
    <cfRule type="colorScale" priority="22">
      <colorScale>
        <cfvo type="min"/>
        <cfvo type="percentile" val="50"/>
        <cfvo type="max"/>
        <color theme="4" tint="0.79998168889431442"/>
        <color theme="0" tint="-4.9989318521683403E-2"/>
        <color rgb="FF8DEB91"/>
      </colorScale>
    </cfRule>
  </conditionalFormatting>
  <conditionalFormatting sqref="C60:R60">
    <cfRule type="colorScale" priority="21">
      <colorScale>
        <cfvo type="min"/>
        <cfvo type="percentile" val="50"/>
        <cfvo type="max"/>
        <color theme="4" tint="0.79998168889431442"/>
        <color theme="0" tint="-4.9989318521683403E-2"/>
        <color rgb="FF8DEB91"/>
      </colorScale>
    </cfRule>
  </conditionalFormatting>
  <conditionalFormatting sqref="C61:R61">
    <cfRule type="colorScale" priority="20">
      <colorScale>
        <cfvo type="min"/>
        <cfvo type="percentile" val="50"/>
        <cfvo type="max"/>
        <color theme="4" tint="0.79998168889431442"/>
        <color theme="0" tint="-4.9989318521683403E-2"/>
        <color rgb="FF8DEB91"/>
      </colorScale>
    </cfRule>
  </conditionalFormatting>
  <conditionalFormatting sqref="C62:R62">
    <cfRule type="colorScale" priority="19">
      <colorScale>
        <cfvo type="min"/>
        <cfvo type="percentile" val="50"/>
        <cfvo type="max"/>
        <color theme="4" tint="0.79998168889431442"/>
        <color theme="0"/>
        <color rgb="FF8DEB91"/>
      </colorScale>
    </cfRule>
  </conditionalFormatting>
  <conditionalFormatting sqref="C63:R63">
    <cfRule type="colorScale" priority="18">
      <colorScale>
        <cfvo type="min"/>
        <cfvo type="percentile" val="50"/>
        <cfvo type="max"/>
        <color theme="4" tint="0.79998168889431442"/>
        <color theme="0"/>
        <color rgb="FF8DEB91"/>
      </colorScale>
    </cfRule>
  </conditionalFormatting>
  <conditionalFormatting sqref="C67:R67">
    <cfRule type="colorScale" priority="17">
      <colorScale>
        <cfvo type="min"/>
        <cfvo type="percentile" val="50"/>
        <cfvo type="max"/>
        <color theme="4" tint="0.79998168889431442"/>
        <color theme="0" tint="-4.9989318521683403E-2"/>
        <color rgb="FF8DEB91"/>
      </colorScale>
    </cfRule>
  </conditionalFormatting>
  <conditionalFormatting sqref="C68:R68">
    <cfRule type="colorScale" priority="16">
      <colorScale>
        <cfvo type="min"/>
        <cfvo type="percentile" val="50"/>
        <cfvo type="max"/>
        <color theme="4" tint="0.79998168889431442"/>
        <color theme="0" tint="-4.9989318521683403E-2"/>
        <color rgb="FF8DEB91"/>
      </colorScale>
    </cfRule>
  </conditionalFormatting>
  <conditionalFormatting sqref="C69:R69">
    <cfRule type="colorScale" priority="15">
      <colorScale>
        <cfvo type="min"/>
        <cfvo type="percentile" val="50"/>
        <cfvo type="max"/>
        <color theme="4" tint="0.79998168889431442"/>
        <color theme="0" tint="-4.9989318521683403E-2"/>
        <color rgb="FF8DEB91"/>
      </colorScale>
    </cfRule>
  </conditionalFormatting>
  <conditionalFormatting sqref="C73:R73">
    <cfRule type="colorScale" priority="14">
      <colorScale>
        <cfvo type="min"/>
        <cfvo type="percentile" val="50"/>
        <cfvo type="max"/>
        <color theme="4" tint="0.79998168889431442"/>
        <color theme="0"/>
        <color rgb="FF8DEB91"/>
      </colorScale>
    </cfRule>
  </conditionalFormatting>
  <conditionalFormatting sqref="C74:R74">
    <cfRule type="colorScale" priority="13">
      <colorScale>
        <cfvo type="min"/>
        <cfvo type="percentile" val="50"/>
        <cfvo type="max"/>
        <color theme="4" tint="0.79998168889431442"/>
        <color theme="0"/>
        <color rgb="FF8DEB91"/>
      </colorScale>
    </cfRule>
  </conditionalFormatting>
  <conditionalFormatting sqref="C75:R75">
    <cfRule type="colorScale" priority="12">
      <colorScale>
        <cfvo type="min"/>
        <cfvo type="percentile" val="50"/>
        <cfvo type="max"/>
        <color theme="4" tint="0.79998168889431442"/>
        <color theme="0"/>
        <color rgb="FF8DEB91"/>
      </colorScale>
    </cfRule>
  </conditionalFormatting>
  <conditionalFormatting sqref="C76:R76">
    <cfRule type="colorScale" priority="11">
      <colorScale>
        <cfvo type="min"/>
        <cfvo type="percentile" val="50"/>
        <cfvo type="max"/>
        <color theme="4" tint="0.79998168889431442"/>
        <color theme="0" tint="-4.9989318521683403E-2"/>
        <color rgb="FF8DEB91"/>
      </colorScale>
    </cfRule>
  </conditionalFormatting>
  <conditionalFormatting sqref="C77:R77">
    <cfRule type="colorScale" priority="10">
      <colorScale>
        <cfvo type="min"/>
        <cfvo type="percentile" val="50"/>
        <cfvo type="max"/>
        <color theme="4" tint="0.79998168889431442"/>
        <color theme="0"/>
        <color rgb="FF8DEB91"/>
      </colorScale>
    </cfRule>
  </conditionalFormatting>
  <conditionalFormatting sqref="C78:R78">
    <cfRule type="colorScale" priority="8">
      <colorScale>
        <cfvo type="min"/>
        <cfvo type="percentile" val="50"/>
        <cfvo type="max"/>
        <color theme="4" tint="0.79998168889431442"/>
        <color theme="0"/>
        <color rgb="FF8DEB91"/>
      </colorScale>
    </cfRule>
  </conditionalFormatting>
  <conditionalFormatting sqref="C79:R79">
    <cfRule type="colorScale" priority="9">
      <colorScale>
        <cfvo type="min"/>
        <cfvo type="percentile" val="50"/>
        <cfvo type="max"/>
        <color theme="4" tint="0.79998168889431442"/>
        <color theme="0"/>
        <color rgb="FF8DEB91"/>
      </colorScale>
    </cfRule>
  </conditionalFormatting>
  <conditionalFormatting sqref="C83:R83">
    <cfRule type="colorScale" priority="7">
      <colorScale>
        <cfvo type="min"/>
        <cfvo type="percentile" val="50"/>
        <cfvo type="max"/>
        <color theme="4" tint="0.79998168889431442"/>
        <color theme="0" tint="-4.9989318521683403E-2"/>
        <color rgb="FF8DEB91"/>
      </colorScale>
    </cfRule>
  </conditionalFormatting>
  <conditionalFormatting sqref="C84:R84">
    <cfRule type="colorScale" priority="6">
      <colorScale>
        <cfvo type="min"/>
        <cfvo type="percentile" val="50"/>
        <cfvo type="max"/>
        <color theme="4" tint="0.79998168889431442"/>
        <color theme="0" tint="-4.9989318521683403E-2"/>
        <color rgb="FF8DEB91"/>
      </colorScale>
    </cfRule>
  </conditionalFormatting>
  <conditionalFormatting sqref="C88:R88">
    <cfRule type="colorScale" priority="5">
      <colorScale>
        <cfvo type="min"/>
        <cfvo type="percentile" val="50"/>
        <cfvo type="max"/>
        <color theme="4" tint="0.79998168889431442"/>
        <color theme="0"/>
        <color rgb="FF8DEB91"/>
      </colorScale>
    </cfRule>
  </conditionalFormatting>
  <conditionalFormatting sqref="C89:R89">
    <cfRule type="colorScale" priority="4">
      <colorScale>
        <cfvo type="min"/>
        <cfvo type="percentile" val="50"/>
        <cfvo type="max"/>
        <color theme="4" tint="0.79998168889431442"/>
        <color theme="0"/>
        <color rgb="FF8DEB91"/>
      </colorScale>
    </cfRule>
  </conditionalFormatting>
  <conditionalFormatting sqref="C90:R90">
    <cfRule type="colorScale" priority="3">
      <colorScale>
        <cfvo type="min"/>
        <cfvo type="percentile" val="50"/>
        <cfvo type="max"/>
        <color theme="4" tint="0.79998168889431442"/>
        <color theme="0"/>
        <color rgb="FF8DEB91"/>
      </colorScale>
    </cfRule>
  </conditionalFormatting>
  <conditionalFormatting sqref="C91:R91">
    <cfRule type="colorScale" priority="2">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B1:AA55"/>
  <sheetViews>
    <sheetView showGridLines="0" topLeftCell="A3" zoomScale="93" zoomScaleNormal="85" workbookViewId="0">
      <selection activeCell="I7" sqref="I7:Q7"/>
    </sheetView>
  </sheetViews>
  <sheetFormatPr baseColWidth="10" defaultColWidth="9" defaultRowHeight="15" customHeight="1"/>
  <cols>
    <col min="1" max="1" width="2.1640625" style="535" customWidth="1"/>
    <col min="2" max="2" width="28.1640625" style="535" customWidth="1"/>
    <col min="3" max="4" width="10.6640625" style="535" customWidth="1"/>
    <col min="5" max="5" width="8.6640625" style="535" customWidth="1"/>
    <col min="6" max="7" width="11.6640625" style="535" customWidth="1"/>
    <col min="8" max="8" width="1.6640625" style="535" customWidth="1"/>
    <col min="9" max="17" width="9.6640625" style="535" customWidth="1"/>
    <col min="18" max="18" width="1.6640625" style="535" customWidth="1"/>
    <col min="19" max="20" width="8.6640625" style="535" customWidth="1"/>
    <col min="21" max="21" width="1.6640625" style="535" customWidth="1"/>
    <col min="22" max="24" width="9.6640625" style="535" customWidth="1"/>
    <col min="25" max="25" width="1.6640625" style="535" customWidth="1"/>
    <col min="26" max="26" width="8.6640625" style="535" customWidth="1"/>
    <col min="27" max="16384" width="9" style="535"/>
  </cols>
  <sheetData>
    <row r="1" spans="2:27" s="546" customFormat="1" ht="15" customHeight="1"/>
    <row r="2" spans="2:27" s="546" customFormat="1" ht="15" customHeight="1"/>
    <row r="3" spans="2:27" s="546" customFormat="1" ht="15" customHeight="1"/>
    <row r="4" spans="2:27" s="546" customFormat="1" ht="15" customHeight="1"/>
    <row r="5" spans="2:27" s="533" customFormat="1" ht="4" customHeight="1">
      <c r="B5" s="36"/>
      <c r="C5" s="36"/>
      <c r="D5" s="36"/>
      <c r="E5" s="36"/>
      <c r="F5" s="36"/>
      <c r="G5" s="36"/>
      <c r="H5" s="36"/>
      <c r="I5" s="36"/>
      <c r="J5" s="36"/>
      <c r="K5" s="36"/>
      <c r="L5" s="36"/>
      <c r="M5" s="36"/>
      <c r="N5" s="36"/>
      <c r="O5" s="36"/>
      <c r="P5" s="36"/>
      <c r="Q5" s="36"/>
      <c r="R5" s="36"/>
      <c r="S5" s="36"/>
      <c r="T5" s="36"/>
      <c r="U5" s="36"/>
      <c r="V5" s="36"/>
      <c r="W5" s="36"/>
      <c r="X5" s="36"/>
      <c r="Y5" s="36"/>
      <c r="Z5" s="36"/>
      <c r="AA5" s="36"/>
    </row>
    <row r="7" spans="2:27" s="534" customFormat="1" ht="15" customHeight="1">
      <c r="B7" s="579" t="str">
        <f>"in "&amp;IF(Inputs!$R$18="k","thousands",IF(Inputs!$R$18="MLN","millions","billions")&amp;" of "&amp;Inputs!$R$17)</f>
        <v>in millions of usd</v>
      </c>
      <c r="C7" s="355"/>
      <c r="D7" s="580" t="s">
        <v>281</v>
      </c>
      <c r="E7" s="580" t="s">
        <v>282</v>
      </c>
      <c r="F7" s="580"/>
      <c r="G7" s="580"/>
      <c r="H7" s="580"/>
      <c r="I7" s="824" t="s">
        <v>283</v>
      </c>
      <c r="J7" s="824"/>
      <c r="K7" s="824"/>
      <c r="L7" s="824"/>
      <c r="M7" s="824"/>
      <c r="N7" s="824"/>
      <c r="O7" s="824"/>
      <c r="P7" s="824"/>
      <c r="Q7" s="824"/>
      <c r="R7" s="580"/>
      <c r="S7" s="580" t="s">
        <v>284</v>
      </c>
      <c r="T7" s="580" t="s">
        <v>285</v>
      </c>
      <c r="U7" s="580"/>
      <c r="V7" s="824" t="s">
        <v>286</v>
      </c>
      <c r="W7" s="824"/>
      <c r="X7" s="824"/>
      <c r="Y7" s="580"/>
      <c r="Z7" s="580" t="s">
        <v>287</v>
      </c>
      <c r="AA7" s="322"/>
    </row>
    <row r="8" spans="2:27" s="534" customFormat="1" ht="15" customHeight="1">
      <c r="B8" s="355"/>
      <c r="C8" s="355"/>
      <c r="D8" s="580" t="s">
        <v>288</v>
      </c>
      <c r="E8" s="580" t="s">
        <v>289</v>
      </c>
      <c r="F8" s="580" t="s">
        <v>290</v>
      </c>
      <c r="G8" s="580" t="s">
        <v>291</v>
      </c>
      <c r="H8" s="580"/>
      <c r="I8" s="580" t="s">
        <v>284</v>
      </c>
      <c r="J8" s="499">
        <v>2025</v>
      </c>
      <c r="K8" s="499">
        <v>2026</v>
      </c>
      <c r="L8" s="580" t="s">
        <v>284</v>
      </c>
      <c r="M8" s="580" t="s">
        <v>292</v>
      </c>
      <c r="N8" s="580" t="s">
        <v>293</v>
      </c>
      <c r="O8" s="580" t="s">
        <v>284</v>
      </c>
      <c r="P8" s="580" t="s">
        <v>292</v>
      </c>
      <c r="Q8" s="580" t="s">
        <v>293</v>
      </c>
      <c r="R8" s="580"/>
      <c r="S8" s="580" t="s">
        <v>294</v>
      </c>
      <c r="T8" s="580" t="s">
        <v>295</v>
      </c>
      <c r="U8" s="580"/>
      <c r="V8" s="580" t="s">
        <v>284</v>
      </c>
      <c r="W8" s="580" t="s">
        <v>292</v>
      </c>
      <c r="X8" s="580" t="s">
        <v>293</v>
      </c>
      <c r="Y8" s="580"/>
      <c r="Z8" s="580" t="s">
        <v>296</v>
      </c>
      <c r="AA8" s="322"/>
    </row>
    <row r="9" spans="2:27" s="534" customFormat="1" ht="15" customHeight="1">
      <c r="B9" s="355" t="s">
        <v>297</v>
      </c>
      <c r="C9" s="355" t="s">
        <v>13</v>
      </c>
      <c r="D9" s="580" t="s">
        <v>298</v>
      </c>
      <c r="E9" s="580" t="s">
        <v>299</v>
      </c>
      <c r="F9" s="580" t="s">
        <v>300</v>
      </c>
      <c r="G9" s="580" t="s">
        <v>300</v>
      </c>
      <c r="H9" s="580"/>
      <c r="I9" s="580" t="s">
        <v>301</v>
      </c>
      <c r="J9" s="580" t="s">
        <v>301</v>
      </c>
      <c r="K9" s="580" t="s">
        <v>301</v>
      </c>
      <c r="L9" s="580" t="s">
        <v>294</v>
      </c>
      <c r="M9" s="580" t="s">
        <v>294</v>
      </c>
      <c r="N9" s="580" t="s">
        <v>294</v>
      </c>
      <c r="O9" s="580" t="s">
        <v>302</v>
      </c>
      <c r="P9" s="580" t="s">
        <v>302</v>
      </c>
      <c r="Q9" s="580" t="s">
        <v>302</v>
      </c>
      <c r="R9" s="580"/>
      <c r="S9" s="580" t="s">
        <v>303</v>
      </c>
      <c r="T9" s="580" t="s">
        <v>294</v>
      </c>
      <c r="U9" s="580"/>
      <c r="V9" s="580" t="s">
        <v>296</v>
      </c>
      <c r="W9" s="580" t="s">
        <v>296</v>
      </c>
      <c r="X9" s="580" t="s">
        <v>296</v>
      </c>
      <c r="Y9" s="580"/>
      <c r="Z9" s="580" t="s">
        <v>202</v>
      </c>
      <c r="AA9" s="322"/>
    </row>
    <row r="10" spans="2:27" ht="4" customHeight="1">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23"/>
    </row>
    <row r="11" spans="2:27" ht="4" customHeight="1">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spans="2:27" s="536" customFormat="1" ht="15" customHeight="1">
      <c r="B12" s="355" t="s">
        <v>304</v>
      </c>
      <c r="C12" s="32"/>
      <c r="D12" s="32"/>
      <c r="E12" s="32"/>
      <c r="F12" s="32"/>
      <c r="G12" s="32"/>
      <c r="H12" s="32"/>
      <c r="I12" s="32"/>
      <c r="J12" s="32"/>
      <c r="K12" s="32"/>
      <c r="L12" s="32"/>
      <c r="M12" s="32"/>
      <c r="N12" s="32"/>
      <c r="O12" s="32"/>
      <c r="P12" s="32"/>
      <c r="Q12" s="32"/>
      <c r="R12" s="32"/>
      <c r="S12" s="32"/>
      <c r="T12" s="32"/>
      <c r="U12" s="32"/>
      <c r="V12" s="32"/>
      <c r="W12" s="32"/>
      <c r="X12" s="32"/>
      <c r="Y12" s="32"/>
      <c r="Z12" s="32"/>
      <c r="AA12" s="390"/>
    </row>
    <row r="13" spans="2:27" ht="4" customHeight="1">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23"/>
    </row>
    <row r="14" spans="2:27" ht="4" customHeight="1">
      <c r="B14" s="23"/>
      <c r="C14" s="23"/>
      <c r="D14" s="23"/>
      <c r="E14" s="23"/>
      <c r="F14" s="23"/>
      <c r="G14" s="23"/>
      <c r="H14" s="23"/>
      <c r="I14" s="23"/>
      <c r="J14" s="23"/>
      <c r="K14" s="23"/>
      <c r="L14" s="23"/>
      <c r="M14" s="23"/>
      <c r="N14" s="777" t="e">
        <f ca="1">G14/_xll.BQL(Inputs!$E20, "ebitda(fpr = 2026, fpt = a, ae = e, fa_adjusted = y, fs = mr)/1"&amp;IF(Inputs!$R$18="BLN","b",IF(Inputs!$R$18="MLN","m","k")))</f>
        <v>#NAME?</v>
      </c>
      <c r="O14" s="23"/>
      <c r="P14" s="23"/>
      <c r="Q14" s="777" t="e">
        <f ca="1">G14/_xll.BQL(Inputs!$E20, "is_oper_inc(fpr = 2026, fpt = a, ae = e, fa_adjusted = y, fs = mr)/1"&amp;IF(Inputs!$R$18="BLN","b",IF(Inputs!$R$18="MLN","m","k")))</f>
        <v>#NAME?</v>
      </c>
      <c r="R14" s="23"/>
      <c r="S14" s="23"/>
      <c r="T14" s="23"/>
      <c r="U14" s="23"/>
      <c r="V14" s="23"/>
      <c r="W14" s="23"/>
      <c r="X14" s="23"/>
      <c r="Y14" s="23"/>
      <c r="Z14" s="23"/>
      <c r="AA14" s="23"/>
    </row>
    <row r="15" spans="2:27" ht="15" customHeight="1">
      <c r="B15" s="23" t="str">
        <f>+Inputs!B21</f>
        <v>ENOVA INTERNATIO</v>
      </c>
      <c r="C15" s="23" t="str">
        <f>+_xll.BDP(Inputs!E21,"TICKER_AND_EXCH_CODE")</f>
        <v>ENVA US</v>
      </c>
      <c r="D15" s="581" t="str">
        <f>CONCATENATE(_xll.BDP(Inputs!E21,"CRNCY")," ",_xll.BDP(Inputs!E21,"PX_YEST_CLOSE"))</f>
        <v>USD 125,34</v>
      </c>
      <c r="E15" s="447">
        <f>_xll.BDP(Inputs!E21,"PX_YEST_CLOSE")/_xll.BDP(Inputs!E21,"HIGH_52WEEK")</f>
        <v>0.96166461428686523</v>
      </c>
      <c r="F15" s="582">
        <f>_xll.BDP(Inputs!$E21, "CUR_MKT_CAP", "SCALING_FORMAT=" &amp; Inputs!$R$18)</f>
        <v>3119.9482825549999</v>
      </c>
      <c r="G15" s="582">
        <f>_xll.BDP(Inputs!$E21, "ENTERPRISE_VALUE", "SCALING_FORMAT=" &amp; Inputs!$R$18)</f>
        <v>6736.4175225600002</v>
      </c>
      <c r="H15" s="23"/>
      <c r="I15" s="583" t="e">
        <f ca="1">G15/_xll.BQL(Inputs!$E21, "sales_rev_turn(fpt = ltm, fa_adjusted = y, fs = mr)/1"&amp;IF(Inputs!$R$18="BLN","b",IF(Inputs!$R$18="MLN","m","k")))</f>
        <v>#NAME?</v>
      </c>
      <c r="J15" s="583" t="e">
        <f ca="1">G15/_xll.BQL(Inputs!$E21, "sales_rev_turn(fpr = 2025, fpt = a, ae = e, fa_adjusted = y, fs = mr)/1"&amp;IF(Inputs!$R$18="BLN","b",IF(Inputs!$R$18="MLN","m","k")))</f>
        <v>#NAME?</v>
      </c>
      <c r="K15" s="584" t="e">
        <f ca="1">G15/_xll.BQL(Inputs!$E21, "sales_rev_turn(fpr = 2026, fpt = a, ae = e, fa_adjusted = y, fs = mr)/1"&amp;IF(Inputs!$R$18="BLN","b",IF(Inputs!$R$18="MLN","m","k")))</f>
        <v>#NAME?</v>
      </c>
      <c r="L15" s="583" t="e">
        <f ca="1">G15/_xll.BQL(Inputs!$E21, "ebitda(fpt = ltm, fa_adjusted = y, fs = mr)/1"&amp;IF(Inputs!$R$18="BLN","b",IF(Inputs!$R$18="MLN","m","k")))</f>
        <v>#NAME?</v>
      </c>
      <c r="M15" s="583" t="e">
        <f ca="1">G15/_xll.BQL(Inputs!$E21, "ebitda(fpr = 2025, fpt = a, ae = e, fa_adjusted = y, fs = mr)/1"&amp;IF(Inputs!$R$18="BLN","b",IF(Inputs!$R$18="MLN","m","k")))</f>
        <v>#NAME?</v>
      </c>
      <c r="N15" s="584" t="e">
        <f ca="1">G15/_xll.BQL(Inputs!$E21, "ebitda(fpr = 2026, fpt = a, ae = e, fa_adjusted = y, fs = mr)/1"&amp;IF(Inputs!$R$18="BLN","b",IF(Inputs!$R$18="MLN","m","k")))</f>
        <v>#NAME?</v>
      </c>
      <c r="O15" s="583" t="e">
        <f ca="1">G15/_xll.BQL(Inputs!$E21, "is_oper_inc(fpt = ltm, fa_adjusted = y, fs = mr)/1"&amp;IF(Inputs!$R$18="BLN","b",IF(Inputs!$R$18="MLN","m","k")))</f>
        <v>#NAME?</v>
      </c>
      <c r="P15" s="583" t="e">
        <f ca="1">G15/_xll.BQL(Inputs!$E21, "is_oper_inc(fpr = 2025, fpt = a, ae = e, fa_adjusted = y, fs = mr)/1"&amp;IF(Inputs!$R$18="BLN","b",IF(Inputs!$R$18="MLN","m","k")))</f>
        <v>#NAME?</v>
      </c>
      <c r="Q15" s="584" t="e">
        <f ca="1">G15/_xll.BQL(Inputs!$E21, "is_oper_inc(fpr = 2026, fpt = a, ae = e, fa_adjusted = y, fs = mr)/1"&amp;IF(Inputs!$R$18="BLN","b",IF(Inputs!$R$18="MLN","m","k")))</f>
        <v>#NAME?</v>
      </c>
      <c r="R15" s="23" t="s">
        <v>305</v>
      </c>
      <c r="S15" s="455" t="e">
        <f ca="1">_xll.BQL(Inputs!$E21, "ebitda(fpt = ltm, fa_adjusted = y, fs = mr)/1"&amp;IF(Inputs!$R$18="BLN","b",IF(Inputs!$R$18="MLN","m","k")))/_xll.BQL(Inputs!$E21, "sales_rev_turn(fpt = ltm, fa_adjusted = y, fs = mr)/1"&amp;IF(Inputs!$R$18="BLN","b",IF(Inputs!$R$18="MLN","m","k")))</f>
        <v>#NAME?</v>
      </c>
      <c r="T15" s="583" t="e">
        <f ca="1">_xll.BDP(Inputs!$E21,"TOT_DEBT_TO_EBITDA")</f>
        <v>#NAME?</v>
      </c>
      <c r="U15" s="585"/>
      <c r="V15" s="583" t="e">
        <f ca="1">F15/_xll.BQL(Inputs!$E21, "earn_for_common(fpt = ltm, fa_adjusted = y, fs = mr)/1"&amp;IF(Inputs!$R$18="BLN","b",IF(Inputs!$R$18="MLN","m","k")))</f>
        <v>#NAME?</v>
      </c>
      <c r="W15" s="583" t="e">
        <f ca="1">F15/_xll.BQL(Inputs!$E21, "EARN_FOR_COMMON(fpr = 2025, fpt = a, ae = e, fa_adjusted = y, fs = mr)/1"&amp;IF(Inputs!$R$18="BLN","b",IF(Inputs!$R$18="MLN","m","k")))</f>
        <v>#NAME?</v>
      </c>
      <c r="X15" s="583" t="e">
        <f ca="1">F15/_xll.BQL(Inputs!$E21, "EARN_FOR_COMMON(fpr = 2026, fpt = a, ae = e, fa_adjusted = y, fs = mr)/1"&amp;IF(Inputs!$R$18="BLN","b",IF(Inputs!$R$18="MLN","m","k")))</f>
        <v>#NAME?</v>
      </c>
      <c r="Y15" s="585" t="s">
        <v>306</v>
      </c>
      <c r="Z15" s="455" t="e">
        <f ca="1">(_xll.BQL(Inputs!$E21, "EARN_FOR_COMMON(fpr = 2028, fpt = a, ae = e, fa_adjusted = y, fs = mr)")/_xll.BQL(Inputs!$E21, "EARN_FOR_COMMON(fpr = 2025, fpt = a, ae = e, fa_adjusted = y, fs = mr)"))^(1/3)-1</f>
        <v>#NAME?</v>
      </c>
      <c r="AA15" s="23" t="s">
        <v>307</v>
      </c>
    </row>
    <row r="16" spans="2:27" ht="15" customHeight="1">
      <c r="B16" s="23" t="str">
        <f>+Inputs!B22</f>
        <v>REGIONAL MANAGEM</v>
      </c>
      <c r="C16" s="23" t="str">
        <f>+_xll.BDP(Inputs!E22,"TICKER_AND_EXCH_CODE")</f>
        <v>RM US</v>
      </c>
      <c r="D16" s="581" t="str">
        <f>CONCATENATE(_xll.BDP(Inputs!E22,"CRNCY")," ",_xll.BDP(Inputs!E22,"PX_YEST_CLOSE"))</f>
        <v>USD 43,46</v>
      </c>
      <c r="E16" s="447">
        <f>_xll.BDP(Inputs!E22,"PX_YEST_CLOSE")/_xll.BDP(Inputs!E22,"HIGH_52WEEK")</f>
        <v>0.94478260869565223</v>
      </c>
      <c r="F16" s="582">
        <f>_xll.BDP(Inputs!$E22, "CUR_MKT_CAP", "SCALING_FORMAT=" &amp; Inputs!$R$18)</f>
        <v>422.92768855999998</v>
      </c>
      <c r="G16" s="582">
        <f>_xll.BDP(Inputs!$E22, "ENTERPRISE_VALUE", "SCALING_FORMAT=" &amp; Inputs!$R$18)</f>
        <v>1833.75702</v>
      </c>
      <c r="H16" s="23"/>
      <c r="I16" s="583" t="e">
        <f ca="1">G16/_xll.BQL(Inputs!$E22, "sales_rev_turn(fpt = ltm, fa_adjusted = y, fs = mr)/1"&amp;IF(Inputs!$R$18="BLN","b",IF(Inputs!$R$18="MLN","m","k")))</f>
        <v>#NAME?</v>
      </c>
      <c r="J16" s="583" t="e">
        <f ca="1">G16/_xll.BQL(Inputs!$E22, "sales_rev_turn(fpr = 2025, fpt = a, ae = e, fa_adjusted = y, fs = mr)/1"&amp;IF(Inputs!$R$18="BLN","b",IF(Inputs!$R$18="MLN","m","k")))</f>
        <v>#NAME?</v>
      </c>
      <c r="K16" s="584" t="e">
        <f ca="1">G16/_xll.BQL(Inputs!$E22, "sales_rev_turn(fpr = 2026, fpt = a, ae = e, fa_adjusted = y, fs = mr)/1"&amp;IF(Inputs!$R$18="BLN","b",IF(Inputs!$R$18="MLN","m","k")))</f>
        <v>#NAME?</v>
      </c>
      <c r="L16" s="583" t="e">
        <f ca="1">G16/_xll.BQL(Inputs!$E22, "ebitda(fpt = ltm, fa_adjusted = y, fs = mr)/1"&amp;IF(Inputs!$R$18="BLN","b",IF(Inputs!$R$18="MLN","m","k")))</f>
        <v>#NAME?</v>
      </c>
      <c r="M16" s="583" t="e">
        <f ca="1">G16/_xll.BQL(Inputs!$E22, "ebitda(fpr = 2025, fpt = a, ae = e, fa_adjusted = y, fs = mr)/1"&amp;IF(Inputs!$R$18="BLN","b",IF(Inputs!$R$18="MLN","m","k")))</f>
        <v>#NAME?</v>
      </c>
      <c r="N16" s="584" t="e">
        <f ca="1">G16/_xll.BQL(Inputs!$E22, "ebitda(fpr = 2026, fpt = a, ae = e, fa_adjusted = y, fs = mr)/1"&amp;IF(Inputs!$R$18="BLN","b",IF(Inputs!$R$18="MLN","m","k")))</f>
        <v>#NAME?</v>
      </c>
      <c r="O16" s="583" t="e">
        <f ca="1">G16/_xll.BQL(Inputs!$E22, "is_oper_inc(fpt = ltm, fa_adjusted = y, fs = mr)/1"&amp;IF(Inputs!$R$18="BLN","b",IF(Inputs!$R$18="MLN","m","k")))</f>
        <v>#NAME?</v>
      </c>
      <c r="P16" s="583" t="e">
        <f ca="1">G16/_xll.BQL(Inputs!$E22, "is_oper_inc(fpr = 2025, fpt = a, ae = e, fa_adjusted = y, fs = mr)/1"&amp;IF(Inputs!$R$18="BLN","b",IF(Inputs!$R$18="MLN","m","k")))</f>
        <v>#NAME?</v>
      </c>
      <c r="Q16" s="584" t="e">
        <f ca="1">G16/_xll.BQL(Inputs!$E22, "is_oper_inc(fpr = 2026, fpt = a, ae = e, fa_adjusted = y, fs = mr)/1"&amp;IF(Inputs!$R$18="BLN","b",IF(Inputs!$R$18="MLN","m","k")))</f>
        <v>#NAME?</v>
      </c>
      <c r="R16" s="23" t="e">
        <v>#N/A</v>
      </c>
      <c r="S16" s="455" t="e">
        <f ca="1">_xll.BQL(Inputs!$E22, "ebitda(fpt = ltm, fa_adjusted = y, fs = mr)/1"&amp;IF(Inputs!$R$18="BLN","b",IF(Inputs!$R$18="MLN","m","k")))/_xll.BQL(Inputs!$E22, "sales_rev_turn(fpt = ltm, fa_adjusted = y, fs = mr)/1"&amp;IF(Inputs!$R$18="BLN","b",IF(Inputs!$R$18="MLN","m","k")))</f>
        <v>#NAME?</v>
      </c>
      <c r="T16" s="583" t="e">
        <f ca="1">_xll.BDP(Inputs!$E22,"TOT_DEBT_TO_EBITDA")</f>
        <v>#NAME?</v>
      </c>
      <c r="U16" s="585"/>
      <c r="V16" s="583" t="e">
        <f ca="1">F16/_xll.BQL(Inputs!$E22, "earn_for_common(fpt = ltm, fa_adjusted = y, fs = mr)/1"&amp;IF(Inputs!$R$18="BLN","b",IF(Inputs!$R$18="MLN","m","k")))</f>
        <v>#NAME?</v>
      </c>
      <c r="W16" s="583" t="e">
        <f ca="1">F16/_xll.BQL(Inputs!$E22, "EARN_FOR_COMMON(fpr = 2025, fpt = a, ae = e, fa_adjusted = y, fs = mr)/1"&amp;IF(Inputs!$R$18="BLN","b",IF(Inputs!$R$18="MLN","m","k")))</f>
        <v>#NAME?</v>
      </c>
      <c r="X16" s="583" t="e">
        <f ca="1">F16/_xll.BQL(Inputs!$E22, "EARN_FOR_COMMON(fpr = 2026, fpt = a, ae = e, fa_adjusted = y, fs = mr)/1"&amp;IF(Inputs!$R$18="BLN","b",IF(Inputs!$R$18="MLN","m","k")))</f>
        <v>#NAME?</v>
      </c>
      <c r="Y16" s="585" t="e">
        <v>#N/A</v>
      </c>
      <c r="Z16" s="455" t="e">
        <f ca="1">(_xll.BQL(Inputs!$E22, "EARN_FOR_COMMON(fpr = 2028, fpt = a, ae = e, fa_adjusted = y, fs = mr)")/_xll.BQL(Inputs!$E22, "EARN_FOR_COMMON(fpr = 2025, fpt = a, ae = e, fa_adjusted = y, fs = mr)"))^(1/3)-1</f>
        <v>#NAME?</v>
      </c>
      <c r="AA16" s="23" t="e">
        <v>#N/A</v>
      </c>
    </row>
    <row r="17" spans="2:27" ht="15" customHeight="1">
      <c r="B17" s="23" t="str">
        <f>+Inputs!B23</f>
        <v>WORLD ACCEPTANCE</v>
      </c>
      <c r="C17" s="23" t="str">
        <f>+_xll.BDP(Inputs!E23,"TICKER_AND_EXCH_CODE")</f>
        <v>WRLD US</v>
      </c>
      <c r="D17" s="581" t="str">
        <f>CONCATENATE(_xll.BDP(Inputs!E23,"CRNCY")," ",_xll.BDP(Inputs!E23,"PX_YEST_CLOSE"))</f>
        <v>USD 175,41</v>
      </c>
      <c r="E17" s="447">
        <f>_xll.BDP(Inputs!E23,"PX_YEST_CLOSE")/_xll.BDP(Inputs!E23,"HIGH_52WEEK")</f>
        <v>0.98318479905834877</v>
      </c>
      <c r="F17" s="582">
        <f>_xll.BDP(Inputs!$E23, "CUR_MKT_CAP", "SCALING_FORMAT=" &amp; Inputs!$R$18)</f>
        <v>964.12230751999982</v>
      </c>
      <c r="G17" s="582">
        <f>_xll.BDP(Inputs!$E23, "ENTERPRISE_VALUE", "SCALING_FORMAT=" &amp; Inputs!$R$18)</f>
        <v>1439.4901688</v>
      </c>
      <c r="H17" s="23"/>
      <c r="I17" s="583" t="e">
        <f ca="1">G17/_xll.BQL(Inputs!$E23, "sales_rev_turn(fpt = ltm, fa_adjusted = y, fs = mr)/1"&amp;IF(Inputs!$R$18="BLN","b",IF(Inputs!$R$18="MLN","m","k")))</f>
        <v>#NAME?</v>
      </c>
      <c r="J17" s="583" t="e">
        <f ca="1">G17/_xll.BQL(Inputs!$E23, "sales_rev_turn(fpr = 2025, fpt = a, ae = e, fa_adjusted = y, fs = mr)/1"&amp;IF(Inputs!$R$18="BLN","b",IF(Inputs!$R$18="MLN","m","k")))</f>
        <v>#NAME?</v>
      </c>
      <c r="K17" s="584" t="e">
        <f ca="1">G17/_xll.BQL(Inputs!$E23, "sales_rev_turn(fpr = 2026, fpt = a, ae = e, fa_adjusted = y, fs = mr)/1"&amp;IF(Inputs!$R$18="BLN","b",IF(Inputs!$R$18="MLN","m","k")))</f>
        <v>#NAME?</v>
      </c>
      <c r="L17" s="583" t="e">
        <f ca="1">G17/_xll.BQL(Inputs!$E23, "ebitda(fpt = ltm, fa_adjusted = y, fs = mr)/1"&amp;IF(Inputs!$R$18="BLN","b",IF(Inputs!$R$18="MLN","m","k")))</f>
        <v>#NAME?</v>
      </c>
      <c r="M17" s="583" t="e">
        <f ca="1">G17/_xll.BQL(Inputs!$E23, "ebitda(fpr = 2025, fpt = a, ae = e, fa_adjusted = y, fs = mr)/1"&amp;IF(Inputs!$R$18="BLN","b",IF(Inputs!$R$18="MLN","m","k")))</f>
        <v>#NAME?</v>
      </c>
      <c r="N17" s="584" t="e">
        <f ca="1">G17/_xll.BQL(Inputs!$E23, "ebitda(fpr = 2026, fpt = a, ae = e, fa_adjusted = y, fs = mr)/1"&amp;IF(Inputs!$R$18="BLN","b",IF(Inputs!$R$18="MLN","m","k")))</f>
        <v>#NAME?</v>
      </c>
      <c r="O17" s="583" t="e">
        <f ca="1">G17/_xll.BQL(Inputs!$E23, "is_oper_inc(fpt = ltm, fa_adjusted = y, fs = mr)/1"&amp;IF(Inputs!$R$18="BLN","b",IF(Inputs!$R$18="MLN","m","k")))</f>
        <v>#NAME?</v>
      </c>
      <c r="P17" s="583" t="e">
        <f ca="1">G17/_xll.BQL(Inputs!$E23, "is_oper_inc(fpr = 2025, fpt = a, ae = e, fa_adjusted = y, fs = mr)/1"&amp;IF(Inputs!$R$18="BLN","b",IF(Inputs!$R$18="MLN","m","k")))</f>
        <v>#NAME?</v>
      </c>
      <c r="Q17" s="584" t="e">
        <f ca="1">G17/_xll.BQL(Inputs!$E23, "is_oper_inc(fpr = 2026, fpt = a, ae = e, fa_adjusted = y, fs = mr)/1"&amp;IF(Inputs!$R$18="BLN","b",IF(Inputs!$R$18="MLN","m","k")))</f>
        <v>#NAME?</v>
      </c>
      <c r="R17" s="23" t="e">
        <v>#N/A</v>
      </c>
      <c r="S17" s="455" t="e">
        <f ca="1">_xll.BQL(Inputs!$E23, "ebitda(fpt = ltm, fa_adjusted = y, fs = mr)/1"&amp;IF(Inputs!$R$18="BLN","b",IF(Inputs!$R$18="MLN","m","k")))/_xll.BQL(Inputs!$E23, "sales_rev_turn(fpt = ltm, fa_adjusted = y, fs = mr)/1"&amp;IF(Inputs!$R$18="BLN","b",IF(Inputs!$R$18="MLN","m","k")))</f>
        <v>#NAME?</v>
      </c>
      <c r="T17" s="583" t="e">
        <f ca="1">_xll.BDP(Inputs!$E23,"TOT_DEBT_TO_EBITDA")</f>
        <v>#NAME?</v>
      </c>
      <c r="U17" s="585"/>
      <c r="V17" s="583" t="e">
        <f ca="1">F17/_xll.BQL(Inputs!$E23, "earn_for_common(fpt = ltm, fa_adjusted = y, fs = mr)/1"&amp;IF(Inputs!$R$18="BLN","b",IF(Inputs!$R$18="MLN","m","k")))</f>
        <v>#NAME?</v>
      </c>
      <c r="W17" s="583" t="e">
        <f ca="1">F17/_xll.BQL(Inputs!$E23, "EARN_FOR_COMMON(fpr = 2025, fpt = a, ae = e, fa_adjusted = y, fs = mr)/1"&amp;IF(Inputs!$R$18="BLN","b",IF(Inputs!$R$18="MLN","m","k")))</f>
        <v>#NAME?</v>
      </c>
      <c r="X17" s="583" t="e">
        <f ca="1">F17/_xll.BQL(Inputs!$E23, "EARN_FOR_COMMON(fpr = 2026, fpt = a, ae = e, fa_adjusted = y, fs = mr)/1"&amp;IF(Inputs!$R$18="BLN","b",IF(Inputs!$R$18="MLN","m","k")))</f>
        <v>#NAME?</v>
      </c>
      <c r="Y17" s="585" t="e">
        <v>#N/A</v>
      </c>
      <c r="Z17" s="455" t="e">
        <f ca="1">(_xll.BQL(Inputs!$E23, "EARN_FOR_COMMON(fpr = 2028, fpt = a, ae = e, fa_adjusted = y, fs = mr)")/_xll.BQL(Inputs!$E23, "EARN_FOR_COMMON(fpr = 2025, fpt = a, ae = e, fa_adjusted = y, fs = mr)"))^(1/3)-1</f>
        <v>#NAME?</v>
      </c>
      <c r="AA17" s="23" t="e">
        <v>#N/A</v>
      </c>
    </row>
    <row r="18" spans="2:27" ht="15" customHeight="1">
      <c r="B18" s="23" t="str">
        <f>+Inputs!B24</f>
        <v>EZCORP INC-A</v>
      </c>
      <c r="C18" s="23" t="str">
        <f>+_xll.BDP(Inputs!E24,"TICKER_AND_EXCH_CODE")</f>
        <v>EZPW US</v>
      </c>
      <c r="D18" s="581" t="str">
        <f>CONCATENATE(_xll.BDP(Inputs!E24,"CRNCY")," ",_xll.BDP(Inputs!E24,"PX_YEST_CLOSE"))</f>
        <v>USD 17,96</v>
      </c>
      <c r="E18" s="447">
        <f>_xll.BDP(Inputs!E24,"PX_YEST_CLOSE")/_xll.BDP(Inputs!E24,"HIGH_52WEEK")</f>
        <v>0.97874659400544961</v>
      </c>
      <c r="F18" s="582">
        <f>_xll.BDP(Inputs!$E24, "CUR_MKT_CAP", "SCALING_FORMAT=" &amp; Inputs!$R$18)</f>
        <v>1107.09175248</v>
      </c>
      <c r="G18" s="582">
        <f>_xll.BDP(Inputs!$E24, "ENTERPRISE_VALUE", "SCALING_FORMAT=" &amp; Inputs!$R$18)</f>
        <v>1136.1593276799999</v>
      </c>
      <c r="H18" s="23"/>
      <c r="I18" s="583">
        <f>G18/_xll.BQL(Inputs!$E24, "sales_rev_turn(fpt = ltm, fa_adjusted = y, fs = mr)/1"&amp;IF(Inputs!$R$18="BLN","b",IF(Inputs!$R$18="MLN","m","k")))</f>
        <v>0.92219377288318827</v>
      </c>
      <c r="J18" s="583">
        <f>G18/_xll.BQL(Inputs!$E24, "sales_rev_turn(fpr = 2025, fpt = a, ae = e, fa_adjusted = y, fs = mr)/1"&amp;IF(Inputs!$R$18="BLN","b",IF(Inputs!$R$18="MLN","m","k")))</f>
        <v>0.90762048864035783</v>
      </c>
      <c r="K18" s="584">
        <f>G18/_xll.BQL(Inputs!$E24, "sales_rev_turn(fpr = 2026, fpt = a, ae = e, fa_adjusted = y, fs = mr)/1"&amp;IF(Inputs!$R$18="BLN","b",IF(Inputs!$R$18="MLN","m","k")))</f>
        <v>0.85361331906836957</v>
      </c>
      <c r="L18" s="583">
        <f>G18/_xll.BQL(Inputs!$E24, "ebitda(fpt = ltm, fa_adjusted = y, fs = mr)/1"&amp;IF(Inputs!$R$18="BLN","b",IF(Inputs!$R$18="MLN","m","k")))</f>
        <v>4.5775222304233614</v>
      </c>
      <c r="M18" s="583">
        <f>G18/_xll.BQL(Inputs!$E24, "ebitda(fpr = 2025, fpt = a, ae = e, fa_adjusted = y, fs = mr)/1"&amp;IF(Inputs!$R$18="BLN","b",IF(Inputs!$R$18="MLN","m","k")))</f>
        <v>6.1248481276549862</v>
      </c>
      <c r="N18" s="584">
        <f>G18/_xll.BQL(Inputs!$E24, "ebitda(fpr = 2026, fpt = a, ae = e, fa_adjusted = y, fs = mr)/1"&amp;IF(Inputs!$R$18="BLN","b",IF(Inputs!$R$18="MLN","m","k")))</f>
        <v>5.4940006174081235</v>
      </c>
      <c r="O18" s="583">
        <f>G18/_xll.BQL(Inputs!$E24, "is_oper_inc(fpt = ltm, fa_adjusted = y, fs = mr)/1"&amp;IF(Inputs!$R$18="BLN","b",IF(Inputs!$R$18="MLN","m","k")))</f>
        <v>8.2394869004728335</v>
      </c>
      <c r="P18" s="583">
        <f>G18/_xll.BQL(Inputs!$E24, "is_oper_inc(fpr = 2025, fpt = a, ae = e, fa_adjusted = y, fs = mr)/1"&amp;IF(Inputs!$R$18="BLN","b",IF(Inputs!$R$18="MLN","m","k")))</f>
        <v>7.7080008662143822</v>
      </c>
      <c r="Q18" s="584">
        <f>G18/_xll.BQL(Inputs!$E24, "is_oper_inc(fpr = 2026, fpt = a, ae = e, fa_adjusted = y, fs = mr)/1"&amp;IF(Inputs!$R$18="BLN","b",IF(Inputs!$R$18="MLN","m","k")))</f>
        <v>6.6911621182567718</v>
      </c>
      <c r="R18" s="23"/>
      <c r="S18" s="455">
        <f>_xll.BQL(Inputs!$E24, "ebitda(fpt = ltm, fa_adjusted = y, fs = mr)/1"&amp;IF(Inputs!$R$18="BLN","b",IF(Inputs!$R$18="MLN","m","k")))/_xll.BQL(Inputs!$E24, "sales_rev_turn(fpt = ltm, fa_adjusted = y, fs = mr)/1"&amp;IF(Inputs!$R$18="BLN","b",IF(Inputs!$R$18="MLN","m","k")))</f>
        <v>0.20146134228558349</v>
      </c>
      <c r="T18" s="583">
        <f>_xll.BDP(Inputs!$E24,"TOT_DEBT_TO_EBITDA")</f>
        <v>3.0666792755017038</v>
      </c>
      <c r="U18" s="585"/>
      <c r="V18" s="583">
        <f>F18/_xll.BQL(Inputs!$E24, "earn_for_common(fpt = ltm, fa_adjusted = y, fs = mr)/1"&amp;IF(Inputs!$R$18="BLN","b",IF(Inputs!$R$18="MLN","m","k")))</f>
        <v>11.308880110983321</v>
      </c>
      <c r="W18" s="583">
        <f>F18/_xll.BQL(Inputs!$E24, "EARN_FOR_COMMON(fpr = 2025, fpt = a, ae = e, fa_adjusted = y, fs = mr)/1"&amp;IF(Inputs!$R$18="BLN","b",IF(Inputs!$R$18="MLN","m","k")))</f>
        <v>10.330560676329704</v>
      </c>
      <c r="X18" s="583">
        <f>F18/_xll.BQL(Inputs!$E24, "EARN_FOR_COMMON(fpr = 2026, fpt = a, ae = e, fa_adjusted = y, fs = mr)/1"&amp;IF(Inputs!$R$18="BLN","b",IF(Inputs!$R$18="MLN","m","k")))</f>
        <v>9.8262581581065085</v>
      </c>
      <c r="Y18" s="585"/>
      <c r="Z18" s="455">
        <f>(_xll.BQL(Inputs!$E24, "EARN_FOR_COMMON(fpr = 2028, fpt = a, ae = e, fa_adjusted = y, fs = mr)")/_xll.BQL(Inputs!$E24, "EARN_FOR_COMMON(fpr = 2025, fpt = a, ae = e, fa_adjusted = y, fs = mr)"))^(1/3)-1</f>
        <v>9.3174361985519205E-2</v>
      </c>
      <c r="AA18" s="23"/>
    </row>
    <row r="19" spans="2:27" ht="15" customHeight="1">
      <c r="B19" s="23" t="str">
        <f>+Inputs!B25</f>
        <v>ONEMAIN HOLDINGS</v>
      </c>
      <c r="C19" s="23" t="str">
        <f>+_xll.BDP(Inputs!E25,"TICKER_AND_EXCH_CODE")</f>
        <v>OMF US</v>
      </c>
      <c r="D19" s="581" t="str">
        <f>CONCATENATE(_xll.BDP(Inputs!E25,"CRNCY")," ",_xll.BDP(Inputs!E25,"PX_YEST_CLOSE"))</f>
        <v>USD 60,41</v>
      </c>
      <c r="E19" s="447">
        <f>_xll.BDP(Inputs!E25,"PX_YEST_CLOSE")/_xll.BDP(Inputs!E25,"HIGH_52WEEK")</f>
        <v>0.95517432208079689</v>
      </c>
      <c r="F19" s="582">
        <f>_xll.BDP(Inputs!$E25, "CUR_MKT_CAP", "SCALING_FORMAT=" &amp; Inputs!$R$18)</f>
        <v>7198.9738431249998</v>
      </c>
      <c r="G19" s="582">
        <f>_xll.BDP(Inputs!$E25, "ENTERPRISE_VALUE", "SCALING_FORMAT=" &amp; Inputs!$R$18)</f>
        <v>28058.848316</v>
      </c>
      <c r="H19" s="23"/>
      <c r="I19" s="583">
        <f>G19/_xll.BQL(Inputs!$E25, "sales_rev_turn(fpt = ltm, fa_adjusted = y, fs = mr)/1"&amp;IF(Inputs!$R$18="BLN","b",IF(Inputs!$R$18="MLN","m","k")))</f>
        <v>4.6913305995652896</v>
      </c>
      <c r="J19" s="583">
        <f>G19/_xll.BQL(Inputs!$E25, "sales_rev_turn(fpr = 2025, fpt = a, ae = e, fa_adjusted = y, fs = mr)/1"&amp;IF(Inputs!$R$18="BLN","b",IF(Inputs!$R$18="MLN","m","k")))</f>
        <v>5.6728951079885768</v>
      </c>
      <c r="K19" s="584">
        <f>G19/_xll.BQL(Inputs!$E25, "sales_rev_turn(fpr = 2026, fpt = a, ae = e, fa_adjusted = y, fs = mr)/1"&amp;IF(Inputs!$R$18="BLN","b",IF(Inputs!$R$18="MLN","m","k")))</f>
        <v>5.3548880343520819</v>
      </c>
      <c r="L19" s="583">
        <f>G19/_xll.BQL(Inputs!$E25, "ebitda(fpt = ltm, fa_adjusted = y, fs = mr)/1"&amp;IF(Inputs!$R$18="BLN","b",IF(Inputs!$R$18="MLN","m","k")))</f>
        <v>11.50424285198852</v>
      </c>
      <c r="M19" s="583">
        <f>G19/_xll.BQL(Inputs!$E25, "ebitda(fpr = 2025, fpt = a, ae = e, fa_adjusted = y, fs = mr)/1"&amp;IF(Inputs!$R$18="BLN","b",IF(Inputs!$R$18="MLN","m","k")))</f>
        <v>11.396770233956133</v>
      </c>
      <c r="N19" s="584">
        <f>G19/_xll.BQL(Inputs!$E25, "ebitda(fpr = 2026, fpt = a, ae = e, fa_adjusted = y, fs = mr)/1"&amp;IF(Inputs!$R$18="BLN","b",IF(Inputs!$R$18="MLN","m","k")))</f>
        <v>10.181004468795356</v>
      </c>
      <c r="O19" s="583">
        <f>G19/_xll.BQL(Inputs!$E25, "is_oper_inc(fpt = ltm, fa_adjusted = y, fs = mr)/1"&amp;IF(Inputs!$R$18="BLN","b",IF(Inputs!$R$18="MLN","m","k")))</f>
        <v>30.665407995628414</v>
      </c>
      <c r="P19" s="583">
        <f>G19/_xll.BQL(Inputs!$E25, "is_oper_inc(fpr = 2025, fpt = a, ae = e, fa_adjusted = y, fs = mr)/1"&amp;IF(Inputs!$R$18="BLN","b",IF(Inputs!$R$18="MLN","m","k")))</f>
        <v>35.528772796454575</v>
      </c>
      <c r="Q19" s="584">
        <f>G19/_xll.BQL(Inputs!$E25, "is_oper_inc(fpr = 2026, fpt = a, ae = e, fa_adjusted = y, fs = mr)/1"&amp;IF(Inputs!$R$18="BLN","b",IF(Inputs!$R$18="MLN","m","k")))</f>
        <v>31.464926622932435</v>
      </c>
      <c r="R19" s="23"/>
      <c r="S19" s="455">
        <f>_xll.BQL(Inputs!$E25, "ebitda(fpt = ltm, fa_adjusted = y, fs = mr)/1"&amp;IF(Inputs!$R$18="BLN","b",IF(Inputs!$R$18="MLN","m","k")))/_xll.BQL(Inputs!$E25, "sales_rev_turn(fpt = ltm, fa_adjusted = y, fs = mr)/1"&amp;IF(Inputs!$R$18="BLN","b",IF(Inputs!$R$18="MLN","m","k")))</f>
        <v>0.40779133924092958</v>
      </c>
      <c r="T19" s="583">
        <f>_xll.BDP(Inputs!$E25,"TOT_DEBT_TO_EBITDA")</f>
        <v>9.2504194630872476</v>
      </c>
      <c r="U19" s="585"/>
      <c r="V19" s="583">
        <f>F19/_xll.BQL(Inputs!$E25, "earn_for_common(fpt = ltm, fa_adjusted = y, fs = mr)/1"&amp;IF(Inputs!$R$18="BLN","b",IF(Inputs!$R$18="MLN","m","k")))</f>
        <v>10.19035153673296</v>
      </c>
      <c r="W19" s="583">
        <f>F19/_xll.BQL(Inputs!$E25, "EARN_FOR_COMMON(fpr = 2025, fpt = a, ae = e, fa_adjusted = y, fs = mr)/1"&amp;IF(Inputs!$R$18="BLN","b",IF(Inputs!$R$18="MLN","m","k")))</f>
        <v>9.4516067962253825</v>
      </c>
      <c r="X19" s="583">
        <f>F19/_xll.BQL(Inputs!$E25, "EARN_FOR_COMMON(fpr = 2026, fpt = a, ae = e, fa_adjusted = y, fs = mr)/1"&amp;IF(Inputs!$R$18="BLN","b",IF(Inputs!$R$18="MLN","m","k")))</f>
        <v>7.5842539434523806</v>
      </c>
      <c r="Y19" s="585"/>
      <c r="Z19" s="455">
        <f>(_xll.BQL(Inputs!$E25, "EARN_FOR_COMMON(fpr = 2028, fpt = a, ae = e, fa_adjusted = y, fs = mr)")/_xll.BQL(Inputs!$E25, "EARN_FOR_COMMON(fpr = 2025, fpt = a, ae = e, fa_adjusted = y, fs = mr)"))^(1/3)-1</f>
        <v>0.1981249588969991</v>
      </c>
      <c r="AA19" s="23"/>
    </row>
    <row r="20" spans="2:27" ht="15" customHeight="1">
      <c r="B20" s="23"/>
      <c r="C20" s="23"/>
      <c r="D20" s="23"/>
      <c r="E20" s="23"/>
      <c r="F20" s="23"/>
      <c r="G20" s="23"/>
      <c r="H20" s="23"/>
      <c r="I20" s="23"/>
      <c r="J20" s="23"/>
      <c r="K20" s="585"/>
      <c r="L20" s="23"/>
      <c r="M20" s="23"/>
      <c r="N20" s="585"/>
      <c r="O20" s="23"/>
      <c r="P20" s="23"/>
      <c r="Q20" s="585"/>
      <c r="R20" s="23"/>
      <c r="S20" s="23"/>
      <c r="T20" s="23"/>
      <c r="U20" s="585"/>
      <c r="V20" s="23"/>
      <c r="W20" s="23"/>
      <c r="X20" s="23"/>
      <c r="Y20" s="585"/>
      <c r="Z20" s="23"/>
      <c r="AA20" s="23"/>
    </row>
    <row r="21" spans="2:27" ht="15" customHeight="1">
      <c r="B21" s="586" t="s">
        <v>308</v>
      </c>
      <c r="C21" s="587"/>
      <c r="D21" s="587"/>
      <c r="E21" s="587"/>
      <c r="F21" s="587"/>
      <c r="G21" s="587"/>
      <c r="H21" s="587"/>
      <c r="I21" s="588" t="e">
        <f ca="1">AVERAGE(I15:I19)</f>
        <v>#NAME?</v>
      </c>
      <c r="J21" s="588" t="e">
        <f t="shared" ref="J21:Q21" ca="1" si="0">AVERAGE(J15:J19)</f>
        <v>#NAME?</v>
      </c>
      <c r="K21" s="589" t="e">
        <f t="shared" ca="1" si="0"/>
        <v>#NAME?</v>
      </c>
      <c r="L21" s="588" t="e">
        <f ca="1">AVERAGE(L15:L19)</f>
        <v>#NAME?</v>
      </c>
      <c r="M21" s="588" t="e">
        <f t="shared" ca="1" si="0"/>
        <v>#NAME?</v>
      </c>
      <c r="N21" s="589" t="e">
        <f t="shared" ca="1" si="0"/>
        <v>#NAME?</v>
      </c>
      <c r="O21" s="588" t="e">
        <f t="shared" ca="1" si="0"/>
        <v>#NAME?</v>
      </c>
      <c r="P21" s="588" t="e">
        <f t="shared" ca="1" si="0"/>
        <v>#NAME?</v>
      </c>
      <c r="Q21" s="589" t="e">
        <f t="shared" ca="1" si="0"/>
        <v>#NAME?</v>
      </c>
      <c r="R21" s="587"/>
      <c r="S21" s="590" t="e">
        <f ca="1">AVERAGE(S15:S19)</f>
        <v>#NAME?</v>
      </c>
      <c r="T21" s="588" t="e">
        <f ca="1">AVERAGE(T15:T19)</f>
        <v>#NAME?</v>
      </c>
      <c r="U21" s="591"/>
      <c r="V21" s="588" t="e">
        <f t="shared" ref="V21:X21" ca="1" si="1">AVERAGE(V15:V19)</f>
        <v>#NAME?</v>
      </c>
      <c r="W21" s="588" t="e">
        <f t="shared" ca="1" si="1"/>
        <v>#NAME?</v>
      </c>
      <c r="X21" s="588" t="e">
        <f t="shared" ca="1" si="1"/>
        <v>#NAME?</v>
      </c>
      <c r="Y21" s="591"/>
      <c r="Z21" s="590" t="e">
        <f ca="1">AVERAGE(Z15:Z19)</f>
        <v>#NAME?</v>
      </c>
      <c r="AA21" s="23"/>
    </row>
    <row r="22" spans="2:27" ht="15" customHeight="1">
      <c r="B22" s="592" t="s">
        <v>309</v>
      </c>
      <c r="C22" s="593"/>
      <c r="D22" s="593"/>
      <c r="E22" s="593"/>
      <c r="F22" s="593"/>
      <c r="G22" s="593"/>
      <c r="H22" s="593"/>
      <c r="I22" s="594" t="e">
        <f ca="1">MEDIAN(I15:I19)</f>
        <v>#NAME?</v>
      </c>
      <c r="J22" s="594" t="e">
        <f t="shared" ref="J22:T22" ca="1" si="2">MEDIAN(J15:J19)</f>
        <v>#NAME?</v>
      </c>
      <c r="K22" s="595" t="e">
        <f t="shared" ca="1" si="2"/>
        <v>#NAME?</v>
      </c>
      <c r="L22" s="594" t="e">
        <f ca="1">MEDIAN(L15:L19)</f>
        <v>#NAME?</v>
      </c>
      <c r="M22" s="594" t="e">
        <f t="shared" ca="1" si="2"/>
        <v>#NAME?</v>
      </c>
      <c r="N22" s="595" t="e">
        <f t="shared" ca="1" si="2"/>
        <v>#NAME?</v>
      </c>
      <c r="O22" s="594" t="e">
        <f t="shared" ca="1" si="2"/>
        <v>#NAME?</v>
      </c>
      <c r="P22" s="594" t="e">
        <f t="shared" ca="1" si="2"/>
        <v>#NAME?</v>
      </c>
      <c r="Q22" s="595" t="e">
        <f t="shared" ca="1" si="2"/>
        <v>#NAME?</v>
      </c>
      <c r="R22" s="593"/>
      <c r="S22" s="596" t="e">
        <f t="shared" ca="1" si="2"/>
        <v>#NAME?</v>
      </c>
      <c r="T22" s="594" t="e">
        <f t="shared" ca="1" si="2"/>
        <v>#NAME?</v>
      </c>
      <c r="U22" s="597"/>
      <c r="V22" s="594" t="e">
        <f t="shared" ref="V22:X22" ca="1" si="3">MEDIAN(V15:V19)</f>
        <v>#NAME?</v>
      </c>
      <c r="W22" s="594" t="e">
        <f t="shared" ca="1" si="3"/>
        <v>#NAME?</v>
      </c>
      <c r="X22" s="594" t="e">
        <f t="shared" ca="1" si="3"/>
        <v>#NAME?</v>
      </c>
      <c r="Y22" s="597"/>
      <c r="Z22" s="596" t="e">
        <f ca="1">MEDIAN(Z15:Z19)</f>
        <v>#NAME?</v>
      </c>
      <c r="AA22" s="23"/>
    </row>
    <row r="24" spans="2:27" s="536" customFormat="1" ht="15" customHeight="1">
      <c r="B24" s="779" t="s">
        <v>310</v>
      </c>
      <c r="C24" s="32"/>
      <c r="D24" s="32"/>
      <c r="E24" s="32"/>
      <c r="F24" s="32"/>
      <c r="G24" s="32"/>
      <c r="H24" s="32"/>
      <c r="I24" s="32"/>
      <c r="J24" s="32"/>
      <c r="K24" s="32"/>
      <c r="L24" s="32"/>
      <c r="M24" s="32"/>
      <c r="N24" s="32"/>
      <c r="O24" s="32"/>
      <c r="P24" s="32"/>
      <c r="Q24" s="32"/>
      <c r="R24" s="32"/>
      <c r="S24" s="32"/>
      <c r="T24" s="32"/>
      <c r="U24" s="32"/>
      <c r="V24" s="32"/>
      <c r="W24" s="32"/>
      <c r="X24" s="32"/>
      <c r="Y24" s="32"/>
      <c r="Z24" s="32"/>
      <c r="AA24" s="390"/>
    </row>
    <row r="25" spans="2:27" ht="4" customHeight="1">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23"/>
    </row>
    <row r="26" spans="2:27" ht="4" customHeight="1">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spans="2:27" ht="15" customHeight="1">
      <c r="B27" s="23" t="str">
        <f>+Inputs!H21</f>
        <v>LENDINGCLUB CORP</v>
      </c>
      <c r="C27" s="23" t="str">
        <f>+_xll.BDP(Inputs!K21,"TICKER_AND_EXCH_CODE")</f>
        <v>LC US</v>
      </c>
      <c r="D27" s="581" t="str">
        <f>CONCATENATE(_xll.BDP(Inputs!K21,"CRNCY")," ",_xll.BDP(Inputs!K21,"PX_YEST_CLOSE"))</f>
        <v>USD 17,13</v>
      </c>
      <c r="E27" s="447">
        <f>_xll.BDP(Inputs!K21,"PX_YEST_CLOSE")/_xll.BDP(Inputs!K21,"HIGH_52WEEK")</f>
        <v>0.91359999999999997</v>
      </c>
      <c r="F27" s="582">
        <f>_xll.BDP(Inputs!$K21, "CUR_MKT_CAP", "SCALING_FORMAT=" &amp; Inputs!$R$18)</f>
        <v>1951.1561997349997</v>
      </c>
      <c r="G27" s="582">
        <f>_xll.BDP(Inputs!$K21, "ENTERPRISE_VALUE", "SCALING_FORMAT=" &amp; Inputs!$R$18)</f>
        <v>235.41796840999996</v>
      </c>
      <c r="H27" s="23"/>
      <c r="I27" s="583">
        <f>G27/_xll.BQL(Inputs!$K21, "sales_rev_turn(fpt = ltm, fa_adjusted = y, fs = mr)/1"&amp;IF(Inputs!$R$18="BLN","b",IF(Inputs!$R$18="MLN","m","k")))</f>
        <v>0.18855672081318287</v>
      </c>
      <c r="J27" s="583">
        <f>G27/_xll.BQL(Inputs!$K21, "sales_rev_turn(fpr = 2025, fpt = a, ae = e, fa_adjusted = y, fs = mr)/1"&amp;IF(Inputs!$R$18="BLN","b",IF(Inputs!$R$18="MLN","m","k")))</f>
        <v>0.23988861996387212</v>
      </c>
      <c r="K27" s="584">
        <f>G27/_xll.BQL(Inputs!$K21, "sales_rev_turn(fpr = 2026, fpt = a, ae = e, fa_adjusted = y, fs = mr)/1"&amp;IF(Inputs!$R$18="BLN","b",IF(Inputs!$R$18="MLN","m","k")))</f>
        <v>0.20754970365552614</v>
      </c>
      <c r="L27" s="583">
        <f>G27/_xll.BQL(Inputs!$K21, "ebitda(fpt = ltm, fa_adjusted = y, fs = mr)/1"&amp;IF(Inputs!$R$18="BLN","b",IF(Inputs!$R$18="MLN","m","k")))</f>
        <v>0.43982723695985615</v>
      </c>
      <c r="M27" s="583">
        <f>G27/_xll.BQL(Inputs!$K21, "ebitda(fpr = 2025, fpt = a, ae = e, fa_adjusted = y, fs = mr)/1"&amp;IF(Inputs!$R$18="BLN","b",IF(Inputs!$R$18="MLN","m","k")))</f>
        <v>0.79265309228956216</v>
      </c>
      <c r="N27" s="584">
        <f>G27/_xll.BQL(Inputs!$K21, "ebitda(fpr = 2026, fpt = a, ae = e, fa_adjusted = y, fs = mr)/1"&amp;IF(Inputs!$R$18="BLN","b",IF(Inputs!$R$18="MLN","m","k")))</f>
        <v>0.49405659687303244</v>
      </c>
      <c r="O27" s="583">
        <f>G27/_xll.BQL(Inputs!$K21, "is_oper_inc(fpt = ltm, fa_adjusted = y, fs = mr)/1"&amp;IF(Inputs!$R$18="BLN","b",IF(Inputs!$R$18="MLN","m","k")))</f>
        <v>2.382893551394301</v>
      </c>
      <c r="P27" s="583">
        <f>G27/_xll.BQL(Inputs!$K21, "is_oper_inc(fpr = 2025, fpt = a, ae = e, fa_adjusted = y, fs = mr)/1"&amp;IF(Inputs!$R$18="BLN","b",IF(Inputs!$R$18="MLN","m","k")))</f>
        <v>1.6936544489928054</v>
      </c>
      <c r="Q27" s="584">
        <f>G27/_xll.BQL(Inputs!$K21, "is_oper_inc(fpr = 2026, fpt = a, ae = e, fa_adjusted = y, fs = mr)/1"&amp;IF(Inputs!$R$18="BLN","b",IF(Inputs!$R$18="MLN","m","k")))</f>
        <v>1.4354754171341462</v>
      </c>
      <c r="R27" s="23"/>
      <c r="S27" s="455">
        <f>_xll.BQL(Inputs!$K21, "ebitda(fpt = ltm, fa_adjusted = y, fs = mr)/1"&amp;IF(Inputs!$R$18="BLN","b",IF(Inputs!$R$18="MLN","m","k")))/_xll.BQL(Inputs!$K21, "sales_rev_turn(fpt = ltm, fa_adjusted = y, fs = mr)/1"&amp;IF(Inputs!$R$18="BLN","b",IF(Inputs!$R$18="MLN","m","k")))</f>
        <v>0.4287063305049314</v>
      </c>
      <c r="T27" s="583">
        <f>_xll.BDP(Inputs!$K21,"TOT_DEBT_TO_EBITDA")</f>
        <v>6.717596043725281E-2</v>
      </c>
      <c r="U27" s="585"/>
      <c r="V27" s="583">
        <f>F27/_xll.BQL(Inputs!$K21, "earn_for_common(fpt = ltm, fa_adjusted = y, fs = mr)/1"&amp;IF(Inputs!$R$18="BLN","b",IF(Inputs!$R$18="MLN","m","k")))</f>
        <v>26.357714853362332</v>
      </c>
      <c r="W27" s="583">
        <f>F27/_xll.BQL(Inputs!$K21, "EARN_FOR_COMMON(fpr = 2025, fpt = a, ae = e, fa_adjusted = y, fs = mr)/1"&amp;IF(Inputs!$R$18="BLN","b",IF(Inputs!$R$18="MLN","m","k")))</f>
        <v>16.244593707321922</v>
      </c>
      <c r="X27" s="583">
        <f>F27/_xll.BQL(Inputs!$K21, "EARN_FOR_COMMON(fpr = 2026, fpt = a, ae = e, fa_adjusted = y, fs = mr)/1"&amp;IF(Inputs!$R$18="BLN","b",IF(Inputs!$R$18="MLN","m","k")))</f>
        <v>11.746090834525083</v>
      </c>
      <c r="Y27" s="585"/>
      <c r="Z27" s="455" t="e">
        <f>(_xll.BQL(Inputs!$K21, "EARN_FOR_COMMON(fpr = 2028, fpt = a, ae = e, fa_adjusted = y, fs = mr)")/_xll.BQL(Inputs!$K21, "EARN_FOR_COMMON(fpr = 2025, fpt = a, ae = e, fa_adjusted = y, fs = mr)"))^(1/3)-1</f>
        <v>#VALUE!</v>
      </c>
      <c r="AA27" s="23"/>
    </row>
    <row r="28" spans="2:27" ht="15" customHeight="1">
      <c r="B28" s="23" t="str">
        <f>+Inputs!H22</f>
        <v>UPSTART HOLDINGS</v>
      </c>
      <c r="C28" s="23" t="str">
        <f>+_xll.BDP(Inputs!K22,"TICKER_AND_EXCH_CODE")</f>
        <v>UPST US</v>
      </c>
      <c r="D28" s="581" t="str">
        <f>CONCATENATE(_xll.BDP(Inputs!K22,"CRNCY")," ",_xll.BDP(Inputs!K22,"PX_YEST_CLOSE"))</f>
        <v>USD 62,38</v>
      </c>
      <c r="E28" s="447">
        <f>_xll.BDP(Inputs!K22,"PX_YEST_CLOSE")/_xll.BDP(Inputs!K22,"HIGH_52WEEK")</f>
        <v>0.64689814517149336</v>
      </c>
      <c r="F28" s="582">
        <f>_xll.BDP(Inputs!$K22, "CUR_MKT_CAP", "SCALING_FORMAT=" &amp; Inputs!$R$18)</f>
        <v>6074.2260524600006</v>
      </c>
      <c r="G28" s="582">
        <f>_xll.BDP(Inputs!$K22, "ENTERPRISE_VALUE", "SCALING_FORMAT=" &amp; Inputs!$R$18)</f>
        <v>7250.3100652400008</v>
      </c>
      <c r="H28" s="23"/>
      <c r="I28" s="583">
        <f>G28/_xll.BQL(Inputs!$K22, "sales_rev_turn(fpt = ltm, fa_adjusted = y, fs = mr)/1"&amp;IF(Inputs!$R$18="BLN","b",IF(Inputs!$R$18="MLN","m","k")))</f>
        <v>8.5120914256262878</v>
      </c>
      <c r="J28" s="583">
        <f>G28/_xll.BQL(Inputs!$K22, "sales_rev_turn(fpt = ltm, fa_adjusted = y, fs = mr)/1"&amp;IF(Inputs!$R$18="BLN","b",IF(Inputs!$R$18="MLN","m","k")))</f>
        <v>8.5120914256262878</v>
      </c>
      <c r="K28" s="584">
        <f>G28/_xll.BQL(Inputs!$K22, "sales_rev_turn(fpr = 2026, fpt = a, ae = e, fa_adjusted = y, fs = mr)/1"&amp;IF(Inputs!$R$18="BLN","b",IF(Inputs!$R$18="MLN","m","k")))</f>
        <v>5.3914240672098579</v>
      </c>
      <c r="L28" s="583">
        <f>G28/_xll.BQL(Inputs!$K22, "ebitda(fpt = ltm, fa_adjusted = y, fs = mr)/1"&amp;IF(Inputs!$R$18="BLN","b",IF(Inputs!$R$18="MLN","m","k")))</f>
        <v>93.507745531036804</v>
      </c>
      <c r="M28" s="583">
        <f>G28/_xll.BQL(Inputs!$K22, "ebitda(fpr = 2025, fpt = a, ae = e, fa_adjusted = y, fs = mr)/1"&amp;IF(Inputs!$R$18="BLN","b",IF(Inputs!$R$18="MLN","m","k")))</f>
        <v>32.683591578843028</v>
      </c>
      <c r="N28" s="584">
        <f>G28/_xll.BQL(Inputs!$K22, "ebitda(fpr = 2026, fpt = a, ae = e, fa_adjusted = y, fs = mr)/1"&amp;IF(Inputs!$R$18="BLN","b",IF(Inputs!$R$18="MLN","m","k")))</f>
        <v>22.215876759325884</v>
      </c>
      <c r="O28" s="583">
        <f>G28/_xll.BQL(Inputs!$K22, "is_oper_inc(fpt = ltm, fa_adjusted = y, fs = mr)/1"&amp;IF(Inputs!$R$18="BLN","b",IF(Inputs!$R$18="MLN","m","k")))</f>
        <v>131.33430061117653</v>
      </c>
      <c r="P28" s="583">
        <f>G28/_xll.BQL(Inputs!$K22, "is_oper_inc(fpr = 2025, fpt = a, ae = e, fa_adjusted = y, fs = mr)/1"&amp;IF(Inputs!$R$18="BLN","b",IF(Inputs!$R$18="MLN","m","k")))</f>
        <v>228.13347802901109</v>
      </c>
      <c r="Q28" s="584">
        <f>G28/_xll.BQL(Inputs!$K22, "is_oper_inc(fpr = 2026, fpt = a, ae = e, fa_adjusted = y, fs = mr)/1"&amp;IF(Inputs!$R$18="BLN","b",IF(Inputs!$R$18="MLN","m","k")))</f>
        <v>48.381436104438777</v>
      </c>
      <c r="R28" s="23"/>
      <c r="S28" s="455">
        <f>_xll.BQL(Inputs!$K22, "ebitda(fpt = ltm, fa_adjusted = y, fs = mr)/1"&amp;IF(Inputs!$R$18="BLN","b",IF(Inputs!$R$18="MLN","m","k")))/_xll.BQL(Inputs!$K22, "sales_rev_turn(fpt = ltm, fa_adjusted = y, fs = mr)/1"&amp;IF(Inputs!$R$18="BLN","b",IF(Inputs!$R$18="MLN","m","k")))</f>
        <v>9.103086998072242E-2</v>
      </c>
      <c r="T28" s="583" t="str">
        <f>_xll.BDP(Inputs!$K22,"TOT_DEBT_TO_EBITDA")</f>
        <v>#N/A N/A</v>
      </c>
      <c r="U28" s="585"/>
      <c r="V28" s="583">
        <f>F28/_xll.BQL(Inputs!$K22, "earn_for_common(fpt = ltm, fa_adjusted = y, fs = mr)/1"&amp;IF(Inputs!$R$18="BLN","b",IF(Inputs!$R$18="MLN","m","k")))</f>
        <v>252.44648917354905</v>
      </c>
      <c r="W28" s="583">
        <f>F28/_xll.BQL(Inputs!$K22, "EARN_FOR_COMMON(fpr = 2025, fpt = a, ae = e, fa_adjusted = y, fs = mr)/1"&amp;IF(Inputs!$R$18="BLN","b",IF(Inputs!$R$18="MLN","m","k")))</f>
        <v>34.194721892047092</v>
      </c>
      <c r="X28" s="583">
        <f>F28/_xll.BQL(Inputs!$K22, "EARN_FOR_COMMON(fpr = 2026, fpt = a, ae = e, fa_adjusted = y, fs = mr)/1"&amp;IF(Inputs!$R$18="BLN","b",IF(Inputs!$R$18="MLN","m","k")))</f>
        <v>23.798956805901149</v>
      </c>
      <c r="Y28" s="585"/>
      <c r="Z28" s="455">
        <f>(_xll.BQL(Inputs!$K22, "EARN_FOR_COMMON(fpr = 2028, fpt = a, ae = e, fa_adjusted = y, fs = mr)")/_xll.BQL(Inputs!$K22, "EARN_FOR_COMMON(fpr = 2025, fpt = a, ae = e, fa_adjusted = y, fs = mr)"))^(1/3)-1</f>
        <v>0.23302188908000288</v>
      </c>
      <c r="AA28" s="23"/>
    </row>
    <row r="29" spans="2:27" ht="15" customHeight="1">
      <c r="B29" s="23" t="str">
        <f>+Inputs!H23</f>
        <v>SOFI TECHNOLOGIE</v>
      </c>
      <c r="C29" s="23" t="str">
        <f>+_xll.BDP(Inputs!K23,"TICKER_AND_EXCH_CODE")</f>
        <v>SOFI US</v>
      </c>
      <c r="D29" s="581" t="str">
        <f>CONCATENATE(_xll.BDP(Inputs!K23,"CRNCY")," ",_xll.BDP(Inputs!K23,"PX_YEST_CLOSE"))</f>
        <v>USD 29,09</v>
      </c>
      <c r="E29" s="447">
        <f>_xll.BDP(Inputs!K23,"PX_YEST_CLOSE")/_xll.BDP(Inputs!K23,"HIGH_52WEEK")</f>
        <v>0.96006600660065999</v>
      </c>
      <c r="F29" s="582">
        <f>_xll.BDP(Inputs!$K23, "CUR_MKT_CAP", "SCALING_FORMAT=" &amp; Inputs!$R$18)</f>
        <v>34456.626627500002</v>
      </c>
      <c r="G29" s="582">
        <f>_xll.BDP(Inputs!$K23, "ENTERPRISE_VALUE", "SCALING_FORMAT=" &amp; Inputs!$R$18)</f>
        <v>22187.364447280001</v>
      </c>
      <c r="H29" s="23"/>
      <c r="I29" s="583">
        <f>G29/_xll.BQL(Inputs!$K23, "sales_rev_turn(fpt = ltm, fa_adjusted = y, fs = mr)/1"&amp;IF(Inputs!$R$18="BLN","b",IF(Inputs!$R$18="MLN","m","k")))</f>
        <v>5.3287167524542269</v>
      </c>
      <c r="J29" s="583">
        <f>G29/_xll.BQL(Inputs!$K23, "sales_rev_turn(fpr = 2025, fpt = a, ae = e, fa_adjusted = y, fs = mr)/1"&amp;IF(Inputs!$R$18="BLN","b",IF(Inputs!$R$18="MLN","m","k")))</f>
        <v>6.5663596463563563</v>
      </c>
      <c r="K29" s="584">
        <f>G29/_xll.BQL(Inputs!$K23, "sales_rev_turn(fpr = 2026, fpt = a, ae = e, fa_adjusted = y, fs = mr)/1"&amp;IF(Inputs!$R$18="BLN","b",IF(Inputs!$R$18="MLN","m","k")))</f>
        <v>5.231429507748655</v>
      </c>
      <c r="L29" s="583">
        <f>G29/_xll.BQL(Inputs!$K23, "ebitda(fpt = ltm, fa_adjusted = y, fs = mr)/1"&amp;IF(Inputs!$R$18="BLN","b",IF(Inputs!$R$18="MLN","m","k")))</f>
        <v>13.54544088796364</v>
      </c>
      <c r="M29" s="583">
        <f>G29/_xll.BQL(Inputs!$K23, "ebitda(fpr = 2025, fpt = a, ae = e, fa_adjusted = y, fs = mr)/1"&amp;IF(Inputs!$R$18="BLN","b",IF(Inputs!$R$18="MLN","m","k")))</f>
        <v>22.58195438709663</v>
      </c>
      <c r="N29" s="584">
        <f>G29/_xll.BQL(Inputs!$K23, "ebitda(fpr = 2026, fpt = a, ae = e, fa_adjusted = y, fs = mr)/1"&amp;IF(Inputs!$R$18="BLN","b",IF(Inputs!$R$18="MLN","m","k")))</f>
        <v>15.608705735275432</v>
      </c>
      <c r="O29" s="583">
        <f>G29/_xll.BQL(Inputs!$K23, "is_oper_inc(fpt = ltm, fa_adjusted = y, fs = mr)/1"&amp;IF(Inputs!$R$18="BLN","b",IF(Inputs!$R$18="MLN","m","k")))</f>
        <v>70.470306044777317</v>
      </c>
      <c r="P29" s="583">
        <f>G29/_xll.BQL(Inputs!$K23, "is_oper_inc(fpr = 2025, fpt = a, ae = e, fa_adjusted = y, fs = mr)/1"&amp;IF(Inputs!$R$18="BLN","b",IF(Inputs!$R$18="MLN","m","k")))</f>
        <v>47.452352927271612</v>
      </c>
      <c r="Q29" s="584">
        <f>G29/_xll.BQL(Inputs!$K23, "is_oper_inc(fpr = 2026, fpt = a, ae = e, fa_adjusted = y, fs = mr)/1"&amp;IF(Inputs!$R$18="BLN","b",IF(Inputs!$R$18="MLN","m","k")))</f>
        <v>24.500954587625809</v>
      </c>
      <c r="R29" s="23"/>
      <c r="S29" s="455">
        <f>_xll.BQL(Inputs!$K23, "ebitda(fpt = ltm, fa_adjusted = y, fs = mr)/1"&amp;IF(Inputs!$R$18="BLN","b",IF(Inputs!$R$18="MLN","m","k")))/_xll.BQL(Inputs!$K23, "sales_rev_turn(fpt = ltm, fa_adjusted = y, fs = mr)/1"&amp;IF(Inputs!$R$18="BLN","b",IF(Inputs!$R$18="MLN","m","k")))</f>
        <v>0.39339559313933287</v>
      </c>
      <c r="T29" s="583">
        <f>_xll.BDP(Inputs!$K23,"TOT_DEBT_TO_EBITDA")</f>
        <v>2.4614482509925857</v>
      </c>
      <c r="U29" s="585"/>
      <c r="V29" s="583">
        <f>F29/_xll.BQL(Inputs!$K23, "earn_for_common(fpt = ltm, fa_adjusted = y, fs = mr)/1"&amp;IF(Inputs!$R$18="BLN","b",IF(Inputs!$R$18="MLN","m","k")))</f>
        <v>61.433014587615212</v>
      </c>
      <c r="W29" s="583">
        <f>F29/_xll.BQL(Inputs!$K23, "EARN_FOR_COMMON(fpr = 2025, fpt = a, ae = e, fa_adjusted = y, fs = mr)/1"&amp;IF(Inputs!$R$18="BLN","b",IF(Inputs!$R$18="MLN","m","k")))</f>
        <v>89.317292525201623</v>
      </c>
      <c r="X29" s="583">
        <f>F29/_xll.BQL(Inputs!$K23, "EARN_FOR_COMMON(fpr = 2026, fpt = a, ae = e, fa_adjusted = y, fs = mr)/1"&amp;IF(Inputs!$R$18="BLN","b",IF(Inputs!$R$18="MLN","m","k")))</f>
        <v>50.163319257117443</v>
      </c>
      <c r="Y29" s="585"/>
      <c r="Z29" s="455">
        <f>(_xll.BQL(Inputs!$K23, "EARN_FOR_COMMON(fpr = 2028, fpt = a, ae = e, fa_adjusted = y, fs = mr)")/_xll.BQL(Inputs!$K23, "EARN_FOR_COMMON(fpr = 2025, fpt = a, ae = e, fa_adjusted = y, fs = mr)"))^(1/3)-1</f>
        <v>0.43417347177300725</v>
      </c>
      <c r="AA29" s="23"/>
    </row>
    <row r="30" spans="2:27" ht="15" customHeight="1">
      <c r="B30" s="23" t="str">
        <f>+Inputs!H24</f>
        <v>OPORTUN FINANCIA</v>
      </c>
      <c r="C30" s="23" t="str">
        <f>+_xll.BDP(Inputs!K24,"TICKER_AND_EXCH_CODE")</f>
        <v>OPRT US</v>
      </c>
      <c r="D30" s="581" t="str">
        <f>CONCATENATE(_xll.BDP(Inputs!K24,"CRNCY")," ",_xll.BDP(Inputs!K24,"PX_YEST_CLOSE"))</f>
        <v>USD 6,73</v>
      </c>
      <c r="E30" s="447">
        <f>_xll.BDP(Inputs!K24,"PX_YEST_CLOSE")/_xll.BDP(Inputs!K24,"HIGH_52WEEK")</f>
        <v>0.72796106003245009</v>
      </c>
      <c r="F30" s="582">
        <f>_xll.BDP(Inputs!$K24, "CUR_MKT_CAP", "SCALING_FORMAT=" &amp; Inputs!$R$18)</f>
        <v>287.16132847499995</v>
      </c>
      <c r="G30" s="582">
        <f>_xll.BDP(Inputs!$K24, "ENTERPRISE_VALUE", "SCALING_FORMAT=" &amp; Inputs!$R$18)</f>
        <v>1182.2452968399998</v>
      </c>
      <c r="H30" s="23"/>
      <c r="I30" s="583">
        <f>G30/_xll.BQL(Inputs!$K24, "sales_rev_turn(fpt = ltm, fa_adjusted = y, fs = mr)/1"&amp;IF(Inputs!$R$18="BLN","b",IF(Inputs!$R$18="MLN","m","k")))</f>
        <v>1.9257161653947956</v>
      </c>
      <c r="J30" s="583">
        <f>G30/_xll.BQL(Inputs!$K24, "sales_rev_turn(fpr = 2025, fpt = a, ae = e, fa_adjusted = y, fs = mr)/1"&amp;IF(Inputs!$R$18="BLN","b",IF(Inputs!$R$18="MLN","m","k")))</f>
        <v>1.2405512033997899</v>
      </c>
      <c r="K30" s="584">
        <f>G30/_xll.BQL(Inputs!$K24, "sales_rev_turn(fpr = 2026, fpt = a, ae = e, fa_adjusted = y, fs = mr)/1"&amp;IF(Inputs!$R$18="BLN","b",IF(Inputs!$R$18="MLN","m","k")))</f>
        <v>1.1682265779051382</v>
      </c>
      <c r="L30" s="583">
        <f>G30/_xll.BQL(Inputs!$K24, "ebitda(fpt = ltm, fa_adjusted = y, fs = mr)/1"&amp;IF(Inputs!$R$18="BLN","b",IF(Inputs!$R$18="MLN","m","k")))</f>
        <v>3.6409827284458198</v>
      </c>
      <c r="M30" s="583">
        <f>G30/_xll.BQL(Inputs!$K24, "ebitda(fpr = 2025, fpt = a, ae = e, fa_adjusted = y, fs = mr)/1"&amp;IF(Inputs!$R$18="BLN","b",IF(Inputs!$R$18="MLN","m","k")))</f>
        <v>8.4566902492131604</v>
      </c>
      <c r="N30" s="584">
        <f>G30/_xll.BQL(Inputs!$K24, "ebitda(fpr = 2026, fpt = a, ae = e, fa_adjusted = y, fs = mr)/1"&amp;IF(Inputs!$R$18="BLN","b",IF(Inputs!$R$18="MLN","m","k")))</f>
        <v>6.5101613262114526</v>
      </c>
      <c r="O30" s="583">
        <f>G30/_xll.BQL(Inputs!$K24, "is_oper_inc(fpt = ltm, fa_adjusted = y, fs = mr)/1"&amp;IF(Inputs!$R$18="BLN","b",IF(Inputs!$R$18="MLN","m","k")))</f>
        <v>55.041915212067593</v>
      </c>
      <c r="P30" s="583">
        <f>G30/_xll.BQL(Inputs!$K24, "is_oper_inc(fpr = 2025, fpt = a, ae = e, fa_adjusted = y, fs = mr)/1"&amp;IF(Inputs!$R$18="BLN","b",IF(Inputs!$R$18="MLN","m","k")))</f>
        <v>45.470972955384617</v>
      </c>
      <c r="Q30" s="584">
        <f>G30/_xll.BQL(Inputs!$K24, "is_oper_inc(fpr = 2026, fpt = a, ae = e, fa_adjusted = y, fs = mr)/1"&amp;IF(Inputs!$R$18="BLN","b",IF(Inputs!$R$18="MLN","m","k")))</f>
        <v>28.148697543809519</v>
      </c>
      <c r="R30" s="23"/>
      <c r="S30" s="455">
        <f>_xll.BQL(Inputs!$K24, "ebitda(fpt = ltm, fa_adjusted = y, fs = mr)/1"&amp;IF(Inputs!$R$18="BLN","b",IF(Inputs!$R$18="MLN","m","k")))/_xll.BQL(Inputs!$K24, "sales_rev_turn(fpt = ltm, fa_adjusted = y, fs = mr)/1"&amp;IF(Inputs!$R$18="BLN","b",IF(Inputs!$R$18="MLN","m","k")))</f>
        <v>0.52890010994828363</v>
      </c>
      <c r="T30" s="583">
        <f>_xll.BDP(Inputs!$K24,"TOT_DEBT_TO_EBITDA")</f>
        <v>3.3133651165748339</v>
      </c>
      <c r="U30" s="585"/>
      <c r="V30" s="583">
        <f>F30/_xll.BQL(Inputs!$K24, "earn_for_common(fpt = ltm, fa_adjusted = y, fs = mr)/1"&amp;IF(Inputs!$R$18="BLN","b",IF(Inputs!$R$18="MLN","m","k")))</f>
        <v>31.369334497056304</v>
      </c>
      <c r="W30" s="583">
        <f>F30/_xll.BQL(Inputs!$K24, "EARN_FOR_COMMON(fpr = 2025, fpt = a, ae = e, fa_adjusted = y, fs = mr)/1"&amp;IF(Inputs!$R$18="BLN","b",IF(Inputs!$R$18="MLN","m","k")))</f>
        <v>4.9891518970588233</v>
      </c>
      <c r="X30" s="583">
        <f>F30/_xll.BQL(Inputs!$K24, "EARN_FOR_COMMON(fpr = 2026, fpt = a, ae = e, fa_adjusted = y, fs = mr)/1"&amp;IF(Inputs!$R$18="BLN","b",IF(Inputs!$R$18="MLN","m","k")))</f>
        <v>3.6903420218927843</v>
      </c>
      <c r="Y30" s="585"/>
      <c r="Z30" s="455" t="e">
        <f>(_xll.BQL(Inputs!$K24, "EARN_FOR_COMMON(fpr = 2028, fpt = a, ae = e, fa_adjusted = y, fs = mr)")/_xll.BQL(Inputs!$K24, "EARN_FOR_COMMON(fpr = 2025, fpt = a, ae = e, fa_adjusted = y, fs = mr)"))^(1/3)-1</f>
        <v>#VALUE!</v>
      </c>
      <c r="AA30" s="23"/>
    </row>
    <row r="31" spans="2:27" ht="15" customHeight="1">
      <c r="B31" s="23" t="str">
        <f>+Inputs!H25</f>
        <v>GREEN DOT CORP-A</v>
      </c>
      <c r="C31" s="23" t="str">
        <f>+_xll.BDP(Inputs!K25,"TICKER_AND_EXCH_CODE")</f>
        <v>GDOT US</v>
      </c>
      <c r="D31" s="581" t="str">
        <f>CONCATENATE(_xll.BDP(Inputs!K25,"CRNCY")," ",_xll.BDP(Inputs!K25,"PX_YEST_CLOSE"))</f>
        <v>USD 14,8</v>
      </c>
      <c r="E31" s="447">
        <f>_xll.BDP(Inputs!K25,"PX_YEST_CLOSE")/_xll.BDP(Inputs!K25,"HIGH_52WEEK")</f>
        <v>0.96042154718719785</v>
      </c>
      <c r="F31" s="582">
        <f>_xll.BDP(Inputs!$K25, "CUR_MKT_CAP", "SCALING_FORMAT=" &amp; Inputs!$R$18)</f>
        <v>810.39527415000009</v>
      </c>
      <c r="G31" s="582">
        <f>_xll.BDP(Inputs!$K25, "ENTERPRISE_VALUE", "SCALING_FORMAT=" &amp; Inputs!$R$18)</f>
        <v>670.47063999999989</v>
      </c>
      <c r="H31" s="23"/>
      <c r="I31" s="583">
        <f>G31/_xll.BQL(Inputs!$K25, "sales_rev_turn(fpt = ltm, fa_adjusted = y, fs = mr)/1"&amp;IF(Inputs!$R$18="BLN","b",IF(Inputs!$R$18="MLN","m","k")))</f>
        <v>0.34778749227753458</v>
      </c>
      <c r="J31" s="583">
        <f>G31/_xll.BQL(Inputs!$K25, "sales_rev_turn(fpr = 2025, fpt = a, ae = e, fa_adjusted = y, fs = mr)/1"&amp;IF(Inputs!$R$18="BLN","b",IF(Inputs!$R$18="MLN","m","k")))</f>
        <v>0.32684626584335391</v>
      </c>
      <c r="K31" s="584">
        <f>G31/_xll.BQL(Inputs!$K25, "sales_rev_turn(fpr = 2026, fpt = a, ae = e, fa_adjusted = y, fs = mr)/1"&amp;IF(Inputs!$R$18="BLN","b",IF(Inputs!$R$18="MLN","m","k")))</f>
        <v>0.29193206386066761</v>
      </c>
      <c r="L31" s="583">
        <f>G31/_xll.BQL(Inputs!$K25, "ebitda(fpt = ltm, fa_adjusted = y, fs = mr)/1"&amp;IF(Inputs!$R$18="BLN","b",IF(Inputs!$R$18="MLN","m","k")))</f>
        <v>3.6240480849269749</v>
      </c>
      <c r="M31" s="583">
        <f>G31/_xll.BQL(Inputs!$K25, "ebitda(fpr = 2025, fpt = a, ae = e, fa_adjusted = y, fs = mr)/1"&amp;IF(Inputs!$R$18="BLN","b",IF(Inputs!$R$18="MLN","m","k")))</f>
        <v>4.0882356097560972</v>
      </c>
      <c r="N31" s="584">
        <f>G31/_xll.BQL(Inputs!$K25, "ebitda(fpr = 2026, fpt = a, ae = e, fa_adjusted = y, fs = mr)/1"&amp;IF(Inputs!$R$18="BLN","b",IF(Inputs!$R$18="MLN","m","k")))</f>
        <v>3.8385723664122051</v>
      </c>
      <c r="O31" s="583">
        <f>G31/_xll.BQL(Inputs!$K25, "is_oper_inc(fpt = ltm, fa_adjusted = y, fs = mr)/1"&amp;IF(Inputs!$R$18="BLN","b",IF(Inputs!$R$18="MLN","m","k")))</f>
        <v>6.7550994418360961</v>
      </c>
      <c r="P31" s="583">
        <f>G31/_xll.BQL(Inputs!$K25, "is_oper_inc(fpr = 2025, fpt = a, ae = e, fa_adjusted = y, fs = mr)/1"&amp;IF(Inputs!$R$18="BLN","b",IF(Inputs!$R$18="MLN","m","k")))</f>
        <v>16.486982950819669</v>
      </c>
      <c r="Q31" s="584">
        <f>G31/_xll.BQL(Inputs!$K25, "is_oper_inc(fpr = 2026, fpt = a, ae = e, fa_adjusted = y, fs = mr)/1"&amp;IF(Inputs!$R$18="BLN","b",IF(Inputs!$R$18="MLN","m","k")))</f>
        <v>12.080552072072072</v>
      </c>
      <c r="R31" s="23"/>
      <c r="S31" s="455">
        <f>_xll.BQL(Inputs!$K25, "ebitda(fpt = ltm, fa_adjusted = y, fs = mr)/1"&amp;IF(Inputs!$R$18="BLN","b",IF(Inputs!$R$18="MLN","m","k")))/_xll.BQL(Inputs!$K25, "sales_rev_turn(fpt = ltm, fa_adjusted = y, fs = mr)/1"&amp;IF(Inputs!$R$18="BLN","b",IF(Inputs!$R$18="MLN","m","k")))</f>
        <v>9.5966577740522058E-2</v>
      </c>
      <c r="T31" s="583">
        <f>_xll.BDP(Inputs!$K25,"TOT_DEBT_TO_EBITDA")</f>
        <v>0.42831546448310687</v>
      </c>
      <c r="U31" s="585"/>
      <c r="V31" s="583">
        <f>F31/_xll.BQL(Inputs!$K25, "earn_for_common(fpt = ltm, fa_adjusted = y, fs = mr)/1"&amp;IF(Inputs!$R$18="BLN","b",IF(Inputs!$R$18="MLN","m","k")))</f>
        <v>15.99191419733036</v>
      </c>
      <c r="W31" s="583">
        <f>F31/_xll.BQL(Inputs!$K25, "EARN_FOR_COMMON(fpr = 2025, fpt = a, ae = e, fa_adjusted = y, fs = mr)/1"&amp;IF(Inputs!$R$18="BLN","b",IF(Inputs!$R$18="MLN","m","k")))</f>
        <v>10.892409598790323</v>
      </c>
      <c r="X31" s="583">
        <f>F31/_xll.BQL(Inputs!$K25, "EARN_FOR_COMMON(fpr = 2026, fpt = a, ae = e, fa_adjusted = y, fs = mr)/1"&amp;IF(Inputs!$R$18="BLN","b",IF(Inputs!$R$18="MLN","m","k")))</f>
        <v>9.6018397411137446</v>
      </c>
      <c r="Y31" s="585"/>
      <c r="Z31" s="455">
        <f>(_xll.BQL(Inputs!$K25, "EARN_FOR_COMMON(fpr = 2028, fpt = a, ae = e, fa_adjusted = y, fs = mr)")/_xll.BQL(Inputs!$K25, "EARN_FOR_COMMON(fpr = 2025, fpt = a, ae = e, fa_adjusted = y, fs = mr)"))^(1/3)-1</f>
        <v>0.28807572689509398</v>
      </c>
      <c r="AA31" s="23"/>
    </row>
    <row r="32" spans="2:27" ht="15" customHeight="1">
      <c r="B32" s="23"/>
      <c r="C32" s="23"/>
      <c r="D32" s="23"/>
      <c r="E32" s="23"/>
      <c r="F32" s="23"/>
      <c r="G32" s="23"/>
      <c r="H32" s="23"/>
      <c r="I32" s="23"/>
      <c r="J32" s="23"/>
      <c r="K32" s="585"/>
      <c r="L32" s="23"/>
      <c r="M32" s="23"/>
      <c r="N32" s="585"/>
      <c r="O32" s="23"/>
      <c r="P32" s="23"/>
      <c r="Q32" s="585"/>
      <c r="R32" s="23"/>
      <c r="S32" s="23"/>
      <c r="T32" s="23"/>
      <c r="U32" s="585"/>
      <c r="V32" s="23"/>
      <c r="W32" s="23"/>
      <c r="X32" s="23"/>
      <c r="Y32" s="585"/>
      <c r="Z32" s="23"/>
      <c r="AA32" s="23"/>
    </row>
    <row r="33" spans="2:26" ht="15" customHeight="1">
      <c r="B33" s="586" t="s">
        <v>308</v>
      </c>
      <c r="C33" s="587"/>
      <c r="D33" s="587"/>
      <c r="E33" s="587"/>
      <c r="F33" s="587"/>
      <c r="G33" s="587"/>
      <c r="H33" s="587"/>
      <c r="I33" s="588">
        <f>AVERAGE(I27:I31)</f>
        <v>3.2605737113132056</v>
      </c>
      <c r="J33" s="588">
        <f t="shared" ref="J33:K33" si="4">AVERAGE(J27:J31)</f>
        <v>3.377147432237932</v>
      </c>
      <c r="K33" s="589">
        <f t="shared" si="4"/>
        <v>2.4581123840759687</v>
      </c>
      <c r="L33" s="588">
        <f>AVERAGE(L27:L31)</f>
        <v>22.951608893866617</v>
      </c>
      <c r="M33" s="588">
        <f t="shared" ref="M33:Q33" si="5">AVERAGE(M27:M31)</f>
        <v>13.720624983439697</v>
      </c>
      <c r="N33" s="589">
        <f t="shared" si="5"/>
        <v>9.7334745568196031</v>
      </c>
      <c r="O33" s="588">
        <f t="shared" si="5"/>
        <v>53.196902972250356</v>
      </c>
      <c r="P33" s="588">
        <f t="shared" si="5"/>
        <v>67.847488262295968</v>
      </c>
      <c r="Q33" s="589">
        <f t="shared" si="5"/>
        <v>22.909423145016063</v>
      </c>
      <c r="R33" s="587"/>
      <c r="S33" s="590">
        <f>AVERAGE(S27:S31)</f>
        <v>0.30759989626275847</v>
      </c>
      <c r="T33" s="588">
        <f>AVERAGE(T27:T31)</f>
        <v>1.5675761981219447</v>
      </c>
      <c r="U33" s="591"/>
      <c r="V33" s="588">
        <f t="shared" ref="V33:X33" si="6">AVERAGE(V27:V31)</f>
        <v>77.519693461782651</v>
      </c>
      <c r="W33" s="588">
        <f t="shared" si="6"/>
        <v>31.127633924083955</v>
      </c>
      <c r="X33" s="588">
        <f t="shared" si="6"/>
        <v>19.800109732110041</v>
      </c>
      <c r="Y33" s="591"/>
      <c r="Z33" s="590" t="e">
        <f>AVERAGE(Z27:Z31)</f>
        <v>#VALUE!</v>
      </c>
    </row>
    <row r="34" spans="2:26" ht="15" customHeight="1">
      <c r="B34" s="592" t="s">
        <v>309</v>
      </c>
      <c r="C34" s="593"/>
      <c r="D34" s="593"/>
      <c r="E34" s="593"/>
      <c r="F34" s="593"/>
      <c r="G34" s="593"/>
      <c r="H34" s="593"/>
      <c r="I34" s="594">
        <f>MEDIAN(I27:I31)</f>
        <v>1.9257161653947956</v>
      </c>
      <c r="J34" s="594">
        <f t="shared" ref="J34:K34" si="7">MEDIAN(J27:J31)</f>
        <v>1.2405512033997899</v>
      </c>
      <c r="K34" s="595">
        <f t="shared" si="7"/>
        <v>1.1682265779051382</v>
      </c>
      <c r="L34" s="594">
        <f>MEDIAN(L27:L31)</f>
        <v>3.6409827284458198</v>
      </c>
      <c r="M34" s="594">
        <f t="shared" ref="M34:Q34" si="8">MEDIAN(M27:M31)</f>
        <v>8.4566902492131604</v>
      </c>
      <c r="N34" s="595">
        <f t="shared" si="8"/>
        <v>6.5101613262114526</v>
      </c>
      <c r="O34" s="594">
        <f t="shared" si="8"/>
        <v>55.041915212067593</v>
      </c>
      <c r="P34" s="594">
        <f t="shared" si="8"/>
        <v>45.470972955384617</v>
      </c>
      <c r="Q34" s="595">
        <f t="shared" si="8"/>
        <v>24.500954587625809</v>
      </c>
      <c r="R34" s="593"/>
      <c r="S34" s="596">
        <f t="shared" ref="S34:T34" si="9">MEDIAN(S27:S31)</f>
        <v>0.39339559313933287</v>
      </c>
      <c r="T34" s="594">
        <f t="shared" si="9"/>
        <v>1.4448818577378464</v>
      </c>
      <c r="U34" s="597"/>
      <c r="V34" s="594">
        <f t="shared" ref="V34:X34" si="10">MEDIAN(V27:V31)</f>
        <v>31.369334497056304</v>
      </c>
      <c r="W34" s="594">
        <f t="shared" si="10"/>
        <v>16.244593707321922</v>
      </c>
      <c r="X34" s="594">
        <f t="shared" si="10"/>
        <v>11.746090834525083</v>
      </c>
      <c r="Y34" s="597"/>
      <c r="Z34" s="596" t="e">
        <f>MEDIAN(Z27:Z31)</f>
        <v>#VALUE!</v>
      </c>
    </row>
    <row r="36" spans="2:26" s="536" customFormat="1" ht="15" customHeight="1">
      <c r="B36" s="355" t="s">
        <v>311</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4"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4"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str">
        <f>+Inputs!N21</f>
        <v>SYNCHRONY FINANC</v>
      </c>
      <c r="C39" s="23" t="str">
        <f>+_xll.BDP(Inputs!Q21,"TICKER_AND_EXCH_CODE")</f>
        <v>SYF US</v>
      </c>
      <c r="D39" s="581" t="str">
        <f>CONCATENATE(_xll.BDP(Inputs!Q21,"CRNCY")," ",_xll.BDP(Inputs!Q21,"PX_YEST_CLOSE"))</f>
        <v>USD 74,74</v>
      </c>
      <c r="E39" s="447">
        <f>_xll.BDP(Inputs!Q21,"PX_YEST_CLOSE")/_xll.BDP(Inputs!Q21,"HIGH_52WEEK")</f>
        <v>0.96550833225681432</v>
      </c>
      <c r="F39" s="582">
        <f>_xll.BDP(Inputs!$Q21, "CUR_MKT_CAP", "SCALING_FORMAT=" &amp; Inputs!$R$18)</f>
        <v>27707.12559956</v>
      </c>
      <c r="G39" s="582">
        <f>_xll.BDP(Inputs!$Q21, "ENTERPRISE_VALUE", "SCALING_FORMAT=" &amp; Inputs!$R$18)</f>
        <v>22625.465408559998</v>
      </c>
      <c r="H39" s="23"/>
      <c r="I39" s="583">
        <f>G39/_xll.BQL(Inputs!$Q21, "sales_rev_turn(fpt = ltm, fa_adjusted = y, fs = mr)/1"&amp;IF(Inputs!$R$18="BLN","b",IF(Inputs!$R$18="MLN","m","k")))</f>
        <v>0.97755305286498151</v>
      </c>
      <c r="J39" s="583">
        <f>G39/_xll.BQL(Inputs!$Q21, "sales_rev_turn(fpr = 2025, fpt = a, ae = e, fa_adjusted = y, fs = mr)/1"&amp;IF(Inputs!$R$18="BLN","b",IF(Inputs!$R$18="MLN","m","k")))</f>
        <v>1.5028171198335964</v>
      </c>
      <c r="K39" s="584">
        <f>G39/_xll.BQL(Inputs!$Q21, "sales_rev_turn(fpr = 2026, fpt = a, ae = e, fa_adjusted = y, fs = mr)/1"&amp;IF(Inputs!$R$18="BLN","b",IF(Inputs!$R$18="MLN","m","k")))</f>
        <v>1.4226586606571445</v>
      </c>
      <c r="L39" s="583">
        <f>G39/_xll.BQL(Inputs!$Q21, "ebitda(fpt = ltm, fa_adjusted = y, fs = mr)/1"&amp;IF(Inputs!$R$18="BLN","b",IF(Inputs!$R$18="MLN","m","k")))</f>
        <v>1.7547281998262756</v>
      </c>
      <c r="M39" s="583">
        <f>G39/_xll.BQL(Inputs!$Q21, "ebitda(fpr = 2025, fpt = a, ae = e, fa_adjusted = y, fs = mr)/1"&amp;IF(Inputs!$R$18="BLN","b",IF(Inputs!$R$18="MLN","m","k")))</f>
        <v>3.4730931627231558</v>
      </c>
      <c r="N39" s="584">
        <f>G39/_xll.BQL(Inputs!$Q21, "ebitda(fpr = 2026, fpt = a, ae = e, fa_adjusted = y, fs = mr)/1"&amp;IF(Inputs!$R$18="BLN","b",IF(Inputs!$R$18="MLN","m","k")))</f>
        <v>3.6960655735620351</v>
      </c>
      <c r="O39" s="583">
        <f>G39/_xll.BQL(Inputs!$Q21, "is_oper_inc(fpt = ltm, fa_adjusted = y, fs = mr)/1"&amp;IF(Inputs!$R$18="BLN","b",IF(Inputs!$R$18="MLN","m","k")))</f>
        <v>5.3349364321056347</v>
      </c>
      <c r="P39" s="583">
        <f>G39/_xll.BQL(Inputs!$Q21, "is_oper_inc(fpr = 2025, fpt = a, ae = e, fa_adjusted = y, fs = mr)/1"&amp;IF(Inputs!$R$18="BLN","b",IF(Inputs!$R$18="MLN","m","k")))</f>
        <v>5.2922589372567366</v>
      </c>
      <c r="Q39" s="584">
        <f>G39/_xll.BQL(Inputs!$Q21, "is_oper_inc(fpr = 2026, fpt = a, ae = e, fa_adjusted = y, fs = mr)/1"&amp;IF(Inputs!$R$18="BLN","b",IF(Inputs!$R$18="MLN","m","k")))</f>
        <v>4.2580428289559773</v>
      </c>
      <c r="R39" s="23"/>
      <c r="S39" s="455">
        <f>_xll.BQL(Inputs!$Q21, "ebitda(fpt = ltm, fa_adjusted = y, fs = mr)/1"&amp;IF(Inputs!$R$18="BLN","b",IF(Inputs!$R$18="MLN","m","k")))/_xll.BQL(Inputs!$Q21, "sales_rev_turn(fpt = ltm, fa_adjusted = y, fs = mr)/1"&amp;IF(Inputs!$R$18="BLN","b",IF(Inputs!$R$18="MLN","m","k")))</f>
        <v>0.5570965651328581</v>
      </c>
      <c r="T39" s="583">
        <f>_xll.BDP(Inputs!$Q21,"TOT_DEBT_TO_EBITDA")</f>
        <v>1.2415852334419111</v>
      </c>
      <c r="U39" s="585"/>
      <c r="V39" s="583">
        <f>F39/_xll.BQL(Inputs!$Q21, "earn_for_common(fpt = ltm, fa_adjusted = y, fs = mr)/1"&amp;IF(Inputs!$R$18="BLN","b",IF(Inputs!$R$18="MLN","m","k")))</f>
        <v>8.650367030771152</v>
      </c>
      <c r="W39" s="583">
        <f>F39/_xll.BQL(Inputs!$Q21, "EARN_FOR_COMMON(fpr = 2025, fpt = a, ae = e, fa_adjusted = y, fs = mr)/1"&amp;IF(Inputs!$R$18="BLN","b",IF(Inputs!$R$18="MLN","m","k")))</f>
        <v>8.5785001082284946</v>
      </c>
      <c r="X39" s="583">
        <f>F39/_xll.BQL(Inputs!$Q21, "EARN_FOR_COMMON(fpr = 2026, fpt = a, ae = e, fa_adjusted = y, fs = mr)/1"&amp;IF(Inputs!$R$18="BLN","b",IF(Inputs!$R$18="MLN","m","k")))</f>
        <v>8.7894022204377702</v>
      </c>
      <c r="Y39" s="585"/>
      <c r="Z39" s="455">
        <f>(_xll.BQL(Inputs!$Q21, "EARN_FOR_COMMON(fpr = 2028, fpt = a, ae = e, fa_adjusted = y, fs = mr)")/_xll.BQL(Inputs!$Q21, "EARN_FOR_COMMON(fpr = 2025, fpt = a, ae = e, fa_adjusted = y, fs = mr)"))^(1/3)-1</f>
        <v>-2.1423398695274987E-2</v>
      </c>
    </row>
    <row r="40" spans="2:26" ht="15" customHeight="1">
      <c r="B40" s="23" t="str">
        <f>+Inputs!N22</f>
        <v>DISCOVER FINANCI</v>
      </c>
      <c r="C40" s="23" t="str">
        <f>+_xll.BDP(Inputs!Q22,"TICKER_AND_EXCH_CODE")</f>
        <v>DFS US</v>
      </c>
      <c r="D40" s="581" t="e">
        <f ca="1">CONCATENATE(_xll.BDP(Inputs!Q22,"CRNCY")," ",_xll.BDP(Inputs!Q22,"PX_YEST_CLOSE"))</f>
        <v>#NAME?</v>
      </c>
      <c r="E40" s="447" t="e">
        <f>_xll.BDP(Inputs!Q22,"PX_YEST_CLOSE")/_xll.BDP(Inputs!Q22,"HIGH_52WEEK")</f>
        <v>#VALUE!</v>
      </c>
      <c r="F40" s="582" t="str">
        <f>_xll.BDP(Inputs!$Q22, "CUR_MKT_CAP", "SCALING_FORMAT=" &amp; Inputs!$R$18)</f>
        <v>#N/A N/A</v>
      </c>
      <c r="G40" s="582">
        <f>_xll.BDP(Inputs!$Q22, "ENTERPRISE_VALUE", "SCALING_FORMAT=" &amp; Inputs!$R$18)</f>
        <v>46682.070982799996</v>
      </c>
      <c r="H40" s="23"/>
      <c r="I40" s="583">
        <f>G40/_xll.BQL(Inputs!$Q22, "sales_rev_turn(fpt = ltm, fa_adjusted = y, fs = mr)/1"&amp;IF(Inputs!$R$18="BLN","b",IF(Inputs!$R$18="MLN","m","k")))</f>
        <v>1.9858795670566212</v>
      </c>
      <c r="J40" s="583">
        <f>G40/_xll.BQL(Inputs!$Q22, "sales_rev_turn(fpr = 2025, fpt = a, ae = e, fa_adjusted = y, fs = mr)/1"&amp;IF(Inputs!$R$18="BLN","b",IF(Inputs!$R$18="MLN","m","k")))</f>
        <v>2.6836102374383808</v>
      </c>
      <c r="K40" s="584">
        <f>G40/_xll.BQL(Inputs!$Q22, "sales_rev_turn(fpr = 2026, fpt = a, ae = e, fa_adjusted = y, fs = mr)/1"&amp;IF(Inputs!$R$18="BLN","b",IF(Inputs!$R$18="MLN","m","k")))</f>
        <v>2.5815267539653681</v>
      </c>
      <c r="L40" s="583">
        <f>G40/_xll.BQL(Inputs!$Q22, "ebitda(fpt = ltm, fa_adjusted = y, fs = mr)/1"&amp;IF(Inputs!$R$18="BLN","b",IF(Inputs!$R$18="MLN","m","k")))</f>
        <v>3.8516560216831679</v>
      </c>
      <c r="M40" s="583">
        <f>G40/_xll.BQL(Inputs!$Q22, "ebitda(fpr = 2025, fpt = a, ae = e, fa_adjusted = y, fs = mr)/1"&amp;IF(Inputs!$R$18="BLN","b",IF(Inputs!$R$18="MLN","m","k")))</f>
        <v>6.8368586676625656</v>
      </c>
      <c r="N40" s="584">
        <f>G40/_xll.BQL(Inputs!$Q22, "ebitda(fpr = 2026, fpt = a, ae = e, fa_adjusted = y, fs = mr)/1"&amp;IF(Inputs!$R$18="BLN","b",IF(Inputs!$R$18="MLN","m","k")))</f>
        <v>6.3991872491843722</v>
      </c>
      <c r="O40" s="583">
        <f>G40/_xll.BQL(Inputs!$Q22, "is_oper_inc(fpt = ltm, fa_adjusted = y, fs = mr)/1"&amp;IF(Inputs!$R$18="BLN","b",IF(Inputs!$R$18="MLN","m","k")))</f>
        <v>7.2952134681669003</v>
      </c>
      <c r="P40" s="583">
        <f>G40/_xll.BQL(Inputs!$Q22, "is_oper_inc(fpr = 2025, fpt = a, ae = e, fa_adjusted = y, fs = mr)/1"&amp;IF(Inputs!$R$18="BLN","b",IF(Inputs!$R$18="MLN","m","k")))</f>
        <v>9.3701467247691674</v>
      </c>
      <c r="Q40" s="584">
        <f>G40/_xll.BQL(Inputs!$Q22, "is_oper_inc(fpr = 2026, fpt = a, ae = e, fa_adjusted = y, fs = mr)/1"&amp;IF(Inputs!$R$18="BLN","b",IF(Inputs!$R$18="MLN","m","k")))</f>
        <v>6.5043989107983835</v>
      </c>
      <c r="R40" s="23"/>
      <c r="S40" s="455">
        <f>_xll.BQL(Inputs!$Q22, "ebitda(fpt = ltm, fa_adjusted = y, fs = mr)/1"&amp;IF(Inputs!$R$18="BLN","b",IF(Inputs!$R$18="MLN","m","k")))/_xll.BQL(Inputs!$Q22, "sales_rev_turn(fpt = ltm, fa_adjusted = y, fs = mr)/1"&amp;IF(Inputs!$R$18="BLN","b",IF(Inputs!$R$18="MLN","m","k")))</f>
        <v>0.51559110052324841</v>
      </c>
      <c r="T40" s="583">
        <f>_xll.BDP(Inputs!$Q22,"TOT_DEBT_TO_EBITDA")</f>
        <v>1.1995049504950495</v>
      </c>
      <c r="U40" s="585"/>
      <c r="V40" s="583" t="e">
        <f>F40/_xll.BQL(Inputs!$Q22, "earn_for_common(fpt = ltm, fa_adjusted = y, fs = mr)/1"&amp;IF(Inputs!$R$18="BLN","b",IF(Inputs!$R$18="MLN","m","k")))</f>
        <v>#VALUE!</v>
      </c>
      <c r="W40" s="583" t="e">
        <f>F40/_xll.BQL(Inputs!$Q22, "EARN_FOR_COMMON(fpr = 2025, fpt = a, ae = e, fa_adjusted = y, fs = mr)/1"&amp;IF(Inputs!$R$18="BLN","b",IF(Inputs!$R$18="MLN","m","k")))</f>
        <v>#VALUE!</v>
      </c>
      <c r="X40" s="583" t="e">
        <f>F40/_xll.BQL(Inputs!$Q22, "EARN_FOR_COMMON(fpr = 2026, fpt = a, ae = e, fa_adjusted = y, fs = mr)/1"&amp;IF(Inputs!$R$18="BLN","b",IF(Inputs!$R$18="MLN","m","k")))</f>
        <v>#VALUE!</v>
      </c>
      <c r="Y40" s="585"/>
      <c r="Z40" s="455">
        <f>(_xll.BQL(Inputs!$Q22, "EARN_FOR_COMMON(fpr = 2028, fpt = a, ae = e, fa_adjusted = y, fs = mr)")/_xll.BQL(Inputs!$Q22, "EARN_FOR_COMMON(fpr = 2025, fpt = a, ae = e, fa_adjusted = y, fs = mr)"))^(1/3)-1</f>
        <v>8.0816249874549051E-3</v>
      </c>
    </row>
    <row r="41" spans="2:26" ht="15" customHeight="1">
      <c r="B41" s="23" t="str">
        <f>+Inputs!N23</f>
        <v>CAPITAL ONE FINA</v>
      </c>
      <c r="C41" s="23" t="str">
        <f>+_xll.BDP(Inputs!Q23,"TICKER_AND_EXCH_CODE")</f>
        <v>COF US</v>
      </c>
      <c r="D41" s="581" t="str">
        <f>CONCATENATE(_xll.BDP(Inputs!Q23,"CRNCY")," ",_xll.BDP(Inputs!Q23,"PX_YEST_CLOSE"))</f>
        <v>USD 223,02</v>
      </c>
      <c r="E41" s="447">
        <f>_xll.BDP(Inputs!Q23,"PX_YEST_CLOSE")/_xll.BDP(Inputs!Q23,"HIGH_52WEEK")</f>
        <v>0.95941438811843882</v>
      </c>
      <c r="F41" s="582">
        <f>_xll.BDP(Inputs!$Q23, "CUR_MKT_CAP", "SCALING_FORMAT=" &amp; Inputs!$R$18)</f>
        <v>143718.72417737998</v>
      </c>
      <c r="G41" s="582">
        <f>_xll.BDP(Inputs!$Q23, "ENTERPRISE_VALUE", "SCALING_FORMAT=" &amp; Inputs!$R$18)</f>
        <v>135027.70202455999</v>
      </c>
      <c r="H41" s="23"/>
      <c r="I41" s="583">
        <f>G41/_xll.BQL(Inputs!$Q23, "sales_rev_turn(fpt = ltm, fa_adjusted = y, fs = mr)/1"&amp;IF(Inputs!$R$18="BLN","b",IF(Inputs!$R$18="MLN","m","k")))</f>
        <v>2.3549837282131953</v>
      </c>
      <c r="J41" s="583">
        <f>G41/_xll.BQL(Inputs!$Q23, "sales_rev_turn(fpr = 2025, fpt = a, ae = e, fa_adjusted = y, fs = mr)/1"&amp;IF(Inputs!$R$18="BLN","b",IF(Inputs!$R$18="MLN","m","k")))</f>
        <v>2.5561640043760119</v>
      </c>
      <c r="K41" s="584">
        <f>G41/_xll.BQL(Inputs!$Q23, "sales_rev_turn(fpr = 2026, fpt = a, ae = e, fa_adjusted = y, fs = mr)/1"&amp;IF(Inputs!$R$18="BLN","b",IF(Inputs!$R$18="MLN","m","k")))</f>
        <v>2.1615568664905758</v>
      </c>
      <c r="L41" s="583">
        <f>G41/_xll.BQL(Inputs!$Q23, "ebitda(fpt = ltm, fa_adjusted = y, fs = mr)/1"&amp;IF(Inputs!$R$18="BLN","b",IF(Inputs!$R$18="MLN","m","k")))</f>
        <v>7.4338087439198404</v>
      </c>
      <c r="M41" s="583">
        <f>G41/_xll.BQL(Inputs!$Q23, "ebitda(fpr = 2025, fpt = a, ae = e, fa_adjusted = y, fs = mr)/1"&amp;IF(Inputs!$R$18="BLN","b",IF(Inputs!$R$18="MLN","m","k")))</f>
        <v>10.919417914244384</v>
      </c>
      <c r="N41" s="584">
        <f>G41/_xll.BQL(Inputs!$Q23, "ebitda(fpr = 2026, fpt = a, ae = e, fa_adjusted = y, fs = mr)/1"&amp;IF(Inputs!$R$18="BLN","b",IF(Inputs!$R$18="MLN","m","k")))</f>
        <v>8.7806714442580951</v>
      </c>
      <c r="O41" s="583">
        <f>G41/_xll.BQL(Inputs!$Q23, "is_oper_inc(fpt = ltm, fa_adjusted = y, fs = mr)/1"&amp;IF(Inputs!$R$18="BLN","b",IF(Inputs!$R$18="MLN","m","k")))</f>
        <v>1687.8462753069998</v>
      </c>
      <c r="P41" s="583">
        <f>G41/_xll.BQL(Inputs!$Q23, "is_oper_inc(fpr = 2025, fpt = a, ae = e, fa_adjusted = y, fs = mr)/1"&amp;IF(Inputs!$R$18="BLN","b",IF(Inputs!$R$18="MLN","m","k")))</f>
        <v>26.145864383967158</v>
      </c>
      <c r="Q41" s="584">
        <f>G41/_xll.BQL(Inputs!$Q23, "is_oper_inc(fpr = 2026, fpt = a, ae = e, fa_adjusted = y, fs = mr)/1"&amp;IF(Inputs!$R$18="BLN","b",IF(Inputs!$R$18="MLN","m","k")))</f>
        <v>9.1500780663115791</v>
      </c>
      <c r="R41" s="23"/>
      <c r="S41" s="455">
        <f>_xll.BQL(Inputs!$Q23, "ebitda(fpt = ltm, fa_adjusted = y, fs = mr)/1"&amp;IF(Inputs!$R$18="BLN","b",IF(Inputs!$R$18="MLN","m","k")))/_xll.BQL(Inputs!$Q23, "sales_rev_turn(fpt = ltm, fa_adjusted = y, fs = mr)/1"&amp;IF(Inputs!$R$18="BLN","b",IF(Inputs!$R$18="MLN","m","k")))</f>
        <v>0.3167936934265832</v>
      </c>
      <c r="T41" s="583">
        <f>_xll.BDP(Inputs!$Q23,"TOT_DEBT_TO_EBITDA")</f>
        <v>2.999031945788964</v>
      </c>
      <c r="U41" s="585"/>
      <c r="V41" s="583">
        <f>F41/_xll.BQL(Inputs!$Q23, "earn_for_common(fpt = ltm, fa_adjusted = y, fs = mr)/1"&amp;IF(Inputs!$R$18="BLN","b",IF(Inputs!$R$18="MLN","m","k")))</f>
        <v>871.19828280180855</v>
      </c>
      <c r="W41" s="583">
        <f>F41/_xll.BQL(Inputs!$Q23, "EARN_FOR_COMMON(fpr = 2025, fpt = a, ae = e, fa_adjusted = y, fs = mr)/1"&amp;IF(Inputs!$R$18="BLN","b",IF(Inputs!$R$18="MLN","m","k")))</f>
        <v>18.294523073390895</v>
      </c>
      <c r="X41" s="583">
        <f>F41/_xll.BQL(Inputs!$Q23, "EARN_FOR_COMMON(fpr = 2026, fpt = a, ae = e, fa_adjusted = y, fs = mr)/1"&amp;IF(Inputs!$R$18="BLN","b",IF(Inputs!$R$18="MLN","m","k")))</f>
        <v>12.220500335582981</v>
      </c>
      <c r="Y41" s="585"/>
      <c r="Z41" s="455">
        <f>(_xll.BQL(Inputs!$Q23, "EARN_FOR_COMMON(fpr = 2028, fpt = a, ae = e, fa_adjusted = y, fs = mr)")/_xll.BQL(Inputs!$Q23, "EARN_FOR_COMMON(fpr = 2025, fpt = a, ae = e, fa_adjusted = y, fs = mr)"))^(1/3)-1</f>
        <v>0.23609337436257904</v>
      </c>
    </row>
    <row r="42" spans="2:26" ht="15" customHeight="1">
      <c r="B42" s="23" t="str">
        <f>+Inputs!N24</f>
        <v>ALLY FINANCIAL I</v>
      </c>
      <c r="C42" s="23" t="str">
        <f>+_xll.BDP(Inputs!Q24,"TICKER_AND_EXCH_CODE")</f>
        <v>ALLY US</v>
      </c>
      <c r="D42" s="581" t="str">
        <f>CONCATENATE(_xll.BDP(Inputs!Q24,"CRNCY")," ",_xll.BDP(Inputs!Q24,"PX_YEST_CLOSE"))</f>
        <v>USD 42,68</v>
      </c>
      <c r="E42" s="447">
        <f>_xll.BDP(Inputs!Q24,"PX_YEST_CLOSE")/_xll.BDP(Inputs!Q24,"HIGH_52WEEK")</f>
        <v>0.95204104394378763</v>
      </c>
      <c r="F42" s="582">
        <f>_xll.BDP(Inputs!$Q24, "CUR_MKT_CAP", "SCALING_FORMAT=" &amp; Inputs!$R$18)</f>
        <v>13004.889309749999</v>
      </c>
      <c r="G42" s="582">
        <f>_xll.BDP(Inputs!$Q24, "ENTERPRISE_VALUE", "SCALING_FORMAT=" &amp; Inputs!$R$18)</f>
        <v>23452.289705900002</v>
      </c>
      <c r="H42" s="23"/>
      <c r="I42" s="583">
        <f>G42/_xll.BQL(Inputs!$Q24, "sales_rev_turn(fpt = ltm, fa_adjusted = y, fs = mr)/1"&amp;IF(Inputs!$R$18="BLN","b",IF(Inputs!$R$18="MLN","m","k")))</f>
        <v>1.5051851425389899</v>
      </c>
      <c r="J42" s="583">
        <f>G42/_xll.BQL(Inputs!$Q24, "sales_rev_turn(fpr = 2025, fpt = a, ae = e, fa_adjusted = y, fs = mr)/1"&amp;IF(Inputs!$R$18="BLN","b",IF(Inputs!$R$18="MLN","m","k")))</f>
        <v>2.9403766878846271</v>
      </c>
      <c r="K42" s="584">
        <f>G42/_xll.BQL(Inputs!$Q24, "sales_rev_turn(fpr = 2026, fpt = a, ae = e, fa_adjusted = y, fs = mr)/1"&amp;IF(Inputs!$R$18="BLN","b",IF(Inputs!$R$18="MLN","m","k")))</f>
        <v>2.5830159841637252</v>
      </c>
      <c r="L42" s="583">
        <f>G42/_xll.BQL(Inputs!$Q24, "ebitda(fpt = ltm, fa_adjusted = y, fs = mr)/1"&amp;IF(Inputs!$R$18="BLN","b",IF(Inputs!$R$18="MLN","m","k")))</f>
        <v>2.3758138142493879</v>
      </c>
      <c r="M42" s="583">
        <f>G42/_xll.BQL(Inputs!$Q24, "ebitda(fpr = 2025, fpt = a, ae = e, fa_adjusted = y, fs = mr)/1"&amp;IF(Inputs!$R$18="BLN","b",IF(Inputs!$R$18="MLN","m","k")))</f>
        <v>5.2139372400844826</v>
      </c>
      <c r="N42" s="584">
        <f>G42/_xll.BQL(Inputs!$Q24, "ebitda(fpr = 2026, fpt = a, ae = e, fa_adjusted = y, fs = mr)/1"&amp;IF(Inputs!$R$18="BLN","b",IF(Inputs!$R$18="MLN","m","k")))</f>
        <v>4.5265951951167729</v>
      </c>
      <c r="O42" s="583">
        <f>G42/_xll.BQL(Inputs!$Q24, "is_oper_inc(fpt = ltm, fa_adjusted = y, fs = mr)/1"&amp;IF(Inputs!$R$18="BLN","b",IF(Inputs!$R$18="MLN","m","k")))</f>
        <v>14.456502366326987</v>
      </c>
      <c r="P42" s="583">
        <f>G42/_xll.BQL(Inputs!$Q24, "is_oper_inc(fpr = 2025, fpt = a, ae = e, fa_adjusted = y, fs = mr)/1"&amp;IF(Inputs!$R$18="BLN","b",IF(Inputs!$R$18="MLN","m","k")))</f>
        <v>13.784653040301727</v>
      </c>
      <c r="Q42" s="584">
        <f>G42/_xll.BQL(Inputs!$Q24, "is_oper_inc(fpr = 2026, fpt = a, ae = e, fa_adjusted = y, fs = mr)/1"&amp;IF(Inputs!$R$18="BLN","b",IF(Inputs!$R$18="MLN","m","k")))</f>
        <v>8.6786156042328493</v>
      </c>
      <c r="R42" s="23"/>
      <c r="S42" s="455">
        <f>_xll.BQL(Inputs!$Q24, "ebitda(fpt = ltm, fa_adjusted = y, fs = mr)/1"&amp;IF(Inputs!$R$18="BLN","b",IF(Inputs!$R$18="MLN","m","k")))/_xll.BQL(Inputs!$Q24, "sales_rev_turn(fpt = ltm, fa_adjusted = y, fs = mr)/1"&amp;IF(Inputs!$R$18="BLN","b",IF(Inputs!$R$18="MLN","m","k")))</f>
        <v>0.6335450755910923</v>
      </c>
      <c r="T42" s="583">
        <f>_xll.BDP(Inputs!$Q24,"TOT_DEBT_TO_EBITDA")</f>
        <v>2.2568912272675283</v>
      </c>
      <c r="U42" s="585"/>
      <c r="V42" s="583">
        <f>F42/_xll.BQL(Inputs!$Q24, "earn_for_common(fpt = ltm, fa_adjusted = y, fs = mr)/1"&amp;IF(Inputs!$R$18="BLN","b",IF(Inputs!$R$18="MLN","m","k")))</f>
        <v>9.7852621591430839</v>
      </c>
      <c r="W42" s="583">
        <f>F42/_xll.BQL(Inputs!$Q24, "EARN_FOR_COMMON(fpr = 2025, fpt = a, ae = e, fa_adjusted = y, fs = mr)/1"&amp;IF(Inputs!$R$18="BLN","b",IF(Inputs!$R$18="MLN","m","k")))</f>
        <v>11.912447775513227</v>
      </c>
      <c r="X42" s="583">
        <f>F42/_xll.BQL(Inputs!$Q24, "EARN_FOR_COMMON(fpr = 2026, fpt = a, ae = e, fa_adjusted = y, fs = mr)/1"&amp;IF(Inputs!$R$18="BLN","b",IF(Inputs!$R$18="MLN","m","k")))</f>
        <v>7.6927909205522109</v>
      </c>
      <c r="Y42" s="585"/>
      <c r="Z42" s="455" t="e">
        <f>(_xll.BQL(Inputs!$Q24, "EARN_FOR_COMMON(fpr = 2028, fpt = a, ae = e, fa_adjusted = y, fs = mr)")/_xll.BQL(Inputs!$Q24, "EARN_FOR_COMMON(fpr = 2025, fpt = a, ae = e, fa_adjusted = y, fs = mr)"))^(1/3)-1</f>
        <v>#VALUE!</v>
      </c>
    </row>
    <row r="43" spans="2:26" ht="15" customHeight="1">
      <c r="B43" s="23" t="str">
        <f>+Inputs!N25</f>
        <v>AFFIRM HOLDINGS</v>
      </c>
      <c r="C43" s="23" t="str">
        <f>+_xll.BDP(Inputs!Q25,"TICKER_AND_EXCH_CODE")</f>
        <v>AFRM US</v>
      </c>
      <c r="D43" s="581" t="str">
        <f>CONCATENATE(_xll.BDP(Inputs!Q25,"CRNCY")," ",_xll.BDP(Inputs!Q25,"PX_YEST_CLOSE"))</f>
        <v>USD 82,73</v>
      </c>
      <c r="E43" s="447">
        <f>_xll.BDP(Inputs!Q25,"PX_YEST_CLOSE")/_xll.BDP(Inputs!Q25,"HIGH_52WEEK")</f>
        <v>0.82730000000000004</v>
      </c>
      <c r="F43" s="582">
        <f>_xll.BDP(Inputs!$Q25, "CUR_MKT_CAP", "SCALING_FORMAT=" &amp; Inputs!$R$18)</f>
        <v>27097.579641599998</v>
      </c>
      <c r="G43" s="582">
        <f>_xll.BDP(Inputs!$Q25, "ENTERPRISE_VALUE", "SCALING_FORMAT=" &amp; Inputs!$R$18)</f>
        <v>23060.169922859997</v>
      </c>
      <c r="H43" s="23"/>
      <c r="I43" s="583">
        <f>G43/_xll.BQL(Inputs!$Q25, "sales_rev_turn(fpt = ltm, fa_adjusted = y, fs = mr)/1"&amp;IF(Inputs!$R$18="BLN","b",IF(Inputs!$R$18="MLN","m","k")))</f>
        <v>7.1517442320832449</v>
      </c>
      <c r="J43" s="583">
        <f>G43/_xll.BQL(Inputs!$Q25, "sales_rev_turn(fpr = 2025, fpt = a, ae = e, fa_adjusted = y, fs = mr)/1"&amp;IF(Inputs!$R$18="BLN","b",IF(Inputs!$R$18="MLN","m","k")))</f>
        <v>7.2377799041226156</v>
      </c>
      <c r="K43" s="584">
        <f>G43/_xll.BQL(Inputs!$Q25, "sales_rev_turn(fpr = 2026, fpt = a, ae = e, fa_adjusted = y, fs = mr)/1"&amp;IF(Inputs!$R$18="BLN","b",IF(Inputs!$R$18="MLN","m","k")))</f>
        <v>5.7978000510031675</v>
      </c>
      <c r="L43" s="583">
        <f>G43/_xll.BQL(Inputs!$Q25, "ebitda(fpt = ltm, fa_adjusted = y, fs = mr)/1"&amp;IF(Inputs!$R$18="BLN","b",IF(Inputs!$R$18="MLN","m","k")))</f>
        <v>12.189442372991016</v>
      </c>
      <c r="M43" s="583">
        <f>G43/_xll.BQL(Inputs!$Q25, "ebitda(fpr = 2025, fpt = a, ae = e, fa_adjusted = y, fs = mr)/1"&amp;IF(Inputs!$R$18="BLN","b",IF(Inputs!$R$18="MLN","m","k")))</f>
        <v>29.326201682314547</v>
      </c>
      <c r="N43" s="584">
        <f>G43/_xll.BQL(Inputs!$Q25, "ebitda(fpr = 2026, fpt = a, ae = e, fa_adjusted = y, fs = mr)/1"&amp;IF(Inputs!$R$18="BLN","b",IF(Inputs!$R$18="MLN","m","k")))</f>
        <v>24.354434136997579</v>
      </c>
      <c r="O43" s="583">
        <f>G43/_xll.BQL(Inputs!$Q25, "is_oper_inc(fpt = ltm, fa_adjusted = y, fs = mr)/1"&amp;IF(Inputs!$R$18="BLN","b",IF(Inputs!$R$18="MLN","m","k")))</f>
        <v>13.935405654409319</v>
      </c>
      <c r="P43" s="583">
        <f>G43/_xll.BQL(Inputs!$Q25, "is_oper_inc(fpr = 2025, fpt = a, ae = e, fa_adjusted = y, fs = mr)/1"&amp;IF(Inputs!$R$18="BLN","b",IF(Inputs!$R$18="MLN","m","k")))</f>
        <v>30.849725649311033</v>
      </c>
      <c r="Q43" s="584">
        <f>G43/_xll.BQL(Inputs!$Q25, "is_oper_inc(fpr = 2026, fpt = a, ae = e, fa_adjusted = y, fs = mr)/1"&amp;IF(Inputs!$R$18="BLN","b",IF(Inputs!$R$18="MLN","m","k")))</f>
        <v>21.85233193930565</v>
      </c>
      <c r="R43" s="23"/>
      <c r="S43" s="455">
        <f>_xll.BQL(Inputs!$Q25, "ebitda(fpt = ltm, fa_adjusted = y, fs = mr)/1"&amp;IF(Inputs!$R$18="BLN","b",IF(Inputs!$R$18="MLN","m","k")))/_xll.BQL(Inputs!$Q25, "sales_rev_turn(fpt = ltm, fa_adjusted = y, fs = mr)/1"&amp;IF(Inputs!$R$18="BLN","b",IF(Inputs!$R$18="MLN","m","k")))</f>
        <v>0.58671627571166474</v>
      </c>
      <c r="T43" s="583">
        <f>_xll.BDP(Inputs!$Q25,"TOT_DEBT_TO_EBITDA")</f>
        <v>25.813889987036745</v>
      </c>
      <c r="U43" s="585"/>
      <c r="V43" s="583">
        <f>F43/_xll.BQL(Inputs!$Q25, "earn_for_common(fpt = ltm, fa_adjusted = y, fs = mr)/1"&amp;IF(Inputs!$R$18="BLN","b",IF(Inputs!$R$18="MLN","m","k")))</f>
        <v>19.87638034745769</v>
      </c>
      <c r="W43" s="583">
        <f>F43/_xll.BQL(Inputs!$Q25, "EARN_FOR_COMMON(fpr = 2025, fpt = a, ae = e, fa_adjusted = y, fs = mr)/1"&amp;IF(Inputs!$R$18="BLN","b",IF(Inputs!$R$18="MLN","m","k")))</f>
        <v>985.62253827591587</v>
      </c>
      <c r="X43" s="583">
        <f>F43/_xll.BQL(Inputs!$Q25, "EARN_FOR_COMMON(fpr = 2026, fpt = a, ae = e, fa_adjusted = y, fs = mr)/1"&amp;IF(Inputs!$R$18="BLN","b",IF(Inputs!$R$18="MLN","m","k")))</f>
        <v>82.674585569315695</v>
      </c>
      <c r="Y43" s="585"/>
      <c r="Z43" s="455">
        <f>(_xll.BQL(Inputs!$Q25, "EARN_FOR_COMMON(fpr = 2028, fpt = a, ae = e, fa_adjusted = y, fs = mr)")/_xll.BQL(Inputs!$Q25, "EARN_FOR_COMMON(fpr = 2025, fpt = a, ae = e, fa_adjusted = y, fs = mr)"))^(1/3)-1</f>
        <v>2.2864609843370416</v>
      </c>
    </row>
    <row r="44" spans="2:26" ht="15" customHeight="1">
      <c r="B44" s="23"/>
      <c r="C44" s="23"/>
      <c r="D44" s="23"/>
      <c r="E44" s="23"/>
      <c r="F44" s="23"/>
      <c r="G44" s="23"/>
      <c r="H44" s="23"/>
      <c r="I44" s="23"/>
      <c r="J44" s="23"/>
      <c r="K44" s="598"/>
      <c r="L44" s="23"/>
      <c r="M44" s="23"/>
      <c r="N44" s="585"/>
      <c r="O44" s="23"/>
      <c r="P44" s="23"/>
      <c r="Q44" s="585"/>
      <c r="R44" s="23"/>
      <c r="S44" s="23"/>
      <c r="T44" s="23"/>
      <c r="U44" s="585"/>
      <c r="V44" s="23"/>
      <c r="W44" s="23"/>
      <c r="X44" s="23"/>
      <c r="Y44" s="585"/>
      <c r="Z44" s="23"/>
    </row>
    <row r="45" spans="2:26" ht="15" customHeight="1">
      <c r="B45" s="586" t="s">
        <v>308</v>
      </c>
      <c r="C45" s="587"/>
      <c r="D45" s="587"/>
      <c r="E45" s="587"/>
      <c r="F45" s="587"/>
      <c r="G45" s="587"/>
      <c r="H45" s="587"/>
      <c r="I45" s="588">
        <f>AVERAGE(I39:I43)</f>
        <v>2.7950691445514066</v>
      </c>
      <c r="J45" s="588">
        <f t="shared" ref="J45:K45" si="11">AVERAGE(J39:J43)</f>
        <v>3.3841495907310462</v>
      </c>
      <c r="K45" s="589">
        <f t="shared" si="11"/>
        <v>2.9093116632559961</v>
      </c>
      <c r="L45" s="588">
        <f>AVERAGE(L39:L43)</f>
        <v>5.5210898305339366</v>
      </c>
      <c r="M45" s="588">
        <f t="shared" ref="M45:Q45" si="12">AVERAGE(M39:M43)</f>
        <v>11.153901733405828</v>
      </c>
      <c r="N45" s="589">
        <f t="shared" si="12"/>
        <v>9.55139071982377</v>
      </c>
      <c r="O45" s="588">
        <f t="shared" si="12"/>
        <v>345.77366664560174</v>
      </c>
      <c r="P45" s="588">
        <f t="shared" si="12"/>
        <v>17.088529747121164</v>
      </c>
      <c r="Q45" s="589">
        <f t="shared" si="12"/>
        <v>10.088693469920887</v>
      </c>
      <c r="R45" s="587"/>
      <c r="S45" s="590">
        <f>AVERAGE(S39:S43)</f>
        <v>0.52194854207708929</v>
      </c>
      <c r="T45" s="588">
        <f>AVERAGE(T39:T43)</f>
        <v>6.7021806688060392</v>
      </c>
      <c r="U45" s="591"/>
      <c r="V45" s="588" t="e">
        <f t="shared" ref="V45:X45" si="13">AVERAGE(V39:V43)</f>
        <v>#VALUE!</v>
      </c>
      <c r="W45" s="588" t="e">
        <f t="shared" si="13"/>
        <v>#VALUE!</v>
      </c>
      <c r="X45" s="588" t="e">
        <f t="shared" si="13"/>
        <v>#VALUE!</v>
      </c>
      <c r="Y45" s="591"/>
      <c r="Z45" s="599" t="e">
        <f>AVERAGE(Z39:Z43)</f>
        <v>#VALUE!</v>
      </c>
    </row>
    <row r="46" spans="2:26" ht="15" customHeight="1">
      <c r="B46" s="592" t="s">
        <v>309</v>
      </c>
      <c r="C46" s="593"/>
      <c r="D46" s="593"/>
      <c r="E46" s="593"/>
      <c r="F46" s="593"/>
      <c r="G46" s="593"/>
      <c r="H46" s="593"/>
      <c r="I46" s="594">
        <f>MEDIAN(I39:I43)</f>
        <v>1.9858795670566212</v>
      </c>
      <c r="J46" s="594">
        <f t="shared" ref="J46:K46" si="14">MEDIAN(J39:J43)</f>
        <v>2.6836102374383808</v>
      </c>
      <c r="K46" s="595">
        <f t="shared" si="14"/>
        <v>2.5815267539653681</v>
      </c>
      <c r="L46" s="594">
        <f>MEDIAN(L39:L43)</f>
        <v>3.8516560216831679</v>
      </c>
      <c r="M46" s="594">
        <f t="shared" ref="M46:Q46" si="15">MEDIAN(M39:M43)</f>
        <v>6.8368586676625656</v>
      </c>
      <c r="N46" s="595">
        <f t="shared" si="15"/>
        <v>6.3991872491843722</v>
      </c>
      <c r="O46" s="594">
        <f t="shared" si="15"/>
        <v>13.935405654409319</v>
      </c>
      <c r="P46" s="594">
        <f t="shared" si="15"/>
        <v>13.784653040301727</v>
      </c>
      <c r="Q46" s="595">
        <f t="shared" si="15"/>
        <v>8.6786156042328493</v>
      </c>
      <c r="R46" s="593"/>
      <c r="S46" s="596">
        <f t="shared" ref="S46:T46" si="16">MEDIAN(S39:S43)</f>
        <v>0.5570965651328581</v>
      </c>
      <c r="T46" s="594">
        <f t="shared" si="16"/>
        <v>2.2568912272675283</v>
      </c>
      <c r="U46" s="597"/>
      <c r="V46" s="594" t="e">
        <f t="shared" ref="V46:X46" si="17">MEDIAN(V39:V43)</f>
        <v>#VALUE!</v>
      </c>
      <c r="W46" s="594" t="e">
        <f t="shared" si="17"/>
        <v>#VALUE!</v>
      </c>
      <c r="X46" s="594" t="e">
        <f t="shared" si="17"/>
        <v>#VALUE!</v>
      </c>
      <c r="Y46" s="597"/>
      <c r="Z46" s="600" t="e">
        <f>MEDIAN(Z39:Z43)</f>
        <v>#VALUE!</v>
      </c>
    </row>
    <row r="47" spans="2:26" ht="15" customHeight="1">
      <c r="B47" s="23"/>
      <c r="C47" s="23"/>
      <c r="D47" s="23"/>
      <c r="E47" s="23"/>
      <c r="F47" s="23"/>
      <c r="G47" s="23"/>
      <c r="H47" s="23"/>
      <c r="I47" s="23"/>
      <c r="J47" s="601"/>
      <c r="K47" s="23"/>
      <c r="L47" s="23"/>
      <c r="M47" s="23"/>
      <c r="N47" s="23"/>
      <c r="O47" s="23"/>
      <c r="P47" s="23"/>
      <c r="Q47" s="23"/>
      <c r="R47" s="23"/>
      <c r="S47" s="23"/>
      <c r="T47" s="23"/>
      <c r="U47" s="23"/>
      <c r="V47" s="23"/>
      <c r="W47" s="23"/>
      <c r="X47" s="23"/>
      <c r="Y47" s="23"/>
      <c r="Z47" s="23"/>
    </row>
    <row r="48" spans="2:26" s="536" customFormat="1" ht="15" customHeight="1">
      <c r="B48" s="355" t="s">
        <v>312</v>
      </c>
      <c r="C48" s="32"/>
      <c r="D48" s="32"/>
      <c r="E48" s="32"/>
      <c r="F48" s="32"/>
      <c r="G48" s="32"/>
      <c r="H48" s="32"/>
      <c r="I48" s="32"/>
      <c r="J48" s="602"/>
      <c r="K48" s="32"/>
      <c r="L48" s="32"/>
      <c r="M48" s="32"/>
      <c r="N48" s="32"/>
      <c r="O48" s="32"/>
      <c r="P48" s="32"/>
      <c r="Q48" s="32"/>
      <c r="R48" s="32"/>
      <c r="S48" s="32"/>
      <c r="T48" s="32"/>
      <c r="U48" s="32"/>
      <c r="V48" s="32"/>
      <c r="W48" s="32"/>
      <c r="X48" s="32"/>
      <c r="Y48" s="32"/>
      <c r="Z48" s="32"/>
    </row>
    <row r="49" spans="2:26" ht="4" customHeight="1">
      <c r="B49" s="36"/>
      <c r="C49" s="36"/>
      <c r="D49" s="36"/>
      <c r="E49" s="36"/>
      <c r="F49" s="36"/>
      <c r="G49" s="36"/>
      <c r="H49" s="36"/>
      <c r="I49" s="36"/>
      <c r="J49" s="603"/>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601"/>
      <c r="K50" s="23"/>
      <c r="L50" s="23"/>
      <c r="M50" s="23"/>
      <c r="N50" s="23"/>
      <c r="O50" s="23"/>
      <c r="P50" s="23"/>
      <c r="Q50" s="23"/>
      <c r="R50" s="23"/>
      <c r="S50" s="23"/>
      <c r="T50" s="23"/>
      <c r="U50" s="23"/>
      <c r="V50" s="23"/>
      <c r="W50" s="23"/>
      <c r="X50" s="23"/>
      <c r="Y50" s="23"/>
      <c r="Z50" s="23"/>
    </row>
    <row r="51" spans="2:26" ht="15" customHeight="1">
      <c r="B51" s="586" t="s">
        <v>308</v>
      </c>
      <c r="C51" s="587"/>
      <c r="D51" s="587"/>
      <c r="E51" s="587"/>
      <c r="F51" s="587"/>
      <c r="G51" s="587"/>
      <c r="H51" s="587"/>
      <c r="I51" s="588" t="e">
        <f ca="1">AVERAGE(I39:I43,I27:I32,I15:I19)</f>
        <v>#NAME?</v>
      </c>
      <c r="J51" s="588" t="e">
        <f ca="1">AVERAGE(J39:J43,J27:J32,J15:J19)</f>
        <v>#NAME?</v>
      </c>
      <c r="K51" s="589" t="e">
        <f t="shared" ref="K51:Z51" ca="1" si="18">AVERAGE(K39:K43,K27:K32,K15:K19)</f>
        <v>#NAME?</v>
      </c>
      <c r="L51" s="588" t="e">
        <f t="shared" ca="1" si="18"/>
        <v>#NAME?</v>
      </c>
      <c r="M51" s="588" t="e">
        <f t="shared" ca="1" si="18"/>
        <v>#NAME?</v>
      </c>
      <c r="N51" s="589" t="e">
        <f t="shared" ca="1" si="18"/>
        <v>#NAME?</v>
      </c>
      <c r="O51" s="588" t="e">
        <f t="shared" ca="1" si="18"/>
        <v>#NAME?</v>
      </c>
      <c r="P51" s="588" t="e">
        <f t="shared" ca="1" si="18"/>
        <v>#NAME?</v>
      </c>
      <c r="Q51" s="588" t="e">
        <f t="shared" ca="1" si="18"/>
        <v>#NAME?</v>
      </c>
      <c r="R51" s="587"/>
      <c r="S51" s="590" t="e">
        <f t="shared" ca="1" si="18"/>
        <v>#NAME?</v>
      </c>
      <c r="T51" s="588" t="e">
        <f t="shared" ca="1" si="18"/>
        <v>#NAME?</v>
      </c>
      <c r="U51" s="591"/>
      <c r="V51" s="588" t="e">
        <f t="shared" si="18"/>
        <v>#VALUE!</v>
      </c>
      <c r="W51" s="588" t="e">
        <f t="shared" si="18"/>
        <v>#VALUE!</v>
      </c>
      <c r="X51" s="588" t="e">
        <f t="shared" si="18"/>
        <v>#VALUE!</v>
      </c>
      <c r="Y51" s="591"/>
      <c r="Z51" s="599" t="e">
        <f t="shared" si="18"/>
        <v>#VALUE!</v>
      </c>
    </row>
    <row r="52" spans="2:26" ht="15" customHeight="1">
      <c r="B52" s="592" t="s">
        <v>309</v>
      </c>
      <c r="C52" s="593"/>
      <c r="D52" s="593"/>
      <c r="E52" s="593"/>
      <c r="F52" s="593"/>
      <c r="G52" s="593"/>
      <c r="H52" s="593"/>
      <c r="I52" s="594" t="e">
        <f ca="1">MEDIAN(I39:I43,I27:I31,I15:I19)</f>
        <v>#NAME?</v>
      </c>
      <c r="J52" s="594" t="e">
        <f ca="1">MEDIAN(J39:J43,J27:J31,J15:J19)</f>
        <v>#NAME?</v>
      </c>
      <c r="K52" s="595" t="e">
        <f t="shared" ref="K52:Z52" ca="1" si="19">MEDIAN(K39:K43,K27:K31,K15:K19)</f>
        <v>#NAME?</v>
      </c>
      <c r="L52" s="594" t="e">
        <f t="shared" ca="1" si="19"/>
        <v>#NAME?</v>
      </c>
      <c r="M52" s="594" t="e">
        <f t="shared" ca="1" si="19"/>
        <v>#NAME?</v>
      </c>
      <c r="N52" s="595" t="e">
        <f t="shared" ca="1" si="19"/>
        <v>#NAME?</v>
      </c>
      <c r="O52" s="594" t="e">
        <f t="shared" ca="1" si="19"/>
        <v>#NAME?</v>
      </c>
      <c r="P52" s="594" t="e">
        <f t="shared" ca="1" si="19"/>
        <v>#NAME?</v>
      </c>
      <c r="Q52" s="594" t="e">
        <f t="shared" ca="1" si="19"/>
        <v>#NAME?</v>
      </c>
      <c r="R52" s="593"/>
      <c r="S52" s="596" t="e">
        <f t="shared" ca="1" si="19"/>
        <v>#NAME?</v>
      </c>
      <c r="T52" s="594" t="e">
        <f t="shared" ca="1" si="19"/>
        <v>#NAME?</v>
      </c>
      <c r="U52" s="597"/>
      <c r="V52" s="594" t="e">
        <f t="shared" si="19"/>
        <v>#VALUE!</v>
      </c>
      <c r="W52" s="594" t="e">
        <f t="shared" si="19"/>
        <v>#VALUE!</v>
      </c>
      <c r="X52" s="594" t="e">
        <f t="shared" si="19"/>
        <v>#VALUE!</v>
      </c>
      <c r="Y52" s="597"/>
      <c r="Z52" s="600" t="e">
        <f t="shared" si="19"/>
        <v>#VALUE!</v>
      </c>
    </row>
    <row r="53" spans="2:26" ht="15" customHeight="1">
      <c r="B53" s="23"/>
      <c r="C53" s="23"/>
      <c r="D53" s="23"/>
      <c r="E53" s="23"/>
      <c r="F53" s="23"/>
      <c r="G53" s="23"/>
      <c r="H53" s="23"/>
      <c r="I53" s="23"/>
      <c r="J53" s="601"/>
      <c r="K53" s="23"/>
      <c r="L53" s="23"/>
      <c r="M53" s="23"/>
      <c r="N53" s="23"/>
      <c r="O53" s="23"/>
      <c r="P53" s="23"/>
      <c r="Q53" s="23"/>
      <c r="R53" s="23"/>
      <c r="S53" s="23"/>
      <c r="T53" s="23"/>
      <c r="U53" s="23"/>
      <c r="V53" s="23"/>
      <c r="W53" s="23"/>
      <c r="X53" s="23"/>
      <c r="Y53" s="23"/>
      <c r="Z53" s="23"/>
    </row>
    <row r="54" spans="2:26" ht="15" customHeight="1">
      <c r="B54" s="586" t="s">
        <v>299</v>
      </c>
      <c r="C54" s="587"/>
      <c r="D54" s="587"/>
      <c r="E54" s="587"/>
      <c r="F54" s="587"/>
      <c r="G54" s="587"/>
      <c r="H54" s="587"/>
      <c r="I54" s="588" t="e">
        <f ca="1">MAX(I39:I43,I27:I31,I15:I19)</f>
        <v>#NAME?</v>
      </c>
      <c r="J54" s="588" t="e">
        <f t="shared" ref="J54:Z54" ca="1" si="20">MAX(J39:J43,J27:J31,J15:J19)</f>
        <v>#NAME?</v>
      </c>
      <c r="K54" s="589" t="e">
        <f t="shared" ca="1" si="20"/>
        <v>#NAME?</v>
      </c>
      <c r="L54" s="588" t="e">
        <f t="shared" ca="1" si="20"/>
        <v>#NAME?</v>
      </c>
      <c r="M54" s="588" t="e">
        <f t="shared" ca="1" si="20"/>
        <v>#NAME?</v>
      </c>
      <c r="N54" s="589" t="e">
        <f t="shared" ca="1" si="20"/>
        <v>#NAME?</v>
      </c>
      <c r="O54" s="588" t="e">
        <f t="shared" ca="1" si="20"/>
        <v>#NAME?</v>
      </c>
      <c r="P54" s="588" t="e">
        <f t="shared" ca="1" si="20"/>
        <v>#NAME?</v>
      </c>
      <c r="Q54" s="588" t="e">
        <f t="shared" ca="1" si="20"/>
        <v>#NAME?</v>
      </c>
      <c r="R54" s="587" t="e">
        <f t="shared" si="20"/>
        <v>#N/A</v>
      </c>
      <c r="S54" s="590" t="e">
        <f t="shared" ca="1" si="20"/>
        <v>#NAME?</v>
      </c>
      <c r="T54" s="588" t="e">
        <f t="shared" ca="1" si="20"/>
        <v>#NAME?</v>
      </c>
      <c r="U54" s="591"/>
      <c r="V54" s="588" t="e">
        <f t="shared" si="20"/>
        <v>#VALUE!</v>
      </c>
      <c r="W54" s="588" t="e">
        <f t="shared" si="20"/>
        <v>#VALUE!</v>
      </c>
      <c r="X54" s="588" t="e">
        <f t="shared" si="20"/>
        <v>#VALUE!</v>
      </c>
      <c r="Y54" s="591"/>
      <c r="Z54" s="599" t="e">
        <f t="shared" si="20"/>
        <v>#VALUE!</v>
      </c>
    </row>
    <row r="55" spans="2:26" ht="15" customHeight="1">
      <c r="B55" s="592" t="s">
        <v>313</v>
      </c>
      <c r="C55" s="593"/>
      <c r="D55" s="593"/>
      <c r="E55" s="593"/>
      <c r="F55" s="593"/>
      <c r="G55" s="593"/>
      <c r="H55" s="593"/>
      <c r="I55" s="594" t="e">
        <f ca="1">MIN(I39:I43,I27:I31,I15:I19)</f>
        <v>#NAME?</v>
      </c>
      <c r="J55" s="594" t="e">
        <f t="shared" ref="J55:Z55" ca="1" si="21">MIN(J39:J43,J27:J31,J15:J19)</f>
        <v>#NAME?</v>
      </c>
      <c r="K55" s="595" t="e">
        <f t="shared" ca="1" si="21"/>
        <v>#NAME?</v>
      </c>
      <c r="L55" s="594" t="e">
        <f t="shared" ca="1" si="21"/>
        <v>#NAME?</v>
      </c>
      <c r="M55" s="594" t="e">
        <f t="shared" ca="1" si="21"/>
        <v>#NAME?</v>
      </c>
      <c r="N55" s="595" t="e">
        <f t="shared" ca="1" si="21"/>
        <v>#NAME?</v>
      </c>
      <c r="O55" s="594" t="e">
        <f t="shared" ca="1" si="21"/>
        <v>#NAME?</v>
      </c>
      <c r="P55" s="594" t="e">
        <f t="shared" ca="1" si="21"/>
        <v>#NAME?</v>
      </c>
      <c r="Q55" s="594" t="e">
        <f t="shared" ca="1" si="21"/>
        <v>#NAME?</v>
      </c>
      <c r="R55" s="593" t="e">
        <f t="shared" si="21"/>
        <v>#N/A</v>
      </c>
      <c r="S55" s="596" t="e">
        <f t="shared" ca="1" si="21"/>
        <v>#NAME?</v>
      </c>
      <c r="T55" s="594" t="e">
        <f t="shared" ca="1" si="21"/>
        <v>#NAME?</v>
      </c>
      <c r="U55" s="597"/>
      <c r="V55" s="594" t="e">
        <f t="shared" si="21"/>
        <v>#VALUE!</v>
      </c>
      <c r="W55" s="594" t="e">
        <f t="shared" si="21"/>
        <v>#VALUE!</v>
      </c>
      <c r="X55" s="594" t="e">
        <f t="shared" si="21"/>
        <v>#VALUE!</v>
      </c>
      <c r="Y55" s="597"/>
      <c r="Z55" s="600" t="e">
        <f t="shared" si="21"/>
        <v>#VALUE!</v>
      </c>
    </row>
  </sheetData>
  <mergeCells count="2">
    <mergeCell ref="I7:Q7"/>
    <mergeCell ref="V7:X7"/>
  </mergeCells>
  <conditionalFormatting sqref="I15:I19 I27:I31 I39:I43">
    <cfRule type="colorScale" priority="23">
      <colorScale>
        <cfvo type="min"/>
        <cfvo type="percentile" val="50"/>
        <cfvo type="max"/>
        <color rgb="FF8DEB91"/>
        <color theme="0"/>
        <color theme="4" tint="0.79998168889431442"/>
      </colorScale>
    </cfRule>
  </conditionalFormatting>
  <conditionalFormatting sqref="J27:J31 J39:J43 J15:J19">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27:Z31 Z39:Z43 Z15:Z19">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topLeftCell="A7" zoomScaleNormal="100" workbookViewId="0">
      <selection activeCell="E28" sqref="E28"/>
    </sheetView>
  </sheetViews>
  <sheetFormatPr baseColWidth="10" defaultColWidth="8.83203125" defaultRowHeight="15" customHeight="1"/>
  <cols>
    <col min="1" max="1" width="2.1640625" style="535" customWidth="1"/>
    <col min="2" max="2" width="50.6640625" style="535" customWidth="1"/>
    <col min="3" max="3" width="3.6640625" style="535" customWidth="1"/>
    <col min="4" max="8" width="11.6640625" style="535" customWidth="1"/>
    <col min="9" max="9" width="1.6640625" style="535" customWidth="1"/>
    <col min="10" max="10" width="9" style="535" customWidth="1"/>
    <col min="11" max="11" width="40.6640625" style="535" customWidth="1"/>
    <col min="12" max="18" width="9" style="535" customWidth="1"/>
    <col min="19" max="16384" width="8.83203125" style="535"/>
  </cols>
  <sheetData>
    <row r="1" spans="1:18" s="546" customFormat="1" ht="15" customHeight="1"/>
    <row r="2" spans="1:18" s="546" customFormat="1" ht="15" customHeight="1"/>
    <row r="3" spans="1:18" s="546" customFormat="1" ht="15" customHeight="1"/>
    <row r="4" spans="1:18" s="546" customFormat="1" ht="15" customHeight="1"/>
    <row r="5" spans="1:18" s="533" customFormat="1" ht="4" customHeight="1">
      <c r="A5" s="36"/>
      <c r="B5" s="36"/>
      <c r="C5" s="36"/>
      <c r="D5" s="36"/>
      <c r="E5" s="36"/>
      <c r="F5" s="36"/>
      <c r="G5" s="36"/>
      <c r="H5" s="36"/>
      <c r="I5" s="36"/>
      <c r="J5" s="36"/>
      <c r="K5" s="36"/>
      <c r="L5" s="36"/>
      <c r="M5" s="36"/>
      <c r="N5" s="36"/>
      <c r="O5" s="36"/>
      <c r="P5" s="36"/>
      <c r="Q5" s="36"/>
      <c r="R5" s="36"/>
    </row>
    <row r="7" spans="1:18" ht="15" customHeight="1">
      <c r="A7" s="576" t="s">
        <v>39</v>
      </c>
      <c r="B7" s="355" t="s">
        <v>314</v>
      </c>
      <c r="C7" s="32"/>
      <c r="D7" s="32"/>
      <c r="E7" s="32"/>
      <c r="F7" s="32"/>
      <c r="G7" s="32"/>
      <c r="H7" s="32"/>
      <c r="I7" s="32"/>
      <c r="J7" s="604"/>
      <c r="K7" s="355" t="s">
        <v>315</v>
      </c>
      <c r="L7" s="355"/>
      <c r="M7" s="355"/>
      <c r="N7" s="32"/>
      <c r="O7" s="32"/>
      <c r="P7" s="32"/>
      <c r="Q7" s="32"/>
      <c r="R7" s="32"/>
    </row>
    <row r="8" spans="1:18" ht="15" customHeight="1">
      <c r="A8" s="23"/>
      <c r="B8" s="32"/>
      <c r="C8" s="32"/>
      <c r="D8" s="32"/>
      <c r="E8" s="32"/>
      <c r="F8" s="32"/>
      <c r="G8" s="32"/>
      <c r="H8" s="32"/>
      <c r="I8" s="32"/>
      <c r="J8" s="604"/>
      <c r="K8" s="32"/>
      <c r="L8" s="355"/>
      <c r="M8" s="32"/>
      <c r="N8" s="605"/>
      <c r="O8" s="605"/>
      <c r="P8" s="606" t="s">
        <v>316</v>
      </c>
      <c r="Q8" s="605"/>
      <c r="R8" s="605"/>
    </row>
    <row r="9" spans="1:18" ht="15" customHeight="1">
      <c r="A9" s="23"/>
      <c r="B9" s="355"/>
      <c r="C9" s="32"/>
      <c r="D9" s="37">
        <v>2025</v>
      </c>
      <c r="E9" s="37">
        <f>+D9+1</f>
        <v>2026</v>
      </c>
      <c r="F9" s="37">
        <f t="shared" ref="F9:H9" si="0">+E9+1</f>
        <v>2027</v>
      </c>
      <c r="G9" s="37">
        <f t="shared" si="0"/>
        <v>2028</v>
      </c>
      <c r="H9" s="37">
        <f t="shared" si="0"/>
        <v>2029</v>
      </c>
      <c r="I9" s="561"/>
      <c r="J9" s="604"/>
      <c r="K9" s="355"/>
      <c r="L9" s="355"/>
      <c r="M9" s="355" t="s">
        <v>317</v>
      </c>
      <c r="N9" s="37">
        <v>2025</v>
      </c>
      <c r="O9" s="37">
        <f>+N9+1</f>
        <v>2026</v>
      </c>
      <c r="P9" s="37">
        <f t="shared" ref="P9:R9" si="1">+O9+1</f>
        <v>2027</v>
      </c>
      <c r="Q9" s="37">
        <f t="shared" si="1"/>
        <v>2028</v>
      </c>
      <c r="R9" s="37">
        <f t="shared" si="1"/>
        <v>2029</v>
      </c>
    </row>
    <row r="10" spans="1:18" ht="4" customHeight="1">
      <c r="A10" s="23"/>
      <c r="B10" s="391"/>
      <c r="C10" s="368"/>
      <c r="D10" s="368"/>
      <c r="E10" s="368"/>
      <c r="F10" s="368"/>
      <c r="G10" s="368"/>
      <c r="H10" s="368"/>
      <c r="I10" s="368"/>
      <c r="J10" s="604"/>
      <c r="K10" s="391"/>
      <c r="L10" s="391"/>
      <c r="M10" s="391"/>
      <c r="N10" s="368"/>
      <c r="O10" s="368"/>
      <c r="P10" s="368"/>
      <c r="Q10" s="368"/>
      <c r="R10" s="368"/>
    </row>
    <row r="11" spans="1:18" ht="4" customHeight="1">
      <c r="A11" s="23"/>
      <c r="B11" s="322"/>
      <c r="C11" s="390"/>
      <c r="D11" s="390"/>
      <c r="E11" s="390"/>
      <c r="F11" s="390"/>
      <c r="G11" s="390"/>
      <c r="H11" s="390"/>
      <c r="I11" s="604"/>
      <c r="J11" s="604"/>
      <c r="K11" s="604"/>
      <c r="L11" s="23"/>
      <c r="M11" s="604"/>
      <c r="N11" s="604"/>
      <c r="O11" s="604"/>
      <c r="P11" s="604"/>
      <c r="Q11" s="23"/>
      <c r="R11" s="23"/>
    </row>
    <row r="12" spans="1:18" ht="15" customHeight="1">
      <c r="A12" s="23"/>
      <c r="B12" s="451" t="s">
        <v>318</v>
      </c>
      <c r="C12" s="390"/>
      <c r="D12" s="390"/>
      <c r="E12" s="390"/>
      <c r="F12" s="390"/>
      <c r="G12" s="390"/>
      <c r="H12" s="390"/>
      <c r="I12" s="604"/>
      <c r="J12" s="604"/>
      <c r="K12" s="607" t="str">
        <f>+Segments!B17</f>
        <v>USA</v>
      </c>
      <c r="L12" s="23"/>
      <c r="M12" s="608">
        <v>4.3299999999999998E-2</v>
      </c>
      <c r="N12" s="609">
        <f>+Segments!AL17/Segments!AL$18</f>
        <v>1</v>
      </c>
      <c r="O12" s="609">
        <f>+Segments!AN17/Segments!AN$18</f>
        <v>1</v>
      </c>
      <c r="P12" s="609">
        <f>+Segments!AP17/Segments!AP$18</f>
        <v>1</v>
      </c>
      <c r="Q12" s="609">
        <f>+Segments!AR17/Segments!AR$18</f>
        <v>1</v>
      </c>
      <c r="R12" s="609">
        <f>+Segments!AT17/Segments!AT$18</f>
        <v>1</v>
      </c>
    </row>
    <row r="13" spans="1:18" ht="15" customHeight="1">
      <c r="A13" s="23"/>
      <c r="B13" s="610" t="s">
        <v>319</v>
      </c>
      <c r="C13" s="23"/>
      <c r="D13" s="611">
        <f>+Inputs!J13</f>
        <v>0.94639799999999996</v>
      </c>
      <c r="E13" s="611">
        <v>0.83599999999999997</v>
      </c>
      <c r="F13" s="611">
        <v>0.80300000000000005</v>
      </c>
      <c r="G13" s="611">
        <v>0.81899999999999995</v>
      </c>
      <c r="H13" s="611">
        <v>0.83899999999999997</v>
      </c>
      <c r="I13" s="23"/>
      <c r="J13" s="604"/>
      <c r="K13" s="607"/>
      <c r="L13" s="23"/>
      <c r="M13" s="607"/>
      <c r="N13" s="609"/>
      <c r="O13" s="609"/>
      <c r="P13" s="609"/>
      <c r="Q13" s="609"/>
      <c r="R13" s="609"/>
    </row>
    <row r="14" spans="1:18" ht="15" customHeight="1">
      <c r="A14" s="23"/>
      <c r="B14" s="612" t="s">
        <v>320</v>
      </c>
      <c r="C14" s="23"/>
      <c r="D14" s="517">
        <f>IFERROR(D13/D35,"")</f>
        <v>2.9646608361004034E-3</v>
      </c>
      <c r="E14" s="517">
        <f>IFERROR(E13/E35,"")</f>
        <v>2.6056926280093253E-3</v>
      </c>
      <c r="F14" s="517">
        <f>IFERROR(E13/F35,"")</f>
        <v>2.6059606674501174E-3</v>
      </c>
      <c r="G14" s="517">
        <f>IFERROR(F13/G35,"")</f>
        <v>2.5029689638082532E-3</v>
      </c>
      <c r="H14" s="517">
        <f>IFERROR(G13/H35,"")</f>
        <v>2.5526821863925517E-3</v>
      </c>
      <c r="I14" s="447"/>
      <c r="J14" s="447"/>
      <c r="K14" s="607"/>
      <c r="L14" s="23"/>
      <c r="M14" s="607"/>
      <c r="N14" s="609"/>
      <c r="O14" s="609"/>
      <c r="P14" s="609"/>
      <c r="Q14" s="609"/>
      <c r="R14" s="609"/>
    </row>
    <row r="15" spans="1:18" ht="15" customHeight="1">
      <c r="A15" s="23"/>
      <c r="B15" s="448" t="s">
        <v>321</v>
      </c>
      <c r="C15" s="23"/>
      <c r="D15" s="608">
        <v>3.7100000000000001E-2</v>
      </c>
      <c r="E15" s="608">
        <v>3.7100000000000001E-2</v>
      </c>
      <c r="F15" s="608">
        <v>3.7100000000000001E-2</v>
      </c>
      <c r="G15" s="608">
        <v>3.7100000000000001E-2</v>
      </c>
      <c r="H15" s="608">
        <v>3.7100000000000001E-2</v>
      </c>
      <c r="I15" s="519"/>
      <c r="J15" s="519"/>
      <c r="K15" s="607"/>
      <c r="L15" s="23"/>
      <c r="M15" s="607"/>
      <c r="N15" s="609"/>
      <c r="O15" s="609"/>
      <c r="P15" s="609"/>
      <c r="Q15" s="609"/>
      <c r="R15" s="609"/>
    </row>
    <row r="16" spans="1:18" ht="15" customHeight="1">
      <c r="A16" s="23"/>
      <c r="B16" s="448" t="s">
        <v>23</v>
      </c>
      <c r="C16" s="23"/>
      <c r="D16" s="613">
        <f>+Inputs!M18</f>
        <v>1.73</v>
      </c>
      <c r="E16" s="614">
        <f>+D17*(1+(E28/E13)*(1-E32))</f>
        <v>1.9931715350126937</v>
      </c>
      <c r="F16" s="614">
        <f>+E17*(1+(F28/F13)*(1-F32))</f>
        <v>2.0743614567617743</v>
      </c>
      <c r="G16" s="614">
        <f>+F17*(1+(G28/G13)*(1-G32))</f>
        <v>2.0339588417959393</v>
      </c>
      <c r="H16" s="614">
        <f>+G17*(1+(H28/H13)*(1-H32))</f>
        <v>1.9856225786589226</v>
      </c>
      <c r="I16" s="615"/>
      <c r="J16" s="615"/>
      <c r="K16" s="607"/>
      <c r="L16" s="23"/>
      <c r="M16" s="607"/>
      <c r="N16" s="609"/>
      <c r="O16" s="609"/>
      <c r="P16" s="609"/>
      <c r="Q16" s="609"/>
      <c r="R16" s="609"/>
    </row>
    <row r="17" spans="2:18" ht="15" customHeight="1">
      <c r="B17" s="448" t="s">
        <v>322</v>
      </c>
      <c r="C17" s="23"/>
      <c r="D17" s="614">
        <f>+D16/(1+(D28/D13)*(1-D32))</f>
        <v>6.2526031980860005E-3</v>
      </c>
      <c r="E17" s="614">
        <f>+E16/(1+(E28/E13)*(1-E32))</f>
        <v>6.2526031980860005E-3</v>
      </c>
      <c r="F17" s="614">
        <f>+F16/(1+(F28/F13)*(1-F32))</f>
        <v>6.2526031980860014E-3</v>
      </c>
      <c r="G17" s="614">
        <f>+G16/(1+(G28/G13)*(1-G32))</f>
        <v>6.2526031980860014E-3</v>
      </c>
      <c r="H17" s="614">
        <f>+H16/(1+(H28/H13)*(1-H32))</f>
        <v>6.2526031980860014E-3</v>
      </c>
      <c r="I17" s="615"/>
      <c r="J17" s="615"/>
      <c r="K17" s="615"/>
      <c r="L17" s="23"/>
      <c r="M17" s="615"/>
      <c r="N17" s="615"/>
      <c r="O17" s="615"/>
      <c r="P17" s="615"/>
      <c r="Q17" s="23"/>
      <c r="R17" s="23"/>
    </row>
    <row r="18" spans="2:18" ht="15" customHeight="1">
      <c r="B18" s="448" t="s">
        <v>315</v>
      </c>
      <c r="C18" s="23"/>
      <c r="D18" s="616">
        <f>+N18</f>
        <v>4.3299999999999998E-2</v>
      </c>
      <c r="E18" s="616">
        <f>+O18</f>
        <v>4.3299999999999998E-2</v>
      </c>
      <c r="F18" s="616">
        <f>+P18</f>
        <v>4.3299999999999998E-2</v>
      </c>
      <c r="G18" s="616">
        <f>+Q18</f>
        <v>4.3299999999999998E-2</v>
      </c>
      <c r="H18" s="616">
        <f>+R18</f>
        <v>4.3299999999999998E-2</v>
      </c>
      <c r="I18" s="617"/>
      <c r="J18" s="617"/>
      <c r="K18" s="618" t="s">
        <v>317</v>
      </c>
      <c r="L18" s="291"/>
      <c r="M18" s="291"/>
      <c r="N18" s="619">
        <f>+SUMPRODUCT($M12:$M16,N12:N16)</f>
        <v>4.3299999999999998E-2</v>
      </c>
      <c r="O18" s="619">
        <f>+SUMPRODUCT($M12:$M16,O12:O16)</f>
        <v>4.3299999999999998E-2</v>
      </c>
      <c r="P18" s="619">
        <f>+SUMPRODUCT($M12:$M16,P12:P16)</f>
        <v>4.3299999999999998E-2</v>
      </c>
      <c r="Q18" s="619">
        <f>+SUMPRODUCT($M12:$M16,Q12:Q16)</f>
        <v>4.3299999999999998E-2</v>
      </c>
      <c r="R18" s="619">
        <f>+SUMPRODUCT($M12:$M16,R12:R16)</f>
        <v>4.3299999999999998E-2</v>
      </c>
    </row>
    <row r="19" spans="2:18" ht="15" customHeight="1">
      <c r="B19" s="620" t="s">
        <v>323</v>
      </c>
      <c r="C19" s="23"/>
      <c r="D19" s="621">
        <f>IFERROR(+D15+D16*D18,"")</f>
        <v>0.112009</v>
      </c>
      <c r="E19" s="621">
        <f>IFERROR(+E15+E16*E18,"")</f>
        <v>0.12340432746604962</v>
      </c>
      <c r="F19" s="621">
        <f>IFERROR(+F15+F16*F18,"")</f>
        <v>0.12691985107778483</v>
      </c>
      <c r="G19" s="621">
        <f>IFERROR(+G15+G16*G18,"")</f>
        <v>0.12517041784976418</v>
      </c>
      <c r="H19" s="621">
        <f>IFERROR(+H15+H16*H18,"")</f>
        <v>0.12307745765593134</v>
      </c>
      <c r="I19" s="622"/>
      <c r="J19" s="622"/>
      <c r="K19" s="622"/>
      <c r="L19" s="622"/>
      <c r="M19" s="622"/>
      <c r="N19" s="622"/>
      <c r="O19" s="622"/>
      <c r="P19" s="23"/>
      <c r="Q19" s="23"/>
      <c r="R19" s="23"/>
    </row>
    <row r="20" spans="2:18" ht="15" customHeight="1">
      <c r="B20" s="357"/>
      <c r="C20" s="23"/>
      <c r="D20" s="23"/>
      <c r="E20" s="23"/>
      <c r="F20" s="23"/>
      <c r="G20" s="23"/>
      <c r="H20" s="23"/>
      <c r="I20" s="519"/>
      <c r="J20" s="519"/>
      <c r="K20" s="23"/>
      <c r="L20" s="23"/>
      <c r="M20" s="23"/>
      <c r="N20" s="23"/>
      <c r="O20" s="23"/>
      <c r="P20" s="23"/>
      <c r="Q20" s="23"/>
      <c r="R20" s="23"/>
    </row>
    <row r="21" spans="2:18" ht="15" customHeight="1">
      <c r="B21" s="451" t="s">
        <v>324</v>
      </c>
      <c r="C21" s="23"/>
      <c r="D21" s="23"/>
      <c r="E21" s="23"/>
      <c r="F21" s="23"/>
      <c r="G21" s="23"/>
      <c r="H21" s="23"/>
      <c r="I21" s="23"/>
      <c r="J21" s="23"/>
      <c r="K21" s="355" t="s">
        <v>325</v>
      </c>
      <c r="L21" s="355"/>
      <c r="M21" s="355"/>
      <c r="N21" s="355"/>
      <c r="O21" s="355"/>
      <c r="P21" s="355"/>
      <c r="Q21" s="355"/>
      <c r="R21" s="355"/>
    </row>
    <row r="22" spans="2:18" ht="15" customHeight="1">
      <c r="B22" s="448" t="s">
        <v>326</v>
      </c>
      <c r="C22" s="23"/>
      <c r="D22" s="96">
        <f>IFERROR(Inputs!J14,0)</f>
        <v>0</v>
      </c>
      <c r="E22" s="24">
        <f>+D22*(E13/D13)</f>
        <v>0</v>
      </c>
      <c r="F22" s="24">
        <f>+E22*(F13/E13)</f>
        <v>0</v>
      </c>
      <c r="G22" s="24">
        <f>+F22*(G13/F13)</f>
        <v>0</v>
      </c>
      <c r="H22" s="24">
        <f>+G22*(H13/G13)</f>
        <v>0</v>
      </c>
      <c r="I22" s="23"/>
      <c r="J22" s="23"/>
      <c r="K22" s="355"/>
      <c r="L22" s="355"/>
      <c r="M22" s="355"/>
      <c r="N22" s="355"/>
      <c r="O22" s="355"/>
      <c r="P22" s="355"/>
      <c r="Q22" s="355"/>
      <c r="R22" s="355"/>
    </row>
    <row r="23" spans="2:18" ht="15" customHeight="1">
      <c r="B23" s="612" t="s">
        <v>327</v>
      </c>
      <c r="C23" s="23"/>
      <c r="D23" s="447">
        <f>+D22/D35</f>
        <v>0</v>
      </c>
      <c r="E23" s="447">
        <f>+E22/E35</f>
        <v>0</v>
      </c>
      <c r="F23" s="447">
        <f>+F22/F35</f>
        <v>0</v>
      </c>
      <c r="G23" s="447">
        <f>+G22/G35</f>
        <v>0</v>
      </c>
      <c r="H23" s="447">
        <f>+H22/H35</f>
        <v>0</v>
      </c>
      <c r="I23" s="23"/>
      <c r="J23" s="23"/>
      <c r="K23" s="355"/>
      <c r="L23" s="355"/>
      <c r="M23" s="355"/>
      <c r="N23" s="355"/>
      <c r="O23" s="355"/>
      <c r="P23" s="355"/>
      <c r="Q23" s="355"/>
      <c r="R23" s="355"/>
    </row>
    <row r="24" spans="2:18" ht="15" customHeight="1">
      <c r="B24" s="448" t="s">
        <v>328</v>
      </c>
      <c r="C24" s="23"/>
      <c r="D24" s="395">
        <f>+IS!AF50</f>
        <v>0</v>
      </c>
      <c r="E24" s="623">
        <f>D24</f>
        <v>0</v>
      </c>
      <c r="F24" s="623">
        <f t="shared" ref="F24:H24" si="2">E24</f>
        <v>0</v>
      </c>
      <c r="G24" s="623">
        <f t="shared" si="2"/>
        <v>0</v>
      </c>
      <c r="H24" s="623">
        <f t="shared" si="2"/>
        <v>0</v>
      </c>
      <c r="I24" s="23"/>
      <c r="J24" s="23"/>
      <c r="K24" s="23"/>
      <c r="L24" s="23"/>
      <c r="M24" s="23"/>
      <c r="N24" s="23"/>
      <c r="O24" s="624"/>
      <c r="P24" s="23"/>
      <c r="Q24" s="23"/>
      <c r="R24" s="23"/>
    </row>
    <row r="25" spans="2:18" ht="15" customHeight="1">
      <c r="B25" s="620" t="s">
        <v>329</v>
      </c>
      <c r="C25" s="23"/>
      <c r="D25" s="621">
        <f>IFERROR(D24/D22,0)</f>
        <v>0</v>
      </c>
      <c r="E25" s="621">
        <f>IFERROR(E24/E22,0)</f>
        <v>0</v>
      </c>
      <c r="F25" s="621">
        <f>IFERROR(F24/F22,0)</f>
        <v>0</v>
      </c>
      <c r="G25" s="621">
        <f>IFERROR(G24/G22,0)</f>
        <v>0</v>
      </c>
      <c r="H25" s="621">
        <f>IFERROR(H24/H22,0)</f>
        <v>0</v>
      </c>
      <c r="I25" s="23"/>
      <c r="J25" s="23"/>
      <c r="K25" s="23"/>
      <c r="L25" s="23"/>
      <c r="M25" s="23"/>
      <c r="N25" s="23"/>
      <c r="O25" s="624"/>
      <c r="P25" s="23"/>
      <c r="Q25" s="23"/>
      <c r="R25" s="23"/>
    </row>
    <row r="26" spans="2:18" ht="15" customHeight="1">
      <c r="B26" s="357"/>
      <c r="C26" s="23"/>
      <c r="D26" s="23"/>
      <c r="E26" s="23"/>
      <c r="F26" s="23"/>
      <c r="G26" s="23"/>
      <c r="H26" s="23"/>
      <c r="I26" s="23"/>
      <c r="J26" s="23"/>
      <c r="K26" s="23"/>
      <c r="L26" s="23"/>
      <c r="M26" s="23"/>
      <c r="N26" s="23"/>
      <c r="O26" s="624"/>
      <c r="P26" s="23"/>
      <c r="Q26" s="23"/>
      <c r="R26" s="23"/>
    </row>
    <row r="27" spans="2:18" ht="15" customHeight="1">
      <c r="B27" s="357" t="s">
        <v>330</v>
      </c>
      <c r="C27" s="23"/>
      <c r="D27" s="23"/>
      <c r="E27" s="23"/>
      <c r="F27" s="23"/>
      <c r="G27" s="23"/>
      <c r="H27" s="23"/>
      <c r="I27" s="23"/>
      <c r="J27" s="23"/>
      <c r="K27" s="23"/>
      <c r="L27" s="23"/>
      <c r="M27" s="23"/>
      <c r="N27" s="23"/>
      <c r="O27" s="624"/>
      <c r="P27" s="23"/>
      <c r="Q27" s="23"/>
      <c r="R27" s="23"/>
    </row>
    <row r="28" spans="2:18" ht="15" customHeight="1">
      <c r="B28" s="610" t="s">
        <v>331</v>
      </c>
      <c r="C28" s="574">
        <f>+BS!AF38+BS!AF39+BS!AF44+BS!AF45</f>
        <v>332.05200000000002</v>
      </c>
      <c r="D28" s="625">
        <f>+BS!AI38+BS!AI39+BS!AI44+BS!AI45</f>
        <v>318.27999999999997</v>
      </c>
      <c r="E28" s="834">
        <v>320</v>
      </c>
      <c r="F28" s="626">
        <v>320</v>
      </c>
      <c r="G28" s="626">
        <v>320</v>
      </c>
      <c r="H28" s="626">
        <v>320</v>
      </c>
      <c r="I28" s="23"/>
      <c r="J28" s="23"/>
      <c r="K28" s="23"/>
      <c r="L28" s="23"/>
      <c r="M28" s="23"/>
      <c r="N28" s="23"/>
      <c r="O28" s="624"/>
      <c r="P28" s="23"/>
      <c r="Q28" s="23"/>
      <c r="R28" s="23"/>
    </row>
    <row r="29" spans="2:18" ht="15" customHeight="1">
      <c r="B29" s="612" t="s">
        <v>332</v>
      </c>
      <c r="C29" s="23"/>
      <c r="D29" s="517">
        <f>IFERROR(D28/D35,"")</f>
        <v>0.99703533916389964</v>
      </c>
      <c r="E29" s="517">
        <f>IFERROR(E28/E35,"")</f>
        <v>0.99739430737199064</v>
      </c>
      <c r="F29" s="517">
        <f>IFERROR(F28/F35,"")</f>
        <v>0.99749690620100184</v>
      </c>
      <c r="G29" s="517">
        <f>IFERROR(G28/G35,"")</f>
        <v>0.99744715867825773</v>
      </c>
      <c r="H29" s="517">
        <f>IFERROR(H28/H35,"")</f>
        <v>0.99738498125227915</v>
      </c>
      <c r="I29" s="624"/>
      <c r="J29" s="624"/>
      <c r="K29" s="624"/>
      <c r="L29" s="624"/>
      <c r="M29" s="624"/>
      <c r="N29" s="624"/>
      <c r="O29" s="23"/>
      <c r="P29" s="23"/>
      <c r="Q29" s="23"/>
      <c r="R29" s="23"/>
    </row>
    <row r="30" spans="2:18" ht="15" customHeight="1">
      <c r="B30" s="448" t="s">
        <v>333</v>
      </c>
      <c r="C30" s="23"/>
      <c r="D30" s="519">
        <f>+D31-D15</f>
        <v>-6.8153449792635427E-3</v>
      </c>
      <c r="E30" s="608">
        <v>6.7500000000000004E-2</v>
      </c>
      <c r="F30" s="608">
        <v>6.7500000000000004E-2</v>
      </c>
      <c r="G30" s="608">
        <v>6.7500000000000004E-2</v>
      </c>
      <c r="H30" s="608">
        <v>6.7500000000000004E-2</v>
      </c>
      <c r="I30" s="615"/>
      <c r="J30" s="615"/>
      <c r="K30" s="615"/>
      <c r="L30" s="615"/>
      <c r="M30" s="615"/>
      <c r="N30" s="615"/>
      <c r="O30" s="615"/>
      <c r="P30" s="23"/>
      <c r="Q30" s="23"/>
      <c r="R30" s="23"/>
    </row>
    <row r="31" spans="2:18" ht="15" customHeight="1">
      <c r="B31" s="448" t="s">
        <v>334</v>
      </c>
      <c r="C31" s="23"/>
      <c r="D31" s="572">
        <f>+IS!AI36/WACC!D28</f>
        <v>3.0284655020736458E-2</v>
      </c>
      <c r="E31" s="519">
        <f>+E30+E15</f>
        <v>0.1046</v>
      </c>
      <c r="F31" s="519">
        <f>+F30+F15</f>
        <v>0.1046</v>
      </c>
      <c r="G31" s="519">
        <f>+G30+G15</f>
        <v>0.1046</v>
      </c>
      <c r="H31" s="519">
        <f>+H30+H15</f>
        <v>0.1046</v>
      </c>
      <c r="I31" s="615"/>
      <c r="J31" s="615"/>
      <c r="K31" s="615"/>
      <c r="L31" s="615"/>
      <c r="M31" s="615"/>
      <c r="N31" s="615"/>
      <c r="O31" s="615"/>
      <c r="P31" s="23"/>
      <c r="Q31" s="23"/>
      <c r="R31" s="23"/>
    </row>
    <row r="32" spans="2:18" ht="15" customHeight="1">
      <c r="B32" s="448" t="s">
        <v>335</v>
      </c>
      <c r="C32" s="23"/>
      <c r="D32" s="627">
        <f>+FCFF!Z124</f>
        <v>0.18025793895909753</v>
      </c>
      <c r="E32" s="627">
        <f>+FCFF!AF124</f>
        <v>0.16981366881643184</v>
      </c>
      <c r="F32" s="627">
        <f>+FCFF!AH124</f>
        <v>0.17</v>
      </c>
      <c r="G32" s="627">
        <f>+FCFF!AJ124</f>
        <v>0.17</v>
      </c>
      <c r="H32" s="627">
        <f>+FCFF!AL124</f>
        <v>0.17</v>
      </c>
      <c r="I32" s="615"/>
      <c r="J32" s="615"/>
      <c r="K32" s="615"/>
      <c r="L32" s="615"/>
      <c r="M32" s="615"/>
      <c r="N32" s="615"/>
      <c r="O32" s="23"/>
      <c r="P32" s="23"/>
      <c r="Q32" s="23"/>
      <c r="R32" s="23"/>
    </row>
    <row r="33" spans="1:14" ht="15" customHeight="1">
      <c r="A33" s="23"/>
      <c r="B33" s="620" t="s">
        <v>336</v>
      </c>
      <c r="C33" s="23"/>
      <c r="D33" s="621">
        <f>+D31*(1-D32)</f>
        <v>2.482560552461122E-2</v>
      </c>
      <c r="E33" s="621">
        <f t="shared" ref="E33" si="3">+E31*(1-E32)</f>
        <v>8.6837490241801235E-2</v>
      </c>
      <c r="F33" s="621">
        <f>+F31*(1-F32)</f>
        <v>8.6817999999999992E-2</v>
      </c>
      <c r="G33" s="621">
        <f>+G31*(1-G32)</f>
        <v>8.6817999999999992E-2</v>
      </c>
      <c r="H33" s="621">
        <f>+H31*(1-H32)</f>
        <v>8.6817999999999992E-2</v>
      </c>
      <c r="I33" s="615"/>
      <c r="J33" s="615"/>
      <c r="K33" s="615"/>
      <c r="L33" s="615"/>
      <c r="M33" s="615"/>
      <c r="N33" s="615"/>
    </row>
    <row r="34" spans="1:14" ht="15" customHeight="1">
      <c r="A34" s="23"/>
      <c r="B34" s="356"/>
      <c r="C34" s="23"/>
      <c r="D34" s="621"/>
      <c r="E34" s="621"/>
      <c r="F34" s="621"/>
      <c r="G34" s="621"/>
      <c r="H34" s="621"/>
      <c r="I34" s="23"/>
      <c r="J34" s="23"/>
      <c r="K34" s="23"/>
      <c r="L34" s="23"/>
      <c r="M34" s="23"/>
      <c r="N34" s="23"/>
    </row>
    <row r="35" spans="1:14" ht="15" customHeight="1">
      <c r="A35" s="23"/>
      <c r="B35" s="357" t="s">
        <v>337</v>
      </c>
      <c r="C35" s="23"/>
      <c r="D35" s="624">
        <f>+D13+D24+D28</f>
        <v>319.22639799999996</v>
      </c>
      <c r="E35" s="624">
        <f>+E13+E24+E28</f>
        <v>320.83600000000001</v>
      </c>
      <c r="F35" s="624">
        <f>+F13+F24+F28</f>
        <v>320.803</v>
      </c>
      <c r="G35" s="624">
        <f>+G13+G24+G28</f>
        <v>320.81900000000002</v>
      </c>
      <c r="H35" s="624">
        <f>+H13+H24+H28</f>
        <v>320.839</v>
      </c>
      <c r="I35" s="23"/>
      <c r="J35" s="23"/>
      <c r="K35" s="23"/>
      <c r="L35" s="23"/>
      <c r="M35" s="23"/>
      <c r="N35" s="23"/>
    </row>
    <row r="36" spans="1:14" ht="15" customHeight="1">
      <c r="A36" s="23"/>
      <c r="B36" s="357"/>
      <c r="C36" s="23"/>
      <c r="D36" s="23"/>
      <c r="E36" s="23"/>
      <c r="F36" s="23"/>
      <c r="G36" s="23"/>
      <c r="H36" s="23"/>
      <c r="I36" s="624"/>
      <c r="J36" s="624"/>
      <c r="K36" s="624"/>
      <c r="L36" s="624"/>
      <c r="M36" s="624"/>
      <c r="N36" s="624"/>
    </row>
    <row r="37" spans="1:14" ht="15" customHeight="1">
      <c r="A37" s="23"/>
      <c r="B37" s="357" t="s">
        <v>338</v>
      </c>
      <c r="C37" s="23"/>
      <c r="D37" s="628">
        <v>0</v>
      </c>
      <c r="E37" s="628">
        <v>0</v>
      </c>
      <c r="F37" s="628">
        <v>0</v>
      </c>
      <c r="G37" s="628">
        <v>0</v>
      </c>
      <c r="H37" s="628">
        <v>0</v>
      </c>
      <c r="I37" s="23"/>
      <c r="J37" s="23"/>
      <c r="K37" s="23"/>
      <c r="L37" s="23"/>
      <c r="M37" s="23"/>
      <c r="N37" s="23"/>
    </row>
    <row r="38" spans="1:14" ht="15" customHeight="1">
      <c r="A38" s="23"/>
      <c r="B38" s="357"/>
      <c r="C38" s="23"/>
      <c r="D38" s="23"/>
      <c r="E38" s="23"/>
      <c r="F38" s="23"/>
      <c r="G38" s="23"/>
      <c r="H38" s="23"/>
      <c r="I38" s="615"/>
      <c r="J38" s="615"/>
      <c r="K38" s="615"/>
      <c r="L38" s="615"/>
      <c r="M38" s="615"/>
      <c r="N38" s="615"/>
    </row>
    <row r="39" spans="1:14" ht="15" customHeight="1">
      <c r="A39" s="576" t="s">
        <v>39</v>
      </c>
      <c r="B39" s="629" t="s">
        <v>339</v>
      </c>
      <c r="C39" s="630"/>
      <c r="D39" s="631">
        <f>+D19*D14+D25*D23+D33*D29+D37</f>
        <v>2.5084074719770699E-2</v>
      </c>
      <c r="E39" s="631">
        <f>+E19*E14+E25*E23+E33*E29+E37</f>
        <v>8.6932772179986073E-2</v>
      </c>
      <c r="F39" s="631">
        <f>+F19*F14+F25*F23+F33*F29+F37</f>
        <v>8.6931434542385902E-2</v>
      </c>
      <c r="G39" s="631">
        <f>+G19*G14+G25*G23+G33*G29+G37</f>
        <v>8.6909665093193852E-2</v>
      </c>
      <c r="H39" s="632">
        <f>+H19*H14+H25*H23+H33*H29+H37</f>
        <v>8.6905146936065145E-2</v>
      </c>
      <c r="I39" s="23"/>
      <c r="J39" s="23"/>
      <c r="K39" s="23"/>
      <c r="L39" s="23"/>
      <c r="M39" s="23"/>
      <c r="N39" s="23"/>
    </row>
    <row r="40" spans="1:14" ht="15" customHeight="1">
      <c r="A40" s="23"/>
      <c r="B40" s="23"/>
      <c r="C40" s="23"/>
      <c r="D40" s="23"/>
      <c r="E40" s="23"/>
      <c r="F40" s="23"/>
      <c r="G40" s="23"/>
      <c r="H40" s="23"/>
      <c r="I40" s="633"/>
      <c r="J40" s="633"/>
      <c r="K40" s="633"/>
      <c r="L40" s="633"/>
      <c r="M40" s="633"/>
      <c r="N40" s="633"/>
    </row>
    <row r="41" spans="1:14" ht="15" customHeight="1">
      <c r="A41" s="23"/>
      <c r="B41" s="23" t="s">
        <v>340</v>
      </c>
      <c r="C41" s="23"/>
      <c r="D41" s="24">
        <f>+FCFF!Z126</f>
        <v>143.24968440438144</v>
      </c>
      <c r="E41" s="24">
        <f>+FCFF!AF126</f>
        <v>170.00085145507921</v>
      </c>
      <c r="F41" s="24">
        <f>+FCFF!AH126</f>
        <v>251.55259821230973</v>
      </c>
      <c r="G41" s="24">
        <f>+FCFF!AJ126</f>
        <v>323.38938652276136</v>
      </c>
      <c r="H41" s="24">
        <f>+FCFF!AL126</f>
        <v>412.45715331635364</v>
      </c>
      <c r="I41" s="633"/>
      <c r="J41" s="633"/>
      <c r="K41" s="633"/>
      <c r="L41" s="633"/>
      <c r="M41" s="633"/>
      <c r="N41" s="633"/>
    </row>
    <row r="42" spans="1:14" ht="15" customHeight="1">
      <c r="A42" s="23"/>
      <c r="B42" s="23" t="s">
        <v>341</v>
      </c>
      <c r="C42" s="23"/>
      <c r="D42" s="24">
        <f>+FCFF!Z112+FCFF!Z115</f>
        <v>-2.4089999999999998</v>
      </c>
      <c r="E42" s="24">
        <f>+FCFF!AF112+FCFF!AF115</f>
        <v>-2.3159609716261125</v>
      </c>
      <c r="F42" s="24">
        <f>+FCFF!AH112+FCFF!AH115</f>
        <v>-3.5465779463692915</v>
      </c>
      <c r="G42" s="24">
        <f>+FCFF!AJ112+FCFF!AJ115</f>
        <v>-5.7016815956828406</v>
      </c>
      <c r="H42" s="24">
        <f>+FCFF!AL112+FCFF!AL115</f>
        <v>-8.3737145994906079</v>
      </c>
      <c r="I42" s="633"/>
      <c r="J42" s="633"/>
      <c r="K42" s="633"/>
      <c r="L42" s="633"/>
      <c r="M42" s="633"/>
      <c r="N42" s="633"/>
    </row>
    <row r="43" spans="1:14" ht="15" customHeight="1">
      <c r="A43" s="23"/>
      <c r="B43" s="23" t="s">
        <v>342</v>
      </c>
      <c r="C43" s="575">
        <f>+BS!AF54</f>
        <v>234.21299999999999</v>
      </c>
      <c r="D43" s="24">
        <f>+C43+D41+D42</f>
        <v>375.05368440438144</v>
      </c>
      <c r="E43" s="24">
        <f t="shared" ref="E43:H43" si="4">+D43+E41+E42</f>
        <v>542.73857488783449</v>
      </c>
      <c r="F43" s="24">
        <f t="shared" si="4"/>
        <v>790.74459515377487</v>
      </c>
      <c r="G43" s="24">
        <f t="shared" si="4"/>
        <v>1108.4323000808533</v>
      </c>
      <c r="H43" s="24">
        <f t="shared" si="4"/>
        <v>1512.5157387977165</v>
      </c>
      <c r="I43" s="633"/>
      <c r="J43" s="633"/>
      <c r="K43" s="611"/>
      <c r="L43" s="611"/>
      <c r="M43" s="611"/>
      <c r="N43" s="611"/>
    </row>
    <row r="44" spans="1:14" ht="15" customHeight="1">
      <c r="A44" s="23"/>
      <c r="B44" s="23" t="s">
        <v>343</v>
      </c>
      <c r="C44" s="575">
        <f>+C43+C28</f>
        <v>566.26499999999999</v>
      </c>
      <c r="D44" s="24">
        <f t="shared" ref="D44:H44" si="5">+D43+D28</f>
        <v>693.33368440438142</v>
      </c>
      <c r="E44" s="24">
        <f t="shared" si="5"/>
        <v>862.73857488783449</v>
      </c>
      <c r="F44" s="24">
        <f t="shared" si="5"/>
        <v>1110.7445951537748</v>
      </c>
      <c r="G44" s="24">
        <f t="shared" si="5"/>
        <v>1428.4323000808533</v>
      </c>
      <c r="H44" s="24">
        <f t="shared" si="5"/>
        <v>1832.5157387977165</v>
      </c>
      <c r="I44" s="633"/>
      <c r="J44" s="633"/>
      <c r="K44" s="611"/>
      <c r="L44" s="611"/>
      <c r="M44" s="611"/>
      <c r="N44" s="611"/>
    </row>
    <row r="45" spans="1:14" ht="15" customHeight="1">
      <c r="A45" s="576" t="s">
        <v>39</v>
      </c>
      <c r="B45" s="573" t="s">
        <v>234</v>
      </c>
      <c r="C45" s="634"/>
      <c r="D45" s="635">
        <f>+D41/((D44+C44)/2)</f>
        <v>0.22745289619307443</v>
      </c>
      <c r="E45" s="635">
        <f t="shared" ref="E45:H45" si="6">+E41/((E44+D44)/2)</f>
        <v>0.21849994489639524</v>
      </c>
      <c r="F45" s="635">
        <f t="shared" si="6"/>
        <v>0.25493260042040888</v>
      </c>
      <c r="G45" s="635">
        <f t="shared" si="6"/>
        <v>0.25471985597354696</v>
      </c>
      <c r="H45" s="636">
        <f t="shared" si="6"/>
        <v>0.25296763296982583</v>
      </c>
      <c r="I45" s="23"/>
      <c r="J45" s="23"/>
      <c r="K45" s="611"/>
      <c r="L45" s="611"/>
      <c r="M45" s="611"/>
      <c r="N45" s="611"/>
    </row>
    <row r="46" spans="1:14" ht="15" customHeight="1">
      <c r="A46" s="23"/>
      <c r="B46" s="23"/>
      <c r="C46" s="23"/>
      <c r="D46" s="23"/>
      <c r="E46" s="23"/>
      <c r="F46" s="23"/>
      <c r="G46" s="23"/>
      <c r="H46" s="23"/>
      <c r="I46" s="23"/>
      <c r="J46" s="23"/>
      <c r="K46" s="674"/>
      <c r="L46" s="674"/>
      <c r="M46" s="674"/>
      <c r="N46" s="674"/>
    </row>
    <row r="49" spans="23:23" ht="15" customHeight="1">
      <c r="W49" s="23" t="s">
        <v>344</v>
      </c>
    </row>
  </sheetData>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abSelected="1" topLeftCell="A41" zoomScaleNormal="55" workbookViewId="0">
      <selection activeCell="B58" sqref="B58"/>
    </sheetView>
  </sheetViews>
  <sheetFormatPr baseColWidth="10" defaultColWidth="9" defaultRowHeight="14.25" customHeight="1" outlineLevelCol="1"/>
  <cols>
    <col min="1" max="1" width="2.1640625" style="97" customWidth="1"/>
    <col min="2" max="2" width="50.6640625" style="97" customWidth="1"/>
    <col min="3" max="3" width="3.33203125" style="23" customWidth="1"/>
    <col min="4" max="7" width="9.6640625" style="97" customWidth="1" outlineLevel="1"/>
    <col min="8" max="8" width="11.6640625" style="97" customWidth="1"/>
    <col min="9" max="9" width="1.6640625" style="23" customWidth="1"/>
    <col min="10" max="13" width="9.6640625" style="97" customWidth="1" outlineLevel="1"/>
    <col min="14" max="14" width="11.6640625" style="97" customWidth="1"/>
    <col min="15" max="15" width="1.6640625" style="23" customWidth="1"/>
    <col min="16" max="19" width="9.6640625" style="97" customWidth="1" outlineLevel="1"/>
    <col min="20" max="20" width="11.6640625" style="97" customWidth="1"/>
    <col min="21" max="21" width="1.6640625" style="23" customWidth="1"/>
    <col min="22" max="25" width="9.6640625" style="97" customWidth="1" outlineLevel="1"/>
    <col min="26" max="26" width="11.6640625" style="97" customWidth="1"/>
    <col min="27" max="27" width="1.6640625" style="23" customWidth="1"/>
    <col min="28" max="31" width="9.6640625" style="97" customWidth="1" outlineLevel="1"/>
    <col min="32" max="32" width="11.6640625" style="97" customWidth="1"/>
    <col min="33" max="33" width="1.6640625" style="23" customWidth="1"/>
    <col min="34" max="34" width="11.6640625" style="97" customWidth="1"/>
    <col min="35" max="35" width="1.6640625" style="23" customWidth="1"/>
    <col min="36" max="36" width="11.6640625" style="105" customWidth="1"/>
    <col min="37" max="37" width="1.6640625" style="97" customWidth="1"/>
    <col min="38" max="38" width="11.6640625" style="97" customWidth="1"/>
    <col min="39" max="39" width="1.6640625" style="97" customWidth="1"/>
    <col min="40" max="40" width="9" style="97"/>
    <col min="41" max="41" width="32.33203125" style="97" bestFit="1" customWidth="1"/>
    <col min="42" max="16384" width="9" style="97"/>
  </cols>
  <sheetData>
    <row r="1" spans="1:60" s="546" customFormat="1" ht="15" customHeight="1"/>
    <row r="2" spans="1:60" s="546" customFormat="1" ht="15" customHeight="1"/>
    <row r="3" spans="1:60" s="546" customFormat="1" ht="15" customHeight="1"/>
    <row r="4" spans="1:60" s="546" customFormat="1" ht="15" customHeight="1"/>
    <row r="5" spans="1:60" s="287" customFormat="1" ht="4" customHeight="1">
      <c r="C5" s="36"/>
      <c r="I5" s="36"/>
      <c r="O5" s="36"/>
      <c r="U5" s="36"/>
      <c r="AA5" s="36"/>
      <c r="AG5" s="36"/>
      <c r="AI5" s="36"/>
      <c r="AJ5" s="288"/>
    </row>
    <row r="7" spans="1:60" s="41" customFormat="1" ht="15" customHeight="1">
      <c r="A7" s="30" t="s">
        <v>39</v>
      </c>
      <c r="B7" s="161" t="s">
        <v>345</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row>
    <row r="8" spans="1:60" s="41" customFormat="1" ht="15" customHeight="1">
      <c r="B8" s="164"/>
      <c r="C8" s="18"/>
      <c r="D8" s="822">
        <v>2022</v>
      </c>
      <c r="E8" s="822"/>
      <c r="F8" s="822"/>
      <c r="G8" s="822"/>
      <c r="H8" s="822"/>
      <c r="I8" s="169"/>
      <c r="J8" s="822">
        <f>D8+1</f>
        <v>2023</v>
      </c>
      <c r="K8" s="822"/>
      <c r="L8" s="822"/>
      <c r="M8" s="822"/>
      <c r="N8" s="822"/>
      <c r="O8" s="169"/>
      <c r="P8" s="822">
        <f>J8+1</f>
        <v>2024</v>
      </c>
      <c r="Q8" s="822"/>
      <c r="R8" s="822"/>
      <c r="S8" s="822"/>
      <c r="T8" s="822"/>
      <c r="U8" s="169"/>
      <c r="V8" s="821">
        <f>P8+1</f>
        <v>2025</v>
      </c>
      <c r="W8" s="821"/>
      <c r="X8" s="821"/>
      <c r="Y8" s="821"/>
      <c r="Z8" s="821"/>
      <c r="AA8" s="169"/>
      <c r="AB8" s="821">
        <f>V8+1</f>
        <v>2026</v>
      </c>
      <c r="AC8" s="821"/>
      <c r="AD8" s="821"/>
      <c r="AE8" s="821"/>
      <c r="AF8" s="821"/>
      <c r="AG8" s="171"/>
      <c r="AH8" s="721">
        <f>AB8+1</f>
        <v>2027</v>
      </c>
      <c r="AI8" s="167"/>
      <c r="AJ8" s="721">
        <f>+AH8+1</f>
        <v>2028</v>
      </c>
      <c r="AK8" s="167"/>
      <c r="AL8" s="721">
        <f>+AJ8+1</f>
        <v>2029</v>
      </c>
    </row>
    <row r="9" spans="1:60" s="41" customFormat="1" ht="14.25" customHeight="1">
      <c r="B9" s="164"/>
      <c r="C9" s="18"/>
      <c r="D9" s="168" t="s">
        <v>173</v>
      </c>
      <c r="E9" s="168" t="s">
        <v>174</v>
      </c>
      <c r="F9" s="168" t="s">
        <v>175</v>
      </c>
      <c r="G9" s="168" t="s">
        <v>176</v>
      </c>
      <c r="H9" s="168" t="s">
        <v>177</v>
      </c>
      <c r="I9" s="165"/>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177</v>
      </c>
      <c r="AI9" s="165"/>
      <c r="AJ9" s="168" t="s">
        <v>177</v>
      </c>
      <c r="AK9" s="165"/>
      <c r="AL9" s="168" t="s">
        <v>177</v>
      </c>
    </row>
    <row r="10" spans="1:60" ht="14.25" customHeight="1">
      <c r="B10" s="97" t="s">
        <v>346</v>
      </c>
      <c r="D10" s="650">
        <f>AVERAGE(D11:D12)</f>
        <v>339</v>
      </c>
      <c r="E10" s="650">
        <f t="shared" ref="E10:AL10" si="0">AVERAGE(E11:E12)</f>
        <v>369</v>
      </c>
      <c r="F10" s="650">
        <f t="shared" si="0"/>
        <v>401</v>
      </c>
      <c r="G10" s="650">
        <f t="shared" si="0"/>
        <v>403</v>
      </c>
      <c r="H10" s="674">
        <f t="shared" si="0"/>
        <v>420.5</v>
      </c>
      <c r="I10" s="674"/>
      <c r="J10" s="674">
        <f t="shared" si="0"/>
        <v>386.5</v>
      </c>
      <c r="K10" s="674">
        <f t="shared" si="0"/>
        <v>384</v>
      </c>
      <c r="L10" s="674">
        <f t="shared" si="0"/>
        <v>407</v>
      </c>
      <c r="M10" s="674">
        <f t="shared" si="0"/>
        <v>416.5</v>
      </c>
      <c r="N10" s="674">
        <f t="shared" si="0"/>
        <v>460</v>
      </c>
      <c r="O10" s="674"/>
      <c r="P10" s="674">
        <f t="shared" si="0"/>
        <v>394</v>
      </c>
      <c r="Q10" s="674">
        <f t="shared" si="0"/>
        <v>379</v>
      </c>
      <c r="R10" s="674">
        <f t="shared" si="0"/>
        <v>400.5</v>
      </c>
      <c r="S10" s="674">
        <f t="shared" si="0"/>
        <v>419.5</v>
      </c>
      <c r="T10" s="674">
        <f t="shared" si="0"/>
        <v>468.5</v>
      </c>
      <c r="U10" s="674"/>
      <c r="V10" s="674">
        <f t="shared" si="0"/>
        <v>416</v>
      </c>
      <c r="W10" s="674">
        <f t="shared" si="0"/>
        <v>422.5</v>
      </c>
      <c r="X10" s="674">
        <f t="shared" si="0"/>
        <v>446.03126255676636</v>
      </c>
      <c r="Y10" s="674">
        <f t="shared" si="0"/>
        <v>463.3376500195501</v>
      </c>
      <c r="Z10" s="674">
        <f t="shared" si="0"/>
        <v>534.67499999999995</v>
      </c>
      <c r="AA10" s="674"/>
      <c r="AB10" s="674">
        <f>AVERAGE(AB11:AB12)</f>
        <v>480.28846267312855</v>
      </c>
      <c r="AC10" s="674">
        <f t="shared" si="0"/>
        <v>499.37678301092785</v>
      </c>
      <c r="AD10" s="674">
        <f t="shared" si="0"/>
        <v>524.11626400894215</v>
      </c>
      <c r="AE10" s="674">
        <f>AVERAGE(AE11:AE12)</f>
        <v>552.92393047713381</v>
      </c>
      <c r="AF10" s="674">
        <f>AVERAGE(AF11:AF12)</f>
        <v>629.32152421874991</v>
      </c>
      <c r="AG10" s="674"/>
      <c r="AH10" s="674">
        <f>AVERAGE(AH11:AH12)</f>
        <v>763.64362707241696</v>
      </c>
      <c r="AI10" s="674"/>
      <c r="AJ10" s="674">
        <f t="shared" si="0"/>
        <v>980.0651633666921</v>
      </c>
      <c r="AK10" s="674"/>
      <c r="AL10" s="674">
        <f t="shared" si="0"/>
        <v>1237.8116752907354</v>
      </c>
    </row>
    <row r="11" spans="1:60" ht="14.25" customHeight="1">
      <c r="B11" s="97" t="s">
        <v>347</v>
      </c>
      <c r="D11" s="659" t="s">
        <v>93</v>
      </c>
      <c r="E11" s="97">
        <v>339</v>
      </c>
      <c r="F11" s="97">
        <v>399</v>
      </c>
      <c r="G11" s="97">
        <v>403</v>
      </c>
      <c r="H11" s="444">
        <v>384</v>
      </c>
      <c r="J11" s="23">
        <v>403</v>
      </c>
      <c r="K11" s="23">
        <v>370</v>
      </c>
      <c r="L11" s="23">
        <v>398</v>
      </c>
      <c r="M11" s="23">
        <f>L12</f>
        <v>416</v>
      </c>
      <c r="N11" s="444">
        <v>457</v>
      </c>
      <c r="P11" s="23">
        <v>417</v>
      </c>
      <c r="Q11" s="23">
        <v>371</v>
      </c>
      <c r="R11" s="23">
        <v>387</v>
      </c>
      <c r="S11" s="23">
        <v>414</v>
      </c>
      <c r="T11" s="23">
        <f>463</f>
        <v>463</v>
      </c>
      <c r="V11" s="23">
        <v>425</v>
      </c>
      <c r="W11" s="23">
        <v>407</v>
      </c>
      <c r="X11" s="23">
        <v>438</v>
      </c>
      <c r="Y11" s="674">
        <f>X12</f>
        <v>454.06252511353273</v>
      </c>
      <c r="Z11" s="674">
        <f>T12</f>
        <v>474</v>
      </c>
      <c r="AA11" s="674"/>
      <c r="AB11" s="674">
        <f>Y12</f>
        <v>472.61277492556746</v>
      </c>
      <c r="AC11" s="674">
        <f t="shared" ref="AC11:AE11" si="1">AB12</f>
        <v>487.96415042068963</v>
      </c>
      <c r="AD11" s="674">
        <f t="shared" si="1"/>
        <v>510.78941560116607</v>
      </c>
      <c r="AE11" s="674">
        <f t="shared" si="1"/>
        <v>537.44311241671824</v>
      </c>
      <c r="AF11" s="674">
        <f>Z12</f>
        <v>595.34999999999991</v>
      </c>
      <c r="AG11" s="674"/>
      <c r="AH11" s="674">
        <f>AF12</f>
        <v>663.29304843749992</v>
      </c>
      <c r="AI11" s="674"/>
      <c r="AJ11" s="674">
        <f>AH12</f>
        <v>863.994205707334</v>
      </c>
      <c r="AK11" s="674"/>
      <c r="AL11" s="674">
        <f>AJ12</f>
        <v>1096.1361210260502</v>
      </c>
    </row>
    <row r="12" spans="1:60" ht="14.25" customHeight="1">
      <c r="B12" s="97" t="s">
        <v>348</v>
      </c>
      <c r="D12" s="97">
        <v>339</v>
      </c>
      <c r="E12" s="97">
        <v>399</v>
      </c>
      <c r="F12" s="97">
        <v>403</v>
      </c>
      <c r="G12" s="97">
        <v>403</v>
      </c>
      <c r="H12" s="444">
        <v>457</v>
      </c>
      <c r="J12" s="23">
        <v>370</v>
      </c>
      <c r="K12" s="23">
        <v>398</v>
      </c>
      <c r="L12" s="23">
        <v>416</v>
      </c>
      <c r="M12" s="23">
        <v>417</v>
      </c>
      <c r="N12" s="444">
        <v>463</v>
      </c>
      <c r="P12" s="23">
        <v>371</v>
      </c>
      <c r="Q12" s="23">
        <v>387</v>
      </c>
      <c r="R12" s="23">
        <v>414</v>
      </c>
      <c r="S12" s="23">
        <v>425</v>
      </c>
      <c r="T12" s="23">
        <v>474</v>
      </c>
      <c r="V12" s="23">
        <v>407</v>
      </c>
      <c r="W12" s="23">
        <v>438</v>
      </c>
      <c r="X12" s="674">
        <f>X11+X14-X15-X16</f>
        <v>454.06252511353273</v>
      </c>
      <c r="Y12" s="674">
        <f>Y11+Y14-Y15-Y16</f>
        <v>472.61277492556746</v>
      </c>
      <c r="Z12" s="674">
        <f>Z11+Z14-Z15-Z16</f>
        <v>595.34999999999991</v>
      </c>
      <c r="AA12" s="674"/>
      <c r="AB12" s="674">
        <f>AB11+AB14-AB15-AB16</f>
        <v>487.96415042068963</v>
      </c>
      <c r="AC12" s="674">
        <f>AC11+AC14-AC15-AC16</f>
        <v>510.78941560116607</v>
      </c>
      <c r="AD12" s="674">
        <f>AD11+AD14-AD15-AD16</f>
        <v>537.44311241671824</v>
      </c>
      <c r="AE12" s="674">
        <f t="shared" ref="AE12" si="2">AE11+AE14-AE15-AE16</f>
        <v>568.40474853754949</v>
      </c>
      <c r="AF12" s="674">
        <f>AF11+AF14-AF15-AF16</f>
        <v>663.29304843749992</v>
      </c>
      <c r="AG12" s="674"/>
      <c r="AH12" s="674">
        <f>AH11+AH14-AH15-AH16</f>
        <v>863.994205707334</v>
      </c>
      <c r="AI12" s="674"/>
      <c r="AJ12" s="674">
        <f>AJ11+AJ14-AJ15-AJ16</f>
        <v>1096.1361210260502</v>
      </c>
      <c r="AK12" s="674"/>
      <c r="AL12" s="674">
        <f>AL11+AL14-AL15-AL16</f>
        <v>1379.4872295554205</v>
      </c>
    </row>
    <row r="13" spans="1:60" ht="14.25" customHeight="1">
      <c r="B13" s="97" t="s">
        <v>349</v>
      </c>
      <c r="D13" s="649" t="s">
        <v>74</v>
      </c>
      <c r="E13" s="649" t="s">
        <v>74</v>
      </c>
      <c r="F13" s="649" t="s">
        <v>74</v>
      </c>
      <c r="G13" s="649" t="s">
        <v>74</v>
      </c>
      <c r="H13" s="581" t="s">
        <v>74</v>
      </c>
      <c r="J13" s="23">
        <v>156</v>
      </c>
      <c r="K13" s="23">
        <v>195</v>
      </c>
      <c r="L13" s="23">
        <v>191</v>
      </c>
      <c r="M13" s="23">
        <f>N13-J13-K13-L13</f>
        <v>191</v>
      </c>
      <c r="N13" s="23">
        <v>733</v>
      </c>
      <c r="P13" s="23">
        <v>153</v>
      </c>
      <c r="Q13" s="23">
        <v>189</v>
      </c>
      <c r="R13" s="23">
        <v>219</v>
      </c>
      <c r="S13" s="23">
        <f>T13-P13-Q13-R13</f>
        <v>162</v>
      </c>
      <c r="T13" s="23">
        <v>723</v>
      </c>
      <c r="V13" s="23">
        <v>169</v>
      </c>
      <c r="W13" s="23">
        <v>206</v>
      </c>
      <c r="X13" s="23">
        <f>(R13+S13+V13+W13)/4</f>
        <v>189</v>
      </c>
      <c r="Y13" s="23">
        <f>(S13+R13+W13+X13)/4</f>
        <v>194</v>
      </c>
      <c r="Z13" s="444">
        <f>SUM(V13:Y13)</f>
        <v>758</v>
      </c>
      <c r="AB13" s="763">
        <f>(V13+W13+X13+Y13)/4</f>
        <v>189.5</v>
      </c>
      <c r="AC13" s="763">
        <f>(W13+X13+Y13+AB13)/4</f>
        <v>194.625</v>
      </c>
      <c r="AD13" s="763">
        <f>(X13+Y13+AB13+AC13)/4</f>
        <v>191.78125</v>
      </c>
      <c r="AE13" s="763">
        <f>(Y13+AB13+AC13+AD13)/4</f>
        <v>192.4765625</v>
      </c>
      <c r="AF13" s="763">
        <f>SUM(AB13:AE13)</f>
        <v>768.3828125</v>
      </c>
      <c r="AG13" s="763"/>
      <c r="AH13" s="763">
        <f>AF13*(AF13/Z13)</f>
        <v>778.90784504671524</v>
      </c>
      <c r="AI13" s="763"/>
      <c r="AJ13" s="763">
        <f>AH13*(AH13/AF13)</f>
        <v>789.57704571940542</v>
      </c>
      <c r="AK13" s="763"/>
      <c r="AL13" s="763">
        <f>AJ13*(AJ13/AH13)</f>
        <v>800.39238928142197</v>
      </c>
    </row>
    <row r="14" spans="1:60" ht="14.25" customHeight="1">
      <c r="B14" s="97" t="s">
        <v>350</v>
      </c>
      <c r="D14" s="97">
        <v>163</v>
      </c>
      <c r="E14" s="97">
        <v>225</v>
      </c>
      <c r="F14" s="97">
        <v>182</v>
      </c>
      <c r="G14" s="97">
        <f>H14-D14-E14-F14</f>
        <v>189</v>
      </c>
      <c r="H14" s="444">
        <v>759</v>
      </c>
      <c r="J14" s="23">
        <v>160</v>
      </c>
      <c r="K14" s="23">
        <v>201</v>
      </c>
      <c r="L14" s="23">
        <v>196</v>
      </c>
      <c r="M14" s="23">
        <f>N14-J14-K14-L14</f>
        <v>191</v>
      </c>
      <c r="N14" s="23">
        <v>748</v>
      </c>
      <c r="P14" s="23">
        <v>164</v>
      </c>
      <c r="Q14" s="23">
        <v>206</v>
      </c>
      <c r="R14" s="23">
        <v>219</v>
      </c>
      <c r="S14" s="23">
        <f>T14-P14-Q14-R14</f>
        <v>213</v>
      </c>
      <c r="T14" s="23">
        <v>802</v>
      </c>
      <c r="V14" s="23">
        <v>190</v>
      </c>
      <c r="W14" s="23">
        <v>234</v>
      </c>
      <c r="X14" s="23">
        <f>(R14+S14+V14+W14)/4</f>
        <v>214</v>
      </c>
      <c r="Y14" s="674">
        <f>(S14+V14+W14+X14)/4</f>
        <v>212.75</v>
      </c>
      <c r="Z14" s="763">
        <f>SUM(V14:Y14)</f>
        <v>850.75</v>
      </c>
      <c r="AB14" s="763">
        <f>Y14*1.05</f>
        <v>223.38750000000002</v>
      </c>
      <c r="AC14" s="763">
        <f>AB14*1.05</f>
        <v>234.55687500000002</v>
      </c>
      <c r="AD14" s="763">
        <f t="shared" ref="AD14:AE14" si="3">AC14*1.05</f>
        <v>246.28471875000002</v>
      </c>
      <c r="AE14" s="763">
        <f t="shared" si="3"/>
        <v>258.59895468750005</v>
      </c>
      <c r="AF14" s="763">
        <f>SUM(AB14:AE14)</f>
        <v>962.82804843750012</v>
      </c>
      <c r="AG14" s="763"/>
      <c r="AH14" s="763">
        <f>AF14*(1.05)^4</f>
        <v>1170.3235105510842</v>
      </c>
      <c r="AI14" s="763"/>
      <c r="AJ14" s="763">
        <f t="shared" ref="AJ14:AL14" si="4">AH14*(1.05)^4</f>
        <v>1422.5355415967838</v>
      </c>
      <c r="AK14" s="763"/>
      <c r="AL14" s="763">
        <f t="shared" si="4"/>
        <v>1729.1008416580257</v>
      </c>
    </row>
    <row r="15" spans="1:60" ht="14.25" customHeight="1">
      <c r="B15" s="97" t="s">
        <v>351</v>
      </c>
      <c r="D15" s="97">
        <v>108</v>
      </c>
      <c r="E15" s="97">
        <v>103</v>
      </c>
      <c r="F15" s="97">
        <v>110</v>
      </c>
      <c r="G15" s="97">
        <f>H15-D15-E15-F15</f>
        <v>113</v>
      </c>
      <c r="H15" s="444">
        <v>434</v>
      </c>
      <c r="J15" s="23">
        <v>130</v>
      </c>
      <c r="K15" s="23">
        <v>119</v>
      </c>
      <c r="L15" s="23">
        <v>119</v>
      </c>
      <c r="M15" s="23">
        <f>N15-J15-K15-L15</f>
        <v>118</v>
      </c>
      <c r="N15" s="444">
        <v>486</v>
      </c>
      <c r="P15" s="23">
        <v>137</v>
      </c>
      <c r="Q15" s="23">
        <v>128</v>
      </c>
      <c r="R15" s="23">
        <v>128</v>
      </c>
      <c r="S15" s="23">
        <f>T15-P15-Q15-R15</f>
        <v>125</v>
      </c>
      <c r="T15" s="23">
        <v>518</v>
      </c>
      <c r="V15" s="23">
        <v>137</v>
      </c>
      <c r="W15" s="23">
        <v>124</v>
      </c>
      <c r="X15" s="674">
        <f>X18*X11</f>
        <v>137.93747488646733</v>
      </c>
      <c r="Y15" s="674">
        <f>Y18*Y11</f>
        <v>141.19975018796521</v>
      </c>
      <c r="Z15" s="674">
        <f>Z18*Z11</f>
        <v>521.40000000000009</v>
      </c>
      <c r="AA15" s="674"/>
      <c r="AB15" s="674">
        <f>AB18*AB11</f>
        <v>148.03612450487785</v>
      </c>
      <c r="AC15" s="674">
        <f>AC18*AC11</f>
        <v>151.73160981952353</v>
      </c>
      <c r="AD15" s="674">
        <f>AD18*AD11</f>
        <v>159.63102193444789</v>
      </c>
      <c r="AE15" s="674">
        <f>AE18*AE11</f>
        <v>167.6373185666688</v>
      </c>
      <c r="AF15" s="674">
        <f>AF18*AF11</f>
        <v>654.88499999999999</v>
      </c>
      <c r="AG15" s="674"/>
      <c r="AH15" s="674">
        <f>AH18*AH11</f>
        <v>729.62235328124996</v>
      </c>
      <c r="AI15" s="674"/>
      <c r="AJ15" s="674">
        <f>AJ18*AJ11</f>
        <v>950.39362627806747</v>
      </c>
      <c r="AK15" s="674"/>
      <c r="AL15" s="674">
        <f>AL18*AL11</f>
        <v>1205.7497331286554</v>
      </c>
      <c r="AS15" s="570">
        <v>2022</v>
      </c>
      <c r="AT15" s="570">
        <f>+AS15+1</f>
        <v>2023</v>
      </c>
      <c r="AU15" s="570">
        <f t="shared" ref="AU15:AZ15" si="5">+AT15+1</f>
        <v>2024</v>
      </c>
      <c r="AV15" s="571">
        <f t="shared" si="5"/>
        <v>2025</v>
      </c>
      <c r="AW15" s="571">
        <f t="shared" si="5"/>
        <v>2026</v>
      </c>
      <c r="AX15" s="571">
        <f t="shared" si="5"/>
        <v>2027</v>
      </c>
      <c r="AY15" s="571">
        <f t="shared" si="5"/>
        <v>2028</v>
      </c>
      <c r="AZ15" s="571">
        <f t="shared" si="5"/>
        <v>2029</v>
      </c>
    </row>
    <row r="16" spans="1:60" ht="14.25" customHeight="1">
      <c r="B16" s="97" t="s">
        <v>352</v>
      </c>
      <c r="D16" s="97">
        <v>50</v>
      </c>
      <c r="E16" s="97">
        <v>42</v>
      </c>
      <c r="F16" s="97">
        <v>71</v>
      </c>
      <c r="G16" s="97">
        <f>H16-D16-E16-F16</f>
        <v>69</v>
      </c>
      <c r="H16" s="444">
        <v>232</v>
      </c>
      <c r="J16" s="23">
        <v>65</v>
      </c>
      <c r="K16" s="23">
        <v>44</v>
      </c>
      <c r="L16" s="23">
        <v>57</v>
      </c>
      <c r="M16" s="764">
        <f>N16-J16-K16-L16</f>
        <v>65</v>
      </c>
      <c r="N16" s="444">
        <v>231</v>
      </c>
      <c r="P16" s="23">
        <v>64</v>
      </c>
      <c r="Q16" s="23">
        <v>40</v>
      </c>
      <c r="R16" s="23">
        <v>45</v>
      </c>
      <c r="S16" s="23">
        <f>T16-P16-Q16-R16</f>
        <v>57</v>
      </c>
      <c r="T16" s="23">
        <v>206</v>
      </c>
      <c r="V16" s="23">
        <v>49</v>
      </c>
      <c r="W16" s="23">
        <v>46</v>
      </c>
      <c r="X16" s="674">
        <v>60</v>
      </c>
      <c r="Y16" s="674">
        <f>(S16+V16+W16+X16)/4</f>
        <v>53</v>
      </c>
      <c r="Z16" s="674">
        <f>SUM(V16:Y16)</f>
        <v>208</v>
      </c>
      <c r="AA16" s="674"/>
      <c r="AB16" s="674">
        <v>60</v>
      </c>
      <c r="AC16" s="674">
        <v>60</v>
      </c>
      <c r="AD16" s="674">
        <v>60</v>
      </c>
      <c r="AE16" s="674">
        <v>60</v>
      </c>
      <c r="AF16" s="763">
        <f>SUM(AB16:AE16)</f>
        <v>240</v>
      </c>
      <c r="AH16" s="763">
        <v>240</v>
      </c>
      <c r="AJ16" s="763">
        <v>240</v>
      </c>
      <c r="AK16" s="23"/>
      <c r="AL16" s="763">
        <v>240</v>
      </c>
      <c r="AR16" s="97" t="s">
        <v>294</v>
      </c>
      <c r="AS16" s="301">
        <f>H61+H128</f>
        <v>45.971999999999994</v>
      </c>
      <c r="AT16" s="301">
        <f>N61+N128</f>
        <v>118.63</v>
      </c>
      <c r="AU16" s="301">
        <f>T61+T128</f>
        <v>160.88900000000001</v>
      </c>
      <c r="AV16" s="301">
        <f>Z61+Z128</f>
        <v>181.10564584638408</v>
      </c>
      <c r="AW16" s="301">
        <f>AF61+AF128</f>
        <v>211.71606539814087</v>
      </c>
      <c r="AX16" s="301">
        <f>AH61+AH128</f>
        <v>308.89121953290334</v>
      </c>
      <c r="AY16" s="301">
        <f>AJ61+AJ128</f>
        <v>395.44156689489324</v>
      </c>
      <c r="AZ16" s="301">
        <f>AL61+AL128</f>
        <v>502.75212929681169</v>
      </c>
      <c r="BA16" s="301"/>
      <c r="BB16" s="301"/>
      <c r="BC16" s="301"/>
      <c r="BD16" s="301"/>
      <c r="BE16" s="301"/>
      <c r="BF16" s="301"/>
      <c r="BG16" s="301"/>
      <c r="BH16" s="301"/>
    </row>
    <row r="17" spans="1:55" ht="14.25" customHeight="1">
      <c r="B17" s="97" t="s">
        <v>353</v>
      </c>
      <c r="D17" s="304">
        <v>1.1990000000000001</v>
      </c>
      <c r="E17" s="304">
        <v>1.1930000000000001</v>
      </c>
      <c r="F17" s="304">
        <v>1.2030000000000001</v>
      </c>
      <c r="G17" s="304">
        <f>AVERAGE(F17,H17)</f>
        <v>1.2015</v>
      </c>
      <c r="H17" s="765">
        <v>1.2</v>
      </c>
      <c r="I17" s="766"/>
      <c r="J17" s="766">
        <v>1.2629999999999999</v>
      </c>
      <c r="K17" s="766">
        <v>1.288</v>
      </c>
      <c r="L17" s="766">
        <v>1.2849999999999999</v>
      </c>
      <c r="M17" s="767">
        <f>AVERAGE(L17,N17)</f>
        <v>1.2789999999999999</v>
      </c>
      <c r="N17" s="765">
        <v>1.2729999999999999</v>
      </c>
      <c r="O17" s="766"/>
      <c r="P17" s="766">
        <v>1.2949999999999999</v>
      </c>
      <c r="Q17" s="766">
        <v>1.3480000000000001</v>
      </c>
      <c r="R17" s="766">
        <v>1.339</v>
      </c>
      <c r="S17" s="766">
        <f>AVERAGE(R17,T17)</f>
        <v>1.3265</v>
      </c>
      <c r="T17" s="766">
        <v>1.3140000000000001</v>
      </c>
      <c r="U17" s="766"/>
      <c r="V17" s="766">
        <v>1.3580000000000001</v>
      </c>
      <c r="W17" s="766">
        <v>1.361</v>
      </c>
      <c r="X17" s="766">
        <f>(R17+S17+V17+W17)/4</f>
        <v>1.346125</v>
      </c>
      <c r="Y17" s="766">
        <f>(S17+V17+W17+X17)/4</f>
        <v>1.3479062499999999</v>
      </c>
      <c r="Z17" s="765">
        <f>SUM(V17:Y17)/4</f>
        <v>1.3532578124999999</v>
      </c>
      <c r="AA17" s="766"/>
      <c r="AB17" s="765">
        <f>(V17+W17+X17+Y17)/4</f>
        <v>1.3532578124999999</v>
      </c>
      <c r="AC17" s="765">
        <f>(W17+X17+Y17+AB17)/4</f>
        <v>1.3520722656249999</v>
      </c>
      <c r="AD17" s="765">
        <f>(X17+Y17+AB17+AC17)/4</f>
        <v>1.34984033203125</v>
      </c>
      <c r="AE17" s="765">
        <f>(Y17+AB17+AC17+AD17)/4</f>
        <v>1.3507691650390623</v>
      </c>
      <c r="AF17" s="765">
        <f>SUM(AB17:AE17)/4</f>
        <v>1.351484893798828</v>
      </c>
      <c r="AG17" s="766"/>
      <c r="AH17" s="765">
        <f>(AF17+T17+Z17+N17)/4</f>
        <v>1.3229356765747069</v>
      </c>
      <c r="AI17" s="766"/>
      <c r="AJ17" s="765">
        <f>(AF17+AH17+Z17+N17)/4</f>
        <v>1.3251695957183836</v>
      </c>
      <c r="AK17" s="766"/>
      <c r="AL17" s="765">
        <f>(AJ17+AH17+AF17+Z17)/4</f>
        <v>1.3382119946479796</v>
      </c>
      <c r="AR17" s="97" t="s">
        <v>354</v>
      </c>
      <c r="AS17" s="301">
        <f>H136</f>
        <v>22.875883479047324</v>
      </c>
      <c r="AT17" s="301">
        <f>N136</f>
        <v>87.997609560439557</v>
      </c>
      <c r="AU17" s="301">
        <f>T136</f>
        <v>134.14671923737961</v>
      </c>
      <c r="AV17" s="301">
        <f>Z136</f>
        <v>131.95953067258833</v>
      </c>
      <c r="AW17" s="301">
        <f>AF136</f>
        <v>158.1874992059482</v>
      </c>
      <c r="AX17" s="301">
        <f>AH136</f>
        <v>229.36175437500998</v>
      </c>
      <c r="AY17" s="301">
        <f>AJ136</f>
        <v>295.58581310656717</v>
      </c>
      <c r="AZ17" s="301">
        <f>AL136</f>
        <v>374.28245393685802</v>
      </c>
    </row>
    <row r="18" spans="1:55" ht="14.25" customHeight="1">
      <c r="B18" s="97" t="s">
        <v>355</v>
      </c>
      <c r="D18" s="304">
        <f>D15/D12</f>
        <v>0.31858407079646017</v>
      </c>
      <c r="E18" s="304">
        <f>E15/E11</f>
        <v>0.30383480825958703</v>
      </c>
      <c r="F18" s="304">
        <f>F15/F11</f>
        <v>0.27568922305764409</v>
      </c>
      <c r="G18" s="304">
        <f>G15/G11</f>
        <v>0.28039702233250619</v>
      </c>
      <c r="H18" s="766">
        <f>H15/H11</f>
        <v>1.1302083333333333</v>
      </c>
      <c r="I18" s="766"/>
      <c r="J18" s="766">
        <f>J15/J11</f>
        <v>0.32258064516129031</v>
      </c>
      <c r="K18" s="766">
        <f>K15/K11</f>
        <v>0.32162162162162161</v>
      </c>
      <c r="L18" s="766">
        <f>L15/L11</f>
        <v>0.29899497487437188</v>
      </c>
      <c r="M18" s="766">
        <f>M15/M11</f>
        <v>0.28365384615384615</v>
      </c>
      <c r="N18" s="766">
        <f>N15/N11</f>
        <v>1.0634573304157549</v>
      </c>
      <c r="O18" s="766"/>
      <c r="P18" s="766">
        <f>P15/P11</f>
        <v>0.32853717026378898</v>
      </c>
      <c r="Q18" s="766">
        <f>Q15/Q11</f>
        <v>0.34501347708894881</v>
      </c>
      <c r="R18" s="766">
        <f>R15/R11</f>
        <v>0.33074935400516797</v>
      </c>
      <c r="S18" s="766">
        <f>S15/S11</f>
        <v>0.30193236714975846</v>
      </c>
      <c r="T18" s="766">
        <f>T15/T11</f>
        <v>1.1187904967602591</v>
      </c>
      <c r="U18" s="766"/>
      <c r="V18" s="766">
        <f>V15/V11</f>
        <v>0.32235294117647056</v>
      </c>
      <c r="W18" s="766">
        <f>W15/W11</f>
        <v>0.30466830466830469</v>
      </c>
      <c r="X18" s="766">
        <f>(R18+S18+V18+W18)/4</f>
        <v>0.31492574174992544</v>
      </c>
      <c r="Y18" s="766">
        <f>(S18+V18+W18+X18)/4</f>
        <v>0.31096983868611477</v>
      </c>
      <c r="Z18" s="766">
        <v>1.1000000000000001</v>
      </c>
      <c r="AA18" s="766"/>
      <c r="AB18" s="766">
        <f>(V18+W18+X18+Y18)/4</f>
        <v>0.31322920657020387</v>
      </c>
      <c r="AC18" s="766">
        <f>(W18+X18+Y18+AB18)/4</f>
        <v>0.31094827291863719</v>
      </c>
      <c r="AD18" s="766">
        <f>(X18+Y18+AB18+AC18)/4</f>
        <v>0.31251826498122032</v>
      </c>
      <c r="AE18" s="766">
        <f>(Y18+AB18+AC18+AD18)/4</f>
        <v>0.31191639578904407</v>
      </c>
      <c r="AF18" s="766">
        <v>1.1000000000000001</v>
      </c>
      <c r="AG18" s="766"/>
      <c r="AH18" s="766">
        <f>AF18*(AF18/Z18)</f>
        <v>1.1000000000000001</v>
      </c>
      <c r="AI18" s="766"/>
      <c r="AJ18" s="766">
        <f>AH18*(AH18/AF18)</f>
        <v>1.1000000000000001</v>
      </c>
      <c r="AK18" s="766"/>
      <c r="AL18" s="766">
        <f>AJ18*(AJ18/AH18)</f>
        <v>1.1000000000000001</v>
      </c>
      <c r="AR18" s="97" t="s">
        <v>356</v>
      </c>
      <c r="AS18" s="313">
        <f>H32</f>
        <v>0.29748244415220504</v>
      </c>
      <c r="AT18" s="313">
        <f>N32</f>
        <v>0.12385753623092399</v>
      </c>
      <c r="AU18" s="313">
        <f>T32</f>
        <v>3.3429675664948588E-2</v>
      </c>
      <c r="AV18" s="313">
        <f>Z32</f>
        <v>0.37567304334798712</v>
      </c>
      <c r="AW18" s="313">
        <f>AF32</f>
        <v>0.17547490123185883</v>
      </c>
      <c r="AX18" s="313">
        <f>AH32</f>
        <v>0.18780644849046513</v>
      </c>
      <c r="AY18" s="313">
        <f>+AJ32</f>
        <v>0.28557362881945481</v>
      </c>
      <c r="AZ18" s="313">
        <f>+AL32</f>
        <v>0.27541957313841325</v>
      </c>
      <c r="BC18" s="301"/>
    </row>
    <row r="19" spans="1:55" ht="14.25" customHeight="1">
      <c r="H19" s="23"/>
      <c r="J19" s="23"/>
      <c r="K19" s="23"/>
      <c r="L19" s="23"/>
      <c r="M19" s="23"/>
      <c r="N19" s="23"/>
      <c r="P19" s="23"/>
      <c r="Q19" s="23"/>
      <c r="R19" s="23"/>
      <c r="S19" s="23"/>
      <c r="T19" s="23"/>
      <c r="V19" s="23"/>
      <c r="W19" s="23"/>
      <c r="X19" s="23"/>
      <c r="Y19" s="23"/>
      <c r="Z19" s="23"/>
      <c r="AB19" s="23"/>
      <c r="AC19" s="23"/>
      <c r="AD19" s="23"/>
      <c r="AE19" s="23"/>
      <c r="AF19" s="23"/>
      <c r="AH19" s="23"/>
      <c r="AJ19" s="33"/>
      <c r="AK19" s="23"/>
      <c r="AL19" s="23"/>
    </row>
    <row r="20" spans="1:55" ht="14.25" customHeight="1">
      <c r="H20" s="23"/>
      <c r="J20" s="23"/>
      <c r="K20" s="23"/>
      <c r="L20" s="23"/>
      <c r="M20" s="23"/>
      <c r="N20" s="23"/>
      <c r="P20" s="23"/>
      <c r="Q20" s="23"/>
      <c r="R20" s="23"/>
      <c r="S20" s="23"/>
      <c r="T20" s="23"/>
      <c r="V20" s="23"/>
      <c r="W20" s="23"/>
      <c r="X20" s="23"/>
      <c r="Y20" s="23"/>
      <c r="Z20" s="23"/>
      <c r="AB20" s="23"/>
      <c r="AC20" s="23"/>
      <c r="AD20" s="23"/>
      <c r="AE20" s="23"/>
      <c r="AF20" s="23"/>
      <c r="AH20" s="23"/>
      <c r="AJ20" s="33"/>
      <c r="AK20" s="23"/>
      <c r="AL20" s="23"/>
      <c r="AO20" s="304"/>
    </row>
    <row r="21" spans="1:55" s="41" customFormat="1" ht="15" customHeight="1">
      <c r="B21" s="493" t="s">
        <v>188</v>
      </c>
      <c r="C21" s="494"/>
      <c r="D21" s="495"/>
      <c r="E21" s="495"/>
      <c r="F21" s="495"/>
      <c r="G21" s="495"/>
      <c r="H21" s="495"/>
      <c r="I21" s="494"/>
      <c r="J21" s="495"/>
      <c r="K21" s="495"/>
      <c r="L21" s="495"/>
      <c r="M21" s="495"/>
      <c r="N21" s="495"/>
      <c r="O21" s="494"/>
      <c r="P21" s="495"/>
      <c r="Q21" s="495"/>
      <c r="R21" s="495"/>
      <c r="S21" s="495"/>
      <c r="T21" s="497"/>
      <c r="U21" s="496"/>
      <c r="V21" s="495"/>
      <c r="W21" s="497"/>
      <c r="X21" s="497">
        <f>X17*X10*0.25</f>
        <v>150.10345832730678</v>
      </c>
      <c r="Y21" s="497">
        <f>Y17*Y10*0.25</f>
        <v>156.13392858041604</v>
      </c>
      <c r="Z21" s="768">
        <f>Z17*Z10</f>
        <v>723.55312089843733</v>
      </c>
      <c r="AA21" s="768"/>
      <c r="AB21" s="768">
        <f>AB17*AB10*0.25</f>
        <v>162.48852859150645</v>
      </c>
      <c r="AC21" s="768">
        <f>AC17*AC10*0.25</f>
        <v>168.79837460152729</v>
      </c>
      <c r="AD21" s="768">
        <f>AD17*AD10*0.25</f>
        <v>176.8683179582022</v>
      </c>
      <c r="AE21" s="768">
        <f>AE17*AE10*0.25</f>
        <v>186.71814897517865</v>
      </c>
      <c r="AF21" s="768">
        <f>AF17*AF10</f>
        <v>850.51853332409382</v>
      </c>
      <c r="AG21" s="768"/>
      <c r="AH21" s="768">
        <f>AH17*AH10</f>
        <v>1010.2513984430111</v>
      </c>
      <c r="AI21" s="768"/>
      <c r="AJ21" s="768">
        <f>AJ17*AJ10</f>
        <v>1298.7525563163108</v>
      </c>
      <c r="AK21" s="768"/>
      <c r="AL21" s="768">
        <f>AL17*AL10</f>
        <v>1656.4544309893722</v>
      </c>
      <c r="AM21" s="498"/>
    </row>
    <row r="22" spans="1:55" s="41" customFormat="1" ht="15" customHeight="1">
      <c r="C22" s="17"/>
      <c r="I22" s="17"/>
      <c r="O22" s="17"/>
      <c r="U22" s="17"/>
      <c r="AA22" s="17"/>
      <c r="AG22" s="17"/>
      <c r="AI22" s="17"/>
      <c r="AJ22" s="42"/>
      <c r="AK22" s="17"/>
      <c r="AL22" s="42"/>
    </row>
    <row r="23" spans="1:55" s="41" customFormat="1" ht="15" customHeight="1">
      <c r="A23" s="30" t="s">
        <v>39</v>
      </c>
      <c r="B23" s="161" t="s">
        <v>357</v>
      </c>
      <c r="C23" s="18"/>
      <c r="D23" s="162"/>
      <c r="E23" s="162"/>
      <c r="F23" s="162"/>
      <c r="G23" s="162"/>
      <c r="H23" s="162"/>
      <c r="I23" s="18"/>
      <c r="J23" s="162"/>
      <c r="K23" s="162"/>
      <c r="L23" s="162"/>
      <c r="M23" s="162"/>
      <c r="N23" s="162"/>
      <c r="O23" s="18"/>
      <c r="P23" s="162"/>
      <c r="Q23" s="162"/>
      <c r="R23" s="162"/>
      <c r="S23" s="162"/>
      <c r="T23" s="162"/>
      <c r="U23" s="18"/>
      <c r="V23" s="162"/>
      <c r="W23" s="162"/>
      <c r="X23" s="162"/>
      <c r="Y23" s="162"/>
      <c r="Z23" s="162"/>
      <c r="AA23" s="18"/>
      <c r="AB23" s="162"/>
      <c r="AC23" s="162"/>
      <c r="AD23" s="162"/>
      <c r="AE23" s="162"/>
      <c r="AF23" s="162"/>
      <c r="AG23" s="18"/>
      <c r="AH23" s="162"/>
      <c r="AI23" s="18"/>
      <c r="AJ23" s="163"/>
      <c r="AK23" s="18"/>
      <c r="AL23" s="163"/>
      <c r="AM23" s="163"/>
    </row>
    <row r="24" spans="1:55" s="41" customFormat="1" ht="15" customHeight="1">
      <c r="B24" s="164"/>
      <c r="C24" s="18"/>
      <c r="D24" s="822">
        <f>D$8</f>
        <v>2022</v>
      </c>
      <c r="E24" s="822">
        <f>F24</f>
        <v>0</v>
      </c>
      <c r="F24" s="822">
        <f>F$8</f>
        <v>0</v>
      </c>
      <c r="G24" s="822">
        <f>F24</f>
        <v>0</v>
      </c>
      <c r="H24" s="822">
        <f>F24</f>
        <v>0</v>
      </c>
      <c r="I24" s="169"/>
      <c r="J24" s="822">
        <f>J$8</f>
        <v>2023</v>
      </c>
      <c r="K24" s="822">
        <f>L24</f>
        <v>0</v>
      </c>
      <c r="L24" s="822">
        <f>L$8</f>
        <v>0</v>
      </c>
      <c r="M24" s="822">
        <f>L24</f>
        <v>0</v>
      </c>
      <c r="N24" s="822">
        <f>L24</f>
        <v>0</v>
      </c>
      <c r="O24" s="169"/>
      <c r="P24" s="822">
        <f>P$8</f>
        <v>2024</v>
      </c>
      <c r="Q24" s="822">
        <f>R24</f>
        <v>0</v>
      </c>
      <c r="R24" s="822">
        <f>R$8</f>
        <v>0</v>
      </c>
      <c r="S24" s="822">
        <f>R24</f>
        <v>0</v>
      </c>
      <c r="T24" s="822">
        <f>R24</f>
        <v>0</v>
      </c>
      <c r="U24" s="169"/>
      <c r="V24" s="821">
        <f>V$8</f>
        <v>2025</v>
      </c>
      <c r="W24" s="821">
        <f>X24</f>
        <v>0</v>
      </c>
      <c r="X24" s="821">
        <f>X$8</f>
        <v>0</v>
      </c>
      <c r="Y24" s="821">
        <f>X24</f>
        <v>0</v>
      </c>
      <c r="Z24" s="821">
        <f>X24</f>
        <v>0</v>
      </c>
      <c r="AA24" s="169"/>
      <c r="AB24" s="821">
        <f>AB$8</f>
        <v>2026</v>
      </c>
      <c r="AC24" s="821">
        <f>AD24</f>
        <v>0</v>
      </c>
      <c r="AD24" s="821">
        <f>AD$8</f>
        <v>0</v>
      </c>
      <c r="AE24" s="821">
        <f>AD24</f>
        <v>0</v>
      </c>
      <c r="AF24" s="821">
        <f>AD24</f>
        <v>0</v>
      </c>
      <c r="AG24" s="171"/>
      <c r="AH24" s="721">
        <f>AH$8</f>
        <v>2027</v>
      </c>
      <c r="AI24" s="167"/>
      <c r="AJ24" s="721">
        <f>AJ$8</f>
        <v>2028</v>
      </c>
      <c r="AK24" s="167"/>
      <c r="AL24" s="721">
        <f>AL$8</f>
        <v>2029</v>
      </c>
      <c r="AM24" s="762">
        <f>AN24</f>
        <v>0</v>
      </c>
      <c r="AP24" s="662"/>
    </row>
    <row r="25" spans="1:55" s="41" customFormat="1" ht="14.25" customHeight="1">
      <c r="B25" s="164"/>
      <c r="C25" s="18"/>
      <c r="D25" s="168" t="s">
        <v>173</v>
      </c>
      <c r="E25" s="168" t="s">
        <v>174</v>
      </c>
      <c r="F25" s="168" t="s">
        <v>175</v>
      </c>
      <c r="G25" s="168" t="s">
        <v>176</v>
      </c>
      <c r="H25" s="168" t="s">
        <v>177</v>
      </c>
      <c r="I25" s="165"/>
      <c r="J25" s="168" t="s">
        <v>173</v>
      </c>
      <c r="K25" s="168" t="s">
        <v>174</v>
      </c>
      <c r="L25" s="168" t="s">
        <v>175</v>
      </c>
      <c r="M25" s="168" t="s">
        <v>176</v>
      </c>
      <c r="N25" s="168" t="s">
        <v>177</v>
      </c>
      <c r="O25" s="165"/>
      <c r="P25" s="168" t="s">
        <v>173</v>
      </c>
      <c r="Q25" s="168" t="s">
        <v>174</v>
      </c>
      <c r="R25" s="168" t="s">
        <v>175</v>
      </c>
      <c r="S25" s="168" t="s">
        <v>176</v>
      </c>
      <c r="T25" s="168" t="s">
        <v>177</v>
      </c>
      <c r="U25" s="165"/>
      <c r="V25" s="168" t="s">
        <v>173</v>
      </c>
      <c r="W25" s="168" t="s">
        <v>174</v>
      </c>
      <c r="X25" s="168" t="s">
        <v>175</v>
      </c>
      <c r="Y25" s="168" t="s">
        <v>176</v>
      </c>
      <c r="Z25" s="168" t="s">
        <v>177</v>
      </c>
      <c r="AA25" s="165"/>
      <c r="AB25" s="168" t="s">
        <v>173</v>
      </c>
      <c r="AC25" s="168" t="s">
        <v>174</v>
      </c>
      <c r="AD25" s="168" t="s">
        <v>175</v>
      </c>
      <c r="AE25" s="168" t="s">
        <v>176</v>
      </c>
      <c r="AF25" s="168" t="s">
        <v>177</v>
      </c>
      <c r="AG25" s="165"/>
      <c r="AH25" s="168" t="s">
        <v>177</v>
      </c>
      <c r="AI25" s="165"/>
      <c r="AJ25" s="168" t="s">
        <v>177</v>
      </c>
      <c r="AK25" s="165"/>
      <c r="AL25" s="168" t="s">
        <v>177</v>
      </c>
      <c r="AM25" s="163"/>
      <c r="AP25" s="661"/>
    </row>
    <row r="26" spans="1:55" s="41" customFormat="1" ht="4" customHeight="1">
      <c r="A26" s="43"/>
      <c r="B26" s="176"/>
      <c r="C26" s="35"/>
      <c r="D26" s="177"/>
      <c r="E26" s="177"/>
      <c r="F26" s="177"/>
      <c r="G26" s="177"/>
      <c r="H26" s="177"/>
      <c r="I26" s="178"/>
      <c r="J26" s="177"/>
      <c r="K26" s="177"/>
      <c r="L26" s="177"/>
      <c r="M26" s="177"/>
      <c r="N26" s="177"/>
      <c r="O26" s="178"/>
      <c r="P26" s="177"/>
      <c r="Q26" s="177"/>
      <c r="R26" s="177"/>
      <c r="S26" s="177"/>
      <c r="T26" s="177"/>
      <c r="U26" s="178"/>
      <c r="V26" s="177"/>
      <c r="W26" s="177"/>
      <c r="X26" s="177"/>
      <c r="Y26" s="177"/>
      <c r="Z26" s="179"/>
      <c r="AA26" s="180"/>
      <c r="AB26" s="179"/>
      <c r="AC26" s="179"/>
      <c r="AD26" s="179"/>
      <c r="AE26" s="179"/>
      <c r="AF26" s="179"/>
      <c r="AG26" s="180"/>
      <c r="AH26" s="179"/>
      <c r="AI26" s="180"/>
      <c r="AJ26" s="179"/>
      <c r="AK26" s="180"/>
      <c r="AL26" s="179"/>
      <c r="AM26" s="179"/>
    </row>
    <row r="27" spans="1:55" s="54" customFormat="1" ht="4" customHeight="1">
      <c r="A27" s="44"/>
      <c r="B27" s="45"/>
      <c r="C27" s="23"/>
      <c r="D27" s="66"/>
      <c r="E27" s="66"/>
      <c r="F27" s="66"/>
      <c r="G27" s="66"/>
      <c r="H27" s="57"/>
      <c r="I27" s="57"/>
      <c r="J27" s="66"/>
      <c r="K27" s="66"/>
      <c r="L27" s="66"/>
      <c r="M27" s="66"/>
      <c r="N27" s="57"/>
      <c r="O27" s="57"/>
      <c r="P27" s="66"/>
      <c r="Q27" s="66"/>
      <c r="R27" s="66"/>
      <c r="S27" s="66"/>
      <c r="T27" s="57"/>
      <c r="U27" s="71"/>
      <c r="V27" s="66"/>
      <c r="W27" s="66"/>
      <c r="X27" s="68"/>
      <c r="Y27" s="68"/>
      <c r="Z27" s="57"/>
      <c r="AA27" s="71"/>
      <c r="AB27" s="68"/>
      <c r="AC27" s="68"/>
      <c r="AD27" s="68"/>
      <c r="AE27" s="68"/>
      <c r="AF27" s="57"/>
      <c r="AG27" s="71"/>
      <c r="AH27" s="58"/>
      <c r="AI27" s="72"/>
      <c r="AJ27" s="58"/>
    </row>
    <row r="28" spans="1:55" s="54" customFormat="1" ht="14.25" customHeight="1">
      <c r="A28" s="44"/>
      <c r="B28" s="161" t="s">
        <v>358</v>
      </c>
      <c r="C28" s="185"/>
      <c r="D28" s="186"/>
      <c r="E28" s="186"/>
      <c r="F28" s="186"/>
      <c r="G28" s="186"/>
      <c r="H28" s="187"/>
      <c r="I28" s="187"/>
      <c r="J28" s="186"/>
      <c r="K28" s="186"/>
      <c r="L28" s="186"/>
      <c r="M28" s="186"/>
      <c r="N28" s="187"/>
      <c r="O28" s="187"/>
      <c r="P28" s="186"/>
      <c r="Q28" s="186"/>
      <c r="R28" s="186"/>
      <c r="S28" s="186"/>
      <c r="T28" s="187"/>
      <c r="U28" s="188"/>
      <c r="V28" s="186"/>
      <c r="W28" s="186"/>
      <c r="X28" s="189"/>
      <c r="Y28" s="189"/>
      <c r="Z28" s="187"/>
      <c r="AA28" s="188"/>
      <c r="AB28" s="189"/>
      <c r="AC28" s="189"/>
      <c r="AD28" s="189"/>
      <c r="AE28" s="189"/>
      <c r="AF28" s="187"/>
      <c r="AG28" s="188"/>
      <c r="AH28" s="190"/>
      <c r="AI28" s="191"/>
      <c r="AJ28" s="190"/>
      <c r="AK28" s="192"/>
      <c r="AL28" s="192"/>
      <c r="AM28" s="192"/>
    </row>
    <row r="29" spans="1:55" s="54" customFormat="1" ht="4" customHeight="1">
      <c r="A29" s="44"/>
      <c r="B29" s="193"/>
      <c r="C29" s="36"/>
      <c r="D29" s="194"/>
      <c r="E29" s="194"/>
      <c r="F29" s="194"/>
      <c r="G29" s="194"/>
      <c r="H29" s="195"/>
      <c r="I29" s="195"/>
      <c r="J29" s="194"/>
      <c r="K29" s="194"/>
      <c r="L29" s="194"/>
      <c r="M29" s="194"/>
      <c r="N29" s="195"/>
      <c r="O29" s="195"/>
      <c r="P29" s="194"/>
      <c r="Q29" s="194"/>
      <c r="R29" s="194"/>
      <c r="S29" s="194"/>
      <c r="T29" s="195"/>
      <c r="U29" s="196"/>
      <c r="V29" s="194"/>
      <c r="W29" s="194"/>
      <c r="X29" s="197"/>
      <c r="Y29" s="197"/>
      <c r="Z29" s="195"/>
      <c r="AA29" s="196"/>
      <c r="AB29" s="197"/>
      <c r="AC29" s="197"/>
      <c r="AD29" s="197"/>
      <c r="AE29" s="197"/>
      <c r="AF29" s="195"/>
      <c r="AG29" s="196"/>
      <c r="AH29" s="198"/>
      <c r="AI29" s="199"/>
      <c r="AJ29" s="198"/>
      <c r="AK29" s="200"/>
      <c r="AL29" s="200"/>
      <c r="AM29" s="200"/>
    </row>
    <row r="30" spans="1:55" s="54" customFormat="1" ht="4" customHeight="1">
      <c r="A30" s="44"/>
      <c r="B30" s="45"/>
      <c r="C30" s="23"/>
      <c r="D30" s="66"/>
      <c r="E30" s="66"/>
      <c r="F30" s="66"/>
      <c r="G30" s="66"/>
      <c r="H30" s="57"/>
      <c r="I30" s="57"/>
      <c r="J30" s="66"/>
      <c r="K30" s="66"/>
      <c r="L30" s="66"/>
      <c r="M30" s="66"/>
      <c r="N30" s="57"/>
      <c r="O30" s="57"/>
      <c r="P30" s="66"/>
      <c r="Q30" s="66"/>
      <c r="R30" s="66"/>
      <c r="S30" s="66"/>
      <c r="T30" s="57"/>
      <c r="U30" s="49"/>
      <c r="V30" s="66"/>
      <c r="W30" s="66"/>
      <c r="X30" s="68"/>
      <c r="Y30" s="68"/>
      <c r="Z30" s="657"/>
      <c r="AA30" s="658"/>
      <c r="AB30" s="68"/>
      <c r="AC30" s="68"/>
      <c r="AD30" s="68"/>
      <c r="AE30" s="68"/>
      <c r="AF30" s="57"/>
      <c r="AG30" s="71"/>
      <c r="AH30" s="58"/>
      <c r="AI30" s="72"/>
      <c r="AJ30" s="58"/>
    </row>
    <row r="31" spans="1:55" s="54" customFormat="1" ht="14.25" customHeight="1">
      <c r="A31" s="44"/>
      <c r="B31" s="28" t="s">
        <v>188</v>
      </c>
      <c r="C31" s="23"/>
      <c r="D31" s="722">
        <f>IS!P18</f>
        <v>100.336</v>
      </c>
      <c r="E31" s="722">
        <f>IS!Q18</f>
        <v>107.873</v>
      </c>
      <c r="F31" s="722">
        <f>IS!R18</f>
        <v>123.605</v>
      </c>
      <c r="G31" s="722">
        <f>IS!S18</f>
        <v>120.03</v>
      </c>
      <c r="H31" s="72">
        <f>IS!T18</f>
        <v>452.85899999999998</v>
      </c>
      <c r="I31" s="71"/>
      <c r="J31" s="722">
        <f>IS!V18</f>
        <v>120.374</v>
      </c>
      <c r="K31" s="722">
        <f>IS!W18</f>
        <v>122.486</v>
      </c>
      <c r="L31" s="722">
        <f>IS!X18</f>
        <v>133.16499999999999</v>
      </c>
      <c r="M31" s="722">
        <f>IS!Y18</f>
        <v>132.92400000000001</v>
      </c>
      <c r="N31" s="72">
        <f>IS!Z18</f>
        <v>508.94900000000001</v>
      </c>
      <c r="O31" s="71"/>
      <c r="P31" s="722">
        <f>IS!AB18</f>
        <v>127.343</v>
      </c>
      <c r="Q31" s="722">
        <f>IS!AC18</f>
        <v>126.304</v>
      </c>
      <c r="R31" s="722">
        <f>IS!AD18</f>
        <v>136.59299999999999</v>
      </c>
      <c r="S31" s="722">
        <f>IS!AE18</f>
        <v>135.72300000000001</v>
      </c>
      <c r="T31" s="72">
        <f>IS!AF18</f>
        <v>525.96299999999997</v>
      </c>
      <c r="U31" s="49"/>
      <c r="V31" s="722">
        <f>IS!AH18</f>
        <v>140.268</v>
      </c>
      <c r="W31" s="722">
        <f>IS!AI18</f>
        <v>142.44300000000001</v>
      </c>
      <c r="X31" s="723">
        <f>X21</f>
        <v>150.10345832730678</v>
      </c>
      <c r="Y31" s="723">
        <f t="shared" ref="Y31:AJ31" si="6">Y21</f>
        <v>156.13392858041604</v>
      </c>
      <c r="Z31" s="724">
        <f t="shared" si="6"/>
        <v>723.55312089843733</v>
      </c>
      <c r="AA31" s="724"/>
      <c r="AB31" s="723">
        <f>AB21</f>
        <v>162.48852859150645</v>
      </c>
      <c r="AC31" s="723">
        <f t="shared" si="6"/>
        <v>168.79837460152729</v>
      </c>
      <c r="AD31" s="723">
        <f t="shared" si="6"/>
        <v>176.8683179582022</v>
      </c>
      <c r="AE31" s="723">
        <f t="shared" si="6"/>
        <v>186.71814897517865</v>
      </c>
      <c r="AF31" s="724">
        <f>AF21</f>
        <v>850.51853332409382</v>
      </c>
      <c r="AG31" s="724"/>
      <c r="AH31" s="724">
        <f>AH21</f>
        <v>1010.2513984430111</v>
      </c>
      <c r="AI31" s="724"/>
      <c r="AJ31" s="724">
        <f t="shared" si="6"/>
        <v>1298.7525563163108</v>
      </c>
      <c r="AK31" s="724"/>
      <c r="AL31" s="724">
        <f>AL21</f>
        <v>1656.4544309893722</v>
      </c>
      <c r="AM31" s="675"/>
      <c r="AS31" s="301"/>
      <c r="AT31" s="301"/>
      <c r="AU31" s="301"/>
      <c r="AV31" s="301"/>
      <c r="AW31" s="301"/>
      <c r="AX31" s="301"/>
      <c r="AY31" s="301"/>
      <c r="AZ31" s="301"/>
    </row>
    <row r="32" spans="1:55" s="54" customFormat="1" ht="14.25" customHeight="1">
      <c r="A32" s="55"/>
      <c r="B32" s="31" t="s">
        <v>359</v>
      </c>
      <c r="C32" s="23"/>
      <c r="D32" s="725" t="e">
        <f>D31/IS!J18-1</f>
        <v>#DIV/0!</v>
      </c>
      <c r="E32" s="725" t="e">
        <f>E31/IS!K18-1</f>
        <v>#DIV/0!</v>
      </c>
      <c r="F32" s="725">
        <f>F31/IS!L18-1</f>
        <v>0.3516424634765114</v>
      </c>
      <c r="G32" s="725">
        <f>G31/IS!M18-1</f>
        <v>0.25085975114112435</v>
      </c>
      <c r="H32" s="726">
        <f>H31/IS!N18-1</f>
        <v>0.29748244415220504</v>
      </c>
      <c r="I32" s="71"/>
      <c r="J32" s="725">
        <f>J31/IS!P18-1</f>
        <v>0.19970897783447605</v>
      </c>
      <c r="K32" s="725">
        <f>K31/IS!Q18-1</f>
        <v>0.13546485218729432</v>
      </c>
      <c r="L32" s="725">
        <f>L31/IS!R18-1</f>
        <v>7.7343149548966261E-2</v>
      </c>
      <c r="M32" s="725">
        <f>M31/IS!S18-1</f>
        <v>0.10742314421394661</v>
      </c>
      <c r="N32" s="726">
        <f>N31/H31-1</f>
        <v>0.12385753623092399</v>
      </c>
      <c r="O32" s="71"/>
      <c r="P32" s="725">
        <f>P31/IS!V18-1</f>
        <v>5.7894561948593548E-2</v>
      </c>
      <c r="Q32" s="725">
        <f>Q31/IS!W18-1</f>
        <v>3.1170909328412932E-2</v>
      </c>
      <c r="R32" s="725">
        <f>R31/IS!X18-1</f>
        <v>2.5742499906131533E-2</v>
      </c>
      <c r="S32" s="725">
        <f>S31/IS!Y18-1</f>
        <v>2.1057145436490066E-2</v>
      </c>
      <c r="T32" s="726">
        <f>T31/N31-1</f>
        <v>3.3429675664948588E-2</v>
      </c>
      <c r="U32" s="49"/>
      <c r="V32" s="725">
        <f>V31/IS!AB18-1</f>
        <v>0.10149753029220299</v>
      </c>
      <c r="W32" s="725">
        <f>W31/IS!AC18-1</f>
        <v>0.12777900937420839</v>
      </c>
      <c r="X32" s="725">
        <f>X31/IS!AD18-1</f>
        <v>9.8910327229849271E-2</v>
      </c>
      <c r="Y32" s="725">
        <f>Y31/IS!AE18-1</f>
        <v>0.15038665944914298</v>
      </c>
      <c r="Z32" s="727">
        <f>Z31/T31-1</f>
        <v>0.37567304334798712</v>
      </c>
      <c r="AA32" s="727"/>
      <c r="AB32" s="725">
        <f>AB31/IS!AH18-1</f>
        <v>0.15841481015988279</v>
      </c>
      <c r="AC32" s="725">
        <f>AC31/IS!AI18-1</f>
        <v>0.18502400680642261</v>
      </c>
      <c r="AD32" s="725">
        <f>AD31/X31-1</f>
        <v>0.17830941358148822</v>
      </c>
      <c r="AE32" s="725">
        <f>AE31/Y31-1</f>
        <v>0.19588452473358697</v>
      </c>
      <c r="AF32" s="726">
        <f>AF31/Z31-1</f>
        <v>0.17547490123185883</v>
      </c>
      <c r="AG32" s="71"/>
      <c r="AH32" s="726">
        <f>AH31/AF31-1</f>
        <v>0.18780644849046513</v>
      </c>
      <c r="AI32" s="72"/>
      <c r="AJ32" s="726">
        <f>AJ31/AH31-1</f>
        <v>0.28557362881945481</v>
      </c>
      <c r="AK32" s="728"/>
      <c r="AL32" s="726">
        <f>AL31/AJ31-1</f>
        <v>0.27541957313841325</v>
      </c>
    </row>
    <row r="33" spans="2:45" s="54" customFormat="1" ht="14.25" customHeight="1">
      <c r="B33" s="31"/>
      <c r="C33" s="23"/>
      <c r="D33" s="725"/>
      <c r="E33" s="725"/>
      <c r="F33" s="725"/>
      <c r="G33" s="725"/>
      <c r="H33" s="729"/>
      <c r="I33" s="48"/>
      <c r="J33" s="725"/>
      <c r="K33" s="725"/>
      <c r="L33" s="725"/>
      <c r="M33" s="725"/>
      <c r="N33" s="729"/>
      <c r="O33" s="71"/>
      <c r="P33" s="725"/>
      <c r="Q33" s="725"/>
      <c r="R33" s="725"/>
      <c r="S33" s="725"/>
      <c r="T33" s="729"/>
      <c r="U33" s="49"/>
      <c r="V33" s="725"/>
      <c r="W33" s="725"/>
      <c r="X33" s="722"/>
      <c r="Y33" s="722"/>
      <c r="Z33" s="48"/>
      <c r="AA33" s="71"/>
      <c r="AB33" s="722"/>
      <c r="AC33" s="722"/>
      <c r="AD33" s="722"/>
      <c r="AE33" s="722"/>
      <c r="AF33" s="48"/>
      <c r="AG33" s="71"/>
      <c r="AH33" s="96"/>
      <c r="AI33" s="72"/>
      <c r="AJ33" s="96"/>
      <c r="AK33" s="728"/>
      <c r="AL33" s="728"/>
    </row>
    <row r="34" spans="2:45" s="54" customFormat="1" ht="14.25" customHeight="1">
      <c r="B34" s="28" t="s">
        <v>360</v>
      </c>
      <c r="C34" s="23"/>
      <c r="D34" s="722">
        <f>IS!P21</f>
        <v>23.402000000000001</v>
      </c>
      <c r="E34" s="722">
        <f>IS!Q21</f>
        <v>29.396000000000001</v>
      </c>
      <c r="F34" s="722">
        <f>IS!R21</f>
        <v>24.728000000000002</v>
      </c>
      <c r="G34" s="722">
        <f>IS!S21</f>
        <v>26.347999999999995</v>
      </c>
      <c r="H34" s="730">
        <f>IS!T21</f>
        <v>103.874</v>
      </c>
      <c r="I34" s="92"/>
      <c r="J34" s="722">
        <f>IS!V21</f>
        <v>24.289000000000001</v>
      </c>
      <c r="K34" s="722">
        <f>IS!W21</f>
        <v>27.014000000000003</v>
      </c>
      <c r="L34" s="722">
        <f>IS!X21</f>
        <v>29.140999999999998</v>
      </c>
      <c r="M34" s="722">
        <f>IS!Y21</f>
        <v>27.306999999999995</v>
      </c>
      <c r="N34" s="730">
        <f>IS!Z21</f>
        <v>107.751</v>
      </c>
      <c r="O34" s="92"/>
      <c r="P34" s="722">
        <f>IS!AB21</f>
        <v>41.802</v>
      </c>
      <c r="Q34" s="722">
        <f>IS!AC21</f>
        <v>25.448</v>
      </c>
      <c r="R34" s="722">
        <f>IS!AD21</f>
        <v>26.58</v>
      </c>
      <c r="S34" s="722">
        <f>IS!AE21</f>
        <v>28.064999999999998</v>
      </c>
      <c r="T34" s="730">
        <f>IS!AF21</f>
        <v>101.035</v>
      </c>
      <c r="U34" s="731"/>
      <c r="V34" s="722">
        <f>IS!AH21</f>
        <v>22.164999999999999</v>
      </c>
      <c r="W34" s="722">
        <f>IS!AI21</f>
        <v>23.052999999999997</v>
      </c>
      <c r="X34" s="732">
        <f>(X35+Sensitivity!$U$39)*X$31</f>
        <v>27.064901805411981</v>
      </c>
      <c r="Y34" s="732">
        <f>(Y35+Sensitivity!$U$39)*Y$31</f>
        <v>27.594676687990837</v>
      </c>
      <c r="Z34" s="71">
        <f>SUM(V34:Y34)</f>
        <v>99.877578493402822</v>
      </c>
      <c r="AA34" s="71"/>
      <c r="AB34" s="732">
        <f>(AB35+Sensitivity!$U$39)*AB$31</f>
        <v>27.497310030288087</v>
      </c>
      <c r="AC34" s="732">
        <f>(AC35+Sensitivity!$U$39)*AC$31</f>
        <v>29.038041461438073</v>
      </c>
      <c r="AD34" s="732">
        <f>(AD35+Sensitivity!$U$39)*AD$31</f>
        <v>30.876771910480958</v>
      </c>
      <c r="AE34" s="732">
        <f>(AE35+Sensitivity!$U$39)*AE$31</f>
        <v>32.328672922459006</v>
      </c>
      <c r="AF34" s="71">
        <f>SUM(AB34:AE34)</f>
        <v>119.74079632466612</v>
      </c>
      <c r="AG34" s="71"/>
      <c r="AH34" s="71">
        <f>(AH35+Sensitivity!$U$39)*AH$31</f>
        <v>140.84081369879124</v>
      </c>
      <c r="AI34" s="72"/>
      <c r="AJ34" s="71">
        <f>(AJ35+Sensitivity!$U$39)*AJ$31</f>
        <v>181.95347311047823</v>
      </c>
      <c r="AK34" s="728"/>
      <c r="AL34" s="71">
        <f>(AL35+Sensitivity!$U$39)*AL$31</f>
        <v>232.0670210056179</v>
      </c>
    </row>
    <row r="35" spans="2:45" s="54" customFormat="1" ht="15" customHeight="1">
      <c r="B35" s="31" t="s">
        <v>361</v>
      </c>
      <c r="C35" s="23"/>
      <c r="D35" s="725">
        <f>D34/D31</f>
        <v>0.23323632594482541</v>
      </c>
      <c r="E35" s="725">
        <f t="shared" ref="E35:H35" si="7">E34/E31</f>
        <v>0.27250563162237074</v>
      </c>
      <c r="F35" s="725">
        <f t="shared" si="7"/>
        <v>0.20005663201326807</v>
      </c>
      <c r="G35" s="725">
        <f t="shared" si="7"/>
        <v>0.21951178871948676</v>
      </c>
      <c r="H35" s="726">
        <f t="shared" si="7"/>
        <v>0.22937382275719373</v>
      </c>
      <c r="I35" s="71"/>
      <c r="J35" s="725">
        <f>J34/J31</f>
        <v>0.2017794540349245</v>
      </c>
      <c r="K35" s="725">
        <f t="shared" ref="K35:N35" si="8">K34/K31</f>
        <v>0.22054765442581195</v>
      </c>
      <c r="L35" s="725">
        <f t="shared" si="8"/>
        <v>0.21883377764427589</v>
      </c>
      <c r="M35" s="725">
        <f t="shared" si="8"/>
        <v>0.20543317986217682</v>
      </c>
      <c r="N35" s="726">
        <f t="shared" si="8"/>
        <v>0.21171276493322513</v>
      </c>
      <c r="O35" s="71"/>
      <c r="P35" s="725">
        <f>P34/P31</f>
        <v>0.32826303762279824</v>
      </c>
      <c r="Q35" s="725">
        <f t="shared" ref="Q35:T35" si="9">Q34/Q31</f>
        <v>0.20148213833291106</v>
      </c>
      <c r="R35" s="725">
        <f t="shared" si="9"/>
        <v>0.19459269508686389</v>
      </c>
      <c r="S35" s="725">
        <f t="shared" si="9"/>
        <v>0.20678145929577149</v>
      </c>
      <c r="T35" s="726">
        <f t="shared" si="9"/>
        <v>0.19209526145375247</v>
      </c>
      <c r="U35" s="49"/>
      <c r="V35" s="725">
        <f>V34/V31</f>
        <v>0.15801893518122451</v>
      </c>
      <c r="W35" s="725">
        <f t="shared" ref="W35" si="10">W34/W31</f>
        <v>0.16184017466635775</v>
      </c>
      <c r="X35" s="733">
        <f>AVERAGE(V35:W35,R35:S35)</f>
        <v>0.18030831605755443</v>
      </c>
      <c r="Y35" s="733">
        <f>AVERAGE(V35:X35,S35)</f>
        <v>0.17673722130022707</v>
      </c>
      <c r="Z35" s="734">
        <f>Z34/Z$31</f>
        <v>0.13803765833997736</v>
      </c>
      <c r="AA35" s="71"/>
      <c r="AB35" s="733">
        <f>AVERAGE(V35:Y35)</f>
        <v>0.16922616180134095</v>
      </c>
      <c r="AC35" s="733">
        <f>AVERAGE(W35:Y35,AB35)</f>
        <v>0.17202796845637006</v>
      </c>
      <c r="AD35" s="733">
        <f>AVERAGE(X35:Y35,AB35:AC35)</f>
        <v>0.17457491690387311</v>
      </c>
      <c r="AE35" s="733">
        <f>AVERAGE(AB35:AD35,Y35)</f>
        <v>0.17314156711545278</v>
      </c>
      <c r="AF35" s="726">
        <f>AF34/AF$31</f>
        <v>0.14078564032776739</v>
      </c>
      <c r="AG35" s="71"/>
      <c r="AH35" s="733">
        <f>AVERAGE(AF35,Z35)</f>
        <v>0.13941164933387237</v>
      </c>
      <c r="AI35" s="72"/>
      <c r="AJ35" s="733">
        <f>AVERAGE(AF35:AH35)</f>
        <v>0.14009864483081988</v>
      </c>
      <c r="AK35" s="728"/>
      <c r="AL35" s="733">
        <f>AVERAGE(AF35:AJ35)</f>
        <v>0.14009864483081988</v>
      </c>
    </row>
    <row r="36" spans="2:45" s="54" customFormat="1" ht="14.25" customHeight="1">
      <c r="B36" s="31"/>
      <c r="C36" s="23"/>
      <c r="D36" s="732"/>
      <c r="E36" s="732"/>
      <c r="F36" s="732"/>
      <c r="G36" s="732"/>
      <c r="H36" s="71"/>
      <c r="I36" s="71"/>
      <c r="J36" s="732"/>
      <c r="K36" s="732"/>
      <c r="L36" s="732"/>
      <c r="M36" s="732"/>
      <c r="N36" s="71"/>
      <c r="O36" s="71"/>
      <c r="P36" s="732"/>
      <c r="Q36" s="732"/>
      <c r="R36" s="732"/>
      <c r="S36" s="732"/>
      <c r="T36" s="71"/>
      <c r="U36" s="49"/>
      <c r="V36" s="732"/>
      <c r="W36" s="732"/>
      <c r="X36" s="722"/>
      <c r="Y36" s="722"/>
      <c r="Z36" s="71"/>
      <c r="AA36" s="71"/>
      <c r="AB36" s="722"/>
      <c r="AC36" s="722"/>
      <c r="AD36" s="722"/>
      <c r="AE36" s="722"/>
      <c r="AF36" s="71"/>
      <c r="AG36" s="71"/>
      <c r="AH36" s="72"/>
      <c r="AI36" s="72"/>
      <c r="AJ36" s="72"/>
      <c r="AK36" s="728"/>
      <c r="AL36" s="728"/>
    </row>
    <row r="37" spans="2:45" s="54" customFormat="1" ht="14.25" hidden="1" customHeight="1">
      <c r="B37" s="28" t="s">
        <v>362</v>
      </c>
      <c r="C37" s="23"/>
      <c r="D37" s="722">
        <f>IS!P22</f>
        <v>0</v>
      </c>
      <c r="E37" s="722">
        <f>IS!Q22</f>
        <v>0</v>
      </c>
      <c r="F37" s="722">
        <f>IS!R22</f>
        <v>0</v>
      </c>
      <c r="G37" s="722">
        <f>IS!S22</f>
        <v>0</v>
      </c>
      <c r="H37" s="72">
        <f>IS!T22</f>
        <v>0</v>
      </c>
      <c r="I37" s="71"/>
      <c r="J37" s="722">
        <f>IS!V22</f>
        <v>0</v>
      </c>
      <c r="K37" s="722">
        <f>IS!W22</f>
        <v>0</v>
      </c>
      <c r="L37" s="722">
        <f>IS!X22</f>
        <v>0</v>
      </c>
      <c r="M37" s="722">
        <f>IS!Y22</f>
        <v>0</v>
      </c>
      <c r="N37" s="72">
        <f>IS!Z22</f>
        <v>0</v>
      </c>
      <c r="O37" s="71"/>
      <c r="P37" s="722">
        <f>IS!AB22</f>
        <v>0</v>
      </c>
      <c r="Q37" s="722">
        <f>IS!AC22</f>
        <v>0</v>
      </c>
      <c r="R37" s="722">
        <f>IS!AD22</f>
        <v>0</v>
      </c>
      <c r="S37" s="722">
        <f>IS!AE22</f>
        <v>0</v>
      </c>
      <c r="T37" s="730">
        <f>IS!AF22</f>
        <v>0</v>
      </c>
      <c r="U37" s="722"/>
      <c r="V37" s="722">
        <f>IS!AH22</f>
        <v>0</v>
      </c>
      <c r="W37" s="722">
        <f>IS!AI22</f>
        <v>0</v>
      </c>
      <c r="X37" s="722">
        <f>IS!AJ22</f>
        <v>0</v>
      </c>
      <c r="Y37" s="722">
        <f>IS!AK22</f>
        <v>0</v>
      </c>
      <c r="Z37" s="722">
        <f>IS!AL79</f>
        <v>0</v>
      </c>
      <c r="AA37" s="722">
        <f>IS!AM79</f>
        <v>0</v>
      </c>
      <c r="AB37" s="722">
        <f>IS!AN79</f>
        <v>0</v>
      </c>
      <c r="AC37" s="722">
        <f>IS!AO79</f>
        <v>0</v>
      </c>
      <c r="AD37" s="722">
        <f>IS!AP79</f>
        <v>0</v>
      </c>
      <c r="AE37" s="722">
        <f>IS!AQ79</f>
        <v>0</v>
      </c>
      <c r="AF37" s="722">
        <f>IS!AR79</f>
        <v>0</v>
      </c>
      <c r="AG37" s="722">
        <f>IS!AS79</f>
        <v>0</v>
      </c>
      <c r="AH37" s="722">
        <f>IS!AT79</f>
        <v>0</v>
      </c>
      <c r="AI37" s="722">
        <f>IS!AU79</f>
        <v>0</v>
      </c>
      <c r="AJ37" s="722">
        <f>IS!AV79</f>
        <v>0</v>
      </c>
      <c r="AK37" s="722">
        <f>IS!AW79</f>
        <v>0</v>
      </c>
      <c r="AL37" s="722">
        <f>IS!AX79</f>
        <v>0</v>
      </c>
    </row>
    <row r="38" spans="2:45" s="54" customFormat="1" ht="14.25" hidden="1" customHeight="1">
      <c r="B38" s="31" t="s">
        <v>363</v>
      </c>
      <c r="C38" s="23"/>
      <c r="D38" s="735">
        <f>D37/D34</f>
        <v>0</v>
      </c>
      <c r="E38" s="735">
        <f t="shared" ref="E38:H38" si="11">E37/E34</f>
        <v>0</v>
      </c>
      <c r="F38" s="735">
        <f t="shared" si="11"/>
        <v>0</v>
      </c>
      <c r="G38" s="735">
        <f t="shared" si="11"/>
        <v>0</v>
      </c>
      <c r="H38" s="726">
        <f t="shared" si="11"/>
        <v>0</v>
      </c>
      <c r="I38" s="71"/>
      <c r="J38" s="735">
        <f>J37/J34</f>
        <v>0</v>
      </c>
      <c r="K38" s="735">
        <f t="shared" ref="K38:N38" si="12">K37/K34</f>
        <v>0</v>
      </c>
      <c r="L38" s="735">
        <f t="shared" si="12"/>
        <v>0</v>
      </c>
      <c r="M38" s="735">
        <f t="shared" si="12"/>
        <v>0</v>
      </c>
      <c r="N38" s="726">
        <f t="shared" si="12"/>
        <v>0</v>
      </c>
      <c r="O38" s="71"/>
      <c r="P38" s="735">
        <f>P37/P34</f>
        <v>0</v>
      </c>
      <c r="Q38" s="735">
        <f t="shared" ref="Q38:T38" si="13">Q37/Q34</f>
        <v>0</v>
      </c>
      <c r="R38" s="735">
        <f t="shared" si="13"/>
        <v>0</v>
      </c>
      <c r="S38" s="735">
        <f t="shared" si="13"/>
        <v>0</v>
      </c>
      <c r="T38" s="726">
        <f t="shared" si="13"/>
        <v>0</v>
      </c>
      <c r="U38" s="49"/>
      <c r="V38" s="735">
        <f>V37/V34</f>
        <v>0</v>
      </c>
      <c r="W38" s="735">
        <f t="shared" ref="W38" si="14">W37/W34</f>
        <v>0</v>
      </c>
      <c r="X38" s="733">
        <v>0</v>
      </c>
      <c r="Y38" s="733">
        <v>0</v>
      </c>
      <c r="Z38" s="726">
        <f>Z37/Z$34</f>
        <v>0</v>
      </c>
      <c r="AA38" s="71"/>
      <c r="AB38" s="733">
        <v>0</v>
      </c>
      <c r="AC38" s="733">
        <v>0</v>
      </c>
      <c r="AD38" s="733">
        <v>0</v>
      </c>
      <c r="AE38" s="733">
        <v>0</v>
      </c>
      <c r="AF38" s="736" t="s">
        <v>364</v>
      </c>
      <c r="AG38" s="71"/>
      <c r="AH38" s="733">
        <v>0</v>
      </c>
      <c r="AI38" s="72"/>
      <c r="AJ38" s="733">
        <v>0</v>
      </c>
      <c r="AK38" s="728"/>
      <c r="AL38" s="733">
        <v>0</v>
      </c>
    </row>
    <row r="39" spans="2:45" s="54" customFormat="1" ht="14.25" hidden="1" customHeight="1">
      <c r="B39" s="31"/>
      <c r="C39" s="23"/>
      <c r="D39" s="737"/>
      <c r="E39" s="737"/>
      <c r="F39" s="737"/>
      <c r="G39" s="737"/>
      <c r="H39" s="86"/>
      <c r="I39" s="71"/>
      <c r="J39" s="737"/>
      <c r="K39" s="737"/>
      <c r="L39" s="737"/>
      <c r="M39" s="737"/>
      <c r="N39" s="86"/>
      <c r="O39" s="71"/>
      <c r="P39" s="737"/>
      <c r="Q39" s="737"/>
      <c r="R39" s="737"/>
      <c r="S39" s="737"/>
      <c r="T39" s="86"/>
      <c r="U39" s="49"/>
      <c r="V39" s="737"/>
      <c r="W39" s="737"/>
      <c r="X39" s="738"/>
      <c r="Y39" s="738"/>
      <c r="Z39" s="86"/>
      <c r="AA39" s="71"/>
      <c r="AB39" s="738"/>
      <c r="AC39" s="738"/>
      <c r="AD39" s="738"/>
      <c r="AE39" s="738"/>
      <c r="AF39" s="86"/>
      <c r="AG39" s="71"/>
      <c r="AH39" s="87"/>
      <c r="AI39" s="72"/>
      <c r="AJ39" s="87"/>
      <c r="AK39" s="728"/>
      <c r="AL39" s="728"/>
    </row>
    <row r="40" spans="2:45" s="54" customFormat="1" ht="14.25" customHeight="1">
      <c r="B40" s="28" t="s">
        <v>365</v>
      </c>
      <c r="C40" s="23"/>
      <c r="D40" s="722">
        <f>IS!P24</f>
        <v>76.933999999999997</v>
      </c>
      <c r="E40" s="722">
        <f>IS!Q24</f>
        <v>78.477000000000004</v>
      </c>
      <c r="F40" s="722">
        <f>IS!R24</f>
        <v>98.87700000000001</v>
      </c>
      <c r="G40" s="722">
        <f>IS!S24</f>
        <v>93.682000000000002</v>
      </c>
      <c r="H40" s="72">
        <f>IS!T24</f>
        <v>348.98500000000001</v>
      </c>
      <c r="I40" s="71"/>
      <c r="J40" s="722">
        <f>IS!V24</f>
        <v>96.084999999999994</v>
      </c>
      <c r="K40" s="722">
        <f>IS!W24</f>
        <v>95.472000000000008</v>
      </c>
      <c r="L40" s="722">
        <f>IS!X24</f>
        <v>104.024</v>
      </c>
      <c r="M40" s="722">
        <f>IS!Y24</f>
        <v>105.61700000000002</v>
      </c>
      <c r="N40" s="72">
        <f>IS!Z24</f>
        <v>401.19799999999998</v>
      </c>
      <c r="O40" s="71"/>
      <c r="P40" s="722">
        <f>IS!AB24</f>
        <v>85.540999999999997</v>
      </c>
      <c r="Q40" s="722">
        <f>IS!AC24</f>
        <v>100.85599999999999</v>
      </c>
      <c r="R40" s="722">
        <f>IS!AD24</f>
        <v>110.01299999999999</v>
      </c>
      <c r="S40" s="722">
        <f>IS!AE24</f>
        <v>107.65800000000002</v>
      </c>
      <c r="T40" s="72">
        <f>IS!AF24</f>
        <v>424.928</v>
      </c>
      <c r="U40" s="49"/>
      <c r="V40" s="722">
        <f>IS!AH24</f>
        <v>118.10300000000001</v>
      </c>
      <c r="W40" s="722">
        <f>IS!AI24</f>
        <v>119.39000000000001</v>
      </c>
      <c r="X40" s="732">
        <f>X31-X34-X37</f>
        <v>123.0385565218948</v>
      </c>
      <c r="Y40" s="732">
        <f>Y31-Y34-Y37</f>
        <v>128.5392518924252</v>
      </c>
      <c r="Z40" s="71">
        <f>SUM(V40:Y40)</f>
        <v>489.07080841432003</v>
      </c>
      <c r="AA40" s="71"/>
      <c r="AB40" s="732">
        <f>AB31-AB34-AB37</f>
        <v>134.99121856121837</v>
      </c>
      <c r="AC40" s="732">
        <f>AC31-AC34-AC37</f>
        <v>139.76033314008922</v>
      </c>
      <c r="AD40" s="732">
        <f>AD31-AD34-AD37</f>
        <v>145.99154604772124</v>
      </c>
      <c r="AE40" s="732">
        <f>AE31-AE34-AE37</f>
        <v>154.38947605271966</v>
      </c>
      <c r="AF40" s="71">
        <f>SUM(AB40:AE40)</f>
        <v>575.13257380174855</v>
      </c>
      <c r="AG40" s="71"/>
      <c r="AH40" s="71">
        <f>AH31-AH34-AH37</f>
        <v>869.41058474421993</v>
      </c>
      <c r="AI40" s="71"/>
      <c r="AJ40" s="71">
        <f>AJ31-AJ34-AJ37</f>
        <v>1116.7990832058326</v>
      </c>
      <c r="AK40" s="71"/>
      <c r="AL40" s="71">
        <f t="shared" ref="AL40" si="15">AL31-AL34-AL37</f>
        <v>1424.3874099837544</v>
      </c>
    </row>
    <row r="41" spans="2:45" s="54" customFormat="1" ht="14.25" customHeight="1">
      <c r="B41" s="31" t="s">
        <v>361</v>
      </c>
      <c r="C41" s="21"/>
      <c r="D41" s="725">
        <f>D40/D31</f>
        <v>0.76676367405517465</v>
      </c>
      <c r="E41" s="725">
        <f t="shared" ref="E41:H41" si="16">E40/E31</f>
        <v>0.72749436837762926</v>
      </c>
      <c r="F41" s="725">
        <f t="shared" si="16"/>
        <v>0.79994336798673193</v>
      </c>
      <c r="G41" s="725">
        <f t="shared" si="16"/>
        <v>0.78048821128051327</v>
      </c>
      <c r="H41" s="729">
        <f t="shared" si="16"/>
        <v>0.77062617724280635</v>
      </c>
      <c r="I41" s="48"/>
      <c r="J41" s="725">
        <f>J40/J31</f>
        <v>0.79822054596507552</v>
      </c>
      <c r="K41" s="725">
        <f t="shared" ref="K41:N41" si="17">K40/K31</f>
        <v>0.77945234557418808</v>
      </c>
      <c r="L41" s="725">
        <f t="shared" si="17"/>
        <v>0.78116622235572419</v>
      </c>
      <c r="M41" s="725">
        <f t="shared" si="17"/>
        <v>0.7945668201378232</v>
      </c>
      <c r="N41" s="729">
        <f t="shared" si="17"/>
        <v>0.78828723506677478</v>
      </c>
      <c r="O41" s="71"/>
      <c r="P41" s="725">
        <f>P40/P31</f>
        <v>0.67173696237720171</v>
      </c>
      <c r="Q41" s="725">
        <f t="shared" ref="Q41:T41" si="18">Q40/Q31</f>
        <v>0.79851786166708882</v>
      </c>
      <c r="R41" s="725">
        <f t="shared" si="18"/>
        <v>0.80540730491313606</v>
      </c>
      <c r="S41" s="725">
        <f t="shared" si="18"/>
        <v>0.79321854070422848</v>
      </c>
      <c r="T41" s="729">
        <f t="shared" si="18"/>
        <v>0.80790473854624756</v>
      </c>
      <c r="U41" s="49"/>
      <c r="V41" s="725">
        <f>V40/V31</f>
        <v>0.84198106481877555</v>
      </c>
      <c r="W41" s="725">
        <f t="shared" ref="W41:AL41" si="19">W40/W31</f>
        <v>0.83815982533364231</v>
      </c>
      <c r="X41" s="725">
        <f>X40/X31</f>
        <v>0.81969168394244563</v>
      </c>
      <c r="Y41" s="725">
        <f>Y40/Y31</f>
        <v>0.82326277869977293</v>
      </c>
      <c r="Z41" s="726">
        <f>Z40/Z$31</f>
        <v>0.67592937448329959</v>
      </c>
      <c r="AA41" s="182"/>
      <c r="AB41" s="725">
        <f>AB40/AB31</f>
        <v>0.83077383819865913</v>
      </c>
      <c r="AC41" s="725">
        <f>AC40/AC31</f>
        <v>0.82797203154362997</v>
      </c>
      <c r="AD41" s="725">
        <f>AD40/AD31</f>
        <v>0.82542508309612694</v>
      </c>
      <c r="AE41" s="725">
        <f>AE40/AE31</f>
        <v>0.8268584328845473</v>
      </c>
      <c r="AF41" s="726">
        <f>AF40/AF$31</f>
        <v>0.67621404033836818</v>
      </c>
      <c r="AG41" s="182"/>
      <c r="AH41" s="729">
        <f t="shared" si="19"/>
        <v>0.86058835066612771</v>
      </c>
      <c r="AI41" s="183"/>
      <c r="AJ41" s="729">
        <f t="shared" si="19"/>
        <v>0.8599013551691802</v>
      </c>
      <c r="AK41" s="728"/>
      <c r="AL41" s="729">
        <f t="shared" si="19"/>
        <v>0.8599013551691802</v>
      </c>
    </row>
    <row r="42" spans="2:45" s="54" customFormat="1" ht="14.25" customHeight="1">
      <c r="B42" s="28"/>
      <c r="C42" s="23"/>
      <c r="D42" s="737"/>
      <c r="E42" s="737"/>
      <c r="F42" s="737"/>
      <c r="G42" s="737"/>
      <c r="H42" s="48"/>
      <c r="I42" s="48"/>
      <c r="J42" s="737"/>
      <c r="K42" s="737"/>
      <c r="L42" s="737"/>
      <c r="M42" s="737"/>
      <c r="N42" s="48"/>
      <c r="O42" s="71"/>
      <c r="P42" s="737"/>
      <c r="Q42" s="737"/>
      <c r="R42" s="737"/>
      <c r="S42" s="737"/>
      <c r="T42" s="48"/>
      <c r="U42" s="49"/>
      <c r="V42" s="737"/>
      <c r="W42" s="737"/>
      <c r="X42" s="722"/>
      <c r="Y42" s="722"/>
      <c r="Z42" s="48"/>
      <c r="AA42" s="71"/>
      <c r="AB42" s="722"/>
      <c r="AC42" s="722"/>
      <c r="AD42" s="722"/>
      <c r="AE42" s="722"/>
      <c r="AF42" s="48"/>
      <c r="AG42" s="71"/>
      <c r="AH42" s="96"/>
      <c r="AI42" s="72"/>
      <c r="AJ42" s="96"/>
      <c r="AK42" s="728"/>
      <c r="AL42" s="728"/>
    </row>
    <row r="43" spans="2:45" s="54" customFormat="1" ht="14.25" customHeight="1">
      <c r="B43" s="28" t="s">
        <v>366</v>
      </c>
      <c r="C43" s="21"/>
      <c r="D43" s="738">
        <f>IS!P27</f>
        <v>16.61</v>
      </c>
      <c r="E43" s="738">
        <f>IS!Q27</f>
        <v>22.370999999999999</v>
      </c>
      <c r="F43" s="738">
        <f>IS!R27</f>
        <v>15.840999999999999</v>
      </c>
      <c r="G43" s="738">
        <f>IS!S27</f>
        <v>28.356000000000002</v>
      </c>
      <c r="H43" s="96">
        <f>IS!T27</f>
        <v>70.159000000000006</v>
      </c>
      <c r="I43" s="48"/>
      <c r="J43" s="738">
        <f>IS!V27</f>
        <v>13.638999999999999</v>
      </c>
      <c r="K43" s="738">
        <f>IS!W27</f>
        <v>16.736999999999998</v>
      </c>
      <c r="L43" s="738">
        <f>IS!X27</f>
        <v>17.824999999999999</v>
      </c>
      <c r="M43" s="738">
        <f>IS!Y27</f>
        <v>24.965</v>
      </c>
      <c r="N43" s="96">
        <f>IS!Z27</f>
        <v>64.204999999999998</v>
      </c>
      <c r="O43" s="71"/>
      <c r="P43" s="738">
        <f>IS!AB27</f>
        <v>13.292</v>
      </c>
      <c r="Q43" s="738">
        <f>IS!AC27</f>
        <v>16.667000000000002</v>
      </c>
      <c r="R43" s="738">
        <f>IS!AD27</f>
        <v>17.158999999999999</v>
      </c>
      <c r="S43" s="738">
        <f>IS!AE27</f>
        <v>24.991</v>
      </c>
      <c r="T43" s="96">
        <f>IS!AF27</f>
        <v>64.260999999999996</v>
      </c>
      <c r="U43" s="49"/>
      <c r="V43" s="738">
        <f>IS!AH27</f>
        <v>14.151999999999999</v>
      </c>
      <c r="W43" s="738">
        <f>IS!AI27</f>
        <v>15.813000000000001</v>
      </c>
      <c r="X43" s="732">
        <f>(X44+Sensitivity!$U$40)*X$31</f>
        <v>19.575711073274555</v>
      </c>
      <c r="Y43" s="732">
        <f>(Y44+Sensitivity!$U$40)*Y$31</f>
        <v>20.549277422787569</v>
      </c>
      <c r="Z43" s="71">
        <f>SUM(V43:Y43)</f>
        <v>70.089988496062119</v>
      </c>
      <c r="AA43" s="71"/>
      <c r="AB43" s="732">
        <f>(AB44+Sensitivity!$U$40)*AB$31</f>
        <v>19.252182727271613</v>
      </c>
      <c r="AC43" s="732">
        <f>(AC44+Sensitivity!$U$40)*AC$31</f>
        <v>20.742117150870129</v>
      </c>
      <c r="AD43" s="732">
        <f>(AD44+Sensitivity!$U$40)*AD$31</f>
        <v>22.258537109813084</v>
      </c>
      <c r="AE43" s="732">
        <f>(AE44+Sensitivity!$U$40)*AE$31</f>
        <v>23.284947140730541</v>
      </c>
      <c r="AF43" s="71">
        <f>SUM(AB43:AE43)</f>
        <v>85.537784128685374</v>
      </c>
      <c r="AG43" s="71"/>
      <c r="AH43" s="71">
        <f>(AH44+Sensitivity!$U$40)*AH$31</f>
        <v>112.58504938261335</v>
      </c>
      <c r="AI43" s="71"/>
      <c r="AJ43" s="71">
        <f>(AJ44+Sensitivity!$U$40)*AJ$31</f>
        <v>139.96036303890466</v>
      </c>
      <c r="AK43" s="71"/>
      <c r="AL43" s="71">
        <f>(AL44+Sensitivity!$U$40)*AL$31</f>
        <v>172.53974530859321</v>
      </c>
    </row>
    <row r="44" spans="2:45" s="54" customFormat="1" ht="14.25" customHeight="1">
      <c r="B44" s="31" t="s">
        <v>361</v>
      </c>
      <c r="C44" s="23"/>
      <c r="D44" s="725">
        <f>D43/D31</f>
        <v>0.16554377292297878</v>
      </c>
      <c r="E44" s="725">
        <f t="shared" ref="E44:H44" si="20">E43/E31</f>
        <v>0.20738275564784514</v>
      </c>
      <c r="F44" s="725">
        <f t="shared" si="20"/>
        <v>0.12815824602564621</v>
      </c>
      <c r="G44" s="725">
        <f t="shared" si="20"/>
        <v>0.23624093976505875</v>
      </c>
      <c r="H44" s="729">
        <f t="shared" si="20"/>
        <v>0.15492460125557847</v>
      </c>
      <c r="I44" s="48"/>
      <c r="J44" s="725">
        <f>J43/J31</f>
        <v>0.11330519879708242</v>
      </c>
      <c r="K44" s="725">
        <f t="shared" ref="K44:N44" si="21">K43/K31</f>
        <v>0.13664418790718938</v>
      </c>
      <c r="L44" s="725">
        <f t="shared" si="21"/>
        <v>0.13385649382345211</v>
      </c>
      <c r="M44" s="725">
        <f t="shared" si="21"/>
        <v>0.1878140892540098</v>
      </c>
      <c r="N44" s="729">
        <f t="shared" si="21"/>
        <v>0.12615212919172647</v>
      </c>
      <c r="O44" s="71"/>
      <c r="P44" s="725">
        <f>P43/P31</f>
        <v>0.1043795104560125</v>
      </c>
      <c r="Q44" s="725">
        <f t="shared" ref="Q44:T44" si="22">Q43/Q31</f>
        <v>0.13195939954395744</v>
      </c>
      <c r="R44" s="725">
        <f t="shared" si="22"/>
        <v>0.1256213715197704</v>
      </c>
      <c r="S44" s="725">
        <f t="shared" si="22"/>
        <v>0.18413238728881617</v>
      </c>
      <c r="T44" s="729">
        <f t="shared" si="22"/>
        <v>0.12217779577650899</v>
      </c>
      <c r="U44" s="49"/>
      <c r="V44" s="725">
        <f>V43/V31</f>
        <v>0.10089257706675792</v>
      </c>
      <c r="W44" s="725">
        <f>W43/W31</f>
        <v>0.11101282618310482</v>
      </c>
      <c r="X44" s="733">
        <f>AVERAGE(V44:W44,R44:S44)</f>
        <v>0.13041479051461233</v>
      </c>
      <c r="Y44" s="733">
        <f>AVERAGE(W44:X44,V44,S44)</f>
        <v>0.13161314526332282</v>
      </c>
      <c r="Z44" s="726">
        <f>Z43/Z$31</f>
        <v>9.6869167545060475E-2</v>
      </c>
      <c r="AA44" s="71"/>
      <c r="AB44" s="733">
        <f>AVERAGE(V44:Y44)</f>
        <v>0.11848333475694947</v>
      </c>
      <c r="AC44" s="733">
        <f>AVERAGE(W44:Y44,AB44)</f>
        <v>0.12288102417949737</v>
      </c>
      <c r="AD44" s="733">
        <f>AVERAGE(AB44:AC44,X44:Y44)</f>
        <v>0.12584807367859549</v>
      </c>
      <c r="AE44" s="733">
        <f>AVERAGE(AB44:AD44,Y44)</f>
        <v>0.12470639446959128</v>
      </c>
      <c r="AF44" s="726">
        <f>AF43/AF$31</f>
        <v>0.10057133475313797</v>
      </c>
      <c r="AG44" s="71"/>
      <c r="AH44" s="733">
        <f>AVERAGE(AF44,Z44,T44,N44)</f>
        <v>0.11144260681660847</v>
      </c>
      <c r="AI44" s="72"/>
      <c r="AJ44" s="733">
        <f>AVERAGE(AH44,AF44,Z44,T44)</f>
        <v>0.10776522622282898</v>
      </c>
      <c r="AK44" s="728"/>
      <c r="AL44" s="733">
        <f>AVERAGE(AJ44,AH44,AF44,Z44)</f>
        <v>0.10416208383440898</v>
      </c>
    </row>
    <row r="45" spans="2:45" s="54" customFormat="1" ht="14.25" customHeight="1">
      <c r="B45" s="29"/>
      <c r="C45" s="21"/>
      <c r="D45" s="732"/>
      <c r="E45" s="732"/>
      <c r="F45" s="732"/>
      <c r="G45" s="732"/>
      <c r="H45" s="48"/>
      <c r="I45" s="48"/>
      <c r="J45" s="732"/>
      <c r="K45" s="732"/>
      <c r="L45" s="732"/>
      <c r="M45" s="732"/>
      <c r="N45" s="48"/>
      <c r="O45" s="71"/>
      <c r="P45" s="732"/>
      <c r="Q45" s="732"/>
      <c r="R45" s="732"/>
      <c r="S45" s="732"/>
      <c r="T45" s="48"/>
      <c r="U45" s="49"/>
      <c r="V45" s="732"/>
      <c r="W45" s="732"/>
      <c r="X45" s="722"/>
      <c r="Y45" s="722"/>
      <c r="Z45" s="48"/>
      <c r="AA45" s="71"/>
      <c r="AB45" s="722"/>
      <c r="AC45" s="722"/>
      <c r="AD45" s="722"/>
      <c r="AE45" s="722"/>
      <c r="AF45" s="48"/>
      <c r="AG45" s="71"/>
      <c r="AH45" s="96"/>
      <c r="AI45" s="72"/>
      <c r="AJ45" s="96">
        <f>AVERAGE(AH44,AC44:AE44)</f>
        <v>0.12121952478607315</v>
      </c>
      <c r="AK45" s="728"/>
      <c r="AL45" s="728"/>
    </row>
    <row r="46" spans="2:45" s="54" customFormat="1" ht="14.25" customHeight="1">
      <c r="B46" s="28" t="s">
        <v>367</v>
      </c>
      <c r="C46" s="23"/>
      <c r="D46" s="722">
        <f>IS!P29</f>
        <v>3.1349999999999998</v>
      </c>
      <c r="E46" s="722">
        <f>IS!Q29</f>
        <v>3.2869999999999999</v>
      </c>
      <c r="F46" s="722">
        <f>IS!R29</f>
        <v>3.3010000000000002</v>
      </c>
      <c r="G46" s="722">
        <f>IS!S29</f>
        <v>8.59</v>
      </c>
      <c r="H46" s="96">
        <f>IS!T29</f>
        <v>13.054</v>
      </c>
      <c r="I46" s="48"/>
      <c r="J46" s="722">
        <f>IS!V29</f>
        <v>3.1659999999999999</v>
      </c>
      <c r="K46" s="722">
        <f>IS!W29</f>
        <v>3.28</v>
      </c>
      <c r="L46" s="722">
        <f>IS!X29</f>
        <v>3.141</v>
      </c>
      <c r="M46" s="722">
        <f>IS!Y29</f>
        <v>9.6959999999999997</v>
      </c>
      <c r="N46" s="96">
        <f>IS!Z29</f>
        <v>12.542999999999999</v>
      </c>
      <c r="O46" s="71"/>
      <c r="P46" s="722">
        <f>IS!AB29</f>
        <v>3.0579999999999998</v>
      </c>
      <c r="Q46" s="722">
        <f>IS!AC29</f>
        <v>2.9630000000000001</v>
      </c>
      <c r="R46" s="722">
        <f>IS!AD29</f>
        <v>3.0409999999999999</v>
      </c>
      <c r="S46" s="722">
        <f>IS!AE29</f>
        <v>8.2750000000000004</v>
      </c>
      <c r="T46" s="96">
        <f>IS!AF29</f>
        <v>12.170999999999999</v>
      </c>
      <c r="U46" s="49"/>
      <c r="V46" s="722">
        <f>IS!AH29</f>
        <v>2.9609999999999999</v>
      </c>
      <c r="W46" s="722">
        <f>IS!AI29</f>
        <v>3.3820000000000001</v>
      </c>
      <c r="X46" s="732">
        <f>X47*X40</f>
        <v>3.3738203818475805</v>
      </c>
      <c r="Y46" s="732">
        <f>Y47*Y40</f>
        <v>3.5175410429869731</v>
      </c>
      <c r="Z46" s="71">
        <f>SUM(V46:Y46)</f>
        <v>13.234361424834553</v>
      </c>
      <c r="AA46" s="71"/>
      <c r="AB46" s="732">
        <f t="shared" ref="AB46:AE46" si="23">AB47*AB40</f>
        <v>3.6510064548463164</v>
      </c>
      <c r="AC46" s="732">
        <f t="shared" si="23"/>
        <v>3.8494847382540036</v>
      </c>
      <c r="AD46" s="732">
        <f t="shared" si="23"/>
        <v>3.9829683672269769</v>
      </c>
      <c r="AE46" s="732">
        <f t="shared" si="23"/>
        <v>4.1928048222230663</v>
      </c>
      <c r="AF46" s="71">
        <f>SUM(AB46:AE46)</f>
        <v>15.676264382550364</v>
      </c>
      <c r="AG46" s="71"/>
      <c r="AH46" s="71">
        <f t="shared" ref="AH46:AJ46" si="24">AH47*AH40</f>
        <v>23.697791792362949</v>
      </c>
      <c r="AI46" s="72"/>
      <c r="AJ46" s="71">
        <f t="shared" si="24"/>
        <v>30.41278125217185</v>
      </c>
      <c r="AK46" s="728"/>
      <c r="AL46" s="71">
        <f>AL47*AL40</f>
        <v>38.849707259600436</v>
      </c>
      <c r="AS46" s="301"/>
    </row>
    <row r="47" spans="2:45" s="54" customFormat="1" ht="14.25" customHeight="1">
      <c r="B47" s="31" t="s">
        <v>368</v>
      </c>
      <c r="C47" s="21"/>
      <c r="D47" s="725">
        <f>D46/D40</f>
        <v>4.074921361166714E-2</v>
      </c>
      <c r="E47" s="725">
        <f t="shared" ref="E47:G47" si="25">E46/E40</f>
        <v>4.1884883469041879E-2</v>
      </c>
      <c r="F47" s="725">
        <f t="shared" si="25"/>
        <v>3.3384912568140211E-2</v>
      </c>
      <c r="G47" s="725">
        <f t="shared" si="25"/>
        <v>9.1693174782775763E-2</v>
      </c>
      <c r="H47" s="729">
        <f>H46/H40</f>
        <v>3.7405619152685643E-2</v>
      </c>
      <c r="I47" s="48"/>
      <c r="J47" s="725">
        <f>J46/J40</f>
        <v>3.29499921944112E-2</v>
      </c>
      <c r="K47" s="725">
        <f t="shared" ref="K47" si="26">K46/K40</f>
        <v>3.4355622590916707E-2</v>
      </c>
      <c r="L47" s="725">
        <f t="shared" ref="L47" si="27">L46/L40</f>
        <v>3.0194955010382218E-2</v>
      </c>
      <c r="M47" s="725">
        <f t="shared" ref="M47" si="28">M46/M40</f>
        <v>9.1803402861281788E-2</v>
      </c>
      <c r="N47" s="729">
        <f>N46/N40</f>
        <v>3.126386472514818E-2</v>
      </c>
      <c r="O47" s="86"/>
      <c r="P47" s="725">
        <f>P46/P40</f>
        <v>3.5748939105224392E-2</v>
      </c>
      <c r="Q47" s="725">
        <f t="shared" ref="Q47" si="29">Q46/Q40</f>
        <v>2.9378519869913543E-2</v>
      </c>
      <c r="R47" s="725">
        <f t="shared" ref="R47" si="30">R46/R40</f>
        <v>2.7642187741448738E-2</v>
      </c>
      <c r="S47" s="725">
        <f t="shared" ref="S47" si="31">S46/S40</f>
        <v>7.6863772316037818E-2</v>
      </c>
      <c r="T47" s="729">
        <f>T46/T40</f>
        <v>2.8642499435198431E-2</v>
      </c>
      <c r="U47" s="82"/>
      <c r="V47" s="725">
        <f>V46/V40</f>
        <v>2.5071336037187874E-2</v>
      </c>
      <c r="W47" s="725">
        <f t="shared" ref="W47" si="32">W46/W40</f>
        <v>2.8327330597202442E-2</v>
      </c>
      <c r="X47" s="733">
        <f>AVERAGE(V47:W47,T47,R47)</f>
        <v>2.7420838452759371E-2</v>
      </c>
      <c r="Y47" s="733">
        <f>AVERAGE(V47:X47,T47)</f>
        <v>2.7365501130587031E-2</v>
      </c>
      <c r="Z47" s="726">
        <f>Z46/Z$40</f>
        <v>2.7060215406728923E-2</v>
      </c>
      <c r="AA47" s="71"/>
      <c r="AB47" s="739">
        <f>AVERAGE(V47:Y47)</f>
        <v>2.7046251554434179E-2</v>
      </c>
      <c r="AC47" s="739">
        <f>AVERAGE(W47:Z47)</f>
        <v>2.7543471396819442E-2</v>
      </c>
      <c r="AD47" s="739">
        <f>AVERAGE(X47:AA47)</f>
        <v>2.7282184996691775E-2</v>
      </c>
      <c r="AE47" s="739">
        <f>AVERAGE(Y47:AB47)</f>
        <v>2.7157322697250047E-2</v>
      </c>
      <c r="AF47" s="726">
        <f>AF46/AF$40</f>
        <v>2.7256784081845557E-2</v>
      </c>
      <c r="AG47" s="71"/>
      <c r="AH47" s="733">
        <f>AVERAGE(AB47:AE47)</f>
        <v>2.7257307661298861E-2</v>
      </c>
      <c r="AI47" s="733">
        <f>AVERAGE(AC47:AF47)</f>
        <v>2.7309940793151709E-2</v>
      </c>
      <c r="AJ47" s="733">
        <f>AVERAGE(AD47:AG47)</f>
        <v>2.7232097258595794E-2</v>
      </c>
      <c r="AK47" s="733">
        <f>AVERAGE(AE47:AH47)</f>
        <v>2.7223804813464824E-2</v>
      </c>
      <c r="AL47" s="733">
        <f>AVERAGE(AF47:AI47)</f>
        <v>2.7274677512098711E-2</v>
      </c>
    </row>
    <row r="48" spans="2:45" s="54" customFormat="1" ht="14.25" customHeight="1">
      <c r="B48" s="31"/>
      <c r="C48" s="23"/>
      <c r="D48" s="725"/>
      <c r="E48" s="725"/>
      <c r="F48" s="725"/>
      <c r="G48" s="725"/>
      <c r="H48" s="729"/>
      <c r="I48" s="48"/>
      <c r="J48" s="725"/>
      <c r="K48" s="725"/>
      <c r="L48" s="725"/>
      <c r="M48" s="725"/>
      <c r="N48" s="729"/>
      <c r="O48" s="71"/>
      <c r="P48" s="725"/>
      <c r="Q48" s="725"/>
      <c r="R48" s="725"/>
      <c r="S48" s="725"/>
      <c r="T48" s="728"/>
      <c r="U48" s="49"/>
      <c r="V48" s="725"/>
      <c r="W48" s="725"/>
      <c r="X48" s="722"/>
      <c r="Y48" s="722"/>
      <c r="Z48" s="48"/>
      <c r="AA48" s="71"/>
      <c r="AB48" s="722"/>
      <c r="AC48" s="722"/>
      <c r="AD48" s="722"/>
      <c r="AE48" s="722"/>
      <c r="AF48" s="48"/>
      <c r="AG48" s="71"/>
      <c r="AH48" s="96"/>
      <c r="AI48" s="72"/>
      <c r="AJ48" s="96"/>
      <c r="AK48" s="728"/>
      <c r="AL48" s="728"/>
    </row>
    <row r="49" spans="2:38" s="54" customFormat="1" ht="14.25" customHeight="1">
      <c r="B49" s="28" t="s">
        <v>369</v>
      </c>
      <c r="C49" s="21"/>
      <c r="D49" s="722">
        <f>IS!P28</f>
        <v>3.238</v>
      </c>
      <c r="E49" s="722">
        <f>IS!Q28</f>
        <v>3.3660000000000001</v>
      </c>
      <c r="F49" s="722">
        <f>IS!R28</f>
        <v>3.452</v>
      </c>
      <c r="G49" s="722">
        <f>IS!S28</f>
        <v>0</v>
      </c>
      <c r="H49" s="96">
        <f>IS!T28</f>
        <v>13.581</v>
      </c>
      <c r="I49" s="48"/>
      <c r="J49" s="722">
        <f>IS!V28</f>
        <v>3.391</v>
      </c>
      <c r="K49" s="722">
        <f>IS!W28</f>
        <v>3.3170000000000002</v>
      </c>
      <c r="L49" s="722">
        <f>IS!X28</f>
        <v>3.1190000000000002</v>
      </c>
      <c r="M49" s="722">
        <f>IS!Y28</f>
        <v>0</v>
      </c>
      <c r="N49" s="96">
        <f>IS!Z28</f>
        <v>12.734999999999999</v>
      </c>
      <c r="O49" s="86"/>
      <c r="P49" s="722">
        <f>IS!AB28</f>
        <v>2.7250000000000001</v>
      </c>
      <c r="Q49" s="722">
        <f>IS!AC28</f>
        <v>2.4900000000000002</v>
      </c>
      <c r="R49" s="722">
        <f>IS!AD28</f>
        <v>2.2799999999999998</v>
      </c>
      <c r="S49" s="722">
        <f>IS!AE28</f>
        <v>0</v>
      </c>
      <c r="T49" s="96">
        <f>IS!AF28</f>
        <v>9.6210000000000004</v>
      </c>
      <c r="U49" s="82"/>
      <c r="V49" s="722">
        <f>IS!AH28</f>
        <v>1.76</v>
      </c>
      <c r="W49" s="722">
        <f>IS!AI28</f>
        <v>1.502</v>
      </c>
      <c r="X49" s="732">
        <f>X94</f>
        <v>1.74474</v>
      </c>
      <c r="Y49" s="732">
        <f>Y94</f>
        <v>1.74474</v>
      </c>
      <c r="Z49" s="71">
        <f>SUM(V49:Y49)</f>
        <v>6.7514799999999999</v>
      </c>
      <c r="AA49" s="184"/>
      <c r="AB49" s="732">
        <f t="shared" ref="AB49:AE50" si="33">AB94</f>
        <v>1.74474</v>
      </c>
      <c r="AC49" s="732">
        <f t="shared" si="33"/>
        <v>1.74474</v>
      </c>
      <c r="AD49" s="732">
        <f t="shared" si="33"/>
        <v>1.74474</v>
      </c>
      <c r="AE49" s="732">
        <f t="shared" si="33"/>
        <v>1.74474</v>
      </c>
      <c r="AF49" s="182">
        <f>SUM(AB49:AE49)</f>
        <v>6.9789599999999998</v>
      </c>
      <c r="AG49" s="184"/>
      <c r="AH49" s="760">
        <f>AH94</f>
        <v>5.8158000000000003</v>
      </c>
      <c r="AI49" s="184"/>
      <c r="AJ49" s="760">
        <f>AJ94</f>
        <v>5.8158000000000003</v>
      </c>
      <c r="AK49" s="760"/>
      <c r="AL49" s="760">
        <f>AL94</f>
        <v>5.8158000000000003</v>
      </c>
    </row>
    <row r="50" spans="2:38" s="54" customFormat="1" ht="14.25" customHeight="1">
      <c r="B50" s="31" t="s">
        <v>370</v>
      </c>
      <c r="C50" s="23"/>
      <c r="D50" s="725">
        <f>D49/(D79+D82)</f>
        <v>0.106748425806877</v>
      </c>
      <c r="E50" s="725">
        <f>E49/(E79+E82)</f>
        <v>0.11328374785447447</v>
      </c>
      <c r="F50" s="725">
        <f>F49/(F79+F82)</f>
        <v>0.11844633543782597</v>
      </c>
      <c r="G50" s="725">
        <f>G49/(G79+G82)</f>
        <v>0</v>
      </c>
      <c r="H50" s="729">
        <f>H49/(H79+H82)</f>
        <v>0.4916021139506262</v>
      </c>
      <c r="I50" s="48"/>
      <c r="J50" s="725">
        <f>J49/(J79+J82)</f>
        <v>0.13047827927199968</v>
      </c>
      <c r="K50" s="725">
        <f>K49/(K79+K82)</f>
        <v>0.13293523565245272</v>
      </c>
      <c r="L50" s="725">
        <f>L49/(L79+L82)</f>
        <v>0.13168672155372602</v>
      </c>
      <c r="M50" s="725">
        <f>M49/(M79+M82)</f>
        <v>0</v>
      </c>
      <c r="N50" s="729">
        <f>N49/(N79+N82)</f>
        <v>0.56670523317906718</v>
      </c>
      <c r="O50" s="71"/>
      <c r="P50" s="725">
        <f>P49/(P79+P82)</f>
        <v>0.12697451190531664</v>
      </c>
      <c r="Q50" s="725">
        <f>Q49/(Q79+Q82)</f>
        <v>0.11769710720363019</v>
      </c>
      <c r="R50" s="725">
        <f>R49/(R79+R82)</f>
        <v>0.10190855048495953</v>
      </c>
      <c r="S50" s="725">
        <f>S49/(S79+S82)</f>
        <v>0</v>
      </c>
      <c r="T50" s="729">
        <f>T49/(T79+T82)</f>
        <v>0.39659507811533867</v>
      </c>
      <c r="U50" s="49"/>
      <c r="V50" s="725">
        <f>V49/(V79+V82)</f>
        <v>6.6826138132665067E-2</v>
      </c>
      <c r="W50" s="725">
        <f>W49/(W79+W82)</f>
        <v>5.1652395199284704E-2</v>
      </c>
      <c r="X50" s="740">
        <f>X95</f>
        <v>0.06</v>
      </c>
      <c r="Y50" s="740">
        <f>Y95</f>
        <v>0.06</v>
      </c>
      <c r="Z50" s="729">
        <f>Z49/( Z79+Z82)</f>
        <v>0.17359117748785402</v>
      </c>
      <c r="AA50" s="71"/>
      <c r="AB50" s="740">
        <f t="shared" si="33"/>
        <v>0.06</v>
      </c>
      <c r="AC50" s="740">
        <f t="shared" si="33"/>
        <v>0.06</v>
      </c>
      <c r="AD50" s="740">
        <f t="shared" si="33"/>
        <v>0.06</v>
      </c>
      <c r="AE50" s="740">
        <f t="shared" si="33"/>
        <v>0.06</v>
      </c>
      <c r="AF50" s="741">
        <f>AF95</f>
        <v>0.24</v>
      </c>
      <c r="AG50" s="182"/>
      <c r="AH50" s="741">
        <f>AH95</f>
        <v>0.2</v>
      </c>
      <c r="AI50" s="183"/>
      <c r="AJ50" s="741">
        <f>AJ95</f>
        <v>0.2</v>
      </c>
      <c r="AK50" s="761"/>
      <c r="AL50" s="741">
        <f>AL95</f>
        <v>0.2</v>
      </c>
    </row>
    <row r="51" spans="2:38" s="54" customFormat="1" ht="14.25" hidden="1" customHeight="1">
      <c r="B51" s="31"/>
      <c r="C51" s="23"/>
      <c r="D51" s="725"/>
      <c r="E51" s="725"/>
      <c r="F51" s="725"/>
      <c r="G51" s="725"/>
      <c r="H51" s="729"/>
      <c r="I51" s="48"/>
      <c r="J51" s="725"/>
      <c r="K51" s="725"/>
      <c r="L51" s="725"/>
      <c r="M51" s="725"/>
      <c r="N51" s="729"/>
      <c r="O51" s="71"/>
      <c r="P51" s="725"/>
      <c r="Q51" s="725"/>
      <c r="R51" s="725"/>
      <c r="S51" s="725"/>
      <c r="T51" s="729"/>
      <c r="U51" s="49"/>
      <c r="V51" s="725"/>
      <c r="W51" s="725"/>
      <c r="X51" s="722"/>
      <c r="Y51" s="722"/>
      <c r="Z51" s="48"/>
      <c r="AA51" s="71"/>
      <c r="AB51" s="722"/>
      <c r="AC51" s="722"/>
      <c r="AD51" s="722"/>
      <c r="AE51" s="722"/>
      <c r="AF51" s="48"/>
      <c r="AG51" s="71"/>
      <c r="AH51" s="96"/>
      <c r="AI51" s="72"/>
      <c r="AJ51" s="96"/>
      <c r="AK51" s="728"/>
      <c r="AL51" s="728"/>
    </row>
    <row r="52" spans="2:38" s="54" customFormat="1" ht="14.25" hidden="1" customHeight="1">
      <c r="B52" s="295" t="s">
        <v>371</v>
      </c>
      <c r="C52" s="23"/>
      <c r="D52" s="722">
        <f>IS!P64</f>
        <v>0</v>
      </c>
      <c r="E52" s="722">
        <f>IS!Q64</f>
        <v>0</v>
      </c>
      <c r="F52" s="722">
        <f>IS!R64</f>
        <v>0</v>
      </c>
      <c r="G52" s="722">
        <f>IS!S64</f>
        <v>0</v>
      </c>
      <c r="H52" s="96">
        <f>IS!T64</f>
        <v>0</v>
      </c>
      <c r="I52" s="48"/>
      <c r="J52" s="722">
        <f>IS!V64</f>
        <v>0</v>
      </c>
      <c r="K52" s="722">
        <f>IS!W64</f>
        <v>0</v>
      </c>
      <c r="L52" s="722">
        <f>IS!X64</f>
        <v>0</v>
      </c>
      <c r="M52" s="722">
        <f>IS!Y64</f>
        <v>0</v>
      </c>
      <c r="N52" s="96">
        <f>IS!Z64</f>
        <v>0</v>
      </c>
      <c r="O52" s="71"/>
      <c r="P52" s="722">
        <f>IS!AB64</f>
        <v>0</v>
      </c>
      <c r="Q52" s="722">
        <f>IS!AC64</f>
        <v>0</v>
      </c>
      <c r="R52" s="722">
        <f>IS!AD64</f>
        <v>0</v>
      </c>
      <c r="S52" s="722">
        <f>IS!AE64</f>
        <v>0</v>
      </c>
      <c r="T52" s="96">
        <f>IS!AF64</f>
        <v>0</v>
      </c>
      <c r="U52" s="49"/>
      <c r="V52" s="722">
        <f>IS!AH64</f>
        <v>0</v>
      </c>
      <c r="W52" s="722">
        <f>IS!AI64</f>
        <v>0</v>
      </c>
      <c r="X52" s="732">
        <f>X53*W79</f>
        <v>0</v>
      </c>
      <c r="Y52" s="732">
        <f>Y53*X79</f>
        <v>0</v>
      </c>
      <c r="Z52" s="71">
        <f>SUM(V52:Y52)</f>
        <v>0</v>
      </c>
      <c r="AA52" s="71"/>
      <c r="AB52" s="732">
        <f>AB53*Y79</f>
        <v>0</v>
      </c>
      <c r="AC52" s="732">
        <f>AC53*AB79</f>
        <v>0</v>
      </c>
      <c r="AD52" s="732">
        <f t="shared" ref="AD52:AE52" si="34">AD53*AC79</f>
        <v>0</v>
      </c>
      <c r="AE52" s="732">
        <f t="shared" si="34"/>
        <v>0</v>
      </c>
      <c r="AF52" s="71">
        <f>SUM(AB52:AE52)</f>
        <v>0</v>
      </c>
      <c r="AG52" s="71"/>
      <c r="AH52" s="71">
        <f>AH53*AF79</f>
        <v>0</v>
      </c>
      <c r="AI52" s="72"/>
      <c r="AJ52" s="71">
        <f>AJ53*AH79</f>
        <v>0</v>
      </c>
      <c r="AK52" s="728"/>
      <c r="AL52" s="71">
        <f>AL53*AJ79</f>
        <v>0</v>
      </c>
    </row>
    <row r="53" spans="2:38" s="54" customFormat="1" ht="14.25" hidden="1" customHeight="1">
      <c r="B53" s="296" t="s">
        <v>372</v>
      </c>
      <c r="C53" s="23"/>
      <c r="D53" s="725">
        <f>D52/D79</f>
        <v>0</v>
      </c>
      <c r="E53" s="725">
        <f>E52/E79</f>
        <v>0</v>
      </c>
      <c r="F53" s="725">
        <f>F52/F79</f>
        <v>0</v>
      </c>
      <c r="G53" s="725">
        <f>G52/G79</f>
        <v>0</v>
      </c>
      <c r="H53" s="729">
        <f>H52/H79</f>
        <v>0</v>
      </c>
      <c r="I53" s="48"/>
      <c r="J53" s="725">
        <f>J52/J79</f>
        <v>0</v>
      </c>
      <c r="K53" s="725">
        <f>K52/K79</f>
        <v>0</v>
      </c>
      <c r="L53" s="725">
        <f>L52/L79</f>
        <v>0</v>
      </c>
      <c r="M53" s="725">
        <f>M52/M79</f>
        <v>0</v>
      </c>
      <c r="N53" s="729">
        <f>N52/N79</f>
        <v>0</v>
      </c>
      <c r="O53" s="71"/>
      <c r="P53" s="725">
        <f>P52/P79</f>
        <v>0</v>
      </c>
      <c r="Q53" s="725">
        <f>Q52/Q79</f>
        <v>0</v>
      </c>
      <c r="R53" s="725">
        <f>R52/R79</f>
        <v>0</v>
      </c>
      <c r="S53" s="725">
        <f>S52/S79</f>
        <v>0</v>
      </c>
      <c r="T53" s="729">
        <f>T52/T79</f>
        <v>0</v>
      </c>
      <c r="U53" s="49"/>
      <c r="V53" s="725">
        <f>V52/V79</f>
        <v>0</v>
      </c>
      <c r="W53" s="725">
        <f>W52/W79</f>
        <v>0</v>
      </c>
      <c r="X53" s="733">
        <v>0</v>
      </c>
      <c r="Y53" s="733">
        <v>0</v>
      </c>
      <c r="Z53" s="726">
        <f>Z52/Z79</f>
        <v>0</v>
      </c>
      <c r="AA53" s="71"/>
      <c r="AB53" s="733">
        <v>0</v>
      </c>
      <c r="AC53" s="733">
        <v>0</v>
      </c>
      <c r="AD53" s="733">
        <v>0</v>
      </c>
      <c r="AE53" s="733">
        <v>0</v>
      </c>
      <c r="AF53" s="726">
        <f>AF52/AF79</f>
        <v>0</v>
      </c>
      <c r="AG53" s="71"/>
      <c r="AH53" s="733">
        <v>0</v>
      </c>
      <c r="AI53" s="72"/>
      <c r="AJ53" s="733">
        <v>0</v>
      </c>
      <c r="AK53" s="728"/>
      <c r="AL53" s="733">
        <v>0</v>
      </c>
    </row>
    <row r="54" spans="2:38" s="54" customFormat="1" ht="14.25" hidden="1" customHeight="1">
      <c r="B54" s="31"/>
      <c r="C54" s="23"/>
      <c r="D54" s="725"/>
      <c r="E54" s="725"/>
      <c r="F54" s="725"/>
      <c r="G54" s="725"/>
      <c r="H54" s="729"/>
      <c r="I54" s="48"/>
      <c r="J54" s="725"/>
      <c r="K54" s="725"/>
      <c r="L54" s="725"/>
      <c r="M54" s="725"/>
      <c r="N54" s="729"/>
      <c r="O54" s="71"/>
      <c r="P54" s="725"/>
      <c r="Q54" s="725"/>
      <c r="R54" s="725"/>
      <c r="S54" s="725"/>
      <c r="T54" s="729"/>
      <c r="U54" s="49"/>
      <c r="V54" s="725"/>
      <c r="W54" s="725"/>
      <c r="X54" s="722"/>
      <c r="Y54" s="722"/>
      <c r="Z54" s="48"/>
      <c r="AA54" s="71"/>
      <c r="AB54" s="722"/>
      <c r="AC54" s="722"/>
      <c r="AD54" s="722"/>
      <c r="AE54" s="722"/>
      <c r="AF54" s="48"/>
      <c r="AG54" s="71"/>
      <c r="AH54" s="96"/>
      <c r="AI54" s="72"/>
      <c r="AJ54" s="96"/>
      <c r="AK54" s="728"/>
      <c r="AL54" s="728"/>
    </row>
    <row r="55" spans="2:38" s="54" customFormat="1" ht="14.25" hidden="1" customHeight="1">
      <c r="B55" s="295" t="s">
        <v>373</v>
      </c>
      <c r="C55" s="23"/>
      <c r="D55" s="722">
        <f>IS!P65</f>
        <v>0</v>
      </c>
      <c r="E55" s="722">
        <f>IS!Q65</f>
        <v>0</v>
      </c>
      <c r="F55" s="722">
        <f>IS!R65</f>
        <v>0</v>
      </c>
      <c r="G55" s="722">
        <f>IS!S65</f>
        <v>0</v>
      </c>
      <c r="H55" s="96">
        <f>IS!T65</f>
        <v>0</v>
      </c>
      <c r="I55" s="48"/>
      <c r="J55" s="722">
        <f>IS!V65</f>
        <v>0</v>
      </c>
      <c r="K55" s="722">
        <f>IS!W65</f>
        <v>0</v>
      </c>
      <c r="L55" s="722">
        <f>IS!X65</f>
        <v>0</v>
      </c>
      <c r="M55" s="722">
        <f>IS!Y65</f>
        <v>0</v>
      </c>
      <c r="N55" s="96">
        <f>IS!Z65</f>
        <v>0</v>
      </c>
      <c r="O55" s="71"/>
      <c r="P55" s="722">
        <f>IS!AB65</f>
        <v>0</v>
      </c>
      <c r="Q55" s="722">
        <f>IS!AC65</f>
        <v>0</v>
      </c>
      <c r="R55" s="722">
        <f>IS!AD65</f>
        <v>0</v>
      </c>
      <c r="S55" s="722">
        <f>IS!AE65</f>
        <v>0</v>
      </c>
      <c r="T55" s="96">
        <f>IS!AF65</f>
        <v>0</v>
      </c>
      <c r="U55" s="49"/>
      <c r="V55" s="722">
        <f>IS!AH65</f>
        <v>0</v>
      </c>
      <c r="W55" s="722">
        <f>IS!AI65</f>
        <v>0</v>
      </c>
      <c r="X55" s="732">
        <f>X56*W82</f>
        <v>0</v>
      </c>
      <c r="Y55" s="732">
        <f>Y56*X82</f>
        <v>0</v>
      </c>
      <c r="Z55" s="71">
        <f>SUM(V55:Y55)</f>
        <v>0</v>
      </c>
      <c r="AA55" s="71"/>
      <c r="AB55" s="732">
        <f>AB56*Y82</f>
        <v>0</v>
      </c>
      <c r="AC55" s="732">
        <f>AC56*AB82</f>
        <v>0</v>
      </c>
      <c r="AD55" s="732">
        <f t="shared" ref="AD55:AE55" si="35">AD56*AC82</f>
        <v>0</v>
      </c>
      <c r="AE55" s="732">
        <f t="shared" si="35"/>
        <v>0</v>
      </c>
      <c r="AF55" s="71">
        <f>SUM(AB55:AE55)</f>
        <v>0</v>
      </c>
      <c r="AG55" s="71"/>
      <c r="AH55" s="71">
        <f>AH56*AF82</f>
        <v>0</v>
      </c>
      <c r="AI55" s="72"/>
      <c r="AJ55" s="71">
        <f>AJ56*AH82</f>
        <v>0</v>
      </c>
      <c r="AK55" s="728"/>
      <c r="AL55" s="71">
        <f>AL56*AJ82</f>
        <v>0</v>
      </c>
    </row>
    <row r="56" spans="2:38" s="54" customFormat="1" ht="14.25" hidden="1" customHeight="1">
      <c r="B56" s="296" t="s">
        <v>374</v>
      </c>
      <c r="C56" s="23"/>
      <c r="D56" s="725" t="e">
        <f>D55/D82</f>
        <v>#DIV/0!</v>
      </c>
      <c r="E56" s="725" t="e">
        <f>E55/E82</f>
        <v>#DIV/0!</v>
      </c>
      <c r="F56" s="725" t="e">
        <f>F55/F82</f>
        <v>#DIV/0!</v>
      </c>
      <c r="G56" s="725" t="e">
        <f>G55/G82</f>
        <v>#DIV/0!</v>
      </c>
      <c r="H56" s="729" t="e">
        <f>H55/H82</f>
        <v>#DIV/0!</v>
      </c>
      <c r="I56" s="48"/>
      <c r="J56" s="725" t="e">
        <f>J55/J82</f>
        <v>#DIV/0!</v>
      </c>
      <c r="K56" s="725" t="e">
        <f>K55/K82</f>
        <v>#DIV/0!</v>
      </c>
      <c r="L56" s="725" t="e">
        <f>L55/L82</f>
        <v>#DIV/0!</v>
      </c>
      <c r="M56" s="725" t="e">
        <f>M55/M82</f>
        <v>#DIV/0!</v>
      </c>
      <c r="N56" s="729" t="e">
        <f>N55/N82</f>
        <v>#DIV/0!</v>
      </c>
      <c r="O56" s="71"/>
      <c r="P56" s="725" t="e">
        <f>P55/P82</f>
        <v>#DIV/0!</v>
      </c>
      <c r="Q56" s="725" t="e">
        <f>Q55/Q82</f>
        <v>#DIV/0!</v>
      </c>
      <c r="R56" s="725" t="e">
        <f>R55/R82</f>
        <v>#DIV/0!</v>
      </c>
      <c r="S56" s="725" t="e">
        <f>S55/S82</f>
        <v>#DIV/0!</v>
      </c>
      <c r="T56" s="729" t="e">
        <f>T55/T82</f>
        <v>#DIV/0!</v>
      </c>
      <c r="U56" s="49"/>
      <c r="V56" s="725" t="e">
        <f>V55/V82</f>
        <v>#DIV/0!</v>
      </c>
      <c r="W56" s="725" t="e">
        <f>W55/W82</f>
        <v>#DIV/0!</v>
      </c>
      <c r="X56" s="733"/>
      <c r="Y56" s="733">
        <v>0</v>
      </c>
      <c r="Z56" s="726">
        <f>Z55/Z82</f>
        <v>0</v>
      </c>
      <c r="AA56" s="71"/>
      <c r="AB56" s="733">
        <v>0</v>
      </c>
      <c r="AC56" s="733">
        <v>0</v>
      </c>
      <c r="AD56" s="733">
        <v>0</v>
      </c>
      <c r="AE56" s="733">
        <v>0</v>
      </c>
      <c r="AF56" s="726">
        <f>AF55/AF82</f>
        <v>0</v>
      </c>
      <c r="AG56" s="71"/>
      <c r="AH56" s="733"/>
      <c r="AI56" s="72"/>
      <c r="AJ56" s="733"/>
      <c r="AK56" s="728"/>
      <c r="AL56" s="733"/>
    </row>
    <row r="57" spans="2:38" s="54" customFormat="1" ht="14.25" customHeight="1">
      <c r="B57" s="31"/>
      <c r="C57" s="23"/>
      <c r="D57" s="732"/>
      <c r="E57" s="732"/>
      <c r="F57" s="732"/>
      <c r="G57" s="732"/>
      <c r="H57" s="48"/>
      <c r="I57" s="48"/>
      <c r="J57" s="732"/>
      <c r="K57" s="732"/>
      <c r="L57" s="732"/>
      <c r="M57" s="732"/>
      <c r="N57" s="48"/>
      <c r="O57" s="71"/>
      <c r="P57" s="732"/>
      <c r="Q57" s="732"/>
      <c r="R57" s="732"/>
      <c r="S57" s="732"/>
      <c r="T57" s="48"/>
      <c r="U57" s="49"/>
      <c r="V57" s="732"/>
      <c r="W57" s="732"/>
      <c r="X57" s="722"/>
      <c r="Y57" s="722"/>
      <c r="Z57" s="48"/>
      <c r="AA57" s="71"/>
      <c r="AB57" s="722"/>
      <c r="AC57" s="722"/>
      <c r="AD57" s="722"/>
      <c r="AE57" s="722"/>
      <c r="AF57" s="48"/>
      <c r="AG57" s="71"/>
      <c r="AH57" s="96"/>
      <c r="AI57" s="72"/>
      <c r="AJ57" s="96"/>
      <c r="AK57" s="728"/>
      <c r="AL57" s="728"/>
    </row>
    <row r="58" spans="2:38" s="54" customFormat="1" ht="14.25" customHeight="1">
      <c r="B58" s="835" t="s">
        <v>375</v>
      </c>
      <c r="C58" s="23"/>
      <c r="D58" s="722">
        <f>IS!P30+IS!P32</f>
        <v>72.813999999999993</v>
      </c>
      <c r="E58" s="722">
        <f>IS!Q30+IS!Q32</f>
        <v>73.593999999999994</v>
      </c>
      <c r="F58" s="722">
        <f>IS!R30+IS!R32</f>
        <v>103.18300000000001</v>
      </c>
      <c r="G58" s="722">
        <f>IS!S30+IS!S32</f>
        <v>89.914999999999992</v>
      </c>
      <c r="H58" s="96">
        <f>IS!T30+IS!T32</f>
        <v>323.67400000000004</v>
      </c>
      <c r="I58" s="48"/>
      <c r="J58" s="722">
        <f>IS!V30+IS!V32</f>
        <v>85.076999999999998</v>
      </c>
      <c r="K58" s="722">
        <f>IS!W30+IS!W32</f>
        <v>80.818000000000012</v>
      </c>
      <c r="L58" s="722">
        <f>IS!X30+IS!X32</f>
        <v>91.840999999999994</v>
      </c>
      <c r="M58" s="722">
        <f>IS!Y30+IS!Y32</f>
        <v>69.673000000000002</v>
      </c>
      <c r="N58" s="96">
        <f>IS!Z30+IS!Z32</f>
        <v>313.57099999999997</v>
      </c>
      <c r="O58" s="71"/>
      <c r="P58" s="722">
        <f>IS!AB30+IS!AB32</f>
        <v>102.98400000000001</v>
      </c>
      <c r="Q58" s="722">
        <f>IS!AC30+IS!AC32</f>
        <v>73.897000000000006</v>
      </c>
      <c r="R58" s="722">
        <f>IS!AD30+IS!AD32</f>
        <v>77.054000000000002</v>
      </c>
      <c r="S58" s="722">
        <f>IS!AE30+IS!AE32</f>
        <v>65.833999999999989</v>
      </c>
      <c r="T58" s="96">
        <f>IS!AF30+IS!AF32</f>
        <v>288.642</v>
      </c>
      <c r="U58" s="49"/>
      <c r="V58" s="722">
        <f>IS!AH30+IS!AH32</f>
        <v>80.350999999999999</v>
      </c>
      <c r="W58" s="722">
        <f>IS!AI30+IS!AI32</f>
        <v>76.438000000000002</v>
      </c>
      <c r="X58" s="732">
        <f>X59*X$31</f>
        <v>81.004686550020509</v>
      </c>
      <c r="Y58" s="732">
        <f>Y59*Y$31</f>
        <v>83.304528335826731</v>
      </c>
      <c r="Z58" s="71">
        <f>SUM(V58:Y58)</f>
        <v>321.0982148858472</v>
      </c>
      <c r="AA58" s="71"/>
      <c r="AB58" s="732">
        <f>AB59*AB$31</f>
        <v>79.117820149483236</v>
      </c>
      <c r="AC58" s="732">
        <f>AC59*AC$31</f>
        <v>76.993735277428939</v>
      </c>
      <c r="AD58" s="732">
        <f>AD59*AD$31</f>
        <v>81.131297000190884</v>
      </c>
      <c r="AE58" s="732">
        <f>AE59*AE$31</f>
        <v>84.679206835488912</v>
      </c>
      <c r="AF58" s="71">
        <f>SUM(AB58:AE58)</f>
        <v>321.92205926259197</v>
      </c>
      <c r="AG58" s="71"/>
      <c r="AH58" s="71">
        <f>AH59*AH$31</f>
        <v>325.0239332179209</v>
      </c>
      <c r="AI58" s="72"/>
      <c r="AJ58" s="71">
        <f>AJ59*AJ$31</f>
        <v>355.16586768811453</v>
      </c>
      <c r="AK58" s="728"/>
      <c r="AL58" s="71">
        <f>AL59*AL$31</f>
        <v>385.03767445609282</v>
      </c>
    </row>
    <row r="59" spans="2:38" s="54" customFormat="1" ht="14.25" customHeight="1">
      <c r="B59" s="31" t="s">
        <v>361</v>
      </c>
      <c r="C59" s="21"/>
      <c r="D59" s="725">
        <f>D58/D31</f>
        <v>0.7257016424812629</v>
      </c>
      <c r="E59" s="725">
        <f>E58/E31</f>
        <v>0.68222817572515826</v>
      </c>
      <c r="F59" s="725">
        <f>F58/F31</f>
        <v>0.83478014643420573</v>
      </c>
      <c r="G59" s="725">
        <f>G58/G31</f>
        <v>0.74910439056902434</v>
      </c>
      <c r="H59" s="729">
        <f>H58/H31</f>
        <v>0.71473460834387759</v>
      </c>
      <c r="I59" s="48"/>
      <c r="J59" s="725">
        <f>J58/J31</f>
        <v>0.70677222656055294</v>
      </c>
      <c r="K59" s="725">
        <f>K58/K31</f>
        <v>0.65981418284538651</v>
      </c>
      <c r="L59" s="725">
        <f>L58/L31</f>
        <v>0.6896782187511733</v>
      </c>
      <c r="M59" s="725">
        <f>M58/M31</f>
        <v>0.52415666094911373</v>
      </c>
      <c r="N59" s="729">
        <f>N58/N31</f>
        <v>0.61611477770857193</v>
      </c>
      <c r="O59" s="86"/>
      <c r="P59" s="725">
        <f>P58/P31</f>
        <v>0.80871347463150711</v>
      </c>
      <c r="Q59" s="725">
        <f>Q58/Q31</f>
        <v>0.58507252343552063</v>
      </c>
      <c r="R59" s="725">
        <f>R58/R31</f>
        <v>0.5641138272093007</v>
      </c>
      <c r="S59" s="725">
        <f>S58/S31</f>
        <v>0.48506148552566614</v>
      </c>
      <c r="T59" s="729">
        <f>T58/T31</f>
        <v>0.54878765236337923</v>
      </c>
      <c r="U59" s="82"/>
      <c r="V59" s="725">
        <f>V58/V31</f>
        <v>0.5728391365101092</v>
      </c>
      <c r="W59" s="725">
        <f>W58/W31</f>
        <v>0.5366216662103438</v>
      </c>
      <c r="X59" s="733">
        <f>AVERAGE(V59:W59,R59:S59)</f>
        <v>0.53965902886385497</v>
      </c>
      <c r="Y59" s="733">
        <f>AVERAGE(V59:X59,S59)</f>
        <v>0.53354532927749354</v>
      </c>
      <c r="Z59" s="726">
        <f>Z58/Z$31</f>
        <v>0.4437797386419105</v>
      </c>
      <c r="AA59" s="71"/>
      <c r="AB59" s="733">
        <f>V59*0.85</f>
        <v>0.48691326603359281</v>
      </c>
      <c r="AC59" s="733">
        <f>W59*0.85</f>
        <v>0.45612841627879219</v>
      </c>
      <c r="AD59" s="733">
        <f t="shared" ref="AD59:AE59" si="36">X59*0.85</f>
        <v>0.4587101745342767</v>
      </c>
      <c r="AE59" s="733">
        <f t="shared" si="36"/>
        <v>0.45351352988586952</v>
      </c>
      <c r="AF59" s="726">
        <f>AF58/AF$31</f>
        <v>0.37850093401776835</v>
      </c>
      <c r="AG59" s="92"/>
      <c r="AH59" s="733">
        <f>AF59*0.85</f>
        <v>0.32172579391510309</v>
      </c>
      <c r="AI59" s="730"/>
      <c r="AJ59" s="733">
        <f>AH59*0.85</f>
        <v>0.27346692482783763</v>
      </c>
      <c r="AK59" s="730"/>
      <c r="AL59" s="733">
        <f>AJ59*0.85</f>
        <v>0.23244688610366199</v>
      </c>
    </row>
    <row r="60" spans="2:38" s="54" customFormat="1" ht="14.25" customHeight="1">
      <c r="B60" s="39"/>
      <c r="C60" s="23"/>
      <c r="D60" s="732"/>
      <c r="E60" s="732"/>
      <c r="F60" s="732"/>
      <c r="G60" s="732"/>
      <c r="H60" s="48"/>
      <c r="I60" s="48"/>
      <c r="J60" s="732"/>
      <c r="K60" s="732"/>
      <c r="L60" s="732"/>
      <c r="M60" s="732"/>
      <c r="N60" s="48"/>
      <c r="O60" s="71"/>
      <c r="P60" s="732"/>
      <c r="Q60" s="732"/>
      <c r="R60" s="732"/>
      <c r="S60" s="732"/>
      <c r="T60" s="48"/>
      <c r="U60" s="49"/>
      <c r="V60" s="732"/>
      <c r="W60" s="732"/>
      <c r="X60" s="722"/>
      <c r="Y60" s="722"/>
      <c r="Z60" s="48"/>
      <c r="AA60" s="71"/>
      <c r="AB60" s="722"/>
      <c r="AC60" s="722"/>
      <c r="AD60" s="722"/>
      <c r="AE60" s="722"/>
      <c r="AF60" s="48"/>
      <c r="AG60" s="71"/>
      <c r="AH60" s="96"/>
      <c r="AI60" s="72"/>
      <c r="AJ60" s="96"/>
      <c r="AK60" s="728"/>
      <c r="AL60" s="728"/>
    </row>
    <row r="61" spans="2:38" s="54" customFormat="1" ht="14.25" customHeight="1">
      <c r="B61" s="28" t="s">
        <v>376</v>
      </c>
      <c r="C61" s="23"/>
      <c r="D61" s="722">
        <f>IS!P33</f>
        <v>5.2869999999999999</v>
      </c>
      <c r="E61" s="722">
        <f>IS!Q33</f>
        <v>5.2590000000000003</v>
      </c>
      <c r="F61" s="722">
        <f>IS!R33</f>
        <v>-0.89400000000000002</v>
      </c>
      <c r="G61" s="722">
        <f>IS!S33</f>
        <v>-6.8310000000000004</v>
      </c>
      <c r="H61" s="96">
        <f>IS!T33</f>
        <v>32.390999999999998</v>
      </c>
      <c r="I61" s="48"/>
      <c r="J61" s="722">
        <f>IS!V33</f>
        <v>15.101000000000001</v>
      </c>
      <c r="K61" s="722">
        <f>IS!W33</f>
        <v>18.334</v>
      </c>
      <c r="L61" s="722">
        <f>IS!X33</f>
        <v>17.239000000000001</v>
      </c>
      <c r="M61" s="722">
        <f>IS!Y33</f>
        <v>28.59</v>
      </c>
      <c r="N61" s="96">
        <f>IS!Z33</f>
        <v>105.895</v>
      </c>
      <c r="O61" s="71"/>
      <c r="P61" s="722">
        <f>IS!AB33</f>
        <v>5.2839999999999998</v>
      </c>
      <c r="Q61" s="722">
        <f>IS!AC33</f>
        <v>30.286999999999999</v>
      </c>
      <c r="R61" s="722">
        <f>IS!AD33</f>
        <v>37.058999999999997</v>
      </c>
      <c r="S61" s="722">
        <f>IS!AE33</f>
        <v>36.622999999999998</v>
      </c>
      <c r="T61" s="96">
        <f>IS!AF33</f>
        <v>151.268</v>
      </c>
      <c r="U61" s="49"/>
      <c r="V61" s="722">
        <f>IS!AH33</f>
        <v>41.043999999999997</v>
      </c>
      <c r="W61" s="722">
        <f>IS!AI33</f>
        <v>45.308</v>
      </c>
      <c r="X61" s="732">
        <f>X62*X31</f>
        <v>43.223619632496806</v>
      </c>
      <c r="Y61" s="732">
        <f>Y62*Y31</f>
        <v>44.778546213887296</v>
      </c>
      <c r="Z61" s="48">
        <f>SUM(V61:Y61)</f>
        <v>174.35416584638409</v>
      </c>
      <c r="AA61" s="71"/>
      <c r="AB61" s="732">
        <f>AB62*AB31</f>
        <v>48.155262498115043</v>
      </c>
      <c r="AC61" s="732">
        <f>AC62*AC31</f>
        <v>50.183491041210146</v>
      </c>
      <c r="AD61" s="732">
        <f>AD62*AD31</f>
        <v>51.663855616865625</v>
      </c>
      <c r="AE61" s="732">
        <f>AE62*AE31</f>
        <v>54.734496241950069</v>
      </c>
      <c r="AF61" s="48">
        <f>SUM(AB61:AE61)</f>
        <v>204.73710539814087</v>
      </c>
      <c r="AG61" s="71"/>
      <c r="AH61" s="742">
        <f>AH62*AH31</f>
        <v>303.07541953290331</v>
      </c>
      <c r="AI61" s="742"/>
      <c r="AJ61" s="742">
        <f>AJ62*AJ31</f>
        <v>389.62576689489322</v>
      </c>
      <c r="AK61" s="742"/>
      <c r="AL61" s="742">
        <f>AL62*AL31</f>
        <v>496.93632929681166</v>
      </c>
    </row>
    <row r="62" spans="2:38" s="54" customFormat="1" ht="14.25" customHeight="1">
      <c r="B62" s="31" t="s">
        <v>361</v>
      </c>
      <c r="C62" s="23"/>
      <c r="D62" s="725">
        <f>D61/D31</f>
        <v>5.2692951682347312E-2</v>
      </c>
      <c r="E62" s="725">
        <f>E61/E31</f>
        <v>4.8751772918153753E-2</v>
      </c>
      <c r="F62" s="725">
        <f>F61/F31</f>
        <v>-7.2327171230937258E-3</v>
      </c>
      <c r="G62" s="725">
        <f>G61/G31</f>
        <v>-5.691077230692327E-2</v>
      </c>
      <c r="H62" s="729">
        <f>H61/H31</f>
        <v>7.1525574185342458E-2</v>
      </c>
      <c r="I62" s="48"/>
      <c r="J62" s="725">
        <f>J61/J31</f>
        <v>0.12545067871799559</v>
      </c>
      <c r="K62" s="725">
        <f>K61/K31</f>
        <v>0.14968241268389856</v>
      </c>
      <c r="L62" s="725">
        <f>L61/L31</f>
        <v>0.12945593812187889</v>
      </c>
      <c r="M62" s="725">
        <f>M61/M31</f>
        <v>0.2150853119075562</v>
      </c>
      <c r="N62" s="729">
        <f>N61/N31</f>
        <v>0.20806603412129701</v>
      </c>
      <c r="O62" s="71"/>
      <c r="P62" s="725">
        <f>P61/P31</f>
        <v>4.1494232113268886E-2</v>
      </c>
      <c r="Q62" s="725">
        <f>Q61/Q31</f>
        <v>0.23979446414998731</v>
      </c>
      <c r="R62" s="725">
        <f>R61/R31</f>
        <v>0.2713096571566625</v>
      </c>
      <c r="S62" s="725">
        <f>S61/S31</f>
        <v>0.26983635787596794</v>
      </c>
      <c r="T62" s="729">
        <f>T61/T31</f>
        <v>0.28760197960693057</v>
      </c>
      <c r="U62" s="49"/>
      <c r="V62" s="725">
        <f>V61/V31</f>
        <v>0.29261128696495275</v>
      </c>
      <c r="W62" s="725">
        <f>W61/W31</f>
        <v>0.31807810843635698</v>
      </c>
      <c r="X62" s="743">
        <f>AVERAGE(V62:W62,R62:S62)</f>
        <v>0.28795885260848503</v>
      </c>
      <c r="Y62" s="744">
        <f>AVERAGE(W62:X62,R62:S62)</f>
        <v>0.28679574401936808</v>
      </c>
      <c r="Z62" s="726">
        <f>Z61/Z$31</f>
        <v>0.24096940612997175</v>
      </c>
      <c r="AA62" s="71"/>
      <c r="AB62" s="735">
        <f>AVERAGE(V62:Y62)</f>
        <v>0.29636099800729071</v>
      </c>
      <c r="AC62" s="735">
        <f>AVERAGE(AB62,W62:Y62)</f>
        <v>0.29729842576787519</v>
      </c>
      <c r="AD62" s="735">
        <f>AVERAGE(AB62:AC62,X62:Y62)</f>
        <v>0.29210350510075472</v>
      </c>
      <c r="AE62" s="735">
        <f>AVERAGE(AB62:AD62,Y62)</f>
        <v>0.29313966822382215</v>
      </c>
      <c r="AF62" s="726">
        <f>AVERAGE(AB62:AE62)</f>
        <v>0.29472564927493566</v>
      </c>
      <c r="AG62" s="71"/>
      <c r="AH62" s="726">
        <v>0.3</v>
      </c>
      <c r="AI62" s="72"/>
      <c r="AJ62" s="726">
        <v>0.3</v>
      </c>
      <c r="AK62" s="728"/>
      <c r="AL62" s="726">
        <v>0.3</v>
      </c>
    </row>
    <row r="63" spans="2:38" s="54" customFormat="1" ht="14.25" customHeight="1">
      <c r="B63" s="31"/>
      <c r="C63" s="23"/>
      <c r="D63" s="732"/>
      <c r="E63" s="732"/>
      <c r="F63" s="732"/>
      <c r="G63" s="732"/>
      <c r="H63" s="48"/>
      <c r="I63" s="48"/>
      <c r="J63" s="732"/>
      <c r="K63" s="732"/>
      <c r="L63" s="732"/>
      <c r="M63" s="732"/>
      <c r="N63" s="48"/>
      <c r="O63" s="71"/>
      <c r="P63" s="732"/>
      <c r="Q63" s="732"/>
      <c r="R63" s="732"/>
      <c r="S63" s="732"/>
      <c r="T63" s="48"/>
      <c r="U63" s="49"/>
      <c r="V63" s="732"/>
      <c r="W63" s="732"/>
      <c r="X63" s="722"/>
      <c r="Y63" s="722"/>
      <c r="Z63" s="48"/>
      <c r="AA63" s="71"/>
      <c r="AB63" s="722"/>
      <c r="AC63" s="722"/>
      <c r="AD63" s="722"/>
      <c r="AE63" s="722"/>
      <c r="AF63" s="48"/>
      <c r="AG63" s="71"/>
      <c r="AH63" s="96"/>
      <c r="AI63" s="72"/>
      <c r="AJ63" s="96"/>
      <c r="AK63" s="728"/>
      <c r="AL63" s="728"/>
    </row>
    <row r="64" spans="2:38" s="54" customFormat="1" ht="14.25" customHeight="1">
      <c r="B64" s="28" t="s">
        <v>377</v>
      </c>
      <c r="C64" s="23"/>
      <c r="D64" s="745">
        <f>IS!P59</f>
        <v>13.581799999999999</v>
      </c>
      <c r="E64" s="745">
        <f>IS!Q59</f>
        <v>13.5251</v>
      </c>
      <c r="F64" s="745">
        <f>IS!R59</f>
        <v>13.973000000000001</v>
      </c>
      <c r="G64" s="745">
        <f>IS!S59</f>
        <v>14.5632</v>
      </c>
      <c r="H64" s="315">
        <f>IS!T59</f>
        <v>13.913600000000001</v>
      </c>
      <c r="I64" s="315"/>
      <c r="J64" s="745">
        <f>IS!V59</f>
        <v>15.0373</v>
      </c>
      <c r="K64" s="745">
        <f>IS!W59</f>
        <v>15.632099999999999</v>
      </c>
      <c r="L64" s="745">
        <f>IS!X59</f>
        <v>16.772300000000001</v>
      </c>
      <c r="M64" s="745">
        <f>IS!Y59</f>
        <v>18.087599999999998</v>
      </c>
      <c r="N64" s="315">
        <f>IS!Z59</f>
        <v>16.391200000000001</v>
      </c>
      <c r="O64" s="318"/>
      <c r="P64" s="745">
        <f>IS!AB59</f>
        <v>19.205400000000001</v>
      </c>
      <c r="Q64" s="745">
        <f>IS!AC59</f>
        <v>19.675899999999999</v>
      </c>
      <c r="R64" s="745">
        <f>IS!AD59</f>
        <v>20.248000000000001</v>
      </c>
      <c r="S64" s="745">
        <f>IS!AE59</f>
        <v>21.442499999999999</v>
      </c>
      <c r="T64" s="315">
        <f>IS!AF59</f>
        <v>20.145600000000002</v>
      </c>
      <c r="U64" s="319"/>
      <c r="V64" s="745">
        <f>IS!AH59</f>
        <v>23.691800000000001</v>
      </c>
      <c r="W64" s="745">
        <f>IS!AI59</f>
        <v>26.610299999999999</v>
      </c>
      <c r="X64" s="745">
        <f>W64+X101</f>
        <v>26.661677823947475</v>
      </c>
      <c r="Y64" s="745">
        <f>X64+Y101</f>
        <v>26.713842230087497</v>
      </c>
      <c r="Z64" s="315">
        <f>AVERAGE(V64:Y64)</f>
        <v>25.91940501350874</v>
      </c>
      <c r="AA64" s="71"/>
      <c r="AB64" s="745">
        <f>Y64+AB101</f>
        <v>26.761029249613294</v>
      </c>
      <c r="AC64" s="745">
        <f t="shared" ref="AC64:AE64" si="37">AB64+AC101</f>
        <v>26.809852493579399</v>
      </c>
      <c r="AD64" s="745">
        <f t="shared" si="37"/>
        <v>26.860225904172225</v>
      </c>
      <c r="AE64" s="745">
        <f t="shared" si="37"/>
        <v>26.910697463391841</v>
      </c>
      <c r="AF64" s="315">
        <f>AVERAGE(AB64:AE64)</f>
        <v>26.835451277689188</v>
      </c>
      <c r="AG64" s="71"/>
      <c r="AH64" s="315">
        <f>AE64+AH101</f>
        <v>27.078865591050167</v>
      </c>
      <c r="AI64" s="72"/>
      <c r="AJ64" s="315">
        <f>AF64+AJ101</f>
        <v>27.053631470308037</v>
      </c>
      <c r="AK64" s="728"/>
      <c r="AL64" s="315">
        <f>AH64+AL101</f>
        <v>27.289554385759359</v>
      </c>
    </row>
    <row r="65" spans="2:38" s="54" customFormat="1" ht="14.25" customHeight="1">
      <c r="B65" s="28" t="s">
        <v>378</v>
      </c>
      <c r="C65" s="23"/>
      <c r="D65" s="745">
        <f>IS!P60</f>
        <v>13.6355</v>
      </c>
      <c r="E65" s="745">
        <f>IS!Q60</f>
        <v>84.283100000000005</v>
      </c>
      <c r="F65" s="745">
        <f>IS!R60</f>
        <v>13.973000000000001</v>
      </c>
      <c r="G65" s="745">
        <f>IS!S60</f>
        <v>14.5632</v>
      </c>
      <c r="H65" s="315">
        <f>IS!T60</f>
        <v>84.256100000000004</v>
      </c>
      <c r="I65" s="315"/>
      <c r="J65" s="745">
        <f>IS!V60</f>
        <v>15.1899</v>
      </c>
      <c r="K65" s="745">
        <f>IS!W60</f>
        <v>15.873799999999999</v>
      </c>
      <c r="L65" s="745">
        <f>IS!X60</f>
        <v>17.0578</v>
      </c>
      <c r="M65" s="745">
        <f>IS!Y60</f>
        <v>18.087599999999998</v>
      </c>
      <c r="N65" s="315">
        <f>IS!Z60</f>
        <v>16.391200000000001</v>
      </c>
      <c r="O65" s="318"/>
      <c r="P65" s="745">
        <f>IS!AB60</f>
        <v>86.243499999999997</v>
      </c>
      <c r="Q65" s="745">
        <f>IS!AC60</f>
        <v>19.675899999999999</v>
      </c>
      <c r="R65" s="745">
        <f>IS!AD60</f>
        <v>20.248000000000001</v>
      </c>
      <c r="S65" s="745">
        <f>IS!AE60</f>
        <v>21.442499999999999</v>
      </c>
      <c r="T65" s="315">
        <f>IS!AF60</f>
        <v>20.145600000000002</v>
      </c>
      <c r="U65" s="319"/>
      <c r="V65" s="745">
        <f>IS!AH60</f>
        <v>23.691800000000001</v>
      </c>
      <c r="W65" s="745">
        <f>IS!AI60</f>
        <v>26.610299999999999</v>
      </c>
      <c r="X65" s="745">
        <f>W65</f>
        <v>26.610299999999999</v>
      </c>
      <c r="Y65" s="745">
        <f>X65</f>
        <v>26.610299999999999</v>
      </c>
      <c r="Z65" s="315">
        <f>AVERAGE(V65:Y65)</f>
        <v>25.880674999999997</v>
      </c>
      <c r="AA65" s="71"/>
      <c r="AB65" s="745">
        <f>Y65</f>
        <v>26.610299999999999</v>
      </c>
      <c r="AC65" s="745">
        <f t="shared" ref="AC65:AE65" si="38">AB65</f>
        <v>26.610299999999999</v>
      </c>
      <c r="AD65" s="745">
        <f t="shared" si="38"/>
        <v>26.610299999999999</v>
      </c>
      <c r="AE65" s="745">
        <f t="shared" si="38"/>
        <v>26.610299999999999</v>
      </c>
      <c r="AF65" s="315">
        <f>AVERAGE(AB65:AE65)</f>
        <v>26.610299999999999</v>
      </c>
      <c r="AG65" s="71"/>
      <c r="AH65" s="315">
        <f>AF65</f>
        <v>26.610299999999999</v>
      </c>
      <c r="AI65" s="72"/>
      <c r="AJ65" s="315">
        <f>AH65</f>
        <v>26.610299999999999</v>
      </c>
      <c r="AK65" s="728"/>
      <c r="AL65" s="315">
        <f>AJ65</f>
        <v>26.610299999999999</v>
      </c>
    </row>
    <row r="66" spans="2:38" ht="14.25" customHeight="1">
      <c r="D66" s="23"/>
      <c r="E66" s="23"/>
      <c r="F66" s="23"/>
      <c r="G66" s="23"/>
      <c r="H66" s="23"/>
      <c r="J66" s="23"/>
      <c r="K66" s="23"/>
      <c r="L66" s="23"/>
      <c r="M66" s="23"/>
      <c r="N66" s="23"/>
      <c r="P66" s="23"/>
      <c r="Q66" s="23"/>
      <c r="R66" s="23"/>
      <c r="S66" s="23"/>
      <c r="T66" s="23"/>
      <c r="U66" s="204"/>
      <c r="V66" s="23"/>
      <c r="W66" s="23"/>
      <c r="X66" s="23"/>
      <c r="Y66" s="23"/>
      <c r="Z66" s="23"/>
      <c r="AB66" s="23"/>
      <c r="AC66" s="23"/>
      <c r="AD66" s="23"/>
      <c r="AE66" s="23"/>
      <c r="AF66" s="23"/>
      <c r="AH66" s="23"/>
      <c r="AJ66" s="33"/>
      <c r="AK66" s="23"/>
      <c r="AL66" s="23"/>
    </row>
    <row r="67" spans="2:38" s="55" customFormat="1" ht="14.25" customHeight="1">
      <c r="B67" s="161" t="s">
        <v>379</v>
      </c>
      <c r="C67" s="32"/>
      <c r="D67" s="339" t="s">
        <v>380</v>
      </c>
      <c r="E67" s="339" t="s">
        <v>381</v>
      </c>
      <c r="F67" s="339" t="s">
        <v>382</v>
      </c>
      <c r="G67" s="339" t="s">
        <v>383</v>
      </c>
      <c r="H67" s="339" t="s">
        <v>384</v>
      </c>
      <c r="I67" s="37"/>
      <c r="J67" s="339" t="s">
        <v>385</v>
      </c>
      <c r="K67" s="339" t="s">
        <v>386</v>
      </c>
      <c r="L67" s="339" t="s">
        <v>387</v>
      </c>
      <c r="M67" s="339" t="s">
        <v>388</v>
      </c>
      <c r="N67" s="339" t="s">
        <v>389</v>
      </c>
      <c r="O67" s="37"/>
      <c r="P67" s="339" t="s">
        <v>390</v>
      </c>
      <c r="Q67" s="339" t="s">
        <v>391</v>
      </c>
      <c r="R67" s="339" t="s">
        <v>392</v>
      </c>
      <c r="S67" s="339" t="s">
        <v>393</v>
      </c>
      <c r="T67" s="339" t="s">
        <v>394</v>
      </c>
      <c r="U67" s="37"/>
      <c r="V67" s="339" t="s">
        <v>395</v>
      </c>
      <c r="W67" s="339" t="s">
        <v>396</v>
      </c>
      <c r="X67" s="339" t="s">
        <v>397</v>
      </c>
      <c r="Y67" s="339" t="s">
        <v>398</v>
      </c>
      <c r="Z67" s="339" t="s">
        <v>399</v>
      </c>
      <c r="AA67" s="37"/>
      <c r="AB67" s="339" t="s">
        <v>400</v>
      </c>
      <c r="AC67" s="339" t="s">
        <v>401</v>
      </c>
      <c r="AD67" s="339" t="s">
        <v>402</v>
      </c>
      <c r="AE67" s="339" t="s">
        <v>403</v>
      </c>
      <c r="AF67" s="339" t="s">
        <v>404</v>
      </c>
      <c r="AG67" s="37"/>
      <c r="AH67" s="339" t="s">
        <v>405</v>
      </c>
      <c r="AI67" s="37"/>
      <c r="AJ67" s="339" t="s">
        <v>406</v>
      </c>
      <c r="AK67" s="339"/>
      <c r="AL67" s="339" t="s">
        <v>407</v>
      </c>
    </row>
    <row r="68" spans="2:38" ht="4" customHeight="1">
      <c r="B68" s="287"/>
      <c r="C68" s="36"/>
      <c r="D68" s="287"/>
      <c r="E68" s="287"/>
      <c r="F68" s="287"/>
      <c r="G68" s="287"/>
      <c r="H68" s="287"/>
      <c r="I68" s="36"/>
      <c r="J68" s="287"/>
      <c r="K68" s="287"/>
      <c r="L68" s="287"/>
      <c r="M68" s="287"/>
      <c r="N68" s="287"/>
      <c r="O68" s="36"/>
      <c r="P68" s="287"/>
      <c r="Q68" s="287"/>
      <c r="R68" s="287"/>
      <c r="S68" s="287"/>
      <c r="T68" s="287"/>
      <c r="U68" s="36"/>
      <c r="V68" s="287"/>
      <c r="W68" s="287"/>
      <c r="X68" s="287"/>
      <c r="Y68" s="287"/>
      <c r="Z68" s="287"/>
      <c r="AA68" s="36"/>
      <c r="AB68" s="287"/>
      <c r="AC68" s="287"/>
      <c r="AD68" s="287"/>
      <c r="AE68" s="287"/>
      <c r="AF68" s="287"/>
      <c r="AG68" s="36"/>
      <c r="AH68" s="287"/>
      <c r="AI68" s="36"/>
      <c r="AJ68" s="288"/>
      <c r="AK68" s="287"/>
      <c r="AL68" s="287"/>
    </row>
    <row r="69" spans="2:38" ht="4" customHeight="1">
      <c r="U69" s="204"/>
    </row>
    <row r="70" spans="2:38" ht="14.25" hidden="1" customHeight="1">
      <c r="B70" s="28" t="s">
        <v>408</v>
      </c>
      <c r="D70" s="50">
        <f>BS!P18</f>
        <v>0</v>
      </c>
      <c r="E70" s="50">
        <f>BS!Q18</f>
        <v>0</v>
      </c>
      <c r="F70" s="50">
        <f>BS!R18</f>
        <v>0</v>
      </c>
      <c r="G70" s="50">
        <f>BS!S18</f>
        <v>0</v>
      </c>
      <c r="H70" s="68">
        <f>BS!T18</f>
        <v>0</v>
      </c>
      <c r="J70" s="50">
        <f>BS!V18</f>
        <v>0</v>
      </c>
      <c r="K70" s="50">
        <f>BS!W18</f>
        <v>0</v>
      </c>
      <c r="L70" s="50">
        <f>BS!X18</f>
        <v>0</v>
      </c>
      <c r="M70" s="50">
        <f>BS!Y18</f>
        <v>0</v>
      </c>
      <c r="N70" s="68">
        <f>BS!Z18</f>
        <v>0</v>
      </c>
      <c r="P70" s="50">
        <f>BS!AB18</f>
        <v>0</v>
      </c>
      <c r="Q70" s="50">
        <f>BS!AC18</f>
        <v>0</v>
      </c>
      <c r="R70" s="50">
        <f>BS!AD18</f>
        <v>0</v>
      </c>
      <c r="S70" s="50">
        <f>BS!AE18</f>
        <v>0</v>
      </c>
      <c r="T70" s="68">
        <f>BS!AF18</f>
        <v>0</v>
      </c>
      <c r="U70" s="204"/>
      <c r="V70" s="50">
        <f>BS!AH18</f>
        <v>0</v>
      </c>
      <c r="W70" s="50">
        <f>BS!AI18</f>
        <v>0</v>
      </c>
      <c r="X70" s="46">
        <f>X31*X71/92</f>
        <v>0</v>
      </c>
      <c r="Y70" s="46">
        <f>Y31*Y71/92</f>
        <v>0</v>
      </c>
      <c r="Z70" s="301">
        <f>Y70</f>
        <v>0</v>
      </c>
      <c r="AB70" s="46">
        <f>AB31*AB71/90</f>
        <v>0</v>
      </c>
      <c r="AC70" s="46">
        <f>AC31*AC71/91</f>
        <v>0</v>
      </c>
      <c r="AD70" s="46">
        <f>AD31*AD71/92</f>
        <v>0</v>
      </c>
      <c r="AE70" s="46">
        <f>AE31*AE71/92</f>
        <v>0</v>
      </c>
      <c r="AF70" s="301">
        <f>AE70</f>
        <v>0</v>
      </c>
      <c r="AH70" s="301">
        <f>AH31*AH71/365</f>
        <v>0</v>
      </c>
      <c r="AJ70" s="301">
        <f>AJ31*AJ71/366</f>
        <v>0</v>
      </c>
      <c r="AL70" s="301">
        <f>AL31*AL71/365</f>
        <v>0</v>
      </c>
    </row>
    <row r="71" spans="2:38" ht="14.25" hidden="1" customHeight="1">
      <c r="B71" s="31" t="s">
        <v>409</v>
      </c>
      <c r="D71" s="308">
        <f>D70/D31*90</f>
        <v>0</v>
      </c>
      <c r="E71" s="308">
        <f>E70/E31*91</f>
        <v>0</v>
      </c>
      <c r="F71" s="308">
        <f>F70/F31*92</f>
        <v>0</v>
      </c>
      <c r="G71" s="308">
        <f>G70/G31*92</f>
        <v>0</v>
      </c>
      <c r="H71" s="309">
        <f>H70/H31*365</f>
        <v>0</v>
      </c>
      <c r="I71" s="310"/>
      <c r="J71" s="308">
        <f>J70/J31*90</f>
        <v>0</v>
      </c>
      <c r="K71" s="308">
        <f>K70/K31*91</f>
        <v>0</v>
      </c>
      <c r="L71" s="308">
        <f>L70/L31*92</f>
        <v>0</v>
      </c>
      <c r="M71" s="308">
        <f>M70/M31*92</f>
        <v>0</v>
      </c>
      <c r="N71" s="309">
        <f>N70/N31*365</f>
        <v>0</v>
      </c>
      <c r="O71" s="310"/>
      <c r="P71" s="308">
        <f>P70/P31*90</f>
        <v>0</v>
      </c>
      <c r="Q71" s="308">
        <f>Q70/Q31*91</f>
        <v>0</v>
      </c>
      <c r="R71" s="308">
        <f>R70/R31*92</f>
        <v>0</v>
      </c>
      <c r="S71" s="308">
        <f>S70/S31*92</f>
        <v>0</v>
      </c>
      <c r="T71" s="309">
        <f>T70/T31*365</f>
        <v>0</v>
      </c>
      <c r="U71" s="311"/>
      <c r="V71" s="308">
        <f>V70/V31*90</f>
        <v>0</v>
      </c>
      <c r="W71" s="308">
        <f>W70/W31*91</f>
        <v>0</v>
      </c>
      <c r="X71" s="312">
        <v>0</v>
      </c>
      <c r="Y71" s="312">
        <v>0</v>
      </c>
      <c r="Z71" s="309"/>
      <c r="AA71" s="310"/>
      <c r="AB71" s="312">
        <v>0</v>
      </c>
      <c r="AC71" s="312">
        <v>0</v>
      </c>
      <c r="AD71" s="312">
        <v>0</v>
      </c>
      <c r="AE71" s="312">
        <v>0</v>
      </c>
      <c r="AF71" s="309">
        <v>0</v>
      </c>
      <c r="AG71" s="310"/>
      <c r="AH71" s="312">
        <v>0</v>
      </c>
      <c r="AI71" s="310"/>
      <c r="AJ71" s="312">
        <v>0</v>
      </c>
      <c r="AK71" s="309"/>
      <c r="AL71" s="312">
        <v>0</v>
      </c>
    </row>
    <row r="72" spans="2:38" ht="14.25" hidden="1" customHeight="1">
      <c r="B72" s="28"/>
      <c r="D72" s="46"/>
      <c r="E72" s="46"/>
      <c r="F72" s="46"/>
      <c r="G72" s="46"/>
      <c r="J72" s="46"/>
      <c r="K72" s="46"/>
      <c r="L72" s="46"/>
      <c r="M72" s="46"/>
      <c r="P72" s="46"/>
      <c r="Q72" s="46"/>
      <c r="R72" s="46"/>
      <c r="S72" s="46"/>
      <c r="U72" s="204"/>
      <c r="V72" s="46"/>
      <c r="W72" s="46"/>
      <c r="X72" s="46"/>
      <c r="Y72" s="46"/>
      <c r="AB72" s="46"/>
      <c r="AC72" s="46"/>
      <c r="AD72" s="46"/>
      <c r="AE72" s="46"/>
    </row>
    <row r="73" spans="2:38" ht="14.25" hidden="1" customHeight="1">
      <c r="B73" s="28" t="s">
        <v>410</v>
      </c>
      <c r="D73" s="50">
        <f>BS!P19</f>
        <v>0</v>
      </c>
      <c r="E73" s="50">
        <f>BS!Q19</f>
        <v>0</v>
      </c>
      <c r="F73" s="50">
        <f>BS!R19</f>
        <v>0</v>
      </c>
      <c r="G73" s="50">
        <f>BS!S19</f>
        <v>0</v>
      </c>
      <c r="H73" s="68">
        <f>BS!T19</f>
        <v>0</v>
      </c>
      <c r="J73" s="50">
        <f>BS!V19</f>
        <v>0</v>
      </c>
      <c r="K73" s="50">
        <f>BS!W19</f>
        <v>0</v>
      </c>
      <c r="L73" s="50">
        <f>BS!X19</f>
        <v>0</v>
      </c>
      <c r="M73" s="50">
        <f>BS!Y19</f>
        <v>0</v>
      </c>
      <c r="N73" s="68">
        <f>BS!Z19</f>
        <v>0</v>
      </c>
      <c r="P73" s="50">
        <f>BS!AB19</f>
        <v>0</v>
      </c>
      <c r="Q73" s="50">
        <f>BS!AC19</f>
        <v>0</v>
      </c>
      <c r="R73" s="50">
        <f>BS!AD19</f>
        <v>0</v>
      </c>
      <c r="S73" s="50">
        <f>BS!AE19</f>
        <v>0</v>
      </c>
      <c r="T73" s="68">
        <f>BS!AF19</f>
        <v>0</v>
      </c>
      <c r="U73" s="204"/>
      <c r="V73" s="50">
        <f>BS!AH19</f>
        <v>0</v>
      </c>
      <c r="W73" s="50">
        <f>BS!AI19</f>
        <v>0</v>
      </c>
      <c r="X73" s="46">
        <f>X74*X34/92</f>
        <v>0</v>
      </c>
      <c r="Y73" s="46">
        <f>Y74*Y34/92</f>
        <v>0</v>
      </c>
      <c r="Z73" s="301">
        <f>Y73</f>
        <v>0</v>
      </c>
      <c r="AB73" s="46">
        <f t="shared" ref="AB73:AE73" si="39">AB74*AB34/92</f>
        <v>0</v>
      </c>
      <c r="AC73" s="46">
        <f t="shared" si="39"/>
        <v>0</v>
      </c>
      <c r="AD73" s="46">
        <f t="shared" si="39"/>
        <v>0</v>
      </c>
      <c r="AE73" s="46">
        <f t="shared" si="39"/>
        <v>0</v>
      </c>
      <c r="AF73" s="301">
        <f>AE73</f>
        <v>0</v>
      </c>
      <c r="AH73" s="301">
        <f>AH74*AH34/365</f>
        <v>0</v>
      </c>
      <c r="AJ73" s="301">
        <f>AJ74*AJ34/366</f>
        <v>0</v>
      </c>
      <c r="AL73" s="301">
        <f>AL74*AL34/365</f>
        <v>0</v>
      </c>
    </row>
    <row r="74" spans="2:38" ht="14.25" hidden="1" customHeight="1">
      <c r="B74" s="31" t="s">
        <v>411</v>
      </c>
      <c r="D74" s="308">
        <f>D73/D34*90</f>
        <v>0</v>
      </c>
      <c r="E74" s="308">
        <f>E73/E34*91</f>
        <v>0</v>
      </c>
      <c r="F74" s="308">
        <f>F73/F34*92</f>
        <v>0</v>
      </c>
      <c r="G74" s="308">
        <f>G73/G34*92</f>
        <v>0</v>
      </c>
      <c r="H74" s="309">
        <f>H73/H34*365</f>
        <v>0</v>
      </c>
      <c r="I74" s="310"/>
      <c r="J74" s="308">
        <f>J73/J34*90</f>
        <v>0</v>
      </c>
      <c r="K74" s="308">
        <f>K73/K34*91</f>
        <v>0</v>
      </c>
      <c r="L74" s="308">
        <f>L73/L34*92</f>
        <v>0</v>
      </c>
      <c r="M74" s="308">
        <f>M73/M34*92</f>
        <v>0</v>
      </c>
      <c r="N74" s="309">
        <f>N73/N34*365</f>
        <v>0</v>
      </c>
      <c r="O74" s="310"/>
      <c r="P74" s="308">
        <f>P73/P34*90</f>
        <v>0</v>
      </c>
      <c r="Q74" s="308">
        <f>Q73/Q34*91</f>
        <v>0</v>
      </c>
      <c r="R74" s="308">
        <f>R73/R34*92</f>
        <v>0</v>
      </c>
      <c r="S74" s="308">
        <f>S73/S34*92</f>
        <v>0</v>
      </c>
      <c r="T74" s="309">
        <f>T73/T34*365</f>
        <v>0</v>
      </c>
      <c r="U74" s="311"/>
      <c r="V74" s="308">
        <f>V73/V34*90</f>
        <v>0</v>
      </c>
      <c r="W74" s="308">
        <f>W73/W34*91</f>
        <v>0</v>
      </c>
      <c r="X74" s="312">
        <v>0</v>
      </c>
      <c r="Y74" s="312">
        <v>0</v>
      </c>
      <c r="Z74" s="309">
        <f>Z73/Z34*365</f>
        <v>0</v>
      </c>
      <c r="AA74" s="310"/>
      <c r="AB74" s="312">
        <v>0</v>
      </c>
      <c r="AC74" s="312">
        <v>0</v>
      </c>
      <c r="AD74" s="312">
        <v>0</v>
      </c>
      <c r="AE74" s="312">
        <v>0</v>
      </c>
      <c r="AF74" s="309">
        <f>AF73/AF34*365</f>
        <v>0</v>
      </c>
      <c r="AG74" s="310"/>
      <c r="AH74" s="312">
        <v>0</v>
      </c>
      <c r="AI74" s="310"/>
      <c r="AJ74" s="312">
        <v>0</v>
      </c>
      <c r="AK74" s="309">
        <v>0</v>
      </c>
      <c r="AL74" s="312">
        <v>0</v>
      </c>
    </row>
    <row r="75" spans="2:38" ht="14.25" customHeight="1">
      <c r="B75" s="28"/>
      <c r="D75" s="46"/>
      <c r="E75" s="46"/>
      <c r="F75" s="46"/>
      <c r="G75" s="46"/>
      <c r="J75" s="46"/>
      <c r="K75" s="46"/>
      <c r="L75" s="46"/>
      <c r="M75" s="46"/>
      <c r="P75" s="46"/>
      <c r="Q75" s="46"/>
      <c r="R75" s="46"/>
      <c r="S75" s="46"/>
      <c r="U75" s="204"/>
      <c r="V75" s="46"/>
      <c r="W75" s="46"/>
      <c r="X75" s="46"/>
      <c r="Y75" s="46"/>
      <c r="AB75" s="46"/>
      <c r="AC75" s="46"/>
      <c r="AD75" s="46"/>
      <c r="AE75" s="46"/>
    </row>
    <row r="76" spans="2:38" ht="14.25" customHeight="1">
      <c r="B76" s="28" t="s">
        <v>412</v>
      </c>
      <c r="D76" s="722">
        <f>BS!P20</f>
        <v>32.920999999999999</v>
      </c>
      <c r="E76" s="722">
        <f>BS!Q20</f>
        <v>34.165999999999997</v>
      </c>
      <c r="F76" s="722">
        <f>BS!R20</f>
        <v>36.457999999999998</v>
      </c>
      <c r="G76" s="722">
        <f>BS!S20</f>
        <v>33.430999999999997</v>
      </c>
      <c r="H76" s="96">
        <f>BS!T20</f>
        <v>33.430999999999997</v>
      </c>
      <c r="J76" s="722">
        <f>BS!V20</f>
        <v>39.188999999999993</v>
      </c>
      <c r="K76" s="722">
        <f>BS!W20</f>
        <v>35.31</v>
      </c>
      <c r="L76" s="722">
        <f>BS!X20</f>
        <v>34.902000000000001</v>
      </c>
      <c r="M76" s="722">
        <f>BS!Y20</f>
        <v>42.152000000000001</v>
      </c>
      <c r="N76" s="96">
        <f>BS!Z20</f>
        <v>42.152000000000001</v>
      </c>
      <c r="P76" s="722">
        <f>BS!AB20</f>
        <v>41.538000000000004</v>
      </c>
      <c r="Q76" s="722">
        <f>BS!AC20</f>
        <v>34.215000000000003</v>
      </c>
      <c r="R76" s="722">
        <f>BS!AD20</f>
        <v>29.395000000000003</v>
      </c>
      <c r="S76" s="722">
        <f>BS!AE20</f>
        <v>26.943999999999996</v>
      </c>
      <c r="T76" s="96">
        <f>BS!AF20</f>
        <v>26.943999999999996</v>
      </c>
      <c r="U76" s="204"/>
      <c r="V76" s="722">
        <f>BS!AH20</f>
        <v>32.814</v>
      </c>
      <c r="W76" s="722">
        <f>BS!AI20</f>
        <v>33.038000000000004</v>
      </c>
      <c r="X76" s="732">
        <f>X77*X$31</f>
        <v>33.007736751474084</v>
      </c>
      <c r="Y76" s="732">
        <f>Y77*Y$31</f>
        <v>34.517237136219343</v>
      </c>
      <c r="Z76" s="24">
        <f>Y76</f>
        <v>34.517237136219343</v>
      </c>
      <c r="AB76" s="732">
        <f>AB77*AB$31</f>
        <v>36.838210301206509</v>
      </c>
      <c r="AC76" s="732">
        <f>AC77*AC$31</f>
        <v>37.963831614543665</v>
      </c>
      <c r="AD76" s="732">
        <f>AD77*AD$31</f>
        <v>39.467878515675743</v>
      </c>
      <c r="AE76" s="732">
        <f>AE77*AE$31</f>
        <v>41.817489461665865</v>
      </c>
      <c r="AF76" s="24">
        <f>AE76</f>
        <v>41.817489461665865</v>
      </c>
      <c r="AH76" s="71">
        <f>AH77*AH$31</f>
        <v>48.932657900145053</v>
      </c>
      <c r="AJ76" s="71">
        <f>AJ77*AJ$31</f>
        <v>63.381184914915437</v>
      </c>
      <c r="AK76" s="23"/>
      <c r="AL76" s="71">
        <f>AL77*AL$31</f>
        <v>80.5349146482652</v>
      </c>
    </row>
    <row r="77" spans="2:38" ht="14.25" customHeight="1">
      <c r="B77" s="31" t="s">
        <v>361</v>
      </c>
      <c r="D77" s="725">
        <f>D76/D31</f>
        <v>0.3281075586030936</v>
      </c>
      <c r="E77" s="725">
        <f>E76/E31</f>
        <v>0.31672429616308062</v>
      </c>
      <c r="F77" s="725">
        <f>F76/F31</f>
        <v>0.29495570567533674</v>
      </c>
      <c r="G77" s="725">
        <f>G76/G31</f>
        <v>0.27852203615762722</v>
      </c>
      <c r="H77" s="729">
        <f>H76/H31</f>
        <v>7.3822094735889091E-2</v>
      </c>
      <c r="J77" s="725">
        <f>J76/J31</f>
        <v>0.3255603369498396</v>
      </c>
      <c r="K77" s="725">
        <f>K76/K31</f>
        <v>0.28827784399849782</v>
      </c>
      <c r="L77" s="725">
        <f>L76/L31</f>
        <v>0.26209589606878686</v>
      </c>
      <c r="M77" s="725">
        <f>M76/M31</f>
        <v>0.31711353856338959</v>
      </c>
      <c r="N77" s="729">
        <f>N76/N31</f>
        <v>8.2821657965729378E-2</v>
      </c>
      <c r="P77" s="725">
        <f>P76/P31</f>
        <v>0.32618989657853203</v>
      </c>
      <c r="Q77" s="725">
        <f>Q76/Q31</f>
        <v>0.27089403344312141</v>
      </c>
      <c r="R77" s="725">
        <f>R76/R31</f>
        <v>0.21520136463801223</v>
      </c>
      <c r="S77" s="725">
        <f>S76/S31</f>
        <v>0.19852198964066511</v>
      </c>
      <c r="T77" s="729">
        <f>T76/T31</f>
        <v>5.1227938086899641E-2</v>
      </c>
      <c r="U77" s="204"/>
      <c r="V77" s="725">
        <f>V76/V31</f>
        <v>0.23393789032423645</v>
      </c>
      <c r="W77" s="725">
        <f>W76/W31</f>
        <v>0.23193838939084407</v>
      </c>
      <c r="X77" s="733">
        <f>AVERAGE(V77,W77,R77:S77)</f>
        <v>0.21989990849843946</v>
      </c>
      <c r="Y77" s="733">
        <f>AVERAGE(V77:X77,S77)</f>
        <v>0.22107454446354627</v>
      </c>
      <c r="Z77" s="726">
        <f>Z76/Z$31</f>
        <v>4.770518727548189E-2</v>
      </c>
      <c r="AB77" s="733">
        <f>AVERAGE(V77:Y77)</f>
        <v>0.22671268316926654</v>
      </c>
      <c r="AC77" s="733">
        <f>AVERAGE(W77:Y77,AB77)</f>
        <v>0.22490638138052407</v>
      </c>
      <c r="AD77" s="733">
        <f>AVERAGE(AB77:AC77,X77:Y77)</f>
        <v>0.22314837937794407</v>
      </c>
      <c r="AE77" s="733">
        <f>AVERAGE(AB77:AD77,Y77)</f>
        <v>0.22396049709782023</v>
      </c>
      <c r="AF77" s="726">
        <f>AF76/AF$31</f>
        <v>4.9167052595820541E-2</v>
      </c>
      <c r="AH77" s="733">
        <f>AVERAGE(AF77,Z77)</f>
        <v>4.8436119935651216E-2</v>
      </c>
      <c r="AJ77" s="733">
        <f>AVERAGE(AF77:AH77)</f>
        <v>4.8801586265735879E-2</v>
      </c>
      <c r="AK77" s="23"/>
      <c r="AL77" s="733">
        <f>AVERAGE(AH77:AJ77)</f>
        <v>4.8618853100693547E-2</v>
      </c>
    </row>
    <row r="78" spans="2:38" ht="14.25" customHeight="1">
      <c r="B78" s="28"/>
      <c r="D78" s="732"/>
      <c r="E78" s="732"/>
      <c r="F78" s="732"/>
      <c r="G78" s="732"/>
      <c r="H78" s="23"/>
      <c r="J78" s="732"/>
      <c r="K78" s="732"/>
      <c r="L78" s="732"/>
      <c r="M78" s="732"/>
      <c r="N78" s="23"/>
      <c r="P78" s="732"/>
      <c r="Q78" s="732"/>
      <c r="R78" s="732"/>
      <c r="S78" s="732"/>
      <c r="T78" s="23"/>
      <c r="U78" s="204"/>
      <c r="V78" s="732"/>
      <c r="W78" s="732"/>
      <c r="X78" s="732"/>
      <c r="Y78" s="732"/>
      <c r="Z78" s="23"/>
      <c r="AB78" s="732"/>
      <c r="AC78" s="732"/>
      <c r="AD78" s="732"/>
      <c r="AE78" s="732"/>
      <c r="AF78" s="23"/>
      <c r="AH78" s="23"/>
      <c r="AJ78" s="33"/>
      <c r="AK78" s="23"/>
      <c r="AL78" s="23"/>
    </row>
    <row r="79" spans="2:38" ht="14.25" customHeight="1">
      <c r="B79" s="28" t="s">
        <v>413</v>
      </c>
      <c r="D79" s="722">
        <f>BS!P24</f>
        <v>30.332999999999998</v>
      </c>
      <c r="E79" s="722">
        <f>BS!Q24</f>
        <v>29.713000000000001</v>
      </c>
      <c r="F79" s="722">
        <f>BS!R24</f>
        <v>29.143999999999998</v>
      </c>
      <c r="G79" s="722">
        <f>BS!S24</f>
        <v>27.626000000000001</v>
      </c>
      <c r="H79" s="96">
        <f>BS!T24</f>
        <v>27.626000000000001</v>
      </c>
      <c r="J79" s="722">
        <f>BS!V24</f>
        <v>25.989000000000001</v>
      </c>
      <c r="K79" s="722">
        <f>BS!W24</f>
        <v>24.952000000000002</v>
      </c>
      <c r="L79" s="722">
        <f>BS!X24</f>
        <v>23.684999999999999</v>
      </c>
      <c r="M79" s="722">
        <f>BS!Y24</f>
        <v>22.472000000000001</v>
      </c>
      <c r="N79" s="96">
        <f>BS!Z24</f>
        <v>22.472000000000001</v>
      </c>
      <c r="P79" s="722">
        <f>BS!AB24</f>
        <v>21.460999999999999</v>
      </c>
      <c r="Q79" s="722">
        <f>BS!AC24</f>
        <v>21.155999999999999</v>
      </c>
      <c r="R79" s="722">
        <f>BS!AD24</f>
        <v>22.373000000000001</v>
      </c>
      <c r="S79" s="722">
        <f>BS!AE24</f>
        <v>24.259</v>
      </c>
      <c r="T79" s="96">
        <f>BS!AF24</f>
        <v>24.259</v>
      </c>
      <c r="U79" s="204"/>
      <c r="V79" s="722">
        <f>BS!AH24</f>
        <v>26.337</v>
      </c>
      <c r="W79" s="722">
        <f>BS!AI24</f>
        <v>29.079000000000001</v>
      </c>
      <c r="X79" s="732">
        <f>W79-X80*X106-X109-X52-X37</f>
        <v>29.079000000000001</v>
      </c>
      <c r="Y79" s="732">
        <f>X79-Y80*Y106-Y109-Y52-Y37</f>
        <v>29.079000000000001</v>
      </c>
      <c r="Z79" s="71">
        <f>Y79</f>
        <v>29.079000000000001</v>
      </c>
      <c r="AB79" s="732">
        <f>Y79-AB80*AB106-AB109-AB52-AB37</f>
        <v>29.079000000000001</v>
      </c>
      <c r="AC79" s="732">
        <f>AB79-AC80*AC106-AC109-AC52-AC37</f>
        <v>29.079000000000001</v>
      </c>
      <c r="AD79" s="732">
        <f>AC79-AD80*AD106-AD109-AD52-AD37</f>
        <v>29.079000000000001</v>
      </c>
      <c r="AE79" s="732">
        <f>AD79-AE80*AE106-AE109-AE52-AE37</f>
        <v>29.079000000000001</v>
      </c>
      <c r="AF79" s="71">
        <f>AE79</f>
        <v>29.079000000000001</v>
      </c>
      <c r="AH79" s="71">
        <f>AF79-AH80*AH106-AH109-AH52-AH37</f>
        <v>29.079000000000001</v>
      </c>
      <c r="AI79" s="72"/>
      <c r="AJ79" s="71">
        <f>AH79-AJ80*AJ106-AJ109-AJ52-AJ37</f>
        <v>29.079000000000001</v>
      </c>
      <c r="AK79" s="728"/>
      <c r="AL79" s="71">
        <f>AJ79-AL80*AL106-AL109-AL52-AL37</f>
        <v>29.079000000000001</v>
      </c>
    </row>
    <row r="80" spans="2:38" ht="13" hidden="1" customHeight="1">
      <c r="B80" s="31" t="s">
        <v>414</v>
      </c>
      <c r="D80" s="725"/>
      <c r="E80" s="725"/>
      <c r="F80" s="725"/>
      <c r="G80" s="725"/>
      <c r="H80" s="729"/>
      <c r="J80" s="725"/>
      <c r="K80" s="725"/>
      <c r="L80" s="725"/>
      <c r="M80" s="725"/>
      <c r="N80" s="729"/>
      <c r="P80" s="725"/>
      <c r="Q80" s="725"/>
      <c r="R80" s="725"/>
      <c r="S80" s="725"/>
      <c r="T80" s="729"/>
      <c r="U80" s="204"/>
      <c r="V80" s="725"/>
      <c r="W80" s="725"/>
      <c r="X80" s="733"/>
      <c r="Y80" s="733"/>
      <c r="Z80" s="746" t="e">
        <f>AVERAGE(V80:Y80)</f>
        <v>#DIV/0!</v>
      </c>
      <c r="AB80" s="733"/>
      <c r="AC80" s="733"/>
      <c r="AD80" s="733"/>
      <c r="AE80" s="733"/>
      <c r="AF80" s="746" t="e">
        <f>AVERAGE(AB80:AE80)</f>
        <v>#DIV/0!</v>
      </c>
      <c r="AH80" s="733"/>
      <c r="AJ80" s="733"/>
      <c r="AK80" s="23"/>
      <c r="AL80" s="733"/>
    </row>
    <row r="81" spans="2:38" ht="14.25" hidden="1" customHeight="1">
      <c r="D81" s="732"/>
      <c r="E81" s="732"/>
      <c r="F81" s="732"/>
      <c r="G81" s="732"/>
      <c r="H81" s="23"/>
      <c r="J81" s="732"/>
      <c r="K81" s="732"/>
      <c r="L81" s="732"/>
      <c r="M81" s="732"/>
      <c r="N81" s="23"/>
      <c r="P81" s="732"/>
      <c r="Q81" s="732"/>
      <c r="R81" s="732"/>
      <c r="S81" s="732"/>
      <c r="T81" s="23"/>
      <c r="U81" s="204"/>
      <c r="V81" s="732"/>
      <c r="W81" s="732"/>
      <c r="X81" s="732"/>
      <c r="Y81" s="732"/>
      <c r="Z81" s="23"/>
      <c r="AB81" s="732"/>
      <c r="AC81" s="732"/>
      <c r="AD81" s="732"/>
      <c r="AE81" s="732"/>
      <c r="AF81" s="23"/>
      <c r="AH81" s="23"/>
      <c r="AJ81" s="33"/>
      <c r="AK81" s="23"/>
      <c r="AL81" s="23"/>
    </row>
    <row r="82" spans="2:38" ht="14.25" hidden="1" customHeight="1">
      <c r="B82" s="28" t="s">
        <v>415</v>
      </c>
      <c r="D82" s="722">
        <f>IF($B$82="Intangibles excl. Goodwill",BS!P29,BS!P27)</f>
        <v>0</v>
      </c>
      <c r="E82" s="722">
        <f>IF($B$82="Intangibles excl. Goodwill",BS!Q29,BS!Q27)</f>
        <v>0</v>
      </c>
      <c r="F82" s="722">
        <f>IF($B$82="Intangibles excl. Goodwill",BS!R29,BS!R27)</f>
        <v>0</v>
      </c>
      <c r="G82" s="722">
        <f>IF($B$82="Intangibles excl. Goodwill",BS!S29,BS!S27)</f>
        <v>0</v>
      </c>
      <c r="H82" s="96">
        <f>IF($B$82="Intangibles excl. Goodwill",BS!T29,BS!T27)</f>
        <v>0</v>
      </c>
      <c r="J82" s="722">
        <f>IF($B$82="Intangibles excl. Goodwill",BS!V29,BS!V27)</f>
        <v>0</v>
      </c>
      <c r="K82" s="722">
        <f>IF($B$82="Intangibles excl. Goodwill",BS!W29,BS!W27)</f>
        <v>0</v>
      </c>
      <c r="L82" s="722">
        <f>IF($B$82="Intangibles excl. Goodwill",BS!X29,BS!X27)</f>
        <v>0</v>
      </c>
      <c r="M82" s="722">
        <f>IF($B$82="Intangibles excl. Goodwill",BS!Y29,BS!Y27)</f>
        <v>0</v>
      </c>
      <c r="N82" s="96">
        <f>IF($B$82="Intangibles excl. Goodwill",BS!Z29,BS!Z27)</f>
        <v>0</v>
      </c>
      <c r="P82" s="722">
        <f>IF($B$82="Intangibles excl. Goodwill",BS!AB29,BS!AB27)</f>
        <v>0</v>
      </c>
      <c r="Q82" s="722">
        <f>IF($B$82="Intangibles excl. Goodwill",BS!AC29,BS!AC27)</f>
        <v>0</v>
      </c>
      <c r="R82" s="722">
        <f>IF($B$82="Intangibles excl. Goodwill",BS!AD29,BS!AD27)</f>
        <v>0</v>
      </c>
      <c r="S82" s="722">
        <f>IF($B$82="Intangibles excl. Goodwill",BS!AE29,BS!AE27)</f>
        <v>0</v>
      </c>
      <c r="T82" s="96">
        <f>IF($B$82="Intangibles excl. Goodwill",BS!AF29,BS!AF27)</f>
        <v>0</v>
      </c>
      <c r="U82" s="204"/>
      <c r="V82" s="722">
        <f>IF($B$82="Intangibles excl. Goodwill",BS!AH29,BS!AH27)</f>
        <v>0</v>
      </c>
      <c r="W82" s="722">
        <f>IF($B$82="Intangibles excl. Goodwill",BS!AI29,BS!AI27)</f>
        <v>0</v>
      </c>
      <c r="X82" s="732">
        <f>W82-(1-X80)*X106-X55+X83*X46</f>
        <v>4.8189584082920067</v>
      </c>
      <c r="Y82" s="732">
        <f>X82-(1-Y80)*Y106-Y55+Y83*Y46</f>
        <v>9.8139904025358309</v>
      </c>
      <c r="Z82" s="71">
        <f>Y82</f>
        <v>9.8139904025358309</v>
      </c>
      <c r="AB82" s="732">
        <f>Y82-(1-AB80)*AB106-AB55+AB83*AB46</f>
        <v>15.176111846055544</v>
      </c>
      <c r="AC82" s="732">
        <f>AB82-(1-AC80)*AC106-AC55+AC83*AC46</f>
        <v>20.746458207905945</v>
      </c>
      <c r="AD82" s="732">
        <f t="shared" ref="AD82:AE82" si="40">AC82-(1-AD80)*AD106-AD55+AD83*AD46</f>
        <v>26.58311270052662</v>
      </c>
      <c r="AE82" s="732">
        <f t="shared" si="40"/>
        <v>32.744811616707516</v>
      </c>
      <c r="AF82" s="71">
        <f>AE82</f>
        <v>32.744811616707516</v>
      </c>
      <c r="AH82" s="71">
        <f>AF82-(1-AH80)*AH106-AH55+AH83*AH46</f>
        <v>67.09335916376989</v>
      </c>
      <c r="AJ82" s="71">
        <f>AH82-(1-AJ80)*AJ106-AJ55+AJ83*AJ46</f>
        <v>112.54969863484078</v>
      </c>
      <c r="AK82" s="23"/>
      <c r="AL82" s="71">
        <f>AJ82-(1-AL80)*AL106-AL55+AL83*AL46</f>
        <v>170.52560371946882</v>
      </c>
    </row>
    <row r="83" spans="2:38" ht="14.25" customHeight="1">
      <c r="B83" s="31" t="s">
        <v>416</v>
      </c>
      <c r="D83" s="725" t="str">
        <f>IFERROR(BS!P57/FCFF!D82,"")</f>
        <v/>
      </c>
      <c r="E83" s="725" t="str">
        <f>IFERROR(BS!Q57/FCFF!E82,"")</f>
        <v/>
      </c>
      <c r="F83" s="725" t="str">
        <f>IFERROR(BS!R57/FCFF!F82,"")</f>
        <v/>
      </c>
      <c r="G83" s="725" t="str">
        <f>IFERROR(BS!S57/FCFF!G82,"")</f>
        <v/>
      </c>
      <c r="H83" s="729" t="str">
        <f>IFERROR(BS!T57/FCFF!H82,"")</f>
        <v/>
      </c>
      <c r="J83" s="725" t="str">
        <f>IFERROR(BS!V57/FCFF!J82,"")</f>
        <v/>
      </c>
      <c r="K83" s="725" t="str">
        <f>IFERROR(BS!W57/FCFF!K82,"")</f>
        <v/>
      </c>
      <c r="L83" s="725" t="str">
        <f>IFERROR(BS!X57/FCFF!L82,"")</f>
        <v/>
      </c>
      <c r="M83" s="725" t="str">
        <f>IFERROR(BS!Y57/FCFF!M82,"")</f>
        <v/>
      </c>
      <c r="N83" s="729" t="str">
        <f>IFERROR(BS!Z57/FCFF!N82,"")</f>
        <v/>
      </c>
      <c r="P83" s="725" t="str">
        <f>IFERROR(BS!AB57/FCFF!P82,"")</f>
        <v/>
      </c>
      <c r="Q83" s="725" t="str">
        <f>IFERROR(BS!AC57/FCFF!Q82,"")</f>
        <v/>
      </c>
      <c r="R83" s="725" t="str">
        <f>IFERROR(BS!AD57/FCFF!R82,"")</f>
        <v/>
      </c>
      <c r="S83" s="725" t="str">
        <f>IFERROR(BS!AE57/FCFF!S82,"")</f>
        <v/>
      </c>
      <c r="T83" s="729" t="str">
        <f>IFERROR(BS!AF57/FCFF!T82,"")</f>
        <v/>
      </c>
      <c r="U83" s="204"/>
      <c r="V83" s="725" t="str">
        <f>IFERROR(BS!AH57/FCFF!V82,"")</f>
        <v/>
      </c>
      <c r="W83" s="725" t="str">
        <f>IFERROR(BS!AI57/FCFF!W82,"")</f>
        <v/>
      </c>
      <c r="X83" s="733">
        <v>0</v>
      </c>
      <c r="Y83" s="733">
        <v>0</v>
      </c>
      <c r="Z83" s="746">
        <f>AVERAGE(V83:Y83)</f>
        <v>0</v>
      </c>
      <c r="AB83" s="733">
        <v>0</v>
      </c>
      <c r="AC83" s="733">
        <v>0</v>
      </c>
      <c r="AD83" s="733">
        <v>0</v>
      </c>
      <c r="AE83" s="733">
        <v>0</v>
      </c>
      <c r="AF83" s="746">
        <f>AVERAGE(AB83:AE83)</f>
        <v>0</v>
      </c>
      <c r="AH83" s="733">
        <v>0</v>
      </c>
      <c r="AJ83" s="733">
        <v>0</v>
      </c>
      <c r="AK83" s="23"/>
      <c r="AL83" s="733">
        <v>0</v>
      </c>
    </row>
    <row r="84" spans="2:38" ht="17" customHeight="1">
      <c r="D84" s="732"/>
      <c r="E84" s="732"/>
      <c r="F84" s="732"/>
      <c r="G84" s="732"/>
      <c r="H84" s="23"/>
      <c r="J84" s="732"/>
      <c r="K84" s="732"/>
      <c r="L84" s="732"/>
      <c r="M84" s="732"/>
      <c r="N84" s="23"/>
      <c r="P84" s="732"/>
      <c r="Q84" s="732"/>
      <c r="R84" s="732"/>
      <c r="S84" s="732"/>
      <c r="T84" s="23"/>
      <c r="U84" s="204"/>
      <c r="V84" s="732"/>
      <c r="W84" s="732"/>
      <c r="X84" s="732"/>
      <c r="Y84" s="732"/>
      <c r="Z84" s="23"/>
      <c r="AB84" s="732"/>
      <c r="AC84" s="732"/>
      <c r="AD84" s="732"/>
      <c r="AE84" s="732"/>
      <c r="AF84" s="23"/>
      <c r="AH84" s="23"/>
      <c r="AJ84" s="33"/>
      <c r="AK84" s="23"/>
      <c r="AL84" s="23"/>
    </row>
    <row r="85" spans="2:38" ht="14.25" customHeight="1">
      <c r="B85" s="28" t="s">
        <v>417</v>
      </c>
      <c r="D85" s="722">
        <f>BS!P37</f>
        <v>25.407</v>
      </c>
      <c r="E85" s="722">
        <f>BS!Q37</f>
        <v>29.584</v>
      </c>
      <c r="F85" s="722">
        <f>BS!R37</f>
        <v>26.242000000000001</v>
      </c>
      <c r="G85" s="722">
        <f>BS!S37</f>
        <v>27.257999999999999</v>
      </c>
      <c r="H85" s="96">
        <f>BS!T37</f>
        <v>27.257999999999999</v>
      </c>
      <c r="J85" s="722">
        <f>BS!V37</f>
        <v>20.582000000000001</v>
      </c>
      <c r="K85" s="722">
        <f>BS!W37</f>
        <v>26.832999999999998</v>
      </c>
      <c r="L85" s="722">
        <f>BS!X37</f>
        <v>25.472000000000001</v>
      </c>
      <c r="M85" s="722">
        <f>BS!Y37</f>
        <v>26.448</v>
      </c>
      <c r="N85" s="96">
        <f>BS!Z37</f>
        <v>26.448</v>
      </c>
      <c r="P85" s="722">
        <f>BS!AB37</f>
        <v>24.012</v>
      </c>
      <c r="Q85" s="722">
        <f>BS!AC37</f>
        <v>28.001000000000001</v>
      </c>
      <c r="R85" s="722">
        <f>BS!AD37</f>
        <v>30.42</v>
      </c>
      <c r="S85" s="722">
        <f>BS!AE37</f>
        <v>33.29</v>
      </c>
      <c r="T85" s="96">
        <f>BS!AF37</f>
        <v>33.29</v>
      </c>
      <c r="U85" s="204"/>
      <c r="V85" s="722">
        <f>BS!AH37</f>
        <v>32.923999999999999</v>
      </c>
      <c r="W85" s="722">
        <f>BS!AI37</f>
        <v>29.84</v>
      </c>
      <c r="X85" s="732">
        <f>X86*X34/92</f>
        <v>34.264821077242935</v>
      </c>
      <c r="Y85" s="732">
        <f>Y86*Y34/92</f>
        <v>35.774094497198341</v>
      </c>
      <c r="Z85" s="24">
        <f>Y85</f>
        <v>35.774094497198341</v>
      </c>
      <c r="AB85" s="732">
        <f>AB86*AB34/90</f>
        <v>37.214693873835834</v>
      </c>
      <c r="AC85" s="732">
        <f>AC86*AC34/91</f>
        <v>37.920239754027399</v>
      </c>
      <c r="AD85" s="732">
        <f t="shared" ref="AD85" si="41">AD86*AD34/92</f>
        <v>39.970726636815485</v>
      </c>
      <c r="AE85" s="732">
        <f>AE86*AE34/92</f>
        <v>42.080588739964412</v>
      </c>
      <c r="AF85" s="24">
        <f>AE85</f>
        <v>42.080588739964412</v>
      </c>
      <c r="AH85" s="71">
        <f>AH86*AH34/365</f>
        <v>48.782557925249392</v>
      </c>
      <c r="AJ85" s="71">
        <f>AJ86*AJ34/366</f>
        <v>63.871221951784079</v>
      </c>
      <c r="AK85" s="23"/>
      <c r="AL85" s="71">
        <f>AL86*AL34/365</f>
        <v>81.207177765578749</v>
      </c>
    </row>
    <row r="86" spans="2:38" ht="14.25" customHeight="1">
      <c r="B86" s="31" t="s">
        <v>418</v>
      </c>
      <c r="D86" s="747">
        <f>D85/D34*90</f>
        <v>97.710879412016055</v>
      </c>
      <c r="E86" s="747">
        <f>E85/E34*91</f>
        <v>91.581983943393652</v>
      </c>
      <c r="F86" s="747">
        <f>F85/F34*92</f>
        <v>97.632804917502426</v>
      </c>
      <c r="G86" s="747">
        <f>G85/G34*92</f>
        <v>95.177470775770473</v>
      </c>
      <c r="H86" s="310">
        <f>H85/H34*365</f>
        <v>95.781138687255719</v>
      </c>
      <c r="I86" s="310"/>
      <c r="J86" s="747">
        <f>J85/J34*90</f>
        <v>76.264152497015104</v>
      </c>
      <c r="K86" s="747">
        <f>K85/K34*91</f>
        <v>90.390279114533186</v>
      </c>
      <c r="L86" s="747">
        <f>L85/L34*92</f>
        <v>80.4167324388319</v>
      </c>
      <c r="M86" s="747">
        <f>M85/M34*92</f>
        <v>89.105943530962776</v>
      </c>
      <c r="N86" s="310">
        <f>N85/N34*365</f>
        <v>89.591001475624353</v>
      </c>
      <c r="O86" s="310"/>
      <c r="P86" s="747">
        <f>P85/P34*90</f>
        <v>51.698004880149277</v>
      </c>
      <c r="Q86" s="747">
        <f>Q85/Q34*91</f>
        <v>100.12932254008173</v>
      </c>
      <c r="R86" s="747">
        <f>R85/R34*92</f>
        <v>105.29119638826185</v>
      </c>
      <c r="S86" s="747">
        <f>S85/S34*92</f>
        <v>109.12809549260646</v>
      </c>
      <c r="T86" s="310">
        <f>T85/T34*365</f>
        <v>120.26376998069976</v>
      </c>
      <c r="U86" s="311"/>
      <c r="V86" s="747">
        <f>V85/V34*90</f>
        <v>133.68644258966839</v>
      </c>
      <c r="W86" s="747">
        <f>W85/W34*91</f>
        <v>117.79117685333797</v>
      </c>
      <c r="X86" s="748">
        <f>AVERAGE(V86:W86,R86:S86)</f>
        <v>116.47422783096866</v>
      </c>
      <c r="Y86" s="748">
        <f>AVERAGE(V86:X86,S86)</f>
        <v>119.26998569164536</v>
      </c>
      <c r="Z86" s="310">
        <f>Z85/Z34*365</f>
        <v>130.73549327529881</v>
      </c>
      <c r="AA86" s="310"/>
      <c r="AB86" s="748">
        <f>AVERAGE(V86:Y86)</f>
        <v>121.80545824140509</v>
      </c>
      <c r="AC86" s="748">
        <f>AVERAGE(W86:Y86,AB86)</f>
        <v>118.83521215433927</v>
      </c>
      <c r="AD86" s="748">
        <f>AVERAGE(AB86:AC86,X86:Y86)</f>
        <v>119.09622097958959</v>
      </c>
      <c r="AE86" s="748">
        <f>AVERAGE(AB86:AD86,Y86)</f>
        <v>119.75171926674483</v>
      </c>
      <c r="AF86" s="310">
        <f>AF85/AF34*365</f>
        <v>128.2721959560163</v>
      </c>
      <c r="AG86" s="310"/>
      <c r="AH86" s="748">
        <f>AVERAGE(AF86,Z86,T86)</f>
        <v>126.42381973733829</v>
      </c>
      <c r="AI86" s="310"/>
      <c r="AJ86" s="748">
        <f>AVERAGE(AF86:AH86,Z86)</f>
        <v>128.4771696562178</v>
      </c>
      <c r="AK86" s="310"/>
      <c r="AL86" s="748">
        <f>AVERAGE(AF86:AJ86)</f>
        <v>127.72439511652412</v>
      </c>
    </row>
    <row r="87" spans="2:38" ht="14.25" customHeight="1">
      <c r="B87" s="28"/>
      <c r="D87" s="732"/>
      <c r="E87" s="732"/>
      <c r="F87" s="732"/>
      <c r="G87" s="732"/>
      <c r="H87" s="23"/>
      <c r="J87" s="732"/>
      <c r="K87" s="732"/>
      <c r="L87" s="732"/>
      <c r="M87" s="732"/>
      <c r="N87" s="23"/>
      <c r="P87" s="732"/>
      <c r="Q87" s="732"/>
      <c r="R87" s="732"/>
      <c r="S87" s="732"/>
      <c r="T87" s="23"/>
      <c r="U87" s="204"/>
      <c r="V87" s="732"/>
      <c r="W87" s="732"/>
      <c r="X87" s="732"/>
      <c r="Y87" s="732"/>
      <c r="Z87" s="23"/>
      <c r="AB87" s="732"/>
      <c r="AC87" s="732"/>
      <c r="AD87" s="732"/>
      <c r="AE87" s="732"/>
      <c r="AF87" s="23"/>
      <c r="AH87" s="23"/>
      <c r="AJ87" s="33"/>
      <c r="AK87" s="23"/>
      <c r="AL87" s="23"/>
    </row>
    <row r="88" spans="2:38" ht="14.25" customHeight="1">
      <c r="B88" s="28" t="s">
        <v>419</v>
      </c>
      <c r="D88" s="722">
        <f>BS!P40</f>
        <v>0</v>
      </c>
      <c r="E88" s="722">
        <f>BS!Q40</f>
        <v>0</v>
      </c>
      <c r="F88" s="722">
        <f>BS!R40</f>
        <v>0</v>
      </c>
      <c r="G88" s="722">
        <f>BS!S40</f>
        <v>0</v>
      </c>
      <c r="H88" s="96">
        <f>BS!T40</f>
        <v>0</v>
      </c>
      <c r="J88" s="722">
        <f>BS!V40</f>
        <v>0</v>
      </c>
      <c r="K88" s="722">
        <f>BS!W40</f>
        <v>0</v>
      </c>
      <c r="L88" s="722">
        <f>BS!X40</f>
        <v>0</v>
      </c>
      <c r="M88" s="722">
        <f>BS!Y40</f>
        <v>0</v>
      </c>
      <c r="N88" s="96">
        <f>BS!Z40</f>
        <v>0</v>
      </c>
      <c r="P88" s="722">
        <f>BS!AB40</f>
        <v>0</v>
      </c>
      <c r="Q88" s="722">
        <f>BS!AC40</f>
        <v>0</v>
      </c>
      <c r="R88" s="722">
        <f>BS!AD40</f>
        <v>0</v>
      </c>
      <c r="S88" s="722">
        <f>BS!AE40</f>
        <v>0</v>
      </c>
      <c r="T88" s="96">
        <f>BS!AF40</f>
        <v>0</v>
      </c>
      <c r="U88" s="204"/>
      <c r="V88" s="722">
        <f>BS!AH40</f>
        <v>0</v>
      </c>
      <c r="W88" s="722">
        <f>BS!AI40</f>
        <v>0</v>
      </c>
      <c r="X88" s="732">
        <f>X89*X43</f>
        <v>0</v>
      </c>
      <c r="Y88" s="732">
        <f t="shared" ref="Y88" si="42">Y89*Y43</f>
        <v>0</v>
      </c>
      <c r="Z88" s="24">
        <f>Y88</f>
        <v>0</v>
      </c>
      <c r="AB88" s="732">
        <f t="shared" ref="AB88" si="43">AB89*AB43</f>
        <v>0</v>
      </c>
      <c r="AC88" s="732">
        <f t="shared" ref="AC88" si="44">AC89*AC43</f>
        <v>0</v>
      </c>
      <c r="AD88" s="732">
        <f t="shared" ref="AD88" si="45">AD89*AD43</f>
        <v>0</v>
      </c>
      <c r="AE88" s="732">
        <f t="shared" ref="AE88" si="46">AE89*AE43</f>
        <v>0</v>
      </c>
      <c r="AF88" s="24">
        <f>AE88</f>
        <v>0</v>
      </c>
      <c r="AH88" s="71">
        <f t="shared" ref="AH88:AL88" si="47">AH89*AH43</f>
        <v>0</v>
      </c>
      <c r="AJ88" s="71">
        <f t="shared" si="47"/>
        <v>0</v>
      </c>
      <c r="AK88" s="23"/>
      <c r="AL88" s="71">
        <f t="shared" si="47"/>
        <v>0</v>
      </c>
    </row>
    <row r="89" spans="2:38" ht="14.25" customHeight="1">
      <c r="B89" s="31" t="s">
        <v>420</v>
      </c>
      <c r="D89" s="725">
        <f>D88/D43</f>
        <v>0</v>
      </c>
      <c r="E89" s="725">
        <f>E88/E43</f>
        <v>0</v>
      </c>
      <c r="F89" s="725">
        <f>F88/F43</f>
        <v>0</v>
      </c>
      <c r="G89" s="725">
        <f>G88/G43</f>
        <v>0</v>
      </c>
      <c r="H89" s="729">
        <f>H88/H43</f>
        <v>0</v>
      </c>
      <c r="J89" s="725">
        <f>J88/J43</f>
        <v>0</v>
      </c>
      <c r="K89" s="725">
        <f>K88/K43</f>
        <v>0</v>
      </c>
      <c r="L89" s="725">
        <f>L88/L43</f>
        <v>0</v>
      </c>
      <c r="M89" s="725">
        <f>M88/M43</f>
        <v>0</v>
      </c>
      <c r="N89" s="729">
        <f>N88/N43</f>
        <v>0</v>
      </c>
      <c r="P89" s="725">
        <f>P88/P43</f>
        <v>0</v>
      </c>
      <c r="Q89" s="725">
        <f>Q88/Q43</f>
        <v>0</v>
      </c>
      <c r="R89" s="725">
        <f>R88/R43</f>
        <v>0</v>
      </c>
      <c r="S89" s="725">
        <f>S88/S43</f>
        <v>0</v>
      </c>
      <c r="T89" s="729">
        <f>T88/T43</f>
        <v>0</v>
      </c>
      <c r="U89" s="204"/>
      <c r="V89" s="725">
        <f>V88/V43</f>
        <v>0</v>
      </c>
      <c r="W89" s="725">
        <f>W88/W43</f>
        <v>0</v>
      </c>
      <c r="X89" s="733">
        <v>0</v>
      </c>
      <c r="Y89" s="733">
        <v>0</v>
      </c>
      <c r="Z89" s="749">
        <f>Z88/Z43</f>
        <v>0</v>
      </c>
      <c r="AB89" s="733">
        <v>0</v>
      </c>
      <c r="AC89" s="733">
        <v>0</v>
      </c>
      <c r="AD89" s="733">
        <v>0</v>
      </c>
      <c r="AE89" s="733">
        <v>0</v>
      </c>
      <c r="AF89" s="749">
        <f>AF88/AF43</f>
        <v>0</v>
      </c>
      <c r="AH89" s="733">
        <v>0</v>
      </c>
      <c r="AJ89" s="733">
        <v>0</v>
      </c>
      <c r="AK89" s="23"/>
      <c r="AL89" s="733">
        <v>0</v>
      </c>
    </row>
    <row r="90" spans="2:38" ht="14.25" customHeight="1">
      <c r="D90" s="23"/>
      <c r="E90" s="23"/>
      <c r="F90" s="23"/>
      <c r="G90" s="23"/>
      <c r="H90" s="23"/>
      <c r="J90" s="23"/>
      <c r="K90" s="23"/>
      <c r="L90" s="23"/>
      <c r="M90" s="23"/>
      <c r="N90" s="23"/>
      <c r="P90" s="23"/>
      <c r="Q90" s="23"/>
      <c r="R90" s="23"/>
      <c r="S90" s="23"/>
      <c r="T90" s="23"/>
      <c r="U90" s="204"/>
      <c r="V90" s="23"/>
      <c r="W90" s="23"/>
      <c r="X90" s="23"/>
      <c r="Y90" s="23"/>
      <c r="Z90" s="23"/>
      <c r="AB90" s="23"/>
      <c r="AC90" s="23"/>
      <c r="AD90" s="23"/>
      <c r="AE90" s="23"/>
      <c r="AF90" s="23"/>
      <c r="AH90" s="23"/>
      <c r="AJ90" s="33"/>
      <c r="AK90" s="23"/>
      <c r="AL90" s="23"/>
    </row>
    <row r="91" spans="2:38" ht="14.25" customHeight="1">
      <c r="B91" s="161" t="s">
        <v>421</v>
      </c>
      <c r="C91" s="185"/>
      <c r="D91" s="37" t="s">
        <v>380</v>
      </c>
      <c r="E91" s="37" t="s">
        <v>381</v>
      </c>
      <c r="F91" s="37" t="s">
        <v>382</v>
      </c>
      <c r="G91" s="37" t="s">
        <v>383</v>
      </c>
      <c r="H91" s="37" t="s">
        <v>384</v>
      </c>
      <c r="I91" s="37"/>
      <c r="J91" s="37" t="s">
        <v>385</v>
      </c>
      <c r="K91" s="37" t="s">
        <v>386</v>
      </c>
      <c r="L91" s="37" t="s">
        <v>387</v>
      </c>
      <c r="M91" s="37" t="s">
        <v>388</v>
      </c>
      <c r="N91" s="37" t="s">
        <v>389</v>
      </c>
      <c r="O91" s="37"/>
      <c r="P91" s="37" t="s">
        <v>390</v>
      </c>
      <c r="Q91" s="37" t="s">
        <v>391</v>
      </c>
      <c r="R91" s="37" t="s">
        <v>392</v>
      </c>
      <c r="S91" s="37" t="s">
        <v>393</v>
      </c>
      <c r="T91" s="37" t="s">
        <v>394</v>
      </c>
      <c r="U91" s="37"/>
      <c r="V91" s="37" t="s">
        <v>395</v>
      </c>
      <c r="W91" s="37" t="s">
        <v>396</v>
      </c>
      <c r="X91" s="37" t="s">
        <v>397</v>
      </c>
      <c r="Y91" s="37" t="s">
        <v>398</v>
      </c>
      <c r="Z91" s="37" t="s">
        <v>399</v>
      </c>
      <c r="AA91" s="37"/>
      <c r="AB91" s="37" t="s">
        <v>400</v>
      </c>
      <c r="AC91" s="37" t="s">
        <v>401</v>
      </c>
      <c r="AD91" s="37" t="s">
        <v>402</v>
      </c>
      <c r="AE91" s="37" t="s">
        <v>403</v>
      </c>
      <c r="AF91" s="37" t="s">
        <v>404</v>
      </c>
      <c r="AG91" s="37"/>
      <c r="AH91" s="37" t="s">
        <v>405</v>
      </c>
      <c r="AI91" s="37"/>
      <c r="AJ91" s="37" t="s">
        <v>406</v>
      </c>
      <c r="AK91" s="37"/>
      <c r="AL91" s="37" t="s">
        <v>407</v>
      </c>
    </row>
    <row r="92" spans="2:38" ht="4" customHeight="1">
      <c r="B92" s="287"/>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750"/>
      <c r="AK92" s="36"/>
      <c r="AL92" s="36"/>
    </row>
    <row r="93" spans="2:38" ht="4" customHeight="1">
      <c r="D93" s="23"/>
      <c r="E93" s="23"/>
      <c r="F93" s="23"/>
      <c r="G93" s="23"/>
      <c r="H93" s="23"/>
      <c r="J93" s="23"/>
      <c r="K93" s="23"/>
      <c r="L93" s="23"/>
      <c r="M93" s="23"/>
      <c r="N93" s="23"/>
      <c r="P93" s="23"/>
      <c r="Q93" s="23"/>
      <c r="R93" s="23"/>
      <c r="S93" s="23"/>
      <c r="T93" s="23"/>
      <c r="U93" s="204"/>
      <c r="V93" s="23"/>
      <c r="W93" s="23"/>
      <c r="X93" s="23"/>
      <c r="Y93" s="23"/>
      <c r="Z93" s="23"/>
      <c r="AB93" s="23"/>
      <c r="AC93" s="23"/>
      <c r="AD93" s="23"/>
      <c r="AE93" s="23"/>
      <c r="AF93" s="23"/>
      <c r="AH93" s="23"/>
      <c r="AJ93" s="33"/>
      <c r="AK93" s="23"/>
      <c r="AL93" s="23"/>
    </row>
    <row r="94" spans="2:38" ht="14.25" customHeight="1">
      <c r="B94" s="28" t="s">
        <v>369</v>
      </c>
      <c r="D94" s="722">
        <f>CF!P17</f>
        <v>3.238</v>
      </c>
      <c r="E94" s="722">
        <f>CF!Q17</f>
        <v>3.3660000000000001</v>
      </c>
      <c r="F94" s="722">
        <f>CF!R17</f>
        <v>3.452</v>
      </c>
      <c r="G94" s="722">
        <f>CF!S17</f>
        <v>3.5249999999999999</v>
      </c>
      <c r="H94" s="96">
        <f>CF!T17</f>
        <v>13.581</v>
      </c>
      <c r="J94" s="722">
        <f>CF!V17</f>
        <v>3.391</v>
      </c>
      <c r="K94" s="722">
        <f>CF!W17</f>
        <v>3.3170000000000002</v>
      </c>
      <c r="L94" s="722">
        <f>CF!X17</f>
        <v>6.2190000000000003</v>
      </c>
      <c r="M94" s="722">
        <f>CF!Y17</f>
        <v>2.907</v>
      </c>
      <c r="N94" s="96">
        <f>CF!Z17</f>
        <v>12.734999999999999</v>
      </c>
      <c r="P94" s="722">
        <f>CF!AB17</f>
        <v>2.7250000000000001</v>
      </c>
      <c r="Q94" s="722">
        <f>CF!AC17</f>
        <v>2.4900000000000002</v>
      </c>
      <c r="R94" s="722">
        <f>CF!AD17</f>
        <v>4.58</v>
      </c>
      <c r="S94" s="722">
        <f>CF!AE17</f>
        <v>2.1259999999999999</v>
      </c>
      <c r="T94" s="96">
        <f>CF!AF17</f>
        <v>9.6210000000000004</v>
      </c>
      <c r="U94" s="204"/>
      <c r="V94" s="722">
        <f>CF!AH17</f>
        <v>1.76</v>
      </c>
      <c r="W94" s="722">
        <f>CF!AI17</f>
        <v>1.502</v>
      </c>
      <c r="X94" s="732">
        <f>X79*X95</f>
        <v>1.74474</v>
      </c>
      <c r="Y94" s="732">
        <f>Y79*Y95</f>
        <v>1.74474</v>
      </c>
      <c r="Z94" s="24">
        <f>SUM(V94:Y94)</f>
        <v>6.7514799999999999</v>
      </c>
      <c r="AB94" s="732">
        <f>AB79*AB95</f>
        <v>1.74474</v>
      </c>
      <c r="AC94" s="732">
        <f t="shared" ref="AC94:AE94" si="48">AC79*AC95</f>
        <v>1.74474</v>
      </c>
      <c r="AD94" s="732">
        <f t="shared" si="48"/>
        <v>1.74474</v>
      </c>
      <c r="AE94" s="732">
        <f t="shared" si="48"/>
        <v>1.74474</v>
      </c>
      <c r="AF94" s="24">
        <f>SUM(AB94:AE94)</f>
        <v>6.9789599999999998</v>
      </c>
      <c r="AG94" s="444"/>
      <c r="AH94" s="760">
        <f>AH79*AH95</f>
        <v>5.8158000000000003</v>
      </c>
      <c r="AI94" s="760"/>
      <c r="AJ94" s="760">
        <f t="shared" ref="AJ94" si="49">AJ79*AJ95</f>
        <v>5.8158000000000003</v>
      </c>
      <c r="AK94" s="760"/>
      <c r="AL94" s="760">
        <f t="shared" ref="AL94" si="50">AL79*AL95</f>
        <v>5.8158000000000003</v>
      </c>
    </row>
    <row r="95" spans="2:38" ht="14.25" customHeight="1">
      <c r="B95" s="31" t="s">
        <v>370</v>
      </c>
      <c r="D95" s="725">
        <f>D94/(D82+D79)</f>
        <v>0.106748425806877</v>
      </c>
      <c r="E95" s="725">
        <f>E94/(E82+E79)</f>
        <v>0.11328374785447447</v>
      </c>
      <c r="F95" s="725">
        <f>F94/(F82+F79)</f>
        <v>0.11844633543782597</v>
      </c>
      <c r="G95" s="725">
        <f>G94/(G82+G79)</f>
        <v>0.12759719105190762</v>
      </c>
      <c r="H95" s="729">
        <f>H94/(H82+H79)</f>
        <v>0.4916021139506262</v>
      </c>
      <c r="J95" s="725">
        <f>J94/(J82+J79)</f>
        <v>0.13047827927199968</v>
      </c>
      <c r="K95" s="725">
        <f>K94/(K82+K79)</f>
        <v>0.13293523565245272</v>
      </c>
      <c r="L95" s="725">
        <f>L94/(L82+L79)</f>
        <v>0.26257124762507922</v>
      </c>
      <c r="M95" s="725">
        <f>M94/(M82+M79)</f>
        <v>0.12936098255606976</v>
      </c>
      <c r="N95" s="729">
        <f>N94/(N82+N79)</f>
        <v>0.56670523317906718</v>
      </c>
      <c r="P95" s="725">
        <f>P94/(P82+P79)</f>
        <v>0.12697451190531664</v>
      </c>
      <c r="Q95" s="725">
        <f>Q94/(Q82+Q79)</f>
        <v>0.11769710720363019</v>
      </c>
      <c r="R95" s="725">
        <f>R94/(R82+R79)</f>
        <v>0.20471103562329593</v>
      </c>
      <c r="S95" s="725">
        <f>S94/(S82+S79)</f>
        <v>8.7637577806175024E-2</v>
      </c>
      <c r="T95" s="729">
        <f>T94/(T82+T79)</f>
        <v>0.39659507811533867</v>
      </c>
      <c r="U95" s="204"/>
      <c r="V95" s="725">
        <f>V94/(V82+V79)</f>
        <v>6.6826138132665067E-2</v>
      </c>
      <c r="W95" s="725">
        <f>W94/(W82+W79)</f>
        <v>5.1652395199284704E-2</v>
      </c>
      <c r="X95" s="725">
        <v>0.06</v>
      </c>
      <c r="Y95" s="725">
        <v>0.06</v>
      </c>
      <c r="Z95" s="749">
        <f>Z94/(Z79+Z82)</f>
        <v>0.17359117748785402</v>
      </c>
      <c r="AB95" s="725">
        <v>0.06</v>
      </c>
      <c r="AC95" s="725">
        <v>0.06</v>
      </c>
      <c r="AD95" s="725">
        <v>0.06</v>
      </c>
      <c r="AE95" s="725">
        <v>0.06</v>
      </c>
      <c r="AF95" s="749">
        <f>AF94/AF79</f>
        <v>0.24</v>
      </c>
      <c r="AG95" s="444"/>
      <c r="AH95" s="727">
        <v>0.2</v>
      </c>
      <c r="AI95" s="727">
        <v>0.1</v>
      </c>
      <c r="AJ95" s="727">
        <v>0.2</v>
      </c>
      <c r="AK95" s="727">
        <v>0.1</v>
      </c>
      <c r="AL95" s="727">
        <v>0.2</v>
      </c>
    </row>
    <row r="96" spans="2:38" ht="14.25" customHeight="1">
      <c r="D96" s="732"/>
      <c r="E96" s="732"/>
      <c r="F96" s="732"/>
      <c r="G96" s="732"/>
      <c r="H96" s="23"/>
      <c r="J96" s="732"/>
      <c r="K96" s="732"/>
      <c r="L96" s="732"/>
      <c r="M96" s="732"/>
      <c r="N96" s="23"/>
      <c r="P96" s="732"/>
      <c r="Q96" s="732"/>
      <c r="R96" s="732"/>
      <c r="S96" s="732"/>
      <c r="T96" s="23"/>
      <c r="U96" s="204"/>
      <c r="V96" s="732"/>
      <c r="W96" s="732"/>
      <c r="X96" s="732"/>
      <c r="Y96" s="732"/>
      <c r="Z96" s="23"/>
      <c r="AB96" s="732"/>
      <c r="AC96" s="732"/>
      <c r="AD96" s="732"/>
      <c r="AE96" s="732"/>
      <c r="AF96" s="23"/>
      <c r="AH96" s="23"/>
      <c r="AJ96" s="33"/>
      <c r="AK96" s="23"/>
      <c r="AL96" s="23"/>
    </row>
    <row r="97" spans="2:38" ht="14.25" customHeight="1">
      <c r="B97" s="28" t="s">
        <v>422</v>
      </c>
      <c r="D97" s="722">
        <f>CF!P18</f>
        <v>0</v>
      </c>
      <c r="E97" s="722">
        <f>CF!Q18</f>
        <v>0</v>
      </c>
      <c r="F97" s="722">
        <f>CF!R18</f>
        <v>0</v>
      </c>
      <c r="G97" s="722">
        <f>CF!S18</f>
        <v>0</v>
      </c>
      <c r="H97" s="96">
        <f>CF!T18</f>
        <v>3.3540000000000001</v>
      </c>
      <c r="J97" s="722">
        <f>CF!V18</f>
        <v>1.139</v>
      </c>
      <c r="K97" s="722">
        <f>CF!W18</f>
        <v>0.84499999999999997</v>
      </c>
      <c r="L97" s="722">
        <f>CF!X18</f>
        <v>1.0860000000000001</v>
      </c>
      <c r="M97" s="722">
        <f>CF!Y18</f>
        <v>0.997</v>
      </c>
      <c r="N97" s="96">
        <f>CF!Z18</f>
        <v>4.0670000000000002</v>
      </c>
      <c r="P97" s="722">
        <f>CF!AB18</f>
        <v>1.004</v>
      </c>
      <c r="Q97" s="722">
        <f>CF!AC18</f>
        <v>2.0920000000000001</v>
      </c>
      <c r="R97" s="722">
        <f>CF!AD18</f>
        <v>1.0860000000000001</v>
      </c>
      <c r="S97" s="722">
        <f>CF!AE18</f>
        <v>1.0880000000000001</v>
      </c>
      <c r="T97" s="96">
        <f>CF!AF18</f>
        <v>5.27</v>
      </c>
      <c r="U97" s="204"/>
      <c r="V97" s="722">
        <f>CF!AH18</f>
        <v>1.2609999999999999</v>
      </c>
      <c r="W97" s="722">
        <f>CF!AI18</f>
        <v>5.0910000000000002</v>
      </c>
      <c r="X97" s="732">
        <f>X98*X43</f>
        <v>1.1745426643964731</v>
      </c>
      <c r="Y97" s="732">
        <f>Y98*Y43</f>
        <v>1.232956645367254</v>
      </c>
      <c r="Z97" s="24">
        <f>SUM(V97:Y97)</f>
        <v>8.7594993097637275</v>
      </c>
      <c r="AB97" s="732">
        <f t="shared" ref="AB97:AE97" si="51">AB98*AB43</f>
        <v>1.1551309636362967</v>
      </c>
      <c r="AC97" s="732">
        <f t="shared" si="51"/>
        <v>1.2445270290522077</v>
      </c>
      <c r="AD97" s="732">
        <f t="shared" si="51"/>
        <v>1.3355122265887849</v>
      </c>
      <c r="AE97" s="732">
        <f t="shared" si="51"/>
        <v>1.3970968284438323</v>
      </c>
      <c r="AF97" s="24">
        <f>SUM(AB97:AE97)</f>
        <v>5.132267047721121</v>
      </c>
      <c r="AH97" s="48">
        <f t="shared" ref="AH97:AL97" si="52">AH98*AH43</f>
        <v>6.7551029629568005</v>
      </c>
      <c r="AJ97" s="48">
        <f t="shared" si="52"/>
        <v>11.196829043112373</v>
      </c>
      <c r="AK97" s="23"/>
      <c r="AL97" s="48">
        <f t="shared" si="52"/>
        <v>13.803179624687457</v>
      </c>
    </row>
    <row r="98" spans="2:38" ht="14.25" customHeight="1">
      <c r="B98" s="31" t="s">
        <v>420</v>
      </c>
      <c r="D98" s="725">
        <f>D97/D43</f>
        <v>0</v>
      </c>
      <c r="E98" s="725">
        <f>E97/E43</f>
        <v>0</v>
      </c>
      <c r="F98" s="725">
        <f>F97/F43</f>
        <v>0</v>
      </c>
      <c r="G98" s="725">
        <f>G97/G43</f>
        <v>0</v>
      </c>
      <c r="H98" s="729">
        <f>H97/H43</f>
        <v>4.7805698484870075E-2</v>
      </c>
      <c r="J98" s="725">
        <f>J97/J43</f>
        <v>8.351052129921549E-2</v>
      </c>
      <c r="K98" s="725">
        <f>K97/K43</f>
        <v>5.0486945091712976E-2</v>
      </c>
      <c r="L98" s="725">
        <f>L97/L43</f>
        <v>6.0925666199158492E-2</v>
      </c>
      <c r="M98" s="725">
        <f>M97/M43</f>
        <v>3.9935910274384138E-2</v>
      </c>
      <c r="N98" s="729">
        <f>N97/N43</f>
        <v>6.334397632583133E-2</v>
      </c>
      <c r="P98" s="725">
        <f>P97/P43</f>
        <v>7.5534155883238044E-2</v>
      </c>
      <c r="Q98" s="725">
        <f>Q97/Q43</f>
        <v>0.12551748965020698</v>
      </c>
      <c r="R98" s="725">
        <f>R97/R43</f>
        <v>6.32904015385512E-2</v>
      </c>
      <c r="S98" s="725">
        <f>S97/S43</f>
        <v>4.3535672842223205E-2</v>
      </c>
      <c r="T98" s="729">
        <f>T97/T43</f>
        <v>8.2009305799785256E-2</v>
      </c>
      <c r="U98" s="204"/>
      <c r="V98" s="725">
        <f>V97/V43</f>
        <v>8.9104013566986995E-2</v>
      </c>
      <c r="W98" s="751">
        <f>W97/W43</f>
        <v>0.32195029406184783</v>
      </c>
      <c r="X98" s="733">
        <v>0.06</v>
      </c>
      <c r="Y98" s="733">
        <v>0.06</v>
      </c>
      <c r="Z98" s="749">
        <f>Z97/Z43</f>
        <v>0.1249750427659988</v>
      </c>
      <c r="AB98" s="733">
        <v>0.06</v>
      </c>
      <c r="AC98" s="733">
        <v>0.06</v>
      </c>
      <c r="AD98" s="733">
        <v>0.06</v>
      </c>
      <c r="AE98" s="733">
        <v>0.06</v>
      </c>
      <c r="AF98" s="752">
        <f>AF97/AF43</f>
        <v>5.9999999999999984E-2</v>
      </c>
      <c r="AH98" s="733">
        <v>0.06</v>
      </c>
      <c r="AJ98" s="733">
        <v>0.08</v>
      </c>
      <c r="AK98" s="23"/>
      <c r="AL98" s="733">
        <v>0.08</v>
      </c>
    </row>
    <row r="99" spans="2:38" ht="14.25" customHeight="1">
      <c r="B99" s="31" t="s">
        <v>423</v>
      </c>
      <c r="D99" s="725"/>
      <c r="E99" s="725"/>
      <c r="F99" s="725"/>
      <c r="G99" s="725"/>
      <c r="H99" s="729"/>
      <c r="J99" s="725"/>
      <c r="K99" s="725"/>
      <c r="L99" s="725"/>
      <c r="M99" s="725"/>
      <c r="N99" s="729"/>
      <c r="P99" s="725"/>
      <c r="Q99" s="725"/>
      <c r="R99" s="725"/>
      <c r="S99" s="725"/>
      <c r="T99" s="729"/>
      <c r="U99" s="204"/>
      <c r="V99" s="725"/>
      <c r="W99" s="725"/>
      <c r="X99" s="753">
        <f>1.07</f>
        <v>1.07</v>
      </c>
      <c r="Y99" s="753">
        <f>1.07</f>
        <v>1.07</v>
      </c>
      <c r="Z99" s="754">
        <f>AVERAGE(V99:Y99)</f>
        <v>1.07</v>
      </c>
      <c r="AB99" s="753">
        <v>1.07</v>
      </c>
      <c r="AC99" s="753">
        <v>1.07</v>
      </c>
      <c r="AD99" s="753">
        <v>1.07</v>
      </c>
      <c r="AE99" s="753">
        <v>1.07</v>
      </c>
      <c r="AF99" s="754">
        <f>AVERAGE(AB99:AE99)</f>
        <v>1.07</v>
      </c>
      <c r="AH99" s="753">
        <v>1.07</v>
      </c>
      <c r="AJ99" s="753">
        <v>1.07</v>
      </c>
      <c r="AK99" s="23"/>
      <c r="AL99" s="753">
        <v>1.07</v>
      </c>
    </row>
    <row r="100" spans="2:38" ht="14.25" customHeight="1">
      <c r="B100" s="31" t="s">
        <v>424</v>
      </c>
      <c r="D100" s="732"/>
      <c r="E100" s="732"/>
      <c r="F100" s="732"/>
      <c r="G100" s="732"/>
      <c r="H100" s="23"/>
      <c r="J100" s="732"/>
      <c r="K100" s="732"/>
      <c r="L100" s="732"/>
      <c r="M100" s="732"/>
      <c r="N100" s="23"/>
      <c r="P100" s="732"/>
      <c r="Q100" s="732"/>
      <c r="R100" s="732"/>
      <c r="S100" s="732"/>
      <c r="T100" s="23"/>
      <c r="U100" s="204"/>
      <c r="V100" s="732"/>
      <c r="W100" s="732"/>
      <c r="X100" s="755">
        <f>X99*(X31+W31+V31+S31)/W64</f>
        <v>22.860887716794569</v>
      </c>
      <c r="Y100" s="755">
        <f>Y99*(Y31+X31+W31+V31)/X64</f>
        <v>23.635975880904297</v>
      </c>
      <c r="Z100" s="756">
        <f>AVERAGE(V100:Y100)</f>
        <v>23.248431798849431</v>
      </c>
      <c r="AB100" s="755">
        <f>AB99*(AB31+Y31+X31+W31)/Y64</f>
        <v>24.47984583990835</v>
      </c>
      <c r="AC100" s="755">
        <f>AC99*(AC31+AB31+Y31+X31)/AB64</f>
        <v>25.490461672645381</v>
      </c>
      <c r="AD100" s="755">
        <f>AD99*(AD31+AC31+AB31+Y31)/AC64</f>
        <v>26.512245465844774</v>
      </c>
      <c r="AE100" s="755">
        <f>AE99*(AE31+AD31+AC31+AB31)/AD64</f>
        <v>27.680873150056893</v>
      </c>
      <c r="AF100" s="756">
        <f>AVERAGE(AB100:AE100)</f>
        <v>26.04085653211385</v>
      </c>
      <c r="AH100" s="754">
        <f>AH99*AH31/AE64</f>
        <v>40.168746938072708</v>
      </c>
      <c r="AJ100" s="754">
        <f>AJ99*AJ31/AH64</f>
        <v>51.319182134341354</v>
      </c>
      <c r="AK100" s="23"/>
      <c r="AL100" s="754">
        <f>AL99*AL31/AJ64</f>
        <v>65.51454074118972</v>
      </c>
    </row>
    <row r="101" spans="2:38" ht="14.25" customHeight="1">
      <c r="B101" s="31" t="s">
        <v>425</v>
      </c>
      <c r="D101" s="732"/>
      <c r="E101" s="732"/>
      <c r="F101" s="732"/>
      <c r="G101" s="732"/>
      <c r="H101" s="23"/>
      <c r="J101" s="732"/>
      <c r="K101" s="732"/>
      <c r="L101" s="732"/>
      <c r="M101" s="732"/>
      <c r="N101" s="23"/>
      <c r="P101" s="732"/>
      <c r="Q101" s="732"/>
      <c r="R101" s="732"/>
      <c r="S101" s="732"/>
      <c r="T101" s="23"/>
      <c r="U101" s="204"/>
      <c r="V101" s="732"/>
      <c r="W101" s="732"/>
      <c r="X101" s="755">
        <f>X97/X100</f>
        <v>5.1377823947475351E-2</v>
      </c>
      <c r="Y101" s="755">
        <f>Y97/Y100</f>
        <v>5.2164406140021914E-2</v>
      </c>
      <c r="Z101" s="754">
        <f>AVERAGE(V101:Y101)</f>
        <v>5.1771115043748636E-2</v>
      </c>
      <c r="AB101" s="755">
        <f>AB97/AB100</f>
        <v>4.7187019525798672E-2</v>
      </c>
      <c r="AC101" s="755">
        <f>AC97/AC100</f>
        <v>4.882324396610474E-2</v>
      </c>
      <c r="AD101" s="755">
        <f>AD97/AD100</f>
        <v>5.0373410592825872E-2</v>
      </c>
      <c r="AE101" s="755">
        <f>AE97/AE100</f>
        <v>5.0471559219618073E-2</v>
      </c>
      <c r="AF101" s="754">
        <f>AVERAGE(AB101:AE101)</f>
        <v>4.9213808326086843E-2</v>
      </c>
      <c r="AH101" s="754">
        <f>AH97/AH100</f>
        <v>0.16816812765832595</v>
      </c>
      <c r="AJ101" s="754">
        <f>AJ97/AJ100</f>
        <v>0.21818019261884866</v>
      </c>
      <c r="AK101" s="23"/>
      <c r="AL101" s="754">
        <f>AL97/AL100</f>
        <v>0.21068879470919111</v>
      </c>
    </row>
    <row r="102" spans="2:38" ht="14.25" customHeight="1">
      <c r="D102" s="732"/>
      <c r="E102" s="732"/>
      <c r="F102" s="732"/>
      <c r="G102" s="732"/>
      <c r="H102" s="23"/>
      <c r="J102" s="732"/>
      <c r="K102" s="732"/>
      <c r="L102" s="732"/>
      <c r="M102" s="732"/>
      <c r="N102" s="23"/>
      <c r="P102" s="732"/>
      <c r="Q102" s="732"/>
      <c r="R102" s="732"/>
      <c r="S102" s="732"/>
      <c r="T102" s="23"/>
      <c r="U102" s="204"/>
      <c r="V102" s="732"/>
      <c r="W102" s="732"/>
      <c r="X102" s="732"/>
      <c r="Y102" s="732"/>
      <c r="Z102" s="23"/>
      <c r="AB102" s="732"/>
      <c r="AC102" s="732"/>
      <c r="AD102" s="732"/>
      <c r="AE102" s="732"/>
      <c r="AF102" s="23"/>
      <c r="AH102" s="23"/>
      <c r="AJ102" s="33"/>
      <c r="AK102" s="23"/>
      <c r="AL102" s="23"/>
    </row>
    <row r="103" spans="2:38" ht="14.25" customHeight="1">
      <c r="B103" s="28" t="s">
        <v>426</v>
      </c>
      <c r="D103" s="722">
        <f>SUM(CF!P21:P24)</f>
        <v>-7.5169999999999995</v>
      </c>
      <c r="E103" s="722">
        <f>SUM(CF!Q21:Q24)</f>
        <v>3.2199999999999998</v>
      </c>
      <c r="F103" s="722">
        <f>SUM(CF!R21:R24)</f>
        <v>-5.4610000000000003</v>
      </c>
      <c r="G103" s="722">
        <f>SUM(CF!S21:S24)</f>
        <v>0.42</v>
      </c>
      <c r="H103" s="96">
        <f>SUM(CF!T21:T24)</f>
        <v>-9.338000000000001</v>
      </c>
      <c r="J103" s="722">
        <f>SUM(CF!V21:V24)</f>
        <v>-5.8319999999999999</v>
      </c>
      <c r="K103" s="722">
        <f>SUM(CF!W21:W24)</f>
        <v>4.7069999999999999</v>
      </c>
      <c r="L103" s="722">
        <f>SUM(CF!X21:X24)</f>
        <v>-2.4489999999999998</v>
      </c>
      <c r="M103" s="722">
        <f>SUM(CF!Y21:Y24)</f>
        <v>1.621</v>
      </c>
      <c r="N103" s="96">
        <f>SUM(CF!Z21:Z24)</f>
        <v>-1.9529999999999998</v>
      </c>
      <c r="P103" s="722">
        <f>SUM(CF!AB21:AB24)</f>
        <v>0.60000000000000009</v>
      </c>
      <c r="Q103" s="722">
        <f>SUM(CF!AC21:AC24)</f>
        <v>2.6769999999999996</v>
      </c>
      <c r="R103" s="722">
        <f>SUM(CF!AD21:AD24)</f>
        <v>-5.0619999999999994</v>
      </c>
      <c r="S103" s="722">
        <f>SUM(CF!AE21:AE24)</f>
        <v>8.2099999999999991</v>
      </c>
      <c r="T103" s="96">
        <f>SUM(CF!AF21:AF24)</f>
        <v>6.4249999999999989</v>
      </c>
      <c r="U103" s="204"/>
      <c r="V103" s="722">
        <f>SUM(CF!AH21:AH24)</f>
        <v>-12.991999999999999</v>
      </c>
      <c r="W103" s="722">
        <f>SUM(CF!AI21:AI24)</f>
        <v>0.58000000000000007</v>
      </c>
      <c r="X103" s="732">
        <f>-((X70+X73+X76-X85-X88)-(W70+W73+W76-W85-W88))</f>
        <v>4.4550843257688548</v>
      </c>
      <c r="Y103" s="732">
        <f>-((Y70+Y73+Y76-Y85-Y88)-(X70+X73+X76-X85-X88))</f>
        <v>-2.2696478985295698E-4</v>
      </c>
      <c r="Z103" s="71">
        <f>SUM(V103:Y103)</f>
        <v>-7.9571426390209972</v>
      </c>
      <c r="AB103" s="732">
        <f>-((AB70+AB73+AB76-AB85-AB88)-(Y70+Y73+Y76-Y85-Y88))</f>
        <v>-0.88037378834967228</v>
      </c>
      <c r="AC103" s="732">
        <f>-((AC70+AC73+AC76-AC85-AC88)-(AB70+AB73+AB76-AB85-AB88))</f>
        <v>-0.42007543314559115</v>
      </c>
      <c r="AD103" s="732">
        <f>-((AD70+AD73+AD76-AD85-AD88)-(AC70+AC73+AC76-AC85-AC88))</f>
        <v>0.54643998165600749</v>
      </c>
      <c r="AE103" s="732">
        <f>-((AE70+AE73+AE76-AE85-AE88)-(AD70+AD73+AD76-AD85-AD88))</f>
        <v>-0.23974884284119469</v>
      </c>
      <c r="AF103" s="71">
        <f>SUM(AB103:AE103)</f>
        <v>-0.99375808268045063</v>
      </c>
      <c r="AH103" s="24">
        <f>-((AH70+AH73+AH76-AH85-AH88)-(AF70+AF73+AF76-AF85-AF88))</f>
        <v>-0.41319925319420747</v>
      </c>
      <c r="AJ103" s="24">
        <f>-((AJ70+AJ73+AJ76-AJ85-AJ88)-(AH70+AH73+AH76-AH85-AH88))</f>
        <v>0.6401370117643026</v>
      </c>
      <c r="AK103" s="23"/>
      <c r="AL103" s="24">
        <f>-((AL70+AL73+AL76-AL85-AL88)-(AJ70+AJ73+AJ76-AJ85-AJ88))</f>
        <v>0.18222608044490585</v>
      </c>
    </row>
    <row r="104" spans="2:38" ht="14.25" customHeight="1">
      <c r="B104" s="31" t="s">
        <v>427</v>
      </c>
      <c r="D104" s="725">
        <f>D103/(D31-IS!M18)</f>
        <v>-1.7169940612151666</v>
      </c>
      <c r="E104" s="725">
        <f>E103/(E31-D31)</f>
        <v>0.42722568661271026</v>
      </c>
      <c r="F104" s="725">
        <f>F103/(F31-E31)</f>
        <v>-0.34712687515891183</v>
      </c>
      <c r="G104" s="725">
        <f>G103/(G31-F31)</f>
        <v>-0.11748251748251738</v>
      </c>
      <c r="H104" s="729">
        <f>H103/IS!N18</f>
        <v>-2.6754223861054527E-2</v>
      </c>
      <c r="J104" s="725">
        <f>J103/(J31-IS!S18)</f>
        <v>-16.953488372093314</v>
      </c>
      <c r="K104" s="725">
        <f>K103/(K31-J31)</f>
        <v>2.2286931818181723</v>
      </c>
      <c r="L104" s="725">
        <f>L103/(L31-K31)</f>
        <v>-0.22932858881917806</v>
      </c>
      <c r="M104" s="725">
        <f>M103/(M31-L31)</f>
        <v>-6.7261410788385803</v>
      </c>
      <c r="N104" s="729">
        <f>N103/IS!T18</f>
        <v>-4.3126006107861384E-3</v>
      </c>
      <c r="P104" s="725">
        <f>P103/(P31-IS!Y18)</f>
        <v>-0.10750761512273782</v>
      </c>
      <c r="Q104" s="725">
        <f>Q103/(Q31-P31)</f>
        <v>-2.5765158806544712</v>
      </c>
      <c r="R104" s="725">
        <f>R103/(R31-Q31)</f>
        <v>-0.49198172805909279</v>
      </c>
      <c r="S104" s="725">
        <f>S103/(S31-R31)</f>
        <v>-9.4367816091956609</v>
      </c>
      <c r="T104" s="729">
        <f>T103/IS!Z18</f>
        <v>1.2624054669524843E-2</v>
      </c>
      <c r="U104" s="204"/>
      <c r="V104" s="725">
        <f>V103/(V31-IS!AE18)</f>
        <v>-2.8585258525852661</v>
      </c>
      <c r="W104" s="725">
        <f>W103/(W31-V31)</f>
        <v>0.26666666666666533</v>
      </c>
      <c r="X104" s="725">
        <f>X103/(X31-W31)</f>
        <v>0.58156890037350462</v>
      </c>
      <c r="Y104" s="725">
        <f>Y103/(Y31-X31)</f>
        <v>-3.7636333540644848E-5</v>
      </c>
      <c r="Z104" s="729">
        <f>Z103/(Z31-T31)</f>
        <v>-4.0270953845465897E-2</v>
      </c>
      <c r="AB104" s="725">
        <f>AB103/(AB31-IS!AK18)</f>
        <v>-0.13854118069008176</v>
      </c>
      <c r="AC104" s="725">
        <f>AC103/(AC31-AB31)</f>
        <v>-6.6574593496966206E-2</v>
      </c>
      <c r="AD104" s="725">
        <f>AD103/(AD31-AC31)</f>
        <v>6.7712988493782822E-2</v>
      </c>
      <c r="AE104" s="725">
        <f>AE103/(AE31-AD31)</f>
        <v>-2.4340401619883736E-2</v>
      </c>
      <c r="AF104" s="729">
        <f>AF103/(AF31-Z31)</f>
        <v>-7.8269984218130046E-3</v>
      </c>
      <c r="AH104" s="729">
        <f>AH103/(AH31-AF31)</f>
        <v>-2.586814259461198E-3</v>
      </c>
      <c r="AJ104" s="729">
        <f>AJ103/(AJ31-AH31)</f>
        <v>2.2188368895400758E-3</v>
      </c>
      <c r="AK104" s="23"/>
      <c r="AL104" s="729">
        <f>AL103/(AL31-AJ31)</f>
        <v>5.0943563158974223E-4</v>
      </c>
    </row>
    <row r="105" spans="2:38" ht="14.25" customHeight="1">
      <c r="D105" s="732"/>
      <c r="E105" s="732"/>
      <c r="F105" s="732"/>
      <c r="G105" s="732"/>
      <c r="H105" s="23"/>
      <c r="J105" s="732"/>
      <c r="K105" s="732"/>
      <c r="L105" s="732"/>
      <c r="M105" s="732"/>
      <c r="N105" s="23"/>
      <c r="P105" s="732"/>
      <c r="Q105" s="732"/>
      <c r="R105" s="732"/>
      <c r="S105" s="732"/>
      <c r="T105" s="23"/>
      <c r="U105" s="204"/>
      <c r="V105" s="732"/>
      <c r="W105" s="732"/>
      <c r="X105" s="732"/>
      <c r="Y105" s="732"/>
      <c r="Z105" s="23"/>
      <c r="AB105" s="732"/>
      <c r="AC105" s="732"/>
      <c r="AD105" s="732"/>
      <c r="AE105" s="732"/>
      <c r="AF105" s="23"/>
      <c r="AH105" s="23"/>
      <c r="AJ105" s="33"/>
      <c r="AK105" s="23"/>
      <c r="AL105" s="23"/>
    </row>
    <row r="106" spans="2:38" ht="14.25" customHeight="1">
      <c r="B106" s="28" t="s">
        <v>428</v>
      </c>
      <c r="D106" s="722">
        <f>CF!P28</f>
        <v>-3.8140000000000001</v>
      </c>
      <c r="E106" s="722">
        <f>CF!Q28</f>
        <v>-3.0990000000000002</v>
      </c>
      <c r="F106" s="722">
        <f>CF!R28</f>
        <v>-3.2370000000000001</v>
      </c>
      <c r="G106" s="722">
        <f>CF!S28</f>
        <v>-3.1</v>
      </c>
      <c r="H106" s="96">
        <f>CF!T28</f>
        <v>-13.25</v>
      </c>
      <c r="J106" s="722">
        <f>CF!V28</f>
        <v>-2.1150000000000002</v>
      </c>
      <c r="K106" s="722">
        <f>CF!W28</f>
        <v>-2.5179999999999998</v>
      </c>
      <c r="L106" s="722">
        <f>CF!X28</f>
        <v>-2.254</v>
      </c>
      <c r="M106" s="722">
        <f>CF!Y28</f>
        <v>-2.1040000000000001</v>
      </c>
      <c r="N106" s="96">
        <f>CF!Z28</f>
        <v>-8.9909999999999997</v>
      </c>
      <c r="P106" s="722">
        <f>CF!AB28</f>
        <v>-2.129</v>
      </c>
      <c r="Q106" s="722">
        <f>CF!AC28</f>
        <v>-2.5920000000000001</v>
      </c>
      <c r="R106" s="722">
        <f>CF!AD28</f>
        <v>-3.8860000000000001</v>
      </c>
      <c r="S106" s="722">
        <f>CF!AE28</f>
        <v>-4.4029999999999996</v>
      </c>
      <c r="T106" s="96">
        <f>CF!AF28</f>
        <v>-13.01</v>
      </c>
      <c r="U106" s="204"/>
      <c r="V106" s="722">
        <f>CF!AH28</f>
        <v>-4.3899999999999997</v>
      </c>
      <c r="W106" s="722">
        <f>CF!AI28</f>
        <v>-4.6399999999999997</v>
      </c>
      <c r="X106" s="732">
        <f>-X$31*(X107+Sensitivity!$U$38)</f>
        <v>-4.8189584082920067</v>
      </c>
      <c r="Y106" s="732">
        <f>-Y$31*(Y107+Sensitivity!$U$38)</f>
        <v>-4.9950319942438242</v>
      </c>
      <c r="Z106" s="71">
        <f>SUM(V106:Y106)</f>
        <v>-18.84399040253583</v>
      </c>
      <c r="AA106" s="71"/>
      <c r="AB106" s="732">
        <f>-AB$31*(AB107+Sensitivity!$U$38)</f>
        <v>-5.3621214435197135</v>
      </c>
      <c r="AC106" s="732">
        <f>-AC$31*(AC107+Sensitivity!$U$38)</f>
        <v>-5.570346361850401</v>
      </c>
      <c r="AD106" s="732">
        <f>-AD$31*(AD107+Sensitivity!$U$38)</f>
        <v>-5.8366544926206725</v>
      </c>
      <c r="AE106" s="732">
        <f>-AE$31*(AE107+Sensitivity!$U$38)</f>
        <v>-6.1616989161808959</v>
      </c>
      <c r="AF106" s="71">
        <f>SUM(AB106:AE106)</f>
        <v>-22.930821214171683</v>
      </c>
      <c r="AG106" s="71"/>
      <c r="AH106" s="71">
        <f>-AH$31*(AH107+Sensitivity!$U$38)</f>
        <v>-34.348547547062381</v>
      </c>
      <c r="AI106" s="71"/>
      <c r="AJ106" s="71">
        <f>-AJ$31*(AJ107+Sensitivity!$U$38)</f>
        <v>-45.456339471070883</v>
      </c>
      <c r="AK106" s="71"/>
      <c r="AL106" s="71">
        <f>-AL$31*(AL107+Sensitivity!$U$38)</f>
        <v>-57.975905084628032</v>
      </c>
    </row>
    <row r="107" spans="2:38" ht="14.25" customHeight="1">
      <c r="B107" s="31" t="s">
        <v>361</v>
      </c>
      <c r="D107" s="725">
        <f>-D106/D31</f>
        <v>3.8012278743422105E-2</v>
      </c>
      <c r="E107" s="725">
        <f>-E106/E31</f>
        <v>2.8728226711039834E-2</v>
      </c>
      <c r="F107" s="725">
        <f>-F106/F31</f>
        <v>2.6188260992678288E-2</v>
      </c>
      <c r="G107" s="725">
        <f>-G106/G31</f>
        <v>2.5826876614179789E-2</v>
      </c>
      <c r="H107" s="729">
        <f>-H106/H31</f>
        <v>2.9258555091098998E-2</v>
      </c>
      <c r="J107" s="725">
        <f>-J106/J31</f>
        <v>1.7570239420472863E-2</v>
      </c>
      <c r="K107" s="725">
        <f>-K106/K31</f>
        <v>2.0557451463840762E-2</v>
      </c>
      <c r="L107" s="725">
        <f>-L106/L31</f>
        <v>1.6926369541546204E-2</v>
      </c>
      <c r="M107" s="725">
        <f>-M106/M31</f>
        <v>1.5828593782913545E-2</v>
      </c>
      <c r="N107" s="729">
        <f>-N106/N31</f>
        <v>1.7665817203688382E-2</v>
      </c>
      <c r="P107" s="725">
        <f>-P106/P31</f>
        <v>1.6718626072889754E-2</v>
      </c>
      <c r="Q107" s="725">
        <f>-Q106/Q31</f>
        <v>2.0521915378768685E-2</v>
      </c>
      <c r="R107" s="725">
        <f>-R106/R31</f>
        <v>2.844948130577702E-2</v>
      </c>
      <c r="S107" s="725">
        <f>-S106/S31</f>
        <v>3.2441074836247349E-2</v>
      </c>
      <c r="T107" s="729">
        <f>-T106/T31</f>
        <v>2.4735580259447908E-2</v>
      </c>
      <c r="U107" s="204"/>
      <c r="V107" s="725">
        <f>-V106/V31</f>
        <v>3.1297231014914308E-2</v>
      </c>
      <c r="W107" s="725">
        <f>-W106/W31</f>
        <v>3.2574433282084758E-2</v>
      </c>
      <c r="X107" s="733">
        <f>AVERAGE(V107:W107,S107)</f>
        <v>3.21042463777488E-2</v>
      </c>
      <c r="Y107" s="733">
        <f>AVERAGE(V107:X107)</f>
        <v>3.1991970224915955E-2</v>
      </c>
      <c r="Z107" s="726">
        <f>-Z106/Z$31</f>
        <v>2.6043686162444037E-2</v>
      </c>
      <c r="AB107" s="733">
        <v>3.3000000000000002E-2</v>
      </c>
      <c r="AC107" s="733">
        <v>3.3000000000000002E-2</v>
      </c>
      <c r="AD107" s="733">
        <v>3.3000000000000002E-2</v>
      </c>
      <c r="AE107" s="733">
        <v>3.3000000000000002E-2</v>
      </c>
      <c r="AF107" s="726">
        <f>-AF106/AF$31</f>
        <v>2.6960989461982474E-2</v>
      </c>
      <c r="AH107" s="733">
        <v>3.4000000000000002E-2</v>
      </c>
      <c r="AJ107" s="757">
        <v>3.5000000000000003E-2</v>
      </c>
      <c r="AK107" s="23"/>
      <c r="AL107" s="733">
        <v>3.5000000000000003E-2</v>
      </c>
    </row>
    <row r="108" spans="2:38" ht="14.25" customHeight="1">
      <c r="D108" s="732"/>
      <c r="E108" s="732"/>
      <c r="F108" s="732"/>
      <c r="G108" s="732"/>
      <c r="H108" s="23"/>
      <c r="J108" s="732"/>
      <c r="K108" s="732"/>
      <c r="L108" s="732"/>
      <c r="M108" s="732"/>
      <c r="N108" s="23"/>
      <c r="P108" s="732"/>
      <c r="Q108" s="732"/>
      <c r="R108" s="732"/>
      <c r="S108" s="732"/>
      <c r="T108" s="23"/>
      <c r="U108" s="204"/>
      <c r="V108" s="732"/>
      <c r="W108" s="732"/>
      <c r="X108" s="732"/>
      <c r="Y108" s="732"/>
      <c r="Z108" s="23"/>
      <c r="AB108" s="732"/>
      <c r="AC108" s="732"/>
      <c r="AD108" s="732"/>
      <c r="AE108" s="732"/>
      <c r="AF108" s="23"/>
      <c r="AH108" s="23"/>
      <c r="AJ108" s="33"/>
      <c r="AK108" s="23"/>
      <c r="AL108" s="23"/>
    </row>
    <row r="109" spans="2:38" ht="14.25" customHeight="1">
      <c r="B109" s="28" t="s">
        <v>429</v>
      </c>
      <c r="D109" s="722">
        <f>CF!P29</f>
        <v>0</v>
      </c>
      <c r="E109" s="722">
        <f>CF!Q29</f>
        <v>0</v>
      </c>
      <c r="F109" s="722">
        <f>CF!R29</f>
        <v>0</v>
      </c>
      <c r="G109" s="722">
        <f>CF!S29</f>
        <v>0</v>
      </c>
      <c r="H109" s="96">
        <f>CF!T29</f>
        <v>0</v>
      </c>
      <c r="J109" s="722">
        <f>CF!V29</f>
        <v>0</v>
      </c>
      <c r="K109" s="722">
        <f>CF!W29</f>
        <v>0</v>
      </c>
      <c r="L109" s="722">
        <f>CF!X29</f>
        <v>0</v>
      </c>
      <c r="M109" s="722">
        <f>CF!Y29</f>
        <v>0</v>
      </c>
      <c r="N109" s="96">
        <f>CF!Z29</f>
        <v>0</v>
      </c>
      <c r="P109" s="722">
        <f>CF!AB29</f>
        <v>0</v>
      </c>
      <c r="Q109" s="722">
        <f>CF!AC29</f>
        <v>0</v>
      </c>
      <c r="R109" s="722">
        <f>CF!AD29</f>
        <v>0</v>
      </c>
      <c r="S109" s="722">
        <f>CF!AE29</f>
        <v>0</v>
      </c>
      <c r="T109" s="96">
        <f>CF!AF29</f>
        <v>0</v>
      </c>
      <c r="U109" s="204"/>
      <c r="V109" s="722">
        <f>CF!AH29</f>
        <v>0</v>
      </c>
      <c r="W109" s="722">
        <f>CF!AI29</f>
        <v>0</v>
      </c>
      <c r="X109" s="732">
        <f>X110*X$106</f>
        <v>0</v>
      </c>
      <c r="Y109" s="732">
        <f>Y110*Y$106</f>
        <v>0</v>
      </c>
      <c r="Z109" s="71">
        <f>SUM(V109:Y109)</f>
        <v>0</v>
      </c>
      <c r="AB109" s="732">
        <f>AB110*AB$106</f>
        <v>0</v>
      </c>
      <c r="AC109" s="732">
        <f>AC110*AC$106</f>
        <v>0</v>
      </c>
      <c r="AD109" s="732">
        <f>AD110*AD$106</f>
        <v>0</v>
      </c>
      <c r="AE109" s="732">
        <f>AE110*AE$106</f>
        <v>0</v>
      </c>
      <c r="AF109" s="71">
        <f>SUM(AB109:AE109)</f>
        <v>0</v>
      </c>
      <c r="AH109" s="71">
        <f>AH110*AH$106</f>
        <v>0</v>
      </c>
      <c r="AJ109" s="71">
        <f>AJ110*AJ$106</f>
        <v>0</v>
      </c>
      <c r="AK109" s="23"/>
      <c r="AL109" s="71">
        <f>AL110*AL$106</f>
        <v>0</v>
      </c>
    </row>
    <row r="110" spans="2:38" ht="14.25" customHeight="1">
      <c r="B110" s="31" t="s">
        <v>430</v>
      </c>
      <c r="D110" s="725">
        <f>-D109/D106</f>
        <v>0</v>
      </c>
      <c r="E110" s="725">
        <f t="shared" ref="E110:H110" si="53">-E109/E106</f>
        <v>0</v>
      </c>
      <c r="F110" s="725">
        <f t="shared" si="53"/>
        <v>0</v>
      </c>
      <c r="G110" s="725">
        <f t="shared" si="53"/>
        <v>0</v>
      </c>
      <c r="H110" s="729">
        <f t="shared" si="53"/>
        <v>0</v>
      </c>
      <c r="J110" s="725">
        <f>-J109/J106</f>
        <v>0</v>
      </c>
      <c r="K110" s="725">
        <f t="shared" ref="K110" si="54">-K109/K106</f>
        <v>0</v>
      </c>
      <c r="L110" s="725">
        <f t="shared" ref="L110" si="55">-L109/L106</f>
        <v>0</v>
      </c>
      <c r="M110" s="725">
        <f t="shared" ref="M110" si="56">-M109/M106</f>
        <v>0</v>
      </c>
      <c r="N110" s="729">
        <f t="shared" ref="N110" si="57">-N109/N106</f>
        <v>0</v>
      </c>
      <c r="P110" s="725">
        <f>-P109/P106</f>
        <v>0</v>
      </c>
      <c r="Q110" s="725">
        <f t="shared" ref="Q110" si="58">-Q109/Q106</f>
        <v>0</v>
      </c>
      <c r="R110" s="725">
        <f t="shared" ref="R110" si="59">-R109/R106</f>
        <v>0</v>
      </c>
      <c r="S110" s="725">
        <f t="shared" ref="S110" si="60">-S109/S106</f>
        <v>0</v>
      </c>
      <c r="T110" s="729">
        <f t="shared" ref="T110" si="61">-T109/T106</f>
        <v>0</v>
      </c>
      <c r="U110" s="204"/>
      <c r="V110" s="725">
        <f>-V109/V106</f>
        <v>0</v>
      </c>
      <c r="W110" s="725">
        <f t="shared" ref="W110" si="62">-W109/W106</f>
        <v>0</v>
      </c>
      <c r="X110" s="733">
        <v>0</v>
      </c>
      <c r="Y110" s="733">
        <v>0</v>
      </c>
      <c r="Z110" s="726">
        <f>-Z109/Z$31</f>
        <v>0</v>
      </c>
      <c r="AB110" s="733">
        <v>0</v>
      </c>
      <c r="AC110" s="733">
        <v>0</v>
      </c>
      <c r="AD110" s="733">
        <v>0</v>
      </c>
      <c r="AE110" s="733">
        <v>0</v>
      </c>
      <c r="AF110" s="726">
        <f>-AF109/AF$31</f>
        <v>0</v>
      </c>
      <c r="AH110" s="733">
        <v>0</v>
      </c>
      <c r="AJ110" s="733">
        <v>0</v>
      </c>
      <c r="AK110" s="23"/>
      <c r="AL110" s="733">
        <v>0</v>
      </c>
    </row>
    <row r="111" spans="2:38" ht="14.25" customHeight="1">
      <c r="B111" s="31"/>
      <c r="D111" s="725"/>
      <c r="E111" s="725"/>
      <c r="F111" s="725"/>
      <c r="G111" s="725"/>
      <c r="H111" s="729"/>
      <c r="J111" s="725"/>
      <c r="K111" s="725"/>
      <c r="L111" s="725"/>
      <c r="M111" s="725"/>
      <c r="N111" s="729"/>
      <c r="P111" s="725"/>
      <c r="Q111" s="725"/>
      <c r="R111" s="725"/>
      <c r="S111" s="725"/>
      <c r="T111" s="729"/>
      <c r="U111" s="204"/>
      <c r="V111" s="725"/>
      <c r="W111" s="725"/>
      <c r="X111" s="725"/>
      <c r="Y111" s="725"/>
      <c r="Z111" s="726"/>
      <c r="AA111" s="726"/>
      <c r="AB111" s="725"/>
      <c r="AC111" s="725"/>
      <c r="AD111" s="725"/>
      <c r="AE111" s="725"/>
      <c r="AF111" s="726"/>
      <c r="AH111" s="758"/>
      <c r="AJ111" s="758"/>
      <c r="AK111" s="23"/>
      <c r="AL111" s="758"/>
    </row>
    <row r="112" spans="2:38" ht="14.25" customHeight="1">
      <c r="B112" s="28" t="s">
        <v>431</v>
      </c>
      <c r="D112" s="722">
        <f>CF!P39</f>
        <v>0</v>
      </c>
      <c r="E112" s="722">
        <f>CF!Q39</f>
        <v>0</v>
      </c>
      <c r="F112" s="722">
        <f>CF!R39</f>
        <v>0</v>
      </c>
      <c r="G112" s="722">
        <f>CF!S39</f>
        <v>0</v>
      </c>
      <c r="H112" s="96">
        <f>CF!T39</f>
        <v>0</v>
      </c>
      <c r="J112" s="722">
        <f>CF!V39</f>
        <v>0</v>
      </c>
      <c r="K112" s="722">
        <f>CF!W39</f>
        <v>0</v>
      </c>
      <c r="L112" s="722">
        <f>CF!X39</f>
        <v>0</v>
      </c>
      <c r="M112" s="722">
        <f>CF!Y39</f>
        <v>0</v>
      </c>
      <c r="N112" s="96">
        <f>CF!Z39</f>
        <v>0</v>
      </c>
      <c r="P112" s="722">
        <f>CF!AB39</f>
        <v>0</v>
      </c>
      <c r="Q112" s="722">
        <f>CF!AC39</f>
        <v>-2.3740000000000001</v>
      </c>
      <c r="R112" s="722">
        <f>CF!AD39</f>
        <v>0</v>
      </c>
      <c r="S112" s="722">
        <f>CF!AE39</f>
        <v>0</v>
      </c>
      <c r="T112" s="96">
        <f>CF!AF39</f>
        <v>-2.3740000000000001</v>
      </c>
      <c r="U112" s="204"/>
      <c r="V112" s="722">
        <f>CF!AH39</f>
        <v>0</v>
      </c>
      <c r="W112" s="722">
        <f>CF!AI39</f>
        <v>-6.4139999999999997</v>
      </c>
      <c r="X112" s="732">
        <f>-X113*X126</f>
        <v>0</v>
      </c>
      <c r="Y112" s="732">
        <f>-Y113*Y126</f>
        <v>0</v>
      </c>
      <c r="Z112" s="71">
        <f>SUM(V112:Y112)</f>
        <v>-6.4139999999999997</v>
      </c>
      <c r="AB112" s="732">
        <f>-AB113*AB126</f>
        <v>0</v>
      </c>
      <c r="AC112" s="732">
        <f>-AC113*AC126</f>
        <v>-6.3159609716261125</v>
      </c>
      <c r="AD112" s="732">
        <f>-AD113*AD126</f>
        <v>0</v>
      </c>
      <c r="AE112" s="732">
        <f>-AE113*AE126</f>
        <v>0</v>
      </c>
      <c r="AF112" s="71">
        <f>SUM(AB112:AE112)</f>
        <v>-6.3159609716261125</v>
      </c>
      <c r="AH112" s="71">
        <f>-AH113*AH126</f>
        <v>-7.5465779463692915</v>
      </c>
      <c r="AJ112" s="71">
        <f>-AJ113*AJ126</f>
        <v>-9.7016815956828406</v>
      </c>
      <c r="AK112" s="23"/>
      <c r="AL112" s="71">
        <f>-AL113*AL126</f>
        <v>-12.373714599490608</v>
      </c>
    </row>
    <row r="113" spans="1:45" ht="14.25" customHeight="1">
      <c r="B113" s="31" t="s">
        <v>432</v>
      </c>
      <c r="D113" s="725">
        <f>-D112/D126</f>
        <v>0</v>
      </c>
      <c r="E113" s="725">
        <f>-E112/E126</f>
        <v>0</v>
      </c>
      <c r="F113" s="725">
        <f>-F112/F126</f>
        <v>0</v>
      </c>
      <c r="G113" s="725">
        <f>-G112/G126</f>
        <v>0</v>
      </c>
      <c r="H113" s="729">
        <f>-H112/H126</f>
        <v>0</v>
      </c>
      <c r="J113" s="725">
        <f>-J112/J126</f>
        <v>0</v>
      </c>
      <c r="K113" s="725">
        <f>-K112/K126</f>
        <v>0</v>
      </c>
      <c r="L113" s="725">
        <f>-L112/L126</f>
        <v>0</v>
      </c>
      <c r="M113" s="725">
        <f>-M112/M126</f>
        <v>0</v>
      </c>
      <c r="N113" s="729">
        <f>-N112/N126</f>
        <v>0</v>
      </c>
      <c r="P113" s="725">
        <f>-P112/P126</f>
        <v>0</v>
      </c>
      <c r="Q113" s="725">
        <f>-Q112/Q126</f>
        <v>8.509776226407284E-2</v>
      </c>
      <c r="R113" s="725">
        <f>-R112/R126</f>
        <v>0</v>
      </c>
      <c r="S113" s="725">
        <f>-S112/S126</f>
        <v>0</v>
      </c>
      <c r="T113" s="729">
        <f>-T112/T126</f>
        <v>1.8865117859997338E-2</v>
      </c>
      <c r="U113" s="204"/>
      <c r="V113" s="725">
        <f>-V112/V126</f>
        <v>0</v>
      </c>
      <c r="W113" s="725">
        <f>-W112/W126</f>
        <v>0.16127420218866312</v>
      </c>
      <c r="X113" s="733">
        <v>0</v>
      </c>
      <c r="Y113" s="733">
        <v>0</v>
      </c>
      <c r="Z113" s="726">
        <f>-Z112/Z126</f>
        <v>4.4774967754161565E-2</v>
      </c>
      <c r="AB113" s="733">
        <v>0</v>
      </c>
      <c r="AC113" s="733">
        <v>0.15</v>
      </c>
      <c r="AD113" s="733">
        <v>0</v>
      </c>
      <c r="AE113" s="733">
        <v>0</v>
      </c>
      <c r="AF113" s="726">
        <f>-AF112/AF126</f>
        <v>3.7152525517173851E-2</v>
      </c>
      <c r="AH113" s="733">
        <v>0.03</v>
      </c>
      <c r="AJ113" s="733">
        <v>0.03</v>
      </c>
      <c r="AK113" s="23"/>
      <c r="AL113" s="733">
        <v>0.03</v>
      </c>
    </row>
    <row r="114" spans="1:45" ht="14.25" customHeight="1">
      <c r="B114" s="31"/>
      <c r="D114" s="725"/>
      <c r="E114" s="725"/>
      <c r="F114" s="725"/>
      <c r="G114" s="725"/>
      <c r="H114" s="729"/>
      <c r="J114" s="725"/>
      <c r="K114" s="725"/>
      <c r="L114" s="725"/>
      <c r="M114" s="725"/>
      <c r="N114" s="729"/>
      <c r="P114" s="725"/>
      <c r="Q114" s="725"/>
      <c r="R114" s="725"/>
      <c r="S114" s="725"/>
      <c r="T114" s="729"/>
      <c r="U114" s="204"/>
      <c r="V114" s="725"/>
      <c r="W114" s="725"/>
      <c r="X114" s="725"/>
      <c r="Y114" s="725"/>
      <c r="Z114" s="726"/>
      <c r="AA114" s="726"/>
      <c r="AB114" s="725"/>
      <c r="AC114" s="725"/>
      <c r="AD114" s="725"/>
      <c r="AE114" s="725"/>
      <c r="AF114" s="726"/>
      <c r="AH114" s="758"/>
      <c r="AJ114" s="758"/>
      <c r="AK114" s="23"/>
      <c r="AL114" s="758"/>
    </row>
    <row r="115" spans="1:45" ht="14.25" customHeight="1">
      <c r="B115" s="28" t="s">
        <v>433</v>
      </c>
      <c r="D115" s="722">
        <f>CF!P40</f>
        <v>-1.0369999999999999</v>
      </c>
      <c r="E115" s="722">
        <f>CF!Q40</f>
        <v>-1.1160000000000001</v>
      </c>
      <c r="F115" s="722">
        <f>CF!R40</f>
        <v>-0.307</v>
      </c>
      <c r="G115" s="722">
        <f>CF!S40</f>
        <v>0</v>
      </c>
      <c r="H115" s="96">
        <f>CF!T40</f>
        <v>-2.46</v>
      </c>
      <c r="J115" s="722">
        <f>CF!V40</f>
        <v>0</v>
      </c>
      <c r="K115" s="722">
        <f>CF!W40</f>
        <v>0</v>
      </c>
      <c r="L115" s="722">
        <f>CF!X40</f>
        <v>0</v>
      </c>
      <c r="M115" s="722">
        <f>CF!Y40</f>
        <v>5.8999999999999997E-2</v>
      </c>
      <c r="N115" s="96">
        <f>CF!Z40</f>
        <v>5.8999999999999997E-2</v>
      </c>
      <c r="P115" s="722">
        <f>CF!AB40</f>
        <v>-0.189</v>
      </c>
      <c r="Q115" s="722">
        <f>CF!AC40</f>
        <v>0.189</v>
      </c>
      <c r="R115" s="722">
        <f>CF!AD40</f>
        <v>-4.5549999999999997</v>
      </c>
      <c r="S115" s="722">
        <f>CF!AE40</f>
        <v>-0.33100000000000002</v>
      </c>
      <c r="T115" s="96">
        <f>CF!AF40</f>
        <v>-4.8860000000000001</v>
      </c>
      <c r="U115" s="204"/>
      <c r="V115" s="722">
        <f>CF!AH40</f>
        <v>-0.84799999999999998</v>
      </c>
      <c r="W115" s="722">
        <f>CF!AI40</f>
        <v>0.85299999999999998</v>
      </c>
      <c r="X115" s="759">
        <v>4</v>
      </c>
      <c r="Y115" s="759">
        <v>0</v>
      </c>
      <c r="Z115" s="71">
        <f>SUM(V115:Y115)</f>
        <v>4.0049999999999999</v>
      </c>
      <c r="AB115" s="759">
        <v>0</v>
      </c>
      <c r="AC115" s="759">
        <v>4</v>
      </c>
      <c r="AD115" s="759">
        <v>0</v>
      </c>
      <c r="AE115" s="759">
        <v>0</v>
      </c>
      <c r="AF115" s="71">
        <f>SUM(AB115:AE115)</f>
        <v>4</v>
      </c>
      <c r="AH115" s="759">
        <v>4</v>
      </c>
      <c r="AJ115" s="759">
        <v>4</v>
      </c>
      <c r="AK115" s="23"/>
      <c r="AL115" s="759">
        <v>4</v>
      </c>
    </row>
    <row r="116" spans="1:45" ht="14.25" customHeight="1">
      <c r="D116" s="23"/>
      <c r="E116" s="23"/>
      <c r="F116" s="23"/>
      <c r="G116" s="23"/>
      <c r="H116" s="23"/>
      <c r="J116" s="23"/>
      <c r="K116" s="23"/>
      <c r="L116" s="23"/>
      <c r="M116" s="23"/>
      <c r="N116" s="23"/>
      <c r="P116" s="23"/>
      <c r="Q116" s="23"/>
      <c r="R116" s="23"/>
      <c r="S116" s="23"/>
      <c r="T116" s="23"/>
      <c r="U116" s="204"/>
      <c r="V116" s="23"/>
      <c r="W116" s="23"/>
      <c r="X116" s="23"/>
      <c r="Y116" s="23"/>
      <c r="Z116" s="23"/>
      <c r="AB116" s="23"/>
      <c r="AC116" s="23"/>
      <c r="AD116" s="23"/>
      <c r="AE116" s="23"/>
      <c r="AF116" s="23"/>
      <c r="AH116" s="23"/>
      <c r="AJ116" s="33"/>
      <c r="AK116" s="23"/>
      <c r="AL116" s="23"/>
      <c r="AS116" s="301"/>
    </row>
    <row r="117" spans="1:45" s="41" customFormat="1" ht="15" customHeight="1">
      <c r="A117" s="30" t="s">
        <v>39</v>
      </c>
      <c r="B117" s="161" t="s">
        <v>434</v>
      </c>
      <c r="C117" s="18"/>
      <c r="D117" s="162"/>
      <c r="E117" s="162"/>
      <c r="F117" s="162"/>
      <c r="G117" s="162"/>
      <c r="H117" s="162"/>
      <c r="I117" s="18"/>
      <c r="J117" s="162"/>
      <c r="K117" s="162"/>
      <c r="L117" s="162"/>
      <c r="M117" s="162"/>
      <c r="N117" s="162"/>
      <c r="O117" s="18"/>
      <c r="P117" s="162"/>
      <c r="Q117" s="162"/>
      <c r="R117" s="162"/>
      <c r="S117" s="162"/>
      <c r="T117" s="162"/>
      <c r="U117" s="18"/>
      <c r="V117" s="162"/>
      <c r="W117" s="162"/>
      <c r="X117" s="162"/>
      <c r="Y117" s="162"/>
      <c r="Z117" s="162"/>
      <c r="AA117" s="18"/>
      <c r="AB117" s="162"/>
      <c r="AC117" s="162"/>
      <c r="AD117" s="162"/>
      <c r="AE117" s="162"/>
      <c r="AF117" s="162"/>
      <c r="AG117" s="18"/>
      <c r="AH117" s="162"/>
      <c r="AI117" s="18"/>
      <c r="AJ117" s="163"/>
      <c r="AK117" s="18"/>
      <c r="AL117" s="163"/>
    </row>
    <row r="118" spans="1:45" s="41" customFormat="1" ht="15" customHeight="1">
      <c r="B118" s="164"/>
      <c r="C118" s="18"/>
      <c r="D118" s="822">
        <f>D$8</f>
        <v>2022</v>
      </c>
      <c r="E118" s="822">
        <f>F118</f>
        <v>0</v>
      </c>
      <c r="F118" s="822">
        <f>F$8</f>
        <v>0</v>
      </c>
      <c r="G118" s="822">
        <f>F118</f>
        <v>0</v>
      </c>
      <c r="H118" s="822">
        <f>F118</f>
        <v>0</v>
      </c>
      <c r="I118" s="169"/>
      <c r="J118" s="822">
        <f>J$8</f>
        <v>2023</v>
      </c>
      <c r="K118" s="822">
        <f>L118</f>
        <v>0</v>
      </c>
      <c r="L118" s="822">
        <f>L$8</f>
        <v>0</v>
      </c>
      <c r="M118" s="822">
        <f>L118</f>
        <v>0</v>
      </c>
      <c r="N118" s="822">
        <f>L118</f>
        <v>0</v>
      </c>
      <c r="O118" s="169"/>
      <c r="P118" s="822">
        <f>P$8</f>
        <v>2024</v>
      </c>
      <c r="Q118" s="822">
        <f>R118</f>
        <v>0</v>
      </c>
      <c r="R118" s="822">
        <f>R$8</f>
        <v>0</v>
      </c>
      <c r="S118" s="822">
        <f>R118</f>
        <v>0</v>
      </c>
      <c r="T118" s="822">
        <f>R118</f>
        <v>0</v>
      </c>
      <c r="U118" s="169"/>
      <c r="V118" s="821">
        <f>V$8</f>
        <v>2025</v>
      </c>
      <c r="W118" s="821">
        <f>X118</f>
        <v>0</v>
      </c>
      <c r="X118" s="821">
        <f>X$8</f>
        <v>0</v>
      </c>
      <c r="Y118" s="821">
        <f>X118</f>
        <v>0</v>
      </c>
      <c r="Z118" s="821">
        <f>X118</f>
        <v>0</v>
      </c>
      <c r="AA118" s="169"/>
      <c r="AB118" s="821">
        <f>AB$8</f>
        <v>2026</v>
      </c>
      <c r="AC118" s="821">
        <f>AD118</f>
        <v>0</v>
      </c>
      <c r="AD118" s="821">
        <f>AD$8</f>
        <v>0</v>
      </c>
      <c r="AE118" s="821">
        <f>AD118</f>
        <v>0</v>
      </c>
      <c r="AF118" s="821">
        <f>AD118</f>
        <v>0</v>
      </c>
      <c r="AG118" s="171"/>
      <c r="AH118" s="721">
        <f>AH$8</f>
        <v>2027</v>
      </c>
      <c r="AI118" s="167"/>
      <c r="AJ118" s="721">
        <f>AJ$8</f>
        <v>2028</v>
      </c>
      <c r="AK118" s="167"/>
      <c r="AL118" s="721">
        <f>AL$8</f>
        <v>2029</v>
      </c>
    </row>
    <row r="119" spans="1:45" s="41" customFormat="1" ht="14.25" customHeight="1">
      <c r="B119" s="164"/>
      <c r="C119" s="18"/>
      <c r="D119" s="168" t="s">
        <v>173</v>
      </c>
      <c r="E119" s="168" t="s">
        <v>174</v>
      </c>
      <c r="F119" s="168" t="s">
        <v>175</v>
      </c>
      <c r="G119" s="168" t="s">
        <v>176</v>
      </c>
      <c r="H119" s="168" t="s">
        <v>177</v>
      </c>
      <c r="I119" s="165"/>
      <c r="J119" s="168" t="s">
        <v>173</v>
      </c>
      <c r="K119" s="168" t="s">
        <v>174</v>
      </c>
      <c r="L119" s="168" t="s">
        <v>175</v>
      </c>
      <c r="M119" s="168" t="s">
        <v>176</v>
      </c>
      <c r="N119" s="168" t="s">
        <v>177</v>
      </c>
      <c r="O119" s="165"/>
      <c r="P119" s="168" t="s">
        <v>173</v>
      </c>
      <c r="Q119" s="168" t="s">
        <v>174</v>
      </c>
      <c r="R119" s="168" t="s">
        <v>175</v>
      </c>
      <c r="S119" s="168" t="s">
        <v>176</v>
      </c>
      <c r="T119" s="168" t="s">
        <v>177</v>
      </c>
      <c r="U119" s="165"/>
      <c r="V119" s="168" t="s">
        <v>173</v>
      </c>
      <c r="W119" s="168" t="s">
        <v>174</v>
      </c>
      <c r="X119" s="168" t="s">
        <v>175</v>
      </c>
      <c r="Y119" s="168" t="s">
        <v>176</v>
      </c>
      <c r="Z119" s="168" t="s">
        <v>177</v>
      </c>
      <c r="AA119" s="165"/>
      <c r="AB119" s="168" t="s">
        <v>173</v>
      </c>
      <c r="AC119" s="168" t="s">
        <v>174</v>
      </c>
      <c r="AD119" s="168" t="s">
        <v>175</v>
      </c>
      <c r="AE119" s="168" t="s">
        <v>176</v>
      </c>
      <c r="AF119" s="168" t="s">
        <v>177</v>
      </c>
      <c r="AG119" s="165"/>
      <c r="AH119" s="168" t="s">
        <v>177</v>
      </c>
      <c r="AI119" s="165"/>
      <c r="AJ119" s="168" t="s">
        <v>177</v>
      </c>
      <c r="AK119" s="165"/>
      <c r="AL119" s="168" t="s">
        <v>177</v>
      </c>
    </row>
    <row r="120" spans="1:45" s="41" customFormat="1" ht="4" customHeight="1">
      <c r="B120" s="176"/>
      <c r="C120" s="35"/>
      <c r="D120" s="177"/>
      <c r="E120" s="177"/>
      <c r="F120" s="177"/>
      <c r="G120" s="177"/>
      <c r="H120" s="177"/>
      <c r="I120" s="178"/>
      <c r="J120" s="177"/>
      <c r="K120" s="177"/>
      <c r="L120" s="177"/>
      <c r="M120" s="177"/>
      <c r="N120" s="177"/>
      <c r="O120" s="178"/>
      <c r="P120" s="177"/>
      <c r="Q120" s="177"/>
      <c r="R120" s="177"/>
      <c r="S120" s="177"/>
      <c r="T120" s="177"/>
      <c r="U120" s="178"/>
      <c r="V120" s="177"/>
      <c r="W120" s="177"/>
      <c r="X120" s="177"/>
      <c r="Y120" s="177"/>
      <c r="Z120" s="179"/>
      <c r="AA120" s="180"/>
      <c r="AB120" s="179"/>
      <c r="AC120" s="179"/>
      <c r="AD120" s="179"/>
      <c r="AE120" s="179"/>
      <c r="AF120" s="179"/>
      <c r="AG120" s="180"/>
      <c r="AH120" s="179"/>
      <c r="AI120" s="180"/>
      <c r="AJ120" s="179"/>
      <c r="AK120" s="180"/>
      <c r="AL120" s="179"/>
    </row>
    <row r="121" spans="1:45" ht="4" customHeight="1">
      <c r="U121" s="204"/>
    </row>
    <row r="122" spans="1:45" ht="14.25" customHeight="1">
      <c r="B122" s="28" t="s">
        <v>376</v>
      </c>
      <c r="D122" s="723">
        <f>D61</f>
        <v>5.2869999999999999</v>
      </c>
      <c r="E122" s="723">
        <f>E61</f>
        <v>5.2590000000000003</v>
      </c>
      <c r="F122" s="723">
        <f>F61</f>
        <v>-0.89400000000000002</v>
      </c>
      <c r="G122" s="723">
        <f>G61</f>
        <v>-6.8310000000000004</v>
      </c>
      <c r="H122" s="393">
        <f>H61</f>
        <v>32.390999999999998</v>
      </c>
      <c r="J122" s="723">
        <f>J61</f>
        <v>15.101000000000001</v>
      </c>
      <c r="K122" s="723">
        <f>K61</f>
        <v>18.334</v>
      </c>
      <c r="L122" s="723">
        <f>L61</f>
        <v>17.239000000000001</v>
      </c>
      <c r="M122" s="723">
        <f>M61</f>
        <v>28.59</v>
      </c>
      <c r="N122" s="393">
        <f>N61</f>
        <v>105.895</v>
      </c>
      <c r="P122" s="723">
        <f>P61</f>
        <v>5.2839999999999998</v>
      </c>
      <c r="Q122" s="723">
        <f>Q61</f>
        <v>30.286999999999999</v>
      </c>
      <c r="R122" s="723">
        <f>R61</f>
        <v>37.058999999999997</v>
      </c>
      <c r="S122" s="723">
        <f>S61</f>
        <v>36.622999999999998</v>
      </c>
      <c r="T122" s="393">
        <f>T61</f>
        <v>151.268</v>
      </c>
      <c r="U122" s="204"/>
      <c r="V122" s="723">
        <f>V61</f>
        <v>41.043999999999997</v>
      </c>
      <c r="W122" s="723">
        <f>W61</f>
        <v>45.308</v>
      </c>
      <c r="X122" s="723">
        <f>X61</f>
        <v>43.223619632496806</v>
      </c>
      <c r="Y122" s="723">
        <f>Y61</f>
        <v>44.778546213887296</v>
      </c>
      <c r="Z122" s="393">
        <f>Z61</f>
        <v>174.35416584638409</v>
      </c>
      <c r="AB122" s="723">
        <f>AB61</f>
        <v>48.155262498115043</v>
      </c>
      <c r="AC122" s="723">
        <f>AC61</f>
        <v>50.183491041210146</v>
      </c>
      <c r="AD122" s="723">
        <f>AD61</f>
        <v>51.663855616865625</v>
      </c>
      <c r="AE122" s="723">
        <f>AE61</f>
        <v>54.734496241950069</v>
      </c>
      <c r="AF122" s="393">
        <f>AF61</f>
        <v>204.73710539814087</v>
      </c>
      <c r="AH122" s="393">
        <f>AH61</f>
        <v>303.07541953290331</v>
      </c>
      <c r="AJ122" s="393">
        <f>AJ61</f>
        <v>389.62576689489322</v>
      </c>
      <c r="AK122" s="23"/>
      <c r="AL122" s="393">
        <f>AL61</f>
        <v>496.93632929681166</v>
      </c>
    </row>
    <row r="123" spans="1:45" ht="14.25" customHeight="1">
      <c r="B123" s="28"/>
      <c r="D123" s="732"/>
      <c r="E123" s="732"/>
      <c r="F123" s="732"/>
      <c r="G123" s="732"/>
      <c r="H123" s="24"/>
      <c r="J123" s="732"/>
      <c r="K123" s="732"/>
      <c r="L123" s="732"/>
      <c r="M123" s="732"/>
      <c r="N123" s="24"/>
      <c r="P123" s="732"/>
      <c r="Q123" s="732"/>
      <c r="R123" s="732"/>
      <c r="S123" s="732"/>
      <c r="T123" s="24"/>
      <c r="U123" s="204"/>
      <c r="V123" s="732"/>
      <c r="W123" s="732"/>
      <c r="X123" s="732"/>
      <c r="Y123" s="732"/>
      <c r="Z123" s="23"/>
      <c r="AB123" s="732"/>
      <c r="AC123" s="732"/>
      <c r="AD123" s="732"/>
      <c r="AE123" s="732"/>
      <c r="AF123" s="23"/>
      <c r="AH123" s="23"/>
      <c r="AJ123" s="33"/>
      <c r="AK123" s="23"/>
      <c r="AL123" s="23"/>
      <c r="AS123" s="301"/>
    </row>
    <row r="124" spans="1:45" ht="14.25" customHeight="1">
      <c r="B124" s="28" t="s">
        <v>335</v>
      </c>
      <c r="D124" s="770">
        <f>IS!P45/IS!P42</f>
        <v>-1.5736040609137057E-2</v>
      </c>
      <c r="E124" s="770">
        <f>IS!Q45/IS!Q42</f>
        <v>-4.4413277232351568E-3</v>
      </c>
      <c r="F124" s="770">
        <f>IS!R45/IS!R42</f>
        <v>2.3913752913752915</v>
      </c>
      <c r="G124" s="770">
        <f>IS!S45/IS!S42</f>
        <v>0.32575280898876402</v>
      </c>
      <c r="H124" s="771">
        <f>IS!T45/IS!T42</f>
        <v>0.11923424781429003</v>
      </c>
      <c r="J124" s="770">
        <f>IS!V45/IS!V42</f>
        <v>0.1823916949490916</v>
      </c>
      <c r="K124" s="770">
        <f>IS!W45/IS!W42</f>
        <v>0.19700966620637114</v>
      </c>
      <c r="L124" s="770">
        <f>IS!X45/IS!X42</f>
        <v>0.26334334107517138</v>
      </c>
      <c r="M124" s="770">
        <f>IS!Y45/IS!Y42</f>
        <v>0.24792767732962448</v>
      </c>
      <c r="N124" s="771">
        <f>IS!Z45/IS!Z42</f>
        <v>0.22432967032967033</v>
      </c>
      <c r="P124" s="770">
        <f>IS!AB45/IS!AB42</f>
        <v>0.21296792599636899</v>
      </c>
      <c r="Q124" s="770">
        <f>IS!AC45/IS!AC42</f>
        <v>7.8900986730180339E-2</v>
      </c>
      <c r="R124" s="770">
        <f>IS!AD45/IS!AD42</f>
        <v>0.28650092233143365</v>
      </c>
      <c r="S124" s="770">
        <f>IS!AE45/IS!AE42</f>
        <v>6.7948883438750482E-2</v>
      </c>
      <c r="T124" s="771">
        <f>IS!AF45/IS!AF42</f>
        <v>0.16809424837123785</v>
      </c>
      <c r="U124" s="204"/>
      <c r="V124" s="770">
        <f>IS!AH45/IS!AH42</f>
        <v>0.25748557546310358</v>
      </c>
      <c r="W124" s="770">
        <f>IS!AI45/IS!AI42</f>
        <v>0.1222129657679491</v>
      </c>
      <c r="X124" s="733">
        <f>AVERAGE(V124:W124,R124:S124)</f>
        <v>0.18353708675030922</v>
      </c>
      <c r="Y124" s="733">
        <f>AVERAGE(V124:X124,S124)</f>
        <v>0.15779612785502811</v>
      </c>
      <c r="Z124" s="766">
        <f>AVERAGE(V124:Y124)</f>
        <v>0.18025793895909753</v>
      </c>
      <c r="AB124" s="733">
        <f>AVERAGE(V124:Y124)</f>
        <v>0.18025793895909753</v>
      </c>
      <c r="AC124" s="733">
        <f>AVERAGE(W124:Y124,AB124)</f>
        <v>0.160951029833096</v>
      </c>
      <c r="AD124" s="733">
        <f>AVERAGE(AB124:AC124,X124:Y124)</f>
        <v>0.17063554584938273</v>
      </c>
      <c r="AE124" s="733">
        <f>AVERAGE(AB124:AD124,Y124)</f>
        <v>0.16741016062415109</v>
      </c>
      <c r="AF124" s="766">
        <f>AVERAGE(AB124:AE124)</f>
        <v>0.16981366881643184</v>
      </c>
      <c r="AH124" s="733">
        <v>0.17</v>
      </c>
      <c r="AJ124" s="733">
        <v>0.17</v>
      </c>
      <c r="AK124" s="23"/>
      <c r="AL124" s="733">
        <v>0.17</v>
      </c>
    </row>
    <row r="125" spans="1:45" ht="14.25" customHeight="1">
      <c r="B125" s="28"/>
      <c r="D125" s="732"/>
      <c r="E125" s="732"/>
      <c r="F125" s="732"/>
      <c r="G125" s="732"/>
      <c r="H125" s="24"/>
      <c r="J125" s="732"/>
      <c r="K125" s="732"/>
      <c r="L125" s="732"/>
      <c r="M125" s="732"/>
      <c r="N125" s="24"/>
      <c r="P125" s="732"/>
      <c r="Q125" s="732"/>
      <c r="R125" s="732"/>
      <c r="S125" s="732"/>
      <c r="T125" s="24"/>
      <c r="U125" s="204"/>
      <c r="V125" s="732"/>
      <c r="W125" s="732"/>
      <c r="X125" s="732"/>
      <c r="Y125" s="732"/>
      <c r="Z125" s="23"/>
      <c r="AB125" s="732"/>
      <c r="AC125" s="732"/>
      <c r="AD125" s="732"/>
      <c r="AE125" s="732"/>
      <c r="AF125" s="23"/>
      <c r="AH125" s="23"/>
      <c r="AJ125" s="33"/>
      <c r="AK125" s="23"/>
      <c r="AL125" s="23"/>
    </row>
    <row r="126" spans="1:45" ht="14.25" customHeight="1">
      <c r="B126" s="28" t="s">
        <v>435</v>
      </c>
      <c r="D126" s="732">
        <f>D122*(1-D124)</f>
        <v>5.3701964467005077</v>
      </c>
      <c r="E126" s="732">
        <f t="shared" ref="E126:H126" si="63">E122*(1-E124)</f>
        <v>5.2823569424964942</v>
      </c>
      <c r="F126" s="732">
        <f t="shared" si="63"/>
        <v>1.2438895104895107</v>
      </c>
      <c r="G126" s="732">
        <f t="shared" si="63"/>
        <v>-4.6057825617977537</v>
      </c>
      <c r="H126" s="772">
        <f t="shared" si="63"/>
        <v>28.52888347904733</v>
      </c>
      <c r="J126" s="732">
        <f>J122*(1-J124)</f>
        <v>12.34670301457377</v>
      </c>
      <c r="K126" s="732">
        <f t="shared" ref="K126:N126" si="64">K122*(1-K124)</f>
        <v>14.72202477977239</v>
      </c>
      <c r="L126" s="732">
        <f t="shared" si="64"/>
        <v>12.699224143205122</v>
      </c>
      <c r="M126" s="732">
        <f t="shared" si="64"/>
        <v>21.501747705146034</v>
      </c>
      <c r="N126" s="772">
        <f t="shared" si="64"/>
        <v>82.139609560439553</v>
      </c>
      <c r="P126" s="732">
        <f>P122*(1-P124)</f>
        <v>4.1586774790351857</v>
      </c>
      <c r="Q126" s="732">
        <f t="shared" ref="Q126:T126" si="65">Q122*(1-Q124)</f>
        <v>27.897325814903027</v>
      </c>
      <c r="R126" s="732">
        <f t="shared" si="65"/>
        <v>26.441562319319399</v>
      </c>
      <c r="S126" s="732">
        <f t="shared" si="65"/>
        <v>34.134508041822642</v>
      </c>
      <c r="T126" s="772">
        <f t="shared" si="65"/>
        <v>125.84071923737959</v>
      </c>
      <c r="U126" s="204"/>
      <c r="V126" s="732">
        <f>V122*(1-V124)</f>
        <v>30.475762040692373</v>
      </c>
      <c r="W126" s="732">
        <f t="shared" ref="W126" si="66">W122*(1-W124)</f>
        <v>39.77077494698576</v>
      </c>
      <c r="X126" s="732">
        <f>X122*(1-X124)</f>
        <v>35.290482406344871</v>
      </c>
      <c r="Y126" s="732">
        <f>Y122*(1-Y124)</f>
        <v>37.71266501035845</v>
      </c>
      <c r="Z126" s="772">
        <f>SUM(V126:Y126)</f>
        <v>143.24968440438144</v>
      </c>
      <c r="AB126" s="732">
        <f t="shared" ref="AB126:AE126" si="67">AB122*(1-AB124)</f>
        <v>39.474894130170505</v>
      </c>
      <c r="AC126" s="732">
        <f t="shared" si="67"/>
        <v>42.10640647750742</v>
      </c>
      <c r="AD126" s="732">
        <f t="shared" si="67"/>
        <v>42.848165412998064</v>
      </c>
      <c r="AE126" s="732">
        <f t="shared" si="67"/>
        <v>45.571385434403211</v>
      </c>
      <c r="AF126" s="772">
        <f>SUM(AB126:AE126)</f>
        <v>170.00085145507921</v>
      </c>
      <c r="AH126" s="772">
        <f>AH122*(1-AH124)</f>
        <v>251.55259821230973</v>
      </c>
      <c r="AJ126" s="772">
        <f>AJ122*(1-AJ124)</f>
        <v>323.38938652276136</v>
      </c>
      <c r="AK126" s="23"/>
      <c r="AL126" s="772">
        <f>AL122*(1-AL124)</f>
        <v>412.45715331635364</v>
      </c>
    </row>
    <row r="127" spans="1:45" ht="14.25" customHeight="1">
      <c r="D127" s="732"/>
      <c r="E127" s="732"/>
      <c r="F127" s="732"/>
      <c r="G127" s="732"/>
      <c r="H127" s="24"/>
      <c r="J127" s="732"/>
      <c r="K127" s="732"/>
      <c r="L127" s="732"/>
      <c r="M127" s="732"/>
      <c r="N127" s="24"/>
      <c r="P127" s="732"/>
      <c r="Q127" s="732"/>
      <c r="R127" s="732"/>
      <c r="S127" s="732"/>
      <c r="T127" s="24"/>
      <c r="U127" s="204"/>
      <c r="V127" s="732"/>
      <c r="W127" s="732"/>
      <c r="X127" s="732"/>
      <c r="Y127" s="732"/>
      <c r="Z127" s="23"/>
      <c r="AB127" s="732"/>
      <c r="AC127" s="732"/>
      <c r="AD127" s="732"/>
      <c r="AE127" s="732"/>
      <c r="AF127" s="23"/>
      <c r="AH127" s="23"/>
      <c r="AJ127" s="33"/>
      <c r="AK127" s="23"/>
      <c r="AL127" s="23"/>
    </row>
    <row r="128" spans="1:45" ht="14.25" customHeight="1">
      <c r="B128" s="28" t="s">
        <v>369</v>
      </c>
      <c r="D128" s="723">
        <f>D94</f>
        <v>3.238</v>
      </c>
      <c r="E128" s="723">
        <f>E94</f>
        <v>3.3660000000000001</v>
      </c>
      <c r="F128" s="723">
        <f>F94</f>
        <v>3.452</v>
      </c>
      <c r="G128" s="723">
        <f>G94</f>
        <v>3.5249999999999999</v>
      </c>
      <c r="H128" s="393">
        <f>H94</f>
        <v>13.581</v>
      </c>
      <c r="J128" s="723">
        <f>J94</f>
        <v>3.391</v>
      </c>
      <c r="K128" s="723">
        <f>K94</f>
        <v>3.3170000000000002</v>
      </c>
      <c r="L128" s="723">
        <f>L94</f>
        <v>6.2190000000000003</v>
      </c>
      <c r="M128" s="723">
        <f>M94</f>
        <v>2.907</v>
      </c>
      <c r="N128" s="393">
        <f>N94</f>
        <v>12.734999999999999</v>
      </c>
      <c r="P128" s="723">
        <f>P94</f>
        <v>2.7250000000000001</v>
      </c>
      <c r="Q128" s="723">
        <f>Q94</f>
        <v>2.4900000000000002</v>
      </c>
      <c r="R128" s="723">
        <f>R94</f>
        <v>4.58</v>
      </c>
      <c r="S128" s="723">
        <f>S94</f>
        <v>2.1259999999999999</v>
      </c>
      <c r="T128" s="393">
        <f>T94</f>
        <v>9.6210000000000004</v>
      </c>
      <c r="U128" s="204"/>
      <c r="V128" s="723">
        <f>V94</f>
        <v>1.76</v>
      </c>
      <c r="W128" s="723">
        <f>W94</f>
        <v>1.502</v>
      </c>
      <c r="X128" s="723">
        <f>X94</f>
        <v>1.74474</v>
      </c>
      <c r="Y128" s="723">
        <f>Y94</f>
        <v>1.74474</v>
      </c>
      <c r="Z128" s="393">
        <f>Z94</f>
        <v>6.7514799999999999</v>
      </c>
      <c r="AB128" s="723">
        <f>AB94</f>
        <v>1.74474</v>
      </c>
      <c r="AC128" s="723">
        <f>AC94</f>
        <v>1.74474</v>
      </c>
      <c r="AD128" s="723">
        <f>AD94</f>
        <v>1.74474</v>
      </c>
      <c r="AE128" s="723">
        <f>AE94</f>
        <v>1.74474</v>
      </c>
      <c r="AF128" s="393">
        <f>AF94</f>
        <v>6.9789599999999998</v>
      </c>
      <c r="AH128" s="393">
        <f>AH94</f>
        <v>5.8158000000000003</v>
      </c>
      <c r="AJ128" s="393">
        <f>AJ94</f>
        <v>5.8158000000000003</v>
      </c>
      <c r="AK128" s="23"/>
      <c r="AL128" s="393">
        <f>AL94</f>
        <v>5.8158000000000003</v>
      </c>
    </row>
    <row r="129" spans="1:38" ht="14.25" customHeight="1">
      <c r="D129" s="732"/>
      <c r="E129" s="732"/>
      <c r="F129" s="732"/>
      <c r="G129" s="732"/>
      <c r="H129" s="24"/>
      <c r="J129" s="732"/>
      <c r="K129" s="732"/>
      <c r="L129" s="732"/>
      <c r="M129" s="732"/>
      <c r="N129" s="24"/>
      <c r="P129" s="732"/>
      <c r="Q129" s="732"/>
      <c r="R129" s="732"/>
      <c r="S129" s="732"/>
      <c r="T129" s="24"/>
      <c r="U129" s="204"/>
      <c r="V129" s="732"/>
      <c r="W129" s="732"/>
      <c r="X129" s="732"/>
      <c r="Y129" s="732"/>
      <c r="Z129" s="23"/>
      <c r="AB129" s="732"/>
      <c r="AC129" s="732"/>
      <c r="AD129" s="732"/>
      <c r="AE129" s="732"/>
      <c r="AF129" s="23"/>
      <c r="AH129" s="23"/>
      <c r="AJ129" s="33"/>
      <c r="AK129" s="23"/>
      <c r="AL129" s="23"/>
    </row>
    <row r="130" spans="1:38" ht="14.25" customHeight="1">
      <c r="B130" s="28" t="s">
        <v>436</v>
      </c>
      <c r="D130" s="723">
        <f>D97</f>
        <v>0</v>
      </c>
      <c r="E130" s="723">
        <f>E97</f>
        <v>0</v>
      </c>
      <c r="F130" s="723">
        <f>F97</f>
        <v>0</v>
      </c>
      <c r="G130" s="723">
        <f>G97</f>
        <v>0</v>
      </c>
      <c r="H130" s="393">
        <f>H97</f>
        <v>3.3540000000000001</v>
      </c>
      <c r="J130" s="723">
        <f>J97</f>
        <v>1.139</v>
      </c>
      <c r="K130" s="723">
        <f>K97</f>
        <v>0.84499999999999997</v>
      </c>
      <c r="L130" s="723">
        <f>L97</f>
        <v>1.0860000000000001</v>
      </c>
      <c r="M130" s="723">
        <f>M97</f>
        <v>0.997</v>
      </c>
      <c r="N130" s="393">
        <f>N97</f>
        <v>4.0670000000000002</v>
      </c>
      <c r="P130" s="723">
        <f>P97</f>
        <v>1.004</v>
      </c>
      <c r="Q130" s="723">
        <f>Q97</f>
        <v>2.0920000000000001</v>
      </c>
      <c r="R130" s="723">
        <f>R97</f>
        <v>1.0860000000000001</v>
      </c>
      <c r="S130" s="723">
        <f>S97</f>
        <v>1.0880000000000001</v>
      </c>
      <c r="T130" s="393">
        <f>T97</f>
        <v>5.27</v>
      </c>
      <c r="U130" s="204"/>
      <c r="V130" s="723">
        <f>V97</f>
        <v>1.2609999999999999</v>
      </c>
      <c r="W130" s="723">
        <f>W97</f>
        <v>5.0910000000000002</v>
      </c>
      <c r="X130" s="723">
        <f>X97</f>
        <v>1.1745426643964731</v>
      </c>
      <c r="Y130" s="723">
        <f>Y97</f>
        <v>1.232956645367254</v>
      </c>
      <c r="Z130" s="393">
        <f>Z97</f>
        <v>8.7594993097637275</v>
      </c>
      <c r="AB130" s="723">
        <f>AB97</f>
        <v>1.1551309636362967</v>
      </c>
      <c r="AC130" s="723">
        <f>AC97</f>
        <v>1.2445270290522077</v>
      </c>
      <c r="AD130" s="723">
        <f>AD97</f>
        <v>1.3355122265887849</v>
      </c>
      <c r="AE130" s="723">
        <f>AE97</f>
        <v>1.3970968284438323</v>
      </c>
      <c r="AF130" s="393">
        <f>AF97</f>
        <v>5.132267047721121</v>
      </c>
      <c r="AH130" s="393">
        <f>AH97</f>
        <v>6.7551029629568005</v>
      </c>
      <c r="AJ130" s="393">
        <f>AJ97</f>
        <v>11.196829043112373</v>
      </c>
      <c r="AK130" s="23"/>
      <c r="AL130" s="393">
        <f>AL97</f>
        <v>13.803179624687457</v>
      </c>
    </row>
    <row r="131" spans="1:38" ht="14.25" customHeight="1">
      <c r="D131" s="732"/>
      <c r="E131" s="732"/>
      <c r="F131" s="732"/>
      <c r="G131" s="732"/>
      <c r="H131" s="24"/>
      <c r="J131" s="732"/>
      <c r="K131" s="732"/>
      <c r="L131" s="732"/>
      <c r="M131" s="732"/>
      <c r="N131" s="24"/>
      <c r="P131" s="732"/>
      <c r="Q131" s="732"/>
      <c r="R131" s="732"/>
      <c r="S131" s="732"/>
      <c r="T131" s="24"/>
      <c r="U131" s="204"/>
      <c r="V131" s="732"/>
      <c r="W131" s="732"/>
      <c r="X131" s="732"/>
      <c r="Y131" s="732"/>
      <c r="Z131" s="23"/>
      <c r="AB131" s="732"/>
      <c r="AC131" s="732"/>
      <c r="AD131" s="732"/>
      <c r="AE131" s="732"/>
      <c r="AF131" s="23"/>
      <c r="AH131" s="23"/>
      <c r="AJ131" s="33"/>
      <c r="AK131" s="23"/>
      <c r="AL131" s="23"/>
    </row>
    <row r="132" spans="1:38" ht="14.25" customHeight="1">
      <c r="B132" s="28" t="s">
        <v>426</v>
      </c>
      <c r="D132" s="723">
        <f>D103</f>
        <v>-7.5169999999999995</v>
      </c>
      <c r="E132" s="723">
        <f>E103</f>
        <v>3.2199999999999998</v>
      </c>
      <c r="F132" s="723">
        <f>F103</f>
        <v>-5.4610000000000003</v>
      </c>
      <c r="G132" s="723">
        <f>G103</f>
        <v>0.42</v>
      </c>
      <c r="H132" s="393">
        <f>H103</f>
        <v>-9.338000000000001</v>
      </c>
      <c r="J132" s="723">
        <f>J103</f>
        <v>-5.8319999999999999</v>
      </c>
      <c r="K132" s="723">
        <f>K103</f>
        <v>4.7069999999999999</v>
      </c>
      <c r="L132" s="723">
        <f>L103</f>
        <v>-2.4489999999999998</v>
      </c>
      <c r="M132" s="723">
        <f>M103</f>
        <v>1.621</v>
      </c>
      <c r="N132" s="393">
        <f>N103</f>
        <v>-1.9529999999999998</v>
      </c>
      <c r="P132" s="723">
        <f>P103</f>
        <v>0.60000000000000009</v>
      </c>
      <c r="Q132" s="723">
        <f>Q103</f>
        <v>2.6769999999999996</v>
      </c>
      <c r="R132" s="723">
        <f>R103</f>
        <v>-5.0619999999999994</v>
      </c>
      <c r="S132" s="723">
        <f>S103</f>
        <v>8.2099999999999991</v>
      </c>
      <c r="T132" s="393">
        <f>T103</f>
        <v>6.4249999999999989</v>
      </c>
      <c r="U132" s="204"/>
      <c r="V132" s="723">
        <f>V103</f>
        <v>-12.991999999999999</v>
      </c>
      <c r="W132" s="723">
        <f>W103</f>
        <v>0.58000000000000007</v>
      </c>
      <c r="X132" s="723">
        <f>X103</f>
        <v>4.4550843257688548</v>
      </c>
      <c r="Y132" s="723">
        <f>Y103</f>
        <v>-2.2696478985295698E-4</v>
      </c>
      <c r="Z132" s="393">
        <f>Z103</f>
        <v>-7.9571426390209972</v>
      </c>
      <c r="AB132" s="723">
        <f>AB103</f>
        <v>-0.88037378834967228</v>
      </c>
      <c r="AC132" s="723">
        <f>AC103</f>
        <v>-0.42007543314559115</v>
      </c>
      <c r="AD132" s="723">
        <f>AD103</f>
        <v>0.54643998165600749</v>
      </c>
      <c r="AE132" s="723">
        <f>AE103</f>
        <v>-0.23974884284119469</v>
      </c>
      <c r="AF132" s="393">
        <f>AF103</f>
        <v>-0.99375808268045063</v>
      </c>
      <c r="AH132" s="393">
        <f>AH103</f>
        <v>-0.41319925319420747</v>
      </c>
      <c r="AJ132" s="393">
        <f>AJ103</f>
        <v>0.6401370117643026</v>
      </c>
      <c r="AK132" s="23"/>
      <c r="AL132" s="393">
        <f>AL103</f>
        <v>0.18222608044490585</v>
      </c>
    </row>
    <row r="133" spans="1:38" ht="14.25" customHeight="1">
      <c r="D133" s="732"/>
      <c r="E133" s="732"/>
      <c r="F133" s="732"/>
      <c r="G133" s="732"/>
      <c r="H133" s="24"/>
      <c r="J133" s="732"/>
      <c r="K133" s="732"/>
      <c r="L133" s="732"/>
      <c r="M133" s="732"/>
      <c r="N133" s="24"/>
      <c r="P133" s="732"/>
      <c r="Q133" s="732"/>
      <c r="R133" s="732"/>
      <c r="S133" s="732"/>
      <c r="T133" s="24"/>
      <c r="U133" s="204"/>
      <c r="V133" s="732"/>
      <c r="W133" s="732"/>
      <c r="X133" s="732"/>
      <c r="Y133" s="732"/>
      <c r="Z133" s="23"/>
      <c r="AB133" s="732"/>
      <c r="AC133" s="732"/>
      <c r="AD133" s="732"/>
      <c r="AE133" s="732"/>
      <c r="AF133" s="23"/>
      <c r="AH133" s="23"/>
      <c r="AJ133" s="33"/>
      <c r="AK133" s="23"/>
      <c r="AL133" s="23"/>
    </row>
    <row r="134" spans="1:38" ht="14.25" customHeight="1">
      <c r="B134" s="28" t="s">
        <v>437</v>
      </c>
      <c r="D134" s="732">
        <f>D106+D109</f>
        <v>-3.8140000000000001</v>
      </c>
      <c r="E134" s="732">
        <f>E106+E109</f>
        <v>-3.0990000000000002</v>
      </c>
      <c r="F134" s="732">
        <f>F106+F109</f>
        <v>-3.2370000000000001</v>
      </c>
      <c r="G134" s="732">
        <f>G106+G109</f>
        <v>-3.1</v>
      </c>
      <c r="H134" s="48">
        <f>H106+H109</f>
        <v>-13.25</v>
      </c>
      <c r="J134" s="732">
        <f>J106+J109</f>
        <v>-2.1150000000000002</v>
      </c>
      <c r="K134" s="732">
        <f>K106+K109</f>
        <v>-2.5179999999999998</v>
      </c>
      <c r="L134" s="732">
        <f>L106+L109</f>
        <v>-2.254</v>
      </c>
      <c r="M134" s="732">
        <f>M106+M109</f>
        <v>-2.1040000000000001</v>
      </c>
      <c r="N134" s="48">
        <f>N106+N109</f>
        <v>-8.9909999999999997</v>
      </c>
      <c r="P134" s="732">
        <f>P106+P109</f>
        <v>-2.129</v>
      </c>
      <c r="Q134" s="732">
        <f>Q106+Q109</f>
        <v>-2.5920000000000001</v>
      </c>
      <c r="R134" s="732">
        <f>R106+R109</f>
        <v>-3.8860000000000001</v>
      </c>
      <c r="S134" s="732">
        <f>S106+S109</f>
        <v>-4.4029999999999996</v>
      </c>
      <c r="T134" s="48">
        <f>T106+T109</f>
        <v>-13.01</v>
      </c>
      <c r="U134" s="204"/>
      <c r="V134" s="732">
        <f>V106+V109</f>
        <v>-4.3899999999999997</v>
      </c>
      <c r="W134" s="732">
        <f>W106+W109</f>
        <v>-4.6399999999999997</v>
      </c>
      <c r="X134" s="732">
        <f>X106+X109</f>
        <v>-4.8189584082920067</v>
      </c>
      <c r="Y134" s="732">
        <f>Y106+Y109</f>
        <v>-4.9950319942438242</v>
      </c>
      <c r="Z134" s="48">
        <f>Z106+Z109</f>
        <v>-18.84399040253583</v>
      </c>
      <c r="AB134" s="732">
        <f>AB106+AB109</f>
        <v>-5.3621214435197135</v>
      </c>
      <c r="AC134" s="732">
        <f>AC106+AC109</f>
        <v>-5.570346361850401</v>
      </c>
      <c r="AD134" s="732">
        <f>AD106+AD109</f>
        <v>-5.8366544926206725</v>
      </c>
      <c r="AE134" s="732">
        <f>AE106+AE109</f>
        <v>-6.1616989161808959</v>
      </c>
      <c r="AF134" s="48">
        <f>AF106+AF109</f>
        <v>-22.930821214171683</v>
      </c>
      <c r="AH134" s="48">
        <f>AH106+AH109</f>
        <v>-34.348547547062381</v>
      </c>
      <c r="AJ134" s="48">
        <f>AJ106+AJ109</f>
        <v>-45.456339471070883</v>
      </c>
      <c r="AK134" s="23"/>
      <c r="AL134" s="48">
        <f>AL106+AL109</f>
        <v>-57.975905084628032</v>
      </c>
    </row>
    <row r="135" spans="1:38" ht="14.25" customHeight="1">
      <c r="D135" s="773"/>
      <c r="E135" s="773"/>
      <c r="F135" s="773"/>
      <c r="G135" s="773"/>
      <c r="H135" s="24"/>
      <c r="J135" s="773"/>
      <c r="K135" s="773"/>
      <c r="L135" s="773"/>
      <c r="M135" s="773"/>
      <c r="N135" s="24"/>
      <c r="P135" s="773"/>
      <c r="Q135" s="773"/>
      <c r="R135" s="773"/>
      <c r="S135" s="773"/>
      <c r="T135" s="24"/>
      <c r="U135" s="774"/>
      <c r="V135" s="773"/>
      <c r="W135" s="773"/>
      <c r="X135" s="775"/>
      <c r="Y135" s="775"/>
      <c r="Z135" s="23"/>
      <c r="AB135" s="775"/>
      <c r="AC135" s="775"/>
      <c r="AD135" s="775"/>
      <c r="AE135" s="775"/>
      <c r="AF135" s="23"/>
      <c r="AH135" s="23"/>
      <c r="AJ135" s="33"/>
      <c r="AK135" s="23"/>
      <c r="AL135" s="23"/>
    </row>
    <row r="136" spans="1:38" ht="14.25" customHeight="1">
      <c r="B136" s="290" t="s">
        <v>438</v>
      </c>
      <c r="C136" s="291"/>
      <c r="D136" s="776">
        <f>D126+D94+D97+D103+D134</f>
        <v>-2.7228035532994923</v>
      </c>
      <c r="E136" s="776">
        <f>E126+E94+E97+E103+E134</f>
        <v>8.7693569424964934</v>
      </c>
      <c r="F136" s="776">
        <f>F126+F94+F97+F103+F134</f>
        <v>-4.00211048951049</v>
      </c>
      <c r="G136" s="776">
        <f>G126+G94+G97+G103+G134</f>
        <v>-3.7607825617977539</v>
      </c>
      <c r="H136" s="776">
        <f>H126+H94+H97+H103+H134</f>
        <v>22.875883479047324</v>
      </c>
      <c r="I136" s="291"/>
      <c r="J136" s="776">
        <f>J126+J94+J97+J103+J134</f>
        <v>8.9297030145737697</v>
      </c>
      <c r="K136" s="776">
        <f>K126+K94+K97+K103+K134</f>
        <v>21.073024779772389</v>
      </c>
      <c r="L136" s="776">
        <f>L126+L94+L97+L103+L134</f>
        <v>15.301224143205124</v>
      </c>
      <c r="M136" s="776">
        <f>M126+M94+M97+M103+M134</f>
        <v>24.922747705146033</v>
      </c>
      <c r="N136" s="776">
        <f>N126+N94+N97+N103+N134</f>
        <v>87.997609560439557</v>
      </c>
      <c r="O136" s="291"/>
      <c r="P136" s="776">
        <f>P126+P94+P97+P103+P134</f>
        <v>6.358677479035185</v>
      </c>
      <c r="Q136" s="776">
        <f>Q126+Q94+Q97+Q103+Q134</f>
        <v>32.564325814903029</v>
      </c>
      <c r="R136" s="776">
        <f>R126+R94+R97+R103+R134</f>
        <v>23.159562319319402</v>
      </c>
      <c r="S136" s="776">
        <f>S126+S94+S97+S103+S134</f>
        <v>41.155508041822642</v>
      </c>
      <c r="T136" s="776">
        <f>T126+T94+T97+T103+T134</f>
        <v>134.14671923737961</v>
      </c>
      <c r="U136" s="291"/>
      <c r="V136" s="776">
        <f>V126+V94+V97+V103+V134</f>
        <v>16.114762040692376</v>
      </c>
      <c r="W136" s="776">
        <f>W126+W94+W97+W103+W134</f>
        <v>42.303774946985762</v>
      </c>
      <c r="X136" s="776">
        <f t="shared" ref="X136:AH136" si="68">X126+X128+X130+X132+X134</f>
        <v>37.845890988218201</v>
      </c>
      <c r="Y136" s="776">
        <f t="shared" si="68"/>
        <v>35.695102696692025</v>
      </c>
      <c r="Z136" s="776">
        <f>Z126+Z128+Z130+Z132+Z134</f>
        <v>131.95953067258833</v>
      </c>
      <c r="AA136" s="302"/>
      <c r="AB136" s="776">
        <f t="shared" si="68"/>
        <v>36.132269861937417</v>
      </c>
      <c r="AC136" s="776">
        <f t="shared" si="68"/>
        <v>39.105251711563639</v>
      </c>
      <c r="AD136" s="776">
        <f t="shared" si="68"/>
        <v>40.63820312862218</v>
      </c>
      <c r="AE136" s="776">
        <f t="shared" si="68"/>
        <v>42.311774503824957</v>
      </c>
      <c r="AF136" s="776">
        <f t="shared" si="68"/>
        <v>158.1874992059482</v>
      </c>
      <c r="AG136" s="776"/>
      <c r="AH136" s="776">
        <f t="shared" si="68"/>
        <v>229.36175437500998</v>
      </c>
      <c r="AI136" s="776"/>
      <c r="AJ136" s="776">
        <f t="shared" ref="AJ136" si="69">AJ126+AJ128+AJ130+AJ132+AJ134</f>
        <v>295.58581310656717</v>
      </c>
      <c r="AK136" s="776"/>
      <c r="AL136" s="776">
        <f t="shared" ref="AL136" si="70">AL126+AL128+AL130+AL132+AL134</f>
        <v>374.28245393685802</v>
      </c>
    </row>
    <row r="138" spans="1:38" s="41" customFormat="1" ht="15" customHeight="1">
      <c r="A138" s="30" t="s">
        <v>39</v>
      </c>
      <c r="B138" s="161" t="s">
        <v>439</v>
      </c>
      <c r="C138" s="18"/>
      <c r="D138" s="162"/>
      <c r="E138" s="162"/>
      <c r="F138" s="162"/>
      <c r="G138" s="162"/>
      <c r="H138" s="162"/>
      <c r="I138" s="18"/>
      <c r="J138" s="162"/>
      <c r="K138" s="162"/>
      <c r="L138" s="162"/>
      <c r="M138" s="162"/>
      <c r="N138" s="162"/>
      <c r="O138" s="18"/>
      <c r="P138" s="162"/>
      <c r="Q138" s="162"/>
      <c r="R138" s="162"/>
      <c r="S138" s="162"/>
      <c r="T138" s="162"/>
      <c r="U138" s="18"/>
      <c r="V138" s="162"/>
      <c r="W138" s="162"/>
      <c r="X138" s="162"/>
      <c r="Y138" s="162"/>
      <c r="Z138" s="162"/>
      <c r="AA138" s="18"/>
      <c r="AB138" s="162"/>
      <c r="AC138" s="162"/>
      <c r="AD138" s="162"/>
      <c r="AE138" s="162"/>
      <c r="AF138" s="162"/>
      <c r="AG138" s="18"/>
      <c r="AH138" s="162"/>
      <c r="AI138" s="18"/>
      <c r="AJ138" s="163"/>
      <c r="AK138" s="18"/>
      <c r="AL138" s="163"/>
    </row>
    <row r="139" spans="1:38" s="41" customFormat="1" ht="15" customHeight="1">
      <c r="B139" s="164"/>
      <c r="C139" s="18"/>
      <c r="D139" s="165"/>
      <c r="E139" s="165"/>
      <c r="F139" s="165"/>
      <c r="G139" s="165"/>
      <c r="H139" s="165"/>
      <c r="I139" s="169"/>
      <c r="J139" s="165"/>
      <c r="K139" s="165"/>
      <c r="L139" s="165"/>
      <c r="M139" s="165"/>
      <c r="N139" s="165"/>
      <c r="O139" s="169"/>
      <c r="P139" s="165"/>
      <c r="Q139" s="165"/>
      <c r="R139" s="165"/>
      <c r="S139" s="165"/>
      <c r="T139" s="165"/>
      <c r="U139" s="169"/>
      <c r="V139" s="821">
        <f>V$8</f>
        <v>2025</v>
      </c>
      <c r="W139" s="821">
        <f>X139</f>
        <v>0</v>
      </c>
      <c r="X139" s="821">
        <f>X$8</f>
        <v>0</v>
      </c>
      <c r="Y139" s="821">
        <f>X139</f>
        <v>0</v>
      </c>
      <c r="Z139" s="821">
        <f>X139</f>
        <v>0</v>
      </c>
      <c r="AA139" s="169"/>
      <c r="AB139" s="821">
        <f>AB$8</f>
        <v>2026</v>
      </c>
      <c r="AC139" s="821">
        <f>AD139</f>
        <v>0</v>
      </c>
      <c r="AD139" s="821">
        <f>AD$8</f>
        <v>0</v>
      </c>
      <c r="AE139" s="821">
        <f>AD139</f>
        <v>0</v>
      </c>
      <c r="AF139" s="821">
        <f>AD139</f>
        <v>0</v>
      </c>
      <c r="AG139" s="171"/>
      <c r="AH139" s="721">
        <f>AH$8</f>
        <v>2027</v>
      </c>
      <c r="AI139" s="167"/>
      <c r="AJ139" s="721">
        <f>AJ$8</f>
        <v>2028</v>
      </c>
      <c r="AK139" s="167"/>
      <c r="AL139" s="721">
        <f>AL$8</f>
        <v>2029</v>
      </c>
    </row>
    <row r="140" spans="1:38" s="41" customFormat="1" ht="14.25" customHeight="1">
      <c r="B140" s="164"/>
      <c r="C140" s="18"/>
      <c r="D140" s="168"/>
      <c r="E140" s="168"/>
      <c r="F140" s="168"/>
      <c r="G140" s="168"/>
      <c r="H140" s="168"/>
      <c r="I140" s="165"/>
      <c r="J140" s="168"/>
      <c r="K140" s="168"/>
      <c r="L140" s="168"/>
      <c r="M140" s="168"/>
      <c r="N140" s="168"/>
      <c r="O140" s="165"/>
      <c r="P140" s="168"/>
      <c r="Q140" s="168"/>
      <c r="R140" s="168"/>
      <c r="S140" s="168"/>
      <c r="T140" s="168"/>
      <c r="U140" s="165"/>
      <c r="V140" s="168" t="s">
        <v>173</v>
      </c>
      <c r="W140" s="168" t="s">
        <v>174</v>
      </c>
      <c r="X140" s="168" t="s">
        <v>175</v>
      </c>
      <c r="Y140" s="168" t="s">
        <v>176</v>
      </c>
      <c r="Z140" s="168" t="s">
        <v>177</v>
      </c>
      <c r="AA140" s="165"/>
      <c r="AB140" s="168" t="s">
        <v>173</v>
      </c>
      <c r="AC140" s="168" t="s">
        <v>174</v>
      </c>
      <c r="AD140" s="168" t="s">
        <v>175</v>
      </c>
      <c r="AE140" s="168" t="s">
        <v>176</v>
      </c>
      <c r="AF140" s="168" t="s">
        <v>177</v>
      </c>
      <c r="AG140" s="165"/>
      <c r="AH140" s="168" t="s">
        <v>177</v>
      </c>
      <c r="AI140" s="165"/>
      <c r="AJ140" s="168" t="s">
        <v>177</v>
      </c>
      <c r="AK140" s="165"/>
      <c r="AL140" s="168" t="s">
        <v>177</v>
      </c>
    </row>
    <row r="141" spans="1:38" s="41" customFormat="1" ht="4" customHeight="1">
      <c r="A141" s="43"/>
      <c r="B141" s="176"/>
      <c r="C141" s="35"/>
      <c r="D141" s="177"/>
      <c r="E141" s="177"/>
      <c r="F141" s="177"/>
      <c r="G141" s="177"/>
      <c r="H141" s="177"/>
      <c r="I141" s="178"/>
      <c r="J141" s="177"/>
      <c r="K141" s="177"/>
      <c r="L141" s="177"/>
      <c r="M141" s="177"/>
      <c r="N141" s="177"/>
      <c r="O141" s="178"/>
      <c r="P141" s="177"/>
      <c r="Q141" s="177"/>
      <c r="R141" s="177"/>
      <c r="S141" s="177"/>
      <c r="T141" s="177"/>
      <c r="U141" s="178"/>
      <c r="V141" s="177"/>
      <c r="W141" s="177"/>
      <c r="X141" s="177"/>
      <c r="Y141" s="177"/>
      <c r="Z141" s="179"/>
      <c r="AA141" s="180"/>
      <c r="AB141" s="179"/>
      <c r="AC141" s="179"/>
      <c r="AD141" s="179"/>
      <c r="AE141" s="179"/>
      <c r="AF141" s="179"/>
      <c r="AG141" s="180"/>
      <c r="AH141" s="179"/>
      <c r="AI141" s="180"/>
      <c r="AJ141" s="179"/>
      <c r="AK141" s="180"/>
      <c r="AL141" s="179"/>
    </row>
    <row r="142" spans="1:38" ht="4" customHeight="1"/>
    <row r="143" spans="1:38" ht="14.25" customHeight="1">
      <c r="B143" s="161" t="s">
        <v>440</v>
      </c>
      <c r="C143" s="185"/>
      <c r="D143" s="285"/>
      <c r="E143" s="285"/>
      <c r="F143" s="285"/>
      <c r="G143" s="285"/>
      <c r="H143" s="285"/>
      <c r="I143" s="185"/>
      <c r="J143" s="285"/>
      <c r="K143" s="285"/>
      <c r="L143" s="285"/>
      <c r="M143" s="285"/>
      <c r="N143" s="285"/>
      <c r="O143" s="185"/>
      <c r="P143" s="285"/>
      <c r="Q143" s="285"/>
      <c r="R143" s="285"/>
      <c r="S143" s="285"/>
      <c r="T143" s="285"/>
      <c r="U143" s="185"/>
      <c r="V143" s="285"/>
      <c r="W143" s="285"/>
      <c r="X143" s="285"/>
      <c r="Y143" s="285"/>
      <c r="Z143" s="285"/>
      <c r="AA143" s="185"/>
      <c r="AB143" s="285"/>
      <c r="AC143" s="285"/>
      <c r="AD143" s="285"/>
      <c r="AE143" s="285"/>
      <c r="AF143" s="285"/>
      <c r="AG143" s="185"/>
      <c r="AH143" s="285"/>
      <c r="AI143" s="185"/>
      <c r="AJ143" s="286"/>
      <c r="AK143" s="285"/>
      <c r="AL143" s="285"/>
    </row>
    <row r="144" spans="1:38" ht="4" customHeight="1">
      <c r="B144" s="287"/>
      <c r="C144" s="36"/>
      <c r="D144" s="287"/>
      <c r="E144" s="287"/>
      <c r="F144" s="287"/>
      <c r="G144" s="287"/>
      <c r="H144" s="287"/>
      <c r="I144" s="36"/>
      <c r="J144" s="287"/>
      <c r="K144" s="287"/>
      <c r="L144" s="287"/>
      <c r="M144" s="287"/>
      <c r="N144" s="287"/>
      <c r="O144" s="36"/>
      <c r="P144" s="287"/>
      <c r="Q144" s="287"/>
      <c r="R144" s="287"/>
      <c r="S144" s="287"/>
      <c r="T144" s="287"/>
      <c r="U144" s="36"/>
      <c r="V144" s="287"/>
      <c r="W144" s="287"/>
      <c r="X144" s="287"/>
      <c r="Y144" s="287"/>
      <c r="Z144" s="287"/>
      <c r="AA144" s="36"/>
      <c r="AB144" s="287"/>
      <c r="AC144" s="287"/>
      <c r="AD144" s="287"/>
      <c r="AE144" s="287"/>
      <c r="AF144" s="287"/>
      <c r="AG144" s="36"/>
      <c r="AH144" s="287"/>
      <c r="AI144" s="36"/>
      <c r="AJ144" s="288"/>
      <c r="AK144" s="287"/>
      <c r="AL144" s="287"/>
    </row>
    <row r="146" spans="2:38" ht="14.25" customHeight="1">
      <c r="B146" s="97" t="s">
        <v>441</v>
      </c>
      <c r="V146" s="293"/>
      <c r="W146" s="293"/>
      <c r="X146" s="293"/>
      <c r="Y146" s="617">
        <f ca="1">YEARFRAC(TODAY(),"2025-12-31")</f>
        <v>0.19444444444444445</v>
      </c>
      <c r="Z146" s="617"/>
      <c r="AB146" s="617">
        <f ca="1">YEARFRAC(TODAY(),Inputs!$D$17+365+90)</f>
        <v>1.4444444444444444</v>
      </c>
      <c r="AC146" s="617">
        <f ca="1">YEARFRAC(TODAY(),Inputs!$D$17+365+90+91)</f>
        <v>1.6916666666666667</v>
      </c>
      <c r="AD146" s="617">
        <f ca="1">YEARFRAC(TODAY(),Inputs!$D$17+365+90+91+92)</f>
        <v>1.9416666666666667</v>
      </c>
      <c r="AE146" s="617">
        <f ca="1">YEARFRAC(TODAY(),Inputs!$D$17+720)</f>
        <v>2.1666666666666665</v>
      </c>
      <c r="AF146" s="617"/>
      <c r="AH146" s="617">
        <f ca="1">YEARFRAC(TODAY(),Inputs!$D$17+730+365)</f>
        <v>3.1916666666666669</v>
      </c>
      <c r="AJ146" s="617">
        <f ca="1">YEARFRAC(TODAY(),Inputs!$D$17+730+731)</f>
        <v>4.1944444444444446</v>
      </c>
      <c r="AK146" s="23"/>
      <c r="AL146" s="617">
        <f ca="1">YEARFRAC(TODAY(),Inputs!$D$17+730+731+365)</f>
        <v>5.1944444444444446</v>
      </c>
    </row>
    <row r="147" spans="2:38" ht="14.25" customHeight="1">
      <c r="B147" s="97" t="s">
        <v>442</v>
      </c>
      <c r="X147" s="617">
        <f>X146/2</f>
        <v>0</v>
      </c>
      <c r="Y147" s="617">
        <f ca="1">X146+(Y146-X146)/2</f>
        <v>9.7222222222222224E-2</v>
      </c>
      <c r="Z147" s="617"/>
      <c r="AB147" s="617">
        <f ca="1">Y146+(AB146-Y146)/2</f>
        <v>0.81944444444444442</v>
      </c>
      <c r="AC147" s="617">
        <f ca="1">AB146+(AC146-AB146)/2</f>
        <v>1.5680555555555555</v>
      </c>
      <c r="AD147" s="617">
        <f ca="1">AC146+(AD146-AC146)/2</f>
        <v>1.8166666666666667</v>
      </c>
      <c r="AE147" s="617">
        <f ca="1">AD146+(AE146-AD146)/2</f>
        <v>2.0541666666666667</v>
      </c>
      <c r="AF147" s="617"/>
      <c r="AH147" s="617">
        <f ca="1">AE146+(AH146-AE146)/2</f>
        <v>2.6791666666666667</v>
      </c>
      <c r="AJ147" s="617">
        <f ca="1">AH146+(AJ146-AH146)/2</f>
        <v>3.6930555555555555</v>
      </c>
      <c r="AK147" s="23"/>
      <c r="AL147" s="617">
        <f ca="1">AJ146+(AL146-AJ146)/2</f>
        <v>4.6944444444444446</v>
      </c>
    </row>
    <row r="148" spans="2:38" ht="14.25" customHeight="1">
      <c r="X148" s="23"/>
      <c r="Y148" s="23"/>
      <c r="Z148" s="23"/>
      <c r="AB148" s="23"/>
      <c r="AC148" s="23"/>
      <c r="AD148" s="23"/>
      <c r="AE148" s="23"/>
      <c r="AF148" s="23"/>
      <c r="AH148" s="23"/>
      <c r="AJ148" s="33"/>
      <c r="AK148" s="23"/>
      <c r="AL148" s="23"/>
    </row>
    <row r="149" spans="2:38" ht="14.25" customHeight="1">
      <c r="B149" s="97" t="s">
        <v>443</v>
      </c>
      <c r="V149" s="292"/>
      <c r="W149" s="292"/>
      <c r="X149" s="769">
        <f>WACC!$D$39+Sensitivity!U41</f>
        <v>2.5084074719770699E-2</v>
      </c>
      <c r="Y149" s="769">
        <f>WACC!$D$39+Sensitivity!U41</f>
        <v>2.5084074719770699E-2</v>
      </c>
      <c r="Z149" s="769"/>
      <c r="AB149" s="519">
        <f>WACC!$E$39+Sensitivity!U41</f>
        <v>8.6932772179986073E-2</v>
      </c>
      <c r="AC149" s="519">
        <f>WACC!$E$39+Sensitivity!U41</f>
        <v>8.6932772179986073E-2</v>
      </c>
      <c r="AD149" s="519">
        <f>WACC!$E$39+Sensitivity!U41</f>
        <v>8.6932772179986073E-2</v>
      </c>
      <c r="AE149" s="519">
        <f>WACC!$E$39+Sensitivity!U41</f>
        <v>8.6932772179986073E-2</v>
      </c>
      <c r="AF149" s="519"/>
      <c r="AH149" s="519">
        <f>WACC!$F$39+Sensitivity!U41</f>
        <v>8.6931434542385902E-2</v>
      </c>
      <c r="AJ149" s="519">
        <f>WACC!$G$39+Sensitivity!U41</f>
        <v>8.6909665093193852E-2</v>
      </c>
      <c r="AK149" s="23"/>
      <c r="AL149" s="519">
        <f>WACC!$H$39+Sensitivity!U41</f>
        <v>8.6905146936065145E-2</v>
      </c>
    </row>
    <row r="150" spans="2:38" ht="14.25" customHeight="1">
      <c r="B150" s="97" t="s">
        <v>444</v>
      </c>
      <c r="V150" s="292"/>
      <c r="W150" s="292"/>
      <c r="X150" s="434">
        <f>(1+X149)^X147</f>
        <v>1</v>
      </c>
      <c r="Y150" s="434">
        <f ca="1">((1+X149)^X147)*((1+Y149)^Y147)</f>
        <v>1.0024115480239264</v>
      </c>
      <c r="Z150" s="434"/>
      <c r="AB150" s="434">
        <f ca="1">((1+X149)^X147)*((1+Y149)^Y147)*((1+AB149)^AB147)</f>
        <v>1.073277806416822</v>
      </c>
      <c r="AC150" s="434">
        <f ca="1">((1+X149)^X147)*((1+Y149)^Y147)*((1+AB149)^AB147)*((1+AC149)^AC147)</f>
        <v>1.2231506988669467</v>
      </c>
      <c r="AD150" s="434">
        <f ca="1">((1+X149)^X147)*((1+Y149)^Y147)*((1+AB149)^AB147)*((1+AC149)^AC147)*((1+AD149)^AD147)</f>
        <v>1.4231418038569095</v>
      </c>
      <c r="AE150" s="434">
        <f ca="1">((1+X149)^X147)*((1+Y149)^Y147)*((1+AB149)^AB147)*((1+AC149)^AC147)*((1+AD149)^AD147)*((1+AE149)^AE147)</f>
        <v>1.6889411666588414</v>
      </c>
      <c r="AF150" s="519"/>
      <c r="AH150" s="434">
        <f ca="1">((1+X149)^X147)*((1+Y149)^Y147)*((1+AB149)^AB147)*((1+AC149)^AC147)*((1+AD149)^AD147)*((1+AE149)^AE147)*((1+AH149)^AH147)</f>
        <v>2.1115730578927163</v>
      </c>
      <c r="AI150" s="434"/>
      <c r="AJ150" s="434">
        <f ca="1">((1+X149)^X147)*((1+Y149)^Y147)*((1+AB149)^AB147)*((1+AC149)^AC147)*((1+AD149)^AD147)*((1+AE149)^AE147)*((1+AH149)^AH147)*((1+AJ149)^AJ147)</f>
        <v>2.872569440884742</v>
      </c>
      <c r="AK150" s="434"/>
      <c r="AL150" s="434">
        <f ca="1">((1+X149)^X147)*((1+Y149)^Y147)*((1+AB149)^AB147)*((1+AC149)^AC147)*((1+AD149)^AD147)*((1+AE149)^AE147)*((1+AH149)^AH147)*((1+AJ149)^AJ147)*((1+AL149)^AL147)</f>
        <v>4.2478600919780547</v>
      </c>
    </row>
    <row r="151" spans="2:38" s="105" customFormat="1" ht="14.25" customHeight="1">
      <c r="C151" s="33"/>
      <c r="I151" s="33"/>
      <c r="O151" s="33"/>
      <c r="U151" s="33"/>
      <c r="AA151" s="33"/>
      <c r="AG151" s="33"/>
      <c r="AI151" s="33"/>
    </row>
    <row r="152" spans="2:38" ht="14.25" customHeight="1">
      <c r="B152" s="294" t="s">
        <v>445</v>
      </c>
      <c r="C152" s="291"/>
      <c r="D152" s="289"/>
      <c r="E152" s="289"/>
      <c r="F152" s="289"/>
      <c r="G152" s="289"/>
      <c r="H152" s="289"/>
      <c r="I152" s="291"/>
      <c r="J152" s="289"/>
      <c r="K152" s="289"/>
      <c r="L152" s="289"/>
      <c r="M152" s="289"/>
      <c r="N152" s="289"/>
      <c r="O152" s="291"/>
      <c r="P152" s="289"/>
      <c r="Q152" s="289"/>
      <c r="R152" s="289"/>
      <c r="S152" s="289"/>
      <c r="T152" s="289"/>
      <c r="U152" s="291"/>
      <c r="V152" s="289"/>
      <c r="W152" s="289"/>
      <c r="X152" s="302">
        <f ca="1">X136/X150*(Inputs!$D$17-92-TODAY())/92</f>
        <v>-8.6387359864411106</v>
      </c>
      <c r="Y152" s="302">
        <f ca="1">Y136/Y150</f>
        <v>35.609229330067556</v>
      </c>
      <c r="Z152" s="302"/>
      <c r="AA152" s="302"/>
      <c r="AB152" s="302">
        <f ca="1">AB136/AB150</f>
        <v>33.66534707595077</v>
      </c>
      <c r="AC152" s="302">
        <f ca="1">AC136/AC150</f>
        <v>31.970918831006184</v>
      </c>
      <c r="AD152" s="302">
        <f ca="1">AD136/AD150</f>
        <v>28.555273282315984</v>
      </c>
      <c r="AE152" s="302">
        <f ca="1">AE136/AE150</f>
        <v>25.052248911386588</v>
      </c>
      <c r="AF152" s="302"/>
      <c r="AG152" s="302"/>
      <c r="AH152" s="302">
        <f ca="1">AH136/AH150</f>
        <v>108.62127337611791</v>
      </c>
      <c r="AI152" s="302"/>
      <c r="AJ152" s="302">
        <f ca="1">AJ136/AJ150</f>
        <v>102.89944914805183</v>
      </c>
      <c r="AK152" s="302"/>
      <c r="AL152" s="302">
        <f ca="1">AL136/AL150</f>
        <v>88.110824234460594</v>
      </c>
    </row>
    <row r="154" spans="2:38" ht="14.25" customHeight="1">
      <c r="B154" s="161" t="s">
        <v>446</v>
      </c>
      <c r="C154" s="185"/>
      <c r="D154" s="285"/>
      <c r="E154" s="285"/>
      <c r="F154" s="285"/>
      <c r="G154" s="285"/>
      <c r="H154" s="285"/>
      <c r="I154" s="185"/>
      <c r="J154" s="285"/>
      <c r="K154" s="285"/>
      <c r="L154" s="285"/>
      <c r="M154" s="285"/>
      <c r="N154" s="285"/>
      <c r="O154" s="185"/>
      <c r="P154" s="285"/>
      <c r="Q154" s="285"/>
      <c r="R154" s="285"/>
      <c r="S154" s="285"/>
      <c r="T154" s="285"/>
      <c r="U154" s="185"/>
      <c r="V154" s="285"/>
      <c r="W154" s="285"/>
      <c r="X154" s="285"/>
      <c r="Y154" s="285"/>
      <c r="Z154" s="285"/>
      <c r="AA154" s="185"/>
      <c r="AB154" s="285"/>
      <c r="AC154" s="285"/>
      <c r="AD154" s="285"/>
      <c r="AE154" s="285"/>
      <c r="AF154" s="285"/>
      <c r="AG154" s="185"/>
      <c r="AH154" s="285"/>
      <c r="AI154" s="185"/>
      <c r="AJ154" s="286"/>
      <c r="AK154" s="285"/>
      <c r="AL154" s="285"/>
    </row>
    <row r="155" spans="2:38" ht="4" customHeight="1">
      <c r="B155" s="287"/>
      <c r="C155" s="36"/>
      <c r="D155" s="287"/>
      <c r="E155" s="287"/>
      <c r="F155" s="287"/>
      <c r="G155" s="287"/>
      <c r="H155" s="287"/>
      <c r="I155" s="36"/>
      <c r="J155" s="287"/>
      <c r="K155" s="287"/>
      <c r="L155" s="287"/>
      <c r="M155" s="287"/>
      <c r="N155" s="287"/>
      <c r="O155" s="36"/>
      <c r="P155" s="287"/>
      <c r="Q155" s="287"/>
      <c r="R155" s="287"/>
      <c r="S155" s="287"/>
      <c r="T155" s="287"/>
      <c r="U155" s="36"/>
      <c r="V155" s="287"/>
      <c r="W155" s="287"/>
      <c r="X155" s="287"/>
      <c r="Y155" s="287"/>
      <c r="Z155" s="287"/>
      <c r="AA155" s="36"/>
      <c r="AB155" s="287"/>
      <c r="AC155" s="287"/>
      <c r="AD155" s="287"/>
      <c r="AE155" s="287"/>
      <c r="AF155" s="287"/>
      <c r="AG155" s="36"/>
      <c r="AH155" s="287"/>
      <c r="AI155" s="36"/>
      <c r="AJ155" s="288"/>
      <c r="AK155" s="287"/>
      <c r="AL155" s="287"/>
    </row>
    <row r="156" spans="2:38" ht="14.25" customHeight="1">
      <c r="B156" s="292"/>
      <c r="C156" s="25"/>
      <c r="D156" s="292"/>
      <c r="E156" s="292"/>
      <c r="F156" s="292"/>
      <c r="G156" s="292"/>
      <c r="H156" s="292"/>
      <c r="I156" s="25"/>
      <c r="J156" s="292"/>
      <c r="K156" s="292"/>
      <c r="L156" s="292"/>
      <c r="M156" s="292"/>
      <c r="N156" s="292"/>
      <c r="O156" s="25"/>
      <c r="P156" s="292"/>
      <c r="Q156" s="292"/>
      <c r="R156" s="292"/>
      <c r="S156" s="292"/>
      <c r="T156" s="292"/>
    </row>
    <row r="157" spans="2:38" s="321" customFormat="1" ht="14.25" customHeight="1">
      <c r="B157" s="324"/>
      <c r="C157" s="325"/>
      <c r="D157" s="324"/>
      <c r="E157" s="324"/>
      <c r="F157" s="324"/>
      <c r="G157" s="324"/>
      <c r="H157" s="326"/>
      <c r="I157" s="325"/>
      <c r="J157" s="324"/>
      <c r="K157" s="324"/>
      <c r="L157" s="324"/>
      <c r="M157" s="324"/>
      <c r="N157" s="324"/>
      <c r="O157" s="325"/>
      <c r="P157" s="324"/>
      <c r="Q157" s="568" t="s">
        <v>447</v>
      </c>
      <c r="R157" s="663" t="s">
        <v>448</v>
      </c>
      <c r="S157" s="324"/>
      <c r="T157" s="324"/>
      <c r="U157" s="322"/>
      <c r="V157" s="323" t="s">
        <v>449</v>
      </c>
      <c r="W157" s="323"/>
      <c r="X157" s="323"/>
      <c r="Y157" s="323"/>
      <c r="Z157" s="323"/>
      <c r="AB157" s="323" t="s">
        <v>450</v>
      </c>
      <c r="AC157" s="323"/>
      <c r="AD157" s="323"/>
      <c r="AE157" s="323"/>
      <c r="AF157" s="323"/>
      <c r="AG157" s="322"/>
      <c r="AH157" s="323" t="s">
        <v>451</v>
      </c>
      <c r="AI157" s="323"/>
      <c r="AJ157" s="323"/>
      <c r="AK157" s="323"/>
      <c r="AL157" s="323"/>
    </row>
    <row r="158" spans="2:38" ht="4" customHeight="1">
      <c r="B158" s="292"/>
      <c r="C158" s="25"/>
      <c r="D158" s="292"/>
      <c r="E158" s="292"/>
      <c r="F158" s="292"/>
      <c r="G158" s="292"/>
      <c r="H158" s="292"/>
      <c r="I158" s="25"/>
      <c r="J158" s="292"/>
      <c r="K158" s="292"/>
      <c r="L158" s="292"/>
      <c r="M158" s="292"/>
      <c r="N158" s="292"/>
      <c r="O158" s="25"/>
      <c r="P158" s="292"/>
      <c r="Q158" s="292"/>
      <c r="R158" s="292"/>
      <c r="S158" s="292"/>
      <c r="T158" s="292"/>
      <c r="V158" s="287"/>
      <c r="W158" s="287"/>
      <c r="X158" s="287"/>
      <c r="Y158" s="287"/>
      <c r="Z158" s="287"/>
      <c r="AA158" s="97"/>
      <c r="AB158" s="287"/>
      <c r="AC158" s="287"/>
      <c r="AD158" s="287"/>
      <c r="AE158" s="287"/>
      <c r="AF158" s="287"/>
      <c r="AH158" s="287"/>
      <c r="AI158" s="287"/>
      <c r="AJ158" s="287"/>
      <c r="AK158" s="287"/>
      <c r="AL158" s="287"/>
    </row>
    <row r="159" spans="2:38" ht="14.25" customHeight="1">
      <c r="B159" s="292"/>
      <c r="C159" s="25"/>
      <c r="D159" s="292"/>
      <c r="E159" s="292"/>
      <c r="F159" s="292"/>
      <c r="G159" s="292"/>
      <c r="H159" s="292"/>
      <c r="I159" s="25"/>
      <c r="M159" s="292"/>
      <c r="N159" s="292"/>
      <c r="O159" s="25"/>
      <c r="P159" s="292"/>
      <c r="Q159" s="292"/>
      <c r="R159" s="292"/>
      <c r="S159" s="292"/>
      <c r="T159" s="292"/>
      <c r="V159" s="97" t="s">
        <v>452</v>
      </c>
      <c r="Z159" s="338">
        <f>Inputs!M14</f>
        <v>2.8890261752911051</v>
      </c>
      <c r="AB159" s="97" t="s">
        <v>453</v>
      </c>
      <c r="AF159" s="338">
        <f>Inputs!M13</f>
        <v>0.86185608628048715</v>
      </c>
      <c r="AH159" s="97" t="s">
        <v>454</v>
      </c>
      <c r="AL159" s="313">
        <f>AL136/AJ136-1</f>
        <v>0.26623957355462946</v>
      </c>
    </row>
    <row r="160" spans="2:38" ht="14.25" customHeight="1">
      <c r="B160" s="292"/>
      <c r="C160" s="25"/>
      <c r="D160" s="292"/>
      <c r="E160" s="292"/>
      <c r="F160" s="292"/>
      <c r="G160" s="292"/>
      <c r="H160" s="292"/>
      <c r="I160" s="25"/>
      <c r="M160" s="292"/>
      <c r="N160" s="292"/>
      <c r="O160" s="25"/>
      <c r="P160" s="292"/>
      <c r="Q160" s="292"/>
      <c r="R160" s="292"/>
      <c r="S160" s="292"/>
      <c r="T160" s="292"/>
      <c r="V160" s="97" t="s">
        <v>455</v>
      </c>
      <c r="Z160" s="327">
        <v>5</v>
      </c>
      <c r="AB160" s="97" t="s">
        <v>456</v>
      </c>
      <c r="AF160" s="327">
        <v>1.5</v>
      </c>
      <c r="AH160" s="97" t="s">
        <v>457</v>
      </c>
      <c r="AL160" s="303">
        <v>0.02</v>
      </c>
    </row>
    <row r="161" spans="2:38" ht="14.25" customHeight="1">
      <c r="B161" s="292"/>
      <c r="C161" s="25"/>
      <c r="D161" s="292"/>
      <c r="E161" s="292"/>
      <c r="F161" s="292"/>
      <c r="G161" s="292"/>
      <c r="H161" s="292"/>
      <c r="I161" s="25"/>
      <c r="M161" s="292"/>
      <c r="N161" s="292"/>
      <c r="O161" s="25"/>
      <c r="P161" s="292"/>
      <c r="Q161" s="292"/>
      <c r="R161" s="292" t="str">
        <f>R157</f>
        <v>Revenue Exit</v>
      </c>
      <c r="S161" s="292"/>
      <c r="T161" s="292"/>
      <c r="V161" s="97" t="s">
        <v>446</v>
      </c>
      <c r="Z161" s="301">
        <f>(Z160+Sensitivity!U43)*(AL122+AL128)</f>
        <v>2513.7606464840583</v>
      </c>
      <c r="AB161" s="97" t="s">
        <v>446</v>
      </c>
      <c r="AF161" s="301">
        <f>(AF160+Sensitivity!U44)*(AL31)</f>
        <v>2484.6816464840585</v>
      </c>
      <c r="AH161" s="97" t="s">
        <v>446</v>
      </c>
      <c r="AL161" s="301">
        <f>AL136*(1+AL160+Sensitivity!U42)/(AL149-AL160-Sensitivity!U42)</f>
        <v>5706.1096268186138</v>
      </c>
    </row>
    <row r="162" spans="2:38" ht="14.25" customHeight="1">
      <c r="B162" s="292"/>
      <c r="C162" s="25"/>
      <c r="D162" s="292"/>
      <c r="E162" s="292"/>
      <c r="F162" s="292"/>
      <c r="G162" s="292"/>
      <c r="H162" s="292"/>
      <c r="I162" s="25"/>
      <c r="M162" s="292"/>
      <c r="N162" s="292"/>
      <c r="O162" s="25"/>
      <c r="P162" s="292"/>
      <c r="Q162" s="292"/>
      <c r="R162" s="569">
        <f ca="1">IF($R$161="Revenue Exit",$AF$171,IF($R$161="EBITDA Exit",$Z$171,$AL$171))</f>
        <v>0.96012700819272379</v>
      </c>
      <c r="S162" s="292"/>
      <c r="T162" s="292"/>
      <c r="V162" s="328" t="s">
        <v>458</v>
      </c>
      <c r="W162" s="328"/>
      <c r="X162" s="328"/>
      <c r="Y162" s="328"/>
      <c r="Z162" s="329">
        <f ca="1">Z161/AL150</f>
        <v>591.77105461434883</v>
      </c>
      <c r="AB162" s="328" t="s">
        <v>458</v>
      </c>
      <c r="AC162" s="328"/>
      <c r="AD162" s="328"/>
      <c r="AE162" s="328"/>
      <c r="AF162" s="329">
        <f ca="1">AF161/AL150</f>
        <v>584.92549017240447</v>
      </c>
      <c r="AH162" s="328" t="s">
        <v>458</v>
      </c>
      <c r="AI162" s="336"/>
      <c r="AJ162" s="337"/>
      <c r="AK162" s="328"/>
      <c r="AL162" s="329">
        <f ca="1">AL161/AL150</f>
        <v>1343.2903869867127</v>
      </c>
    </row>
    <row r="163" spans="2:38" ht="14.25" customHeight="1">
      <c r="B163" s="292"/>
      <c r="C163" s="25"/>
      <c r="D163" s="292"/>
      <c r="E163" s="292"/>
      <c r="F163" s="292"/>
      <c r="G163" s="292"/>
      <c r="H163" s="292"/>
      <c r="I163" s="25"/>
      <c r="M163" s="292"/>
      <c r="N163" s="292"/>
      <c r="O163" s="25"/>
      <c r="P163" s="292"/>
      <c r="Q163" s="292"/>
      <c r="R163" s="569">
        <f ca="1">1-R162</f>
        <v>3.9872991807276215E-2</v>
      </c>
      <c r="S163" s="292"/>
      <c r="T163" s="292"/>
      <c r="V163" s="105" t="s">
        <v>459</v>
      </c>
      <c r="W163" s="105"/>
      <c r="X163" s="105"/>
      <c r="Y163" s="105"/>
      <c r="Z163" s="307">
        <f ca="1">Z162+SUM(V152:AL152)</f>
        <v>1037.6168828172652</v>
      </c>
      <c r="AB163" s="105" t="s">
        <v>459</v>
      </c>
      <c r="AC163" s="105"/>
      <c r="AD163" s="105"/>
      <c r="AE163" s="105"/>
      <c r="AF163" s="307">
        <f ca="1">AF162+SUM(V152:AL152)</f>
        <v>1030.7713183753208</v>
      </c>
      <c r="AH163" s="105" t="s">
        <v>459</v>
      </c>
      <c r="AI163" s="105"/>
      <c r="AK163" s="105"/>
      <c r="AL163" s="307">
        <f ca="1">AL162+SUM(V152:AL152)</f>
        <v>1789.1362151896292</v>
      </c>
    </row>
    <row r="164" spans="2:38" ht="14.25" customHeight="1">
      <c r="B164" s="292"/>
      <c r="C164" s="25"/>
      <c r="D164" s="292"/>
      <c r="E164" s="292"/>
      <c r="F164" s="292"/>
      <c r="G164" s="292"/>
      <c r="H164" s="292"/>
      <c r="I164" s="25"/>
      <c r="M164" s="292"/>
      <c r="N164" s="292"/>
      <c r="O164" s="25"/>
      <c r="P164" s="292"/>
      <c r="Q164" s="292"/>
      <c r="R164" s="97" t="str">
        <f ca="1">IF(R162&gt;0,"Upside","Downside")</f>
        <v>Upside</v>
      </c>
      <c r="S164" s="292"/>
      <c r="T164" s="292"/>
      <c r="V164" s="97" t="s">
        <v>460</v>
      </c>
      <c r="Z164" s="68">
        <f>BS!AI45+BS!AI44+BS!AI39+BS!AI38-BS!AI15</f>
        <v>273.053</v>
      </c>
      <c r="AB164" s="97" t="s">
        <v>460</v>
      </c>
      <c r="AF164" s="68">
        <f>BS!AI45+BS!AI44+BS!AI39+BS!AI38-BS!AI15</f>
        <v>273.053</v>
      </c>
      <c r="AH164" s="97" t="s">
        <v>460</v>
      </c>
      <c r="AI164" s="97"/>
      <c r="AJ164" s="97"/>
      <c r="AL164" s="68">
        <f>BS!AI45+BS!AI44+BS!AI39+BS!AI38-BS!AI15</f>
        <v>273.053</v>
      </c>
    </row>
    <row r="165" spans="2:38" ht="14.25" customHeight="1">
      <c r="B165" s="292"/>
      <c r="C165" s="25"/>
      <c r="D165" s="292"/>
      <c r="E165" s="292"/>
      <c r="F165" s="292"/>
      <c r="G165" s="292"/>
      <c r="H165" s="292"/>
      <c r="I165" s="25"/>
      <c r="M165" s="292"/>
      <c r="N165" s="292"/>
      <c r="O165" s="25"/>
      <c r="P165" s="292"/>
      <c r="Q165" s="292"/>
      <c r="R165" s="292"/>
      <c r="S165" s="292"/>
      <c r="T165" s="292"/>
      <c r="V165" s="97" t="s">
        <v>461</v>
      </c>
      <c r="Z165" s="68">
        <f ca="1">Inputs!U63</f>
        <v>0</v>
      </c>
      <c r="AB165" s="97" t="s">
        <v>461</v>
      </c>
      <c r="AF165" s="68">
        <f ca="1">Inputs!U63</f>
        <v>0</v>
      </c>
      <c r="AH165" s="97" t="s">
        <v>461</v>
      </c>
      <c r="AI165" s="97"/>
      <c r="AJ165" s="97"/>
      <c r="AL165" s="68">
        <f ca="1">Inputs!U63</f>
        <v>0</v>
      </c>
    </row>
    <row r="166" spans="2:38" ht="14.25" customHeight="1">
      <c r="V166" s="328" t="s">
        <v>462</v>
      </c>
      <c r="W166" s="328"/>
      <c r="X166" s="328"/>
      <c r="Y166" s="328"/>
      <c r="Z166" s="75">
        <f>BS!AI53</f>
        <v>204.35400000000001</v>
      </c>
      <c r="AB166" s="328" t="s">
        <v>462</v>
      </c>
      <c r="AC166" s="328"/>
      <c r="AD166" s="328"/>
      <c r="AE166" s="328"/>
      <c r="AF166" s="75">
        <f>BS!AI53</f>
        <v>204.35400000000001</v>
      </c>
      <c r="AH166" s="328" t="s">
        <v>462</v>
      </c>
      <c r="AI166" s="328"/>
      <c r="AJ166" s="328"/>
      <c r="AK166" s="328"/>
      <c r="AL166" s="75">
        <f>BS!AI53</f>
        <v>204.35400000000001</v>
      </c>
    </row>
    <row r="167" spans="2:38" ht="14.25" customHeight="1">
      <c r="V167" s="105" t="s">
        <v>463</v>
      </c>
      <c r="W167" s="105"/>
      <c r="X167" s="105"/>
      <c r="Y167" s="105"/>
      <c r="Z167" s="307">
        <f ca="1">Z163-Z164-Z165-Z166</f>
        <v>560.20988281726511</v>
      </c>
      <c r="AB167" s="105" t="s">
        <v>463</v>
      </c>
      <c r="AC167" s="105"/>
      <c r="AD167" s="105"/>
      <c r="AE167" s="105"/>
      <c r="AF167" s="307">
        <f ca="1">AF163-AF164-AF165-AF166</f>
        <v>553.36431837532075</v>
      </c>
      <c r="AH167" s="105" t="s">
        <v>463</v>
      </c>
      <c r="AI167" s="105"/>
      <c r="AK167" s="105"/>
      <c r="AL167" s="307">
        <f ca="1">AL163-AL164-AL165-AL166</f>
        <v>1311.7292151896293</v>
      </c>
    </row>
    <row r="168" spans="2:38" ht="14.25" customHeight="1">
      <c r="V168" s="328" t="s">
        <v>464</v>
      </c>
      <c r="W168" s="328"/>
      <c r="X168" s="328"/>
      <c r="Y168" s="328"/>
      <c r="Z168" s="330">
        <f>AL64</f>
        <v>27.289554385759359</v>
      </c>
      <c r="AB168" s="328" t="s">
        <v>464</v>
      </c>
      <c r="AC168" s="328"/>
      <c r="AD168" s="328"/>
      <c r="AE168" s="328"/>
      <c r="AF168" s="330">
        <f>AL64</f>
        <v>27.289554385759359</v>
      </c>
      <c r="AH168" s="328" t="s">
        <v>464</v>
      </c>
      <c r="AI168" s="328"/>
      <c r="AJ168" s="328"/>
      <c r="AK168" s="328"/>
      <c r="AL168" s="330">
        <f>AL64</f>
        <v>27.289554385759359</v>
      </c>
    </row>
    <row r="169" spans="2:38" ht="14.25" customHeight="1">
      <c r="V169" s="105" t="s">
        <v>465</v>
      </c>
      <c r="W169" s="105"/>
      <c r="X169" s="105"/>
      <c r="Y169" s="105"/>
      <c r="Z169" s="306">
        <f ca="1">Z167/Z168</f>
        <v>20.528363156768958</v>
      </c>
      <c r="AB169" s="105" t="s">
        <v>465</v>
      </c>
      <c r="AC169" s="105"/>
      <c r="AD169" s="105"/>
      <c r="AE169" s="105"/>
      <c r="AF169" s="306">
        <f ca="1">AF167/AF168</f>
        <v>20.277513899753728</v>
      </c>
      <c r="AH169" s="105" t="s">
        <v>465</v>
      </c>
      <c r="AI169" s="105"/>
      <c r="AK169" s="105"/>
      <c r="AL169" s="306">
        <f ca="1">AL167/AL168</f>
        <v>48.067080782899673</v>
      </c>
    </row>
    <row r="170" spans="2:38" ht="14.25" customHeight="1">
      <c r="V170" s="97" t="s">
        <v>466</v>
      </c>
      <c r="Z170" s="335">
        <f>'Stock Data'!AN4</f>
        <v>10.345000000000001</v>
      </c>
      <c r="AB170" s="97" t="s">
        <v>466</v>
      </c>
      <c r="AF170" s="335">
        <f>'Stock Data'!AN4</f>
        <v>10.345000000000001</v>
      </c>
      <c r="AH170" s="97" t="s">
        <v>466</v>
      </c>
      <c r="AI170" s="97"/>
      <c r="AJ170" s="97"/>
      <c r="AL170" s="335">
        <f>'Stock Data'!AN4</f>
        <v>10.345000000000001</v>
      </c>
    </row>
    <row r="171" spans="2:38" ht="14.25" customHeight="1">
      <c r="V171" s="97" t="s">
        <v>467</v>
      </c>
      <c r="Z171" s="313">
        <f ca="1">Z169/Z170-1</f>
        <v>0.98437536556490635</v>
      </c>
      <c r="AB171" s="97" t="s">
        <v>467</v>
      </c>
      <c r="AF171" s="313">
        <f ca="1">AF169/AF170-1</f>
        <v>0.96012700819272379</v>
      </c>
      <c r="AH171" s="97" t="s">
        <v>467</v>
      </c>
      <c r="AI171" s="97"/>
      <c r="AJ171" s="97"/>
      <c r="AL171" s="313">
        <f ca="1">AL169/AL170-1</f>
        <v>3.6464070355630422</v>
      </c>
    </row>
    <row r="176" spans="2:38" ht="14.25" customHeight="1">
      <c r="AB176" s="304"/>
    </row>
    <row r="177" spans="28:32" ht="14.25" customHeight="1">
      <c r="AB177" s="559"/>
      <c r="AC177" s="304"/>
    </row>
    <row r="178" spans="28:32" ht="14.25" customHeight="1">
      <c r="AB178" s="559"/>
      <c r="AC178" s="304"/>
    </row>
    <row r="181" spans="28:32" ht="14.25" customHeight="1">
      <c r="AF181" s="304"/>
    </row>
    <row r="182" spans="28:32" ht="14.25" customHeight="1">
      <c r="AE182" s="559"/>
      <c r="AF182" s="304"/>
    </row>
    <row r="183" spans="28:32" ht="14.25" customHeight="1">
      <c r="AE183" s="559"/>
      <c r="AF183" s="313"/>
    </row>
  </sheetData>
  <mergeCells count="17">
    <mergeCell ref="V139:Z139"/>
    <mergeCell ref="AB139:AF139"/>
    <mergeCell ref="D24:H24"/>
    <mergeCell ref="J24:N24"/>
    <mergeCell ref="P24:T24"/>
    <mergeCell ref="V24:Z24"/>
    <mergeCell ref="AB24:AF24"/>
    <mergeCell ref="D118:H118"/>
    <mergeCell ref="J118:N118"/>
    <mergeCell ref="P118:T118"/>
    <mergeCell ref="V118:Z118"/>
    <mergeCell ref="AB118:AF118"/>
    <mergeCell ref="D8:H8"/>
    <mergeCell ref="J8:N8"/>
    <mergeCell ref="P8:T8"/>
    <mergeCell ref="V8:Z8"/>
    <mergeCell ref="AB8:AF8"/>
  </mergeCells>
  <dataValidations disablePrompts="1"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ignoredErrors>
    <ignoredError sqref="D103:Z103 D105:Z113 D104:I104 K104:W104" formulaRange="1"/>
  </ignoredErrors>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79" zoomScaleNormal="100" workbookViewId="0">
      <selection activeCell="O116" sqref="O116"/>
    </sheetView>
  </sheetViews>
  <sheetFormatPr baseColWidth="10" defaultColWidth="9" defaultRowHeight="15" customHeight="1"/>
  <cols>
    <col min="1" max="1" width="3.6640625" style="361" customWidth="1"/>
    <col min="2" max="2" width="39.1640625" style="23" customWidth="1"/>
    <col min="3" max="3" width="13.6640625" style="23" customWidth="1"/>
    <col min="4" max="13" width="12.6640625" style="23" customWidth="1"/>
    <col min="14" max="17" width="12.6640625" style="25" customWidth="1"/>
    <col min="18" max="16384" width="9" style="25"/>
  </cols>
  <sheetData>
    <row r="1" spans="1:13" s="546" customFormat="1" ht="15" customHeight="1"/>
    <row r="2" spans="1:13" s="546" customFormat="1" ht="15" customHeight="1"/>
    <row r="3" spans="1:13" s="546" customFormat="1" ht="15" customHeight="1"/>
    <row r="4" spans="1:13" s="546" customFormat="1" ht="15" customHeight="1"/>
    <row r="5" spans="1:13" s="389" customFormat="1" ht="4" customHeight="1">
      <c r="A5" s="541"/>
      <c r="B5" s="36"/>
      <c r="C5" s="36"/>
      <c r="D5" s="36"/>
      <c r="E5" s="36"/>
      <c r="F5" s="36"/>
      <c r="G5" s="36"/>
      <c r="H5" s="36"/>
      <c r="I5" s="36"/>
      <c r="J5" s="36"/>
      <c r="K5" s="36"/>
      <c r="L5" s="36"/>
      <c r="M5" s="36"/>
    </row>
    <row r="7" spans="1:13" ht="15" customHeight="1">
      <c r="A7" s="361" t="s">
        <v>39</v>
      </c>
      <c r="B7" s="355" t="s">
        <v>468</v>
      </c>
      <c r="C7" s="32"/>
      <c r="D7" s="32"/>
      <c r="E7" s="32"/>
      <c r="F7" s="32"/>
      <c r="G7" s="32"/>
      <c r="H7" s="32"/>
      <c r="I7" s="32"/>
      <c r="J7" s="32"/>
      <c r="K7" s="32"/>
      <c r="L7" s="32"/>
    </row>
    <row r="8" spans="1:13" ht="4" customHeight="1">
      <c r="B8" s="391"/>
      <c r="C8" s="368"/>
      <c r="D8" s="368"/>
      <c r="E8" s="368"/>
      <c r="F8" s="368"/>
      <c r="G8" s="368"/>
      <c r="H8" s="368"/>
      <c r="I8" s="368"/>
      <c r="J8" s="368"/>
      <c r="K8" s="368"/>
      <c r="L8" s="368"/>
    </row>
    <row r="9" spans="1:13" ht="15" customHeight="1">
      <c r="B9" s="392"/>
      <c r="C9" s="25"/>
      <c r="D9" s="25"/>
      <c r="E9" s="392"/>
      <c r="F9" s="25"/>
      <c r="G9" s="25"/>
      <c r="H9" s="392"/>
      <c r="J9" s="25"/>
      <c r="K9" s="392"/>
      <c r="L9" s="25"/>
    </row>
    <row r="10" spans="1:13" ht="15" customHeight="1">
      <c r="B10" s="355" t="s">
        <v>469</v>
      </c>
      <c r="C10" s="32"/>
      <c r="D10" s="32"/>
      <c r="E10" s="32"/>
      <c r="G10" s="355" t="s">
        <v>470</v>
      </c>
      <c r="H10" s="355"/>
      <c r="I10" s="355"/>
      <c r="J10" s="355" t="s">
        <v>471</v>
      </c>
      <c r="K10" s="355" t="s">
        <v>472</v>
      </c>
      <c r="L10" s="355" t="s">
        <v>473</v>
      </c>
    </row>
    <row r="11" spans="1:13" ht="15" customHeight="1">
      <c r="B11" s="23" t="s">
        <v>474</v>
      </c>
      <c r="E11" s="393">
        <f>(G86+G77)</f>
        <v>160.88900000000001</v>
      </c>
      <c r="G11" s="23" t="s">
        <v>475</v>
      </c>
      <c r="J11" s="639"/>
      <c r="K11" s="640"/>
      <c r="L11" s="48">
        <f>K11*$E$13</f>
        <v>0</v>
      </c>
    </row>
    <row r="12" spans="1:13" ht="15" customHeight="1">
      <c r="B12" s="336" t="s">
        <v>476</v>
      </c>
      <c r="C12" s="336"/>
      <c r="D12" s="336"/>
      <c r="E12" s="638"/>
      <c r="G12" s="23" t="s">
        <v>477</v>
      </c>
      <c r="J12" s="639"/>
      <c r="K12" s="640"/>
      <c r="L12" s="48">
        <f>K12*$E$13</f>
        <v>0</v>
      </c>
    </row>
    <row r="13" spans="1:13" ht="15" customHeight="1">
      <c r="B13" s="33" t="s">
        <v>478</v>
      </c>
      <c r="E13" s="394">
        <f>E11*E12</f>
        <v>0</v>
      </c>
      <c r="G13" s="23" t="s">
        <v>479</v>
      </c>
      <c r="J13" s="639"/>
      <c r="K13" s="640"/>
      <c r="L13" s="48">
        <f>K13*$E$13</f>
        <v>0</v>
      </c>
    </row>
    <row r="14" spans="1:13" ht="15" customHeight="1">
      <c r="B14" s="336" t="s">
        <v>480</v>
      </c>
      <c r="C14" s="336"/>
      <c r="D14" s="336"/>
      <c r="E14" s="395">
        <f>BS!AJ38+BS!AJ39+BS!AJ44+BS!AJ45-BS!AJ15</f>
        <v>0</v>
      </c>
      <c r="J14" s="396"/>
      <c r="L14" s="48"/>
    </row>
    <row r="15" spans="1:13" ht="15" customHeight="1">
      <c r="B15" s="33" t="s">
        <v>481</v>
      </c>
      <c r="E15" s="394">
        <f>E13-E14</f>
        <v>0</v>
      </c>
      <c r="G15" s="355" t="s">
        <v>482</v>
      </c>
      <c r="H15" s="355"/>
      <c r="I15" s="355"/>
      <c r="J15" s="355"/>
      <c r="K15" s="355"/>
      <c r="L15" s="355"/>
    </row>
    <row r="16" spans="1:13" ht="15" customHeight="1">
      <c r="G16" s="23" t="s">
        <v>483</v>
      </c>
      <c r="L16" s="397" t="e">
        <f>L180</f>
        <v>#DIV/0!</v>
      </c>
    </row>
    <row r="17" spans="1:12" ht="15" customHeight="1">
      <c r="B17" s="23" t="s">
        <v>484</v>
      </c>
      <c r="E17" s="48">
        <f>0.03*E13</f>
        <v>0</v>
      </c>
      <c r="G17" s="23" t="s">
        <v>485</v>
      </c>
      <c r="L17" s="397" t="e">
        <f>L181</f>
        <v>#DIV/0!</v>
      </c>
    </row>
    <row r="19" spans="1:12" ht="15" customHeight="1">
      <c r="B19" s="355" t="s">
        <v>486</v>
      </c>
      <c r="C19" s="32"/>
      <c r="D19" s="32"/>
      <c r="E19" s="32"/>
      <c r="I19" s="390"/>
    </row>
    <row r="20" spans="1:12" ht="15" customHeight="1">
      <c r="B20" s="23" t="s">
        <v>487</v>
      </c>
      <c r="E20" s="637"/>
      <c r="H20" s="398"/>
    </row>
    <row r="21" spans="1:12" ht="15" customHeight="1">
      <c r="C21" s="399"/>
    </row>
    <row r="22" spans="1:12" ht="15" customHeight="1">
      <c r="A22" s="361" t="s">
        <v>39</v>
      </c>
      <c r="B22" s="355" t="s">
        <v>488</v>
      </c>
      <c r="C22" s="32"/>
      <c r="D22" s="32"/>
      <c r="E22" s="32"/>
      <c r="F22" s="32"/>
      <c r="G22" s="32"/>
      <c r="H22" s="32"/>
      <c r="I22" s="32"/>
      <c r="J22" s="32"/>
      <c r="K22" s="32"/>
      <c r="L22" s="32"/>
    </row>
    <row r="23" spans="1:12" ht="4" customHeight="1">
      <c r="B23" s="391"/>
      <c r="C23" s="368"/>
      <c r="D23" s="368"/>
      <c r="E23" s="368"/>
      <c r="F23" s="368"/>
      <c r="G23" s="368"/>
      <c r="H23" s="368"/>
      <c r="I23" s="368"/>
      <c r="J23" s="368"/>
      <c r="K23" s="368"/>
      <c r="L23" s="368"/>
    </row>
    <row r="24" spans="1:12" ht="15" customHeight="1">
      <c r="C24" s="400"/>
    </row>
    <row r="25" spans="1:12" ht="15" customHeight="1">
      <c r="B25" s="355" t="s">
        <v>489</v>
      </c>
      <c r="C25" s="32"/>
      <c r="D25" s="32"/>
      <c r="E25" s="32"/>
      <c r="G25" s="355" t="s">
        <v>490</v>
      </c>
      <c r="H25" s="32"/>
      <c r="I25" s="32"/>
      <c r="J25" s="32"/>
      <c r="K25" s="32"/>
      <c r="L25" s="32"/>
    </row>
    <row r="26" spans="1:12" ht="15" customHeight="1">
      <c r="B26" s="325"/>
      <c r="C26" s="392" t="s">
        <v>473</v>
      </c>
      <c r="D26" s="392" t="s">
        <v>491</v>
      </c>
      <c r="E26" s="392" t="s">
        <v>492</v>
      </c>
      <c r="J26" s="392" t="s">
        <v>473</v>
      </c>
      <c r="K26" s="392" t="s">
        <v>491</v>
      </c>
      <c r="L26" s="392" t="s">
        <v>492</v>
      </c>
    </row>
    <row r="27" spans="1:12" ht="15" customHeight="1">
      <c r="B27" s="25" t="s">
        <v>475</v>
      </c>
      <c r="C27" s="393">
        <f>L11</f>
        <v>0</v>
      </c>
      <c r="D27" s="401">
        <f>C27/$E$11</f>
        <v>0</v>
      </c>
      <c r="E27" s="402" t="e">
        <f>C27/$C$34</f>
        <v>#DIV/0!</v>
      </c>
      <c r="G27" s="25" t="s">
        <v>493</v>
      </c>
      <c r="H27" s="25"/>
      <c r="I27" s="25"/>
      <c r="J27" s="393">
        <f>E14</f>
        <v>0</v>
      </c>
      <c r="K27" s="401">
        <f>J27/$E$11</f>
        <v>0</v>
      </c>
      <c r="L27" s="402" t="e">
        <f>J27/$J$34</f>
        <v>#DIV/0!</v>
      </c>
    </row>
    <row r="28" spans="1:12" ht="15" customHeight="1">
      <c r="B28" s="25" t="s">
        <v>477</v>
      </c>
      <c r="C28" s="393">
        <f>L12</f>
        <v>0</v>
      </c>
      <c r="D28" s="401">
        <f>C28/$E$11</f>
        <v>0</v>
      </c>
      <c r="E28" s="402" t="e">
        <f>C28/$C$34</f>
        <v>#DIV/0!</v>
      </c>
      <c r="G28" s="25" t="s">
        <v>494</v>
      </c>
      <c r="H28" s="25"/>
      <c r="I28" s="25"/>
      <c r="J28" s="393">
        <f>E15</f>
        <v>0</v>
      </c>
      <c r="K28" s="401">
        <f>J28/$E$11</f>
        <v>0</v>
      </c>
      <c r="L28" s="402" t="e">
        <f>J28/$J$34</f>
        <v>#DIV/0!</v>
      </c>
    </row>
    <row r="29" spans="1:12" ht="15" customHeight="1">
      <c r="B29" s="403" t="s">
        <v>479</v>
      </c>
      <c r="C29" s="404">
        <f>L13</f>
        <v>0</v>
      </c>
      <c r="D29" s="405">
        <f>C29/$E$11</f>
        <v>0</v>
      </c>
      <c r="E29" s="406" t="e">
        <f>C29/$C$34</f>
        <v>#DIV/0!</v>
      </c>
      <c r="G29" s="25"/>
      <c r="H29" s="25"/>
      <c r="I29" s="25"/>
      <c r="J29" s="407"/>
      <c r="K29" s="25"/>
      <c r="L29" s="390"/>
    </row>
    <row r="30" spans="1:12" ht="15" customHeight="1">
      <c r="B30" s="325" t="s">
        <v>337</v>
      </c>
      <c r="C30" s="408">
        <f>SUM(C27:C29)</f>
        <v>0</v>
      </c>
      <c r="D30" s="409">
        <f>C30/$E$11</f>
        <v>0</v>
      </c>
      <c r="E30" s="410" t="e">
        <f>C30/$C$34</f>
        <v>#DIV/0!</v>
      </c>
      <c r="G30" s="25" t="s">
        <v>484</v>
      </c>
      <c r="H30" s="25"/>
      <c r="I30" s="25"/>
      <c r="J30" s="393">
        <f>E17</f>
        <v>0</v>
      </c>
      <c r="K30" s="401">
        <f>J30/$E$11</f>
        <v>0</v>
      </c>
      <c r="L30" s="402" t="e">
        <f>J30/$J$34</f>
        <v>#DIV/0!</v>
      </c>
    </row>
    <row r="31" spans="1:12" ht="15" customHeight="1">
      <c r="B31" s="325"/>
      <c r="C31" s="25"/>
      <c r="D31" s="25"/>
      <c r="E31" s="402"/>
      <c r="G31" s="25"/>
      <c r="H31" s="25"/>
      <c r="I31" s="25"/>
      <c r="J31" s="390"/>
      <c r="K31" s="390"/>
      <c r="L31" s="390"/>
    </row>
    <row r="32" spans="1:12" ht="15" customHeight="1">
      <c r="B32" s="25" t="s">
        <v>495</v>
      </c>
      <c r="C32" s="48">
        <f>C34-C30</f>
        <v>0</v>
      </c>
      <c r="D32" s="401">
        <f>C32/$E$11</f>
        <v>0</v>
      </c>
      <c r="E32" s="402" t="e">
        <f>C32/$C$34</f>
        <v>#DIV/0!</v>
      </c>
      <c r="G32" s="25"/>
      <c r="H32" s="25"/>
      <c r="I32" s="25"/>
    </row>
    <row r="34" spans="1:12" ht="15" customHeight="1">
      <c r="B34" s="411" t="s">
        <v>496</v>
      </c>
      <c r="C34" s="412">
        <f>J34</f>
        <v>0</v>
      </c>
      <c r="D34" s="413">
        <f>C34/$E$11</f>
        <v>0</v>
      </c>
      <c r="E34" s="414" t="e">
        <f>C34/$C$34</f>
        <v>#DIV/0!</v>
      </c>
      <c r="G34" s="415" t="s">
        <v>497</v>
      </c>
      <c r="H34" s="416"/>
      <c r="I34" s="416"/>
      <c r="J34" s="417">
        <f>J27+J28+J30</f>
        <v>0</v>
      </c>
      <c r="K34" s="418">
        <f>J34/$E$11</f>
        <v>0</v>
      </c>
      <c r="L34" s="419" t="e">
        <f>J34/$J$34</f>
        <v>#DIV/0!</v>
      </c>
    </row>
    <row r="35" spans="1:12" ht="15" customHeight="1">
      <c r="C35" s="399"/>
    </row>
    <row r="36" spans="1:12" ht="15" customHeight="1">
      <c r="B36" s="355" t="s">
        <v>345</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61" t="s">
        <v>39</v>
      </c>
      <c r="B38" s="32"/>
      <c r="C38" s="32"/>
      <c r="D38" s="32"/>
      <c r="E38" s="420">
        <v>2022</v>
      </c>
      <c r="F38" s="420">
        <f t="shared" ref="F38:L38" si="0">+E38+1</f>
        <v>2023</v>
      </c>
      <c r="G38" s="420">
        <f t="shared" si="0"/>
        <v>2024</v>
      </c>
      <c r="H38" s="421">
        <f t="shared" si="0"/>
        <v>2025</v>
      </c>
      <c r="I38" s="421">
        <f t="shared" si="0"/>
        <v>2026</v>
      </c>
      <c r="J38" s="421">
        <f t="shared" si="0"/>
        <v>2027</v>
      </c>
      <c r="K38" s="421">
        <f t="shared" si="0"/>
        <v>2028</v>
      </c>
      <c r="L38" s="421">
        <f t="shared" si="0"/>
        <v>2029</v>
      </c>
    </row>
    <row r="50" spans="1:12" ht="15" customHeight="1">
      <c r="B50" s="290" t="s">
        <v>301</v>
      </c>
      <c r="C50" s="426"/>
      <c r="D50" s="427"/>
      <c r="E50" s="428"/>
      <c r="F50" s="428"/>
      <c r="G50" s="429"/>
      <c r="H50" s="302">
        <v>350000</v>
      </c>
      <c r="I50" s="302">
        <v>352000</v>
      </c>
      <c r="J50" s="302">
        <v>350000</v>
      </c>
      <c r="K50" s="302">
        <v>352000</v>
      </c>
      <c r="L50" s="492">
        <v>350000</v>
      </c>
    </row>
    <row r="51" spans="1:12" ht="15" customHeight="1">
      <c r="B51" s="422"/>
      <c r="C51" s="430"/>
      <c r="D51" s="25"/>
      <c r="E51" s="431"/>
      <c r="F51" s="431"/>
      <c r="G51" s="432"/>
      <c r="H51" s="433"/>
      <c r="I51" s="433"/>
      <c r="J51" s="433"/>
      <c r="K51" s="433"/>
      <c r="L51" s="433"/>
    </row>
    <row r="52" spans="1:12" ht="15" customHeight="1">
      <c r="B52" s="355" t="s">
        <v>357</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4" customHeight="1">
      <c r="B55" s="435"/>
      <c r="C55" s="436"/>
      <c r="D55" s="389"/>
      <c r="E55" s="437"/>
      <c r="F55" s="437"/>
      <c r="G55" s="437"/>
      <c r="H55" s="438"/>
      <c r="I55" s="438"/>
      <c r="J55" s="438"/>
      <c r="K55" s="438"/>
      <c r="L55" s="438"/>
    </row>
    <row r="56" spans="1:12" ht="4" customHeight="1">
      <c r="B56" s="422"/>
      <c r="C56" s="423"/>
      <c r="D56" s="25"/>
      <c r="E56" s="431"/>
      <c r="F56" s="431"/>
      <c r="G56" s="431"/>
      <c r="H56" s="434"/>
      <c r="I56" s="434"/>
      <c r="J56" s="434"/>
      <c r="K56" s="434"/>
      <c r="L56" s="434"/>
    </row>
    <row r="57" spans="1:12" ht="15" customHeight="1">
      <c r="A57" s="361" t="s">
        <v>39</v>
      </c>
      <c r="B57" s="355" t="s">
        <v>358</v>
      </c>
      <c r="C57" s="32"/>
      <c r="D57" s="32"/>
      <c r="E57" s="420">
        <v>2022</v>
      </c>
      <c r="F57" s="420">
        <f t="shared" ref="F57:L57" si="1">+E57+1</f>
        <v>2023</v>
      </c>
      <c r="G57" s="420">
        <f t="shared" si="1"/>
        <v>2024</v>
      </c>
      <c r="H57" s="421">
        <f t="shared" si="1"/>
        <v>2025</v>
      </c>
      <c r="I57" s="421">
        <f t="shared" si="1"/>
        <v>2026</v>
      </c>
      <c r="J57" s="421">
        <f t="shared" si="1"/>
        <v>2027</v>
      </c>
      <c r="K57" s="421">
        <f t="shared" si="1"/>
        <v>2028</v>
      </c>
      <c r="L57" s="421">
        <f t="shared" si="1"/>
        <v>2029</v>
      </c>
    </row>
    <row r="58" spans="1:12" ht="4" customHeight="1">
      <c r="B58" s="36"/>
      <c r="C58" s="36"/>
      <c r="D58" s="36"/>
      <c r="E58" s="36"/>
      <c r="F58" s="36"/>
      <c r="G58" s="36"/>
      <c r="H58" s="36"/>
      <c r="I58" s="36"/>
      <c r="J58" s="36"/>
      <c r="K58" s="36"/>
      <c r="L58" s="36"/>
    </row>
    <row r="59" spans="1:12" ht="15" customHeight="1">
      <c r="B59" s="357" t="s">
        <v>188</v>
      </c>
      <c r="D59" s="439" t="e">
        <f>+_xlfn.XLOOKUP($B59,#REF!,#REF!)</f>
        <v>#REF!</v>
      </c>
      <c r="E59" s="58">
        <f>FCFF!H31</f>
        <v>452.85899999999998</v>
      </c>
      <c r="F59" s="58">
        <f>FCFF!N31</f>
        <v>508.94900000000001</v>
      </c>
      <c r="G59" s="380">
        <f>FCFF!T31</f>
        <v>525.96299999999997</v>
      </c>
      <c r="H59" s="440">
        <f>+H50</f>
        <v>350000</v>
      </c>
      <c r="I59" s="440">
        <f t="shared" ref="I59:L59" si="2">+I50</f>
        <v>352000</v>
      </c>
      <c r="J59" s="440">
        <f t="shared" si="2"/>
        <v>350000</v>
      </c>
      <c r="K59" s="440">
        <f t="shared" si="2"/>
        <v>352000</v>
      </c>
      <c r="L59" s="440">
        <f t="shared" si="2"/>
        <v>350000</v>
      </c>
    </row>
    <row r="60" spans="1:12" s="425" customFormat="1" ht="15" customHeight="1">
      <c r="A60" s="361"/>
      <c r="B60" s="31" t="s">
        <v>359</v>
      </c>
      <c r="C60" s="26"/>
      <c r="D60" s="26"/>
      <c r="E60" s="299">
        <f>E59/IS!N18-1</f>
        <v>0.29748244415220504</v>
      </c>
      <c r="F60" s="299">
        <f>F59/E59-1</f>
        <v>0.12385753623092399</v>
      </c>
      <c r="G60" s="381">
        <f>G59/F59-1</f>
        <v>3.3429675664948588E-2</v>
      </c>
      <c r="H60" s="299">
        <f t="shared" ref="H60:L60" si="3">H59/G59-1</f>
        <v>664.44604848630036</v>
      </c>
      <c r="I60" s="299">
        <f t="shared" si="3"/>
        <v>5.7142857142857828E-3</v>
      </c>
      <c r="J60" s="299">
        <f t="shared" si="3"/>
        <v>-5.6818181818182323E-3</v>
      </c>
      <c r="K60" s="299">
        <f t="shared" si="3"/>
        <v>5.7142857142857828E-3</v>
      </c>
      <c r="L60" s="299">
        <f t="shared" si="3"/>
        <v>-5.6818181818182323E-3</v>
      </c>
    </row>
    <row r="61" spans="1:12" ht="15" customHeight="1">
      <c r="B61" s="373"/>
      <c r="E61" s="57"/>
      <c r="F61" s="57"/>
      <c r="G61" s="382"/>
      <c r="H61" s="402"/>
      <c r="I61" s="402"/>
      <c r="J61" s="402"/>
      <c r="K61" s="402"/>
      <c r="L61" s="402"/>
    </row>
    <row r="62" spans="1:12" ht="15" customHeight="1">
      <c r="B62" s="357" t="s">
        <v>360</v>
      </c>
      <c r="E62" s="58">
        <f>FCFF!H34</f>
        <v>103.874</v>
      </c>
      <c r="F62" s="58">
        <f>FCFF!N34</f>
        <v>107.751</v>
      </c>
      <c r="G62" s="380">
        <f>FCFF!T34</f>
        <v>101.035</v>
      </c>
      <c r="H62" s="440">
        <f>H63*H$59</f>
        <v>0</v>
      </c>
      <c r="I62" s="440">
        <f>I63*I$59</f>
        <v>0</v>
      </c>
      <c r="J62" s="440">
        <f>J63*J$59</f>
        <v>0</v>
      </c>
      <c r="K62" s="440">
        <f>K63*K$59</f>
        <v>0</v>
      </c>
      <c r="L62" s="440">
        <f>L63*L$59</f>
        <v>0</v>
      </c>
    </row>
    <row r="63" spans="1:12" s="425" customFormat="1" ht="15" customHeight="1">
      <c r="A63" s="361"/>
      <c r="B63" s="31" t="s">
        <v>361</v>
      </c>
      <c r="C63" s="26"/>
      <c r="D63" s="26"/>
      <c r="E63" s="299">
        <f>E62/E59</f>
        <v>0.22937382275719373</v>
      </c>
      <c r="F63" s="299">
        <f t="shared" ref="F63:G63" si="4">F62/F59</f>
        <v>0.21171276493322513</v>
      </c>
      <c r="G63" s="381">
        <f t="shared" si="4"/>
        <v>0.19209526145375247</v>
      </c>
      <c r="H63" s="441"/>
      <c r="I63" s="441"/>
      <c r="J63" s="441"/>
      <c r="K63" s="441"/>
      <c r="L63" s="442"/>
    </row>
    <row r="64" spans="1:12" ht="15" customHeight="1">
      <c r="G64" s="204"/>
    </row>
    <row r="65" spans="2:12" ht="15" customHeight="1">
      <c r="B65" s="357" t="s">
        <v>362</v>
      </c>
      <c r="E65" s="58">
        <f>FCFF!H37</f>
        <v>0</v>
      </c>
      <c r="F65" s="58">
        <f>FCFF!N37</f>
        <v>0</v>
      </c>
      <c r="G65" s="380">
        <f>FCFF!T37</f>
        <v>0</v>
      </c>
      <c r="H65" s="440">
        <f>+H66*H62</f>
        <v>0</v>
      </c>
      <c r="I65" s="440">
        <f t="shared" ref="I65:L65" si="5">+I66*I62</f>
        <v>0</v>
      </c>
      <c r="J65" s="440">
        <f t="shared" si="5"/>
        <v>0</v>
      </c>
      <c r="K65" s="440">
        <f t="shared" si="5"/>
        <v>0</v>
      </c>
      <c r="L65" s="440">
        <f t="shared" si="5"/>
        <v>0</v>
      </c>
    </row>
    <row r="66" spans="2:12" s="425" customFormat="1" ht="15" customHeight="1">
      <c r="B66" s="31" t="s">
        <v>363</v>
      </c>
      <c r="C66" s="26"/>
      <c r="D66" s="26"/>
      <c r="E66" s="299">
        <f>E65/E62</f>
        <v>0</v>
      </c>
      <c r="F66" s="299">
        <f t="shared" ref="F66:G66" si="6">F65/F62</f>
        <v>0</v>
      </c>
      <c r="G66" s="381">
        <f t="shared" si="6"/>
        <v>0</v>
      </c>
      <c r="H66" s="441"/>
      <c r="I66" s="441"/>
      <c r="J66" s="441"/>
      <c r="K66" s="441"/>
      <c r="L66" s="441"/>
    </row>
    <row r="67" spans="2:12" ht="15" customHeight="1">
      <c r="B67" s="31"/>
      <c r="E67" s="181"/>
      <c r="F67" s="181"/>
      <c r="G67" s="383"/>
      <c r="H67" s="25"/>
      <c r="I67" s="25"/>
      <c r="J67" s="25"/>
      <c r="K67" s="25"/>
      <c r="L67" s="25"/>
    </row>
    <row r="68" spans="2:12" ht="15" customHeight="1">
      <c r="B68" s="357" t="s">
        <v>365</v>
      </c>
      <c r="E68" s="58">
        <f>FCFF!H40</f>
        <v>348.98500000000001</v>
      </c>
      <c r="F68" s="58">
        <f>FCFF!N40</f>
        <v>401.19799999999998</v>
      </c>
      <c r="G68" s="380">
        <f>FCFF!T40</f>
        <v>424.928</v>
      </c>
      <c r="H68" s="440">
        <f>+H59-H62-H65</f>
        <v>350000</v>
      </c>
      <c r="I68" s="440">
        <f t="shared" ref="I68:L68" si="7">+I59-I62-I65</f>
        <v>352000</v>
      </c>
      <c r="J68" s="440">
        <f t="shared" si="7"/>
        <v>350000</v>
      </c>
      <c r="K68" s="440">
        <f t="shared" si="7"/>
        <v>352000</v>
      </c>
      <c r="L68" s="440">
        <f t="shared" si="7"/>
        <v>350000</v>
      </c>
    </row>
    <row r="69" spans="2:12" s="425" customFormat="1" ht="15" customHeight="1">
      <c r="B69" s="31" t="s">
        <v>361</v>
      </c>
      <c r="C69" s="26"/>
      <c r="D69" s="26"/>
      <c r="E69" s="300">
        <f>E68/E59</f>
        <v>0.77062617724280635</v>
      </c>
      <c r="F69" s="300">
        <f t="shared" ref="F69:G69" si="8">F68/F59</f>
        <v>0.78828723506677478</v>
      </c>
      <c r="G69" s="384">
        <f t="shared" si="8"/>
        <v>0.80790473854624756</v>
      </c>
      <c r="H69" s="443">
        <f t="shared" ref="H69:L69" si="9">IFERROR(H68/H$59,"")</f>
        <v>1</v>
      </c>
      <c r="I69" s="443">
        <f t="shared" si="9"/>
        <v>1</v>
      </c>
      <c r="J69" s="443">
        <f t="shared" si="9"/>
        <v>1</v>
      </c>
      <c r="K69" s="443">
        <f t="shared" si="9"/>
        <v>1</v>
      </c>
      <c r="L69" s="443">
        <f t="shared" si="9"/>
        <v>1</v>
      </c>
    </row>
    <row r="70" spans="2:12" ht="15" customHeight="1">
      <c r="B70" s="357"/>
      <c r="E70" s="66"/>
      <c r="F70" s="66"/>
      <c r="G70" s="385"/>
      <c r="H70" s="402"/>
      <c r="I70" s="402"/>
      <c r="J70" s="402"/>
      <c r="K70" s="402"/>
      <c r="L70" s="402"/>
    </row>
    <row r="71" spans="2:12" ht="15" customHeight="1">
      <c r="B71" s="357" t="s">
        <v>366</v>
      </c>
      <c r="E71" s="68">
        <f>FCFF!H43</f>
        <v>70.159000000000006</v>
      </c>
      <c r="F71" s="68">
        <f>FCFF!N43</f>
        <v>64.204999999999998</v>
      </c>
      <c r="G71" s="386">
        <f>FCFF!T43</f>
        <v>64.260999999999996</v>
      </c>
      <c r="H71" s="440">
        <f>+H72*H59</f>
        <v>0</v>
      </c>
      <c r="I71" s="440">
        <f t="shared" ref="I71:L71" si="10">+I72*I59</f>
        <v>0</v>
      </c>
      <c r="J71" s="440">
        <f t="shared" si="10"/>
        <v>0</v>
      </c>
      <c r="K71" s="440">
        <f t="shared" si="10"/>
        <v>0</v>
      </c>
      <c r="L71" s="440">
        <f t="shared" si="10"/>
        <v>0</v>
      </c>
    </row>
    <row r="72" spans="2:12" s="425" customFormat="1" ht="15" customHeight="1">
      <c r="B72" s="31" t="s">
        <v>361</v>
      </c>
      <c r="C72" s="26"/>
      <c r="D72" s="26"/>
      <c r="E72" s="300">
        <f>E71/E59</f>
        <v>0.15492460125557847</v>
      </c>
      <c r="F72" s="300">
        <f t="shared" ref="F72:G72" si="11">F71/F59</f>
        <v>0.12615212919172647</v>
      </c>
      <c r="G72" s="384">
        <f t="shared" si="11"/>
        <v>0.12217779577650899</v>
      </c>
      <c r="H72" s="441"/>
      <c r="I72" s="441"/>
      <c r="J72" s="441"/>
      <c r="K72" s="441"/>
      <c r="L72" s="442"/>
    </row>
    <row r="73" spans="2:12" s="446" customFormat="1" ht="15" customHeight="1">
      <c r="B73" s="373"/>
      <c r="C73" s="444"/>
      <c r="D73" s="444"/>
      <c r="E73" s="66"/>
      <c r="F73" s="66"/>
      <c r="G73" s="385"/>
      <c r="H73" s="445"/>
      <c r="I73" s="445"/>
      <c r="J73" s="445"/>
      <c r="K73" s="445"/>
      <c r="L73" s="445"/>
    </row>
    <row r="74" spans="2:12" ht="15" customHeight="1">
      <c r="B74" s="357" t="s">
        <v>367</v>
      </c>
      <c r="E74" s="68">
        <f>FCFF!H46</f>
        <v>13.054</v>
      </c>
      <c r="F74" s="68">
        <f>FCFF!N46</f>
        <v>12.542999999999999</v>
      </c>
      <c r="G74" s="386">
        <f>FCFF!T46</f>
        <v>12.170999999999999</v>
      </c>
      <c r="H74" s="440">
        <f>+H75*H68</f>
        <v>0</v>
      </c>
      <c r="I74" s="440">
        <f t="shared" ref="I74:L74" si="12">+I75*I68</f>
        <v>0</v>
      </c>
      <c r="J74" s="440">
        <f t="shared" si="12"/>
        <v>0</v>
      </c>
      <c r="K74" s="440">
        <f t="shared" si="12"/>
        <v>0</v>
      </c>
      <c r="L74" s="440">
        <f t="shared" si="12"/>
        <v>0</v>
      </c>
    </row>
    <row r="75" spans="2:12" ht="15" customHeight="1">
      <c r="B75" s="31" t="s">
        <v>368</v>
      </c>
      <c r="E75" s="300">
        <f>E74/E68</f>
        <v>3.7405619152685643E-2</v>
      </c>
      <c r="F75" s="300">
        <f t="shared" ref="F75:G75" si="13">F74/F68</f>
        <v>3.126386472514818E-2</v>
      </c>
      <c r="G75" s="384">
        <f t="shared" si="13"/>
        <v>2.8642499435198431E-2</v>
      </c>
      <c r="H75" s="441"/>
      <c r="I75" s="441"/>
      <c r="J75" s="441"/>
      <c r="K75" s="441"/>
      <c r="L75" s="441"/>
    </row>
    <row r="76" spans="2:12" ht="15" customHeight="1">
      <c r="B76" s="31"/>
      <c r="E76" s="66"/>
      <c r="F76" s="66"/>
      <c r="G76" s="385"/>
      <c r="H76" s="400"/>
      <c r="I76" s="400"/>
      <c r="J76" s="400"/>
      <c r="K76" s="400"/>
      <c r="L76" s="400"/>
    </row>
    <row r="77" spans="2:12" ht="15" customHeight="1">
      <c r="B77" s="357" t="s">
        <v>369</v>
      </c>
      <c r="E77" s="68">
        <f>FCFF!H49</f>
        <v>13.581</v>
      </c>
      <c r="F77" s="68">
        <f>FCFF!N49</f>
        <v>12.734999999999999</v>
      </c>
      <c r="G77" s="386">
        <f>FCFF!T49</f>
        <v>9.6210000000000004</v>
      </c>
      <c r="H77" s="440">
        <f>+H80+H83</f>
        <v>0</v>
      </c>
      <c r="I77" s="440">
        <f t="shared" ref="I77:L77" si="14">+I80+I83</f>
        <v>0</v>
      </c>
      <c r="J77" s="440">
        <f t="shared" si="14"/>
        <v>0</v>
      </c>
      <c r="K77" s="440">
        <f t="shared" si="14"/>
        <v>0</v>
      </c>
      <c r="L77" s="440">
        <f t="shared" si="14"/>
        <v>0</v>
      </c>
    </row>
    <row r="78" spans="2:12" s="425" customFormat="1" ht="15" customHeight="1">
      <c r="B78" s="31" t="s">
        <v>370</v>
      </c>
      <c r="C78" s="26"/>
      <c r="D78" s="26"/>
      <c r="E78" s="300">
        <f>E77/(E111+E114)</f>
        <v>0.4916021139506262</v>
      </c>
      <c r="F78" s="300">
        <f>F77/(F111+F114)</f>
        <v>0.56670523317906718</v>
      </c>
      <c r="G78" s="384">
        <f>G77/(G111+G114)</f>
        <v>0.39659507811533867</v>
      </c>
      <c r="H78" s="300">
        <f t="shared" ref="H78:L78" si="15">H77/(H111+H114)</f>
        <v>0</v>
      </c>
      <c r="I78" s="300">
        <f t="shared" si="15"/>
        <v>0</v>
      </c>
      <c r="J78" s="300">
        <f t="shared" si="15"/>
        <v>0</v>
      </c>
      <c r="K78" s="300">
        <f t="shared" si="15"/>
        <v>0</v>
      </c>
      <c r="L78" s="300">
        <f t="shared" si="15"/>
        <v>0</v>
      </c>
    </row>
    <row r="79" spans="2:12" ht="15" customHeight="1">
      <c r="B79" s="31"/>
      <c r="E79" s="300"/>
      <c r="F79" s="300"/>
      <c r="G79" s="384"/>
      <c r="H79" s="447"/>
      <c r="I79" s="447"/>
      <c r="J79" s="447"/>
      <c r="K79" s="447"/>
      <c r="L79" s="447"/>
    </row>
    <row r="80" spans="2:12" ht="15" customHeight="1">
      <c r="B80" s="448" t="s">
        <v>371</v>
      </c>
      <c r="E80" s="68">
        <f>FCFF!H52</f>
        <v>0</v>
      </c>
      <c r="F80" s="68">
        <f>FCFF!N52</f>
        <v>0</v>
      </c>
      <c r="G80" s="386">
        <f>FCFF!T52</f>
        <v>0</v>
      </c>
      <c r="H80" s="449">
        <f>H81*G111</f>
        <v>0</v>
      </c>
      <c r="I80" s="449">
        <f t="shared" ref="I80:L80" si="16">I81*H111</f>
        <v>0</v>
      </c>
      <c r="J80" s="449">
        <f t="shared" si="16"/>
        <v>0</v>
      </c>
      <c r="K80" s="449">
        <f t="shared" si="16"/>
        <v>0</v>
      </c>
      <c r="L80" s="449">
        <f t="shared" si="16"/>
        <v>0</v>
      </c>
    </row>
    <row r="81" spans="2:12" ht="15" customHeight="1">
      <c r="B81" s="296" t="s">
        <v>372</v>
      </c>
      <c r="E81" s="300">
        <f>E80/E111</f>
        <v>0</v>
      </c>
      <c r="F81" s="300">
        <f>FCFF!N53</f>
        <v>0</v>
      </c>
      <c r="G81" s="384">
        <f>FCFF!T53</f>
        <v>0</v>
      </c>
      <c r="H81" s="441"/>
      <c r="I81" s="441"/>
      <c r="J81" s="441"/>
      <c r="K81" s="441"/>
      <c r="L81" s="441"/>
    </row>
    <row r="82" spans="2:12" ht="15" customHeight="1">
      <c r="B82" s="31"/>
      <c r="E82" s="300"/>
      <c r="F82" s="300"/>
      <c r="G82" s="384"/>
    </row>
    <row r="83" spans="2:12" ht="15" customHeight="1">
      <c r="B83" s="448" t="s">
        <v>373</v>
      </c>
      <c r="E83" s="68">
        <f>FCFF!H55</f>
        <v>0</v>
      </c>
      <c r="F83" s="68">
        <f>FCFF!N55</f>
        <v>0</v>
      </c>
      <c r="G83" s="386">
        <f>FCFF!T55</f>
        <v>0</v>
      </c>
      <c r="H83" s="440">
        <f>H84*G114</f>
        <v>0</v>
      </c>
      <c r="I83" s="440">
        <f t="shared" ref="I83:L83" si="17">I84*H114</f>
        <v>0</v>
      </c>
      <c r="J83" s="440">
        <f t="shared" si="17"/>
        <v>0</v>
      </c>
      <c r="K83" s="440">
        <f t="shared" si="17"/>
        <v>0</v>
      </c>
      <c r="L83" s="440">
        <f t="shared" si="17"/>
        <v>0</v>
      </c>
    </row>
    <row r="84" spans="2:12" ht="15" customHeight="1">
      <c r="B84" s="296" t="s">
        <v>374</v>
      </c>
      <c r="C84" s="450"/>
      <c r="D84" s="450"/>
      <c r="E84" s="300" t="e">
        <f>E83/E114</f>
        <v>#DIV/0!</v>
      </c>
      <c r="F84" s="300" t="e">
        <f>F83/F114</f>
        <v>#DIV/0!</v>
      </c>
      <c r="G84" s="384" t="e">
        <f>G83/G114</f>
        <v>#DIV/0!</v>
      </c>
      <c r="H84" s="441"/>
      <c r="I84" s="441"/>
      <c r="J84" s="441"/>
      <c r="K84" s="441"/>
      <c r="L84" s="442"/>
    </row>
    <row r="85" spans="2:12" ht="15" customHeight="1">
      <c r="B85" s="451"/>
      <c r="C85" s="450"/>
      <c r="D85" s="450"/>
      <c r="E85" s="66"/>
      <c r="F85" s="66"/>
      <c r="G85" s="385"/>
      <c r="H85" s="443"/>
      <c r="I85" s="443"/>
      <c r="J85" s="443"/>
      <c r="K85" s="443"/>
      <c r="L85" s="443"/>
    </row>
    <row r="86" spans="2:12" ht="15" customHeight="1">
      <c r="B86" s="357" t="s">
        <v>376</v>
      </c>
      <c r="C86" s="450"/>
      <c r="D86" s="450"/>
      <c r="E86" s="68">
        <f>FCFF!H61</f>
        <v>32.390999999999998</v>
      </c>
      <c r="F86" s="68">
        <f>FCFF!N61</f>
        <v>105.895</v>
      </c>
      <c r="G86" s="386">
        <f>FCFF!T61</f>
        <v>151.268</v>
      </c>
      <c r="H86" s="440">
        <f>H68-H71-H74-H77</f>
        <v>350000</v>
      </c>
      <c r="I86" s="440">
        <f t="shared" ref="I86:L86" si="18">I68-I71-I74-I77</f>
        <v>352000</v>
      </c>
      <c r="J86" s="440">
        <f t="shared" si="18"/>
        <v>350000</v>
      </c>
      <c r="K86" s="440">
        <f t="shared" si="18"/>
        <v>352000</v>
      </c>
      <c r="L86" s="440">
        <f t="shared" si="18"/>
        <v>350000</v>
      </c>
    </row>
    <row r="87" spans="2:12" ht="15" customHeight="1">
      <c r="B87" s="31" t="s">
        <v>361</v>
      </c>
      <c r="C87" s="450"/>
      <c r="D87" s="450"/>
      <c r="E87" s="300">
        <f t="shared" ref="E87:L87" si="19">E86/E59</f>
        <v>7.1525574185342458E-2</v>
      </c>
      <c r="F87" s="300">
        <f t="shared" si="19"/>
        <v>0.20806603412129701</v>
      </c>
      <c r="G87" s="384">
        <f t="shared" si="19"/>
        <v>0.28760197960693057</v>
      </c>
      <c r="H87" s="300">
        <f t="shared" si="19"/>
        <v>1</v>
      </c>
      <c r="I87" s="300">
        <f t="shared" si="19"/>
        <v>1</v>
      </c>
      <c r="J87" s="300">
        <f t="shared" si="19"/>
        <v>1</v>
      </c>
      <c r="K87" s="300">
        <f t="shared" si="19"/>
        <v>1</v>
      </c>
      <c r="L87" s="300">
        <f t="shared" si="19"/>
        <v>1</v>
      </c>
    </row>
    <row r="88" spans="2:12" ht="15" customHeight="1">
      <c r="B88" s="31"/>
      <c r="C88" s="450"/>
      <c r="D88" s="450"/>
      <c r="E88" s="443"/>
      <c r="F88" s="443"/>
      <c r="G88" s="452"/>
      <c r="H88" s="443"/>
      <c r="I88" s="443"/>
      <c r="J88" s="443"/>
      <c r="K88" s="443"/>
      <c r="L88" s="443"/>
    </row>
    <row r="89" spans="2:12" ht="15" customHeight="1">
      <c r="B89" s="357" t="s">
        <v>498</v>
      </c>
      <c r="C89" s="450"/>
      <c r="D89" s="450"/>
      <c r="E89" s="68">
        <f>IS!T38</f>
        <v>0</v>
      </c>
      <c r="F89" s="68">
        <f>IS!Z38</f>
        <v>0</v>
      </c>
      <c r="G89" s="386">
        <f>IS!AF38</f>
        <v>44.707999999999998</v>
      </c>
      <c r="H89" s="66">
        <f>+H164</f>
        <v>0</v>
      </c>
      <c r="I89" s="66">
        <f t="shared" ref="I89:L89" si="20">+I164</f>
        <v>0</v>
      </c>
      <c r="J89" s="66">
        <f t="shared" si="20"/>
        <v>0</v>
      </c>
      <c r="K89" s="66">
        <f t="shared" si="20"/>
        <v>0</v>
      </c>
      <c r="L89" s="66">
        <f t="shared" si="20"/>
        <v>0</v>
      </c>
    </row>
    <row r="90" spans="2:12" ht="15" customHeight="1">
      <c r="B90" s="357"/>
      <c r="C90" s="450"/>
      <c r="D90" s="450"/>
      <c r="E90" s="443"/>
      <c r="F90" s="443"/>
      <c r="G90" s="452"/>
      <c r="H90" s="443"/>
      <c r="I90" s="443"/>
      <c r="J90" s="443"/>
      <c r="K90" s="443"/>
      <c r="L90" s="443"/>
    </row>
    <row r="91" spans="2:12" ht="15" customHeight="1">
      <c r="B91" s="357" t="s">
        <v>499</v>
      </c>
      <c r="C91" s="450"/>
      <c r="D91" s="450"/>
      <c r="E91" s="68">
        <f>IS!T42</f>
        <v>6.6340000000000003</v>
      </c>
      <c r="F91" s="68">
        <f>IS!Z42</f>
        <v>54.6</v>
      </c>
      <c r="G91" s="386">
        <f>IS!AF42</f>
        <v>100.07599999999999</v>
      </c>
      <c r="H91" s="66">
        <f>+H86-H89</f>
        <v>350000</v>
      </c>
      <c r="I91" s="66">
        <f t="shared" ref="I91:L91" si="21">+I86-I89</f>
        <v>352000</v>
      </c>
      <c r="J91" s="66">
        <f t="shared" si="21"/>
        <v>350000</v>
      </c>
      <c r="K91" s="66">
        <f t="shared" si="21"/>
        <v>352000</v>
      </c>
      <c r="L91" s="66">
        <f t="shared" si="21"/>
        <v>350000</v>
      </c>
    </row>
    <row r="92" spans="2:12" ht="15" customHeight="1">
      <c r="B92" s="31" t="s">
        <v>361</v>
      </c>
      <c r="C92" s="450"/>
      <c r="D92" s="450"/>
      <c r="E92" s="443">
        <f t="shared" ref="E92:L92" si="22">E91/E59</f>
        <v>1.4649151281083076E-2</v>
      </c>
      <c r="F92" s="443">
        <f t="shared" si="22"/>
        <v>0.10727990427331618</v>
      </c>
      <c r="G92" s="453">
        <f t="shared" si="22"/>
        <v>0.1902719392809</v>
      </c>
      <c r="H92" s="443">
        <f t="shared" si="22"/>
        <v>1</v>
      </c>
      <c r="I92" s="443">
        <f t="shared" si="22"/>
        <v>1</v>
      </c>
      <c r="J92" s="443">
        <f t="shared" si="22"/>
        <v>1</v>
      </c>
      <c r="K92" s="443">
        <f t="shared" si="22"/>
        <v>1</v>
      </c>
      <c r="L92" s="443">
        <f t="shared" si="22"/>
        <v>1</v>
      </c>
    </row>
    <row r="93" spans="2:12" ht="15" customHeight="1">
      <c r="B93" s="76"/>
      <c r="C93" s="450"/>
      <c r="D93" s="450"/>
      <c r="E93" s="443"/>
      <c r="F93" s="443"/>
      <c r="G93" s="453"/>
      <c r="H93" s="443"/>
      <c r="I93" s="443"/>
      <c r="J93" s="443"/>
      <c r="K93" s="443"/>
      <c r="L93" s="443"/>
    </row>
    <row r="94" spans="2:12" ht="15" customHeight="1">
      <c r="B94" s="357" t="s">
        <v>500</v>
      </c>
      <c r="C94" s="450"/>
      <c r="D94" s="450"/>
      <c r="E94" s="68">
        <f>IS!T45</f>
        <v>0.79100000000000004</v>
      </c>
      <c r="F94" s="68">
        <f>IS!Z45</f>
        <v>12.2484</v>
      </c>
      <c r="G94" s="386">
        <f>IS!AF45</f>
        <v>16.822199999999999</v>
      </c>
      <c r="H94" s="66">
        <f>H95*H91</f>
        <v>0</v>
      </c>
      <c r="I94" s="66">
        <f t="shared" ref="I94:L94" si="23">I95*I91</f>
        <v>0</v>
      </c>
      <c r="J94" s="66">
        <f t="shared" si="23"/>
        <v>0</v>
      </c>
      <c r="K94" s="66">
        <f t="shared" si="23"/>
        <v>0</v>
      </c>
      <c r="L94" s="66">
        <f t="shared" si="23"/>
        <v>0</v>
      </c>
    </row>
    <row r="95" spans="2:12" ht="15" customHeight="1">
      <c r="B95" s="31" t="s">
        <v>501</v>
      </c>
      <c r="C95" s="450"/>
      <c r="D95" s="450"/>
      <c r="E95" s="443">
        <f>E94/E91</f>
        <v>0.11923424781429003</v>
      </c>
      <c r="F95" s="443">
        <f t="shared" ref="F95:G95" si="24">F94/F91</f>
        <v>0.22432967032967033</v>
      </c>
      <c r="G95" s="454">
        <f t="shared" si="24"/>
        <v>0.16809424837123785</v>
      </c>
      <c r="H95" s="441"/>
      <c r="I95" s="441"/>
      <c r="J95" s="441"/>
      <c r="K95" s="441"/>
      <c r="L95" s="442"/>
    </row>
    <row r="96" spans="2:12" ht="15" customHeight="1">
      <c r="G96" s="204"/>
    </row>
    <row r="97" spans="1:12" ht="15" customHeight="1">
      <c r="B97" s="357" t="s">
        <v>502</v>
      </c>
      <c r="C97" s="450"/>
      <c r="D97" s="450"/>
      <c r="E97" s="68">
        <f>IS!T47</f>
        <v>5.843</v>
      </c>
      <c r="F97" s="68">
        <f>IS!Z47</f>
        <v>42.351599999999998</v>
      </c>
      <c r="G97" s="386">
        <f>IS!AF47</f>
        <v>83.253799999999998</v>
      </c>
      <c r="H97" s="66">
        <f>H91-H94</f>
        <v>350000</v>
      </c>
      <c r="I97" s="66">
        <f t="shared" ref="I97:L97" si="25">I91-I94</f>
        <v>352000</v>
      </c>
      <c r="J97" s="66">
        <f t="shared" si="25"/>
        <v>350000</v>
      </c>
      <c r="K97" s="66">
        <f t="shared" si="25"/>
        <v>352000</v>
      </c>
      <c r="L97" s="66">
        <f t="shared" si="25"/>
        <v>350000</v>
      </c>
    </row>
    <row r="98" spans="1:12" ht="15" customHeight="1">
      <c r="B98" s="31" t="s">
        <v>361</v>
      </c>
      <c r="C98" s="450"/>
      <c r="D98" s="450"/>
      <c r="E98" s="443">
        <f t="shared" ref="E98:L98" si="26">E97/E59</f>
        <v>1.2902470746965392E-2</v>
      </c>
      <c r="F98" s="443">
        <f t="shared" si="26"/>
        <v>8.3213838714684574E-2</v>
      </c>
      <c r="G98" s="453">
        <f t="shared" si="26"/>
        <v>0.1582883206613393</v>
      </c>
      <c r="H98" s="443">
        <f t="shared" si="26"/>
        <v>1</v>
      </c>
      <c r="I98" s="443">
        <f t="shared" si="26"/>
        <v>1</v>
      </c>
      <c r="J98" s="443">
        <f t="shared" si="26"/>
        <v>1</v>
      </c>
      <c r="K98" s="443">
        <f t="shared" si="26"/>
        <v>1</v>
      </c>
      <c r="L98" s="443">
        <f t="shared" si="26"/>
        <v>1</v>
      </c>
    </row>
    <row r="99" spans="1:12" ht="15" customHeight="1">
      <c r="B99" s="31"/>
      <c r="C99" s="450"/>
      <c r="D99" s="450"/>
      <c r="E99" s="455"/>
      <c r="F99" s="455"/>
      <c r="G99" s="456"/>
      <c r="H99" s="443"/>
      <c r="I99" s="443"/>
      <c r="J99" s="443"/>
      <c r="K99" s="443"/>
      <c r="L99" s="443"/>
    </row>
    <row r="100" spans="1:12" ht="15" customHeight="1">
      <c r="A100" s="361" t="s">
        <v>39</v>
      </c>
      <c r="B100" s="355" t="s">
        <v>379</v>
      </c>
      <c r="C100" s="32"/>
      <c r="D100" s="32"/>
      <c r="E100" s="420">
        <f t="shared" ref="E100:L100" si="27">E57</f>
        <v>2022</v>
      </c>
      <c r="F100" s="420">
        <f t="shared" si="27"/>
        <v>2023</v>
      </c>
      <c r="G100" s="420">
        <f t="shared" si="27"/>
        <v>2024</v>
      </c>
      <c r="H100" s="421">
        <f t="shared" si="27"/>
        <v>2025</v>
      </c>
      <c r="I100" s="421">
        <f t="shared" si="27"/>
        <v>2026</v>
      </c>
      <c r="J100" s="421">
        <f t="shared" si="27"/>
        <v>2027</v>
      </c>
      <c r="K100" s="421">
        <f t="shared" si="27"/>
        <v>2028</v>
      </c>
      <c r="L100" s="421">
        <f t="shared" si="27"/>
        <v>2029</v>
      </c>
    </row>
    <row r="101" spans="1:12" ht="4" customHeight="1">
      <c r="B101" s="457"/>
      <c r="C101" s="36"/>
      <c r="D101" s="36"/>
      <c r="E101" s="36"/>
      <c r="F101" s="36"/>
      <c r="G101" s="36"/>
      <c r="H101" s="36"/>
      <c r="I101" s="36"/>
      <c r="J101" s="36"/>
      <c r="K101" s="36"/>
      <c r="L101" s="36"/>
    </row>
    <row r="102" spans="1:12" ht="15" customHeight="1">
      <c r="B102" s="357" t="s">
        <v>408</v>
      </c>
      <c r="E102" s="68">
        <f>FCFF!H70</f>
        <v>0</v>
      </c>
      <c r="F102" s="68">
        <f>FCFF!N70</f>
        <v>0</v>
      </c>
      <c r="G102" s="386">
        <f>FCFF!T70</f>
        <v>0</v>
      </c>
      <c r="H102" s="458">
        <f>+H103*H59/365</f>
        <v>0</v>
      </c>
      <c r="I102" s="458">
        <f t="shared" ref="I102:L102" si="28">+I103*I59/365</f>
        <v>0</v>
      </c>
      <c r="J102" s="458">
        <f t="shared" si="28"/>
        <v>0</v>
      </c>
      <c r="K102" s="458">
        <f>+K103*K59/366</f>
        <v>0</v>
      </c>
      <c r="L102" s="458">
        <f t="shared" si="28"/>
        <v>0</v>
      </c>
    </row>
    <row r="103" spans="1:12" ht="15" customHeight="1">
      <c r="B103" s="31" t="s">
        <v>409</v>
      </c>
      <c r="E103" s="309">
        <f>FCFF!H71</f>
        <v>0</v>
      </c>
      <c r="F103" s="309">
        <f>FCFF!N71</f>
        <v>0</v>
      </c>
      <c r="G103" s="387">
        <f>FCFF!T71</f>
        <v>0</v>
      </c>
      <c r="H103" s="459"/>
      <c r="I103" s="459"/>
      <c r="J103" s="459"/>
      <c r="K103" s="459"/>
      <c r="L103" s="459"/>
    </row>
    <row r="104" spans="1:12" ht="15" customHeight="1">
      <c r="B104" s="357"/>
      <c r="E104" s="97"/>
      <c r="F104" s="97"/>
      <c r="G104" s="388"/>
      <c r="H104" s="458"/>
      <c r="I104" s="458"/>
      <c r="J104" s="458"/>
      <c r="K104" s="458"/>
      <c r="L104" s="458"/>
    </row>
    <row r="105" spans="1:12" ht="15" customHeight="1">
      <c r="B105" s="357" t="s">
        <v>410</v>
      </c>
      <c r="E105" s="68">
        <f>FCFF!H73</f>
        <v>0</v>
      </c>
      <c r="F105" s="68">
        <f>FCFF!N73</f>
        <v>0</v>
      </c>
      <c r="G105" s="386">
        <f>FCFF!T73</f>
        <v>0</v>
      </c>
      <c r="H105" s="458">
        <f>+H106*H62/365</f>
        <v>0</v>
      </c>
      <c r="I105" s="458">
        <f t="shared" ref="I105:L105" si="29">+I106*I62/365</f>
        <v>0</v>
      </c>
      <c r="J105" s="458">
        <f t="shared" si="29"/>
        <v>0</v>
      </c>
      <c r="K105" s="458">
        <f>+K106*K62/366</f>
        <v>0</v>
      </c>
      <c r="L105" s="458">
        <f t="shared" si="29"/>
        <v>0</v>
      </c>
    </row>
    <row r="106" spans="1:12" ht="15" customHeight="1">
      <c r="B106" s="31" t="s">
        <v>411</v>
      </c>
      <c r="E106" s="309">
        <f>FCFF!H74</f>
        <v>0</v>
      </c>
      <c r="F106" s="309">
        <f>FCFF!N74</f>
        <v>0</v>
      </c>
      <c r="G106" s="387">
        <f>FCFF!T74</f>
        <v>0</v>
      </c>
      <c r="H106" s="459"/>
      <c r="I106" s="459"/>
      <c r="J106" s="459"/>
      <c r="K106" s="459"/>
      <c r="L106" s="459"/>
    </row>
    <row r="107" spans="1:12" ht="15" customHeight="1">
      <c r="B107" s="357"/>
      <c r="E107" s="97"/>
      <c r="F107" s="97"/>
      <c r="G107" s="388"/>
    </row>
    <row r="108" spans="1:12" ht="15" customHeight="1">
      <c r="B108" s="357" t="s">
        <v>412</v>
      </c>
      <c r="E108" s="68">
        <f>FCFF!H76</f>
        <v>33.430999999999997</v>
      </c>
      <c r="F108" s="68">
        <f>FCFF!N76</f>
        <v>42.152000000000001</v>
      </c>
      <c r="G108" s="386">
        <f>FCFF!T76</f>
        <v>26.943999999999996</v>
      </c>
      <c r="H108" s="458">
        <f>+H109*H59</f>
        <v>0</v>
      </c>
      <c r="I108" s="458">
        <f t="shared" ref="I108:L108" si="30">+I109*I59</f>
        <v>0</v>
      </c>
      <c r="J108" s="458">
        <f t="shared" si="30"/>
        <v>0</v>
      </c>
      <c r="K108" s="458">
        <f t="shared" si="30"/>
        <v>0</v>
      </c>
      <c r="L108" s="458">
        <f t="shared" si="30"/>
        <v>0</v>
      </c>
    </row>
    <row r="109" spans="1:12" s="425" customFormat="1" ht="15" customHeight="1">
      <c r="A109" s="361"/>
      <c r="B109" s="31" t="s">
        <v>361</v>
      </c>
      <c r="C109" s="26"/>
      <c r="D109" s="26"/>
      <c r="E109" s="300">
        <f>FCFF!H77</f>
        <v>7.3822094735889091E-2</v>
      </c>
      <c r="F109" s="300">
        <f>FCFF!N77</f>
        <v>8.2821657965729378E-2</v>
      </c>
      <c r="G109" s="384">
        <f>FCFF!T77</f>
        <v>5.1227938086899641E-2</v>
      </c>
      <c r="H109" s="441"/>
      <c r="I109" s="441"/>
      <c r="J109" s="441"/>
      <c r="K109" s="441"/>
      <c r="L109" s="441"/>
    </row>
    <row r="110" spans="1:12" ht="15" customHeight="1">
      <c r="B110" s="357"/>
      <c r="E110" s="97"/>
      <c r="F110" s="97"/>
      <c r="G110" s="388"/>
      <c r="H110" s="458"/>
      <c r="I110" s="458"/>
      <c r="J110" s="458"/>
      <c r="K110" s="458"/>
      <c r="L110" s="458"/>
    </row>
    <row r="111" spans="1:12" ht="15" customHeight="1">
      <c r="B111" s="357" t="s">
        <v>413</v>
      </c>
      <c r="E111" s="68">
        <f>FCFF!H79</f>
        <v>27.626000000000001</v>
      </c>
      <c r="F111" s="68">
        <f>FCFF!N79</f>
        <v>22.472000000000001</v>
      </c>
      <c r="G111" s="386">
        <f>FCFF!T79</f>
        <v>24.259</v>
      </c>
      <c r="H111" s="66">
        <f>+G111-H112*H131-H80-H65</f>
        <v>24.259</v>
      </c>
      <c r="I111" s="66">
        <f t="shared" ref="I111:L111" si="31">+H111-I112*I131-I80-I65</f>
        <v>24.259</v>
      </c>
      <c r="J111" s="66">
        <f t="shared" si="31"/>
        <v>24.259</v>
      </c>
      <c r="K111" s="66">
        <f t="shared" si="31"/>
        <v>24.259</v>
      </c>
      <c r="L111" s="66">
        <f t="shared" si="31"/>
        <v>24.259</v>
      </c>
    </row>
    <row r="112" spans="1:12" ht="15" customHeight="1">
      <c r="B112" s="31" t="s">
        <v>414</v>
      </c>
      <c r="E112" s="300">
        <f>FCFF!H80</f>
        <v>0</v>
      </c>
      <c r="F112" s="300">
        <f>FCFF!N80</f>
        <v>0</v>
      </c>
      <c r="G112" s="384">
        <f>FCFF!T80</f>
        <v>0</v>
      </c>
      <c r="H112" s="441"/>
      <c r="I112" s="441"/>
      <c r="J112" s="441"/>
      <c r="K112" s="441"/>
      <c r="L112" s="441"/>
    </row>
    <row r="113" spans="1:12" ht="15" customHeight="1">
      <c r="G113" s="204"/>
    </row>
    <row r="114" spans="1:12" ht="15" customHeight="1">
      <c r="B114" s="357" t="s">
        <v>503</v>
      </c>
      <c r="E114" s="68">
        <f>FCFF!H82</f>
        <v>0</v>
      </c>
      <c r="F114" s="68">
        <f>FCFF!N82</f>
        <v>0</v>
      </c>
      <c r="G114" s="386">
        <f>FCFF!T82</f>
        <v>0</v>
      </c>
      <c r="H114" s="66">
        <f>+G114+H115*H74-(1-H112)*H131-H83</f>
        <v>70000</v>
      </c>
      <c r="I114" s="66">
        <f>+H114+I115*I74-(1-I112)*I131-I83</f>
        <v>140400</v>
      </c>
      <c r="J114" s="66">
        <f>+I114+J115*J74-(1-J112)*J131-J83</f>
        <v>210400</v>
      </c>
      <c r="K114" s="66">
        <f>+J114+K115*K74-(1-K112)*K131-K83</f>
        <v>280800</v>
      </c>
      <c r="L114" s="66">
        <f>+K114+L115*L74-(1-L112)*L131-L83</f>
        <v>350800</v>
      </c>
    </row>
    <row r="115" spans="1:12" ht="15" customHeight="1">
      <c r="B115" s="31" t="s">
        <v>504</v>
      </c>
      <c r="E115" s="300" t="str">
        <f>FCFF!H83</f>
        <v/>
      </c>
      <c r="F115" s="300" t="str">
        <f>FCFF!N83</f>
        <v/>
      </c>
      <c r="G115" s="384" t="str">
        <f>FCFF!T83</f>
        <v/>
      </c>
      <c r="H115" s="441"/>
      <c r="I115" s="441"/>
      <c r="J115" s="441"/>
      <c r="K115" s="441"/>
      <c r="L115" s="441"/>
    </row>
    <row r="116" spans="1:12" s="425" customFormat="1" ht="15" customHeight="1">
      <c r="A116" s="361"/>
      <c r="B116" s="97"/>
      <c r="C116" s="22"/>
      <c r="D116" s="22"/>
      <c r="E116" s="97"/>
      <c r="F116" s="97"/>
      <c r="G116" s="388"/>
      <c r="H116" s="458"/>
      <c r="I116" s="458"/>
      <c r="J116" s="458"/>
      <c r="K116" s="458"/>
      <c r="L116" s="458"/>
    </row>
    <row r="117" spans="1:12" ht="15" customHeight="1">
      <c r="B117" s="357" t="s">
        <v>417</v>
      </c>
      <c r="E117" s="68">
        <f>FCFF!H85</f>
        <v>27.257999999999999</v>
      </c>
      <c r="F117" s="68">
        <f>FCFF!N85</f>
        <v>26.448</v>
      </c>
      <c r="G117" s="386">
        <f>FCFF!T85</f>
        <v>33.29</v>
      </c>
      <c r="H117" s="66">
        <f>+H118*H62/365</f>
        <v>0</v>
      </c>
      <c r="I117" s="66">
        <f t="shared" ref="I117:L117" si="32">+I118*I62/365</f>
        <v>0</v>
      </c>
      <c r="J117" s="66">
        <f t="shared" si="32"/>
        <v>0</v>
      </c>
      <c r="K117" s="66">
        <f>+K118*K62/366</f>
        <v>0</v>
      </c>
      <c r="L117" s="66">
        <f t="shared" si="32"/>
        <v>0</v>
      </c>
    </row>
    <row r="118" spans="1:12" ht="15" customHeight="1">
      <c r="B118" s="31" t="s">
        <v>418</v>
      </c>
      <c r="E118" s="309">
        <f>FCFF!H86</f>
        <v>95.781138687255719</v>
      </c>
      <c r="F118" s="309">
        <f>FCFF!N86</f>
        <v>89.591001475624353</v>
      </c>
      <c r="G118" s="387">
        <f>FCFF!T86</f>
        <v>120.26376998069976</v>
      </c>
      <c r="H118" s="459"/>
      <c r="I118" s="459"/>
      <c r="J118" s="459"/>
      <c r="K118" s="459"/>
      <c r="L118" s="459"/>
    </row>
    <row r="119" spans="1:12" ht="15" customHeight="1">
      <c r="B119" s="357"/>
      <c r="E119" s="97"/>
      <c r="F119" s="97"/>
      <c r="G119" s="388"/>
      <c r="H119" s="460"/>
      <c r="I119" s="460"/>
      <c r="J119" s="460"/>
      <c r="K119" s="460"/>
      <c r="L119" s="460"/>
    </row>
    <row r="120" spans="1:12" ht="15" customHeight="1">
      <c r="B120" s="357" t="s">
        <v>419</v>
      </c>
      <c r="E120" s="68">
        <f>FCFF!H88</f>
        <v>0</v>
      </c>
      <c r="F120" s="68">
        <f>FCFF!N88</f>
        <v>0</v>
      </c>
      <c r="G120" s="386">
        <f>FCFF!T88</f>
        <v>0</v>
      </c>
      <c r="H120" s="66">
        <f>+H121*H71</f>
        <v>0</v>
      </c>
      <c r="I120" s="66">
        <f t="shared" ref="I120:L120" si="33">+I121*I71</f>
        <v>0</v>
      </c>
      <c r="J120" s="66">
        <f t="shared" si="33"/>
        <v>0</v>
      </c>
      <c r="K120" s="66">
        <f t="shared" si="33"/>
        <v>0</v>
      </c>
      <c r="L120" s="66">
        <f t="shared" si="33"/>
        <v>0</v>
      </c>
    </row>
    <row r="121" spans="1:12" ht="15" customHeight="1">
      <c r="B121" s="31" t="s">
        <v>420</v>
      </c>
      <c r="E121" s="300">
        <f>FCFF!H89</f>
        <v>0</v>
      </c>
      <c r="F121" s="300">
        <f>FCFF!N89</f>
        <v>0</v>
      </c>
      <c r="G121" s="384">
        <f>FCFF!T89</f>
        <v>0</v>
      </c>
      <c r="H121" s="441"/>
      <c r="I121" s="441"/>
      <c r="J121" s="441"/>
      <c r="K121" s="441"/>
      <c r="L121" s="441"/>
    </row>
    <row r="122" spans="1:12" ht="15" customHeight="1">
      <c r="B122" s="357"/>
      <c r="C122" s="450"/>
      <c r="D122" s="450"/>
      <c r="E122" s="443"/>
      <c r="F122" s="443"/>
      <c r="G122" s="453"/>
      <c r="H122" s="461"/>
      <c r="I122" s="461"/>
      <c r="J122" s="461"/>
      <c r="K122" s="461"/>
      <c r="L122" s="461"/>
    </row>
    <row r="123" spans="1:12" ht="15" customHeight="1">
      <c r="A123" s="361" t="s">
        <v>39</v>
      </c>
      <c r="B123" s="355" t="s">
        <v>505</v>
      </c>
      <c r="C123" s="355"/>
      <c r="D123" s="355"/>
      <c r="E123" s="420">
        <f t="shared" ref="E123:L123" si="34">E57</f>
        <v>2022</v>
      </c>
      <c r="F123" s="420">
        <f t="shared" si="34"/>
        <v>2023</v>
      </c>
      <c r="G123" s="420">
        <f t="shared" si="34"/>
        <v>2024</v>
      </c>
      <c r="H123" s="421">
        <f t="shared" si="34"/>
        <v>2025</v>
      </c>
      <c r="I123" s="421">
        <f t="shared" si="34"/>
        <v>2026</v>
      </c>
      <c r="J123" s="421">
        <f t="shared" si="34"/>
        <v>2027</v>
      </c>
      <c r="K123" s="421">
        <f t="shared" si="34"/>
        <v>2028</v>
      </c>
      <c r="L123" s="421">
        <f t="shared" si="34"/>
        <v>2029</v>
      </c>
    </row>
    <row r="124" spans="1:12" ht="4" customHeight="1">
      <c r="B124" s="36"/>
      <c r="C124" s="36"/>
      <c r="D124" s="36"/>
      <c r="E124" s="462"/>
      <c r="F124" s="462"/>
      <c r="G124" s="462"/>
      <c r="H124" s="36"/>
      <c r="I124" s="36"/>
      <c r="J124" s="36"/>
      <c r="K124" s="36"/>
      <c r="L124" s="36"/>
    </row>
    <row r="125" spans="1:12" ht="15" customHeight="1">
      <c r="B125" s="357" t="s">
        <v>369</v>
      </c>
      <c r="E125" s="68">
        <f>FCFF!H94</f>
        <v>13.581</v>
      </c>
      <c r="F125" s="68">
        <f>FCFF!N94</f>
        <v>12.734999999999999</v>
      </c>
      <c r="G125" s="386">
        <f>FCFF!T94</f>
        <v>9.6210000000000004</v>
      </c>
      <c r="H125" s="463">
        <f>+H77+H65</f>
        <v>0</v>
      </c>
      <c r="I125" s="463">
        <f t="shared" ref="I125:L125" si="35">+I77+I65</f>
        <v>0</v>
      </c>
      <c r="J125" s="463">
        <f t="shared" si="35"/>
        <v>0</v>
      </c>
      <c r="K125" s="463">
        <f t="shared" si="35"/>
        <v>0</v>
      </c>
      <c r="L125" s="463">
        <f t="shared" si="35"/>
        <v>0</v>
      </c>
    </row>
    <row r="126" spans="1:12" ht="15" customHeight="1">
      <c r="B126" s="31" t="s">
        <v>370</v>
      </c>
      <c r="E126" s="300">
        <f>FCFF!H95</f>
        <v>0.4916021139506262</v>
      </c>
      <c r="F126" s="300">
        <f>FCFF!N95</f>
        <v>0.56670523317906718</v>
      </c>
      <c r="G126" s="384">
        <f>FCFF!T95</f>
        <v>0.39659507811533867</v>
      </c>
      <c r="H126" s="464">
        <f>+H125/(H111+H114)</f>
        <v>0</v>
      </c>
      <c r="I126" s="464">
        <f>+I125/(I111+I114)</f>
        <v>0</v>
      </c>
      <c r="J126" s="464">
        <f>+J125/(J111+J114)</f>
        <v>0</v>
      </c>
      <c r="K126" s="464">
        <f>+K125/(K111+K114)</f>
        <v>0</v>
      </c>
      <c r="L126" s="464">
        <f>+L125/(L111+L114)</f>
        <v>0</v>
      </c>
    </row>
    <row r="127" spans="1:12" s="325" customFormat="1" ht="15" customHeight="1">
      <c r="A127" s="465"/>
      <c r="B127" s="97"/>
      <c r="C127" s="33"/>
      <c r="D127" s="33"/>
      <c r="E127" s="97"/>
      <c r="F127" s="97"/>
      <c r="G127" s="388"/>
      <c r="H127" s="33"/>
      <c r="I127" s="33"/>
      <c r="J127" s="33"/>
      <c r="K127" s="33"/>
      <c r="L127" s="33"/>
    </row>
    <row r="128" spans="1:12" ht="15" customHeight="1">
      <c r="B128" s="357" t="s">
        <v>426</v>
      </c>
      <c r="E128" s="68">
        <f>FCFF!H103</f>
        <v>-9.338000000000001</v>
      </c>
      <c r="F128" s="68">
        <f>FCFF!N103</f>
        <v>-1.9529999999999998</v>
      </c>
      <c r="G128" s="386">
        <f>FCFF!T103</f>
        <v>6.4249999999999989</v>
      </c>
      <c r="H128" s="466">
        <f>-((H102+H105+H108-H117-H120)-(G102+G105+G108-G117-G120))</f>
        <v>-6.3460000000000036</v>
      </c>
      <c r="I128" s="466">
        <f>-((I102+I105+I108-I117-I120)-(H102+H105+H108-H117-H120))</f>
        <v>0</v>
      </c>
      <c r="J128" s="466">
        <f>-((J102+J105+J108-J117-J120)-(I102+I105+I108-I117-I120))</f>
        <v>0</v>
      </c>
      <c r="K128" s="466">
        <f>-((K102+K105+K108-K117-K120)-(J102+J105+J108-J117-J120))</f>
        <v>0</v>
      </c>
      <c r="L128" s="466">
        <f>-((L102+L105+L108-L117-L120)-(K102+K105+K108-K117-K120))</f>
        <v>0</v>
      </c>
    </row>
    <row r="129" spans="1:12" ht="15" customHeight="1">
      <c r="B129" s="31" t="s">
        <v>427</v>
      </c>
      <c r="E129" s="300">
        <f>FCFF!H104</f>
        <v>-2.6754223861054527E-2</v>
      </c>
      <c r="F129" s="300">
        <f>FCFF!N104</f>
        <v>-4.3126006107861384E-3</v>
      </c>
      <c r="G129" s="384">
        <f>FCFF!T104</f>
        <v>1.2624054669524843E-2</v>
      </c>
      <c r="H129" s="424">
        <f>H128/(H59-G59)</f>
        <v>-1.8158716608753411E-5</v>
      </c>
      <c r="I129" s="424">
        <f>I128/(I59-H59)</f>
        <v>0</v>
      </c>
      <c r="J129" s="424">
        <f>J128/(J59-I59)</f>
        <v>0</v>
      </c>
      <c r="K129" s="424">
        <f>K128/(K59-J59)</f>
        <v>0</v>
      </c>
      <c r="L129" s="424">
        <f>L128/(L59-K59)</f>
        <v>0</v>
      </c>
    </row>
    <row r="130" spans="1:12" ht="15" customHeight="1">
      <c r="B130" s="97"/>
      <c r="E130" s="97"/>
      <c r="F130" s="97"/>
      <c r="G130" s="388"/>
      <c r="H130" s="467"/>
      <c r="I130" s="467"/>
      <c r="J130" s="467"/>
      <c r="K130" s="467"/>
      <c r="L130" s="467"/>
    </row>
    <row r="131" spans="1:12" ht="15" customHeight="1">
      <c r="B131" s="357" t="s">
        <v>437</v>
      </c>
      <c r="E131" s="68">
        <f>FCFF!H106+FCFF!H109</f>
        <v>-13.25</v>
      </c>
      <c r="F131" s="68">
        <f>FCFF!N106+FCFF!N109</f>
        <v>-8.9909999999999997</v>
      </c>
      <c r="G131" s="386">
        <f>FCFF!T106+FCFF!T109</f>
        <v>-13.01</v>
      </c>
      <c r="H131" s="458">
        <f>-H132*H59</f>
        <v>-70000</v>
      </c>
      <c r="I131" s="458">
        <f t="shared" ref="I131:L131" si="36">-I132*I59</f>
        <v>-70400</v>
      </c>
      <c r="J131" s="458">
        <f t="shared" si="36"/>
        <v>-70000</v>
      </c>
      <c r="K131" s="458">
        <f t="shared" si="36"/>
        <v>-70400</v>
      </c>
      <c r="L131" s="458">
        <f t="shared" si="36"/>
        <v>-70000</v>
      </c>
    </row>
    <row r="132" spans="1:12" ht="15" customHeight="1">
      <c r="B132" s="31" t="s">
        <v>361</v>
      </c>
      <c r="E132" s="300">
        <f>FCFF!H107</f>
        <v>2.9258555091098998E-2</v>
      </c>
      <c r="F132" s="300">
        <f>FCFF!N107</f>
        <v>1.7665817203688382E-2</v>
      </c>
      <c r="G132" s="384">
        <f>FCFF!T107</f>
        <v>2.4735580259447908E-2</v>
      </c>
      <c r="H132" s="441">
        <v>0.2</v>
      </c>
      <c r="I132" s="441">
        <v>0.2</v>
      </c>
      <c r="J132" s="441">
        <v>0.2</v>
      </c>
      <c r="K132" s="441">
        <v>0.2</v>
      </c>
      <c r="L132" s="441">
        <v>0.2</v>
      </c>
    </row>
    <row r="133" spans="1:12" ht="15" customHeight="1">
      <c r="B133" s="357"/>
      <c r="G133" s="468"/>
      <c r="H133" s="25"/>
      <c r="I133" s="25"/>
      <c r="J133" s="25"/>
      <c r="K133" s="25"/>
      <c r="L133" s="25"/>
    </row>
    <row r="134" spans="1:12" ht="15" customHeight="1">
      <c r="A134" s="361" t="s">
        <v>39</v>
      </c>
      <c r="B134" s="355" t="s">
        <v>506</v>
      </c>
      <c r="C134" s="355"/>
      <c r="D134" s="355"/>
      <c r="E134" s="420"/>
      <c r="F134" s="420"/>
      <c r="G134" s="469"/>
      <c r="H134" s="421">
        <f>H57</f>
        <v>2025</v>
      </c>
      <c r="I134" s="421">
        <f>I57</f>
        <v>2026</v>
      </c>
      <c r="J134" s="421">
        <f>J57</f>
        <v>2027</v>
      </c>
      <c r="K134" s="421">
        <f>K57</f>
        <v>2028</v>
      </c>
      <c r="L134" s="421">
        <f>L57</f>
        <v>2029</v>
      </c>
    </row>
    <row r="135" spans="1:12" ht="4" customHeight="1">
      <c r="B135" s="36"/>
      <c r="C135" s="36"/>
      <c r="D135" s="36"/>
      <c r="E135" s="36"/>
      <c r="F135" s="36"/>
      <c r="G135" s="470"/>
      <c r="H135" s="36"/>
      <c r="I135" s="36"/>
      <c r="J135" s="36"/>
      <c r="K135" s="36"/>
      <c r="L135" s="36"/>
    </row>
    <row r="136" spans="1:12" ht="15" customHeight="1">
      <c r="B136" s="357" t="s">
        <v>507</v>
      </c>
      <c r="G136" s="204"/>
      <c r="H136" s="463">
        <f>H97</f>
        <v>350000</v>
      </c>
      <c r="I136" s="463">
        <f t="shared" ref="I136:L136" si="37">I97</f>
        <v>352000</v>
      </c>
      <c r="J136" s="463">
        <f t="shared" si="37"/>
        <v>350000</v>
      </c>
      <c r="K136" s="463">
        <f t="shared" si="37"/>
        <v>352000</v>
      </c>
      <c r="L136" s="463">
        <f t="shared" si="37"/>
        <v>350000</v>
      </c>
    </row>
    <row r="137" spans="1:12" ht="15" customHeight="1">
      <c r="B137" s="357" t="s">
        <v>508</v>
      </c>
      <c r="E137" s="463"/>
      <c r="F137" s="463"/>
      <c r="G137" s="471"/>
      <c r="H137" s="463">
        <f>+H125</f>
        <v>0</v>
      </c>
      <c r="I137" s="463">
        <f>+I125</f>
        <v>0</v>
      </c>
      <c r="J137" s="463">
        <f>+J125</f>
        <v>0</v>
      </c>
      <c r="K137" s="463">
        <f>+K125</f>
        <v>0</v>
      </c>
      <c r="L137" s="463">
        <f>+L125</f>
        <v>0</v>
      </c>
    </row>
    <row r="138" spans="1:12" ht="15" customHeight="1">
      <c r="B138" s="357" t="s">
        <v>369</v>
      </c>
      <c r="E138" s="463"/>
      <c r="F138" s="463"/>
      <c r="G138" s="472"/>
      <c r="H138" s="463">
        <f>+H128</f>
        <v>-6.3460000000000036</v>
      </c>
      <c r="I138" s="463">
        <f>+I128</f>
        <v>0</v>
      </c>
      <c r="J138" s="463">
        <f>+J128</f>
        <v>0</v>
      </c>
      <c r="K138" s="463">
        <f>+K128</f>
        <v>0</v>
      </c>
      <c r="L138" s="463">
        <f>+L128</f>
        <v>0</v>
      </c>
    </row>
    <row r="139" spans="1:12" ht="15" customHeight="1">
      <c r="B139" s="357" t="s">
        <v>437</v>
      </c>
      <c r="E139" s="440"/>
      <c r="F139" s="440"/>
      <c r="G139" s="473"/>
      <c r="H139" s="463">
        <f>+H131</f>
        <v>-70000</v>
      </c>
      <c r="I139" s="463">
        <f>+I131</f>
        <v>-70400</v>
      </c>
      <c r="J139" s="463">
        <f>+J131</f>
        <v>-70000</v>
      </c>
      <c r="K139" s="463">
        <f>+K131</f>
        <v>-70400</v>
      </c>
      <c r="L139" s="463">
        <f>+L131</f>
        <v>-70000</v>
      </c>
    </row>
    <row r="140" spans="1:12" ht="15" customHeight="1">
      <c r="B140" s="474" t="s">
        <v>509</v>
      </c>
      <c r="C140" s="475"/>
      <c r="D140" s="475"/>
      <c r="E140" s="476"/>
      <c r="F140" s="476"/>
      <c r="G140" s="477"/>
      <c r="H140" s="476">
        <f>H136+H137+H138+H139</f>
        <v>279993.65399999998</v>
      </c>
      <c r="I140" s="476">
        <f>I136+I137+I138+I139</f>
        <v>281600</v>
      </c>
      <c r="J140" s="476">
        <f>J136+J137+J138+J139</f>
        <v>280000</v>
      </c>
      <c r="K140" s="476">
        <f>K136+K137+K138+K139</f>
        <v>281600</v>
      </c>
      <c r="L140" s="478">
        <f>L136+L137+L138+L139</f>
        <v>280000</v>
      </c>
    </row>
    <row r="141" spans="1:12" ht="15" customHeight="1">
      <c r="G141" s="468"/>
    </row>
    <row r="142" spans="1:12" ht="15" customHeight="1">
      <c r="A142" s="361" t="s">
        <v>39</v>
      </c>
      <c r="B142" s="355" t="s">
        <v>510</v>
      </c>
      <c r="C142" s="355"/>
      <c r="D142" s="355"/>
      <c r="E142" s="420"/>
      <c r="F142" s="420"/>
      <c r="G142" s="469"/>
      <c r="H142" s="421">
        <f>H134</f>
        <v>2025</v>
      </c>
      <c r="I142" s="421">
        <f>I134</f>
        <v>2026</v>
      </c>
      <c r="J142" s="421">
        <f>J134</f>
        <v>2027</v>
      </c>
      <c r="K142" s="421">
        <f>K134</f>
        <v>2028</v>
      </c>
      <c r="L142" s="421">
        <f>L134</f>
        <v>2029</v>
      </c>
    </row>
    <row r="143" spans="1:12" ht="4" customHeight="1">
      <c r="B143" s="36"/>
      <c r="C143" s="36"/>
      <c r="D143" s="36"/>
      <c r="E143" s="36"/>
      <c r="F143" s="36"/>
      <c r="G143" s="470"/>
      <c r="H143" s="36"/>
      <c r="I143" s="36"/>
      <c r="J143" s="36"/>
      <c r="K143" s="36"/>
      <c r="L143" s="36"/>
    </row>
    <row r="144" spans="1:12" ht="15" customHeight="1">
      <c r="B144" s="356" t="s">
        <v>475</v>
      </c>
      <c r="C144" s="390"/>
      <c r="D144" s="390"/>
      <c r="E144" s="390"/>
      <c r="F144" s="390"/>
      <c r="G144" s="479"/>
    </row>
    <row r="145" spans="2:12" ht="15" customHeight="1">
      <c r="B145" s="480" t="s">
        <v>511</v>
      </c>
      <c r="C145" s="390"/>
      <c r="D145" s="390"/>
      <c r="E145" s="390"/>
      <c r="F145" s="390"/>
      <c r="G145" s="479"/>
      <c r="H145" s="458">
        <f>G148</f>
        <v>0</v>
      </c>
      <c r="I145" s="458">
        <f t="shared" ref="I145:L145" si="38">H148</f>
        <v>0</v>
      </c>
      <c r="J145" s="458">
        <f t="shared" si="38"/>
        <v>0</v>
      </c>
      <c r="K145" s="458">
        <f t="shared" si="38"/>
        <v>0</v>
      </c>
      <c r="L145" s="458">
        <f t="shared" si="38"/>
        <v>0</v>
      </c>
    </row>
    <row r="146" spans="2:12" ht="15" customHeight="1">
      <c r="B146" s="480" t="s">
        <v>471</v>
      </c>
      <c r="C146" s="390"/>
      <c r="D146" s="390"/>
      <c r="E146" s="390"/>
      <c r="F146" s="390"/>
      <c r="G146" s="479"/>
      <c r="H146" s="458">
        <f>H145*$J$11</f>
        <v>0</v>
      </c>
      <c r="I146" s="458">
        <f t="shared" ref="I146:L146" si="39">I145*$J$11</f>
        <v>0</v>
      </c>
      <c r="J146" s="458">
        <f t="shared" si="39"/>
        <v>0</v>
      </c>
      <c r="K146" s="458">
        <f t="shared" si="39"/>
        <v>0</v>
      </c>
      <c r="L146" s="458">
        <f t="shared" si="39"/>
        <v>0</v>
      </c>
    </row>
    <row r="147" spans="2:12" ht="15" customHeight="1">
      <c r="B147" s="480" t="s">
        <v>512</v>
      </c>
      <c r="C147" s="390"/>
      <c r="D147" s="390"/>
      <c r="E147" s="390"/>
      <c r="F147" s="390"/>
      <c r="G147" s="479"/>
      <c r="H147" s="458">
        <f>MIN(H140,H145)</f>
        <v>0</v>
      </c>
      <c r="I147" s="458">
        <f t="shared" ref="I147:L147" si="40">MIN(I140,I145)</f>
        <v>0</v>
      </c>
      <c r="J147" s="458">
        <f t="shared" si="40"/>
        <v>0</v>
      </c>
      <c r="K147" s="458">
        <f t="shared" si="40"/>
        <v>0</v>
      </c>
      <c r="L147" s="458">
        <f t="shared" si="40"/>
        <v>0</v>
      </c>
    </row>
    <row r="148" spans="2:12" ht="15" customHeight="1">
      <c r="B148" s="481" t="s">
        <v>513</v>
      </c>
      <c r="C148" s="475"/>
      <c r="D148" s="475"/>
      <c r="E148" s="476"/>
      <c r="F148" s="476"/>
      <c r="G148" s="477">
        <f>L11</f>
        <v>0</v>
      </c>
      <c r="H148" s="476">
        <f>H145-H147</f>
        <v>0</v>
      </c>
      <c r="I148" s="476">
        <f t="shared" ref="I148:L148" si="41">I145-I147</f>
        <v>0</v>
      </c>
      <c r="J148" s="476">
        <f t="shared" si="41"/>
        <v>0</v>
      </c>
      <c r="K148" s="476">
        <f t="shared" si="41"/>
        <v>0</v>
      </c>
      <c r="L148" s="478">
        <f t="shared" si="41"/>
        <v>0</v>
      </c>
    </row>
    <row r="149" spans="2:12" ht="15" customHeight="1">
      <c r="B149" s="482"/>
      <c r="E149" s="458"/>
      <c r="F149" s="458"/>
      <c r="G149" s="483"/>
      <c r="H149" s="458"/>
      <c r="I149" s="458"/>
      <c r="J149" s="458"/>
      <c r="K149" s="458"/>
      <c r="L149" s="458"/>
    </row>
    <row r="150" spans="2:12" ht="15" customHeight="1">
      <c r="B150" s="356" t="s">
        <v>477</v>
      </c>
      <c r="C150" s="390"/>
      <c r="D150" s="390"/>
      <c r="E150" s="390"/>
      <c r="F150" s="390"/>
      <c r="G150" s="479"/>
      <c r="H150" s="458"/>
    </row>
    <row r="151" spans="2:12" ht="15" customHeight="1">
      <c r="B151" s="480" t="s">
        <v>511</v>
      </c>
      <c r="C151" s="390"/>
      <c r="D151" s="390"/>
      <c r="E151" s="390"/>
      <c r="F151" s="390"/>
      <c r="G151" s="479"/>
      <c r="H151" s="458">
        <f>G154</f>
        <v>0</v>
      </c>
      <c r="I151" s="458">
        <f t="shared" ref="I151:L151" si="42">H154</f>
        <v>0</v>
      </c>
      <c r="J151" s="458">
        <f t="shared" si="42"/>
        <v>0</v>
      </c>
      <c r="K151" s="458">
        <f t="shared" si="42"/>
        <v>0</v>
      </c>
      <c r="L151" s="458">
        <f t="shared" si="42"/>
        <v>0</v>
      </c>
    </row>
    <row r="152" spans="2:12" ht="15" customHeight="1">
      <c r="B152" s="480" t="s">
        <v>471</v>
      </c>
      <c r="C152" s="390"/>
      <c r="D152" s="390"/>
      <c r="E152" s="390"/>
      <c r="F152" s="390"/>
      <c r="G152" s="479"/>
      <c r="H152" s="458">
        <f>H151*$J$12</f>
        <v>0</v>
      </c>
      <c r="I152" s="458">
        <f t="shared" ref="I152:L152" si="43">I151*$J$12</f>
        <v>0</v>
      </c>
      <c r="J152" s="458">
        <f t="shared" si="43"/>
        <v>0</v>
      </c>
      <c r="K152" s="458">
        <f t="shared" si="43"/>
        <v>0</v>
      </c>
      <c r="L152" s="458">
        <f t="shared" si="43"/>
        <v>0</v>
      </c>
    </row>
    <row r="153" spans="2:12" ht="15" customHeight="1">
      <c r="B153" s="480" t="s">
        <v>512</v>
      </c>
      <c r="C153" s="390"/>
      <c r="D153" s="390"/>
      <c r="E153" s="390"/>
      <c r="F153" s="390"/>
      <c r="G153" s="479"/>
      <c r="H153" s="458">
        <f>MIN(H151,H140-H147)</f>
        <v>0</v>
      </c>
      <c r="I153" s="458">
        <f>MIN(I151,I140-I147)</f>
        <v>0</v>
      </c>
      <c r="J153" s="458">
        <f t="shared" ref="J153:K153" si="44">MIN(J151,J140-J147)</f>
        <v>0</v>
      </c>
      <c r="K153" s="458">
        <f t="shared" si="44"/>
        <v>0</v>
      </c>
      <c r="L153" s="458">
        <f>MIN(L151,L140-L147)</f>
        <v>0</v>
      </c>
    </row>
    <row r="154" spans="2:12" ht="15" customHeight="1">
      <c r="B154" s="481" t="s">
        <v>513</v>
      </c>
      <c r="C154" s="475"/>
      <c r="D154" s="475"/>
      <c r="E154" s="476"/>
      <c r="F154" s="476"/>
      <c r="G154" s="477">
        <f>L12</f>
        <v>0</v>
      </c>
      <c r="H154" s="476">
        <f>H151-H153</f>
        <v>0</v>
      </c>
      <c r="I154" s="476">
        <f t="shared" ref="I154:L154" si="45">I151-I153</f>
        <v>0</v>
      </c>
      <c r="J154" s="476">
        <f t="shared" si="45"/>
        <v>0</v>
      </c>
      <c r="K154" s="476">
        <f t="shared" si="45"/>
        <v>0</v>
      </c>
      <c r="L154" s="478">
        <f t="shared" si="45"/>
        <v>0</v>
      </c>
    </row>
    <row r="155" spans="2:12" ht="15" customHeight="1">
      <c r="B155" s="482"/>
      <c r="E155" s="458"/>
      <c r="F155" s="458"/>
      <c r="G155" s="483"/>
      <c r="H155" s="458"/>
      <c r="I155" s="458"/>
      <c r="J155" s="458"/>
      <c r="K155" s="458"/>
      <c r="L155" s="458"/>
    </row>
    <row r="156" spans="2:12" ht="15" customHeight="1">
      <c r="B156" s="356" t="s">
        <v>514</v>
      </c>
      <c r="G156" s="468"/>
    </row>
    <row r="157" spans="2:12" ht="15" customHeight="1">
      <c r="B157" s="480" t="s">
        <v>511</v>
      </c>
      <c r="G157" s="468"/>
      <c r="H157" s="458">
        <f>G160</f>
        <v>0</v>
      </c>
      <c r="I157" s="458">
        <f t="shared" ref="I157:L157" si="46">H160</f>
        <v>0</v>
      </c>
      <c r="J157" s="458">
        <f t="shared" si="46"/>
        <v>0</v>
      </c>
      <c r="K157" s="458">
        <f t="shared" si="46"/>
        <v>0</v>
      </c>
      <c r="L157" s="458">
        <f t="shared" si="46"/>
        <v>0</v>
      </c>
    </row>
    <row r="158" spans="2:12" ht="15" customHeight="1">
      <c r="B158" s="480" t="s">
        <v>471</v>
      </c>
      <c r="G158" s="468"/>
      <c r="H158" s="458">
        <f>H157*$J$13</f>
        <v>0</v>
      </c>
      <c r="I158" s="458">
        <f t="shared" ref="I158:L158" si="47">I157*$J$13</f>
        <v>0</v>
      </c>
      <c r="J158" s="458">
        <f t="shared" si="47"/>
        <v>0</v>
      </c>
      <c r="K158" s="458">
        <f t="shared" si="47"/>
        <v>0</v>
      </c>
      <c r="L158" s="458">
        <f t="shared" si="47"/>
        <v>0</v>
      </c>
    </row>
    <row r="159" spans="2:12" ht="15" customHeight="1">
      <c r="B159" s="480" t="s">
        <v>512</v>
      </c>
      <c r="G159" s="468"/>
      <c r="H159" s="458">
        <f>MIN(H157,H140-H147-H153)</f>
        <v>0</v>
      </c>
      <c r="I159" s="458">
        <f t="shared" ref="I159:L159" si="48">MIN(I157,I140-I147-I153)</f>
        <v>0</v>
      </c>
      <c r="J159" s="458">
        <f t="shared" si="48"/>
        <v>0</v>
      </c>
      <c r="K159" s="458">
        <f t="shared" si="48"/>
        <v>0</v>
      </c>
      <c r="L159" s="458">
        <f t="shared" si="48"/>
        <v>0</v>
      </c>
    </row>
    <row r="160" spans="2:12" ht="15" customHeight="1">
      <c r="B160" s="481" t="s">
        <v>513</v>
      </c>
      <c r="C160" s="475"/>
      <c r="D160" s="475"/>
      <c r="E160" s="476"/>
      <c r="F160" s="476"/>
      <c r="G160" s="477">
        <f>L13</f>
        <v>0</v>
      </c>
      <c r="H160" s="476">
        <f>H157-H159</f>
        <v>0</v>
      </c>
      <c r="I160" s="476">
        <f t="shared" ref="I160:L160" si="49">I157-I159</f>
        <v>0</v>
      </c>
      <c r="J160" s="476">
        <f t="shared" si="49"/>
        <v>0</v>
      </c>
      <c r="K160" s="476">
        <f t="shared" si="49"/>
        <v>0</v>
      </c>
      <c r="L160" s="478">
        <f t="shared" si="49"/>
        <v>0</v>
      </c>
    </row>
    <row r="162" spans="1:12" ht="15" customHeight="1">
      <c r="B162" s="356" t="s">
        <v>515</v>
      </c>
      <c r="G162" s="468"/>
    </row>
    <row r="163" spans="1:12" ht="15" customHeight="1">
      <c r="B163" s="480" t="s">
        <v>511</v>
      </c>
      <c r="G163" s="468"/>
      <c r="H163" s="458">
        <f>H145+H151+H157</f>
        <v>0</v>
      </c>
      <c r="I163" s="458">
        <f t="shared" ref="I163:L163" si="50">I145+I151+I157</f>
        <v>0</v>
      </c>
      <c r="J163" s="458">
        <f t="shared" si="50"/>
        <v>0</v>
      </c>
      <c r="K163" s="458">
        <f t="shared" si="50"/>
        <v>0</v>
      </c>
      <c r="L163" s="458">
        <f t="shared" si="50"/>
        <v>0</v>
      </c>
    </row>
    <row r="164" spans="1:12" ht="15" customHeight="1">
      <c r="B164" s="480" t="s">
        <v>471</v>
      </c>
      <c r="G164" s="468"/>
      <c r="H164" s="458">
        <f>H146+H152+H158</f>
        <v>0</v>
      </c>
      <c r="I164" s="458">
        <f t="shared" ref="I164:L164" si="51">I146+I152+I158</f>
        <v>0</v>
      </c>
      <c r="J164" s="458">
        <f t="shared" si="51"/>
        <v>0</v>
      </c>
      <c r="K164" s="458">
        <f t="shared" si="51"/>
        <v>0</v>
      </c>
      <c r="L164" s="458">
        <f t="shared" si="51"/>
        <v>0</v>
      </c>
    </row>
    <row r="165" spans="1:12" ht="15" customHeight="1">
      <c r="B165" s="480" t="s">
        <v>512</v>
      </c>
      <c r="G165" s="468"/>
      <c r="H165" s="458">
        <f>H147+H153+H159</f>
        <v>0</v>
      </c>
      <c r="I165" s="458">
        <f t="shared" ref="I165:L165" si="52">I147+I153+I159</f>
        <v>0</v>
      </c>
      <c r="J165" s="458">
        <f t="shared" si="52"/>
        <v>0</v>
      </c>
      <c r="K165" s="458">
        <f t="shared" si="52"/>
        <v>0</v>
      </c>
      <c r="L165" s="458">
        <f t="shared" si="52"/>
        <v>0</v>
      </c>
    </row>
    <row r="166" spans="1:12" ht="15" customHeight="1">
      <c r="B166" s="481" t="s">
        <v>513</v>
      </c>
      <c r="C166" s="475"/>
      <c r="D166" s="475"/>
      <c r="E166" s="476"/>
      <c r="F166" s="476"/>
      <c r="G166" s="477">
        <f>G148+G154+G160</f>
        <v>0</v>
      </c>
      <c r="H166" s="476">
        <f>H148+H154+H160</f>
        <v>0</v>
      </c>
      <c r="I166" s="476">
        <f t="shared" ref="I166:K166" si="53">I148+I154+I160</f>
        <v>0</v>
      </c>
      <c r="J166" s="476">
        <f t="shared" si="53"/>
        <v>0</v>
      </c>
      <c r="K166" s="476">
        <f t="shared" si="53"/>
        <v>0</v>
      </c>
      <c r="L166" s="478">
        <f>L148+L154+L160</f>
        <v>0</v>
      </c>
    </row>
    <row r="167" spans="1:12" s="325" customFormat="1" ht="15" customHeight="1">
      <c r="A167" s="465"/>
      <c r="B167" s="33"/>
      <c r="C167" s="33"/>
      <c r="D167" s="33"/>
      <c r="E167" s="33"/>
      <c r="F167" s="33"/>
      <c r="G167" s="33"/>
      <c r="H167" s="33"/>
      <c r="I167" s="33"/>
      <c r="J167" s="33"/>
      <c r="K167" s="33"/>
      <c r="L167" s="33"/>
    </row>
    <row r="168" spans="1:12" s="325" customFormat="1" ht="15" customHeight="1">
      <c r="A168" s="465"/>
      <c r="B168" s="355" t="s">
        <v>485</v>
      </c>
      <c r="C168" s="355"/>
      <c r="D168" s="355"/>
      <c r="E168" s="355"/>
      <c r="F168" s="355"/>
      <c r="G168" s="355"/>
      <c r="H168" s="355"/>
      <c r="I168" s="355"/>
      <c r="J168" s="355"/>
      <c r="K168" s="355"/>
      <c r="L168" s="355"/>
    </row>
    <row r="169" spans="1:12" s="325" customFormat="1" ht="15" customHeight="1">
      <c r="A169" s="465"/>
      <c r="B169" s="355"/>
      <c r="C169" s="355"/>
      <c r="D169" s="355"/>
      <c r="E169" s="355"/>
      <c r="F169" s="355"/>
      <c r="G169" s="355"/>
      <c r="H169" s="355"/>
      <c r="I169" s="355"/>
      <c r="J169" s="355"/>
      <c r="K169" s="355"/>
      <c r="L169" s="355"/>
    </row>
    <row r="170" spans="1:12" ht="15" customHeight="1">
      <c r="A170" s="361" t="s">
        <v>39</v>
      </c>
      <c r="B170" s="355"/>
      <c r="C170" s="355"/>
      <c r="D170" s="355"/>
      <c r="E170" s="420"/>
      <c r="F170" s="420"/>
      <c r="G170" s="420"/>
      <c r="H170" s="421"/>
      <c r="I170" s="421"/>
      <c r="J170" s="421"/>
      <c r="K170" s="421"/>
      <c r="L170" s="421"/>
    </row>
    <row r="171" spans="1:12" ht="4" customHeight="1">
      <c r="B171" s="36"/>
      <c r="C171" s="36"/>
      <c r="D171" s="36"/>
      <c r="E171" s="36"/>
      <c r="F171" s="36"/>
      <c r="G171" s="36"/>
      <c r="H171" s="36"/>
      <c r="I171" s="36"/>
      <c r="J171" s="36"/>
      <c r="K171" s="36"/>
      <c r="L171" s="36"/>
    </row>
    <row r="172" spans="1:12" ht="15" customHeight="1">
      <c r="B172" s="357" t="s">
        <v>516</v>
      </c>
      <c r="L172" s="393">
        <f>(L77+L86)</f>
        <v>350000</v>
      </c>
    </row>
    <row r="173" spans="1:12" ht="15" customHeight="1">
      <c r="B173" s="484" t="s">
        <v>487</v>
      </c>
      <c r="C173" s="336"/>
      <c r="D173" s="336"/>
      <c r="E173" s="336"/>
      <c r="F173" s="336"/>
      <c r="G173" s="336"/>
      <c r="H173" s="336"/>
      <c r="I173" s="336"/>
      <c r="J173" s="336"/>
      <c r="K173" s="336"/>
      <c r="L173" s="485">
        <f>E20</f>
        <v>0</v>
      </c>
    </row>
    <row r="174" spans="1:12" ht="15" customHeight="1">
      <c r="B174" s="357" t="s">
        <v>478</v>
      </c>
      <c r="L174" s="48">
        <f>L172*L173</f>
        <v>0</v>
      </c>
    </row>
    <row r="175" spans="1:12" ht="15" customHeight="1">
      <c r="B175" s="357" t="s">
        <v>517</v>
      </c>
      <c r="L175" s="393">
        <f>L166</f>
        <v>0</v>
      </c>
    </row>
    <row r="176" spans="1:12" ht="15" customHeight="1">
      <c r="B176" s="357" t="s">
        <v>518</v>
      </c>
      <c r="L176" s="24">
        <f>L174-L175</f>
        <v>0</v>
      </c>
    </row>
    <row r="178" spans="2:12" ht="15" customHeight="1">
      <c r="B178" s="357" t="s">
        <v>519</v>
      </c>
      <c r="L178" s="393">
        <f>C32</f>
        <v>0</v>
      </c>
    </row>
    <row r="179" spans="2:12" ht="15" customHeight="1">
      <c r="B179" s="357"/>
    </row>
    <row r="180" spans="2:12" ht="15" customHeight="1">
      <c r="B180" s="486" t="s">
        <v>483</v>
      </c>
      <c r="C180" s="487"/>
      <c r="D180" s="487"/>
      <c r="E180" s="487"/>
      <c r="F180" s="487"/>
      <c r="G180" s="487"/>
      <c r="H180" s="487"/>
      <c r="I180" s="487"/>
      <c r="J180" s="487"/>
      <c r="K180" s="487"/>
      <c r="L180" s="488" t="e">
        <f>L176/L178</f>
        <v>#DIV/0!</v>
      </c>
    </row>
    <row r="181" spans="2:12" ht="15" customHeight="1">
      <c r="B181" s="489" t="s">
        <v>485</v>
      </c>
      <c r="C181" s="490"/>
      <c r="D181" s="490"/>
      <c r="E181" s="490"/>
      <c r="F181" s="490"/>
      <c r="G181" s="490"/>
      <c r="H181" s="490"/>
      <c r="I181" s="490"/>
      <c r="J181" s="490"/>
      <c r="K181" s="490"/>
      <c r="L181" s="491" t="e">
        <f>L180^(1/5)-1</f>
        <v>#DIV/0!</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zoomScale="70" zoomScaleNormal="70" workbookViewId="0">
      <selection activeCell="M44" sqref="M44"/>
    </sheetView>
  </sheetViews>
  <sheetFormatPr baseColWidth="10" defaultColWidth="9" defaultRowHeight="15" customHeight="1"/>
  <cols>
    <col min="1" max="1" width="2.1640625" style="23" customWidth="1"/>
    <col min="2" max="13" width="9" style="23"/>
    <col min="14" max="14" width="9.6640625" style="23" customWidth="1"/>
    <col min="15" max="19" width="9" style="23"/>
    <col min="20" max="20" width="9" style="23" customWidth="1"/>
    <col min="21" max="24" width="9.1640625" style="23" customWidth="1"/>
    <col min="25" max="16384" width="9" style="23"/>
  </cols>
  <sheetData>
    <row r="1" spans="2:43" s="546" customFormat="1" ht="15" customHeight="1"/>
    <row r="2" spans="2:43" s="546" customFormat="1" ht="15" customHeight="1"/>
    <row r="3" spans="2:43" s="546" customFormat="1" ht="15" customHeight="1"/>
    <row r="4" spans="2:43" s="546" customFormat="1" ht="15" customHeight="1"/>
    <row r="5" spans="2:43" s="36" customFormat="1" ht="4" customHeight="1"/>
    <row r="7" spans="2:43" ht="15" customHeight="1">
      <c r="B7" s="355" t="s">
        <v>520</v>
      </c>
      <c r="C7" s="185"/>
      <c r="D7" s="185"/>
      <c r="E7" s="185"/>
      <c r="F7" s="185"/>
      <c r="G7" s="185"/>
      <c r="H7" s="185"/>
      <c r="I7" s="185"/>
      <c r="J7" s="185"/>
      <c r="K7" s="185"/>
      <c r="L7" s="185"/>
      <c r="M7" s="185"/>
      <c r="N7" s="185"/>
      <c r="O7" s="185"/>
      <c r="P7" s="185"/>
      <c r="R7" s="355" t="s">
        <v>521</v>
      </c>
      <c r="S7" s="185"/>
      <c r="T7" s="185"/>
      <c r="U7" s="185"/>
      <c r="V7" s="185"/>
      <c r="W7" s="185"/>
      <c r="X7" s="185"/>
      <c r="Y7" s="185"/>
      <c r="Z7" s="185"/>
    </row>
    <row r="8" spans="2:43" ht="15" customHeight="1">
      <c r="B8" s="185"/>
      <c r="C8" s="185"/>
      <c r="D8" s="185"/>
      <c r="E8" s="185"/>
      <c r="F8" s="185"/>
      <c r="G8" s="185"/>
      <c r="H8" s="185"/>
      <c r="I8" s="185"/>
      <c r="J8" s="185"/>
      <c r="K8" s="185"/>
      <c r="L8" s="185"/>
      <c r="M8" s="185"/>
      <c r="N8" s="185"/>
      <c r="O8" s="185"/>
      <c r="P8" s="185"/>
      <c r="R8" s="185"/>
      <c r="S8" s="185"/>
      <c r="T8" s="185"/>
      <c r="U8" s="185"/>
      <c r="V8" s="185"/>
      <c r="W8" s="185"/>
      <c r="X8" s="185"/>
      <c r="Y8" s="185"/>
      <c r="Z8" s="185"/>
    </row>
    <row r="9" spans="2:43" ht="15" customHeight="1">
      <c r="B9" s="185"/>
      <c r="C9" s="185"/>
      <c r="D9" s="185"/>
      <c r="E9" s="185"/>
      <c r="F9" s="185"/>
      <c r="G9" s="185"/>
      <c r="H9" s="185"/>
      <c r="I9" s="185"/>
      <c r="J9" s="185"/>
      <c r="K9" s="185"/>
      <c r="L9" s="185"/>
      <c r="M9" s="185"/>
      <c r="N9" s="185"/>
      <c r="O9" s="185"/>
      <c r="P9" s="185"/>
      <c r="R9" s="185"/>
      <c r="S9" s="185"/>
      <c r="T9" s="185"/>
      <c r="U9" s="185"/>
      <c r="V9" s="185"/>
      <c r="W9" s="185"/>
      <c r="X9" s="185"/>
      <c r="Y9" s="185"/>
      <c r="Z9" s="185"/>
    </row>
    <row r="10" spans="2:43" ht="4"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9:43" ht="15" customHeight="1">
      <c r="AA17" s="25"/>
      <c r="AB17" s="25"/>
      <c r="AC17" s="25"/>
      <c r="AD17" s="25"/>
      <c r="AE17" s="25"/>
      <c r="AF17" s="25"/>
      <c r="AG17" s="25"/>
      <c r="AH17" s="25"/>
      <c r="AI17" s="25"/>
      <c r="AJ17" s="25"/>
      <c r="AK17" s="25"/>
      <c r="AL17" s="25"/>
      <c r="AM17" s="25"/>
      <c r="AN17" s="25"/>
      <c r="AO17" s="25"/>
      <c r="AP17" s="25"/>
      <c r="AQ17" s="25"/>
    </row>
    <row r="18" spans="9:43" ht="15" customHeight="1">
      <c r="AA18" s="25"/>
      <c r="AB18" s="25"/>
      <c r="AC18" s="25"/>
      <c r="AD18" s="25"/>
      <c r="AE18" s="25"/>
      <c r="AF18" s="25"/>
      <c r="AG18" s="25"/>
      <c r="AH18" s="25"/>
      <c r="AI18" s="25"/>
      <c r="AJ18" s="25"/>
      <c r="AK18" s="25"/>
      <c r="AL18" s="25"/>
      <c r="AM18" s="25"/>
      <c r="AN18" s="25"/>
      <c r="AO18" s="25"/>
      <c r="AP18" s="25"/>
      <c r="AQ18" s="25"/>
    </row>
    <row r="19" spans="9:43" ht="15" customHeight="1">
      <c r="I19" s="719" t="s">
        <v>37</v>
      </c>
      <c r="AA19" s="25"/>
      <c r="AB19" s="25"/>
      <c r="AC19" s="25"/>
      <c r="AD19" s="25"/>
      <c r="AE19" s="25"/>
      <c r="AF19" s="25"/>
      <c r="AG19" s="25"/>
      <c r="AH19" s="25"/>
      <c r="AI19" s="25"/>
      <c r="AJ19" s="25"/>
      <c r="AK19" s="25"/>
      <c r="AL19" s="25"/>
      <c r="AM19" s="25"/>
      <c r="AN19" s="25"/>
      <c r="AO19" s="25"/>
      <c r="AP19" s="25"/>
      <c r="AQ19" s="25"/>
    </row>
    <row r="20" spans="9:43" ht="15" customHeight="1">
      <c r="AA20" s="25"/>
      <c r="AB20" s="25"/>
      <c r="AC20" s="25"/>
      <c r="AD20" s="25"/>
      <c r="AE20" s="25"/>
      <c r="AF20" s="25"/>
      <c r="AG20" s="25"/>
      <c r="AH20" s="25"/>
      <c r="AI20" s="25"/>
      <c r="AJ20" s="25"/>
      <c r="AK20" s="25"/>
      <c r="AL20" s="25"/>
      <c r="AM20" s="25"/>
      <c r="AN20" s="25"/>
      <c r="AO20" s="25"/>
      <c r="AP20" s="25"/>
      <c r="AQ20" s="25"/>
    </row>
    <row r="21" spans="9:43" ht="15" customHeight="1">
      <c r="AA21" s="25"/>
      <c r="AB21" s="25"/>
      <c r="AC21" s="25"/>
      <c r="AD21" s="25"/>
      <c r="AE21" s="25"/>
      <c r="AF21" s="25"/>
      <c r="AG21" s="25"/>
      <c r="AH21" s="25"/>
      <c r="AI21" s="25"/>
      <c r="AJ21" s="25"/>
      <c r="AK21" s="25"/>
      <c r="AL21" s="25"/>
      <c r="AM21" s="25"/>
      <c r="AN21" s="25"/>
      <c r="AO21" s="25"/>
      <c r="AP21" s="25"/>
      <c r="AQ21" s="25"/>
    </row>
    <row r="22" spans="9:43" ht="15" customHeight="1">
      <c r="AA22" s="25"/>
      <c r="AB22" s="25"/>
      <c r="AC22" s="25"/>
      <c r="AD22" s="25"/>
      <c r="AE22" s="25"/>
      <c r="AF22" s="25"/>
      <c r="AG22" s="25"/>
      <c r="AH22" s="25"/>
      <c r="AI22" s="25"/>
      <c r="AJ22" s="25"/>
      <c r="AK22" s="25"/>
      <c r="AL22" s="25"/>
      <c r="AM22" s="25"/>
      <c r="AN22" s="25"/>
      <c r="AO22" s="25"/>
      <c r="AP22" s="25"/>
      <c r="AQ22" s="25"/>
    </row>
    <row r="23" spans="9:43" ht="15" customHeight="1">
      <c r="AA23" s="25"/>
      <c r="AB23" s="25"/>
      <c r="AC23" s="25"/>
      <c r="AD23" s="25"/>
      <c r="AE23" s="25"/>
      <c r="AF23" s="25"/>
      <c r="AG23" s="25"/>
      <c r="AH23" s="25"/>
      <c r="AI23" s="25"/>
      <c r="AJ23" s="25"/>
      <c r="AK23" s="25"/>
      <c r="AL23" s="25"/>
      <c r="AM23" s="25"/>
      <c r="AN23" s="25"/>
      <c r="AO23" s="25"/>
      <c r="AP23" s="25"/>
      <c r="AQ23" s="25"/>
    </row>
    <row r="24" spans="9:43" ht="15" customHeight="1">
      <c r="AA24" s="25"/>
      <c r="AB24" s="25"/>
      <c r="AC24" s="25"/>
      <c r="AD24" s="25"/>
      <c r="AE24" s="25"/>
      <c r="AF24" s="25"/>
      <c r="AG24" s="25"/>
      <c r="AH24" s="25"/>
      <c r="AI24" s="25"/>
      <c r="AJ24" s="25"/>
      <c r="AK24" s="25"/>
      <c r="AL24" s="25"/>
      <c r="AM24" s="25"/>
      <c r="AN24" s="25"/>
      <c r="AO24" s="25"/>
      <c r="AP24" s="25"/>
      <c r="AQ24" s="25"/>
    </row>
    <row r="25" spans="9:43" ht="15" customHeight="1">
      <c r="AA25" s="25"/>
      <c r="AB25" s="25"/>
      <c r="AC25" s="25"/>
      <c r="AD25" s="25"/>
      <c r="AE25" s="25"/>
      <c r="AF25" s="25"/>
      <c r="AG25" s="25"/>
      <c r="AH25" s="25"/>
      <c r="AI25" s="25"/>
      <c r="AJ25" s="25"/>
      <c r="AK25" s="25"/>
      <c r="AL25" s="25"/>
      <c r="AM25" s="25"/>
      <c r="AN25" s="25"/>
      <c r="AO25" s="25"/>
      <c r="AP25" s="25"/>
      <c r="AQ25" s="25"/>
    </row>
    <row r="26" spans="9:43" ht="15" customHeight="1">
      <c r="AA26" s="25"/>
      <c r="AB26" s="25"/>
      <c r="AC26" s="25"/>
      <c r="AD26" s="25"/>
      <c r="AE26" s="25"/>
      <c r="AF26" s="25"/>
      <c r="AG26" s="25"/>
      <c r="AH26" s="25"/>
      <c r="AI26" s="25"/>
      <c r="AJ26" s="25"/>
      <c r="AK26" s="25"/>
      <c r="AL26" s="25"/>
      <c r="AM26" s="25"/>
      <c r="AN26" s="25"/>
      <c r="AO26" s="25"/>
      <c r="AP26" s="25"/>
      <c r="AQ26" s="25"/>
    </row>
    <row r="27" spans="9:43" ht="15" customHeight="1">
      <c r="AA27" s="25"/>
      <c r="AB27" s="25"/>
      <c r="AC27" s="25"/>
      <c r="AD27" s="25"/>
      <c r="AE27" s="25"/>
      <c r="AF27" s="25"/>
      <c r="AG27" s="25"/>
      <c r="AH27" s="25"/>
      <c r="AI27" s="25"/>
      <c r="AJ27" s="25"/>
      <c r="AK27" s="25"/>
      <c r="AL27" s="25"/>
      <c r="AM27" s="25"/>
      <c r="AN27" s="25"/>
      <c r="AO27" s="25"/>
      <c r="AP27" s="25"/>
      <c r="AQ27" s="25"/>
    </row>
    <row r="28" spans="9:43" ht="15" customHeight="1">
      <c r="AA28" s="25"/>
      <c r="AB28" s="25"/>
      <c r="AC28" s="25"/>
      <c r="AD28" s="25" t="str" cm="1">
        <f t="array" ref="AD28:AL34">_xlfn.SORTBY(R38:Z44,Z38:Z44,1)</f>
        <v>SG&amp;A Margin</v>
      </c>
      <c r="AE28" s="25">
        <v>0</v>
      </c>
      <c r="AF28" s="25">
        <v>0.05</v>
      </c>
      <c r="AG28" s="25">
        <v>0</v>
      </c>
      <c r="AH28" s="25">
        <v>20.25971505759895</v>
      </c>
      <c r="AI28" s="25">
        <v>20.337796472546913</v>
      </c>
      <c r="AJ28" s="25">
        <v>-4.1032428185292957E-2</v>
      </c>
      <c r="AK28" s="25">
        <v>3.7048986762670211E-2</v>
      </c>
      <c r="AL28" s="25">
        <v>4.1032428185292957E-2</v>
      </c>
      <c r="AM28" s="25"/>
      <c r="AN28" s="25"/>
      <c r="AO28" s="25"/>
      <c r="AP28" s="25"/>
      <c r="AQ28" s="25"/>
    </row>
    <row r="29" spans="9:43" ht="15" customHeight="1">
      <c r="AA29" s="25"/>
      <c r="AB29" s="25"/>
      <c r="AC29" s="25"/>
      <c r="AD29" s="25" t="str">
        <v>COGS Margin</v>
      </c>
      <c r="AE29" s="25">
        <v>0</v>
      </c>
      <c r="AF29" s="25">
        <v>0.05</v>
      </c>
      <c r="AG29" s="25">
        <v>0</v>
      </c>
      <c r="AH29" s="25">
        <v>19.748927049829035</v>
      </c>
      <c r="AI29" s="25">
        <v>20.897701472085704</v>
      </c>
      <c r="AJ29" s="25">
        <v>-0.55182043595520724</v>
      </c>
      <c r="AK29" s="25">
        <v>0.59695398630146101</v>
      </c>
      <c r="AL29" s="25">
        <v>0.59695398630146101</v>
      </c>
      <c r="AM29" s="25"/>
      <c r="AN29" s="25"/>
      <c r="AO29" s="25"/>
      <c r="AP29" s="25"/>
      <c r="AQ29" s="25"/>
    </row>
    <row r="30" spans="9:43" ht="15" customHeight="1">
      <c r="AA30" s="25"/>
      <c r="AB30" s="25"/>
      <c r="AC30" s="25"/>
      <c r="AD30" s="25" t="str">
        <v>Capex Intensity</v>
      </c>
      <c r="AE30" s="25">
        <v>0</v>
      </c>
      <c r="AF30" s="25">
        <v>0.02</v>
      </c>
      <c r="AG30" s="25">
        <v>0</v>
      </c>
      <c r="AH30" s="25">
        <v>18.861957960029589</v>
      </c>
      <c r="AI30" s="25">
        <v>21.739537011538893</v>
      </c>
      <c r="AJ30" s="25">
        <v>-1.4387895257546539</v>
      </c>
      <c r="AK30" s="25">
        <v>1.4387895257546504</v>
      </c>
      <c r="AL30" s="25">
        <v>1.4387895257546539</v>
      </c>
      <c r="AM30" s="25"/>
      <c r="AN30" s="25"/>
      <c r="AO30" s="25"/>
      <c r="AP30" s="25"/>
      <c r="AQ30" s="25"/>
    </row>
    <row r="31" spans="9:43" ht="15" customHeight="1">
      <c r="AA31" s="25"/>
      <c r="AB31" s="25"/>
      <c r="AC31" s="25"/>
      <c r="AD31" s="25" t="str">
        <v>EBITDA Exit</v>
      </c>
      <c r="AE31" s="25">
        <v>0</v>
      </c>
      <c r="AF31" s="25">
        <v>0.5</v>
      </c>
      <c r="AG31" s="25">
        <v>0</v>
      </c>
      <c r="AH31" s="25">
        <v>18.153392116634915</v>
      </c>
      <c r="AI31" s="25">
        <v>22.44810285493357</v>
      </c>
      <c r="AJ31" s="25">
        <v>-2.1473553691493272</v>
      </c>
      <c r="AK31" s="25">
        <v>2.1473553691493272</v>
      </c>
      <c r="AL31" s="25">
        <v>2.1473553691493272</v>
      </c>
      <c r="AM31" s="25"/>
      <c r="AN31" s="25"/>
      <c r="AO31" s="25"/>
      <c r="AP31" s="25"/>
      <c r="AQ31" s="25"/>
    </row>
    <row r="32" spans="9:43" ht="15" customHeight="1">
      <c r="R32" s="355" t="s">
        <v>522</v>
      </c>
      <c r="S32" s="32"/>
      <c r="T32" s="32"/>
      <c r="U32" s="32"/>
      <c r="V32" s="355" t="s">
        <v>523</v>
      </c>
      <c r="W32" s="32"/>
      <c r="X32" s="32"/>
      <c r="Y32" s="32"/>
      <c r="Z32" s="37" t="s">
        <v>524</v>
      </c>
      <c r="AA32" s="25"/>
      <c r="AB32" s="25"/>
      <c r="AC32" s="25"/>
      <c r="AD32" s="25" t="str">
        <v>WACC</v>
      </c>
      <c r="AE32" s="25">
        <v>0</v>
      </c>
      <c r="AF32" s="25">
        <v>5.0000000000000001E-3</v>
      </c>
      <c r="AG32" s="25">
        <v>0</v>
      </c>
      <c r="AH32" s="25">
        <v>17.948103667157675</v>
      </c>
      <c r="AI32" s="25">
        <v>22.84707561204997</v>
      </c>
      <c r="AJ32" s="25">
        <v>-2.3526438186265679</v>
      </c>
      <c r="AK32" s="25">
        <v>2.5463281262657276</v>
      </c>
      <c r="AL32" s="25">
        <v>2.5463281262657276</v>
      </c>
      <c r="AM32" s="25"/>
      <c r="AN32" s="25"/>
      <c r="AO32" s="25"/>
      <c r="AP32" s="25"/>
      <c r="AQ32" s="25"/>
    </row>
    <row r="33" spans="3:43" ht="15" customHeight="1">
      <c r="R33" s="33" t="s">
        <v>525</v>
      </c>
      <c r="T33" s="560">
        <f ca="1">+FCFF!AL169</f>
        <v>48.067080782899673</v>
      </c>
      <c r="V33" s="33" t="s">
        <v>526</v>
      </c>
      <c r="W33" s="97"/>
      <c r="X33" s="578">
        <v>47.57747976878413</v>
      </c>
      <c r="Z33" s="23" t="s">
        <v>294</v>
      </c>
      <c r="AA33" s="25"/>
      <c r="AB33" s="25"/>
      <c r="AC33" s="25"/>
      <c r="AD33" s="25" t="str">
        <v>Revenue Exit</v>
      </c>
      <c r="AE33" s="25">
        <v>0</v>
      </c>
      <c r="AF33" s="25">
        <v>0.5</v>
      </c>
      <c r="AG33" s="25">
        <v>0</v>
      </c>
      <c r="AH33" s="25">
        <v>12.977293252293538</v>
      </c>
      <c r="AI33" s="25">
        <v>27.127392710296068</v>
      </c>
      <c r="AJ33" s="25">
        <v>-7.323454233490704</v>
      </c>
      <c r="AK33" s="25">
        <v>6.8266452245118252</v>
      </c>
      <c r="AL33" s="25">
        <v>7.323454233490704</v>
      </c>
      <c r="AM33" s="25"/>
      <c r="AN33" s="25"/>
      <c r="AO33" s="25"/>
      <c r="AP33" s="25"/>
      <c r="AQ33" s="25"/>
    </row>
    <row r="34" spans="3:43" ht="15" customHeight="1">
      <c r="R34" s="33" t="s">
        <v>527</v>
      </c>
      <c r="T34" s="560">
        <f ca="1">+FCFF!Z169</f>
        <v>20.528363156768958</v>
      </c>
      <c r="V34" s="105" t="s">
        <v>528</v>
      </c>
      <c r="W34" s="97"/>
      <c r="X34" s="578">
        <v>20.300747485784242</v>
      </c>
      <c r="AA34" s="25"/>
      <c r="AB34" s="25"/>
      <c r="AC34" s="25"/>
      <c r="AD34" s="25" t="str">
        <v>Terminal g</v>
      </c>
      <c r="AE34" s="25">
        <v>0</v>
      </c>
      <c r="AF34" s="25">
        <v>0.01</v>
      </c>
      <c r="AG34" s="25">
        <v>0</v>
      </c>
      <c r="AH34" s="25">
        <v>40.821950802987992</v>
      </c>
      <c r="AI34" s="25">
        <v>56.707687624525619</v>
      </c>
      <c r="AJ34" s="25">
        <v>20.521203317203749</v>
      </c>
      <c r="AK34" s="25">
        <v>36.406940138741376</v>
      </c>
      <c r="AL34" s="25">
        <v>36.406940138741376</v>
      </c>
      <c r="AM34" s="25"/>
      <c r="AN34" s="25"/>
      <c r="AO34" s="25"/>
      <c r="AP34" s="25"/>
      <c r="AQ34" s="25"/>
    </row>
    <row r="35" spans="3:43" ht="15" customHeight="1">
      <c r="R35" s="33" t="s">
        <v>529</v>
      </c>
      <c r="T35" s="560">
        <f ca="1">FCFF!AF169</f>
        <v>20.277513899753728</v>
      </c>
      <c r="V35" s="33" t="s">
        <v>530</v>
      </c>
      <c r="X35" s="578">
        <v>20.052342981294803</v>
      </c>
      <c r="AA35" s="25"/>
      <c r="AB35" s="25"/>
      <c r="AC35" s="25"/>
      <c r="AD35" s="25"/>
      <c r="AE35" s="25"/>
      <c r="AF35" s="25"/>
      <c r="AG35" s="25"/>
      <c r="AH35" s="25"/>
      <c r="AI35" s="25"/>
      <c r="AJ35" s="25"/>
      <c r="AK35" s="25"/>
      <c r="AL35" s="25"/>
      <c r="AM35" s="25"/>
      <c r="AN35" s="25"/>
      <c r="AO35" s="25"/>
      <c r="AP35" s="25"/>
      <c r="AQ35" s="25"/>
    </row>
    <row r="36" spans="3:43" ht="15" customHeight="1">
      <c r="AA36" s="25"/>
      <c r="AB36" s="25"/>
      <c r="AC36" s="25"/>
      <c r="AD36" s="25"/>
      <c r="AE36" s="25"/>
      <c r="AF36" s="25"/>
      <c r="AG36" s="25"/>
      <c r="AH36" s="25"/>
      <c r="AI36" s="25"/>
      <c r="AJ36" s="25"/>
      <c r="AK36" s="25"/>
      <c r="AL36" s="25"/>
      <c r="AM36" s="25"/>
      <c r="AN36" s="25"/>
      <c r="AO36" s="25"/>
      <c r="AP36" s="25"/>
      <c r="AQ36" s="25"/>
    </row>
    <row r="37" spans="3:43" ht="15" customHeight="1">
      <c r="R37" s="32"/>
      <c r="S37" s="32"/>
      <c r="T37" s="561" t="s">
        <v>531</v>
      </c>
      <c r="U37" s="561" t="s">
        <v>532</v>
      </c>
      <c r="V37" s="562" t="s">
        <v>533</v>
      </c>
      <c r="W37" s="562" t="s">
        <v>534</v>
      </c>
      <c r="X37" s="561" t="s">
        <v>535</v>
      </c>
      <c r="Y37" s="561" t="s">
        <v>536</v>
      </c>
      <c r="Z37" s="561" t="s">
        <v>537</v>
      </c>
      <c r="AA37" s="25"/>
      <c r="AB37" s="25"/>
      <c r="AC37" s="25"/>
      <c r="AD37" s="25"/>
      <c r="AE37" s="25"/>
      <c r="AF37" s="25"/>
      <c r="AG37" s="25"/>
      <c r="AH37" s="25"/>
      <c r="AI37" s="25"/>
      <c r="AJ37" s="25"/>
      <c r="AK37" s="25"/>
      <c r="AL37" s="25"/>
      <c r="AM37" s="25"/>
      <c r="AN37" s="25"/>
      <c r="AO37" s="25"/>
      <c r="AP37" s="25"/>
      <c r="AQ37" s="25"/>
    </row>
    <row r="38" spans="3:43" ht="15" customHeight="1">
      <c r="R38" s="97" t="s">
        <v>538</v>
      </c>
      <c r="S38" s="97"/>
      <c r="T38" s="564">
        <v>0.02</v>
      </c>
      <c r="U38" s="563"/>
      <c r="V38" s="577">
        <v>18.861957960029589</v>
      </c>
      <c r="W38" s="712">
        <v>21.739537011538893</v>
      </c>
      <c r="X38" s="617" cm="1">
        <f t="array" ref="X38">+V38-_xlfn.IFS($Z$33="EBITDA",$X$34,$Z$33="Revenue",$X$35,$Z$33="Gordon",$X$33)</f>
        <v>-1.4387895257546539</v>
      </c>
      <c r="Y38" s="617" cm="1">
        <f t="array" ref="Y38">+W38-_xlfn.IFS($Z$33="EBITDA",$X$34,$Z$33="Revenue",$X$35,$Z$33="Gordon",$X$33)</f>
        <v>1.4387895257546504</v>
      </c>
      <c r="Z38" s="617">
        <f>MAX(ABS(X38),ABS(Y38))</f>
        <v>1.4387895257546539</v>
      </c>
      <c r="AA38" s="25"/>
      <c r="AB38" s="25"/>
      <c r="AC38" s="25"/>
      <c r="AD38" s="25"/>
      <c r="AE38" s="25"/>
      <c r="AF38" s="25"/>
      <c r="AG38" s="25"/>
      <c r="AH38" s="25"/>
      <c r="AI38" s="25"/>
      <c r="AJ38" s="25"/>
      <c r="AK38" s="25"/>
      <c r="AL38" s="25"/>
      <c r="AM38" s="25"/>
      <c r="AN38" s="25"/>
      <c r="AO38" s="25"/>
      <c r="AP38" s="25"/>
      <c r="AQ38" s="25"/>
    </row>
    <row r="39" spans="3:43" ht="15" customHeight="1">
      <c r="R39" s="97" t="s">
        <v>539</v>
      </c>
      <c r="S39" s="321"/>
      <c r="T39" s="564">
        <v>0.05</v>
      </c>
      <c r="U39" s="563"/>
      <c r="V39" s="577">
        <v>19.748927049829035</v>
      </c>
      <c r="W39" s="712">
        <v>20.897701472085704</v>
      </c>
      <c r="X39" s="617" cm="1">
        <f t="array" ref="X39">+V39-_xlfn.IFS($Z$33="EBITDA",$X$34,$Z$33="Revenue",$X$35,$Z$33="Gordon",$X$33)</f>
        <v>-0.55182043595520724</v>
      </c>
      <c r="Y39" s="617" cm="1">
        <f t="array" ref="Y39">+W39-_xlfn.IFS($Z$33="EBITDA",$X$34,$Z$33="Revenue",$X$35,$Z$33="Gordon",$X$33)</f>
        <v>0.59695398630146101</v>
      </c>
      <c r="Z39" s="617">
        <f>MAX(ABS(X39),ABS(Y39))</f>
        <v>0.59695398630146101</v>
      </c>
      <c r="AA39" s="25"/>
      <c r="AB39" s="25"/>
      <c r="AC39" s="25"/>
      <c r="AD39" s="25"/>
      <c r="AE39" s="25"/>
      <c r="AF39" s="25"/>
      <c r="AG39" s="25"/>
      <c r="AH39" s="25"/>
      <c r="AI39" s="25"/>
      <c r="AJ39" s="25"/>
      <c r="AK39" s="25"/>
      <c r="AL39" s="25"/>
      <c r="AM39" s="25"/>
      <c r="AN39" s="25"/>
      <c r="AO39" s="25"/>
      <c r="AP39" s="25"/>
      <c r="AQ39" s="25"/>
    </row>
    <row r="40" spans="3:43" ht="15" customHeight="1">
      <c r="R40" s="97" t="s">
        <v>540</v>
      </c>
      <c r="S40" s="97"/>
      <c r="T40" s="564">
        <v>0.05</v>
      </c>
      <c r="U40" s="563"/>
      <c r="V40" s="578">
        <v>20.25971505759895</v>
      </c>
      <c r="W40" s="713">
        <v>20.337796472546913</v>
      </c>
      <c r="X40" s="617" cm="1">
        <f t="array" ref="X40">+V40-_xlfn.IFS($Z$33="EBITDA",$X$34,$Z$33="Revenue",$X$35,$Z$33="Gordon",$X$33)</f>
        <v>-4.1032428185292957E-2</v>
      </c>
      <c r="Y40" s="617" cm="1">
        <f t="array" ref="Y40">+W40-_xlfn.IFS($Z$33="EBITDA",$X$34,$Z$33="Revenue",$X$35,$Z$33="Gordon",$X$33)</f>
        <v>3.7048986762670211E-2</v>
      </c>
      <c r="Z40" s="617">
        <f t="shared" ref="Z40:Z44" si="0">MAX(ABS(X40),ABS(Y40))</f>
        <v>4.1032428185292957E-2</v>
      </c>
      <c r="AA40" s="25"/>
      <c r="AB40" s="25"/>
      <c r="AC40" s="25"/>
      <c r="AD40" s="25"/>
      <c r="AE40" s="25"/>
      <c r="AF40" s="25"/>
      <c r="AG40" s="25"/>
      <c r="AH40" s="25"/>
      <c r="AI40" s="25"/>
      <c r="AJ40" s="25"/>
      <c r="AK40" s="25"/>
      <c r="AL40" s="25"/>
      <c r="AM40" s="25"/>
      <c r="AN40" s="25"/>
      <c r="AO40" s="25"/>
      <c r="AP40" s="25"/>
      <c r="AQ40" s="25"/>
    </row>
    <row r="41" spans="3:43" ht="15" customHeight="1">
      <c r="R41" s="97" t="s">
        <v>339</v>
      </c>
      <c r="S41" s="97"/>
      <c r="T41" s="564">
        <v>5.0000000000000001E-3</v>
      </c>
      <c r="U41" s="563"/>
      <c r="V41" s="578">
        <v>17.948103667157675</v>
      </c>
      <c r="W41" s="712">
        <v>22.84707561204997</v>
      </c>
      <c r="X41" s="617" cm="1">
        <f t="array" ref="X41">+V41-_xlfn.IFS($Z$33="EBITDA",$X$34,$Z$33="Revenue",$X$35,$Z$33="Gordon",$X$33)</f>
        <v>-2.3526438186265679</v>
      </c>
      <c r="Y41" s="617" cm="1">
        <f t="array" ref="Y41">+W41-_xlfn.IFS($Z$33="EBITDA",$X$34,$Z$33="Revenue",$X$35,$Z$33="Gordon",$X$33)</f>
        <v>2.5463281262657276</v>
      </c>
      <c r="Z41" s="617">
        <f t="shared" si="0"/>
        <v>2.5463281262657276</v>
      </c>
      <c r="AA41" s="25"/>
      <c r="AB41" s="25"/>
      <c r="AC41" s="25"/>
      <c r="AD41" s="25"/>
      <c r="AE41" s="25"/>
      <c r="AF41" s="25"/>
      <c r="AG41" s="25"/>
      <c r="AH41" s="25"/>
      <c r="AI41" s="25"/>
      <c r="AJ41" s="25"/>
      <c r="AK41" s="25"/>
      <c r="AL41" s="25"/>
      <c r="AM41" s="25"/>
      <c r="AN41" s="25"/>
      <c r="AO41" s="25"/>
      <c r="AP41" s="25"/>
      <c r="AQ41" s="25"/>
    </row>
    <row r="42" spans="3:43" ht="15" customHeight="1">
      <c r="R42" s="97" t="s">
        <v>541</v>
      </c>
      <c r="S42" s="97"/>
      <c r="T42" s="564">
        <v>0.01</v>
      </c>
      <c r="U42" s="563"/>
      <c r="V42" s="578">
        <v>40.821950802987992</v>
      </c>
      <c r="W42" s="712">
        <v>56.707687624525619</v>
      </c>
      <c r="X42" s="617" cm="1">
        <f t="array" ref="X42">+V42-_xlfn.IFS($Z$33="EBITDA",$X$34,$Z$33="Revenue",$X$35,$Z$33="Gordon",$X$33)</f>
        <v>20.521203317203749</v>
      </c>
      <c r="Y42" s="617" cm="1">
        <f t="array" ref="Y42">+W42-_xlfn.IFS($Z$33="EBITDA",$X$34,$Z$33="Revenue",$X$35,$Z$33="Gordon",$X$33)</f>
        <v>36.406940138741376</v>
      </c>
      <c r="Z42" s="617">
        <f t="shared" si="0"/>
        <v>36.406940138741376</v>
      </c>
      <c r="AA42" s="25"/>
      <c r="AB42" s="25"/>
      <c r="AC42" s="25"/>
      <c r="AD42" s="25"/>
      <c r="AE42" s="25"/>
      <c r="AF42" s="25"/>
      <c r="AG42" s="25"/>
      <c r="AH42" s="25"/>
      <c r="AI42" s="25"/>
      <c r="AJ42" s="25"/>
      <c r="AK42" s="25"/>
      <c r="AL42" s="25"/>
      <c r="AM42" s="25"/>
      <c r="AN42" s="25"/>
      <c r="AO42" s="25"/>
      <c r="AP42" s="25"/>
      <c r="AQ42" s="25"/>
    </row>
    <row r="43" spans="3:43" ht="15" customHeight="1">
      <c r="R43" s="97" t="s">
        <v>542</v>
      </c>
      <c r="S43" s="97"/>
      <c r="T43" s="565">
        <v>0.5</v>
      </c>
      <c r="U43" s="577"/>
      <c r="V43" s="711">
        <v>18.153392116634915</v>
      </c>
      <c r="W43" s="578">
        <v>22.44810285493357</v>
      </c>
      <c r="X43" s="617" cm="1">
        <f t="array" ref="X43">+V43-_xlfn.IFS($Z$33="EBITDA",$X$34,$Z$33="Revenue",$X$35,$Z$33="Gordon",$X$33)</f>
        <v>-2.1473553691493272</v>
      </c>
      <c r="Y43" s="617" cm="1">
        <f t="array" ref="Y43">+W43-_xlfn.IFS($Z$33="EBITDA",$X$34,$Z$33="Revenue",$X$35,$Z$33="Gordon",$X$33)</f>
        <v>2.1473553691493272</v>
      </c>
      <c r="Z43" s="617">
        <f t="shared" si="0"/>
        <v>2.1473553691493272</v>
      </c>
      <c r="AA43" s="25"/>
      <c r="AB43" s="25"/>
      <c r="AC43" s="25"/>
      <c r="AD43" s="25"/>
      <c r="AE43" s="25"/>
      <c r="AF43" s="25"/>
      <c r="AG43" s="25"/>
      <c r="AH43" s="25"/>
      <c r="AI43" s="25"/>
      <c r="AJ43" s="25"/>
      <c r="AK43" s="25"/>
      <c r="AL43" s="25"/>
      <c r="AM43" s="25"/>
      <c r="AN43" s="25"/>
      <c r="AO43" s="25"/>
      <c r="AP43" s="25"/>
      <c r="AQ43" s="25"/>
    </row>
    <row r="44" spans="3:43" ht="15" customHeight="1">
      <c r="R44" s="97" t="s">
        <v>448</v>
      </c>
      <c r="S44" s="97"/>
      <c r="T44" s="565">
        <v>0.5</v>
      </c>
      <c r="U44" s="710"/>
      <c r="V44" s="578">
        <v>12.977293252293538</v>
      </c>
      <c r="W44" s="577">
        <v>27.127392710296068</v>
      </c>
      <c r="X44" s="617" cm="1">
        <f t="array" ref="X44">+V44-_xlfn.IFS($Z$33="EBITDA",$X$34,$Z$33="Revenue",$X$35,$Z$33="Gordon",$X$33)</f>
        <v>-7.323454233490704</v>
      </c>
      <c r="Y44" s="617" cm="1">
        <f t="array" ref="Y44">+W44-_xlfn.IFS($Z$33="EBITDA",$X$34,$Z$33="Revenue",$X$35,$Z$33="Gordon",$X$33)</f>
        <v>6.8266452245118252</v>
      </c>
      <c r="Z44" s="617">
        <f t="shared" si="0"/>
        <v>7.323454233490704</v>
      </c>
      <c r="AA44" s="25"/>
      <c r="AB44" s="25"/>
      <c r="AC44" s="25"/>
      <c r="AD44" s="25"/>
      <c r="AE44" s="25"/>
      <c r="AF44" s="25"/>
      <c r="AG44" s="25"/>
      <c r="AH44" s="25"/>
      <c r="AI44" s="25"/>
      <c r="AJ44" s="25"/>
      <c r="AK44" s="25"/>
      <c r="AL44" s="25"/>
      <c r="AM44" s="25"/>
      <c r="AN44" s="25"/>
      <c r="AO44" s="25"/>
      <c r="AP44" s="25"/>
      <c r="AQ44" s="25"/>
    </row>
    <row r="45" spans="3:43" ht="15" customHeight="1">
      <c r="AA45" s="25"/>
      <c r="AB45" s="25"/>
      <c r="AC45" s="25"/>
      <c r="AD45" s="25"/>
      <c r="AE45" s="25"/>
      <c r="AF45" s="25"/>
      <c r="AG45" s="25"/>
      <c r="AH45" s="25"/>
      <c r="AI45" s="25"/>
      <c r="AJ45" s="25"/>
      <c r="AK45" s="25"/>
      <c r="AL45" s="25"/>
      <c r="AM45" s="25"/>
      <c r="AN45" s="25"/>
      <c r="AO45" s="25"/>
      <c r="AP45" s="25"/>
      <c r="AQ45" s="25"/>
    </row>
    <row r="46" spans="3:43" ht="15" customHeight="1">
      <c r="D46" s="778"/>
      <c r="E46" s="778"/>
      <c r="F46" s="355" t="s">
        <v>543</v>
      </c>
      <c r="G46" s="355"/>
      <c r="H46" s="355" t="s">
        <v>544</v>
      </c>
      <c r="I46" s="355"/>
      <c r="J46" s="355" t="s">
        <v>545</v>
      </c>
      <c r="K46" s="355"/>
      <c r="AA46" s="25"/>
      <c r="AB46" s="25"/>
      <c r="AC46" s="25"/>
      <c r="AD46" s="25"/>
      <c r="AE46" s="25"/>
      <c r="AF46" s="25"/>
      <c r="AG46" s="25"/>
      <c r="AH46" s="25"/>
      <c r="AI46" s="25"/>
      <c r="AJ46" s="25"/>
      <c r="AK46" s="25"/>
      <c r="AL46" s="25"/>
      <c r="AM46" s="25"/>
      <c r="AN46" s="25"/>
      <c r="AO46" s="25"/>
      <c r="AP46" s="25"/>
      <c r="AQ46" s="25"/>
    </row>
    <row r="47" spans="3:43" ht="15" customHeight="1">
      <c r="C47" s="355" t="s">
        <v>546</v>
      </c>
      <c r="D47" s="355"/>
      <c r="E47" s="355"/>
      <c r="F47" s="560">
        <v>6.6100000000000006E-2</v>
      </c>
      <c r="G47" s="560"/>
      <c r="H47" s="560">
        <v>7.1999999999999995E-2</v>
      </c>
      <c r="I47" s="560"/>
      <c r="J47" s="560">
        <v>0.66900000000000004</v>
      </c>
      <c r="K47" s="560"/>
      <c r="AA47" s="25"/>
      <c r="AB47" s="25"/>
      <c r="AC47" s="25"/>
      <c r="AD47" s="25"/>
      <c r="AE47" s="25"/>
      <c r="AF47" s="25"/>
      <c r="AG47" s="25"/>
      <c r="AH47" s="25"/>
      <c r="AI47" s="25"/>
      <c r="AJ47" s="25"/>
      <c r="AK47" s="25"/>
      <c r="AL47" s="25"/>
      <c r="AM47" s="25"/>
      <c r="AN47" s="25"/>
      <c r="AO47" s="25"/>
      <c r="AP47" s="25"/>
      <c r="AQ47" s="25"/>
    </row>
    <row r="48" spans="3:43" ht="15" customHeight="1">
      <c r="C48" s="355" t="s">
        <v>547</v>
      </c>
      <c r="D48" s="355"/>
      <c r="E48" s="355"/>
      <c r="F48" s="560">
        <v>8.9300000000000004E-2</v>
      </c>
      <c r="G48" s="560"/>
      <c r="H48" s="560">
        <v>0.104</v>
      </c>
      <c r="I48" s="560"/>
      <c r="J48" s="560">
        <v>0.78200000000000003</v>
      </c>
      <c r="K48" s="560"/>
      <c r="AA48" s="25"/>
      <c r="AB48" s="25"/>
      <c r="AC48" s="25"/>
      <c r="AD48" s="25"/>
      <c r="AE48" s="25"/>
      <c r="AF48" s="25"/>
      <c r="AG48" s="25"/>
      <c r="AH48" s="25"/>
      <c r="AI48" s="25"/>
      <c r="AJ48" s="25"/>
      <c r="AK48" s="25"/>
      <c r="AL48" s="25"/>
      <c r="AM48" s="25"/>
      <c r="AN48" s="25"/>
      <c r="AO48" s="25"/>
      <c r="AP48" s="25"/>
      <c r="AQ48" s="25"/>
    </row>
    <row r="49" spans="27:43" ht="15" customHeight="1">
      <c r="AA49" s="25"/>
      <c r="AB49" s="25"/>
      <c r="AC49" s="25"/>
      <c r="AD49" s="25"/>
      <c r="AE49" s="25"/>
      <c r="AF49" s="25"/>
      <c r="AG49" s="25"/>
      <c r="AH49" s="25"/>
      <c r="AI49" s="25"/>
      <c r="AJ49" s="25"/>
      <c r="AK49" s="25"/>
      <c r="AL49" s="25"/>
      <c r="AM49" s="25"/>
      <c r="AN49" s="25"/>
      <c r="AO49" s="25"/>
      <c r="AP49" s="25"/>
      <c r="AQ49" s="25"/>
    </row>
    <row r="50" spans="27:43" ht="15" customHeight="1">
      <c r="AA50" s="25"/>
      <c r="AB50" s="25"/>
      <c r="AC50" s="25"/>
      <c r="AD50" s="25"/>
      <c r="AE50" s="25"/>
      <c r="AF50" s="25"/>
      <c r="AG50" s="25"/>
      <c r="AH50" s="25"/>
      <c r="AI50" s="25"/>
      <c r="AJ50" s="25"/>
      <c r="AK50" s="25"/>
      <c r="AL50" s="25"/>
      <c r="AM50" s="25"/>
      <c r="AN50" s="25"/>
      <c r="AO50" s="25"/>
      <c r="AP50" s="25"/>
      <c r="AQ50" s="25"/>
    </row>
    <row r="51" spans="27:43" ht="15" customHeight="1">
      <c r="AA51" s="25"/>
      <c r="AB51" s="25"/>
      <c r="AC51" s="25"/>
      <c r="AD51" s="25"/>
      <c r="AE51" s="25"/>
      <c r="AF51" s="25"/>
      <c r="AG51" s="25"/>
      <c r="AH51" s="25"/>
      <c r="AI51" s="25"/>
      <c r="AJ51" s="25"/>
      <c r="AK51" s="25"/>
      <c r="AL51" s="25"/>
      <c r="AM51" s="25"/>
      <c r="AN51" s="25"/>
      <c r="AO51" s="25"/>
      <c r="AP51" s="25"/>
      <c r="AQ51" s="25"/>
    </row>
    <row r="52" spans="27:43" ht="15" customHeight="1">
      <c r="AA52" s="25"/>
      <c r="AB52" s="25"/>
      <c r="AC52" s="25"/>
      <c r="AD52" s="25"/>
      <c r="AE52" s="25"/>
      <c r="AF52" s="25"/>
      <c r="AG52" s="25"/>
      <c r="AH52" s="25"/>
      <c r="AI52" s="25"/>
      <c r="AJ52" s="25"/>
      <c r="AK52" s="25"/>
      <c r="AL52" s="25"/>
      <c r="AM52" s="25"/>
      <c r="AN52" s="25"/>
      <c r="AO52" s="25"/>
      <c r="AP52" s="25"/>
      <c r="AQ52" s="25"/>
    </row>
    <row r="53" spans="27:43" ht="15" customHeight="1">
      <c r="AA53" s="25"/>
      <c r="AB53" s="25"/>
      <c r="AC53" s="25"/>
      <c r="AD53" s="25"/>
      <c r="AE53" s="25"/>
      <c r="AF53" s="25"/>
      <c r="AG53" s="25"/>
      <c r="AH53" s="25"/>
      <c r="AI53" s="25"/>
      <c r="AJ53" s="25"/>
      <c r="AK53" s="25"/>
      <c r="AL53" s="25"/>
      <c r="AM53" s="25"/>
      <c r="AN53" s="25"/>
      <c r="AO53" s="25"/>
      <c r="AP53" s="25"/>
      <c r="AQ53" s="25"/>
    </row>
    <row r="54" spans="27:43" ht="15" customHeight="1">
      <c r="AA54" s="25"/>
      <c r="AB54" s="25"/>
      <c r="AC54" s="25"/>
      <c r="AD54" s="25"/>
      <c r="AE54" s="25"/>
      <c r="AF54" s="25"/>
      <c r="AG54" s="25"/>
      <c r="AH54" s="25"/>
      <c r="AI54" s="25"/>
      <c r="AJ54" s="25"/>
      <c r="AK54" s="25"/>
      <c r="AL54" s="25"/>
      <c r="AM54" s="25"/>
      <c r="AN54" s="25"/>
      <c r="AO54" s="25"/>
      <c r="AP54" s="25"/>
      <c r="AQ54" s="25"/>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79"/>
  <sheetViews>
    <sheetView showGridLines="0" topLeftCell="N2" zoomScale="117" zoomScaleNormal="60" workbookViewId="0">
      <selection activeCell="K18" sqref="K18"/>
    </sheetView>
  </sheetViews>
  <sheetFormatPr baseColWidth="10" defaultColWidth="9" defaultRowHeight="14.25" customHeight="1" outlineLevelCol="1"/>
  <cols>
    <col min="1" max="1" width="2.1640625" style="97" customWidth="1"/>
    <col min="2" max="2" width="50.6640625" style="97" customWidth="1"/>
    <col min="3" max="3" width="3.33203125" style="23" customWidth="1"/>
    <col min="4" max="7" width="9.6640625" style="97" customWidth="1" outlineLevel="1"/>
    <col min="8" max="8" width="11.6640625" style="97" customWidth="1"/>
    <col min="9" max="9" width="1.6640625" style="23" customWidth="1"/>
    <col min="10" max="13" width="9.6640625" style="97" customWidth="1" outlineLevel="1"/>
    <col min="14" max="14" width="11.6640625" style="97" customWidth="1"/>
    <col min="15" max="15" width="1.6640625" style="23" customWidth="1"/>
    <col min="16" max="19" width="9.6640625" style="97" customWidth="1" outlineLevel="1"/>
    <col min="20" max="20" width="11.6640625" style="97" customWidth="1"/>
    <col min="21" max="21" width="1.6640625" style="23" customWidth="1"/>
    <col min="22" max="25" width="9.6640625" style="97" customWidth="1" outlineLevel="1"/>
    <col min="26" max="26" width="11.6640625" style="97" customWidth="1"/>
    <col min="27" max="27" width="1.6640625" style="23" customWidth="1"/>
    <col min="28" max="31" width="9.6640625" style="97" customWidth="1" outlineLevel="1"/>
    <col min="32" max="32" width="11.6640625" style="97" customWidth="1"/>
    <col min="33" max="33" width="1.6640625" style="23" customWidth="1"/>
    <col min="34" max="37" width="9.6640625" style="97" customWidth="1" outlineLevel="1"/>
    <col min="38" max="38" width="11.6640625" style="97" customWidth="1"/>
    <col min="39" max="39" width="1.6640625" style="23" customWidth="1"/>
    <col min="40" max="43" width="9.6640625" style="97" customWidth="1" outlineLevel="1"/>
    <col min="44" max="44" width="11.6640625" style="97" customWidth="1"/>
    <col min="45" max="45" width="1.6640625" style="23" customWidth="1"/>
    <col min="46" max="46" width="11.6640625" style="97" customWidth="1"/>
    <col min="47" max="47" width="1.6640625" style="23" customWidth="1"/>
    <col min="48" max="48" width="11.6640625" style="105" customWidth="1"/>
    <col min="49" max="49" width="1.6640625" style="23" customWidth="1"/>
    <col min="50" max="50" width="11.6640625" style="97" customWidth="1"/>
    <col min="51" max="51" width="1.6640625" style="97" customWidth="1"/>
    <col min="52" max="16384" width="9" style="97"/>
  </cols>
  <sheetData>
    <row r="1" spans="2:50" s="546" customFormat="1" ht="15" customHeight="1"/>
    <row r="2" spans="2:50" s="546" customFormat="1" ht="15" customHeight="1"/>
    <row r="3" spans="2:50" s="546" customFormat="1" ht="15" customHeight="1"/>
    <row r="4" spans="2:50" s="546" customFormat="1" ht="15" customHeight="1"/>
    <row r="5" spans="2:50" s="287" customFormat="1" ht="4" customHeight="1">
      <c r="C5" s="36"/>
      <c r="I5" s="36"/>
      <c r="O5" s="36"/>
      <c r="U5" s="36"/>
      <c r="AA5" s="36"/>
      <c r="AG5" s="36"/>
      <c r="AM5" s="36"/>
      <c r="AS5" s="36"/>
      <c r="AU5" s="36"/>
      <c r="AV5" s="288"/>
      <c r="AW5" s="36"/>
    </row>
    <row r="7" spans="2:50" s="41" customFormat="1" ht="15" customHeight="1">
      <c r="B7" s="161" t="s">
        <v>358</v>
      </c>
      <c r="C7" s="18"/>
      <c r="D7" s="201">
        <v>2020</v>
      </c>
      <c r="E7" s="201">
        <v>2020</v>
      </c>
      <c r="F7" s="201">
        <v>2020</v>
      </c>
      <c r="G7" s="201">
        <v>2020</v>
      </c>
      <c r="H7" s="201">
        <v>2020</v>
      </c>
      <c r="I7" s="18"/>
      <c r="J7" s="201">
        <v>2021</v>
      </c>
      <c r="K7" s="201">
        <v>2021</v>
      </c>
      <c r="L7" s="201">
        <v>2021</v>
      </c>
      <c r="M7" s="201">
        <v>2021</v>
      </c>
      <c r="N7" s="201">
        <v>2021</v>
      </c>
      <c r="O7" s="169"/>
      <c r="P7" s="201">
        <v>2022</v>
      </c>
      <c r="Q7" s="201">
        <v>2022</v>
      </c>
      <c r="R7" s="201">
        <v>2022</v>
      </c>
      <c r="S7" s="201">
        <v>2022</v>
      </c>
      <c r="T7" s="201">
        <v>2022</v>
      </c>
      <c r="U7" s="169"/>
      <c r="V7" s="201">
        <v>2023</v>
      </c>
      <c r="W7" s="201">
        <v>2023</v>
      </c>
      <c r="X7" s="201">
        <v>2023</v>
      </c>
      <c r="Y7" s="201">
        <v>2023</v>
      </c>
      <c r="Z7" s="201">
        <v>2023</v>
      </c>
      <c r="AA7" s="170"/>
      <c r="AB7" s="201">
        <v>2024</v>
      </c>
      <c r="AC7" s="201">
        <v>2024</v>
      </c>
      <c r="AD7" s="201">
        <v>2024</v>
      </c>
      <c r="AE7" s="201">
        <v>2024</v>
      </c>
      <c r="AF7" s="201">
        <v>2024</v>
      </c>
      <c r="AG7" s="170"/>
      <c r="AH7" s="201">
        <v>2025</v>
      </c>
      <c r="AI7" s="201">
        <v>2025</v>
      </c>
      <c r="AJ7" s="202">
        <v>2025</v>
      </c>
      <c r="AK7" s="201">
        <v>2025</v>
      </c>
      <c r="AL7" s="201">
        <v>2025</v>
      </c>
      <c r="AM7" s="171"/>
      <c r="AN7" s="201">
        <v>2025</v>
      </c>
      <c r="AO7" s="201">
        <v>2025</v>
      </c>
      <c r="AP7" s="202">
        <v>2025</v>
      </c>
      <c r="AQ7" s="201">
        <v>2025</v>
      </c>
      <c r="AR7" s="201">
        <v>2025</v>
      </c>
      <c r="AS7" s="18"/>
      <c r="AT7" s="162"/>
      <c r="AU7" s="18"/>
      <c r="AV7" s="163"/>
      <c r="AW7" s="18"/>
      <c r="AX7" s="163"/>
    </row>
    <row r="8" spans="2:50" s="41" customFormat="1" ht="15" customHeight="1">
      <c r="B8" s="164"/>
      <c r="C8" s="18"/>
      <c r="D8" s="822">
        <v>2020</v>
      </c>
      <c r="E8" s="822"/>
      <c r="F8" s="822"/>
      <c r="G8" s="822"/>
      <c r="H8" s="822"/>
      <c r="I8" s="169"/>
      <c r="J8" s="822">
        <v>2021</v>
      </c>
      <c r="K8" s="822"/>
      <c r="L8" s="822"/>
      <c r="M8" s="822"/>
      <c r="N8" s="822"/>
      <c r="O8" s="169"/>
      <c r="P8" s="822">
        <v>2022</v>
      </c>
      <c r="Q8" s="822"/>
      <c r="R8" s="822"/>
      <c r="S8" s="822"/>
      <c r="T8" s="822"/>
      <c r="U8" s="169"/>
      <c r="V8" s="822">
        <v>2023</v>
      </c>
      <c r="W8" s="822"/>
      <c r="X8" s="822"/>
      <c r="Y8" s="822"/>
      <c r="Z8" s="822"/>
      <c r="AA8" s="169"/>
      <c r="AB8" s="822">
        <v>2024</v>
      </c>
      <c r="AC8" s="822"/>
      <c r="AD8" s="822"/>
      <c r="AE8" s="822"/>
      <c r="AF8" s="822"/>
      <c r="AG8" s="169"/>
      <c r="AH8" s="821">
        <v>2025</v>
      </c>
      <c r="AI8" s="821"/>
      <c r="AJ8" s="821"/>
      <c r="AK8" s="821"/>
      <c r="AL8" s="821"/>
      <c r="AM8" s="169"/>
      <c r="AN8" s="821">
        <v>2026</v>
      </c>
      <c r="AO8" s="821"/>
      <c r="AP8" s="821"/>
      <c r="AQ8" s="821"/>
      <c r="AR8" s="821"/>
      <c r="AS8" s="171"/>
      <c r="AT8" s="166">
        <v>2027</v>
      </c>
      <c r="AU8" s="167"/>
      <c r="AV8" s="166">
        <v>2028</v>
      </c>
      <c r="AW8" s="167"/>
      <c r="AX8" s="166">
        <v>2029</v>
      </c>
    </row>
    <row r="9" spans="2:50" s="41" customFormat="1" ht="14.25" customHeight="1">
      <c r="B9" s="164"/>
      <c r="C9" s="18"/>
      <c r="D9" s="168" t="s">
        <v>173</v>
      </c>
      <c r="E9" s="168" t="s">
        <v>174</v>
      </c>
      <c r="F9" s="168" t="s">
        <v>175</v>
      </c>
      <c r="G9" s="168" t="s">
        <v>176</v>
      </c>
      <c r="H9" s="168" t="s">
        <v>177</v>
      </c>
      <c r="I9" s="18"/>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173</v>
      </c>
      <c r="AI9" s="168" t="s">
        <v>174</v>
      </c>
      <c r="AJ9" s="168" t="s">
        <v>175</v>
      </c>
      <c r="AK9" s="168" t="s">
        <v>176</v>
      </c>
      <c r="AL9" s="168" t="s">
        <v>177</v>
      </c>
      <c r="AM9" s="165"/>
      <c r="AN9" s="168" t="s">
        <v>173</v>
      </c>
      <c r="AO9" s="168" t="s">
        <v>174</v>
      </c>
      <c r="AP9" s="168" t="s">
        <v>175</v>
      </c>
      <c r="AQ9" s="168" t="s">
        <v>176</v>
      </c>
      <c r="AR9" s="168" t="s">
        <v>177</v>
      </c>
      <c r="AS9" s="165"/>
      <c r="AT9" s="168" t="s">
        <v>177</v>
      </c>
      <c r="AU9" s="165"/>
      <c r="AV9" s="168" t="s">
        <v>177</v>
      </c>
      <c r="AW9" s="165"/>
      <c r="AX9" s="168" t="s">
        <v>177</v>
      </c>
    </row>
    <row r="10" spans="2:50" s="41" customFormat="1" ht="4"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4"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3"/>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548</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549</v>
      </c>
      <c r="C13" s="23"/>
      <c r="D13" s="50">
        <v>0</v>
      </c>
      <c r="E13" s="50">
        <v>0</v>
      </c>
      <c r="F13" s="50">
        <v>0</v>
      </c>
      <c r="G13" s="50">
        <v>0</v>
      </c>
      <c r="H13" s="52">
        <v>0</v>
      </c>
      <c r="I13" s="48"/>
      <c r="J13" s="50">
        <v>0</v>
      </c>
      <c r="K13" s="50">
        <v>0</v>
      </c>
      <c r="L13" s="50">
        <v>0</v>
      </c>
      <c r="M13" s="50">
        <v>0</v>
      </c>
      <c r="N13" s="52">
        <v>0</v>
      </c>
      <c r="O13" s="47"/>
      <c r="P13" s="50">
        <v>0</v>
      </c>
      <c r="Q13" s="50">
        <v>0</v>
      </c>
      <c r="R13" s="50">
        <v>0</v>
      </c>
      <c r="S13" s="50">
        <v>0</v>
      </c>
      <c r="T13" s="52">
        <v>0</v>
      </c>
      <c r="U13" s="47"/>
      <c r="V13" s="50">
        <v>0</v>
      </c>
      <c r="W13" s="50">
        <v>0</v>
      </c>
      <c r="X13" s="50">
        <v>0</v>
      </c>
      <c r="Y13" s="50">
        <v>0</v>
      </c>
      <c r="Z13" s="52">
        <v>0</v>
      </c>
      <c r="AA13" s="47"/>
      <c r="AB13" s="50">
        <v>0</v>
      </c>
      <c r="AC13" s="50">
        <v>0</v>
      </c>
      <c r="AD13" s="50">
        <v>0</v>
      </c>
      <c r="AE13" s="50">
        <v>0</v>
      </c>
      <c r="AF13" s="52">
        <v>0</v>
      </c>
      <c r="AG13" s="49"/>
      <c r="AH13" s="50">
        <v>0</v>
      </c>
      <c r="AI13" s="50">
        <v>0</v>
      </c>
      <c r="AJ13" s="50">
        <v>0</v>
      </c>
      <c r="AK13" s="50">
        <v>0</v>
      </c>
      <c r="AL13" s="52">
        <v>0</v>
      </c>
      <c r="AM13" s="51"/>
      <c r="AN13" s="50">
        <v>0</v>
      </c>
      <c r="AO13" s="50">
        <v>0</v>
      </c>
      <c r="AP13" s="50">
        <v>0</v>
      </c>
      <c r="AQ13" s="50">
        <v>0</v>
      </c>
      <c r="AR13" s="52">
        <v>0</v>
      </c>
      <c r="AS13" s="51"/>
      <c r="AT13" s="52">
        <v>0</v>
      </c>
      <c r="AU13" s="53"/>
      <c r="AV13" s="52">
        <v>0</v>
      </c>
      <c r="AW13" s="53"/>
      <c r="AX13" s="52">
        <v>0</v>
      </c>
    </row>
    <row r="14" spans="2:50" s="54" customFormat="1" ht="14.25" customHeight="1">
      <c r="B14" s="56" t="s">
        <v>550</v>
      </c>
      <c r="C14" s="23"/>
      <c r="D14" s="50">
        <v>0</v>
      </c>
      <c r="E14" s="50">
        <v>0</v>
      </c>
      <c r="F14" s="50">
        <v>0</v>
      </c>
      <c r="G14" s="50">
        <v>0</v>
      </c>
      <c r="H14" s="52">
        <v>0</v>
      </c>
      <c r="I14" s="48"/>
      <c r="J14" s="50">
        <v>0</v>
      </c>
      <c r="K14" s="50">
        <v>0</v>
      </c>
      <c r="L14" s="50">
        <v>0</v>
      </c>
      <c r="M14" s="50">
        <v>0</v>
      </c>
      <c r="N14" s="52">
        <v>0</v>
      </c>
      <c r="O14" s="47"/>
      <c r="P14" s="50">
        <v>0</v>
      </c>
      <c r="Q14" s="50">
        <v>0</v>
      </c>
      <c r="R14" s="50">
        <v>0</v>
      </c>
      <c r="S14" s="50">
        <v>0</v>
      </c>
      <c r="T14" s="52">
        <v>0</v>
      </c>
      <c r="U14" s="47"/>
      <c r="V14" s="50">
        <v>0</v>
      </c>
      <c r="W14" s="50">
        <v>0</v>
      </c>
      <c r="X14" s="50">
        <v>0</v>
      </c>
      <c r="Y14" s="50">
        <v>0</v>
      </c>
      <c r="Z14" s="52">
        <v>0</v>
      </c>
      <c r="AA14" s="47"/>
      <c r="AB14" s="50">
        <v>0</v>
      </c>
      <c r="AC14" s="50">
        <v>0</v>
      </c>
      <c r="AD14" s="50">
        <v>0</v>
      </c>
      <c r="AE14" s="50">
        <v>0</v>
      </c>
      <c r="AF14" s="52">
        <v>0</v>
      </c>
      <c r="AG14" s="49"/>
      <c r="AH14" s="50">
        <v>0</v>
      </c>
      <c r="AI14" s="50">
        <v>0</v>
      </c>
      <c r="AJ14" s="50">
        <v>0</v>
      </c>
      <c r="AK14" s="50">
        <v>0</v>
      </c>
      <c r="AL14" s="52">
        <v>0</v>
      </c>
      <c r="AM14" s="51"/>
      <c r="AN14" s="50">
        <v>0</v>
      </c>
      <c r="AO14" s="50">
        <v>0</v>
      </c>
      <c r="AP14" s="50">
        <v>0</v>
      </c>
      <c r="AQ14" s="50">
        <v>0</v>
      </c>
      <c r="AR14" s="52">
        <v>0</v>
      </c>
      <c r="AS14" s="51"/>
      <c r="AT14" s="52">
        <v>0</v>
      </c>
      <c r="AU14" s="53"/>
      <c r="AV14" s="52">
        <v>0</v>
      </c>
      <c r="AW14" s="53"/>
      <c r="AX14" s="52">
        <v>0</v>
      </c>
    </row>
    <row r="15" spans="2:50" s="54" customFormat="1" ht="14.25" customHeight="1">
      <c r="B15" s="56" t="s">
        <v>551</v>
      </c>
      <c r="C15" s="23"/>
      <c r="D15" s="50">
        <v>0</v>
      </c>
      <c r="E15" s="50">
        <v>0</v>
      </c>
      <c r="F15" s="50">
        <v>0</v>
      </c>
      <c r="G15" s="50">
        <v>0</v>
      </c>
      <c r="H15" s="52">
        <v>0</v>
      </c>
      <c r="I15" s="48"/>
      <c r="J15" s="50">
        <v>0</v>
      </c>
      <c r="K15" s="50">
        <v>0</v>
      </c>
      <c r="L15" s="50">
        <v>0</v>
      </c>
      <c r="M15" s="50">
        <v>0</v>
      </c>
      <c r="N15" s="52">
        <v>0</v>
      </c>
      <c r="O15" s="47"/>
      <c r="P15" s="50">
        <v>0</v>
      </c>
      <c r="Q15" s="50">
        <v>0</v>
      </c>
      <c r="R15" s="50">
        <v>0</v>
      </c>
      <c r="S15" s="50">
        <v>0</v>
      </c>
      <c r="T15" s="52">
        <v>0</v>
      </c>
      <c r="U15" s="47"/>
      <c r="V15" s="50">
        <v>0</v>
      </c>
      <c r="W15" s="50">
        <v>0</v>
      </c>
      <c r="X15" s="50">
        <v>0</v>
      </c>
      <c r="Y15" s="50">
        <v>0</v>
      </c>
      <c r="Z15" s="52">
        <v>0</v>
      </c>
      <c r="AA15" s="47"/>
      <c r="AB15" s="50">
        <v>0</v>
      </c>
      <c r="AC15" s="50">
        <v>0</v>
      </c>
      <c r="AD15" s="50">
        <v>0</v>
      </c>
      <c r="AE15" s="50">
        <v>0</v>
      </c>
      <c r="AF15" s="52">
        <v>0</v>
      </c>
      <c r="AG15" s="49"/>
      <c r="AH15" s="50">
        <v>0</v>
      </c>
      <c r="AI15" s="50">
        <v>0</v>
      </c>
      <c r="AJ15" s="50">
        <v>0</v>
      </c>
      <c r="AK15" s="50">
        <v>0</v>
      </c>
      <c r="AL15" s="52">
        <v>0</v>
      </c>
      <c r="AM15" s="51"/>
      <c r="AN15" s="50">
        <v>0</v>
      </c>
      <c r="AO15" s="50">
        <v>0</v>
      </c>
      <c r="AP15" s="50">
        <v>0</v>
      </c>
      <c r="AQ15" s="50">
        <v>0</v>
      </c>
      <c r="AR15" s="52">
        <v>0</v>
      </c>
      <c r="AS15" s="51"/>
      <c r="AT15" s="52">
        <v>0</v>
      </c>
      <c r="AU15" s="53"/>
      <c r="AV15" s="52">
        <v>0</v>
      </c>
      <c r="AW15" s="53"/>
      <c r="AX15" s="52">
        <v>0</v>
      </c>
    </row>
    <row r="16" spans="2:50" s="54" customFormat="1" ht="14.25" customHeight="1">
      <c r="B16" s="56" t="s">
        <v>552</v>
      </c>
      <c r="C16" s="23"/>
      <c r="D16" s="50">
        <v>0</v>
      </c>
      <c r="E16" s="50">
        <v>0</v>
      </c>
      <c r="F16" s="50">
        <v>0</v>
      </c>
      <c r="G16" s="50">
        <v>0</v>
      </c>
      <c r="H16" s="58">
        <v>0</v>
      </c>
      <c r="I16" s="48"/>
      <c r="J16" s="50">
        <v>0</v>
      </c>
      <c r="K16" s="50">
        <v>0</v>
      </c>
      <c r="L16" s="50">
        <v>0</v>
      </c>
      <c r="M16" s="50">
        <v>0</v>
      </c>
      <c r="N16" s="58">
        <v>0</v>
      </c>
      <c r="O16" s="57"/>
      <c r="P16" s="50">
        <v>0</v>
      </c>
      <c r="Q16" s="50">
        <v>0</v>
      </c>
      <c r="R16" s="50">
        <v>0</v>
      </c>
      <c r="S16" s="50">
        <v>0</v>
      </c>
      <c r="T16" s="58">
        <v>0</v>
      </c>
      <c r="U16" s="57"/>
      <c r="V16" s="50">
        <v>0</v>
      </c>
      <c r="W16" s="50">
        <v>0</v>
      </c>
      <c r="X16" s="50">
        <v>0</v>
      </c>
      <c r="Y16" s="50">
        <v>0</v>
      </c>
      <c r="Z16" s="58">
        <v>0</v>
      </c>
      <c r="AA16" s="57"/>
      <c r="AB16" s="50">
        <v>0</v>
      </c>
      <c r="AC16" s="50">
        <v>0</v>
      </c>
      <c r="AD16" s="50">
        <v>0</v>
      </c>
      <c r="AE16" s="50">
        <v>0</v>
      </c>
      <c r="AF16" s="58">
        <v>0</v>
      </c>
      <c r="AG16" s="49"/>
      <c r="AH16" s="50">
        <v>0</v>
      </c>
      <c r="AI16" s="50">
        <v>0</v>
      </c>
      <c r="AJ16" s="50">
        <v>0</v>
      </c>
      <c r="AK16" s="50">
        <v>0</v>
      </c>
      <c r="AL16" s="58">
        <v>0</v>
      </c>
      <c r="AM16" s="51"/>
      <c r="AN16" s="50">
        <v>0</v>
      </c>
      <c r="AO16" s="50">
        <v>0</v>
      </c>
      <c r="AP16" s="50">
        <v>0</v>
      </c>
      <c r="AQ16" s="50">
        <v>0</v>
      </c>
      <c r="AR16" s="58">
        <v>0</v>
      </c>
      <c r="AS16" s="51"/>
      <c r="AT16" s="58">
        <v>0</v>
      </c>
      <c r="AU16" s="53"/>
      <c r="AV16" s="58">
        <v>0</v>
      </c>
      <c r="AW16" s="53"/>
      <c r="AX16" s="58">
        <v>0</v>
      </c>
    </row>
    <row r="17" spans="1:50" s="54" customFormat="1" ht="14.25" customHeight="1">
      <c r="A17" s="55"/>
      <c r="B17" s="56" t="s">
        <v>553</v>
      </c>
      <c r="C17" s="23"/>
      <c r="D17" s="50">
        <v>0</v>
      </c>
      <c r="E17" s="50">
        <v>0</v>
      </c>
      <c r="F17" s="50">
        <v>0</v>
      </c>
      <c r="G17" s="50">
        <v>0</v>
      </c>
      <c r="H17" s="58">
        <v>0</v>
      </c>
      <c r="I17" s="48"/>
      <c r="J17" s="50">
        <v>0</v>
      </c>
      <c r="K17" s="50">
        <v>0</v>
      </c>
      <c r="L17" s="50">
        <v>0</v>
      </c>
      <c r="M17" s="50">
        <v>0</v>
      </c>
      <c r="N17" s="58">
        <v>0</v>
      </c>
      <c r="O17" s="57"/>
      <c r="P17" s="50">
        <v>0</v>
      </c>
      <c r="Q17" s="50">
        <v>0</v>
      </c>
      <c r="R17" s="50">
        <v>0</v>
      </c>
      <c r="S17" s="50">
        <v>0</v>
      </c>
      <c r="T17" s="58">
        <v>0</v>
      </c>
      <c r="U17" s="57"/>
      <c r="V17" s="50">
        <v>0</v>
      </c>
      <c r="W17" s="50">
        <v>0</v>
      </c>
      <c r="X17" s="50">
        <v>0</v>
      </c>
      <c r="Y17" s="50">
        <v>0</v>
      </c>
      <c r="Z17" s="58">
        <v>0</v>
      </c>
      <c r="AA17" s="57"/>
      <c r="AB17" s="50">
        <v>0</v>
      </c>
      <c r="AC17" s="50">
        <v>0</v>
      </c>
      <c r="AD17" s="50">
        <v>0</v>
      </c>
      <c r="AE17" s="50">
        <v>0</v>
      </c>
      <c r="AF17" s="58">
        <v>0</v>
      </c>
      <c r="AG17" s="49"/>
      <c r="AH17" s="50">
        <v>0</v>
      </c>
      <c r="AI17" s="50">
        <v>0</v>
      </c>
      <c r="AJ17" s="50">
        <v>0</v>
      </c>
      <c r="AK17" s="50">
        <v>0</v>
      </c>
      <c r="AL17" s="58">
        <v>0</v>
      </c>
      <c r="AM17" s="51"/>
      <c r="AN17" s="50">
        <v>0</v>
      </c>
      <c r="AO17" s="50">
        <v>0</v>
      </c>
      <c r="AP17" s="50">
        <v>0</v>
      </c>
      <c r="AQ17" s="50">
        <v>0</v>
      </c>
      <c r="AR17" s="58">
        <v>0</v>
      </c>
      <c r="AS17" s="51"/>
      <c r="AT17" s="58">
        <v>0</v>
      </c>
      <c r="AU17" s="53"/>
      <c r="AV17" s="58">
        <v>0</v>
      </c>
      <c r="AW17" s="53"/>
      <c r="AX17" s="58">
        <v>0</v>
      </c>
    </row>
    <row r="18" spans="1:50" s="54" customFormat="1" ht="14.25" customHeight="1">
      <c r="A18" s="55"/>
      <c r="B18" s="59" t="s">
        <v>180</v>
      </c>
      <c r="C18" s="23"/>
      <c r="D18" s="60">
        <v>0</v>
      </c>
      <c r="E18" s="60">
        <v>0</v>
      </c>
      <c r="F18" s="60">
        <v>0</v>
      </c>
      <c r="G18" s="60">
        <v>0</v>
      </c>
      <c r="H18" s="61">
        <v>0</v>
      </c>
      <c r="I18" s="48"/>
      <c r="J18" s="60">
        <v>0</v>
      </c>
      <c r="K18" s="60">
        <v>0</v>
      </c>
      <c r="L18" s="60">
        <v>91.447999999999993</v>
      </c>
      <c r="M18" s="60">
        <v>95.957999999999998</v>
      </c>
      <c r="N18" s="61">
        <v>349.029</v>
      </c>
      <c r="O18" s="47"/>
      <c r="P18" s="60">
        <v>100.336</v>
      </c>
      <c r="Q18" s="60">
        <v>107.873</v>
      </c>
      <c r="R18" s="60">
        <v>123.605</v>
      </c>
      <c r="S18" s="60">
        <v>120.03</v>
      </c>
      <c r="T18" s="61">
        <v>452.85899999999998</v>
      </c>
      <c r="U18" s="47"/>
      <c r="V18" s="60">
        <v>120.374</v>
      </c>
      <c r="W18" s="60">
        <v>122.486</v>
      </c>
      <c r="X18" s="60">
        <v>133.16499999999999</v>
      </c>
      <c r="Y18" s="60">
        <v>132.92400000000001</v>
      </c>
      <c r="Z18" s="61">
        <v>508.94900000000001</v>
      </c>
      <c r="AA18" s="47"/>
      <c r="AB18" s="60">
        <v>127.343</v>
      </c>
      <c r="AC18" s="60">
        <v>126.304</v>
      </c>
      <c r="AD18" s="60">
        <v>136.59299999999999</v>
      </c>
      <c r="AE18" s="60">
        <v>135.72300000000001</v>
      </c>
      <c r="AF18" s="61">
        <v>525.96299999999997</v>
      </c>
      <c r="AG18" s="49"/>
      <c r="AH18" s="60">
        <v>140.268</v>
      </c>
      <c r="AI18" s="60">
        <v>142.44300000000001</v>
      </c>
      <c r="AJ18" s="62">
        <f>FCFF!X31</f>
        <v>150.10345832730678</v>
      </c>
      <c r="AK18" s="62">
        <f>FCFF!Y31</f>
        <v>156.13392858041604</v>
      </c>
      <c r="AL18" s="62">
        <f>FCFF!Z31</f>
        <v>723.55312089843733</v>
      </c>
      <c r="AM18" s="62">
        <f>FCFF!AA31</f>
        <v>0</v>
      </c>
      <c r="AN18" s="62">
        <f>FCFF!AB31</f>
        <v>162.48852859150645</v>
      </c>
      <c r="AO18" s="62">
        <f>FCFF!AC31</f>
        <v>168.79837460152729</v>
      </c>
      <c r="AP18" s="62">
        <f>FCFF!AD31</f>
        <v>176.8683179582022</v>
      </c>
      <c r="AQ18" s="62">
        <f>FCFF!AE31</f>
        <v>186.71814897517865</v>
      </c>
      <c r="AR18" s="62">
        <f>FCFF!AF31</f>
        <v>850.51853332409382</v>
      </c>
      <c r="AS18" s="62">
        <f>FCFF!AG31</f>
        <v>0</v>
      </c>
      <c r="AT18" s="62">
        <f>FCFF!AH31</f>
        <v>1010.2513984430111</v>
      </c>
      <c r="AU18" s="62">
        <f>FCFF!AI31</f>
        <v>0</v>
      </c>
      <c r="AV18" s="62">
        <f>FCFF!AJ31</f>
        <v>1298.7525563163108</v>
      </c>
      <c r="AW18" s="62">
        <f>FCFF!AK31</f>
        <v>0</v>
      </c>
      <c r="AX18" s="62">
        <f>FCFF!AL31</f>
        <v>1656.4544309893722</v>
      </c>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37"/>
      <c r="AI19" s="46"/>
      <c r="AJ19" s="50"/>
      <c r="AK19" s="50"/>
      <c r="AL19" s="52"/>
      <c r="AM19" s="51"/>
      <c r="AN19" s="50"/>
      <c r="AO19" s="50"/>
      <c r="AP19" s="50"/>
      <c r="AQ19" s="50"/>
      <c r="AR19" s="52"/>
      <c r="AS19" s="51"/>
      <c r="AT19" s="52"/>
      <c r="AU19" s="53"/>
      <c r="AV19" s="52"/>
      <c r="AW19" s="53"/>
      <c r="AX19" s="52"/>
    </row>
    <row r="20" spans="1:50" s="54" customFormat="1" ht="14.25" customHeight="1">
      <c r="A20" s="44" t="s">
        <v>39</v>
      </c>
      <c r="B20" s="65" t="s">
        <v>554</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555</v>
      </c>
      <c r="C21" s="24"/>
      <c r="D21" s="60">
        <v>0</v>
      </c>
      <c r="E21" s="60">
        <v>0</v>
      </c>
      <c r="F21" s="60">
        <v>1E-3</v>
      </c>
      <c r="G21" s="60">
        <v>0</v>
      </c>
      <c r="H21" s="66">
        <v>0</v>
      </c>
      <c r="I21" s="48"/>
      <c r="J21" s="60">
        <v>0</v>
      </c>
      <c r="K21" s="60">
        <v>0</v>
      </c>
      <c r="L21" s="60">
        <v>0</v>
      </c>
      <c r="M21" s="60">
        <v>0</v>
      </c>
      <c r="N21" s="66">
        <v>0</v>
      </c>
      <c r="O21" s="48"/>
      <c r="P21" s="60">
        <f t="shared" ref="P21:AI21" si="0">P75</f>
        <v>23.402000000000001</v>
      </c>
      <c r="Q21" s="60">
        <f t="shared" si="0"/>
        <v>29.396000000000001</v>
      </c>
      <c r="R21" s="60">
        <f t="shared" si="0"/>
        <v>24.728000000000002</v>
      </c>
      <c r="S21" s="60">
        <f t="shared" si="0"/>
        <v>26.347999999999995</v>
      </c>
      <c r="T21" s="668">
        <f t="shared" si="0"/>
        <v>103.874</v>
      </c>
      <c r="U21" s="668">
        <f t="shared" si="0"/>
        <v>0</v>
      </c>
      <c r="V21" s="60">
        <f t="shared" si="0"/>
        <v>24.289000000000001</v>
      </c>
      <c r="W21" s="60">
        <f t="shared" si="0"/>
        <v>27.014000000000003</v>
      </c>
      <c r="X21" s="60">
        <f t="shared" si="0"/>
        <v>29.140999999999998</v>
      </c>
      <c r="Y21" s="60">
        <f t="shared" si="0"/>
        <v>27.306999999999995</v>
      </c>
      <c r="Z21" s="668">
        <f t="shared" si="0"/>
        <v>107.751</v>
      </c>
      <c r="AA21" s="668">
        <f t="shared" si="0"/>
        <v>0</v>
      </c>
      <c r="AB21" s="60">
        <f t="shared" si="0"/>
        <v>41.802</v>
      </c>
      <c r="AC21" s="60">
        <f t="shared" si="0"/>
        <v>25.448</v>
      </c>
      <c r="AD21" s="60">
        <f t="shared" si="0"/>
        <v>26.58</v>
      </c>
      <c r="AE21" s="60">
        <f t="shared" si="0"/>
        <v>28.064999999999998</v>
      </c>
      <c r="AF21" s="668">
        <f t="shared" si="0"/>
        <v>101.035</v>
      </c>
      <c r="AG21" s="668">
        <f t="shared" si="0"/>
        <v>0</v>
      </c>
      <c r="AH21" s="60">
        <f t="shared" si="0"/>
        <v>22.164999999999999</v>
      </c>
      <c r="AI21" s="60">
        <f t="shared" si="0"/>
        <v>23.052999999999997</v>
      </c>
      <c r="AJ21" s="50">
        <v>0</v>
      </c>
      <c r="AK21" s="50">
        <v>0</v>
      </c>
      <c r="AL21" s="68">
        <v>0</v>
      </c>
      <c r="AM21" s="71"/>
      <c r="AN21" s="50">
        <v>0</v>
      </c>
      <c r="AO21" s="50">
        <v>0</v>
      </c>
      <c r="AP21" s="50">
        <v>0</v>
      </c>
      <c r="AQ21" s="50">
        <v>0</v>
      </c>
      <c r="AR21" s="68">
        <v>0</v>
      </c>
      <c r="AS21" s="71"/>
      <c r="AT21" s="68">
        <v>0</v>
      </c>
      <c r="AU21" s="72"/>
      <c r="AV21" s="68">
        <v>0</v>
      </c>
      <c r="AW21" s="72"/>
      <c r="AX21" s="68">
        <v>0</v>
      </c>
    </row>
    <row r="22" spans="1:50" s="54" customFormat="1" ht="14.25" customHeight="1">
      <c r="A22" s="73"/>
      <c r="B22" s="70" t="s">
        <v>556</v>
      </c>
      <c r="C22" s="21"/>
      <c r="D22" s="60">
        <v>0</v>
      </c>
      <c r="E22" s="60">
        <v>0</v>
      </c>
      <c r="F22" s="60">
        <v>0</v>
      </c>
      <c r="G22" s="60">
        <v>0</v>
      </c>
      <c r="H22" s="74">
        <v>0</v>
      </c>
      <c r="I22" s="48"/>
      <c r="J22" s="60">
        <v>0</v>
      </c>
      <c r="K22" s="60">
        <v>0</v>
      </c>
      <c r="L22" s="60">
        <v>0</v>
      </c>
      <c r="M22" s="60">
        <v>0</v>
      </c>
      <c r="N22" s="74">
        <v>0</v>
      </c>
      <c r="O22" s="48"/>
      <c r="P22" s="60">
        <v>0</v>
      </c>
      <c r="Q22" s="60">
        <v>0</v>
      </c>
      <c r="R22" s="60">
        <v>0</v>
      </c>
      <c r="S22" s="60">
        <v>0</v>
      </c>
      <c r="T22" s="74">
        <v>0</v>
      </c>
      <c r="U22" s="48"/>
      <c r="V22" s="60">
        <v>0</v>
      </c>
      <c r="W22" s="60">
        <v>0</v>
      </c>
      <c r="X22" s="60">
        <v>0</v>
      </c>
      <c r="Y22" s="60">
        <v>0</v>
      </c>
      <c r="Z22" s="74">
        <v>0</v>
      </c>
      <c r="AA22" s="51"/>
      <c r="AB22" s="60">
        <v>0</v>
      </c>
      <c r="AC22" s="60">
        <v>0</v>
      </c>
      <c r="AD22" s="60">
        <v>0</v>
      </c>
      <c r="AE22" s="60">
        <v>0</v>
      </c>
      <c r="AF22" s="74">
        <v>0</v>
      </c>
      <c r="AG22" s="49"/>
      <c r="AH22" s="60">
        <v>0</v>
      </c>
      <c r="AI22" s="60">
        <v>0</v>
      </c>
      <c r="AJ22" s="50">
        <v>0</v>
      </c>
      <c r="AK22" s="50">
        <v>0</v>
      </c>
      <c r="AL22" s="75">
        <v>0</v>
      </c>
      <c r="AM22" s="71"/>
      <c r="AN22" s="50">
        <v>0</v>
      </c>
      <c r="AO22" s="50">
        <v>0</v>
      </c>
      <c r="AP22" s="50">
        <v>0</v>
      </c>
      <c r="AQ22" s="50">
        <v>0</v>
      </c>
      <c r="AR22" s="75">
        <v>0</v>
      </c>
      <c r="AS22" s="71"/>
      <c r="AT22" s="75">
        <v>0</v>
      </c>
      <c r="AU22" s="72"/>
      <c r="AV22" s="75">
        <v>0</v>
      </c>
      <c r="AW22" s="72"/>
      <c r="AX22" s="75">
        <v>0</v>
      </c>
    </row>
    <row r="23" spans="1:50" s="54" customFormat="1" ht="14.25" customHeight="1">
      <c r="A23" s="55"/>
      <c r="B23" s="76" t="s">
        <v>557</v>
      </c>
      <c r="C23" s="23"/>
      <c r="D23" s="46">
        <v>0</v>
      </c>
      <c r="E23" s="46">
        <v>0</v>
      </c>
      <c r="F23" s="46">
        <v>1E-3</v>
      </c>
      <c r="G23" s="46">
        <v>0</v>
      </c>
      <c r="H23" s="77">
        <v>0</v>
      </c>
      <c r="I23" s="48"/>
      <c r="J23" s="46">
        <v>0</v>
      </c>
      <c r="K23" s="46">
        <v>0</v>
      </c>
      <c r="L23" s="46">
        <v>0</v>
      </c>
      <c r="M23" s="46">
        <v>0</v>
      </c>
      <c r="N23" s="77">
        <v>0</v>
      </c>
      <c r="O23" s="48"/>
      <c r="P23" s="46">
        <v>0</v>
      </c>
      <c r="Q23" s="46">
        <v>0</v>
      </c>
      <c r="R23" s="46">
        <v>0</v>
      </c>
      <c r="S23" s="46">
        <v>0</v>
      </c>
      <c r="T23" s="77">
        <v>0</v>
      </c>
      <c r="U23" s="48"/>
      <c r="V23" s="46">
        <v>0</v>
      </c>
      <c r="W23" s="46">
        <v>0</v>
      </c>
      <c r="X23" s="46">
        <v>0</v>
      </c>
      <c r="Y23" s="46">
        <v>0</v>
      </c>
      <c r="Z23" s="77">
        <v>0</v>
      </c>
      <c r="AA23" s="51"/>
      <c r="AB23" s="46">
        <v>0</v>
      </c>
      <c r="AC23" s="46">
        <v>0</v>
      </c>
      <c r="AD23" s="46">
        <v>0</v>
      </c>
      <c r="AE23" s="46">
        <v>0</v>
      </c>
      <c r="AF23" s="77">
        <v>0</v>
      </c>
      <c r="AG23" s="49"/>
      <c r="AH23" s="46">
        <v>0</v>
      </c>
      <c r="AI23" s="46">
        <v>0</v>
      </c>
      <c r="AJ23" s="50">
        <v>25000</v>
      </c>
      <c r="AK23" s="50">
        <v>25000</v>
      </c>
      <c r="AL23" s="78">
        <v>50000</v>
      </c>
      <c r="AM23" s="71"/>
      <c r="AN23" s="50">
        <v>22000</v>
      </c>
      <c r="AO23" s="50">
        <v>22000</v>
      </c>
      <c r="AP23" s="50">
        <v>22000</v>
      </c>
      <c r="AQ23" s="50">
        <v>22000</v>
      </c>
      <c r="AR23" s="78">
        <v>88000</v>
      </c>
      <c r="AS23" s="71"/>
      <c r="AT23" s="78">
        <v>90000</v>
      </c>
      <c r="AU23" s="72"/>
      <c r="AV23" s="78">
        <v>87000</v>
      </c>
      <c r="AW23" s="72"/>
      <c r="AX23" s="78">
        <v>105000</v>
      </c>
    </row>
    <row r="24" spans="1:50" s="54" customFormat="1" ht="14.25" customHeight="1">
      <c r="A24" s="73"/>
      <c r="B24" s="79" t="s">
        <v>227</v>
      </c>
      <c r="C24" s="21"/>
      <c r="D24" s="46">
        <v>0</v>
      </c>
      <c r="E24" s="46">
        <v>0</v>
      </c>
      <c r="F24" s="46">
        <v>0</v>
      </c>
      <c r="G24" s="46">
        <v>0</v>
      </c>
      <c r="H24" s="77">
        <v>0</v>
      </c>
      <c r="I24" s="48"/>
      <c r="J24" s="46">
        <v>0</v>
      </c>
      <c r="K24" s="46">
        <v>0</v>
      </c>
      <c r="L24" s="46">
        <v>0</v>
      </c>
      <c r="M24" s="46">
        <v>0</v>
      </c>
      <c r="N24" s="77">
        <v>0</v>
      </c>
      <c r="O24" s="48"/>
      <c r="P24" s="46">
        <f t="shared" ref="P24:AI24" si="1">P76</f>
        <v>76.933999999999997</v>
      </c>
      <c r="Q24" s="46">
        <f t="shared" si="1"/>
        <v>78.477000000000004</v>
      </c>
      <c r="R24" s="46">
        <f t="shared" si="1"/>
        <v>98.87700000000001</v>
      </c>
      <c r="S24" s="46">
        <f t="shared" si="1"/>
        <v>93.682000000000002</v>
      </c>
      <c r="T24" s="46">
        <f t="shared" si="1"/>
        <v>348.98500000000001</v>
      </c>
      <c r="U24" s="46">
        <f t="shared" si="1"/>
        <v>0</v>
      </c>
      <c r="V24" s="46">
        <f t="shared" si="1"/>
        <v>96.084999999999994</v>
      </c>
      <c r="W24" s="46">
        <f t="shared" si="1"/>
        <v>95.472000000000008</v>
      </c>
      <c r="X24" s="46">
        <f t="shared" si="1"/>
        <v>104.024</v>
      </c>
      <c r="Y24" s="46">
        <f t="shared" si="1"/>
        <v>105.61700000000002</v>
      </c>
      <c r="Z24" s="46">
        <f t="shared" si="1"/>
        <v>401.19799999999998</v>
      </c>
      <c r="AA24" s="46">
        <f t="shared" si="1"/>
        <v>0</v>
      </c>
      <c r="AB24" s="46">
        <f t="shared" si="1"/>
        <v>85.540999999999997</v>
      </c>
      <c r="AC24" s="46">
        <f t="shared" si="1"/>
        <v>100.85599999999999</v>
      </c>
      <c r="AD24" s="46">
        <f t="shared" si="1"/>
        <v>110.01299999999999</v>
      </c>
      <c r="AE24" s="46">
        <f t="shared" si="1"/>
        <v>107.65800000000002</v>
      </c>
      <c r="AF24" s="46">
        <f t="shared" si="1"/>
        <v>424.928</v>
      </c>
      <c r="AG24" s="46">
        <f t="shared" si="1"/>
        <v>0</v>
      </c>
      <c r="AH24" s="46">
        <f t="shared" si="1"/>
        <v>118.10300000000001</v>
      </c>
      <c r="AI24" s="46">
        <f t="shared" si="1"/>
        <v>119.39000000000001</v>
      </c>
      <c r="AJ24" s="50">
        <v>25000</v>
      </c>
      <c r="AK24" s="50">
        <v>25000</v>
      </c>
      <c r="AL24" s="78">
        <v>50000</v>
      </c>
      <c r="AM24" s="71"/>
      <c r="AN24" s="50">
        <v>22000</v>
      </c>
      <c r="AO24" s="50">
        <v>22000</v>
      </c>
      <c r="AP24" s="50">
        <v>22000</v>
      </c>
      <c r="AQ24" s="50">
        <v>22000</v>
      </c>
      <c r="AR24" s="78">
        <v>88000</v>
      </c>
      <c r="AS24" s="71"/>
      <c r="AT24" s="78">
        <v>90000</v>
      </c>
      <c r="AU24" s="72"/>
      <c r="AV24" s="78">
        <v>87000</v>
      </c>
      <c r="AW24" s="72"/>
      <c r="AX24" s="78">
        <v>105000</v>
      </c>
    </row>
    <row r="25" spans="1:50" s="54" customFormat="1" ht="14.25" customHeight="1">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39</v>
      </c>
      <c r="B26" s="65" t="s">
        <v>558</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559</v>
      </c>
      <c r="C27" s="26"/>
      <c r="D27" s="46">
        <v>0</v>
      </c>
      <c r="E27" s="46">
        <v>0</v>
      </c>
      <c r="F27" s="46">
        <v>0</v>
      </c>
      <c r="G27" s="46">
        <v>0</v>
      </c>
      <c r="H27" s="66">
        <v>0</v>
      </c>
      <c r="I27" s="48"/>
      <c r="J27" s="46">
        <v>1.8109999999999999</v>
      </c>
      <c r="K27" s="46">
        <v>0.54359999999999997</v>
      </c>
      <c r="L27" s="46">
        <v>19.716000000000001</v>
      </c>
      <c r="M27" s="46">
        <v>33.661000000000001</v>
      </c>
      <c r="N27" s="66">
        <v>66.322000000000003</v>
      </c>
      <c r="O27" s="48"/>
      <c r="P27" s="46">
        <v>16.61</v>
      </c>
      <c r="Q27" s="46">
        <v>22.370999999999999</v>
      </c>
      <c r="R27" s="46">
        <v>15.840999999999999</v>
      </c>
      <c r="S27" s="46">
        <v>28.356000000000002</v>
      </c>
      <c r="T27" s="66">
        <v>70.159000000000006</v>
      </c>
      <c r="U27" s="48"/>
      <c r="V27" s="46">
        <v>13.638999999999999</v>
      </c>
      <c r="W27" s="46">
        <v>16.736999999999998</v>
      </c>
      <c r="X27" s="46">
        <v>17.824999999999999</v>
      </c>
      <c r="Y27" s="46">
        <v>24.965</v>
      </c>
      <c r="Z27" s="66">
        <v>64.204999999999998</v>
      </c>
      <c r="AA27" s="81"/>
      <c r="AB27" s="46">
        <v>13.292</v>
      </c>
      <c r="AC27" s="46">
        <v>16.667000000000002</v>
      </c>
      <c r="AD27" s="46">
        <v>17.158999999999999</v>
      </c>
      <c r="AE27" s="46">
        <v>24.991</v>
      </c>
      <c r="AF27" s="66">
        <v>64.260999999999996</v>
      </c>
      <c r="AG27" s="82"/>
      <c r="AH27" s="46">
        <v>14.151999999999999</v>
      </c>
      <c r="AI27" s="46">
        <v>15.813000000000001</v>
      </c>
      <c r="AJ27" s="50">
        <v>0</v>
      </c>
      <c r="AK27" s="50">
        <v>0</v>
      </c>
      <c r="AL27" s="68">
        <v>29.965</v>
      </c>
      <c r="AM27" s="81"/>
      <c r="AN27" s="50">
        <v>0</v>
      </c>
      <c r="AO27" s="50">
        <v>0</v>
      </c>
      <c r="AP27" s="50">
        <v>0</v>
      </c>
      <c r="AQ27" s="50">
        <v>0</v>
      </c>
      <c r="AR27" s="68">
        <v>0</v>
      </c>
      <c r="AS27" s="81"/>
      <c r="AT27" s="68">
        <v>0</v>
      </c>
      <c r="AU27" s="83"/>
      <c r="AV27" s="68">
        <v>0</v>
      </c>
      <c r="AW27" s="83"/>
      <c r="AX27" s="68">
        <v>0</v>
      </c>
    </row>
    <row r="28" spans="1:50" s="54" customFormat="1" ht="14.25" customHeight="1">
      <c r="A28" s="55"/>
      <c r="B28" s="70" t="s">
        <v>560</v>
      </c>
      <c r="C28" s="23"/>
      <c r="D28" s="46">
        <v>0</v>
      </c>
      <c r="E28" s="46">
        <v>0</v>
      </c>
      <c r="F28" s="46">
        <v>0</v>
      </c>
      <c r="G28" s="46">
        <v>0</v>
      </c>
      <c r="H28" s="66">
        <v>0</v>
      </c>
      <c r="I28" s="48"/>
      <c r="J28" s="46">
        <v>0</v>
      </c>
      <c r="K28" s="46">
        <v>0</v>
      </c>
      <c r="L28" s="46">
        <v>2.7120000000000002</v>
      </c>
      <c r="M28" s="46">
        <v>0</v>
      </c>
      <c r="N28" s="66">
        <v>10.282</v>
      </c>
      <c r="O28" s="48"/>
      <c r="P28" s="46">
        <v>3.238</v>
      </c>
      <c r="Q28" s="46">
        <v>3.3660000000000001</v>
      </c>
      <c r="R28" s="46">
        <v>3.452</v>
      </c>
      <c r="S28" s="46">
        <v>0</v>
      </c>
      <c r="T28" s="66">
        <v>13.581</v>
      </c>
      <c r="U28" s="48"/>
      <c r="V28" s="46">
        <v>3.391</v>
      </c>
      <c r="W28" s="46">
        <v>3.3170000000000002</v>
      </c>
      <c r="X28" s="46">
        <v>3.1190000000000002</v>
      </c>
      <c r="Y28" s="46">
        <v>0</v>
      </c>
      <c r="Z28" s="66">
        <v>12.734999999999999</v>
      </c>
      <c r="AA28" s="51"/>
      <c r="AB28" s="46">
        <v>2.7250000000000001</v>
      </c>
      <c r="AC28" s="46">
        <v>2.4900000000000002</v>
      </c>
      <c r="AD28" s="46">
        <v>2.2799999999999998</v>
      </c>
      <c r="AE28" s="46">
        <v>0</v>
      </c>
      <c r="AF28" s="66">
        <v>9.6210000000000004</v>
      </c>
      <c r="AG28" s="49"/>
      <c r="AH28" s="46">
        <v>1.76</v>
      </c>
      <c r="AI28" s="46">
        <v>1.502</v>
      </c>
      <c r="AJ28" s="50">
        <v>0</v>
      </c>
      <c r="AK28" s="50">
        <v>0</v>
      </c>
      <c r="AL28" s="68">
        <v>3.262</v>
      </c>
      <c r="AM28" s="71"/>
      <c r="AN28" s="50">
        <v>0</v>
      </c>
      <c r="AO28" s="50">
        <v>0</v>
      </c>
      <c r="AP28" s="50">
        <v>0</v>
      </c>
      <c r="AQ28" s="50">
        <v>0</v>
      </c>
      <c r="AR28" s="68">
        <v>0</v>
      </c>
      <c r="AS28" s="71"/>
      <c r="AT28" s="68">
        <v>0</v>
      </c>
      <c r="AU28" s="72"/>
      <c r="AV28" s="68">
        <v>0</v>
      </c>
      <c r="AW28" s="72"/>
      <c r="AX28" s="68">
        <v>0</v>
      </c>
    </row>
    <row r="29" spans="1:50" s="54" customFormat="1" ht="14.25" customHeight="1">
      <c r="A29" s="73"/>
      <c r="B29" s="70" t="s">
        <v>561</v>
      </c>
      <c r="C29" s="21"/>
      <c r="D29" s="46">
        <v>0</v>
      </c>
      <c r="E29" s="46">
        <v>0</v>
      </c>
      <c r="F29" s="46">
        <v>0</v>
      </c>
      <c r="G29" s="46">
        <v>0</v>
      </c>
      <c r="H29" s="66">
        <v>0</v>
      </c>
      <c r="I29" s="48"/>
      <c r="J29" s="46">
        <v>0</v>
      </c>
      <c r="K29" s="46">
        <v>0</v>
      </c>
      <c r="L29" s="46">
        <v>2.6960000000000002</v>
      </c>
      <c r="M29" s="46">
        <v>7.774</v>
      </c>
      <c r="N29" s="66">
        <v>10.064</v>
      </c>
      <c r="O29" s="48"/>
      <c r="P29" s="46">
        <v>3.1349999999999998</v>
      </c>
      <c r="Q29" s="46">
        <v>3.2869999999999999</v>
      </c>
      <c r="R29" s="46">
        <v>3.3010000000000002</v>
      </c>
      <c r="S29" s="46">
        <v>8.59</v>
      </c>
      <c r="T29" s="66">
        <v>13.054</v>
      </c>
      <c r="U29" s="48"/>
      <c r="V29" s="46">
        <v>3.1659999999999999</v>
      </c>
      <c r="W29" s="46">
        <v>3.28</v>
      </c>
      <c r="X29" s="46">
        <v>3.141</v>
      </c>
      <c r="Y29" s="46">
        <v>9.6959999999999997</v>
      </c>
      <c r="Z29" s="66">
        <v>12.542999999999999</v>
      </c>
      <c r="AA29" s="81"/>
      <c r="AB29" s="46">
        <v>3.0579999999999998</v>
      </c>
      <c r="AC29" s="46">
        <v>2.9630000000000001</v>
      </c>
      <c r="AD29" s="46">
        <v>3.0409999999999999</v>
      </c>
      <c r="AE29" s="46">
        <v>8.2750000000000004</v>
      </c>
      <c r="AF29" s="66">
        <v>12.170999999999999</v>
      </c>
      <c r="AG29" s="82"/>
      <c r="AH29" s="46">
        <v>2.9609999999999999</v>
      </c>
      <c r="AI29" s="46">
        <v>3.3820000000000001</v>
      </c>
      <c r="AJ29" s="50">
        <v>0</v>
      </c>
      <c r="AK29" s="50">
        <v>0</v>
      </c>
      <c r="AL29" s="68">
        <v>6.343</v>
      </c>
      <c r="AM29" s="81"/>
      <c r="AN29" s="50">
        <v>0</v>
      </c>
      <c r="AO29" s="50">
        <v>0</v>
      </c>
      <c r="AP29" s="50">
        <v>0</v>
      </c>
      <c r="AQ29" s="50">
        <v>0</v>
      </c>
      <c r="AR29" s="68">
        <v>0</v>
      </c>
      <c r="AS29" s="81"/>
      <c r="AT29" s="68">
        <v>0</v>
      </c>
      <c r="AU29" s="83"/>
      <c r="AV29" s="68">
        <v>0</v>
      </c>
      <c r="AW29" s="83"/>
      <c r="AX29" s="68">
        <v>0</v>
      </c>
    </row>
    <row r="30" spans="1:50" s="54" customFormat="1" ht="14.25" customHeight="1">
      <c r="A30" s="55"/>
      <c r="B30" s="70" t="s">
        <v>562</v>
      </c>
      <c r="C30" s="23"/>
      <c r="D30" s="46">
        <v>0</v>
      </c>
      <c r="E30" s="46">
        <v>0</v>
      </c>
      <c r="F30" s="46">
        <v>0</v>
      </c>
      <c r="G30" s="46">
        <v>0</v>
      </c>
      <c r="H30" s="74">
        <v>0</v>
      </c>
      <c r="I30" s="48"/>
      <c r="J30" s="46">
        <v>0</v>
      </c>
      <c r="K30" s="46">
        <v>0</v>
      </c>
      <c r="L30" s="46">
        <v>55.341000000000001</v>
      </c>
      <c r="M30" s="46">
        <v>51.149000000000001</v>
      </c>
      <c r="N30" s="74">
        <v>182.387</v>
      </c>
      <c r="O30" s="48"/>
      <c r="P30" s="46">
        <v>72.44</v>
      </c>
      <c r="Q30" s="46">
        <v>73.591999999999999</v>
      </c>
      <c r="R30" s="46">
        <v>102.54400000000001</v>
      </c>
      <c r="S30" s="46">
        <v>89.914999999999992</v>
      </c>
      <c r="T30" s="74">
        <v>323.67400000000004</v>
      </c>
      <c r="U30" s="48"/>
      <c r="V30" s="46">
        <v>85.076999999999998</v>
      </c>
      <c r="W30" s="46">
        <v>80.818000000000012</v>
      </c>
      <c r="X30" s="46">
        <v>91.840999999999994</v>
      </c>
      <c r="Y30" s="46">
        <v>69.673000000000002</v>
      </c>
      <c r="Z30" s="74">
        <v>313.57099999999997</v>
      </c>
      <c r="AA30" s="51"/>
      <c r="AB30" s="46">
        <v>102.98400000000001</v>
      </c>
      <c r="AC30" s="46">
        <v>73.897000000000006</v>
      </c>
      <c r="AD30" s="46">
        <v>77.054000000000002</v>
      </c>
      <c r="AE30" s="46">
        <v>65.833999999999989</v>
      </c>
      <c r="AF30" s="74">
        <v>288.642</v>
      </c>
      <c r="AG30" s="49"/>
      <c r="AH30" s="46">
        <v>80.350999999999999</v>
      </c>
      <c r="AI30" s="46">
        <v>76.438000000000002</v>
      </c>
      <c r="AJ30" s="50">
        <v>0</v>
      </c>
      <c r="AK30" s="50">
        <v>0</v>
      </c>
      <c r="AL30" s="75">
        <v>156.78899999999999</v>
      </c>
      <c r="AM30" s="71"/>
      <c r="AN30" s="50">
        <v>0</v>
      </c>
      <c r="AO30" s="50">
        <v>0</v>
      </c>
      <c r="AP30" s="50">
        <v>0</v>
      </c>
      <c r="AQ30" s="50">
        <v>0</v>
      </c>
      <c r="AR30" s="75">
        <v>0</v>
      </c>
      <c r="AS30" s="71"/>
      <c r="AT30" s="75">
        <v>0</v>
      </c>
      <c r="AU30" s="72"/>
      <c r="AV30" s="75">
        <v>0</v>
      </c>
      <c r="AW30" s="72"/>
      <c r="AX30" s="75">
        <v>0</v>
      </c>
    </row>
    <row r="31" spans="1:50" s="54" customFormat="1" ht="14.25" customHeight="1">
      <c r="A31" s="73"/>
      <c r="B31" s="76" t="s">
        <v>563</v>
      </c>
      <c r="C31" s="21"/>
      <c r="D31" s="46">
        <v>0</v>
      </c>
      <c r="E31" s="46">
        <v>0</v>
      </c>
      <c r="F31" s="46">
        <v>0</v>
      </c>
      <c r="G31" s="46">
        <v>0</v>
      </c>
      <c r="H31" s="85">
        <v>0</v>
      </c>
      <c r="I31" s="48"/>
      <c r="J31" s="46">
        <v>1.8109999999999999</v>
      </c>
      <c r="K31" s="46">
        <v>0.54359999999999997</v>
      </c>
      <c r="L31" s="46">
        <v>80.465000000000003</v>
      </c>
      <c r="M31" s="46">
        <v>92.584000000000003</v>
      </c>
      <c r="N31" s="85">
        <v>269.05500000000001</v>
      </c>
      <c r="O31" s="48"/>
      <c r="P31" s="46">
        <v>95.423000000000002</v>
      </c>
      <c r="Q31" s="46">
        <v>102.616</v>
      </c>
      <c r="R31" s="46">
        <v>125.13800000000001</v>
      </c>
      <c r="S31" s="46">
        <v>126.861</v>
      </c>
      <c r="T31" s="85">
        <v>420.46800000000002</v>
      </c>
      <c r="U31" s="48"/>
      <c r="V31" s="46">
        <v>105.273</v>
      </c>
      <c r="W31" s="46">
        <v>104.152</v>
      </c>
      <c r="X31" s="46">
        <v>115.926</v>
      </c>
      <c r="Y31" s="46">
        <v>104.334</v>
      </c>
      <c r="Z31" s="85">
        <v>403.05399999999997</v>
      </c>
      <c r="AA31" s="81"/>
      <c r="AB31" s="46">
        <v>122.059</v>
      </c>
      <c r="AC31" s="46">
        <v>96.016999999999996</v>
      </c>
      <c r="AD31" s="46">
        <v>99.534000000000006</v>
      </c>
      <c r="AE31" s="46">
        <v>99.1</v>
      </c>
      <c r="AF31" s="85">
        <v>374.69499999999999</v>
      </c>
      <c r="AG31" s="82"/>
      <c r="AH31" s="46">
        <v>99.224000000000004</v>
      </c>
      <c r="AI31" s="46">
        <v>97.135000000000005</v>
      </c>
      <c r="AJ31" s="46">
        <v>0</v>
      </c>
      <c r="AK31" s="46">
        <v>0</v>
      </c>
      <c r="AL31" s="341">
        <v>196.35899999999998</v>
      </c>
      <c r="AM31" s="81"/>
      <c r="AN31" s="46">
        <v>0</v>
      </c>
      <c r="AO31" s="46">
        <v>0</v>
      </c>
      <c r="AP31" s="46">
        <v>0</v>
      </c>
      <c r="AQ31" s="46">
        <v>0</v>
      </c>
      <c r="AR31" s="341">
        <v>0</v>
      </c>
      <c r="AS31" s="81"/>
      <c r="AT31" s="341">
        <v>0</v>
      </c>
      <c r="AU31" s="83"/>
      <c r="AV31" s="341">
        <v>0</v>
      </c>
      <c r="AW31" s="83"/>
      <c r="AX31" s="341">
        <v>0</v>
      </c>
    </row>
    <row r="32" spans="1:50" s="54" customFormat="1" ht="14.25" customHeight="1">
      <c r="A32" s="73"/>
      <c r="B32" s="76" t="s">
        <v>564</v>
      </c>
      <c r="C32" s="21"/>
      <c r="D32" s="46">
        <v>0</v>
      </c>
      <c r="E32" s="46">
        <v>0</v>
      </c>
      <c r="F32" s="46">
        <v>0</v>
      </c>
      <c r="G32" s="46">
        <v>0</v>
      </c>
      <c r="H32" s="74">
        <v>0</v>
      </c>
      <c r="I32" s="48"/>
      <c r="J32" s="46">
        <v>0</v>
      </c>
      <c r="K32" s="46">
        <v>0</v>
      </c>
      <c r="L32" s="46">
        <v>0.52900000000000003</v>
      </c>
      <c r="M32" s="46">
        <v>0</v>
      </c>
      <c r="N32" s="74">
        <v>1.5389999999999999</v>
      </c>
      <c r="O32" s="48"/>
      <c r="P32" s="46">
        <v>0.374</v>
      </c>
      <c r="Q32" s="46">
        <v>2E-3</v>
      </c>
      <c r="R32" s="46">
        <v>0.63900000000000001</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c r="A33" s="55"/>
      <c r="B33" s="79" t="s">
        <v>565</v>
      </c>
      <c r="C33" s="23"/>
      <c r="D33" s="46">
        <v>0</v>
      </c>
      <c r="E33" s="46">
        <v>0</v>
      </c>
      <c r="F33" s="46">
        <v>-1E-3</v>
      </c>
      <c r="G33" s="46">
        <v>0</v>
      </c>
      <c r="H33" s="74">
        <v>0</v>
      </c>
      <c r="I33" s="48"/>
      <c r="J33" s="46">
        <v>-1.8109999999999999</v>
      </c>
      <c r="K33" s="46">
        <v>-0.54359999999999997</v>
      </c>
      <c r="L33" s="46">
        <v>11.512</v>
      </c>
      <c r="M33" s="46">
        <v>3.3740000000000001</v>
      </c>
      <c r="N33" s="74">
        <v>81.513000000000005</v>
      </c>
      <c r="O33" s="48"/>
      <c r="P33" s="46">
        <v>5.2869999999999999</v>
      </c>
      <c r="Q33" s="46">
        <v>5.2590000000000003</v>
      </c>
      <c r="R33" s="46">
        <v>-0.89400000000000002</v>
      </c>
      <c r="S33" s="46">
        <v>-6.8310000000000004</v>
      </c>
      <c r="T33" s="74">
        <v>32.390999999999998</v>
      </c>
      <c r="U33" s="48"/>
      <c r="V33" s="46">
        <v>15.101000000000001</v>
      </c>
      <c r="W33" s="46">
        <v>18.334</v>
      </c>
      <c r="X33" s="46">
        <v>17.239000000000001</v>
      </c>
      <c r="Y33" s="46">
        <v>28.59</v>
      </c>
      <c r="Z33" s="74">
        <v>105.895</v>
      </c>
      <c r="AA33" s="51"/>
      <c r="AB33" s="46">
        <v>5.2839999999999998</v>
      </c>
      <c r="AC33" s="46">
        <v>30.286999999999999</v>
      </c>
      <c r="AD33" s="46">
        <v>37.058999999999997</v>
      </c>
      <c r="AE33" s="46">
        <v>36.622999999999998</v>
      </c>
      <c r="AF33" s="74">
        <v>151.268</v>
      </c>
      <c r="AG33" s="49"/>
      <c r="AH33" s="46">
        <v>41.043999999999997</v>
      </c>
      <c r="AI33" s="46">
        <v>45.308</v>
      </c>
      <c r="AJ33" s="50">
        <v>25000</v>
      </c>
      <c r="AK33" s="50">
        <v>25000</v>
      </c>
      <c r="AL33" s="75">
        <v>50086.351999999999</v>
      </c>
      <c r="AM33" s="71"/>
      <c r="AN33" s="50">
        <v>22000</v>
      </c>
      <c r="AO33" s="50">
        <v>22000</v>
      </c>
      <c r="AP33" s="50">
        <v>22000</v>
      </c>
      <c r="AQ33" s="50">
        <v>22000</v>
      </c>
      <c r="AR33" s="75">
        <v>88000</v>
      </c>
      <c r="AS33" s="71"/>
      <c r="AT33" s="75">
        <v>90000</v>
      </c>
      <c r="AU33" s="72"/>
      <c r="AV33" s="75">
        <v>87000</v>
      </c>
      <c r="AW33" s="72"/>
      <c r="AX33" s="75">
        <v>105000</v>
      </c>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39</v>
      </c>
      <c r="B35" s="65" t="s">
        <v>566</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567</v>
      </c>
      <c r="C36" s="23"/>
      <c r="D36" s="46">
        <v>0</v>
      </c>
      <c r="E36" s="46">
        <v>0</v>
      </c>
      <c r="F36" s="46">
        <v>0</v>
      </c>
      <c r="G36" s="46">
        <v>0</v>
      </c>
      <c r="H36" s="66">
        <v>0</v>
      </c>
      <c r="I36" s="48"/>
      <c r="J36" s="46">
        <v>0</v>
      </c>
      <c r="K36" s="46">
        <v>0</v>
      </c>
      <c r="L36" s="46">
        <v>0</v>
      </c>
      <c r="M36" s="46">
        <v>0</v>
      </c>
      <c r="N36" s="66">
        <v>24.119</v>
      </c>
      <c r="O36" s="48"/>
      <c r="P36" s="46">
        <v>7.4480000000000004</v>
      </c>
      <c r="Q36" s="46">
        <v>0</v>
      </c>
      <c r="R36" s="46">
        <v>0</v>
      </c>
      <c r="S36" s="46">
        <v>0</v>
      </c>
      <c r="T36" s="66">
        <v>35.161999999999999</v>
      </c>
      <c r="U36" s="48"/>
      <c r="V36" s="46">
        <v>11.371</v>
      </c>
      <c r="W36" s="46">
        <v>0</v>
      </c>
      <c r="X36" s="46">
        <v>0</v>
      </c>
      <c r="Y36" s="46">
        <v>12.071</v>
      </c>
      <c r="Z36" s="66">
        <v>46.75</v>
      </c>
      <c r="AA36" s="51"/>
      <c r="AB36" s="46">
        <v>0</v>
      </c>
      <c r="AC36" s="46">
        <v>0</v>
      </c>
      <c r="AD36" s="46">
        <v>0</v>
      </c>
      <c r="AE36" s="46">
        <v>11.029</v>
      </c>
      <c r="AF36" s="66">
        <v>44.707999999999998</v>
      </c>
      <c r="AG36" s="49"/>
      <c r="AH36" s="46">
        <v>0</v>
      </c>
      <c r="AI36" s="46">
        <v>9.6389999999999993</v>
      </c>
      <c r="AJ36" s="50"/>
      <c r="AK36" s="50"/>
      <c r="AL36" s="68"/>
      <c r="AM36" s="71"/>
      <c r="AN36" s="50"/>
      <c r="AO36" s="50"/>
      <c r="AP36" s="50"/>
      <c r="AQ36" s="50"/>
      <c r="AR36" s="68"/>
      <c r="AS36" s="71"/>
      <c r="AT36" s="68"/>
      <c r="AU36" s="72"/>
      <c r="AV36" s="68"/>
      <c r="AW36" s="72"/>
      <c r="AX36" s="68"/>
    </row>
    <row r="37" spans="1:50" s="54" customFormat="1" ht="14.25" customHeight="1">
      <c r="A37" s="44"/>
      <c r="B37" s="70" t="s">
        <v>568</v>
      </c>
      <c r="C37" s="23"/>
      <c r="D37" s="46">
        <v>0</v>
      </c>
      <c r="E37" s="46">
        <v>0</v>
      </c>
      <c r="F37" s="46">
        <v>0</v>
      </c>
      <c r="G37" s="46">
        <v>0</v>
      </c>
      <c r="H37" s="66">
        <v>0</v>
      </c>
      <c r="I37" s="48"/>
      <c r="J37" s="46">
        <v>0</v>
      </c>
      <c r="K37" s="46">
        <v>0</v>
      </c>
      <c r="L37" s="46">
        <v>0</v>
      </c>
      <c r="M37" s="46">
        <v>0</v>
      </c>
      <c r="N37" s="66">
        <v>0</v>
      </c>
      <c r="O37" s="48"/>
      <c r="P37" s="46">
        <v>0</v>
      </c>
      <c r="Q37" s="46">
        <v>0</v>
      </c>
      <c r="R37" s="46">
        <v>0</v>
      </c>
      <c r="S37" s="46">
        <v>0</v>
      </c>
      <c r="T37" s="66">
        <v>0</v>
      </c>
      <c r="U37" s="48"/>
      <c r="V37" s="46">
        <v>0</v>
      </c>
      <c r="W37" s="46">
        <v>0</v>
      </c>
      <c r="X37" s="46">
        <v>0</v>
      </c>
      <c r="Y37" s="46">
        <v>0</v>
      </c>
      <c r="Z37" s="66">
        <v>0</v>
      </c>
      <c r="AA37" s="51"/>
      <c r="AB37" s="46">
        <v>0</v>
      </c>
      <c r="AC37" s="46">
        <v>0</v>
      </c>
      <c r="AD37" s="46">
        <v>0</v>
      </c>
      <c r="AE37" s="46">
        <v>0</v>
      </c>
      <c r="AF37" s="66">
        <v>0</v>
      </c>
      <c r="AG37" s="49"/>
      <c r="AH37" s="46">
        <v>0</v>
      </c>
      <c r="AI37" s="46">
        <v>0</v>
      </c>
      <c r="AJ37" s="50"/>
      <c r="AK37" s="50"/>
      <c r="AL37" s="68"/>
      <c r="AM37" s="71"/>
      <c r="AN37" s="50"/>
      <c r="AO37" s="50"/>
      <c r="AP37" s="50"/>
      <c r="AQ37" s="50"/>
      <c r="AR37" s="68"/>
      <c r="AS37" s="71"/>
      <c r="AT37" s="68"/>
      <c r="AU37" s="72"/>
      <c r="AV37" s="68"/>
      <c r="AW37" s="72"/>
      <c r="AX37" s="68"/>
    </row>
    <row r="38" spans="1:50" s="54" customFormat="1" ht="14.25" customHeight="1">
      <c r="A38" s="55" t="s">
        <v>39</v>
      </c>
      <c r="B38" s="76" t="s">
        <v>569</v>
      </c>
      <c r="C38" s="23"/>
      <c r="D38" s="46">
        <v>0</v>
      </c>
      <c r="E38" s="46">
        <v>0</v>
      </c>
      <c r="F38" s="46">
        <v>0</v>
      </c>
      <c r="G38" s="46">
        <v>0</v>
      </c>
      <c r="H38" s="66">
        <v>0</v>
      </c>
      <c r="I38" s="48"/>
      <c r="J38" s="46">
        <v>0</v>
      </c>
      <c r="K38" s="46">
        <v>0</v>
      </c>
      <c r="L38" s="46">
        <v>0</v>
      </c>
      <c r="M38" s="46">
        <v>0</v>
      </c>
      <c r="N38" s="66">
        <v>0</v>
      </c>
      <c r="O38" s="48"/>
      <c r="P38" s="46">
        <v>7.4480000000000004</v>
      </c>
      <c r="Q38" s="46">
        <v>0</v>
      </c>
      <c r="R38" s="46">
        <v>0</v>
      </c>
      <c r="S38" s="46">
        <v>0</v>
      </c>
      <c r="T38" s="66">
        <v>0</v>
      </c>
      <c r="U38" s="48"/>
      <c r="V38" s="46">
        <v>11.371</v>
      </c>
      <c r="W38" s="46">
        <v>0</v>
      </c>
      <c r="X38" s="46">
        <v>0</v>
      </c>
      <c r="Y38" s="46">
        <v>0</v>
      </c>
      <c r="Z38" s="66">
        <v>0</v>
      </c>
      <c r="AA38" s="51"/>
      <c r="AB38" s="46">
        <v>0</v>
      </c>
      <c r="AC38" s="46">
        <v>0</v>
      </c>
      <c r="AD38" s="46">
        <v>0</v>
      </c>
      <c r="AE38" s="46">
        <v>11.029</v>
      </c>
      <c r="AF38" s="66">
        <v>44.707999999999998</v>
      </c>
      <c r="AG38" s="49"/>
      <c r="AH38" s="46">
        <v>0</v>
      </c>
      <c r="AI38" s="46">
        <v>0</v>
      </c>
      <c r="AJ38" s="50"/>
      <c r="AK38" s="50"/>
      <c r="AL38" s="68"/>
      <c r="AM38" s="71"/>
      <c r="AN38" s="50"/>
      <c r="AO38" s="50"/>
      <c r="AP38" s="50"/>
      <c r="AQ38" s="50"/>
      <c r="AR38" s="68"/>
      <c r="AS38" s="71"/>
      <c r="AT38" s="68"/>
      <c r="AU38" s="72"/>
      <c r="AV38" s="68"/>
      <c r="AW38" s="72"/>
      <c r="AX38" s="68"/>
    </row>
    <row r="39" spans="1:50" s="54" customFormat="1" ht="14.25" customHeight="1">
      <c r="A39" s="73"/>
      <c r="B39" s="76" t="s">
        <v>570</v>
      </c>
      <c r="C39" s="21"/>
      <c r="D39" s="46">
        <v>0</v>
      </c>
      <c r="E39" s="46">
        <v>0</v>
      </c>
      <c r="F39" s="46">
        <v>0</v>
      </c>
      <c r="G39" s="46">
        <v>0</v>
      </c>
      <c r="H39" s="66">
        <v>0</v>
      </c>
      <c r="I39" s="48"/>
      <c r="J39" s="46">
        <v>0</v>
      </c>
      <c r="K39" s="46">
        <v>0</v>
      </c>
      <c r="L39" s="46">
        <v>0</v>
      </c>
      <c r="M39" s="46">
        <v>0</v>
      </c>
      <c r="N39" s="66">
        <v>0</v>
      </c>
      <c r="O39" s="48"/>
      <c r="P39" s="46">
        <v>0</v>
      </c>
      <c r="Q39" s="46">
        <v>0</v>
      </c>
      <c r="R39" s="46">
        <v>0</v>
      </c>
      <c r="S39" s="46">
        <v>0</v>
      </c>
      <c r="T39" s="66">
        <v>0</v>
      </c>
      <c r="U39" s="48"/>
      <c r="V39" s="46">
        <v>0</v>
      </c>
      <c r="W39" s="46">
        <v>0</v>
      </c>
      <c r="X39" s="46">
        <v>0</v>
      </c>
      <c r="Y39" s="46">
        <v>0</v>
      </c>
      <c r="Z39" s="66">
        <v>0</v>
      </c>
      <c r="AA39" s="81"/>
      <c r="AB39" s="46">
        <v>0</v>
      </c>
      <c r="AC39" s="46">
        <v>0</v>
      </c>
      <c r="AD39" s="46">
        <v>0</v>
      </c>
      <c r="AE39" s="46">
        <v>0</v>
      </c>
      <c r="AF39" s="66">
        <v>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c r="A40" s="55"/>
      <c r="B40" s="76" t="s">
        <v>571</v>
      </c>
      <c r="C40" s="23"/>
      <c r="D40" s="46">
        <v>0</v>
      </c>
      <c r="E40" s="46">
        <v>0</v>
      </c>
      <c r="F40" s="46">
        <v>0</v>
      </c>
      <c r="G40" s="46">
        <v>0</v>
      </c>
      <c r="H40" s="74">
        <v>0</v>
      </c>
      <c r="I40" s="48"/>
      <c r="J40" s="46">
        <v>1.2749999999999999</v>
      </c>
      <c r="K40" s="46">
        <v>-6.1000000000000004E-3</v>
      </c>
      <c r="L40" s="46">
        <v>-39.165999999999997</v>
      </c>
      <c r="M40" s="46">
        <v>-26.532</v>
      </c>
      <c r="N40" s="74">
        <v>-41.442</v>
      </c>
      <c r="O40" s="48"/>
      <c r="P40" s="46">
        <v>5.9999999999993392E-3</v>
      </c>
      <c r="Q40" s="46">
        <v>-3.2970000000000002</v>
      </c>
      <c r="R40" s="46">
        <v>-1.323</v>
      </c>
      <c r="S40" s="46">
        <v>-2.3809999999999998</v>
      </c>
      <c r="T40" s="74">
        <v>25.757000000000001</v>
      </c>
      <c r="U40" s="48"/>
      <c r="V40" s="46">
        <v>-1.2789999999999999</v>
      </c>
      <c r="W40" s="46">
        <v>-2.6669999999999998</v>
      </c>
      <c r="X40" s="46">
        <v>-0.41399999999999998</v>
      </c>
      <c r="Y40" s="46">
        <v>17.805</v>
      </c>
      <c r="Z40" s="74">
        <v>51.295000000000002</v>
      </c>
      <c r="AA40" s="51"/>
      <c r="AB40" s="46">
        <v>-6.2830000000000004</v>
      </c>
      <c r="AC40" s="46">
        <v>0.89700000000000002</v>
      </c>
      <c r="AD40" s="46">
        <v>0.73799999999999999</v>
      </c>
      <c r="AE40" s="46">
        <v>10.100000000000001</v>
      </c>
      <c r="AF40" s="74">
        <v>6.4840000000000018</v>
      </c>
      <c r="AG40" s="49"/>
      <c r="AH40" s="46">
        <v>-1.7649999999999999</v>
      </c>
      <c r="AI40" s="46">
        <v>32.103999999999999</v>
      </c>
      <c r="AJ40" s="50"/>
      <c r="AK40" s="50"/>
      <c r="AL40" s="75"/>
      <c r="AM40" s="51"/>
      <c r="AN40" s="50"/>
      <c r="AO40" s="50"/>
      <c r="AP40" s="50"/>
      <c r="AQ40" s="50"/>
      <c r="AR40" s="75"/>
      <c r="AS40" s="51"/>
      <c r="AT40" s="75"/>
      <c r="AU40" s="53"/>
      <c r="AV40" s="75"/>
      <c r="AW40" s="53"/>
      <c r="AX40" s="75"/>
    </row>
    <row r="41" spans="1:50" s="54" customFormat="1" ht="14.25" customHeight="1">
      <c r="A41" s="73"/>
      <c r="B41" s="79" t="s">
        <v>572</v>
      </c>
      <c r="C41" s="21"/>
      <c r="D41" s="46">
        <v>0</v>
      </c>
      <c r="E41" s="46">
        <v>0</v>
      </c>
      <c r="F41" s="46">
        <v>0</v>
      </c>
      <c r="G41" s="46">
        <v>0</v>
      </c>
      <c r="H41" s="77">
        <v>0</v>
      </c>
      <c r="I41" s="48"/>
      <c r="J41" s="46">
        <v>1.2749999999999999</v>
      </c>
      <c r="K41" s="46">
        <v>-6.1000000000000004E-3</v>
      </c>
      <c r="L41" s="46">
        <v>-39.165999999999997</v>
      </c>
      <c r="M41" s="46">
        <v>-26.532</v>
      </c>
      <c r="N41" s="77">
        <v>-41.442</v>
      </c>
      <c r="O41" s="48"/>
      <c r="P41" s="46">
        <v>7.4539999999999997</v>
      </c>
      <c r="Q41" s="46">
        <v>-3.2970000000000002</v>
      </c>
      <c r="R41" s="46">
        <v>-1.323</v>
      </c>
      <c r="S41" s="46">
        <v>-2.3809999999999998</v>
      </c>
      <c r="T41" s="77">
        <v>25.757000000000001</v>
      </c>
      <c r="U41" s="48"/>
      <c r="V41" s="46">
        <v>10.092000000000001</v>
      </c>
      <c r="W41" s="46">
        <v>-2.6669999999999998</v>
      </c>
      <c r="X41" s="46">
        <v>-0.41399999999999998</v>
      </c>
      <c r="Y41" s="46">
        <v>17.805</v>
      </c>
      <c r="Z41" s="77">
        <v>51.295000000000002</v>
      </c>
      <c r="AA41" s="86"/>
      <c r="AB41" s="46">
        <v>-6.2830000000000004</v>
      </c>
      <c r="AC41" s="46">
        <v>0.89700000000000002</v>
      </c>
      <c r="AD41" s="46">
        <v>0.73799999999999999</v>
      </c>
      <c r="AE41" s="46">
        <v>21.129000000000001</v>
      </c>
      <c r="AF41" s="77">
        <v>51.192</v>
      </c>
      <c r="AG41" s="82"/>
      <c r="AH41" s="46">
        <v>-1.7649999999999999</v>
      </c>
      <c r="AI41" s="46">
        <v>32.103999999999999</v>
      </c>
      <c r="AJ41" s="50"/>
      <c r="AK41" s="50"/>
      <c r="AL41" s="78"/>
      <c r="AM41" s="81"/>
      <c r="AN41" s="50"/>
      <c r="AO41" s="50"/>
      <c r="AP41" s="50"/>
      <c r="AQ41" s="50"/>
      <c r="AR41" s="78"/>
      <c r="AS41" s="81"/>
      <c r="AT41" s="78"/>
      <c r="AU41" s="83"/>
      <c r="AV41" s="78"/>
      <c r="AW41" s="83"/>
      <c r="AX41" s="78"/>
    </row>
    <row r="42" spans="1:50" s="54" customFormat="1" ht="14.25" customHeight="1">
      <c r="A42" s="84"/>
      <c r="B42" s="90" t="s">
        <v>499</v>
      </c>
      <c r="C42" s="22"/>
      <c r="D42" s="46">
        <v>0</v>
      </c>
      <c r="E42" s="46">
        <v>0</v>
      </c>
      <c r="F42" s="46">
        <v>-1E-3</v>
      </c>
      <c r="G42" s="46">
        <v>0</v>
      </c>
      <c r="H42" s="77">
        <v>0</v>
      </c>
      <c r="I42" s="48"/>
      <c r="J42" s="46">
        <v>-3.0859999999999999</v>
      </c>
      <c r="K42" s="46">
        <v>-0.53759999999999997</v>
      </c>
      <c r="L42" s="46">
        <v>50.677999999999997</v>
      </c>
      <c r="M42" s="46">
        <v>29.905999999999999</v>
      </c>
      <c r="N42" s="77">
        <v>122.955</v>
      </c>
      <c r="O42" s="48"/>
      <c r="P42" s="46">
        <v>-2.1669999999999998</v>
      </c>
      <c r="Q42" s="46">
        <v>8.5559999999999992</v>
      </c>
      <c r="R42" s="46">
        <v>0.42899999999999999</v>
      </c>
      <c r="S42" s="46">
        <v>-4.45</v>
      </c>
      <c r="T42" s="77">
        <v>6.6340000000000003</v>
      </c>
      <c r="U42" s="48"/>
      <c r="V42" s="46">
        <v>5.0090000000000003</v>
      </c>
      <c r="W42" s="46">
        <v>21.001000000000001</v>
      </c>
      <c r="X42" s="46">
        <v>17.652999999999999</v>
      </c>
      <c r="Y42" s="46">
        <v>10.785</v>
      </c>
      <c r="Z42" s="77">
        <v>54.6</v>
      </c>
      <c r="AA42" s="51"/>
      <c r="AB42" s="46">
        <v>11.567</v>
      </c>
      <c r="AC42" s="46">
        <v>29.39</v>
      </c>
      <c r="AD42" s="46">
        <v>36.320999999999998</v>
      </c>
      <c r="AE42" s="46">
        <v>15.494</v>
      </c>
      <c r="AF42" s="77">
        <v>100.07599999999999</v>
      </c>
      <c r="AG42" s="49"/>
      <c r="AH42" s="46">
        <v>42.808999999999997</v>
      </c>
      <c r="AI42" s="46">
        <v>13.204000000000001</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39</v>
      </c>
      <c r="B44" s="65" t="s">
        <v>573</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500</v>
      </c>
      <c r="C45" s="22"/>
      <c r="D45" s="46">
        <v>0</v>
      </c>
      <c r="E45" s="46">
        <v>0</v>
      </c>
      <c r="F45" s="46">
        <v>0</v>
      </c>
      <c r="G45" s="46">
        <v>0</v>
      </c>
      <c r="H45" s="66">
        <v>0</v>
      </c>
      <c r="I45" s="48"/>
      <c r="J45" s="46">
        <v>0</v>
      </c>
      <c r="K45" s="46">
        <v>0</v>
      </c>
      <c r="L45" s="46">
        <v>4.8154000000000003</v>
      </c>
      <c r="M45" s="46">
        <v>2.3938999999999999</v>
      </c>
      <c r="N45" s="66">
        <v>7.2092999999999998</v>
      </c>
      <c r="O45" s="48"/>
      <c r="P45" s="46">
        <v>3.4099999999999998E-2</v>
      </c>
      <c r="Q45" s="46">
        <v>-3.7999999999999999E-2</v>
      </c>
      <c r="R45" s="46">
        <v>1.0259</v>
      </c>
      <c r="S45" s="46">
        <v>-1.4496</v>
      </c>
      <c r="T45" s="66">
        <v>0.79100000000000004</v>
      </c>
      <c r="U45" s="48"/>
      <c r="V45" s="46">
        <v>0.91359999999999997</v>
      </c>
      <c r="W45" s="46">
        <v>4.1374000000000004</v>
      </c>
      <c r="X45" s="46">
        <v>4.6487999999999996</v>
      </c>
      <c r="Y45" s="46">
        <v>2.6739000000000002</v>
      </c>
      <c r="Z45" s="66">
        <v>12.2484</v>
      </c>
      <c r="AA45" s="71"/>
      <c r="AB45" s="46">
        <v>2.4634</v>
      </c>
      <c r="AC45" s="46">
        <v>2.3189000000000002</v>
      </c>
      <c r="AD45" s="46">
        <v>10.406000000000001</v>
      </c>
      <c r="AE45" s="46">
        <v>1.0528</v>
      </c>
      <c r="AF45" s="66">
        <v>16.822199999999999</v>
      </c>
      <c r="AG45" s="49"/>
      <c r="AH45" s="46">
        <v>11.0227</v>
      </c>
      <c r="AI45" s="46">
        <v>1.6136999999999999</v>
      </c>
      <c r="AJ45" s="50"/>
      <c r="AK45" s="50"/>
      <c r="AL45" s="68"/>
      <c r="AM45" s="91"/>
      <c r="AN45" s="50"/>
      <c r="AO45" s="50"/>
      <c r="AP45" s="50"/>
      <c r="AQ45" s="50"/>
      <c r="AR45" s="68"/>
      <c r="AS45" s="71"/>
      <c r="AT45" s="68"/>
      <c r="AU45" s="72"/>
      <c r="AV45" s="68"/>
      <c r="AW45" s="72"/>
      <c r="AX45" s="68"/>
    </row>
    <row r="46" spans="1:50" s="54" customFormat="1" ht="14.25" customHeight="1">
      <c r="A46" s="84"/>
      <c r="B46" s="70" t="s">
        <v>574</v>
      </c>
      <c r="C46" s="22"/>
      <c r="D46" s="46">
        <v>0</v>
      </c>
      <c r="E46" s="46">
        <v>0</v>
      </c>
      <c r="F46" s="46">
        <v>0</v>
      </c>
      <c r="G46" s="46">
        <v>0</v>
      </c>
      <c r="H46" s="66">
        <v>0</v>
      </c>
      <c r="I46" s="48"/>
      <c r="J46" s="46">
        <v>0</v>
      </c>
      <c r="K46" s="46">
        <v>3.302</v>
      </c>
      <c r="L46" s="46">
        <v>0</v>
      </c>
      <c r="M46" s="46">
        <v>0</v>
      </c>
      <c r="N46" s="66">
        <v>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575</v>
      </c>
      <c r="C47" s="21"/>
      <c r="D47" s="46">
        <v>0</v>
      </c>
      <c r="E47" s="46">
        <v>0</v>
      </c>
      <c r="F47" s="46">
        <v>-1E-3</v>
      </c>
      <c r="G47" s="46">
        <v>0</v>
      </c>
      <c r="H47" s="93">
        <v>0</v>
      </c>
      <c r="I47" s="48"/>
      <c r="J47" s="46">
        <v>-3.0859999999999999</v>
      </c>
      <c r="K47" s="46">
        <v>-3.8395999999999999</v>
      </c>
      <c r="L47" s="46">
        <v>45.8626</v>
      </c>
      <c r="M47" s="46">
        <v>27.5121</v>
      </c>
      <c r="N47" s="93">
        <v>115.7457</v>
      </c>
      <c r="O47" s="48"/>
      <c r="P47" s="46">
        <v>-2.2010999999999998</v>
      </c>
      <c r="Q47" s="46">
        <v>8.5939999999999994</v>
      </c>
      <c r="R47" s="46">
        <v>-0.59689999999999999</v>
      </c>
      <c r="S47" s="46">
        <v>-3.0004</v>
      </c>
      <c r="T47" s="93">
        <v>5.843</v>
      </c>
      <c r="U47" s="48"/>
      <c r="V47" s="46">
        <v>4.0953999999999997</v>
      </c>
      <c r="W47" s="46">
        <v>16.863600000000002</v>
      </c>
      <c r="X47" s="46">
        <v>13.004200000000001</v>
      </c>
      <c r="Y47" s="46">
        <v>8.1111000000000004</v>
      </c>
      <c r="Z47" s="93">
        <v>42.351599999999998</v>
      </c>
      <c r="AA47" s="51"/>
      <c r="AB47" s="46">
        <v>9.1036000000000001</v>
      </c>
      <c r="AC47" s="46">
        <v>27.071100000000001</v>
      </c>
      <c r="AD47" s="46">
        <v>25.914999999999999</v>
      </c>
      <c r="AE47" s="46">
        <v>14.4412</v>
      </c>
      <c r="AF47" s="93">
        <v>83.253799999999998</v>
      </c>
      <c r="AG47" s="49"/>
      <c r="AH47" s="46">
        <v>31.786300000000001</v>
      </c>
      <c r="AI47" s="46">
        <v>11.590299999999999</v>
      </c>
      <c r="AJ47" s="50"/>
      <c r="AK47" s="50"/>
      <c r="AL47" s="94"/>
      <c r="AM47" s="92"/>
      <c r="AN47" s="50"/>
      <c r="AO47" s="50"/>
      <c r="AP47" s="50"/>
      <c r="AQ47" s="50"/>
      <c r="AR47" s="94"/>
      <c r="AS47" s="51"/>
      <c r="AT47" s="94"/>
      <c r="AU47" s="53"/>
      <c r="AV47" s="94"/>
      <c r="AW47" s="53"/>
      <c r="AX47" s="94"/>
    </row>
    <row r="49" spans="1:50" s="54" customFormat="1" ht="14.25" customHeight="1">
      <c r="A49" s="44" t="s">
        <v>39</v>
      </c>
      <c r="B49" s="65" t="s">
        <v>576</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577</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578</v>
      </c>
      <c r="C51" s="23"/>
      <c r="D51" s="46">
        <v>0</v>
      </c>
      <c r="E51" s="46">
        <v>0</v>
      </c>
      <c r="F51" s="46">
        <v>0</v>
      </c>
      <c r="G51" s="46">
        <v>0</v>
      </c>
      <c r="H51" s="74">
        <v>0</v>
      </c>
      <c r="I51" s="48"/>
      <c r="J51" s="46">
        <v>0</v>
      </c>
      <c r="K51" s="46">
        <v>0</v>
      </c>
      <c r="L51" s="46">
        <v>16.266999999999999</v>
      </c>
      <c r="M51" s="46">
        <v>5.6029999999999998</v>
      </c>
      <c r="N51" s="74">
        <v>64.241</v>
      </c>
      <c r="O51" s="48"/>
      <c r="P51" s="46">
        <v>-1.373</v>
      </c>
      <c r="Q51" s="46">
        <v>6.0389999999999997</v>
      </c>
      <c r="R51" s="46">
        <v>-0.09</v>
      </c>
      <c r="S51" s="46">
        <v>-8.3350000000000009</v>
      </c>
      <c r="T51" s="74">
        <v>-3.758</v>
      </c>
      <c r="U51" s="48"/>
      <c r="V51" s="46">
        <v>3.6789999999999998</v>
      </c>
      <c r="W51" s="46">
        <v>15.933999999999999</v>
      </c>
      <c r="X51" s="46">
        <v>13.363</v>
      </c>
      <c r="Y51" s="46">
        <v>7.5090000000000003</v>
      </c>
      <c r="Z51" s="74">
        <v>40.484000000000002</v>
      </c>
      <c r="AA51" s="48"/>
      <c r="AB51" s="46">
        <v>4.5940000000000003</v>
      </c>
      <c r="AC51" s="46">
        <v>24.61</v>
      </c>
      <c r="AD51" s="46">
        <v>27.792999999999999</v>
      </c>
      <c r="AE51" s="46">
        <v>19.582000000000001</v>
      </c>
      <c r="AF51" s="74">
        <v>76.578999999999994</v>
      </c>
      <c r="AG51" s="95"/>
      <c r="AH51" s="46">
        <v>31.762</v>
      </c>
      <c r="AI51" s="46">
        <v>32.26</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579</v>
      </c>
      <c r="C52" s="21"/>
      <c r="D52" s="46">
        <v>0</v>
      </c>
      <c r="E52" s="46">
        <v>0</v>
      </c>
      <c r="F52" s="46">
        <v>-1E-3</v>
      </c>
      <c r="G52" s="46">
        <v>0</v>
      </c>
      <c r="H52" s="93">
        <v>0</v>
      </c>
      <c r="I52" s="48"/>
      <c r="J52" s="46">
        <v>-3.0859999999999999</v>
      </c>
      <c r="K52" s="46">
        <v>-3.8395999999999999</v>
      </c>
      <c r="L52" s="46">
        <v>29.595600000000001</v>
      </c>
      <c r="M52" s="46">
        <v>21.909099999999999</v>
      </c>
      <c r="N52" s="93">
        <v>51.5047</v>
      </c>
      <c r="O52" s="48"/>
      <c r="P52" s="46">
        <v>-0.82809999999999995</v>
      </c>
      <c r="Q52" s="46">
        <v>2.5550000000000002</v>
      </c>
      <c r="R52" s="46">
        <v>-0.50690000000000002</v>
      </c>
      <c r="S52" s="46">
        <v>5.3346</v>
      </c>
      <c r="T52" s="93">
        <v>9.6010000000000009</v>
      </c>
      <c r="U52" s="48"/>
      <c r="V52" s="46">
        <v>0.41639999999999999</v>
      </c>
      <c r="W52" s="46">
        <v>0.92959999999999998</v>
      </c>
      <c r="X52" s="46">
        <v>-0.35880000000000001</v>
      </c>
      <c r="Y52" s="46">
        <v>0.60209999999999997</v>
      </c>
      <c r="Z52" s="93">
        <v>1.8675999999999999</v>
      </c>
      <c r="AA52" s="48"/>
      <c r="AB52" s="46">
        <v>4.5095999999999998</v>
      </c>
      <c r="AC52" s="46">
        <v>2.4611000000000001</v>
      </c>
      <c r="AD52" s="46">
        <v>-1.8779999999999999</v>
      </c>
      <c r="AE52" s="46">
        <v>-5.1407999999999996</v>
      </c>
      <c r="AF52" s="93">
        <v>6.6748000000000003</v>
      </c>
      <c r="AG52" s="95"/>
      <c r="AH52" s="46">
        <v>2.4299999999999999E-2</v>
      </c>
      <c r="AI52" s="46">
        <v>-20.669699999999999</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39</v>
      </c>
      <c r="B54" s="65" t="s">
        <v>580</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581</v>
      </c>
      <c r="C55" s="23"/>
      <c r="D55" s="98">
        <v>0</v>
      </c>
      <c r="E55" s="98">
        <v>0</v>
      </c>
      <c r="F55" s="98">
        <v>-2.0000000000000001E-4</v>
      </c>
      <c r="G55" s="98">
        <v>0</v>
      </c>
      <c r="H55" s="99">
        <v>0</v>
      </c>
      <c r="I55" s="100"/>
      <c r="J55" s="98">
        <v>-0.33</v>
      </c>
      <c r="K55" s="98">
        <v>-0.34989999999999999</v>
      </c>
      <c r="L55" s="98">
        <v>2.2145999999999999</v>
      </c>
      <c r="M55" s="98">
        <v>1.6174999999999999</v>
      </c>
      <c r="N55" s="99">
        <v>3.8965000000000001</v>
      </c>
      <c r="O55" s="100"/>
      <c r="P55" s="98">
        <v>-6.0999999999999999E-2</v>
      </c>
      <c r="Q55" s="98">
        <v>0.18890000000000001</v>
      </c>
      <c r="R55" s="98">
        <v>-3.6299999999999999E-2</v>
      </c>
      <c r="S55" s="98">
        <v>0.36630000000000001</v>
      </c>
      <c r="T55" s="99">
        <v>0.69</v>
      </c>
      <c r="U55" s="100"/>
      <c r="V55" s="98">
        <v>2.7699999999999999E-2</v>
      </c>
      <c r="W55" s="98">
        <v>5.9499999999999997E-2</v>
      </c>
      <c r="X55" s="98">
        <v>-2.1399999999999999E-2</v>
      </c>
      <c r="Y55" s="98">
        <v>3.3300000000000003E-2</v>
      </c>
      <c r="Z55" s="99">
        <v>0.1139</v>
      </c>
      <c r="AA55" s="100"/>
      <c r="AB55" s="98">
        <v>0.23480000000000001</v>
      </c>
      <c r="AC55" s="98">
        <v>0.12509999999999999</v>
      </c>
      <c r="AD55" s="98">
        <v>-9.2700000000000005E-2</v>
      </c>
      <c r="AE55" s="98">
        <v>-0.2397</v>
      </c>
      <c r="AF55" s="99">
        <v>0.33129999999999998</v>
      </c>
      <c r="AG55" s="101"/>
      <c r="AH55" s="98">
        <v>1E-3</v>
      </c>
      <c r="AI55" s="98">
        <v>-0.77680000000000005</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582</v>
      </c>
      <c r="C56" s="21"/>
      <c r="D56" s="98">
        <v>0</v>
      </c>
      <c r="E56" s="98">
        <v>0</v>
      </c>
      <c r="F56" s="98">
        <v>-2.0000000000000001E-4</v>
      </c>
      <c r="G56" s="98">
        <v>0</v>
      </c>
      <c r="H56" s="99">
        <v>0</v>
      </c>
      <c r="I56" s="100"/>
      <c r="J56" s="98">
        <v>-0.33</v>
      </c>
      <c r="K56" s="98">
        <v>-0.34989999999999999</v>
      </c>
      <c r="L56" s="98">
        <v>2.2145999999999999</v>
      </c>
      <c r="M56" s="98">
        <v>1.6116999999999999</v>
      </c>
      <c r="N56" s="99">
        <v>3.8919000000000001</v>
      </c>
      <c r="O56" s="100"/>
      <c r="P56" s="98">
        <v>-6.0999999999999999E-2</v>
      </c>
      <c r="Q56" s="98">
        <v>8.9300000000000004E-2</v>
      </c>
      <c r="R56" s="98">
        <v>-3.6299999999999999E-2</v>
      </c>
      <c r="S56" s="98">
        <v>0.36630000000000001</v>
      </c>
      <c r="T56" s="99">
        <v>7.9699999999999993E-2</v>
      </c>
      <c r="U56" s="100"/>
      <c r="V56" s="98">
        <v>2.7699999999999999E-2</v>
      </c>
      <c r="W56" s="98">
        <v>5.9499999999999997E-2</v>
      </c>
      <c r="X56" s="98">
        <v>-2.1399999999999999E-2</v>
      </c>
      <c r="Y56" s="98">
        <v>3.1099999999999999E-2</v>
      </c>
      <c r="Z56" s="99">
        <v>0.1139</v>
      </c>
      <c r="AA56" s="100"/>
      <c r="AB56" s="98">
        <v>8.8099999999999998E-2</v>
      </c>
      <c r="AC56" s="98">
        <v>0.12509999999999999</v>
      </c>
      <c r="AD56" s="98">
        <v>-9.3299999999999994E-2</v>
      </c>
      <c r="AE56" s="98">
        <v>-0.2397</v>
      </c>
      <c r="AF56" s="99">
        <v>0.33110000000000001</v>
      </c>
      <c r="AG56" s="101"/>
      <c r="AH56" s="98">
        <v>1E-3</v>
      </c>
      <c r="AI56" s="98">
        <v>-0.77680000000000005</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39</v>
      </c>
      <c r="B58" s="65" t="s">
        <v>583</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584</v>
      </c>
      <c r="C59" s="23"/>
      <c r="D59" s="305">
        <v>0</v>
      </c>
      <c r="E59" s="305">
        <v>0</v>
      </c>
      <c r="F59" s="305">
        <v>4.8913000000000002</v>
      </c>
      <c r="G59" s="305">
        <v>0</v>
      </c>
      <c r="H59" s="314">
        <v>0</v>
      </c>
      <c r="I59" s="315"/>
      <c r="J59" s="305">
        <v>9.3859999999999992</v>
      </c>
      <c r="K59" s="305">
        <v>10.974600000000001</v>
      </c>
      <c r="L59" s="305">
        <v>13.364000000000001</v>
      </c>
      <c r="M59" s="305">
        <v>13.545299999999999</v>
      </c>
      <c r="N59" s="314">
        <v>13.2181</v>
      </c>
      <c r="O59" s="315"/>
      <c r="P59" s="305">
        <v>13.581799999999999</v>
      </c>
      <c r="Q59" s="305">
        <v>13.5251</v>
      </c>
      <c r="R59" s="305">
        <v>13.973000000000001</v>
      </c>
      <c r="S59" s="305">
        <v>14.5632</v>
      </c>
      <c r="T59" s="314">
        <v>13.913600000000001</v>
      </c>
      <c r="U59" s="315"/>
      <c r="V59" s="305">
        <v>15.0373</v>
      </c>
      <c r="W59" s="305">
        <v>15.632099999999999</v>
      </c>
      <c r="X59" s="305">
        <v>16.772300000000001</v>
      </c>
      <c r="Y59" s="305">
        <v>18.087599999999998</v>
      </c>
      <c r="Z59" s="314">
        <v>16.391200000000001</v>
      </c>
      <c r="AA59" s="315"/>
      <c r="AB59" s="305">
        <v>19.205400000000001</v>
      </c>
      <c r="AC59" s="305">
        <v>19.675899999999999</v>
      </c>
      <c r="AD59" s="305">
        <v>20.248000000000001</v>
      </c>
      <c r="AE59" s="305">
        <v>21.442499999999999</v>
      </c>
      <c r="AF59" s="314">
        <v>20.145600000000002</v>
      </c>
      <c r="AG59" s="316"/>
      <c r="AH59" s="305">
        <v>23.691800000000001</v>
      </c>
      <c r="AI59" s="305">
        <v>26.610299999999999</v>
      </c>
      <c r="AJ59" s="317" t="e">
        <v>#DIV/0!</v>
      </c>
      <c r="AK59" s="317" t="e">
        <v>#DIV/0!</v>
      </c>
      <c r="AL59" s="340" t="e">
        <v>#DIV/0!</v>
      </c>
      <c r="AM59" s="315"/>
      <c r="AN59" s="317" t="e">
        <v>#DIV/0!</v>
      </c>
      <c r="AO59" s="317" t="e">
        <v>#DIV/0!</v>
      </c>
      <c r="AP59" s="317" t="e">
        <v>#DIV/0!</v>
      </c>
      <c r="AQ59" s="317" t="e">
        <v>#DIV/0!</v>
      </c>
      <c r="AR59" s="340" t="e">
        <v>#DIV/0!</v>
      </c>
      <c r="AS59" s="48"/>
      <c r="AT59" s="340" t="e">
        <v>#DIV/0!</v>
      </c>
      <c r="AU59" s="96"/>
      <c r="AV59" s="340" t="e">
        <v>#DIV/0!</v>
      </c>
      <c r="AW59" s="96"/>
      <c r="AX59" s="340" t="e">
        <v>#DIV/0!</v>
      </c>
    </row>
    <row r="60" spans="1:50" s="54" customFormat="1" ht="14.25" customHeight="1">
      <c r="A60" s="97"/>
      <c r="B60" s="70" t="s">
        <v>585</v>
      </c>
      <c r="C60" s="23"/>
      <c r="D60" s="305">
        <v>0</v>
      </c>
      <c r="E60" s="305">
        <v>0</v>
      </c>
      <c r="F60" s="305">
        <v>4.8913000000000002</v>
      </c>
      <c r="G60" s="305">
        <v>0</v>
      </c>
      <c r="H60" s="314">
        <v>0</v>
      </c>
      <c r="I60" s="315"/>
      <c r="J60" s="305">
        <v>9.3859999999999992</v>
      </c>
      <c r="K60" s="305">
        <v>10.974600000000001</v>
      </c>
      <c r="L60" s="305">
        <v>13.364000000000001</v>
      </c>
      <c r="M60" s="305">
        <v>13.581</v>
      </c>
      <c r="N60" s="314">
        <v>13.227</v>
      </c>
      <c r="O60" s="315"/>
      <c r="P60" s="305">
        <v>13.6355</v>
      </c>
      <c r="Q60" s="305">
        <v>84.283100000000005</v>
      </c>
      <c r="R60" s="305">
        <v>13.973000000000001</v>
      </c>
      <c r="S60" s="305">
        <v>14.5632</v>
      </c>
      <c r="T60" s="314">
        <v>84.256100000000004</v>
      </c>
      <c r="U60" s="315"/>
      <c r="V60" s="305">
        <v>15.1899</v>
      </c>
      <c r="W60" s="305">
        <v>15.873799999999999</v>
      </c>
      <c r="X60" s="305">
        <v>17.0578</v>
      </c>
      <c r="Y60" s="305">
        <v>18.087599999999998</v>
      </c>
      <c r="Z60" s="314">
        <v>16.391200000000001</v>
      </c>
      <c r="AA60" s="315"/>
      <c r="AB60" s="305">
        <v>86.243499999999997</v>
      </c>
      <c r="AC60" s="305">
        <v>19.675899999999999</v>
      </c>
      <c r="AD60" s="305">
        <v>20.248000000000001</v>
      </c>
      <c r="AE60" s="305">
        <v>21.442499999999999</v>
      </c>
      <c r="AF60" s="314">
        <v>20.145600000000002</v>
      </c>
      <c r="AG60" s="316"/>
      <c r="AH60" s="305">
        <v>23.691800000000001</v>
      </c>
      <c r="AI60" s="305">
        <v>26.610299999999999</v>
      </c>
      <c r="AJ60" s="317">
        <v>26.610299999999999</v>
      </c>
      <c r="AK60" s="317">
        <v>26.610299999999999</v>
      </c>
      <c r="AL60" s="340">
        <v>25.880674999999997</v>
      </c>
      <c r="AM60" s="315"/>
      <c r="AN60" s="317">
        <v>26.610299999999999</v>
      </c>
      <c r="AO60" s="317">
        <v>26.610299999999999</v>
      </c>
      <c r="AP60" s="317">
        <v>26.610299999999999</v>
      </c>
      <c r="AQ60" s="317">
        <v>26.610299999999999</v>
      </c>
      <c r="AR60" s="340">
        <v>26.610299999999999</v>
      </c>
      <c r="AS60" s="48"/>
      <c r="AT60" s="340">
        <v>26.610299999999999</v>
      </c>
      <c r="AU60" s="96"/>
      <c r="AV60" s="340">
        <v>26.610299999999999</v>
      </c>
      <c r="AW60" s="96"/>
      <c r="AX60" s="340">
        <v>26.610299999999999</v>
      </c>
    </row>
    <row r="61" spans="1:50" ht="14.25" customHeight="1">
      <c r="AG61" s="204"/>
    </row>
    <row r="62" spans="1:50" ht="14.25" customHeight="1">
      <c r="B62" s="64" t="s">
        <v>586</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42"/>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42"/>
      <c r="AH63" s="113"/>
      <c r="AI63" s="113"/>
      <c r="AJ63" s="113"/>
      <c r="AK63" s="113"/>
      <c r="AL63" s="113"/>
      <c r="AM63" s="115"/>
      <c r="AN63" s="113"/>
      <c r="AO63" s="113"/>
      <c r="AP63" s="113"/>
      <c r="AQ63" s="113"/>
    </row>
    <row r="64" spans="1:50" ht="14.25" customHeight="1">
      <c r="B64" s="114" t="s">
        <v>587</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50"/>
      <c r="AH64" s="60"/>
      <c r="AI64" s="60"/>
      <c r="AJ64" s="46"/>
      <c r="AK64" s="46"/>
      <c r="AL64" s="66"/>
      <c r="AM64" s="20"/>
      <c r="AN64" s="46"/>
      <c r="AO64" s="46"/>
      <c r="AP64" s="46"/>
      <c r="AQ64" s="46"/>
    </row>
    <row r="65" spans="2:35" ht="14.25" customHeight="1">
      <c r="B65" s="114" t="s">
        <v>588</v>
      </c>
    </row>
    <row r="70" spans="2:35" ht="14.25" customHeight="1">
      <c r="B70" s="65" t="s">
        <v>554</v>
      </c>
    </row>
    <row r="71" spans="2:35" ht="14.25" customHeight="1">
      <c r="B71" s="70" t="s">
        <v>555</v>
      </c>
    </row>
    <row r="72" spans="2:35" ht="14.25" customHeight="1">
      <c r="B72" s="70" t="s">
        <v>589</v>
      </c>
      <c r="P72" s="650">
        <v>7.4480000000000004</v>
      </c>
      <c r="Q72" s="650">
        <v>7.8780000000000001</v>
      </c>
      <c r="R72" s="650">
        <v>9.0950000000000006</v>
      </c>
      <c r="S72" s="650">
        <f>T72-P72-Q72-R72</f>
        <v>10.740999999999998</v>
      </c>
      <c r="T72" s="650">
        <v>35.161999999999999</v>
      </c>
      <c r="U72" s="650"/>
      <c r="V72" s="650">
        <v>11.371</v>
      </c>
      <c r="W72" s="650">
        <v>11.231</v>
      </c>
      <c r="X72" s="650">
        <v>12.077</v>
      </c>
      <c r="Y72" s="650">
        <f>Z72-V72-W72-X72</f>
        <v>12.070999999999996</v>
      </c>
      <c r="Z72" s="650">
        <v>46.75</v>
      </c>
      <c r="AA72" s="650"/>
      <c r="AB72" s="650">
        <v>11.43</v>
      </c>
      <c r="AC72" s="650">
        <v>10.964</v>
      </c>
      <c r="AD72" s="650">
        <v>11.285</v>
      </c>
      <c r="AE72" s="650">
        <f>AF72-AB72-AC72-AD72</f>
        <v>11.029</v>
      </c>
      <c r="AF72" s="650">
        <v>44.707999999999998</v>
      </c>
      <c r="AH72" s="650">
        <v>10.247</v>
      </c>
      <c r="AI72" s="650">
        <v>9.6359999999999992</v>
      </c>
    </row>
    <row r="73" spans="2:35" ht="14.25" customHeight="1">
      <c r="B73" s="70" t="s">
        <v>590</v>
      </c>
      <c r="P73" s="650">
        <v>2.0659999999999998</v>
      </c>
      <c r="Q73" s="650">
        <v>2.4390000000000001</v>
      </c>
      <c r="R73" s="650">
        <v>2.7719999999999998</v>
      </c>
      <c r="S73" s="650">
        <f>T73-P73-Q73-R73</f>
        <v>3.1410000000000005</v>
      </c>
      <c r="T73" s="650">
        <v>10.417999999999999</v>
      </c>
      <c r="U73" s="650"/>
      <c r="V73" s="650">
        <v>2.39</v>
      </c>
      <c r="W73" s="650">
        <v>2.383</v>
      </c>
      <c r="X73" s="650">
        <v>2.9889999999999999</v>
      </c>
      <c r="Y73" s="650">
        <f>Z73-V73-W73-X73</f>
        <v>2.6769999999999996</v>
      </c>
      <c r="Z73" s="650">
        <v>10.439</v>
      </c>
      <c r="AA73" s="650"/>
      <c r="AB73" s="650">
        <v>20.86</v>
      </c>
      <c r="AC73" s="650">
        <v>1.6759999999999999</v>
      </c>
      <c r="AD73" s="650">
        <v>1.7250000000000001</v>
      </c>
      <c r="AE73" s="650">
        <f>AF73-AC73-AD73</f>
        <v>3.7179999999999995</v>
      </c>
      <c r="AF73" s="650">
        <v>7.1189999999999998</v>
      </c>
      <c r="AH73" s="650">
        <v>1.63</v>
      </c>
      <c r="AI73" s="650">
        <v>1.5269999999999999</v>
      </c>
    </row>
    <row r="74" spans="2:35" ht="14.25" customHeight="1">
      <c r="B74" s="660" t="s">
        <v>591</v>
      </c>
      <c r="P74" s="650">
        <v>13.888</v>
      </c>
      <c r="Q74" s="650">
        <v>19.079000000000001</v>
      </c>
      <c r="R74" s="650">
        <v>12.861000000000001</v>
      </c>
      <c r="S74" s="650">
        <f>T74-P74-Q74-R74</f>
        <v>12.465999999999998</v>
      </c>
      <c r="T74" s="650">
        <v>58.293999999999997</v>
      </c>
      <c r="U74" s="650"/>
      <c r="V74" s="650">
        <v>10.528</v>
      </c>
      <c r="W74" s="650">
        <v>13.4</v>
      </c>
      <c r="X74" s="650">
        <v>14.074999999999999</v>
      </c>
      <c r="Y74" s="650">
        <f>Z74-V74-W74-X74</f>
        <v>12.559000000000001</v>
      </c>
      <c r="Z74" s="650">
        <v>50.561999999999998</v>
      </c>
      <c r="AA74" s="650"/>
      <c r="AB74" s="650">
        <v>9.5120000000000005</v>
      </c>
      <c r="AC74" s="650">
        <v>12.808</v>
      </c>
      <c r="AD74" s="650">
        <v>13.57</v>
      </c>
      <c r="AE74" s="650">
        <f>AF74-AB74-AC74-AD74</f>
        <v>13.317999999999998</v>
      </c>
      <c r="AF74" s="650">
        <v>49.207999999999998</v>
      </c>
      <c r="AH74" s="650">
        <v>10.288</v>
      </c>
      <c r="AI74" s="650">
        <v>11.89</v>
      </c>
    </row>
    <row r="75" spans="2:35" ht="14.25" customHeight="1">
      <c r="B75" s="76" t="s">
        <v>592</v>
      </c>
      <c r="P75" s="650">
        <f>SUM(P72:P74)</f>
        <v>23.402000000000001</v>
      </c>
      <c r="Q75" s="650">
        <f>SUM(Q72:Q74)</f>
        <v>29.396000000000001</v>
      </c>
      <c r="R75" s="650">
        <f>SUM(R72:R74)</f>
        <v>24.728000000000002</v>
      </c>
      <c r="S75" s="650">
        <f>SUM(S72:S74)</f>
        <v>26.347999999999995</v>
      </c>
      <c r="T75" s="650">
        <f>SUM(T72:T74)</f>
        <v>103.874</v>
      </c>
      <c r="U75" s="650"/>
      <c r="V75" s="650">
        <f>SUM(V72:V74)</f>
        <v>24.289000000000001</v>
      </c>
      <c r="W75" s="650">
        <f>SUM(W72:W74)</f>
        <v>27.014000000000003</v>
      </c>
      <c r="X75" s="650">
        <f>SUM(X72:X74)</f>
        <v>29.140999999999998</v>
      </c>
      <c r="Y75" s="650">
        <f>SUM(Y72:Y74)</f>
        <v>27.306999999999995</v>
      </c>
      <c r="Z75" s="650">
        <f>SUM(Z72:Z74)</f>
        <v>107.751</v>
      </c>
      <c r="AA75" s="650"/>
      <c r="AB75" s="650">
        <f t="shared" ref="AB75:AI75" si="2">SUM(AB72:AB74)</f>
        <v>41.802</v>
      </c>
      <c r="AC75" s="650">
        <f t="shared" si="2"/>
        <v>25.448</v>
      </c>
      <c r="AD75" s="650">
        <f t="shared" si="2"/>
        <v>26.58</v>
      </c>
      <c r="AE75" s="650">
        <f t="shared" si="2"/>
        <v>28.064999999999998</v>
      </c>
      <c r="AF75" s="650">
        <f t="shared" si="2"/>
        <v>101.035</v>
      </c>
      <c r="AG75" s="650">
        <f t="shared" si="2"/>
        <v>0</v>
      </c>
      <c r="AH75" s="650">
        <f t="shared" si="2"/>
        <v>22.164999999999999</v>
      </c>
      <c r="AI75" s="650">
        <f t="shared" si="2"/>
        <v>23.052999999999997</v>
      </c>
    </row>
    <row r="76" spans="2:35" ht="14.25" customHeight="1">
      <c r="B76" s="79" t="s">
        <v>227</v>
      </c>
      <c r="P76" s="664">
        <f t="shared" ref="P76:Z76" si="3">(P18-P75)</f>
        <v>76.933999999999997</v>
      </c>
      <c r="Q76" s="664">
        <f t="shared" si="3"/>
        <v>78.477000000000004</v>
      </c>
      <c r="R76" s="664">
        <f t="shared" si="3"/>
        <v>98.87700000000001</v>
      </c>
      <c r="S76" s="664">
        <f t="shared" si="3"/>
        <v>93.682000000000002</v>
      </c>
      <c r="T76" s="664">
        <f t="shared" si="3"/>
        <v>348.98500000000001</v>
      </c>
      <c r="U76" s="664">
        <f t="shared" si="3"/>
        <v>0</v>
      </c>
      <c r="V76" s="664">
        <f t="shared" si="3"/>
        <v>96.084999999999994</v>
      </c>
      <c r="W76" s="664">
        <f t="shared" si="3"/>
        <v>95.472000000000008</v>
      </c>
      <c r="X76" s="664">
        <f t="shared" si="3"/>
        <v>104.024</v>
      </c>
      <c r="Y76" s="664">
        <f t="shared" si="3"/>
        <v>105.61700000000002</v>
      </c>
      <c r="Z76" s="664">
        <f t="shared" si="3"/>
        <v>401.19799999999998</v>
      </c>
      <c r="AA76" s="664"/>
      <c r="AB76" s="664">
        <f t="shared" ref="AB76:AI76" si="4">(AB18-AB75)</f>
        <v>85.540999999999997</v>
      </c>
      <c r="AC76" s="664">
        <f t="shared" si="4"/>
        <v>100.85599999999999</v>
      </c>
      <c r="AD76" s="664">
        <f t="shared" si="4"/>
        <v>110.01299999999999</v>
      </c>
      <c r="AE76" s="664">
        <f t="shared" si="4"/>
        <v>107.65800000000002</v>
      </c>
      <c r="AF76" s="664">
        <f t="shared" si="4"/>
        <v>424.928</v>
      </c>
      <c r="AG76" s="664">
        <f t="shared" si="4"/>
        <v>0</v>
      </c>
      <c r="AH76" s="664">
        <f t="shared" si="4"/>
        <v>118.10300000000001</v>
      </c>
      <c r="AI76" s="664">
        <f t="shared" si="4"/>
        <v>119.39000000000001</v>
      </c>
    </row>
    <row r="77" spans="2:35" ht="14.25" customHeight="1">
      <c r="C77" s="97"/>
      <c r="I77" s="97"/>
      <c r="O77" s="97"/>
      <c r="U77" s="97"/>
      <c r="AA77" s="97"/>
      <c r="AG77" s="97"/>
    </row>
    <row r="79" spans="2:35" ht="14.25" customHeight="1">
      <c r="B79" s="97" t="s">
        <v>593</v>
      </c>
      <c r="P79" s="650">
        <v>3.2</v>
      </c>
      <c r="Q79" s="650">
        <v>3.4</v>
      </c>
      <c r="R79" s="650">
        <v>3.5</v>
      </c>
      <c r="T79" s="97">
        <v>14</v>
      </c>
      <c r="V79" s="650">
        <v>3.4</v>
      </c>
      <c r="W79" s="650">
        <v>3.3</v>
      </c>
      <c r="X79" s="650">
        <v>3.1</v>
      </c>
      <c r="Z79" s="97">
        <v>13</v>
      </c>
      <c r="AA79" s="97"/>
      <c r="AB79" s="97">
        <v>3</v>
      </c>
      <c r="AC79" s="23">
        <v>3</v>
      </c>
      <c r="AD79" s="97">
        <v>2.2999999999999998</v>
      </c>
      <c r="AF79" s="97">
        <v>10</v>
      </c>
      <c r="AH79" s="97">
        <v>2</v>
      </c>
      <c r="AI79" s="97">
        <v>2</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topLeftCell="A9" zoomScale="75" zoomScaleNormal="75" workbookViewId="0">
      <selection activeCell="D25" sqref="D25"/>
    </sheetView>
  </sheetViews>
  <sheetFormatPr baseColWidth="10" defaultColWidth="9" defaultRowHeight="15" customHeight="1" outlineLevelCol="1"/>
  <cols>
    <col min="1" max="1" width="2.1640625" style="41" customWidth="1"/>
    <col min="2" max="2" width="50.6640625" style="41" customWidth="1"/>
    <col min="3" max="3" width="3.33203125" style="17" customWidth="1"/>
    <col min="4" max="7" width="9.6640625" style="41" customWidth="1" outlineLevel="1"/>
    <col min="8" max="8" width="11.6640625" style="41" customWidth="1"/>
    <col min="9" max="9" width="1.6640625" style="17" customWidth="1"/>
    <col min="10" max="13" width="9.6640625" style="41" customWidth="1" outlineLevel="1"/>
    <col min="14" max="14" width="11.6640625" style="41" customWidth="1"/>
    <col min="15" max="15" width="1.6640625" style="17" customWidth="1"/>
    <col min="16" max="19" width="9.6640625" style="41" customWidth="1" outlineLevel="1"/>
    <col min="20" max="20" width="11.6640625" style="41" customWidth="1"/>
    <col min="21" max="21" width="1.6640625" style="17" customWidth="1"/>
    <col min="22" max="25" width="9.6640625" style="41" customWidth="1" outlineLevel="1"/>
    <col min="26" max="26" width="11.6640625" style="41" customWidth="1"/>
    <col min="27" max="27" width="1.6640625" style="17" customWidth="1"/>
    <col min="28" max="31" width="9.6640625" style="41" customWidth="1" outlineLevel="1"/>
    <col min="32" max="32" width="11.6640625" style="41" customWidth="1"/>
    <col min="33" max="33" width="1.6640625" style="17" customWidth="1"/>
    <col min="34" max="37" width="9.6640625" style="41" customWidth="1" outlineLevel="1"/>
    <col min="38" max="38" width="11.6640625" style="41" customWidth="1"/>
    <col min="39" max="39" width="1.6640625" style="17" customWidth="1"/>
    <col min="40" max="43" width="9.6640625" style="41" customWidth="1" outlineLevel="1"/>
    <col min="44" max="44" width="11.6640625" style="41" customWidth="1"/>
    <col min="45" max="45" width="1.6640625" style="17" customWidth="1"/>
    <col min="46" max="46" width="11.6640625" style="41" customWidth="1"/>
    <col min="47" max="47" width="1.6640625" style="17" customWidth="1"/>
    <col min="48" max="48" width="11.6640625" style="42" customWidth="1"/>
    <col min="49" max="49" width="1.6640625" style="41" customWidth="1"/>
    <col min="50" max="50" width="11.6640625" style="41" customWidth="1"/>
    <col min="51" max="16384" width="9" style="41"/>
  </cols>
  <sheetData>
    <row r="1" spans="1:50" s="546" customFormat="1" ht="15" customHeight="1">
      <c r="AH1" s="546">
        <v>0</v>
      </c>
    </row>
    <row r="2" spans="1:50" s="546" customFormat="1" ht="15" customHeight="1"/>
    <row r="3" spans="1:50" s="546" customFormat="1" ht="15" customHeight="1"/>
    <row r="4" spans="1:50" s="546" customFormat="1" ht="15" customHeight="1"/>
    <row r="5" spans="1:50" s="542" customFormat="1" ht="4" customHeight="1">
      <c r="C5" s="543"/>
      <c r="I5" s="543"/>
      <c r="O5" s="543"/>
      <c r="U5" s="543"/>
      <c r="AA5" s="543"/>
      <c r="AG5" s="543"/>
      <c r="AM5" s="543"/>
      <c r="AS5" s="543"/>
      <c r="AU5" s="543"/>
      <c r="AV5" s="544"/>
    </row>
    <row r="7" spans="1:50" ht="15" customHeight="1">
      <c r="B7" s="161" t="s">
        <v>379</v>
      </c>
      <c r="C7" s="18"/>
      <c r="D7" s="201">
        <v>2020</v>
      </c>
      <c r="E7" s="201">
        <v>2020</v>
      </c>
      <c r="F7" s="201">
        <v>2020</v>
      </c>
      <c r="G7" s="201">
        <v>2020</v>
      </c>
      <c r="H7" s="201">
        <v>2020</v>
      </c>
      <c r="I7" s="18"/>
      <c r="J7" s="201">
        <v>2021</v>
      </c>
      <c r="K7" s="201">
        <v>2021</v>
      </c>
      <c r="L7" s="201">
        <v>2021</v>
      </c>
      <c r="M7" s="201">
        <v>2021</v>
      </c>
      <c r="N7" s="201">
        <v>2021</v>
      </c>
      <c r="O7" s="169"/>
      <c r="P7" s="201">
        <v>2022</v>
      </c>
      <c r="Q7" s="201">
        <v>2022</v>
      </c>
      <c r="R7" s="201">
        <v>2022</v>
      </c>
      <c r="S7" s="201">
        <v>2022</v>
      </c>
      <c r="T7" s="201">
        <v>2022</v>
      </c>
      <c r="U7" s="169"/>
      <c r="V7" s="201">
        <v>2023</v>
      </c>
      <c r="W7" s="201">
        <v>2023</v>
      </c>
      <c r="X7" s="201">
        <v>2023</v>
      </c>
      <c r="Y7" s="201">
        <v>2023</v>
      </c>
      <c r="Z7" s="201">
        <v>2023</v>
      </c>
      <c r="AA7" s="170"/>
      <c r="AB7" s="201">
        <v>2024</v>
      </c>
      <c r="AC7" s="201">
        <v>2024</v>
      </c>
      <c r="AD7" s="201">
        <v>2024</v>
      </c>
      <c r="AE7" s="201">
        <v>2024</v>
      </c>
      <c r="AF7" s="201">
        <v>2024</v>
      </c>
      <c r="AG7" s="170"/>
      <c r="AH7" s="201">
        <v>2025</v>
      </c>
      <c r="AI7" s="201">
        <v>2025</v>
      </c>
      <c r="AJ7" s="202">
        <v>2025</v>
      </c>
      <c r="AK7" s="201">
        <v>2025</v>
      </c>
      <c r="AL7" s="201">
        <v>2025</v>
      </c>
      <c r="AM7" s="171"/>
      <c r="AN7" s="201">
        <v>2025</v>
      </c>
      <c r="AO7" s="201">
        <v>2025</v>
      </c>
      <c r="AP7" s="202">
        <v>2025</v>
      </c>
      <c r="AQ7" s="201">
        <v>2025</v>
      </c>
      <c r="AR7" s="201">
        <v>2025</v>
      </c>
      <c r="AS7" s="18"/>
      <c r="AT7" s="162"/>
      <c r="AU7" s="18"/>
      <c r="AV7" s="163"/>
      <c r="AW7" s="18"/>
      <c r="AX7" s="163"/>
    </row>
    <row r="8" spans="1:50" ht="15" customHeight="1">
      <c r="B8" s="164"/>
      <c r="C8" s="18"/>
      <c r="D8" s="822">
        <v>2020</v>
      </c>
      <c r="E8" s="822"/>
      <c r="F8" s="822"/>
      <c r="G8" s="822"/>
      <c r="H8" s="822"/>
      <c r="I8" s="169"/>
      <c r="J8" s="822">
        <v>2021</v>
      </c>
      <c r="K8" s="822"/>
      <c r="L8" s="822"/>
      <c r="M8" s="822"/>
      <c r="N8" s="822"/>
      <c r="O8" s="169"/>
      <c r="P8" s="822">
        <v>2022</v>
      </c>
      <c r="Q8" s="822"/>
      <c r="R8" s="822"/>
      <c r="S8" s="822"/>
      <c r="T8" s="822"/>
      <c r="U8" s="169"/>
      <c r="V8" s="822">
        <v>2023</v>
      </c>
      <c r="W8" s="822"/>
      <c r="X8" s="822"/>
      <c r="Y8" s="822"/>
      <c r="Z8" s="822"/>
      <c r="AA8" s="169"/>
      <c r="AB8" s="822">
        <v>2024</v>
      </c>
      <c r="AC8" s="822"/>
      <c r="AD8" s="822"/>
      <c r="AE8" s="822"/>
      <c r="AF8" s="822"/>
      <c r="AG8" s="169"/>
      <c r="AH8" s="821">
        <v>2025</v>
      </c>
      <c r="AI8" s="821"/>
      <c r="AJ8" s="821"/>
      <c r="AK8" s="821"/>
      <c r="AL8" s="821"/>
      <c r="AM8" s="169"/>
      <c r="AN8" s="821">
        <v>2026</v>
      </c>
      <c r="AO8" s="821"/>
      <c r="AP8" s="821"/>
      <c r="AQ8" s="821"/>
      <c r="AR8" s="821"/>
      <c r="AS8" s="171"/>
      <c r="AT8" s="166">
        <v>2027</v>
      </c>
      <c r="AU8" s="167"/>
      <c r="AV8" s="166">
        <v>2028</v>
      </c>
      <c r="AW8" s="167"/>
      <c r="AX8" s="166">
        <v>2029</v>
      </c>
    </row>
    <row r="9" spans="1:50" ht="15" customHeight="1">
      <c r="B9" s="164"/>
      <c r="C9" s="18"/>
      <c r="D9" s="168" t="s">
        <v>173</v>
      </c>
      <c r="E9" s="168" t="s">
        <v>174</v>
      </c>
      <c r="F9" s="168" t="s">
        <v>175</v>
      </c>
      <c r="G9" s="168" t="s">
        <v>176</v>
      </c>
      <c r="H9" s="168" t="s">
        <v>177</v>
      </c>
      <c r="I9" s="18"/>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173</v>
      </c>
      <c r="AI9" s="168" t="s">
        <v>174</v>
      </c>
      <c r="AJ9" s="168" t="s">
        <v>175</v>
      </c>
      <c r="AK9" s="168" t="s">
        <v>176</v>
      </c>
      <c r="AL9" s="168" t="s">
        <v>177</v>
      </c>
      <c r="AM9" s="165"/>
      <c r="AN9" s="168" t="s">
        <v>173</v>
      </c>
      <c r="AO9" s="168" t="s">
        <v>174</v>
      </c>
      <c r="AP9" s="168" t="s">
        <v>175</v>
      </c>
      <c r="AQ9" s="168" t="s">
        <v>176</v>
      </c>
      <c r="AR9" s="168" t="s">
        <v>177</v>
      </c>
      <c r="AS9" s="165"/>
      <c r="AT9" s="168" t="s">
        <v>177</v>
      </c>
      <c r="AU9" s="165"/>
      <c r="AV9" s="168" t="s">
        <v>177</v>
      </c>
      <c r="AW9" s="165"/>
      <c r="AX9" s="168" t="s">
        <v>177</v>
      </c>
    </row>
    <row r="10" spans="1:50" ht="4"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3"/>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594</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39</v>
      </c>
      <c r="B14" s="114" t="s">
        <v>595</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596</v>
      </c>
      <c r="D15" s="60">
        <v>0</v>
      </c>
      <c r="E15" s="60">
        <v>0</v>
      </c>
      <c r="F15" s="60">
        <v>2.7099999999999999E-2</v>
      </c>
      <c r="G15" s="60">
        <v>0</v>
      </c>
      <c r="H15" s="57">
        <v>0</v>
      </c>
      <c r="I15" s="116"/>
      <c r="J15" s="60">
        <v>0.57540000000000002</v>
      </c>
      <c r="K15" s="60">
        <v>0.31119999999999998</v>
      </c>
      <c r="L15" s="60">
        <v>27.626999999999999</v>
      </c>
      <c r="M15" s="60">
        <v>25.064</v>
      </c>
      <c r="N15" s="57">
        <v>25.064</v>
      </c>
      <c r="O15" s="116"/>
      <c r="P15" s="60">
        <v>27.024999999999999</v>
      </c>
      <c r="Q15" s="60">
        <v>23.472000000000001</v>
      </c>
      <c r="R15" s="60">
        <v>14.010999999999999</v>
      </c>
      <c r="S15" s="60">
        <v>16.239000000000001</v>
      </c>
      <c r="T15" s="57">
        <v>16.239000000000001</v>
      </c>
      <c r="U15" s="116"/>
      <c r="V15" s="60">
        <v>32.185000000000002</v>
      </c>
      <c r="W15" s="60">
        <v>26.797999999999998</v>
      </c>
      <c r="X15" s="60">
        <v>31.125</v>
      </c>
      <c r="Y15" s="60">
        <v>31.791</v>
      </c>
      <c r="Z15" s="57">
        <v>31.791</v>
      </c>
      <c r="AA15" s="117"/>
      <c r="AB15" s="60">
        <v>47.183</v>
      </c>
      <c r="AC15" s="60">
        <v>46.622</v>
      </c>
      <c r="AD15" s="60">
        <v>44.838000000000001</v>
      </c>
      <c r="AE15" s="60">
        <v>61.344000000000001</v>
      </c>
      <c r="AF15" s="57">
        <v>61.344000000000001</v>
      </c>
      <c r="AG15" s="118"/>
      <c r="AH15" s="60">
        <v>57.954000000000001</v>
      </c>
      <c r="AI15" s="60">
        <v>45.226999999999997</v>
      </c>
      <c r="AJ15" s="125"/>
      <c r="AK15" s="125"/>
      <c r="AL15" s="108"/>
      <c r="AM15" s="126"/>
      <c r="AN15" s="125"/>
      <c r="AO15" s="125"/>
      <c r="AP15" s="125"/>
      <c r="AQ15" s="125"/>
      <c r="AR15" s="108"/>
      <c r="AS15" s="126"/>
      <c r="AT15" s="108"/>
      <c r="AU15" s="126"/>
      <c r="AV15" s="108"/>
    </row>
    <row r="16" spans="1:50" ht="15" customHeight="1">
      <c r="A16" s="44"/>
      <c r="B16" s="138" t="s">
        <v>597</v>
      </c>
      <c r="D16" s="60">
        <v>0</v>
      </c>
      <c r="E16" s="60">
        <v>0</v>
      </c>
      <c r="F16" s="60">
        <v>0</v>
      </c>
      <c r="G16" s="60">
        <v>0</v>
      </c>
      <c r="H16" s="57">
        <v>0</v>
      </c>
      <c r="I16" s="20"/>
      <c r="J16" s="60">
        <v>0</v>
      </c>
      <c r="K16" s="60">
        <v>0</v>
      </c>
      <c r="L16" s="60">
        <v>0</v>
      </c>
      <c r="M16" s="60">
        <v>0</v>
      </c>
      <c r="N16" s="57">
        <v>0</v>
      </c>
      <c r="O16" s="20"/>
      <c r="P16" s="60">
        <v>0</v>
      </c>
      <c r="Q16" s="60">
        <v>0</v>
      </c>
      <c r="R16" s="60">
        <v>0</v>
      </c>
      <c r="S16" s="60">
        <v>0</v>
      </c>
      <c r="T16" s="57">
        <v>0</v>
      </c>
      <c r="U16" s="20"/>
      <c r="V16" s="60">
        <v>0</v>
      </c>
      <c r="W16" s="60">
        <v>0</v>
      </c>
      <c r="X16" s="60">
        <v>0</v>
      </c>
      <c r="Y16" s="60">
        <v>0</v>
      </c>
      <c r="Z16" s="57">
        <v>0</v>
      </c>
      <c r="AA16" s="122"/>
      <c r="AB16" s="60">
        <v>0</v>
      </c>
      <c r="AC16" s="60">
        <v>0</v>
      </c>
      <c r="AD16" s="60">
        <v>0</v>
      </c>
      <c r="AE16" s="60">
        <v>0</v>
      </c>
      <c r="AF16" s="57">
        <v>0</v>
      </c>
      <c r="AG16" s="124"/>
      <c r="AH16" s="60">
        <v>0</v>
      </c>
      <c r="AI16" s="60">
        <v>0</v>
      </c>
      <c r="AJ16" s="125"/>
      <c r="AK16" s="125"/>
      <c r="AL16" s="108"/>
      <c r="AM16" s="126"/>
      <c r="AN16" s="125"/>
      <c r="AO16" s="125"/>
      <c r="AP16" s="125"/>
      <c r="AQ16" s="125"/>
      <c r="AR16" s="108"/>
      <c r="AS16" s="126"/>
      <c r="AT16" s="108"/>
      <c r="AU16" s="126"/>
      <c r="AV16" s="108"/>
    </row>
    <row r="17" spans="1:48" s="113" customFormat="1" ht="15" customHeight="1">
      <c r="B17" s="138" t="s">
        <v>598</v>
      </c>
      <c r="C17" s="115"/>
      <c r="D17" s="60">
        <v>0</v>
      </c>
      <c r="E17" s="60">
        <v>0</v>
      </c>
      <c r="F17" s="60">
        <v>2.7099999999999999E-2</v>
      </c>
      <c r="G17" s="60">
        <v>0</v>
      </c>
      <c r="H17" s="57">
        <v>0</v>
      </c>
      <c r="I17" s="20"/>
      <c r="J17" s="60">
        <v>0.57540000000000002</v>
      </c>
      <c r="K17" s="60">
        <v>0.31119999999999998</v>
      </c>
      <c r="L17" s="60">
        <v>27.626999999999999</v>
      </c>
      <c r="M17" s="60">
        <v>25.064</v>
      </c>
      <c r="N17" s="57">
        <v>25.064</v>
      </c>
      <c r="O17" s="20"/>
      <c r="P17" s="60">
        <v>27.024999999999999</v>
      </c>
      <c r="Q17" s="60">
        <v>23.472000000000001</v>
      </c>
      <c r="R17" s="60">
        <v>14.010999999999999</v>
      </c>
      <c r="S17" s="60">
        <v>16.239000000000001</v>
      </c>
      <c r="T17" s="57">
        <v>16.239000000000001</v>
      </c>
      <c r="U17" s="20"/>
      <c r="V17" s="60">
        <v>32.185000000000002</v>
      </c>
      <c r="W17" s="60">
        <v>26.797999999999998</v>
      </c>
      <c r="X17" s="60">
        <v>31.125</v>
      </c>
      <c r="Y17" s="60">
        <v>31.791</v>
      </c>
      <c r="Z17" s="57">
        <v>31.791</v>
      </c>
      <c r="AA17" s="122"/>
      <c r="AB17" s="60">
        <v>47.183</v>
      </c>
      <c r="AC17" s="60">
        <v>46.622</v>
      </c>
      <c r="AD17" s="60">
        <v>44.838000000000001</v>
      </c>
      <c r="AE17" s="60">
        <v>61.344000000000001</v>
      </c>
      <c r="AF17" s="57">
        <v>61.344000000000001</v>
      </c>
      <c r="AG17" s="124"/>
      <c r="AH17" s="60">
        <v>57.954000000000001</v>
      </c>
      <c r="AI17" s="60">
        <v>45.226999999999997</v>
      </c>
      <c r="AJ17" s="125"/>
      <c r="AK17" s="125"/>
      <c r="AL17" s="57"/>
      <c r="AM17" s="128"/>
      <c r="AN17" s="46"/>
      <c r="AO17" s="46"/>
      <c r="AP17" s="46"/>
      <c r="AQ17" s="46"/>
      <c r="AR17" s="57"/>
      <c r="AS17" s="128"/>
      <c r="AT17" s="57"/>
      <c r="AU17" s="128"/>
      <c r="AV17" s="57"/>
    </row>
    <row r="18" spans="1:48" s="113" customFormat="1" ht="15" customHeight="1">
      <c r="B18" s="127" t="s">
        <v>599</v>
      </c>
      <c r="C18" s="115"/>
      <c r="D18" s="60">
        <v>0</v>
      </c>
      <c r="E18" s="60">
        <v>0</v>
      </c>
      <c r="F18" s="60">
        <v>0</v>
      </c>
      <c r="G18" s="60">
        <v>0</v>
      </c>
      <c r="H18" s="57">
        <v>0</v>
      </c>
      <c r="I18" s="116"/>
      <c r="J18" s="60">
        <v>0</v>
      </c>
      <c r="K18" s="60">
        <v>0</v>
      </c>
      <c r="L18" s="60">
        <v>0</v>
      </c>
      <c r="M18" s="60">
        <v>0</v>
      </c>
      <c r="N18" s="57">
        <v>0</v>
      </c>
      <c r="O18" s="116"/>
      <c r="P18" s="60">
        <v>0</v>
      </c>
      <c r="Q18" s="60">
        <v>0</v>
      </c>
      <c r="R18" s="60">
        <v>0</v>
      </c>
      <c r="S18" s="60">
        <v>0</v>
      </c>
      <c r="T18" s="57">
        <v>0</v>
      </c>
      <c r="U18" s="116"/>
      <c r="V18" s="60">
        <v>0</v>
      </c>
      <c r="W18" s="60">
        <v>0</v>
      </c>
      <c r="X18" s="60">
        <v>0</v>
      </c>
      <c r="Y18" s="60">
        <v>0</v>
      </c>
      <c r="Z18" s="57">
        <v>0</v>
      </c>
      <c r="AA18" s="117"/>
      <c r="AB18" s="60">
        <v>0</v>
      </c>
      <c r="AC18" s="60">
        <v>0</v>
      </c>
      <c r="AD18" s="60">
        <v>0</v>
      </c>
      <c r="AE18" s="60">
        <v>0</v>
      </c>
      <c r="AF18" s="57">
        <v>0</v>
      </c>
      <c r="AG18" s="118"/>
      <c r="AH18" s="60">
        <v>0</v>
      </c>
      <c r="AI18" s="60">
        <v>0</v>
      </c>
      <c r="AJ18" s="50">
        <v>0</v>
      </c>
      <c r="AK18" s="50">
        <v>0</v>
      </c>
      <c r="AL18" s="58">
        <v>0</v>
      </c>
      <c r="AM18" s="128"/>
      <c r="AN18" s="50">
        <v>0</v>
      </c>
      <c r="AO18" s="50">
        <v>0</v>
      </c>
      <c r="AP18" s="50">
        <v>0</v>
      </c>
      <c r="AQ18" s="50">
        <v>0</v>
      </c>
      <c r="AR18" s="58">
        <v>0</v>
      </c>
      <c r="AS18" s="128"/>
      <c r="AT18" s="58">
        <v>0</v>
      </c>
      <c r="AU18" s="128"/>
      <c r="AV18" s="58">
        <v>0</v>
      </c>
    </row>
    <row r="19" spans="1:48" ht="15" customHeight="1">
      <c r="A19" s="43"/>
      <c r="B19" s="127" t="s">
        <v>410</v>
      </c>
      <c r="D19" s="60">
        <v>0</v>
      </c>
      <c r="E19" s="60">
        <v>0</v>
      </c>
      <c r="F19" s="60">
        <v>0</v>
      </c>
      <c r="G19" s="60">
        <v>0</v>
      </c>
      <c r="H19" s="57">
        <v>0</v>
      </c>
      <c r="I19" s="20"/>
      <c r="J19" s="60">
        <v>0</v>
      </c>
      <c r="K19" s="60">
        <v>0</v>
      </c>
      <c r="L19" s="60">
        <v>0</v>
      </c>
      <c r="M19" s="60">
        <v>0</v>
      </c>
      <c r="N19" s="57">
        <v>0</v>
      </c>
      <c r="O19" s="20"/>
      <c r="P19" s="60">
        <v>0</v>
      </c>
      <c r="Q19" s="60">
        <v>0</v>
      </c>
      <c r="R19" s="60">
        <v>0</v>
      </c>
      <c r="S19" s="60">
        <v>0</v>
      </c>
      <c r="T19" s="57">
        <v>0</v>
      </c>
      <c r="U19" s="20"/>
      <c r="V19" s="60">
        <v>0</v>
      </c>
      <c r="W19" s="60">
        <v>0</v>
      </c>
      <c r="X19" s="60">
        <v>0</v>
      </c>
      <c r="Y19" s="60">
        <v>0</v>
      </c>
      <c r="Z19" s="57">
        <v>0</v>
      </c>
      <c r="AA19" s="122"/>
      <c r="AB19" s="60">
        <v>0</v>
      </c>
      <c r="AC19" s="60">
        <v>0</v>
      </c>
      <c r="AD19" s="60">
        <v>0</v>
      </c>
      <c r="AE19" s="60">
        <v>0</v>
      </c>
      <c r="AF19" s="57">
        <v>0</v>
      </c>
      <c r="AG19" s="124"/>
      <c r="AH19" s="60">
        <v>0</v>
      </c>
      <c r="AI19" s="60">
        <v>0</v>
      </c>
      <c r="AJ19" s="50">
        <v>0</v>
      </c>
      <c r="AK19" s="50">
        <v>0</v>
      </c>
      <c r="AL19" s="58">
        <v>0</v>
      </c>
      <c r="AM19" s="126"/>
      <c r="AN19" s="50">
        <v>0</v>
      </c>
      <c r="AO19" s="50">
        <v>0</v>
      </c>
      <c r="AP19" s="50">
        <v>0</v>
      </c>
      <c r="AQ19" s="50">
        <v>0</v>
      </c>
      <c r="AR19" s="58">
        <v>0</v>
      </c>
      <c r="AS19" s="126"/>
      <c r="AT19" s="58">
        <v>0</v>
      </c>
      <c r="AU19" s="126"/>
      <c r="AV19" s="58">
        <v>0</v>
      </c>
    </row>
    <row r="20" spans="1:48" s="113" customFormat="1" ht="15" customHeight="1">
      <c r="B20" s="127" t="s">
        <v>600</v>
      </c>
      <c r="C20" s="115"/>
      <c r="D20" s="46">
        <v>0</v>
      </c>
      <c r="E20" s="46">
        <v>0</v>
      </c>
      <c r="F20" s="46">
        <v>1.9313</v>
      </c>
      <c r="G20" s="46">
        <v>0</v>
      </c>
      <c r="H20" s="74">
        <v>0</v>
      </c>
      <c r="I20" s="116"/>
      <c r="J20" s="46">
        <v>0.21250000000000002</v>
      </c>
      <c r="K20" s="46">
        <v>0.11680000000000001</v>
      </c>
      <c r="L20" s="46">
        <v>364.55799999999999</v>
      </c>
      <c r="M20" s="46">
        <v>37.298000000000002</v>
      </c>
      <c r="N20" s="74">
        <v>37.298000000000002</v>
      </c>
      <c r="O20" s="116"/>
      <c r="P20" s="46">
        <v>32.920999999999999</v>
      </c>
      <c r="Q20" s="46">
        <v>34.165999999999997</v>
      </c>
      <c r="R20" s="46">
        <v>36.457999999999998</v>
      </c>
      <c r="S20" s="46">
        <v>33.430999999999997</v>
      </c>
      <c r="T20" s="74">
        <v>33.430999999999997</v>
      </c>
      <c r="U20" s="116"/>
      <c r="V20" s="46">
        <v>39.188999999999993</v>
      </c>
      <c r="W20" s="46">
        <v>35.31</v>
      </c>
      <c r="X20" s="46">
        <v>34.902000000000001</v>
      </c>
      <c r="Y20" s="46">
        <v>42.152000000000001</v>
      </c>
      <c r="Z20" s="74">
        <v>42.152000000000001</v>
      </c>
      <c r="AA20" s="129"/>
      <c r="AB20" s="46">
        <v>41.538000000000004</v>
      </c>
      <c r="AC20" s="46">
        <v>34.215000000000003</v>
      </c>
      <c r="AD20" s="46">
        <v>29.395000000000003</v>
      </c>
      <c r="AE20" s="46">
        <v>26.943999999999996</v>
      </c>
      <c r="AF20" s="74">
        <v>26.943999999999996</v>
      </c>
      <c r="AG20" s="130"/>
      <c r="AH20" s="46">
        <v>32.814</v>
      </c>
      <c r="AI20" s="46">
        <v>33.038000000000004</v>
      </c>
      <c r="AJ20" s="50">
        <v>0</v>
      </c>
      <c r="AK20" s="50">
        <v>0</v>
      </c>
      <c r="AL20" s="75">
        <v>0</v>
      </c>
      <c r="AM20" s="129"/>
      <c r="AN20" s="50">
        <v>0</v>
      </c>
      <c r="AO20" s="50">
        <v>0</v>
      </c>
      <c r="AP20" s="50">
        <v>0</v>
      </c>
      <c r="AQ20" s="50">
        <v>0</v>
      </c>
      <c r="AR20" s="75">
        <v>0</v>
      </c>
      <c r="AS20" s="129"/>
      <c r="AT20" s="75">
        <v>0</v>
      </c>
      <c r="AU20" s="129"/>
      <c r="AV20" s="75">
        <v>0</v>
      </c>
    </row>
    <row r="21" spans="1:48" s="135" customFormat="1" ht="15" customHeight="1">
      <c r="A21" s="84"/>
      <c r="B21" s="59" t="s">
        <v>601</v>
      </c>
      <c r="C21" s="26"/>
      <c r="D21" s="60">
        <v>0</v>
      </c>
      <c r="E21" s="60">
        <v>0</v>
      </c>
      <c r="F21" s="60">
        <v>1.9583999999999999</v>
      </c>
      <c r="G21" s="60">
        <v>0</v>
      </c>
      <c r="H21" s="77">
        <v>0</v>
      </c>
      <c r="I21" s="131"/>
      <c r="J21" s="60">
        <v>0.78790000000000004</v>
      </c>
      <c r="K21" s="60">
        <v>0.42799999999999999</v>
      </c>
      <c r="L21" s="60">
        <v>392.185</v>
      </c>
      <c r="M21" s="60">
        <v>62.362000000000002</v>
      </c>
      <c r="N21" s="77">
        <v>62.362000000000002</v>
      </c>
      <c r="O21" s="131"/>
      <c r="P21" s="60">
        <v>59.945999999999998</v>
      </c>
      <c r="Q21" s="60">
        <v>57.637999999999998</v>
      </c>
      <c r="R21" s="60">
        <v>50.469000000000001</v>
      </c>
      <c r="S21" s="60">
        <v>49.67</v>
      </c>
      <c r="T21" s="77">
        <v>49.67</v>
      </c>
      <c r="U21" s="131"/>
      <c r="V21" s="60">
        <v>71.373999999999995</v>
      </c>
      <c r="W21" s="60">
        <v>62.107999999999997</v>
      </c>
      <c r="X21" s="60">
        <v>66.027000000000001</v>
      </c>
      <c r="Y21" s="60">
        <v>73.942999999999998</v>
      </c>
      <c r="Z21" s="77">
        <v>73.942999999999998</v>
      </c>
      <c r="AA21" s="132"/>
      <c r="AB21" s="60">
        <v>88.721000000000004</v>
      </c>
      <c r="AC21" s="60">
        <v>80.837000000000003</v>
      </c>
      <c r="AD21" s="60">
        <v>74.233000000000004</v>
      </c>
      <c r="AE21" s="60">
        <v>88.287999999999997</v>
      </c>
      <c r="AF21" s="77">
        <v>88.287999999999997</v>
      </c>
      <c r="AG21" s="133"/>
      <c r="AH21" s="60">
        <v>90.768000000000001</v>
      </c>
      <c r="AI21" s="60">
        <v>78.265000000000001</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39</v>
      </c>
      <c r="B23" s="45" t="s">
        <v>602</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413</v>
      </c>
      <c r="D24" s="60">
        <v>0</v>
      </c>
      <c r="E24" s="60">
        <v>0</v>
      </c>
      <c r="F24" s="60">
        <v>0</v>
      </c>
      <c r="G24" s="60">
        <v>0</v>
      </c>
      <c r="H24" s="57">
        <v>0</v>
      </c>
      <c r="I24" s="20"/>
      <c r="J24" s="60">
        <v>0</v>
      </c>
      <c r="K24" s="60">
        <v>0</v>
      </c>
      <c r="L24" s="60">
        <v>13.827</v>
      </c>
      <c r="M24" s="60">
        <v>14.643000000000001</v>
      </c>
      <c r="N24" s="57">
        <v>14.643000000000001</v>
      </c>
      <c r="O24" s="20"/>
      <c r="P24" s="60">
        <v>30.332999999999998</v>
      </c>
      <c r="Q24" s="60">
        <v>29.713000000000001</v>
      </c>
      <c r="R24" s="60">
        <v>29.143999999999998</v>
      </c>
      <c r="S24" s="60">
        <v>27.626000000000001</v>
      </c>
      <c r="T24" s="57">
        <v>27.626000000000001</v>
      </c>
      <c r="U24" s="20"/>
      <c r="V24" s="60">
        <v>25.989000000000001</v>
      </c>
      <c r="W24" s="60">
        <v>24.952000000000002</v>
      </c>
      <c r="X24" s="60">
        <v>23.684999999999999</v>
      </c>
      <c r="Y24" s="60">
        <v>22.472000000000001</v>
      </c>
      <c r="Z24" s="57">
        <v>22.472000000000001</v>
      </c>
      <c r="AA24" s="122"/>
      <c r="AB24" s="60">
        <v>21.460999999999999</v>
      </c>
      <c r="AC24" s="60">
        <v>21.155999999999999</v>
      </c>
      <c r="AD24" s="60">
        <v>22.373000000000001</v>
      </c>
      <c r="AE24" s="60">
        <v>24.259</v>
      </c>
      <c r="AF24" s="57">
        <v>24.259</v>
      </c>
      <c r="AG24" s="124"/>
      <c r="AH24" s="60">
        <v>26.337</v>
      </c>
      <c r="AI24" s="60">
        <v>29.079000000000001</v>
      </c>
      <c r="AJ24" s="50">
        <v>29.079000000000001</v>
      </c>
      <c r="AK24" s="50">
        <v>29.079000000000001</v>
      </c>
      <c r="AL24" s="58">
        <v>29.079000000000001</v>
      </c>
      <c r="AM24" s="126"/>
      <c r="AN24" s="50">
        <v>29.079000000000001</v>
      </c>
      <c r="AO24" s="50">
        <v>29.079000000000001</v>
      </c>
      <c r="AP24" s="50">
        <v>29.079000000000001</v>
      </c>
      <c r="AQ24" s="50">
        <v>29.079000000000001</v>
      </c>
      <c r="AR24" s="58">
        <v>29.079000000000001</v>
      </c>
      <c r="AS24" s="126"/>
      <c r="AT24" s="58">
        <v>29.079000000000001</v>
      </c>
      <c r="AU24" s="126"/>
      <c r="AV24" s="58">
        <v>29.079000000000001</v>
      </c>
    </row>
    <row r="25" spans="1:48" s="113" customFormat="1" ht="15" customHeight="1">
      <c r="B25" s="138" t="s">
        <v>603</v>
      </c>
      <c r="C25" s="115"/>
      <c r="D25" s="60">
        <v>0</v>
      </c>
      <c r="E25" s="60">
        <v>0</v>
      </c>
      <c r="F25" s="60">
        <v>0</v>
      </c>
      <c r="G25" s="60">
        <v>0</v>
      </c>
      <c r="H25" s="57">
        <v>0</v>
      </c>
      <c r="I25" s="116"/>
      <c r="J25" s="60">
        <v>0</v>
      </c>
      <c r="K25" s="60">
        <v>0</v>
      </c>
      <c r="L25" s="60">
        <v>35.552</v>
      </c>
      <c r="M25" s="60">
        <v>39.356999999999999</v>
      </c>
      <c r="N25" s="57">
        <v>39.356999999999999</v>
      </c>
      <c r="O25" s="116"/>
      <c r="P25" s="60">
        <v>58.284999999999997</v>
      </c>
      <c r="Q25" s="60">
        <v>61.027999999999999</v>
      </c>
      <c r="R25" s="60">
        <v>63.91</v>
      </c>
      <c r="S25" s="60">
        <v>65.006</v>
      </c>
      <c r="T25" s="57">
        <v>65.006</v>
      </c>
      <c r="U25" s="116"/>
      <c r="V25" s="60">
        <v>66.760000000000005</v>
      </c>
      <c r="W25" s="60">
        <v>68.992000000000004</v>
      </c>
      <c r="X25" s="60">
        <v>70.834000000000003</v>
      </c>
      <c r="Y25" s="60">
        <v>72.528000000000006</v>
      </c>
      <c r="Z25" s="57">
        <v>72.528000000000006</v>
      </c>
      <c r="AA25" s="129"/>
      <c r="AB25" s="60">
        <v>74.239000000000004</v>
      </c>
      <c r="AC25" s="60">
        <v>76.423000000000002</v>
      </c>
      <c r="AD25" s="60">
        <v>79.498000000000005</v>
      </c>
      <c r="AE25" s="60">
        <v>83.509</v>
      </c>
      <c r="AF25" s="57">
        <v>83.509</v>
      </c>
      <c r="AG25" s="130"/>
      <c r="AH25" s="60">
        <v>87.343999999999994</v>
      </c>
      <c r="AI25" s="60">
        <v>91.585999999999999</v>
      </c>
      <c r="AJ25" s="50"/>
      <c r="AK25" s="50"/>
      <c r="AL25" s="58"/>
      <c r="AM25" s="129"/>
      <c r="AN25" s="50"/>
      <c r="AO25" s="50"/>
      <c r="AP25" s="50"/>
      <c r="AQ25" s="50"/>
      <c r="AR25" s="58"/>
      <c r="AS25" s="129"/>
      <c r="AT25" s="58"/>
      <c r="AU25" s="129"/>
      <c r="AV25" s="58"/>
    </row>
    <row r="26" spans="1:48" ht="15" customHeight="1">
      <c r="A26" s="43"/>
      <c r="B26" s="138" t="s">
        <v>604</v>
      </c>
      <c r="D26" s="60">
        <v>0</v>
      </c>
      <c r="E26" s="60">
        <v>0</v>
      </c>
      <c r="F26" s="60">
        <v>0</v>
      </c>
      <c r="G26" s="60">
        <v>0</v>
      </c>
      <c r="H26" s="57">
        <v>0</v>
      </c>
      <c r="I26" s="20"/>
      <c r="J26" s="60">
        <v>0</v>
      </c>
      <c r="K26" s="60">
        <v>0</v>
      </c>
      <c r="L26" s="60">
        <v>21.725000000000001</v>
      </c>
      <c r="M26" s="60">
        <v>24.713999999999999</v>
      </c>
      <c r="N26" s="57">
        <v>24.713999999999999</v>
      </c>
      <c r="O26" s="20"/>
      <c r="P26" s="60">
        <v>27.952000000000002</v>
      </c>
      <c r="Q26" s="60">
        <v>31.315000000000001</v>
      </c>
      <c r="R26" s="60">
        <v>34.765999999999998</v>
      </c>
      <c r="S26" s="60">
        <v>37.380000000000003</v>
      </c>
      <c r="T26" s="57">
        <v>37.380000000000003</v>
      </c>
      <c r="U26" s="20"/>
      <c r="V26" s="60">
        <v>40.771000000000001</v>
      </c>
      <c r="W26" s="60">
        <v>44.04</v>
      </c>
      <c r="X26" s="60">
        <v>47.149000000000001</v>
      </c>
      <c r="Y26" s="60">
        <v>50.055999999999997</v>
      </c>
      <c r="Z26" s="57">
        <v>50.055999999999997</v>
      </c>
      <c r="AA26" s="122"/>
      <c r="AB26" s="60">
        <v>52.777999999999999</v>
      </c>
      <c r="AC26" s="60">
        <v>55.267000000000003</v>
      </c>
      <c r="AD26" s="60">
        <v>57.125</v>
      </c>
      <c r="AE26" s="60">
        <v>59.25</v>
      </c>
      <c r="AF26" s="57">
        <v>59.25</v>
      </c>
      <c r="AG26" s="124"/>
      <c r="AH26" s="60">
        <v>61.006999999999998</v>
      </c>
      <c r="AI26" s="60">
        <v>62.506999999999998</v>
      </c>
      <c r="AJ26" s="50"/>
      <c r="AK26" s="50"/>
      <c r="AL26" s="58"/>
      <c r="AM26" s="126"/>
      <c r="AN26" s="50"/>
      <c r="AO26" s="50"/>
      <c r="AP26" s="50"/>
      <c r="AQ26" s="50"/>
      <c r="AR26" s="58"/>
      <c r="AS26" s="126"/>
      <c r="AT26" s="58"/>
      <c r="AU26" s="126"/>
      <c r="AV26" s="58"/>
    </row>
    <row r="27" spans="1:48" ht="15" customHeight="1">
      <c r="A27" s="43"/>
      <c r="B27" s="127" t="s">
        <v>415</v>
      </c>
      <c r="D27" s="60">
        <v>0</v>
      </c>
      <c r="E27" s="60">
        <v>0</v>
      </c>
      <c r="F27" s="60">
        <v>0</v>
      </c>
      <c r="G27" s="60">
        <v>0</v>
      </c>
      <c r="H27" s="57">
        <v>0</v>
      </c>
      <c r="I27" s="20"/>
      <c r="J27" s="60">
        <v>0</v>
      </c>
      <c r="K27" s="60">
        <v>0</v>
      </c>
      <c r="L27" s="60">
        <v>0</v>
      </c>
      <c r="M27" s="60">
        <v>0</v>
      </c>
      <c r="N27" s="57">
        <v>0</v>
      </c>
      <c r="O27" s="20"/>
      <c r="P27" s="60">
        <v>0</v>
      </c>
      <c r="Q27" s="60">
        <v>0</v>
      </c>
      <c r="R27" s="60">
        <v>0</v>
      </c>
      <c r="S27" s="60">
        <v>0</v>
      </c>
      <c r="T27" s="57">
        <v>0</v>
      </c>
      <c r="U27" s="20"/>
      <c r="V27" s="60">
        <v>0</v>
      </c>
      <c r="W27" s="60">
        <v>0</v>
      </c>
      <c r="X27" s="60">
        <v>0</v>
      </c>
      <c r="Y27" s="60">
        <v>0</v>
      </c>
      <c r="Z27" s="57">
        <v>0</v>
      </c>
      <c r="AA27" s="122"/>
      <c r="AB27" s="60">
        <v>0</v>
      </c>
      <c r="AC27" s="60">
        <v>0</v>
      </c>
      <c r="AD27" s="60">
        <v>0</v>
      </c>
      <c r="AE27" s="60">
        <v>0</v>
      </c>
      <c r="AF27" s="57">
        <v>0</v>
      </c>
      <c r="AG27" s="124"/>
      <c r="AH27" s="60">
        <v>0</v>
      </c>
      <c r="AI27" s="60">
        <v>0</v>
      </c>
      <c r="AJ27" s="50"/>
      <c r="AK27" s="50"/>
      <c r="AL27" s="58"/>
      <c r="AM27" s="126"/>
      <c r="AN27" s="50"/>
      <c r="AO27" s="50"/>
      <c r="AP27" s="50"/>
      <c r="AQ27" s="50"/>
      <c r="AR27" s="58"/>
      <c r="AS27" s="126"/>
      <c r="AT27" s="58"/>
      <c r="AU27" s="126"/>
      <c r="AV27" s="58"/>
    </row>
    <row r="28" spans="1:48" ht="15" customHeight="1">
      <c r="A28" s="43"/>
      <c r="B28" s="127" t="s">
        <v>605</v>
      </c>
      <c r="D28" s="60">
        <v>0</v>
      </c>
      <c r="E28" s="60">
        <v>0</v>
      </c>
      <c r="F28" s="60">
        <v>0</v>
      </c>
      <c r="G28" s="60">
        <v>0</v>
      </c>
      <c r="H28" s="57">
        <v>0</v>
      </c>
      <c r="I28" s="20"/>
      <c r="J28" s="60">
        <v>0</v>
      </c>
      <c r="K28" s="60">
        <v>0</v>
      </c>
      <c r="L28" s="60">
        <v>0</v>
      </c>
      <c r="M28" s="60">
        <v>0</v>
      </c>
      <c r="N28" s="57">
        <v>0</v>
      </c>
      <c r="O28" s="20"/>
      <c r="P28" s="60">
        <v>0</v>
      </c>
      <c r="Q28" s="60">
        <v>0</v>
      </c>
      <c r="R28" s="60">
        <v>0</v>
      </c>
      <c r="S28" s="60">
        <v>0</v>
      </c>
      <c r="T28" s="57">
        <v>0</v>
      </c>
      <c r="U28" s="20"/>
      <c r="V28" s="60">
        <v>0</v>
      </c>
      <c r="W28" s="60">
        <v>0</v>
      </c>
      <c r="X28" s="60">
        <v>0</v>
      </c>
      <c r="Y28" s="60">
        <v>0</v>
      </c>
      <c r="Z28" s="57">
        <v>0</v>
      </c>
      <c r="AA28" s="122"/>
      <c r="AB28" s="60">
        <v>0</v>
      </c>
      <c r="AC28" s="60">
        <v>0</v>
      </c>
      <c r="AD28" s="60">
        <v>0</v>
      </c>
      <c r="AE28" s="60">
        <v>0</v>
      </c>
      <c r="AF28" s="57">
        <v>0</v>
      </c>
      <c r="AG28" s="124"/>
      <c r="AH28" s="60">
        <v>0</v>
      </c>
      <c r="AI28" s="60">
        <v>0</v>
      </c>
      <c r="AJ28" s="50"/>
      <c r="AK28" s="50"/>
      <c r="AL28" s="58"/>
      <c r="AM28" s="137"/>
      <c r="AN28" s="50"/>
      <c r="AO28" s="50"/>
      <c r="AP28" s="50"/>
      <c r="AQ28" s="50"/>
      <c r="AR28" s="58"/>
      <c r="AS28" s="137"/>
      <c r="AT28" s="58"/>
      <c r="AU28" s="137"/>
      <c r="AV28" s="58"/>
    </row>
    <row r="29" spans="1:48" ht="15" customHeight="1">
      <c r="A29" s="43"/>
      <c r="B29" s="127" t="s">
        <v>503</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v>0</v>
      </c>
      <c r="AK29" s="50">
        <v>0</v>
      </c>
      <c r="AL29" s="58">
        <v>0</v>
      </c>
      <c r="AM29" s="126"/>
      <c r="AN29" s="50">
        <v>0</v>
      </c>
      <c r="AO29" s="50">
        <v>0</v>
      </c>
      <c r="AP29" s="50">
        <v>0</v>
      </c>
      <c r="AQ29" s="50">
        <v>0</v>
      </c>
      <c r="AR29" s="58">
        <v>0</v>
      </c>
      <c r="AS29" s="126"/>
      <c r="AT29" s="58">
        <v>23400</v>
      </c>
      <c r="AU29" s="126"/>
      <c r="AV29" s="58">
        <v>46020</v>
      </c>
    </row>
    <row r="30" spans="1:48" s="113" customFormat="1" ht="15" customHeight="1">
      <c r="B30" s="127" t="s">
        <v>606</v>
      </c>
      <c r="C30" s="115"/>
      <c r="D30" s="60">
        <v>0</v>
      </c>
      <c r="E30" s="60">
        <v>0</v>
      </c>
      <c r="F30" s="60">
        <v>0</v>
      </c>
      <c r="G30" s="60">
        <v>0</v>
      </c>
      <c r="H30" s="74">
        <v>0</v>
      </c>
      <c r="I30" s="116"/>
      <c r="J30" s="60">
        <v>243.38679999999999</v>
      </c>
      <c r="K30" s="60">
        <v>243.3811</v>
      </c>
      <c r="L30" s="60">
        <v>34.642000000000003</v>
      </c>
      <c r="M30" s="60">
        <v>425.101</v>
      </c>
      <c r="N30" s="74">
        <v>425.101</v>
      </c>
      <c r="O30" s="116"/>
      <c r="P30" s="60">
        <v>422.26599999999996</v>
      </c>
      <c r="Q30" s="60">
        <v>490.71899999999999</v>
      </c>
      <c r="R30" s="60">
        <v>500.35699999999997</v>
      </c>
      <c r="S30" s="60">
        <v>502.54300000000001</v>
      </c>
      <c r="T30" s="74">
        <v>502.54300000000001</v>
      </c>
      <c r="U30" s="116"/>
      <c r="V30" s="60">
        <v>462.68200000000002</v>
      </c>
      <c r="W30" s="60">
        <v>490.32000000000005</v>
      </c>
      <c r="X30" s="60">
        <v>510.88000000000005</v>
      </c>
      <c r="Y30" s="60">
        <v>505.12800000000004</v>
      </c>
      <c r="Z30" s="74">
        <v>505.12800000000004</v>
      </c>
      <c r="AA30" s="129"/>
      <c r="AB30" s="60">
        <v>453.024</v>
      </c>
      <c r="AC30" s="60">
        <v>471.09999999999997</v>
      </c>
      <c r="AD30" s="60">
        <v>522.66</v>
      </c>
      <c r="AE30" s="60">
        <v>528.62400000000002</v>
      </c>
      <c r="AF30" s="74">
        <v>528.62400000000002</v>
      </c>
      <c r="AG30" s="130"/>
      <c r="AH30" s="60">
        <v>522.96699999999998</v>
      </c>
      <c r="AI30" s="60">
        <v>566.03100000000006</v>
      </c>
      <c r="AJ30" s="50"/>
      <c r="AK30" s="50"/>
      <c r="AL30" s="75"/>
      <c r="AM30" s="129"/>
      <c r="AN30" s="50"/>
      <c r="AO30" s="50"/>
      <c r="AP30" s="50"/>
      <c r="AQ30" s="50"/>
      <c r="AR30" s="75"/>
      <c r="AS30" s="129"/>
      <c r="AT30" s="75"/>
      <c r="AU30" s="129"/>
      <c r="AV30" s="75"/>
    </row>
    <row r="31" spans="1:48" ht="15" customHeight="1">
      <c r="A31" s="43"/>
      <c r="B31" s="138" t="s">
        <v>607</v>
      </c>
      <c r="D31" s="60">
        <v>0</v>
      </c>
      <c r="E31" s="60">
        <v>0</v>
      </c>
      <c r="F31" s="60">
        <v>0</v>
      </c>
      <c r="G31" s="60">
        <v>0</v>
      </c>
      <c r="H31" s="74">
        <v>0</v>
      </c>
      <c r="I31" s="20"/>
      <c r="J31" s="60">
        <v>243.38679999999999</v>
      </c>
      <c r="K31" s="60">
        <v>243.3811</v>
      </c>
      <c r="L31" s="60">
        <v>48.469000000000001</v>
      </c>
      <c r="M31" s="60">
        <v>439.74400000000003</v>
      </c>
      <c r="N31" s="74">
        <v>439.74400000000003</v>
      </c>
      <c r="O31" s="20"/>
      <c r="P31" s="60">
        <v>452.59899999999999</v>
      </c>
      <c r="Q31" s="60">
        <v>520.43200000000002</v>
      </c>
      <c r="R31" s="60">
        <v>529.50099999999998</v>
      </c>
      <c r="S31" s="60">
        <v>530.16899999999998</v>
      </c>
      <c r="T31" s="74">
        <v>530.16899999999998</v>
      </c>
      <c r="U31" s="20"/>
      <c r="V31" s="60">
        <v>488.67099999999999</v>
      </c>
      <c r="W31" s="60">
        <v>515.27200000000005</v>
      </c>
      <c r="X31" s="60">
        <v>534.56500000000005</v>
      </c>
      <c r="Y31" s="60">
        <v>527.6</v>
      </c>
      <c r="Z31" s="74">
        <v>527.6</v>
      </c>
      <c r="AA31" s="122"/>
      <c r="AB31" s="60">
        <v>474.48500000000001</v>
      </c>
      <c r="AC31" s="60">
        <v>492.25599999999997</v>
      </c>
      <c r="AD31" s="60">
        <v>545.03300000000002</v>
      </c>
      <c r="AE31" s="60">
        <v>552.88300000000004</v>
      </c>
      <c r="AF31" s="74">
        <v>552.88300000000004</v>
      </c>
      <c r="AG31" s="124"/>
      <c r="AH31" s="60">
        <v>549.30399999999997</v>
      </c>
      <c r="AI31" s="60">
        <v>595.11</v>
      </c>
      <c r="AJ31" s="50"/>
      <c r="AK31" s="50"/>
      <c r="AL31" s="75"/>
      <c r="AM31" s="139"/>
      <c r="AN31" s="50"/>
      <c r="AO31" s="50"/>
      <c r="AP31" s="50"/>
      <c r="AQ31" s="50"/>
      <c r="AR31" s="75"/>
      <c r="AS31" s="139"/>
      <c r="AT31" s="75"/>
      <c r="AU31" s="139"/>
      <c r="AV31" s="75"/>
    </row>
    <row r="32" spans="1:48" s="113" customFormat="1" ht="15" customHeight="1" thickBot="1">
      <c r="B32" s="140" t="s">
        <v>608</v>
      </c>
      <c r="C32" s="115"/>
      <c r="D32" s="60">
        <v>0</v>
      </c>
      <c r="E32" s="60">
        <v>0</v>
      </c>
      <c r="F32" s="60">
        <v>1.9583999999999999</v>
      </c>
      <c r="G32" s="60">
        <v>0</v>
      </c>
      <c r="H32" s="93">
        <v>0</v>
      </c>
      <c r="I32" s="116"/>
      <c r="J32" s="60">
        <v>244.1747</v>
      </c>
      <c r="K32" s="60">
        <v>243.809</v>
      </c>
      <c r="L32" s="60">
        <v>440.654</v>
      </c>
      <c r="M32" s="60">
        <v>502.10599999999999</v>
      </c>
      <c r="N32" s="93">
        <v>502.10599999999999</v>
      </c>
      <c r="O32" s="116"/>
      <c r="P32" s="60">
        <v>512.54499999999996</v>
      </c>
      <c r="Q32" s="60">
        <v>578.07000000000005</v>
      </c>
      <c r="R32" s="60">
        <v>579.97</v>
      </c>
      <c r="S32" s="60">
        <v>579.83900000000006</v>
      </c>
      <c r="T32" s="93">
        <v>579.83900000000006</v>
      </c>
      <c r="U32" s="116"/>
      <c r="V32" s="60">
        <v>560.04499999999996</v>
      </c>
      <c r="W32" s="60">
        <v>577.38</v>
      </c>
      <c r="X32" s="60">
        <v>600.59199999999998</v>
      </c>
      <c r="Y32" s="60">
        <v>601.54300000000001</v>
      </c>
      <c r="Z32" s="93">
        <v>601.54300000000001</v>
      </c>
      <c r="AA32" s="141"/>
      <c r="AB32" s="60">
        <v>563.20600000000002</v>
      </c>
      <c r="AC32" s="60">
        <v>573.09299999999996</v>
      </c>
      <c r="AD32" s="60">
        <v>619.26599999999996</v>
      </c>
      <c r="AE32" s="60">
        <v>641.17100000000005</v>
      </c>
      <c r="AF32" s="93">
        <v>641.17100000000005</v>
      </c>
      <c r="AG32" s="130"/>
      <c r="AH32" s="60">
        <v>640.072</v>
      </c>
      <c r="AI32" s="60">
        <v>673.375</v>
      </c>
      <c r="AJ32" s="50"/>
      <c r="AK32" s="50"/>
      <c r="AL32" s="94"/>
      <c r="AM32" s="129"/>
      <c r="AN32" s="50"/>
      <c r="AO32" s="50"/>
      <c r="AP32" s="50"/>
      <c r="AQ32" s="50"/>
      <c r="AR32" s="94"/>
      <c r="AS32" s="129"/>
      <c r="AT32" s="94"/>
      <c r="AU32" s="129"/>
      <c r="AV32" s="94"/>
    </row>
    <row r="34" spans="1:48" s="113" customFormat="1" ht="15" customHeight="1">
      <c r="A34" s="44"/>
      <c r="B34" s="64" t="s">
        <v>609</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39</v>
      </c>
      <c r="B36" s="114" t="s">
        <v>610</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611</v>
      </c>
      <c r="D37" s="60">
        <v>0</v>
      </c>
      <c r="E37" s="60">
        <v>0</v>
      </c>
      <c r="F37" s="60">
        <v>1.8293999999999999</v>
      </c>
      <c r="G37" s="60">
        <v>0</v>
      </c>
      <c r="H37" s="57">
        <v>0</v>
      </c>
      <c r="I37" s="20"/>
      <c r="J37" s="60">
        <v>1.3684000000000001</v>
      </c>
      <c r="K37" s="60">
        <v>1.5402</v>
      </c>
      <c r="L37" s="60">
        <v>29.11</v>
      </c>
      <c r="M37" s="60">
        <v>35.695</v>
      </c>
      <c r="N37" s="57">
        <v>35.695</v>
      </c>
      <c r="O37" s="20"/>
      <c r="P37" s="60">
        <v>25.407</v>
      </c>
      <c r="Q37" s="60">
        <v>29.584</v>
      </c>
      <c r="R37" s="60">
        <v>26.242000000000001</v>
      </c>
      <c r="S37" s="60">
        <v>27.257999999999999</v>
      </c>
      <c r="T37" s="57">
        <v>27.257999999999999</v>
      </c>
      <c r="U37" s="20"/>
      <c r="V37" s="60">
        <v>20.582000000000001</v>
      </c>
      <c r="W37" s="60">
        <v>26.832999999999998</v>
      </c>
      <c r="X37" s="60">
        <v>25.472000000000001</v>
      </c>
      <c r="Y37" s="60">
        <v>26.448</v>
      </c>
      <c r="Z37" s="57">
        <v>26.448</v>
      </c>
      <c r="AA37" s="20"/>
      <c r="AB37" s="60">
        <v>24.012</v>
      </c>
      <c r="AC37" s="60">
        <v>28.001000000000001</v>
      </c>
      <c r="AD37" s="60">
        <v>30.42</v>
      </c>
      <c r="AE37" s="60">
        <v>33.29</v>
      </c>
      <c r="AF37" s="57">
        <v>33.29</v>
      </c>
      <c r="AG37" s="150"/>
      <c r="AH37" s="60">
        <v>32.923999999999999</v>
      </c>
      <c r="AI37" s="60">
        <v>29.84</v>
      </c>
      <c r="AJ37" s="50">
        <v>0</v>
      </c>
      <c r="AK37" s="50">
        <v>0</v>
      </c>
      <c r="AL37" s="58">
        <v>0</v>
      </c>
      <c r="AM37" s="20"/>
      <c r="AN37" s="50">
        <v>0</v>
      </c>
      <c r="AO37" s="50">
        <v>0</v>
      </c>
      <c r="AP37" s="50">
        <v>0</v>
      </c>
      <c r="AQ37" s="50">
        <v>0</v>
      </c>
      <c r="AR37" s="58">
        <v>0</v>
      </c>
      <c r="AS37" s="20"/>
      <c r="AT37" s="58">
        <v>0</v>
      </c>
      <c r="AU37" s="20"/>
      <c r="AV37" s="58">
        <v>0</v>
      </c>
    </row>
    <row r="38" spans="1:48" ht="15" customHeight="1">
      <c r="A38" s="43"/>
      <c r="B38" s="127" t="s">
        <v>612</v>
      </c>
      <c r="D38" s="60">
        <v>0</v>
      </c>
      <c r="E38" s="60">
        <v>0</v>
      </c>
      <c r="F38" s="60">
        <v>0.1</v>
      </c>
      <c r="G38" s="60">
        <v>0</v>
      </c>
      <c r="H38" s="57">
        <v>0</v>
      </c>
      <c r="I38" s="20"/>
      <c r="J38" s="60">
        <v>0</v>
      </c>
      <c r="K38" s="60">
        <v>0</v>
      </c>
      <c r="L38" s="60">
        <v>19.791</v>
      </c>
      <c r="M38" s="60">
        <v>22.443000000000001</v>
      </c>
      <c r="N38" s="57">
        <v>22.443000000000001</v>
      </c>
      <c r="O38" s="20"/>
      <c r="P38" s="60">
        <v>19.175999999999998</v>
      </c>
      <c r="Q38" s="60">
        <v>5.2910000000000004</v>
      </c>
      <c r="R38" s="60">
        <v>4.266</v>
      </c>
      <c r="S38" s="60">
        <v>0.75600000000000001</v>
      </c>
      <c r="T38" s="57">
        <v>0.75600000000000001</v>
      </c>
      <c r="U38" s="20"/>
      <c r="V38" s="60">
        <v>0</v>
      </c>
      <c r="W38" s="60">
        <v>0</v>
      </c>
      <c r="X38" s="60">
        <v>0</v>
      </c>
      <c r="Y38" s="60">
        <v>0</v>
      </c>
      <c r="Z38" s="57">
        <v>0</v>
      </c>
      <c r="AA38" s="122"/>
      <c r="AB38" s="60">
        <v>0</v>
      </c>
      <c r="AC38" s="60">
        <v>0</v>
      </c>
      <c r="AD38" s="60">
        <v>0</v>
      </c>
      <c r="AE38" s="60">
        <v>0</v>
      </c>
      <c r="AF38" s="57">
        <v>0</v>
      </c>
      <c r="AG38" s="124"/>
      <c r="AH38" s="60">
        <v>0</v>
      </c>
      <c r="AI38" s="60">
        <v>0</v>
      </c>
      <c r="AJ38" s="50"/>
      <c r="AK38" s="50"/>
      <c r="AL38" s="58"/>
      <c r="AM38" s="151"/>
      <c r="AN38" s="50"/>
      <c r="AO38" s="50"/>
      <c r="AP38" s="50"/>
      <c r="AQ38" s="50"/>
      <c r="AR38" s="58"/>
      <c r="AS38" s="151"/>
      <c r="AT38" s="58"/>
      <c r="AU38" s="151"/>
      <c r="AV38" s="58"/>
    </row>
    <row r="39" spans="1:48" s="113" customFormat="1" ht="15" customHeight="1">
      <c r="B39" s="127" t="s">
        <v>613</v>
      </c>
      <c r="C39" s="115"/>
      <c r="D39" s="60">
        <v>0</v>
      </c>
      <c r="E39" s="60">
        <v>0</v>
      </c>
      <c r="F39" s="60">
        <v>0</v>
      </c>
      <c r="G39" s="60">
        <v>0</v>
      </c>
      <c r="H39" s="57">
        <v>0</v>
      </c>
      <c r="I39" s="116"/>
      <c r="J39" s="60">
        <v>0</v>
      </c>
      <c r="K39" s="60">
        <v>0</v>
      </c>
      <c r="L39" s="60">
        <v>0</v>
      </c>
      <c r="M39" s="60">
        <v>0</v>
      </c>
      <c r="N39" s="57">
        <v>0</v>
      </c>
      <c r="O39" s="116"/>
      <c r="P39" s="60">
        <v>0</v>
      </c>
      <c r="Q39" s="60">
        <v>0</v>
      </c>
      <c r="R39" s="60">
        <v>0.6</v>
      </c>
      <c r="S39" s="60">
        <v>2.2999999999999998</v>
      </c>
      <c r="T39" s="57">
        <v>2.2999999999999998</v>
      </c>
      <c r="U39" s="116"/>
      <c r="V39" s="60">
        <v>0</v>
      </c>
      <c r="W39" s="60">
        <v>0</v>
      </c>
      <c r="X39" s="60">
        <v>0</v>
      </c>
      <c r="Y39" s="60">
        <v>0</v>
      </c>
      <c r="Z39" s="57">
        <v>0</v>
      </c>
      <c r="AA39" s="129"/>
      <c r="AB39" s="60">
        <v>0</v>
      </c>
      <c r="AC39" s="60">
        <v>0</v>
      </c>
      <c r="AD39" s="60">
        <v>0</v>
      </c>
      <c r="AE39" s="60">
        <v>2.4820000000000002</v>
      </c>
      <c r="AF39" s="57">
        <v>2.4820000000000002</v>
      </c>
      <c r="AG39" s="130"/>
      <c r="AH39" s="60">
        <v>0</v>
      </c>
      <c r="AI39" s="60">
        <v>0</v>
      </c>
      <c r="AJ39" s="50"/>
      <c r="AK39" s="50"/>
      <c r="AL39" s="58"/>
      <c r="AM39" s="129"/>
      <c r="AN39" s="50"/>
      <c r="AO39" s="50"/>
      <c r="AP39" s="50"/>
      <c r="AQ39" s="50"/>
      <c r="AR39" s="58"/>
      <c r="AS39" s="129"/>
      <c r="AT39" s="58"/>
      <c r="AU39" s="129"/>
      <c r="AV39" s="58"/>
    </row>
    <row r="40" spans="1:48" ht="15" customHeight="1">
      <c r="A40" s="43"/>
      <c r="B40" s="127" t="s">
        <v>614</v>
      </c>
      <c r="D40" s="60">
        <v>0</v>
      </c>
      <c r="E40" s="60">
        <v>0</v>
      </c>
      <c r="F40" s="60">
        <v>8.3266726846886741E-17</v>
      </c>
      <c r="G40" s="60">
        <v>0</v>
      </c>
      <c r="H40" s="57">
        <v>0</v>
      </c>
      <c r="I40" s="20"/>
      <c r="J40" s="60">
        <v>0</v>
      </c>
      <c r="K40" s="60">
        <v>0</v>
      </c>
      <c r="L40" s="60">
        <v>3.5527136788005009E-15</v>
      </c>
      <c r="M40" s="60">
        <v>-3.5527136788005009E-15</v>
      </c>
      <c r="N40" s="57">
        <v>-3.5527136788005009E-15</v>
      </c>
      <c r="O40" s="20"/>
      <c r="P40" s="60">
        <v>0</v>
      </c>
      <c r="Q40" s="60">
        <v>0</v>
      </c>
      <c r="R40" s="60">
        <v>0</v>
      </c>
      <c r="S40" s="60">
        <v>0</v>
      </c>
      <c r="T40" s="57">
        <v>0</v>
      </c>
      <c r="U40" s="20"/>
      <c r="V40" s="60">
        <v>0</v>
      </c>
      <c r="W40" s="60">
        <v>0</v>
      </c>
      <c r="X40" s="60">
        <v>0</v>
      </c>
      <c r="Y40" s="60">
        <v>0</v>
      </c>
      <c r="Z40" s="57">
        <v>0</v>
      </c>
      <c r="AA40" s="20"/>
      <c r="AB40" s="60">
        <v>0</v>
      </c>
      <c r="AC40" s="60">
        <v>0</v>
      </c>
      <c r="AD40" s="60">
        <v>0</v>
      </c>
      <c r="AE40" s="60">
        <v>0</v>
      </c>
      <c r="AF40" s="57">
        <v>0</v>
      </c>
      <c r="AG40" s="150"/>
      <c r="AH40" s="60">
        <v>0</v>
      </c>
      <c r="AI40" s="60">
        <v>0</v>
      </c>
      <c r="AJ40" s="50">
        <v>0</v>
      </c>
      <c r="AK40" s="50">
        <v>0</v>
      </c>
      <c r="AL40" s="58">
        <v>0</v>
      </c>
      <c r="AM40" s="20"/>
      <c r="AN40" s="50">
        <v>0</v>
      </c>
      <c r="AO40" s="50">
        <v>0</v>
      </c>
      <c r="AP40" s="50">
        <v>0</v>
      </c>
      <c r="AQ40" s="50">
        <v>0</v>
      </c>
      <c r="AR40" s="58">
        <v>0</v>
      </c>
      <c r="AS40" s="20"/>
      <c r="AT40" s="58">
        <v>0</v>
      </c>
      <c r="AU40" s="20"/>
      <c r="AV40" s="58">
        <v>0</v>
      </c>
    </row>
    <row r="41" spans="1:48" s="113" customFormat="1" ht="15" customHeight="1">
      <c r="B41" s="138" t="s">
        <v>615</v>
      </c>
      <c r="C41" s="115"/>
      <c r="D41" s="60">
        <v>0</v>
      </c>
      <c r="E41" s="60">
        <v>0</v>
      </c>
      <c r="F41" s="60">
        <v>1.9294</v>
      </c>
      <c r="G41" s="60">
        <v>0</v>
      </c>
      <c r="H41" s="77">
        <v>0</v>
      </c>
      <c r="I41" s="116"/>
      <c r="J41" s="60">
        <v>1.3684000000000001</v>
      </c>
      <c r="K41" s="60">
        <v>1.5402</v>
      </c>
      <c r="L41" s="60">
        <v>48.901000000000003</v>
      </c>
      <c r="M41" s="60">
        <v>58.137999999999998</v>
      </c>
      <c r="N41" s="77">
        <v>58.137999999999998</v>
      </c>
      <c r="O41" s="116"/>
      <c r="P41" s="60">
        <v>44.582999999999998</v>
      </c>
      <c r="Q41" s="60">
        <v>34.875</v>
      </c>
      <c r="R41" s="60">
        <v>31.108000000000001</v>
      </c>
      <c r="S41" s="60">
        <v>30.314</v>
      </c>
      <c r="T41" s="77">
        <v>30.314</v>
      </c>
      <c r="U41" s="116"/>
      <c r="V41" s="60">
        <v>20.582000000000001</v>
      </c>
      <c r="W41" s="60">
        <v>26.832999999999998</v>
      </c>
      <c r="X41" s="60">
        <v>25.472000000000001</v>
      </c>
      <c r="Y41" s="60">
        <v>26.448</v>
      </c>
      <c r="Z41" s="77">
        <v>26.448</v>
      </c>
      <c r="AA41" s="129"/>
      <c r="AB41" s="60">
        <v>24.012</v>
      </c>
      <c r="AC41" s="60">
        <v>28.001000000000001</v>
      </c>
      <c r="AD41" s="60">
        <v>30.42</v>
      </c>
      <c r="AE41" s="60">
        <v>35.771999999999998</v>
      </c>
      <c r="AF41" s="77">
        <v>35.771999999999998</v>
      </c>
      <c r="AG41" s="130"/>
      <c r="AH41" s="60">
        <v>32.923999999999999</v>
      </c>
      <c r="AI41" s="60">
        <v>29.84</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39</v>
      </c>
      <c r="B43" s="114" t="s">
        <v>616</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617</v>
      </c>
      <c r="D44" s="60">
        <v>0</v>
      </c>
      <c r="E44" s="60">
        <v>0</v>
      </c>
      <c r="F44" s="60">
        <v>0</v>
      </c>
      <c r="G44" s="60">
        <v>0</v>
      </c>
      <c r="H44" s="66">
        <v>0</v>
      </c>
      <c r="I44" s="20"/>
      <c r="J44" s="60">
        <v>0</v>
      </c>
      <c r="K44" s="60">
        <v>0</v>
      </c>
      <c r="L44" s="60">
        <v>205.96799999999999</v>
      </c>
      <c r="M44" s="60">
        <v>251.578</v>
      </c>
      <c r="N44" s="66">
        <v>251.578</v>
      </c>
      <c r="O44" s="20"/>
      <c r="P44" s="60">
        <v>261.68700000000001</v>
      </c>
      <c r="Q44" s="60">
        <v>331.23700000000002</v>
      </c>
      <c r="R44" s="60">
        <v>338.36900000000003</v>
      </c>
      <c r="S44" s="60">
        <v>346.30399999999997</v>
      </c>
      <c r="T44" s="66">
        <v>346.30399999999997</v>
      </c>
      <c r="U44" s="20"/>
      <c r="V44" s="60">
        <v>331.55200000000002</v>
      </c>
      <c r="W44" s="60">
        <v>331.88400000000001</v>
      </c>
      <c r="X44" s="60">
        <v>344.34500000000003</v>
      </c>
      <c r="Y44" s="60">
        <v>334.11599999999999</v>
      </c>
      <c r="Z44" s="66">
        <v>334.11599999999999</v>
      </c>
      <c r="AA44" s="20"/>
      <c r="AB44" s="60">
        <v>301.024</v>
      </c>
      <c r="AC44" s="60">
        <v>301.774</v>
      </c>
      <c r="AD44" s="60">
        <v>325.55</v>
      </c>
      <c r="AE44" s="60">
        <v>318.75799999999998</v>
      </c>
      <c r="AF44" s="66">
        <v>318.75799999999998</v>
      </c>
      <c r="AG44" s="150"/>
      <c r="AH44" s="60">
        <v>287.99799999999999</v>
      </c>
      <c r="AI44" s="60">
        <v>305.89699999999999</v>
      </c>
      <c r="AJ44" s="46"/>
      <c r="AK44" s="46"/>
      <c r="AL44" s="66"/>
      <c r="AM44" s="20"/>
      <c r="AN44" s="46"/>
      <c r="AO44" s="46"/>
      <c r="AP44" s="46"/>
      <c r="AQ44" s="46"/>
      <c r="AR44" s="66"/>
      <c r="AS44" s="20"/>
      <c r="AT44" s="66"/>
      <c r="AU44" s="20"/>
      <c r="AV44" s="66"/>
    </row>
    <row r="45" spans="1:48" s="113" customFormat="1" ht="15" customHeight="1">
      <c r="B45" s="127" t="s">
        <v>618</v>
      </c>
      <c r="C45" s="115"/>
      <c r="D45" s="60">
        <v>0</v>
      </c>
      <c r="E45" s="60">
        <v>0</v>
      </c>
      <c r="F45" s="60">
        <v>0</v>
      </c>
      <c r="G45" s="60">
        <v>0</v>
      </c>
      <c r="H45" s="66">
        <v>0</v>
      </c>
      <c r="I45" s="116"/>
      <c r="J45" s="60">
        <v>0</v>
      </c>
      <c r="K45" s="60">
        <v>0</v>
      </c>
      <c r="L45" s="60">
        <v>0</v>
      </c>
      <c r="M45" s="60">
        <v>0</v>
      </c>
      <c r="N45" s="66">
        <v>0</v>
      </c>
      <c r="O45" s="116"/>
      <c r="P45" s="60">
        <v>17.631</v>
      </c>
      <c r="Q45" s="60">
        <v>17.285</v>
      </c>
      <c r="R45" s="60">
        <v>16.93</v>
      </c>
      <c r="S45" s="60">
        <v>16.558</v>
      </c>
      <c r="T45" s="66">
        <v>16.558</v>
      </c>
      <c r="U45" s="116"/>
      <c r="V45" s="60">
        <v>16.181999999999999</v>
      </c>
      <c r="W45" s="60">
        <v>15.928000000000001</v>
      </c>
      <c r="X45" s="60">
        <v>15.504</v>
      </c>
      <c r="Y45" s="60">
        <v>15.061</v>
      </c>
      <c r="Z45" s="66">
        <v>15.061</v>
      </c>
      <c r="AA45" s="116"/>
      <c r="AB45" s="60">
        <v>14.613</v>
      </c>
      <c r="AC45" s="60">
        <v>14.170999999999999</v>
      </c>
      <c r="AD45" s="60">
        <v>13.741</v>
      </c>
      <c r="AE45" s="60">
        <v>10.811999999999999</v>
      </c>
      <c r="AF45" s="66">
        <v>10.811999999999999</v>
      </c>
      <c r="AG45" s="153"/>
      <c r="AH45" s="60">
        <v>12.840999999999999</v>
      </c>
      <c r="AI45" s="60">
        <v>12.382999999999999</v>
      </c>
      <c r="AJ45" s="46"/>
      <c r="AK45" s="46"/>
      <c r="AL45" s="66"/>
      <c r="AM45" s="116"/>
      <c r="AN45" s="46"/>
      <c r="AO45" s="46"/>
      <c r="AP45" s="46"/>
      <c r="AQ45" s="46"/>
      <c r="AR45" s="66"/>
      <c r="AS45" s="116"/>
      <c r="AT45" s="66"/>
      <c r="AU45" s="116"/>
      <c r="AV45" s="66"/>
    </row>
    <row r="46" spans="1:48" ht="15" customHeight="1">
      <c r="A46" s="43"/>
      <c r="B46" s="127" t="s">
        <v>619</v>
      </c>
      <c r="D46" s="60">
        <v>0</v>
      </c>
      <c r="E46" s="60">
        <v>0</v>
      </c>
      <c r="F46" s="60">
        <v>0</v>
      </c>
      <c r="G46" s="60">
        <v>0</v>
      </c>
      <c r="H46" s="66">
        <v>0</v>
      </c>
      <c r="I46" s="20"/>
      <c r="J46" s="60">
        <v>23.717099999999999</v>
      </c>
      <c r="K46" s="60">
        <v>39.441299999999998</v>
      </c>
      <c r="L46" s="60">
        <v>47.372000000000014</v>
      </c>
      <c r="M46" s="60">
        <v>34.511999999999972</v>
      </c>
      <c r="N46" s="66">
        <v>34.511999999999972</v>
      </c>
      <c r="O46" s="20"/>
      <c r="P46" s="60">
        <v>32.054000000000002</v>
      </c>
      <c r="Q46" s="60">
        <v>29.174999999999979</v>
      </c>
      <c r="R46" s="60">
        <v>28.11299999999995</v>
      </c>
      <c r="S46" s="60">
        <v>27.513000000000027</v>
      </c>
      <c r="T46" s="66">
        <v>27.513000000000027</v>
      </c>
      <c r="U46" s="20"/>
      <c r="V46" s="60">
        <v>27.605999999999955</v>
      </c>
      <c r="W46" s="60">
        <v>25.745000000000001</v>
      </c>
      <c r="X46" s="60">
        <v>25.437999999999953</v>
      </c>
      <c r="Y46" s="60">
        <v>31.888999999999989</v>
      </c>
      <c r="Z46" s="66">
        <v>31.888999999999989</v>
      </c>
      <c r="AA46" s="20"/>
      <c r="AB46" s="60">
        <v>26.264999999999986</v>
      </c>
      <c r="AC46" s="60">
        <v>27.45800000000002</v>
      </c>
      <c r="AD46" s="60">
        <v>29.249000000000009</v>
      </c>
      <c r="AE46" s="60">
        <v>41.616</v>
      </c>
      <c r="AF46" s="66">
        <v>41.616</v>
      </c>
      <c r="AG46" s="150"/>
      <c r="AH46" s="60">
        <v>69.54500000000003</v>
      </c>
      <c r="AI46" s="60">
        <v>107.55</v>
      </c>
      <c r="AJ46" s="46"/>
      <c r="AK46" s="46"/>
      <c r="AL46" s="66"/>
      <c r="AM46" s="20"/>
      <c r="AN46" s="46"/>
      <c r="AO46" s="46"/>
      <c r="AP46" s="46"/>
      <c r="AQ46" s="46"/>
      <c r="AR46" s="66"/>
      <c r="AS46" s="20"/>
      <c r="AT46" s="66"/>
      <c r="AU46" s="20"/>
      <c r="AV46" s="66"/>
    </row>
    <row r="47" spans="1:48" s="113" customFormat="1" ht="15" customHeight="1">
      <c r="B47" s="138" t="s">
        <v>620</v>
      </c>
      <c r="C47" s="115"/>
      <c r="D47" s="60">
        <v>0</v>
      </c>
      <c r="E47" s="60">
        <v>0</v>
      </c>
      <c r="F47" s="60">
        <v>0</v>
      </c>
      <c r="G47" s="60">
        <v>0</v>
      </c>
      <c r="H47" s="66">
        <v>0</v>
      </c>
      <c r="I47" s="116"/>
      <c r="J47" s="60">
        <v>23.717099999999999</v>
      </c>
      <c r="K47" s="60">
        <v>39.441299999999998</v>
      </c>
      <c r="L47" s="60">
        <v>253.34</v>
      </c>
      <c r="M47" s="60">
        <v>286.08999999999997</v>
      </c>
      <c r="N47" s="66">
        <v>286.08999999999997</v>
      </c>
      <c r="O47" s="116"/>
      <c r="P47" s="60">
        <v>311.37200000000001</v>
      </c>
      <c r="Q47" s="60">
        <v>377.697</v>
      </c>
      <c r="R47" s="60">
        <v>383.41199999999998</v>
      </c>
      <c r="S47" s="60">
        <v>390.375</v>
      </c>
      <c r="T47" s="66">
        <v>390.375</v>
      </c>
      <c r="U47" s="116"/>
      <c r="V47" s="60">
        <v>375.34</v>
      </c>
      <c r="W47" s="60">
        <v>373.55700000000002</v>
      </c>
      <c r="X47" s="60">
        <v>385.28699999999998</v>
      </c>
      <c r="Y47" s="60">
        <v>381.06599999999997</v>
      </c>
      <c r="Z47" s="66">
        <v>381.06599999999997</v>
      </c>
      <c r="AA47" s="116"/>
      <c r="AB47" s="60">
        <v>341.90199999999999</v>
      </c>
      <c r="AC47" s="60">
        <v>343.40300000000002</v>
      </c>
      <c r="AD47" s="60">
        <v>368.54</v>
      </c>
      <c r="AE47" s="60">
        <v>371.18599999999998</v>
      </c>
      <c r="AF47" s="66">
        <v>371.18599999999998</v>
      </c>
      <c r="AG47" s="153"/>
      <c r="AH47" s="60">
        <v>370.38400000000001</v>
      </c>
      <c r="AI47" s="60">
        <v>425.83</v>
      </c>
      <c r="AJ47" s="46"/>
      <c r="AK47" s="46"/>
      <c r="AL47" s="66"/>
      <c r="AM47" s="116"/>
      <c r="AN47" s="46"/>
      <c r="AO47" s="46"/>
      <c r="AP47" s="46"/>
      <c r="AQ47" s="46"/>
      <c r="AR47" s="66"/>
      <c r="AS47" s="116"/>
      <c r="AT47" s="66"/>
      <c r="AU47" s="116"/>
      <c r="AV47" s="66"/>
    </row>
    <row r="48" spans="1:48" ht="15" customHeight="1">
      <c r="A48" s="43"/>
      <c r="B48" s="140" t="s">
        <v>621</v>
      </c>
      <c r="D48" s="60">
        <v>0</v>
      </c>
      <c r="E48" s="60">
        <v>0</v>
      </c>
      <c r="F48" s="60">
        <v>1.9294</v>
      </c>
      <c r="G48" s="60">
        <v>0</v>
      </c>
      <c r="H48" s="77">
        <v>0</v>
      </c>
      <c r="I48" s="20"/>
      <c r="J48" s="60">
        <v>25.0855</v>
      </c>
      <c r="K48" s="60">
        <v>40.981499999999997</v>
      </c>
      <c r="L48" s="60">
        <v>302.24099999999999</v>
      </c>
      <c r="M48" s="60">
        <v>344.22800000000001</v>
      </c>
      <c r="N48" s="77">
        <v>344.22800000000001</v>
      </c>
      <c r="O48" s="20"/>
      <c r="P48" s="60">
        <v>355.95499999999998</v>
      </c>
      <c r="Q48" s="60">
        <v>412.572</v>
      </c>
      <c r="R48" s="60">
        <v>414.52</v>
      </c>
      <c r="S48" s="60">
        <v>420.68900000000002</v>
      </c>
      <c r="T48" s="77">
        <v>420.68900000000002</v>
      </c>
      <c r="U48" s="20"/>
      <c r="V48" s="60">
        <v>395.92200000000003</v>
      </c>
      <c r="W48" s="60">
        <v>400.39</v>
      </c>
      <c r="X48" s="60">
        <v>410.75900000000001</v>
      </c>
      <c r="Y48" s="60">
        <v>407.51400000000001</v>
      </c>
      <c r="Z48" s="77">
        <v>407.51400000000001</v>
      </c>
      <c r="AA48" s="20"/>
      <c r="AB48" s="60">
        <v>365.91399999999999</v>
      </c>
      <c r="AC48" s="60">
        <v>371.404</v>
      </c>
      <c r="AD48" s="60">
        <v>398.96</v>
      </c>
      <c r="AE48" s="60">
        <v>406.95800000000003</v>
      </c>
      <c r="AF48" s="77">
        <v>406.95800000000003</v>
      </c>
      <c r="AG48" s="150"/>
      <c r="AH48" s="60">
        <v>403.30799999999999</v>
      </c>
      <c r="AI48" s="60">
        <v>455.67</v>
      </c>
      <c r="AJ48" s="46"/>
      <c r="AK48" s="46"/>
      <c r="AL48" s="77"/>
      <c r="AM48" s="20"/>
      <c r="AN48" s="46"/>
      <c r="AO48" s="46"/>
      <c r="AP48" s="46"/>
      <c r="AQ48" s="46"/>
      <c r="AR48" s="77"/>
      <c r="AS48" s="20"/>
      <c r="AT48" s="77"/>
      <c r="AU48" s="20"/>
      <c r="AV48" s="77"/>
    </row>
    <row r="50" spans="1:35" ht="15" customHeight="1">
      <c r="A50" s="44" t="s">
        <v>39</v>
      </c>
      <c r="B50" s="114" t="s">
        <v>622</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623</v>
      </c>
      <c r="D51" s="60">
        <v>0</v>
      </c>
      <c r="E51" s="60">
        <v>0</v>
      </c>
      <c r="F51" s="60">
        <v>2.9000000000000001E-2</v>
      </c>
      <c r="G51" s="60">
        <v>0</v>
      </c>
      <c r="H51" s="66">
        <v>0</v>
      </c>
      <c r="I51" s="20"/>
      <c r="J51" s="60">
        <v>219.08920000000001</v>
      </c>
      <c r="K51" s="60">
        <v>202.82749999999999</v>
      </c>
      <c r="L51" s="60">
        <v>-23.180999999999983</v>
      </c>
      <c r="M51" s="60">
        <v>-9.0400000000000205</v>
      </c>
      <c r="N51" s="66">
        <v>-9.0400000000000205</v>
      </c>
      <c r="O51" s="20"/>
      <c r="P51" s="60">
        <v>-8.7469999999999857</v>
      </c>
      <c r="Q51" s="60">
        <v>-3.9759999999999991</v>
      </c>
      <c r="R51" s="60">
        <v>-3.2439999999999998</v>
      </c>
      <c r="S51" s="60">
        <v>-0.49399999999999977</v>
      </c>
      <c r="T51" s="66">
        <v>-0.49399999999999977</v>
      </c>
      <c r="U51" s="20"/>
      <c r="V51" s="60">
        <v>1.4379999999999882</v>
      </c>
      <c r="W51" s="60">
        <v>7.4470000000000027</v>
      </c>
      <c r="X51" s="60">
        <v>11.413000000000011</v>
      </c>
      <c r="Y51" s="60">
        <v>10.439999999999998</v>
      </c>
      <c r="Z51" s="66">
        <v>10.439999999999998</v>
      </c>
      <c r="AA51" s="20"/>
      <c r="AB51" s="60">
        <v>18.175999999999988</v>
      </c>
      <c r="AC51" s="60">
        <v>18.627999999999986</v>
      </c>
      <c r="AD51" s="60">
        <v>34.888000000000005</v>
      </c>
      <c r="AE51" s="60">
        <v>32.774000000000001</v>
      </c>
      <c r="AF51" s="66">
        <v>32.774000000000001</v>
      </c>
      <c r="AG51" s="150"/>
      <c r="AH51" s="60">
        <v>22.550000000000011</v>
      </c>
      <c r="AI51" s="60">
        <v>13.350999999999999</v>
      </c>
    </row>
    <row r="52" spans="1:35" s="113" customFormat="1" ht="15" customHeight="1">
      <c r="B52" s="127" t="s">
        <v>624</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625</v>
      </c>
      <c r="D53" s="60">
        <v>0</v>
      </c>
      <c r="E53" s="60">
        <v>0</v>
      </c>
      <c r="F53" s="60">
        <v>0</v>
      </c>
      <c r="G53" s="60">
        <v>0</v>
      </c>
      <c r="H53" s="66">
        <v>0</v>
      </c>
      <c r="I53" s="20"/>
      <c r="J53" s="60">
        <v>0</v>
      </c>
      <c r="K53" s="60">
        <v>0</v>
      </c>
      <c r="L53" s="60">
        <v>161.59399999999999</v>
      </c>
      <c r="M53" s="60">
        <v>166.91800000000001</v>
      </c>
      <c r="N53" s="66">
        <v>166.91800000000001</v>
      </c>
      <c r="O53" s="20"/>
      <c r="P53" s="60">
        <v>165.33699999999999</v>
      </c>
      <c r="Q53" s="60">
        <v>169.47399999999999</v>
      </c>
      <c r="R53" s="60">
        <v>168.69399999999999</v>
      </c>
      <c r="S53" s="60">
        <v>159.64400000000001</v>
      </c>
      <c r="T53" s="66">
        <v>159.64400000000001</v>
      </c>
      <c r="U53" s="20"/>
      <c r="V53" s="60">
        <v>162.685</v>
      </c>
      <c r="W53" s="60">
        <v>169.54300000000001</v>
      </c>
      <c r="X53" s="60">
        <v>178.42</v>
      </c>
      <c r="Y53" s="60">
        <v>183.589</v>
      </c>
      <c r="Z53" s="66">
        <v>183.589</v>
      </c>
      <c r="AA53" s="20"/>
      <c r="AB53" s="60">
        <v>179.11600000000001</v>
      </c>
      <c r="AC53" s="60">
        <v>183.06100000000001</v>
      </c>
      <c r="AD53" s="60">
        <v>185.41800000000001</v>
      </c>
      <c r="AE53" s="60">
        <v>201.43899999999999</v>
      </c>
      <c r="AF53" s="66">
        <v>201.43899999999999</v>
      </c>
      <c r="AG53" s="150"/>
      <c r="AH53" s="60">
        <v>214.214</v>
      </c>
      <c r="AI53" s="60">
        <v>204.35400000000001</v>
      </c>
    </row>
    <row r="54" spans="1:35" s="113" customFormat="1" ht="15" customHeight="1">
      <c r="B54" s="138" t="s">
        <v>626</v>
      </c>
      <c r="C54" s="115"/>
      <c r="D54" s="60">
        <v>0</v>
      </c>
      <c r="E54" s="60">
        <v>0</v>
      </c>
      <c r="F54" s="60">
        <v>2.9000000000000001E-2</v>
      </c>
      <c r="G54" s="60">
        <v>0</v>
      </c>
      <c r="H54" s="77">
        <v>0</v>
      </c>
      <c r="I54" s="116"/>
      <c r="J54" s="60">
        <v>219.08920000000001</v>
      </c>
      <c r="K54" s="60">
        <v>202.82749999999999</v>
      </c>
      <c r="L54" s="60">
        <v>138.41300000000001</v>
      </c>
      <c r="M54" s="60">
        <v>157.87799999999999</v>
      </c>
      <c r="N54" s="77">
        <v>157.87799999999999</v>
      </c>
      <c r="O54" s="116"/>
      <c r="P54" s="60">
        <v>156.59</v>
      </c>
      <c r="Q54" s="60">
        <v>165.49799999999999</v>
      </c>
      <c r="R54" s="60">
        <v>165.45</v>
      </c>
      <c r="S54" s="60">
        <v>159.15</v>
      </c>
      <c r="T54" s="77">
        <v>159.15</v>
      </c>
      <c r="U54" s="116"/>
      <c r="V54" s="60">
        <v>164.12299999999999</v>
      </c>
      <c r="W54" s="60">
        <v>176.99</v>
      </c>
      <c r="X54" s="60">
        <v>189.833</v>
      </c>
      <c r="Y54" s="60">
        <v>194.029</v>
      </c>
      <c r="Z54" s="77">
        <v>194.029</v>
      </c>
      <c r="AA54" s="116"/>
      <c r="AB54" s="60">
        <v>197.292</v>
      </c>
      <c r="AC54" s="60">
        <v>201.68899999999999</v>
      </c>
      <c r="AD54" s="60">
        <v>220.30600000000001</v>
      </c>
      <c r="AE54" s="60">
        <v>234.21299999999999</v>
      </c>
      <c r="AF54" s="77">
        <v>234.21299999999999</v>
      </c>
      <c r="AG54" s="153"/>
      <c r="AH54" s="60">
        <v>236.76400000000001</v>
      </c>
      <c r="AI54" s="60">
        <v>217.70500000000001</v>
      </c>
    </row>
    <row r="55" spans="1:35" ht="15" customHeight="1" thickBot="1">
      <c r="A55" s="43"/>
      <c r="B55" s="140" t="s">
        <v>627</v>
      </c>
      <c r="D55" s="60">
        <v>0</v>
      </c>
      <c r="E55" s="60">
        <v>0</v>
      </c>
      <c r="F55" s="60">
        <v>1.9583999999999999</v>
      </c>
      <c r="G55" s="60">
        <v>0</v>
      </c>
      <c r="H55" s="93">
        <v>0</v>
      </c>
      <c r="I55" s="20"/>
      <c r="J55" s="60">
        <v>244.1747</v>
      </c>
      <c r="K55" s="60">
        <v>243.809</v>
      </c>
      <c r="L55" s="60">
        <v>440.654</v>
      </c>
      <c r="M55" s="60">
        <v>502.10599999999999</v>
      </c>
      <c r="N55" s="93">
        <v>502.10599999999999</v>
      </c>
      <c r="O55" s="20"/>
      <c r="P55" s="60">
        <v>512.54499999999996</v>
      </c>
      <c r="Q55" s="60">
        <v>578.07000000000005</v>
      </c>
      <c r="R55" s="60">
        <v>579.97</v>
      </c>
      <c r="S55" s="60">
        <v>579.83900000000006</v>
      </c>
      <c r="T55" s="93">
        <v>579.83900000000006</v>
      </c>
      <c r="U55" s="20"/>
      <c r="V55" s="60">
        <v>560.04499999999996</v>
      </c>
      <c r="W55" s="60">
        <v>577.38</v>
      </c>
      <c r="X55" s="60">
        <v>600.59199999999998</v>
      </c>
      <c r="Y55" s="60">
        <v>601.54300000000001</v>
      </c>
      <c r="Z55" s="93">
        <v>601.54300000000001</v>
      </c>
      <c r="AA55" s="20"/>
      <c r="AB55" s="60">
        <v>563.20600000000002</v>
      </c>
      <c r="AC55" s="60">
        <v>573.09299999999996</v>
      </c>
      <c r="AD55" s="60">
        <v>619.26599999999996</v>
      </c>
      <c r="AE55" s="60">
        <v>641.17100000000005</v>
      </c>
      <c r="AF55" s="93">
        <v>641.17100000000005</v>
      </c>
      <c r="AG55" s="150"/>
      <c r="AH55" s="60">
        <v>640.072</v>
      </c>
      <c r="AI55" s="60">
        <v>673.375</v>
      </c>
    </row>
    <row r="56" spans="1:35" ht="15" customHeight="1" thickTop="1"/>
    <row r="57" spans="1:35" ht="15" customHeight="1" thickBot="1">
      <c r="B57" s="114" t="s">
        <v>628</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topLeftCell="W1" zoomScale="91" zoomScaleNormal="70" workbookViewId="0">
      <selection activeCell="AJ17" sqref="AJ17"/>
    </sheetView>
  </sheetViews>
  <sheetFormatPr baseColWidth="10" defaultColWidth="9" defaultRowHeight="15" customHeight="1" outlineLevelCol="1"/>
  <cols>
    <col min="1" max="1" width="2.1640625" style="41" customWidth="1"/>
    <col min="2" max="2" width="50.6640625" style="41" customWidth="1"/>
    <col min="3" max="3" width="3.33203125" style="17" customWidth="1"/>
    <col min="4" max="7" width="9.6640625" style="41" customWidth="1" outlineLevel="1"/>
    <col min="8" max="8" width="11.6640625" style="41" customWidth="1"/>
    <col min="9" max="9" width="1.6640625" style="17" customWidth="1"/>
    <col min="10" max="13" width="9.6640625" style="41" customWidth="1" outlineLevel="1"/>
    <col min="14" max="14" width="11.6640625" style="41" customWidth="1"/>
    <col min="15" max="15" width="1.6640625" style="17" customWidth="1"/>
    <col min="16" max="19" width="9.6640625" style="41" customWidth="1" outlineLevel="1"/>
    <col min="20" max="20" width="11.6640625" style="41" customWidth="1"/>
    <col min="21" max="21" width="1.6640625" style="17" customWidth="1"/>
    <col min="22" max="25" width="9.6640625" style="41" customWidth="1" outlineLevel="1"/>
    <col min="26" max="26" width="11.6640625" style="41" customWidth="1"/>
    <col min="27" max="27" width="1.6640625" style="17" customWidth="1"/>
    <col min="28" max="31" width="9.6640625" style="41" customWidth="1" outlineLevel="1"/>
    <col min="32" max="32" width="11.6640625" style="41" customWidth="1"/>
    <col min="33" max="33" width="1.6640625" style="17" customWidth="1"/>
    <col min="34" max="37" width="9.6640625" style="41" customWidth="1" outlineLevel="1"/>
    <col min="38" max="38" width="11.6640625" style="41" customWidth="1"/>
    <col min="39" max="39" width="1.6640625" style="17" customWidth="1"/>
    <col min="40" max="43" width="9.6640625" style="41" customWidth="1" outlineLevel="1"/>
    <col min="44" max="44" width="11.6640625" style="41" customWidth="1"/>
    <col min="45" max="45" width="1.6640625" style="17" customWidth="1"/>
    <col min="46" max="46" width="11.6640625" style="41" customWidth="1"/>
    <col min="47" max="47" width="1.6640625" style="17" customWidth="1"/>
    <col min="48" max="48" width="11.6640625" style="42" customWidth="1"/>
    <col min="49" max="49" width="1.6640625" style="41" customWidth="1"/>
    <col min="50" max="50" width="11.6640625" style="41" customWidth="1"/>
    <col min="51" max="51" width="1.6640625" style="41" customWidth="1"/>
    <col min="52" max="16384" width="9" style="41"/>
  </cols>
  <sheetData>
    <row r="1" spans="1:50" s="546" customFormat="1" ht="15" customHeight="1"/>
    <row r="2" spans="1:50" s="546" customFormat="1" ht="15" customHeight="1"/>
    <row r="3" spans="1:50" s="546" customFormat="1" ht="15" customHeight="1"/>
    <row r="4" spans="1:50" s="546" customFormat="1" ht="15" customHeight="1"/>
    <row r="5" spans="1:50" s="542" customFormat="1" ht="4" customHeight="1">
      <c r="C5" s="543"/>
      <c r="I5" s="543"/>
      <c r="O5" s="543"/>
      <c r="U5" s="543"/>
      <c r="AA5" s="543"/>
      <c r="AG5" s="543"/>
      <c r="AM5" s="543"/>
      <c r="AS5" s="543"/>
      <c r="AU5" s="543"/>
      <c r="AV5" s="544"/>
    </row>
    <row r="7" spans="1:50" ht="15" customHeight="1">
      <c r="A7" s="44" t="s">
        <v>39</v>
      </c>
      <c r="B7" s="161" t="s">
        <v>421</v>
      </c>
      <c r="C7" s="18"/>
      <c r="D7" s="201">
        <v>2020</v>
      </c>
      <c r="E7" s="201">
        <v>2020</v>
      </c>
      <c r="F7" s="201">
        <v>2020</v>
      </c>
      <c r="G7" s="201">
        <v>2020</v>
      </c>
      <c r="H7" s="201">
        <v>2020</v>
      </c>
      <c r="I7" s="18"/>
      <c r="J7" s="201">
        <v>2021</v>
      </c>
      <c r="K7" s="201">
        <v>2021</v>
      </c>
      <c r="L7" s="201">
        <v>2021</v>
      </c>
      <c r="M7" s="201">
        <v>2021</v>
      </c>
      <c r="N7" s="201">
        <v>2021</v>
      </c>
      <c r="O7" s="169"/>
      <c r="P7" s="201">
        <v>2022</v>
      </c>
      <c r="Q7" s="201">
        <v>2022</v>
      </c>
      <c r="R7" s="201">
        <v>2022</v>
      </c>
      <c r="S7" s="201">
        <v>2022</v>
      </c>
      <c r="T7" s="201">
        <v>2022</v>
      </c>
      <c r="U7" s="169"/>
      <c r="V7" s="201">
        <v>2023</v>
      </c>
      <c r="W7" s="201">
        <v>2023</v>
      </c>
      <c r="X7" s="201">
        <v>2023</v>
      </c>
      <c r="Y7" s="201">
        <v>2023</v>
      </c>
      <c r="Z7" s="201">
        <v>2023</v>
      </c>
      <c r="AA7" s="170"/>
      <c r="AB7" s="201">
        <v>2024</v>
      </c>
      <c r="AC7" s="201">
        <v>2024</v>
      </c>
      <c r="AD7" s="201">
        <v>2024</v>
      </c>
      <c r="AE7" s="201">
        <v>2024</v>
      </c>
      <c r="AF7" s="201">
        <v>2024</v>
      </c>
      <c r="AG7" s="170"/>
      <c r="AH7" s="201">
        <v>2025</v>
      </c>
      <c r="AI7" s="201">
        <v>2025</v>
      </c>
      <c r="AJ7" s="202">
        <v>2025</v>
      </c>
      <c r="AK7" s="201">
        <v>2025</v>
      </c>
      <c r="AL7" s="201">
        <v>2025</v>
      </c>
      <c r="AM7" s="171"/>
      <c r="AN7" s="201">
        <v>2025</v>
      </c>
      <c r="AO7" s="201">
        <v>2025</v>
      </c>
      <c r="AP7" s="202">
        <v>2025</v>
      </c>
      <c r="AQ7" s="201">
        <v>2025</v>
      </c>
      <c r="AR7" s="201">
        <v>2025</v>
      </c>
      <c r="AS7" s="18"/>
      <c r="AT7" s="162"/>
      <c r="AU7" s="18"/>
      <c r="AV7" s="163"/>
      <c r="AW7" s="18"/>
      <c r="AX7" s="163"/>
    </row>
    <row r="8" spans="1:50" ht="15" customHeight="1">
      <c r="B8" s="164"/>
      <c r="C8" s="18"/>
      <c r="D8" s="822">
        <v>2020</v>
      </c>
      <c r="E8" s="822"/>
      <c r="F8" s="822"/>
      <c r="G8" s="822"/>
      <c r="H8" s="822"/>
      <c r="I8" s="169"/>
      <c r="J8" s="822">
        <v>2021</v>
      </c>
      <c r="K8" s="822"/>
      <c r="L8" s="822"/>
      <c r="M8" s="822"/>
      <c r="N8" s="822"/>
      <c r="O8" s="169"/>
      <c r="P8" s="822">
        <v>2022</v>
      </c>
      <c r="Q8" s="822"/>
      <c r="R8" s="822"/>
      <c r="S8" s="822"/>
      <c r="T8" s="822"/>
      <c r="U8" s="169"/>
      <c r="V8" s="822">
        <v>2023</v>
      </c>
      <c r="W8" s="822"/>
      <c r="X8" s="822"/>
      <c r="Y8" s="822"/>
      <c r="Z8" s="822"/>
      <c r="AA8" s="169"/>
      <c r="AB8" s="822">
        <v>2024</v>
      </c>
      <c r="AC8" s="822"/>
      <c r="AD8" s="822"/>
      <c r="AE8" s="822"/>
      <c r="AF8" s="822"/>
      <c r="AG8" s="169"/>
      <c r="AH8" s="821">
        <v>2025</v>
      </c>
      <c r="AI8" s="821"/>
      <c r="AJ8" s="821"/>
      <c r="AK8" s="821"/>
      <c r="AL8" s="821"/>
      <c r="AM8" s="169"/>
      <c r="AN8" s="821">
        <v>2026</v>
      </c>
      <c r="AO8" s="821"/>
      <c r="AP8" s="821"/>
      <c r="AQ8" s="821"/>
      <c r="AR8" s="821"/>
      <c r="AS8" s="171"/>
      <c r="AT8" s="166">
        <v>2027</v>
      </c>
      <c r="AU8" s="167"/>
      <c r="AV8" s="166">
        <v>2028</v>
      </c>
      <c r="AW8" s="167"/>
      <c r="AX8" s="166">
        <v>2029</v>
      </c>
    </row>
    <row r="9" spans="1:50" ht="15" customHeight="1">
      <c r="B9" s="164"/>
      <c r="C9" s="18"/>
      <c r="D9" s="168" t="s">
        <v>173</v>
      </c>
      <c r="E9" s="168" t="s">
        <v>174</v>
      </c>
      <c r="F9" s="168" t="s">
        <v>175</v>
      </c>
      <c r="G9" s="168" t="s">
        <v>176</v>
      </c>
      <c r="H9" s="168" t="s">
        <v>177</v>
      </c>
      <c r="I9" s="18"/>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173</v>
      </c>
      <c r="AI9" s="168" t="s">
        <v>174</v>
      </c>
      <c r="AJ9" s="168" t="s">
        <v>175</v>
      </c>
      <c r="AK9" s="168" t="s">
        <v>176</v>
      </c>
      <c r="AL9" s="168" t="s">
        <v>177</v>
      </c>
      <c r="AM9" s="165"/>
      <c r="AN9" s="168" t="s">
        <v>173</v>
      </c>
      <c r="AO9" s="168" t="s">
        <v>174</v>
      </c>
      <c r="AP9" s="168" t="s">
        <v>175</v>
      </c>
      <c r="AQ9" s="168" t="s">
        <v>176</v>
      </c>
      <c r="AR9" s="168" t="s">
        <v>177</v>
      </c>
      <c r="AS9" s="165"/>
      <c r="AT9" s="168" t="s">
        <v>177</v>
      </c>
      <c r="AU9" s="165"/>
      <c r="AV9" s="168" t="s">
        <v>177</v>
      </c>
      <c r="AW9" s="165"/>
      <c r="AX9" s="168" t="s">
        <v>177</v>
      </c>
    </row>
    <row r="10" spans="1:50" ht="4"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4"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3"/>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629</v>
      </c>
      <c r="C12" s="17"/>
      <c r="D12" s="60">
        <v>0</v>
      </c>
      <c r="E12" s="46">
        <v>0</v>
      </c>
      <c r="F12" s="46">
        <v>0</v>
      </c>
      <c r="G12" s="46">
        <v>2.7099999999999999E-2</v>
      </c>
      <c r="H12" s="57">
        <v>0</v>
      </c>
      <c r="I12" s="48"/>
      <c r="J12" s="46">
        <v>0</v>
      </c>
      <c r="K12" s="46">
        <v>0.57540000000000002</v>
      </c>
      <c r="L12" s="46">
        <v>0.31119999999999998</v>
      </c>
      <c r="M12" s="46">
        <v>27.626999999999999</v>
      </c>
      <c r="N12" s="57">
        <v>25.064</v>
      </c>
      <c r="O12" s="47"/>
      <c r="P12" s="46">
        <v>25.064</v>
      </c>
      <c r="Q12" s="46">
        <v>27.024999999999999</v>
      </c>
      <c r="R12" s="46">
        <v>23.472000000000001</v>
      </c>
      <c r="S12" s="46">
        <v>14.010999999999999</v>
      </c>
      <c r="T12" s="57">
        <v>16.239000000000001</v>
      </c>
      <c r="U12" s="47"/>
      <c r="V12" s="46">
        <v>16.239000000000001</v>
      </c>
      <c r="W12" s="46">
        <v>32.185000000000002</v>
      </c>
      <c r="X12" s="46">
        <v>26.797999999999998</v>
      </c>
      <c r="Y12" s="46">
        <v>31.125</v>
      </c>
      <c r="Z12" s="57">
        <v>31.791</v>
      </c>
      <c r="AA12" s="47"/>
      <c r="AB12" s="46">
        <v>31.791</v>
      </c>
      <c r="AC12" s="46">
        <v>47.183</v>
      </c>
      <c r="AD12" s="46">
        <v>46.622</v>
      </c>
      <c r="AE12" s="46">
        <v>44.838000000000001</v>
      </c>
      <c r="AF12" s="57">
        <v>61.344000000000001</v>
      </c>
      <c r="AG12" s="49"/>
      <c r="AH12" s="46">
        <v>61.344000000000001</v>
      </c>
      <c r="AI12" s="46">
        <v>57.954000000000001</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39</v>
      </c>
      <c r="B14" s="154" t="s">
        <v>630</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502</v>
      </c>
      <c r="C15" s="17"/>
      <c r="D15" s="60">
        <v>0</v>
      </c>
      <c r="E15" s="60">
        <v>0</v>
      </c>
      <c r="F15" s="60">
        <v>-1E-3</v>
      </c>
      <c r="G15" s="60">
        <v>0</v>
      </c>
      <c r="H15" s="57">
        <v>0</v>
      </c>
      <c r="I15" s="48"/>
      <c r="J15" s="60">
        <v>-3.0859999999999999</v>
      </c>
      <c r="K15" s="60">
        <v>-16.261700000000001</v>
      </c>
      <c r="L15" s="60">
        <v>14.125</v>
      </c>
      <c r="M15" s="60">
        <v>11.429</v>
      </c>
      <c r="N15" s="57">
        <v>25.553999999999998</v>
      </c>
      <c r="O15" s="47"/>
      <c r="P15" s="60">
        <v>1.0760000000000001</v>
      </c>
      <c r="Q15" s="60">
        <v>3.4580000000000002</v>
      </c>
      <c r="R15" s="60">
        <v>-0.57099999999999995</v>
      </c>
      <c r="S15" s="60">
        <v>3.1349999999999998</v>
      </c>
      <c r="T15" s="57">
        <v>7.0979999999999999</v>
      </c>
      <c r="U15" s="47"/>
      <c r="V15" s="60">
        <v>0.251</v>
      </c>
      <c r="W15" s="60">
        <v>2.1419999999999999</v>
      </c>
      <c r="X15" s="60">
        <v>2.169</v>
      </c>
      <c r="Y15" s="60">
        <v>-5.5670000000000002</v>
      </c>
      <c r="Z15" s="57">
        <v>-1.0049999999999999</v>
      </c>
      <c r="AA15" s="47"/>
      <c r="AB15" s="60">
        <v>5.5369999999999999</v>
      </c>
      <c r="AC15" s="60">
        <v>3.0659999999999998</v>
      </c>
      <c r="AD15" s="60">
        <v>4.2640000000000002</v>
      </c>
      <c r="AE15" s="60">
        <v>-5.609</v>
      </c>
      <c r="AF15" s="57">
        <v>7.258</v>
      </c>
      <c r="AG15" s="49"/>
      <c r="AH15" s="60">
        <v>-11.372</v>
      </c>
      <c r="AI15" s="60">
        <v>-20.78</v>
      </c>
      <c r="AJ15" s="50"/>
      <c r="AK15" s="50"/>
      <c r="AL15" s="58"/>
      <c r="AM15" s="53"/>
      <c r="AN15" s="50"/>
      <c r="AO15" s="50"/>
      <c r="AP15" s="50"/>
      <c r="AQ15" s="50"/>
      <c r="AR15" s="58"/>
      <c r="AS15" s="53"/>
      <c r="AT15" s="58"/>
      <c r="AU15" s="53"/>
      <c r="AV15" s="58"/>
      <c r="AX15" s="58"/>
    </row>
    <row r="16" spans="1:50" s="54" customFormat="1" ht="15" customHeight="1">
      <c r="A16" s="43"/>
      <c r="B16" s="155" t="s">
        <v>631</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560</v>
      </c>
      <c r="C17" s="17"/>
      <c r="D17" s="60">
        <v>0</v>
      </c>
      <c r="E17" s="60">
        <v>0</v>
      </c>
      <c r="F17" s="60">
        <v>0</v>
      </c>
      <c r="G17" s="60">
        <v>0</v>
      </c>
      <c r="H17" s="57">
        <v>0</v>
      </c>
      <c r="I17" s="48"/>
      <c r="J17" s="60">
        <v>0</v>
      </c>
      <c r="K17" s="60">
        <v>0</v>
      </c>
      <c r="L17" s="60">
        <v>7.2889999999999997</v>
      </c>
      <c r="M17" s="60">
        <v>7.57</v>
      </c>
      <c r="N17" s="57">
        <v>10.282</v>
      </c>
      <c r="O17" s="47"/>
      <c r="P17" s="60">
        <v>3.238</v>
      </c>
      <c r="Q17" s="60">
        <v>3.3660000000000001</v>
      </c>
      <c r="R17" s="60">
        <v>3.452</v>
      </c>
      <c r="S17" s="60">
        <v>3.5249999999999999</v>
      </c>
      <c r="T17" s="57">
        <v>13.581</v>
      </c>
      <c r="U17" s="47"/>
      <c r="V17" s="60">
        <v>3.391</v>
      </c>
      <c r="W17" s="60">
        <v>3.3170000000000002</v>
      </c>
      <c r="X17" s="60">
        <v>6.2190000000000003</v>
      </c>
      <c r="Y17" s="60">
        <v>2.907</v>
      </c>
      <c r="Z17" s="57">
        <v>12.734999999999999</v>
      </c>
      <c r="AA17" s="47"/>
      <c r="AB17" s="60">
        <v>2.7250000000000001</v>
      </c>
      <c r="AC17" s="60">
        <v>2.4900000000000002</v>
      </c>
      <c r="AD17" s="60">
        <v>4.58</v>
      </c>
      <c r="AE17" s="60">
        <v>2.1259999999999999</v>
      </c>
      <c r="AF17" s="57">
        <v>9.6210000000000004</v>
      </c>
      <c r="AG17" s="49"/>
      <c r="AH17" s="60">
        <v>1.76</v>
      </c>
      <c r="AI17" s="60">
        <v>1.502</v>
      </c>
      <c r="AJ17" s="50">
        <v>0</v>
      </c>
      <c r="AK17" s="50">
        <v>0</v>
      </c>
      <c r="AL17" s="57">
        <v>3.262</v>
      </c>
      <c r="AM17" s="53"/>
      <c r="AN17" s="50">
        <v>0</v>
      </c>
      <c r="AO17" s="50">
        <v>0</v>
      </c>
      <c r="AP17" s="50">
        <v>0</v>
      </c>
      <c r="AQ17" s="50">
        <v>0</v>
      </c>
      <c r="AR17" s="57">
        <v>0</v>
      </c>
      <c r="AS17" s="53"/>
      <c r="AT17" s="58"/>
      <c r="AU17" s="53"/>
      <c r="AV17" s="58"/>
      <c r="AX17" s="58"/>
    </row>
    <row r="18" spans="1:50" s="54" customFormat="1" ht="15" customHeight="1">
      <c r="A18" s="43"/>
      <c r="B18" s="156" t="s">
        <v>632</v>
      </c>
      <c r="C18" s="17"/>
      <c r="D18" s="60">
        <v>0</v>
      </c>
      <c r="E18" s="60">
        <v>0</v>
      </c>
      <c r="F18" s="60">
        <v>0</v>
      </c>
      <c r="G18" s="60">
        <v>0</v>
      </c>
      <c r="H18" s="57">
        <v>0</v>
      </c>
      <c r="I18" s="48"/>
      <c r="J18" s="60">
        <v>0</v>
      </c>
      <c r="K18" s="60">
        <v>0</v>
      </c>
      <c r="L18" s="60">
        <v>0</v>
      </c>
      <c r="M18" s="60">
        <v>0</v>
      </c>
      <c r="N18" s="57">
        <v>3.012</v>
      </c>
      <c r="O18" s="47"/>
      <c r="P18" s="60">
        <v>0</v>
      </c>
      <c r="Q18" s="60">
        <v>0</v>
      </c>
      <c r="R18" s="60">
        <v>0</v>
      </c>
      <c r="S18" s="60">
        <v>0</v>
      </c>
      <c r="T18" s="57">
        <v>3.3540000000000001</v>
      </c>
      <c r="U18" s="47"/>
      <c r="V18" s="60">
        <v>1.139</v>
      </c>
      <c r="W18" s="60">
        <v>0.84499999999999997</v>
      </c>
      <c r="X18" s="60">
        <v>1.0860000000000001</v>
      </c>
      <c r="Y18" s="60">
        <v>0.997</v>
      </c>
      <c r="Z18" s="57">
        <v>4.0670000000000002</v>
      </c>
      <c r="AA18" s="47"/>
      <c r="AB18" s="60">
        <v>1.004</v>
      </c>
      <c r="AC18" s="60">
        <v>2.0920000000000001</v>
      </c>
      <c r="AD18" s="60">
        <v>1.0860000000000001</v>
      </c>
      <c r="AE18" s="60">
        <v>1.0880000000000001</v>
      </c>
      <c r="AF18" s="57">
        <v>5.27</v>
      </c>
      <c r="AG18" s="49"/>
      <c r="AH18" s="60">
        <v>1.2609999999999999</v>
      </c>
      <c r="AI18" s="60">
        <v>5.0910000000000002</v>
      </c>
      <c r="AJ18" s="50">
        <v>0</v>
      </c>
      <c r="AK18" s="50">
        <v>0</v>
      </c>
      <c r="AL18" s="57">
        <v>6.3520000000000003</v>
      </c>
      <c r="AM18" s="53"/>
      <c r="AN18" s="50">
        <v>0</v>
      </c>
      <c r="AO18" s="50">
        <v>0</v>
      </c>
      <c r="AP18" s="50">
        <v>0</v>
      </c>
      <c r="AQ18" s="50">
        <v>0</v>
      </c>
      <c r="AR18" s="57">
        <v>0</v>
      </c>
      <c r="AS18" s="53"/>
      <c r="AT18" s="58"/>
      <c r="AU18" s="53"/>
      <c r="AV18" s="58"/>
      <c r="AX18" s="58"/>
    </row>
    <row r="19" spans="1:50" s="54" customFormat="1" ht="15" customHeight="1">
      <c r="A19" s="113"/>
      <c r="B19" s="156" t="s">
        <v>106</v>
      </c>
      <c r="C19" s="115"/>
      <c r="D19" s="60">
        <v>0</v>
      </c>
      <c r="E19" s="60">
        <v>0</v>
      </c>
      <c r="F19" s="60">
        <v>2E-3</v>
      </c>
      <c r="G19" s="60">
        <v>0</v>
      </c>
      <c r="H19" s="57">
        <v>0</v>
      </c>
      <c r="I19" s="48"/>
      <c r="J19" s="60">
        <v>0</v>
      </c>
      <c r="K19" s="60">
        <v>0</v>
      </c>
      <c r="L19" s="60">
        <v>0</v>
      </c>
      <c r="M19" s="60">
        <v>0</v>
      </c>
      <c r="N19" s="57">
        <v>123.361</v>
      </c>
      <c r="O19" s="48"/>
      <c r="P19" s="60">
        <v>47.933999999999997</v>
      </c>
      <c r="Q19" s="60">
        <v>48.009</v>
      </c>
      <c r="R19" s="60">
        <v>72.058999999999997</v>
      </c>
      <c r="S19" s="60">
        <v>63.954000000000001</v>
      </c>
      <c r="T19" s="57">
        <v>231.95599999999999</v>
      </c>
      <c r="U19" s="48"/>
      <c r="V19" s="60">
        <v>67.826999999999998</v>
      </c>
      <c r="W19" s="60">
        <v>62.762999999999998</v>
      </c>
      <c r="X19" s="60">
        <v>69.082999999999998</v>
      </c>
      <c r="Y19" s="60">
        <v>83.596999999999994</v>
      </c>
      <c r="Z19" s="57">
        <v>286.36900000000003</v>
      </c>
      <c r="AA19" s="51"/>
      <c r="AB19" s="60">
        <v>65.564999999999998</v>
      </c>
      <c r="AC19" s="60">
        <v>69.072000000000003</v>
      </c>
      <c r="AD19" s="60">
        <v>73.784999999999997</v>
      </c>
      <c r="AE19" s="60">
        <v>89.78</v>
      </c>
      <c r="AF19" s="57">
        <v>300.50200000000001</v>
      </c>
      <c r="AG19" s="49"/>
      <c r="AH19" s="60">
        <v>106.34399999999999</v>
      </c>
      <c r="AI19" s="60">
        <v>114.315</v>
      </c>
      <c r="AJ19" s="50"/>
      <c r="AK19" s="50"/>
      <c r="AL19" s="58"/>
      <c r="AM19" s="69"/>
      <c r="AN19" s="50"/>
      <c r="AO19" s="50"/>
      <c r="AP19" s="50"/>
      <c r="AQ19" s="50"/>
      <c r="AR19" s="58"/>
      <c r="AS19" s="69"/>
      <c r="AT19" s="58"/>
      <c r="AU19" s="69"/>
      <c r="AV19" s="58"/>
      <c r="AX19" s="58"/>
    </row>
    <row r="20" spans="1:50" s="54" customFormat="1" ht="15" customHeight="1">
      <c r="A20" s="43"/>
      <c r="B20" s="155" t="s">
        <v>633</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599</v>
      </c>
      <c r="C21" s="115"/>
      <c r="D21" s="60">
        <v>0</v>
      </c>
      <c r="E21" s="60">
        <v>0</v>
      </c>
      <c r="F21" s="60">
        <v>0</v>
      </c>
      <c r="G21" s="60">
        <v>0</v>
      </c>
      <c r="H21" s="66">
        <v>0</v>
      </c>
      <c r="I21" s="48"/>
      <c r="J21" s="60">
        <v>0</v>
      </c>
      <c r="K21" s="60">
        <v>0</v>
      </c>
      <c r="L21" s="60">
        <v>0</v>
      </c>
      <c r="M21" s="60">
        <v>0</v>
      </c>
      <c r="N21" s="66">
        <v>0</v>
      </c>
      <c r="O21" s="48"/>
      <c r="P21" s="60">
        <v>0</v>
      </c>
      <c r="Q21" s="60">
        <v>0</v>
      </c>
      <c r="R21" s="60">
        <v>0</v>
      </c>
      <c r="S21" s="60">
        <v>0</v>
      </c>
      <c r="T21" s="66">
        <v>0</v>
      </c>
      <c r="U21" s="48"/>
      <c r="V21" s="60">
        <v>0</v>
      </c>
      <c r="W21" s="60">
        <v>0</v>
      </c>
      <c r="X21" s="60">
        <v>0</v>
      </c>
      <c r="Y21" s="60">
        <v>0</v>
      </c>
      <c r="Z21" s="66">
        <v>0</v>
      </c>
      <c r="AA21" s="51"/>
      <c r="AB21" s="60">
        <v>0</v>
      </c>
      <c r="AC21" s="60">
        <v>0</v>
      </c>
      <c r="AD21" s="60">
        <v>0</v>
      </c>
      <c r="AE21" s="60">
        <v>0</v>
      </c>
      <c r="AF21" s="66">
        <v>0</v>
      </c>
      <c r="AG21" s="49"/>
      <c r="AH21" s="60">
        <v>-3.149</v>
      </c>
      <c r="AI21" s="60">
        <v>1.1479999999999999</v>
      </c>
      <c r="AJ21" s="50">
        <v>0</v>
      </c>
      <c r="AK21" s="50">
        <v>0</v>
      </c>
      <c r="AL21" s="66">
        <v>-2.0010000000000003</v>
      </c>
      <c r="AM21" s="72"/>
      <c r="AN21" s="50">
        <v>0</v>
      </c>
      <c r="AO21" s="50">
        <v>0</v>
      </c>
      <c r="AP21" s="50">
        <v>0</v>
      </c>
      <c r="AQ21" s="50">
        <v>0</v>
      </c>
      <c r="AR21" s="66">
        <v>0</v>
      </c>
      <c r="AS21" s="72"/>
      <c r="AT21" s="68"/>
      <c r="AU21" s="72"/>
      <c r="AV21" s="68"/>
      <c r="AX21" s="68"/>
    </row>
    <row r="22" spans="1:50" s="54" customFormat="1" ht="15" customHeight="1">
      <c r="A22" s="43"/>
      <c r="B22" s="156" t="s">
        <v>634</v>
      </c>
      <c r="C22" s="17"/>
      <c r="D22" s="60">
        <v>0</v>
      </c>
      <c r="E22" s="60">
        <v>0</v>
      </c>
      <c r="F22" s="60">
        <v>0</v>
      </c>
      <c r="G22" s="60">
        <v>0</v>
      </c>
      <c r="H22" s="66">
        <v>0</v>
      </c>
      <c r="I22" s="48"/>
      <c r="J22" s="60">
        <v>0</v>
      </c>
      <c r="K22" s="60">
        <v>0</v>
      </c>
      <c r="L22" s="60">
        <v>0</v>
      </c>
      <c r="M22" s="60">
        <v>0</v>
      </c>
      <c r="N22" s="66">
        <v>0</v>
      </c>
      <c r="O22" s="48"/>
      <c r="P22" s="60">
        <v>0</v>
      </c>
      <c r="Q22" s="60">
        <v>0</v>
      </c>
      <c r="R22" s="60">
        <v>0</v>
      </c>
      <c r="S22" s="60">
        <v>0</v>
      </c>
      <c r="T22" s="66">
        <v>0</v>
      </c>
      <c r="U22" s="48"/>
      <c r="V22" s="60">
        <v>0</v>
      </c>
      <c r="W22" s="60">
        <v>0</v>
      </c>
      <c r="X22" s="60">
        <v>0</v>
      </c>
      <c r="Y22" s="60">
        <v>0</v>
      </c>
      <c r="Z22" s="66">
        <v>0</v>
      </c>
      <c r="AA22" s="51"/>
      <c r="AB22" s="60">
        <v>0</v>
      </c>
      <c r="AC22" s="60">
        <v>0</v>
      </c>
      <c r="AD22" s="60">
        <v>0</v>
      </c>
      <c r="AE22" s="60">
        <v>0</v>
      </c>
      <c r="AF22" s="66">
        <v>0</v>
      </c>
      <c r="AG22" s="49"/>
      <c r="AH22" s="60">
        <v>0</v>
      </c>
      <c r="AI22" s="60">
        <v>0</v>
      </c>
      <c r="AJ22" s="50">
        <v>0</v>
      </c>
      <c r="AK22" s="50">
        <v>0</v>
      </c>
      <c r="AL22" s="66">
        <v>0</v>
      </c>
      <c r="AM22" s="72"/>
      <c r="AN22" s="50">
        <v>0</v>
      </c>
      <c r="AO22" s="50">
        <v>0</v>
      </c>
      <c r="AP22" s="50">
        <v>0</v>
      </c>
      <c r="AQ22" s="50">
        <v>0</v>
      </c>
      <c r="AR22" s="66">
        <v>0</v>
      </c>
      <c r="AS22" s="72"/>
      <c r="AT22" s="68"/>
      <c r="AU22" s="72"/>
      <c r="AV22" s="68"/>
      <c r="AX22" s="68"/>
    </row>
    <row r="23" spans="1:50" s="54" customFormat="1" ht="15" customHeight="1">
      <c r="A23" s="113"/>
      <c r="B23" s="156" t="s">
        <v>611</v>
      </c>
      <c r="C23" s="115"/>
      <c r="D23" s="60">
        <v>0</v>
      </c>
      <c r="E23" s="60">
        <v>0</v>
      </c>
      <c r="F23" s="60">
        <v>0</v>
      </c>
      <c r="G23" s="60">
        <v>0</v>
      </c>
      <c r="H23" s="66">
        <v>0</v>
      </c>
      <c r="I23" s="48"/>
      <c r="J23" s="60">
        <v>1.2327999999999999</v>
      </c>
      <c r="K23" s="60">
        <v>0.17180000000000001</v>
      </c>
      <c r="L23" s="60">
        <v>-0.4506</v>
      </c>
      <c r="M23" s="60">
        <v>2.4830000000000001</v>
      </c>
      <c r="N23" s="66">
        <v>3.4369999999999998</v>
      </c>
      <c r="O23" s="48"/>
      <c r="P23" s="60">
        <v>0.74099999999999999</v>
      </c>
      <c r="Q23" s="60">
        <v>3.3879999999999999</v>
      </c>
      <c r="R23" s="60">
        <v>-3.5489999999999999</v>
      </c>
      <c r="S23" s="60">
        <v>-0.34200000000000003</v>
      </c>
      <c r="T23" s="66">
        <v>0.23799999999999999</v>
      </c>
      <c r="U23" s="48"/>
      <c r="V23" s="60">
        <v>-2.6269999999999998</v>
      </c>
      <c r="W23" s="60">
        <v>0.34799999999999998</v>
      </c>
      <c r="X23" s="60">
        <v>-0.49</v>
      </c>
      <c r="Y23" s="60">
        <v>0.873</v>
      </c>
      <c r="Z23" s="66">
        <v>-1.8959999999999999</v>
      </c>
      <c r="AA23" s="51"/>
      <c r="AB23" s="60">
        <v>-0.45800000000000002</v>
      </c>
      <c r="AC23" s="60">
        <v>-1.585</v>
      </c>
      <c r="AD23" s="60">
        <v>2.2490000000000001</v>
      </c>
      <c r="AE23" s="60">
        <v>-3.7690000000000001</v>
      </c>
      <c r="AF23" s="66">
        <v>-3.5630000000000002</v>
      </c>
      <c r="AG23" s="49"/>
      <c r="AH23" s="60">
        <v>1.081</v>
      </c>
      <c r="AI23" s="60">
        <v>0.77100000000000002</v>
      </c>
      <c r="AJ23" s="50">
        <v>-29.84</v>
      </c>
      <c r="AK23" s="50">
        <v>0</v>
      </c>
      <c r="AL23" s="66">
        <v>-27.988</v>
      </c>
      <c r="AM23" s="72"/>
      <c r="AN23" s="50">
        <v>0</v>
      </c>
      <c r="AO23" s="50">
        <v>0</v>
      </c>
      <c r="AP23" s="50">
        <v>0</v>
      </c>
      <c r="AQ23" s="50">
        <v>0</v>
      </c>
      <c r="AR23" s="66">
        <v>0</v>
      </c>
      <c r="AS23" s="72"/>
      <c r="AT23" s="68"/>
      <c r="AU23" s="72"/>
      <c r="AV23" s="68"/>
      <c r="AX23" s="68"/>
    </row>
    <row r="24" spans="1:50" s="54" customFormat="1" ht="15" customHeight="1">
      <c r="A24" s="113"/>
      <c r="B24" s="156" t="s">
        <v>106</v>
      </c>
      <c r="C24" s="115"/>
      <c r="D24" s="60">
        <v>0</v>
      </c>
      <c r="E24" s="60">
        <v>0</v>
      </c>
      <c r="F24" s="60">
        <v>0</v>
      </c>
      <c r="G24" s="60">
        <v>0</v>
      </c>
      <c r="H24" s="74">
        <v>0</v>
      </c>
      <c r="I24" s="48"/>
      <c r="J24" s="60">
        <v>1.2969999999999999</v>
      </c>
      <c r="K24" s="60">
        <v>15.819900000000001</v>
      </c>
      <c r="L24" s="60">
        <v>-14.629899999999999</v>
      </c>
      <c r="M24" s="60">
        <v>2.2250000000000001</v>
      </c>
      <c r="N24" s="74">
        <v>4.7119999999999997</v>
      </c>
      <c r="O24" s="48"/>
      <c r="P24" s="60">
        <v>-8.2579999999999991</v>
      </c>
      <c r="Q24" s="60">
        <v>-0.16800000000000001</v>
      </c>
      <c r="R24" s="60">
        <v>-1.9119999999999999</v>
      </c>
      <c r="S24" s="60">
        <v>0.76200000000000001</v>
      </c>
      <c r="T24" s="74">
        <v>-9.5760000000000005</v>
      </c>
      <c r="U24" s="48"/>
      <c r="V24" s="60">
        <v>-3.2050000000000001</v>
      </c>
      <c r="W24" s="60">
        <v>4.359</v>
      </c>
      <c r="X24" s="60">
        <v>-1.9590000000000001</v>
      </c>
      <c r="Y24" s="60">
        <v>0.748</v>
      </c>
      <c r="Z24" s="74">
        <v>-5.7000000000000002E-2</v>
      </c>
      <c r="AA24" s="81"/>
      <c r="AB24" s="60">
        <v>1.0580000000000001</v>
      </c>
      <c r="AC24" s="60">
        <v>4.2619999999999996</v>
      </c>
      <c r="AD24" s="60">
        <v>-7.3109999999999999</v>
      </c>
      <c r="AE24" s="60">
        <v>11.978999999999999</v>
      </c>
      <c r="AF24" s="74">
        <v>9.9879999999999995</v>
      </c>
      <c r="AG24" s="82"/>
      <c r="AH24" s="60">
        <v>-10.923999999999999</v>
      </c>
      <c r="AI24" s="60">
        <v>-1.339</v>
      </c>
      <c r="AJ24" s="50">
        <v>33.038000000000004</v>
      </c>
      <c r="AK24" s="50">
        <v>0</v>
      </c>
      <c r="AL24" s="74">
        <v>20.775000000000006</v>
      </c>
      <c r="AM24" s="83"/>
      <c r="AN24" s="50">
        <v>0</v>
      </c>
      <c r="AO24" s="50">
        <v>0</v>
      </c>
      <c r="AP24" s="50">
        <v>0</v>
      </c>
      <c r="AQ24" s="50">
        <v>0</v>
      </c>
      <c r="AR24" s="74">
        <v>0</v>
      </c>
      <c r="AS24" s="83"/>
      <c r="AT24" s="75"/>
      <c r="AU24" s="83"/>
      <c r="AV24" s="75"/>
      <c r="AX24" s="75"/>
    </row>
    <row r="25" spans="1:50" s="54" customFormat="1" ht="15" customHeight="1" thickBot="1">
      <c r="A25" s="84"/>
      <c r="B25" s="157" t="s">
        <v>635</v>
      </c>
      <c r="C25" s="26"/>
      <c r="D25" s="60">
        <v>0</v>
      </c>
      <c r="E25" s="60">
        <v>0</v>
      </c>
      <c r="F25" s="60">
        <v>1E-3</v>
      </c>
      <c r="G25" s="60">
        <v>0</v>
      </c>
      <c r="H25" s="93">
        <v>0</v>
      </c>
      <c r="I25" s="48"/>
      <c r="J25" s="60">
        <v>-0.55630000000000002</v>
      </c>
      <c r="K25" s="60">
        <v>-0.27</v>
      </c>
      <c r="L25" s="60">
        <v>120.9162</v>
      </c>
      <c r="M25" s="60">
        <v>47.256</v>
      </c>
      <c r="N25" s="93">
        <v>167.346</v>
      </c>
      <c r="O25" s="48"/>
      <c r="P25" s="60">
        <v>44.731000000000002</v>
      </c>
      <c r="Q25" s="60">
        <v>58.052999999999997</v>
      </c>
      <c r="R25" s="60">
        <v>69.478999999999999</v>
      </c>
      <c r="S25" s="60">
        <v>71.034000000000006</v>
      </c>
      <c r="T25" s="93">
        <v>243.297</v>
      </c>
      <c r="U25" s="48"/>
      <c r="V25" s="60">
        <v>65.637</v>
      </c>
      <c r="W25" s="60">
        <v>72.929000000000002</v>
      </c>
      <c r="X25" s="60">
        <v>75.022000000000006</v>
      </c>
      <c r="Y25" s="60">
        <v>82.558000000000007</v>
      </c>
      <c r="Z25" s="93">
        <v>296.14600000000002</v>
      </c>
      <c r="AA25" s="81"/>
      <c r="AB25" s="60">
        <v>74.427000000000007</v>
      </c>
      <c r="AC25" s="60">
        <v>77.305000000000007</v>
      </c>
      <c r="AD25" s="60">
        <v>77.566999999999993</v>
      </c>
      <c r="AE25" s="60">
        <v>94.507000000000005</v>
      </c>
      <c r="AF25" s="93">
        <v>323.80599999999998</v>
      </c>
      <c r="AG25" s="82"/>
      <c r="AH25" s="60">
        <v>83.74</v>
      </c>
      <c r="AI25" s="60">
        <v>95.617000000000004</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39</v>
      </c>
      <c r="B27" s="158" t="s">
        <v>636</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637</v>
      </c>
      <c r="C28" s="17"/>
      <c r="D28" s="60">
        <v>0</v>
      </c>
      <c r="E28" s="60">
        <v>0</v>
      </c>
      <c r="F28" s="60">
        <v>0</v>
      </c>
      <c r="G28" s="60">
        <v>0</v>
      </c>
      <c r="H28" s="66">
        <v>0</v>
      </c>
      <c r="I28" s="48"/>
      <c r="J28" s="60">
        <v>0</v>
      </c>
      <c r="K28" s="60">
        <v>0</v>
      </c>
      <c r="L28" s="60">
        <v>-10.563000000000001</v>
      </c>
      <c r="M28" s="60">
        <v>-3.81</v>
      </c>
      <c r="N28" s="66">
        <v>-14.372999999999999</v>
      </c>
      <c r="O28" s="48"/>
      <c r="P28" s="60">
        <v>-3.8140000000000001</v>
      </c>
      <c r="Q28" s="60">
        <v>-3.0990000000000002</v>
      </c>
      <c r="R28" s="60">
        <v>-3.2370000000000001</v>
      </c>
      <c r="S28" s="60">
        <v>-3.1</v>
      </c>
      <c r="T28" s="66">
        <v>-13.25</v>
      </c>
      <c r="U28" s="48"/>
      <c r="V28" s="60">
        <v>-2.1150000000000002</v>
      </c>
      <c r="W28" s="60">
        <v>-2.5179999999999998</v>
      </c>
      <c r="X28" s="60">
        <v>-2.254</v>
      </c>
      <c r="Y28" s="60">
        <v>-2.1040000000000001</v>
      </c>
      <c r="Z28" s="66">
        <v>-8.9909999999999997</v>
      </c>
      <c r="AA28" s="51"/>
      <c r="AB28" s="60">
        <v>-2.129</v>
      </c>
      <c r="AC28" s="60">
        <v>-2.5920000000000001</v>
      </c>
      <c r="AD28" s="60">
        <v>-3.8860000000000001</v>
      </c>
      <c r="AE28" s="60">
        <v>-4.4029999999999996</v>
      </c>
      <c r="AF28" s="66">
        <v>-13.01</v>
      </c>
      <c r="AG28" s="49"/>
      <c r="AH28" s="60">
        <v>-4.3899999999999997</v>
      </c>
      <c r="AI28" s="60">
        <v>-4.6399999999999997</v>
      </c>
      <c r="AJ28" s="50">
        <v>0</v>
      </c>
      <c r="AK28" s="50">
        <v>0</v>
      </c>
      <c r="AL28" s="68">
        <v>-9.0299999999999994</v>
      </c>
      <c r="AM28" s="72"/>
      <c r="AN28" s="50">
        <v>0</v>
      </c>
      <c r="AO28" s="50">
        <v>0</v>
      </c>
      <c r="AP28" s="50">
        <v>0</v>
      </c>
      <c r="AQ28" s="50">
        <v>0</v>
      </c>
      <c r="AR28" s="68">
        <v>0</v>
      </c>
      <c r="AS28" s="72"/>
      <c r="AT28" s="68">
        <v>-23400</v>
      </c>
      <c r="AU28" s="72"/>
      <c r="AV28" s="68">
        <v>-22620</v>
      </c>
      <c r="AW28" s="343"/>
      <c r="AX28" s="68">
        <v>-29400.000000000004</v>
      </c>
    </row>
    <row r="29" spans="1:50" s="54" customFormat="1" ht="15" customHeight="1">
      <c r="A29" s="113"/>
      <c r="B29" s="159" t="s">
        <v>638</v>
      </c>
      <c r="C29" s="115"/>
      <c r="D29" s="60">
        <v>0</v>
      </c>
      <c r="E29" s="60">
        <v>0</v>
      </c>
      <c r="F29" s="60">
        <v>0</v>
      </c>
      <c r="G29" s="60">
        <v>0</v>
      </c>
      <c r="H29" s="66">
        <v>0</v>
      </c>
      <c r="I29" s="48"/>
      <c r="J29" s="60">
        <v>0</v>
      </c>
      <c r="K29" s="60">
        <v>0</v>
      </c>
      <c r="L29" s="60">
        <v>0</v>
      </c>
      <c r="M29" s="60">
        <v>0</v>
      </c>
      <c r="N29" s="66">
        <v>0</v>
      </c>
      <c r="O29" s="48"/>
      <c r="P29" s="60">
        <v>0</v>
      </c>
      <c r="Q29" s="60">
        <v>0</v>
      </c>
      <c r="R29" s="60">
        <v>0</v>
      </c>
      <c r="S29" s="60">
        <v>0</v>
      </c>
      <c r="T29" s="66">
        <v>0</v>
      </c>
      <c r="U29" s="48"/>
      <c r="V29" s="60">
        <v>0</v>
      </c>
      <c r="W29" s="60">
        <v>0</v>
      </c>
      <c r="X29" s="60">
        <v>0</v>
      </c>
      <c r="Y29" s="60">
        <v>0</v>
      </c>
      <c r="Z29" s="66">
        <v>0</v>
      </c>
      <c r="AA29" s="81"/>
      <c r="AB29" s="60">
        <v>0</v>
      </c>
      <c r="AC29" s="60">
        <v>0</v>
      </c>
      <c r="AD29" s="60">
        <v>0</v>
      </c>
      <c r="AE29" s="60">
        <v>0</v>
      </c>
      <c r="AF29" s="66">
        <v>0</v>
      </c>
      <c r="AG29" s="82"/>
      <c r="AH29" s="60">
        <v>0</v>
      </c>
      <c r="AI29" s="60">
        <v>0</v>
      </c>
      <c r="AJ29" s="50">
        <v>0</v>
      </c>
      <c r="AK29" s="50">
        <v>0</v>
      </c>
      <c r="AL29" s="68">
        <v>0</v>
      </c>
      <c r="AM29" s="83"/>
      <c r="AN29" s="50">
        <v>0</v>
      </c>
      <c r="AO29" s="50">
        <v>0</v>
      </c>
      <c r="AP29" s="50">
        <v>0</v>
      </c>
      <c r="AQ29" s="50">
        <v>0</v>
      </c>
      <c r="AR29" s="68">
        <v>0</v>
      </c>
      <c r="AS29" s="83"/>
      <c r="AT29" s="68">
        <v>0</v>
      </c>
      <c r="AU29" s="83"/>
      <c r="AV29" s="68">
        <v>0</v>
      </c>
      <c r="AX29" s="68">
        <v>0</v>
      </c>
    </row>
    <row r="30" spans="1:50" s="54" customFormat="1" ht="15" customHeight="1">
      <c r="A30" s="43"/>
      <c r="B30" s="159" t="s">
        <v>639</v>
      </c>
      <c r="C30" s="17"/>
      <c r="D30" s="60">
        <v>0</v>
      </c>
      <c r="E30" s="60">
        <v>0</v>
      </c>
      <c r="F30" s="60">
        <v>0</v>
      </c>
      <c r="G30" s="60">
        <v>0</v>
      </c>
      <c r="H30" s="66">
        <v>0</v>
      </c>
      <c r="I30" s="48"/>
      <c r="J30" s="60">
        <v>0</v>
      </c>
      <c r="K30" s="60">
        <v>0</v>
      </c>
      <c r="L30" s="60">
        <v>0</v>
      </c>
      <c r="M30" s="60">
        <v>0</v>
      </c>
      <c r="N30" s="66">
        <v>0</v>
      </c>
      <c r="O30" s="48"/>
      <c r="P30" s="60">
        <v>0</v>
      </c>
      <c r="Q30" s="60">
        <v>0</v>
      </c>
      <c r="R30" s="60">
        <v>0</v>
      </c>
      <c r="S30" s="60">
        <v>0</v>
      </c>
      <c r="T30" s="66">
        <v>0</v>
      </c>
      <c r="U30" s="48"/>
      <c r="V30" s="60">
        <v>0</v>
      </c>
      <c r="W30" s="60">
        <v>0</v>
      </c>
      <c r="X30" s="60">
        <v>0</v>
      </c>
      <c r="Y30" s="60">
        <v>0</v>
      </c>
      <c r="Z30" s="66">
        <v>0</v>
      </c>
      <c r="AA30" s="51"/>
      <c r="AB30" s="60">
        <v>0</v>
      </c>
      <c r="AC30" s="60">
        <v>0</v>
      </c>
      <c r="AD30" s="60">
        <v>0</v>
      </c>
      <c r="AE30" s="60">
        <v>0</v>
      </c>
      <c r="AF30" s="66">
        <v>0</v>
      </c>
      <c r="AG30" s="49"/>
      <c r="AH30" s="60">
        <v>0</v>
      </c>
      <c r="AI30" s="60">
        <v>0</v>
      </c>
      <c r="AJ30" s="50"/>
      <c r="AK30" s="50"/>
      <c r="AL30" s="68"/>
      <c r="AM30" s="72"/>
      <c r="AN30" s="50"/>
      <c r="AO30" s="50"/>
      <c r="AP30" s="50"/>
      <c r="AQ30" s="50"/>
      <c r="AR30" s="68"/>
      <c r="AS30" s="72"/>
      <c r="AT30" s="68"/>
      <c r="AU30" s="72"/>
      <c r="AV30" s="68"/>
      <c r="AX30" s="68"/>
    </row>
    <row r="31" spans="1:50" s="54" customFormat="1" ht="15" customHeight="1">
      <c r="A31" s="113"/>
      <c r="B31" s="159" t="s">
        <v>640</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641</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642</v>
      </c>
      <c r="C33" s="17"/>
      <c r="D33" s="60">
        <v>0</v>
      </c>
      <c r="E33" s="60">
        <v>0</v>
      </c>
      <c r="F33" s="60">
        <v>0</v>
      </c>
      <c r="G33" s="60">
        <v>0</v>
      </c>
      <c r="H33" s="66">
        <v>0</v>
      </c>
      <c r="I33" s="48"/>
      <c r="J33" s="60">
        <v>-6.0000000000000001E-3</v>
      </c>
      <c r="K33" s="60">
        <v>0</v>
      </c>
      <c r="L33" s="60">
        <v>0</v>
      </c>
      <c r="M33" s="60">
        <v>0</v>
      </c>
      <c r="N33" s="66">
        <v>-587.63900000000001</v>
      </c>
      <c r="O33" s="48"/>
      <c r="P33" s="60">
        <v>-156.87700000000001</v>
      </c>
      <c r="Q33" s="60">
        <v>-213.036</v>
      </c>
      <c r="R33" s="60">
        <v>-186.52799999999999</v>
      </c>
      <c r="S33" s="60">
        <v>-181.97200000000001</v>
      </c>
      <c r="T33" s="66">
        <v>-738.41300000000001</v>
      </c>
      <c r="U33" s="48"/>
      <c r="V33" s="60">
        <v>-155.499</v>
      </c>
      <c r="W33" s="60">
        <v>-191.19800000000001</v>
      </c>
      <c r="X33" s="60">
        <v>-193.61600000000001</v>
      </c>
      <c r="Y33" s="60">
        <v>-180.97399999999999</v>
      </c>
      <c r="Z33" s="66">
        <v>-721.28700000000003</v>
      </c>
      <c r="AA33" s="51"/>
      <c r="AB33" s="60">
        <v>-152.548</v>
      </c>
      <c r="AC33" s="60">
        <v>-184.345</v>
      </c>
      <c r="AD33" s="60">
        <v>-201.554</v>
      </c>
      <c r="AE33" s="60">
        <v>-193.59800000000001</v>
      </c>
      <c r="AF33" s="66">
        <v>-732.04499999999996</v>
      </c>
      <c r="AG33" s="49"/>
      <c r="AH33" s="60">
        <v>-166.87899999999999</v>
      </c>
      <c r="AI33" s="60">
        <v>-200.86</v>
      </c>
      <c r="AJ33" s="50"/>
      <c r="AK33" s="50"/>
      <c r="AL33" s="68"/>
    </row>
    <row r="34" spans="1:38" s="54" customFormat="1" ht="15" customHeight="1">
      <c r="A34" s="43"/>
      <c r="B34" s="159" t="s">
        <v>643</v>
      </c>
      <c r="C34" s="17"/>
      <c r="D34" s="60">
        <v>0</v>
      </c>
      <c r="E34" s="60">
        <v>0</v>
      </c>
      <c r="F34" s="60">
        <v>0</v>
      </c>
      <c r="G34" s="60">
        <v>0</v>
      </c>
      <c r="H34" s="66">
        <v>0</v>
      </c>
      <c r="I34" s="48"/>
      <c r="J34" s="60">
        <v>0</v>
      </c>
      <c r="K34" s="60">
        <v>0</v>
      </c>
      <c r="L34" s="60">
        <v>0</v>
      </c>
      <c r="M34" s="60">
        <v>0</v>
      </c>
      <c r="N34" s="66">
        <v>0</v>
      </c>
      <c r="O34" s="48"/>
      <c r="P34" s="60">
        <v>0</v>
      </c>
      <c r="Q34" s="60">
        <v>0</v>
      </c>
      <c r="R34" s="60">
        <v>0</v>
      </c>
      <c r="S34" s="60">
        <v>0</v>
      </c>
      <c r="T34" s="66">
        <v>0</v>
      </c>
      <c r="U34" s="48"/>
      <c r="V34" s="60">
        <v>0</v>
      </c>
      <c r="W34" s="60">
        <v>0</v>
      </c>
      <c r="X34" s="60">
        <v>0</v>
      </c>
      <c r="Y34" s="60">
        <v>0</v>
      </c>
      <c r="Z34" s="66">
        <v>0</v>
      </c>
      <c r="AA34" s="51"/>
      <c r="AB34" s="60">
        <v>0</v>
      </c>
      <c r="AC34" s="60">
        <v>0</v>
      </c>
      <c r="AD34" s="60">
        <v>0</v>
      </c>
      <c r="AE34" s="60">
        <v>0</v>
      </c>
      <c r="AF34" s="66">
        <v>0</v>
      </c>
      <c r="AG34" s="49"/>
      <c r="AH34" s="60">
        <v>0</v>
      </c>
      <c r="AI34" s="60">
        <v>0</v>
      </c>
      <c r="AJ34" s="50"/>
      <c r="AK34" s="50"/>
      <c r="AL34" s="68"/>
    </row>
    <row r="35" spans="1:38" s="54" customFormat="1" ht="15" customHeight="1">
      <c r="B35" s="159" t="s">
        <v>644</v>
      </c>
      <c r="C35" s="115"/>
      <c r="D35" s="60">
        <v>0</v>
      </c>
      <c r="E35" s="60">
        <v>0</v>
      </c>
      <c r="F35" s="60">
        <v>0</v>
      </c>
      <c r="G35" s="60">
        <v>0</v>
      </c>
      <c r="H35" s="74">
        <v>0</v>
      </c>
      <c r="I35" s="48"/>
      <c r="J35" s="60">
        <v>0</v>
      </c>
      <c r="K35" s="60">
        <v>5.7999999999999996E-3</v>
      </c>
      <c r="L35" s="60">
        <v>-99.415800000000004</v>
      </c>
      <c r="M35" s="60">
        <v>-85.680999999999997</v>
      </c>
      <c r="N35" s="74">
        <v>402.54200000000003</v>
      </c>
      <c r="O35" s="48"/>
      <c r="P35" s="60">
        <v>108.447</v>
      </c>
      <c r="Q35" s="60">
        <v>103.98899999999999</v>
      </c>
      <c r="R35" s="60">
        <v>110.70999999999998</v>
      </c>
      <c r="S35" s="60">
        <v>111.273</v>
      </c>
      <c r="T35" s="74">
        <v>434.41899999999998</v>
      </c>
      <c r="U35" s="48"/>
      <c r="V35" s="60">
        <v>129.31399999999999</v>
      </c>
      <c r="W35" s="60">
        <v>118.81700000000001</v>
      </c>
      <c r="X35" s="60">
        <v>119.086</v>
      </c>
      <c r="Y35" s="60">
        <v>118.76900000000001</v>
      </c>
      <c r="Z35" s="74">
        <v>485.98599999999999</v>
      </c>
      <c r="AA35" s="81"/>
      <c r="AB35" s="60">
        <v>136.672</v>
      </c>
      <c r="AC35" s="60">
        <v>127.59800000000001</v>
      </c>
      <c r="AD35" s="60">
        <v>112.17699999999999</v>
      </c>
      <c r="AE35" s="60">
        <v>125.16600000000001</v>
      </c>
      <c r="AF35" s="74">
        <v>501.61299999999994</v>
      </c>
      <c r="AG35" s="82"/>
      <c r="AH35" s="60">
        <v>137.02799999999996</v>
      </c>
      <c r="AI35" s="60">
        <v>124.18</v>
      </c>
      <c r="AJ35" s="50"/>
      <c r="AK35" s="50"/>
      <c r="AL35" s="75"/>
    </row>
    <row r="36" spans="1:38" s="54" customFormat="1" ht="15" customHeight="1" thickBot="1">
      <c r="A36" s="113"/>
      <c r="B36" s="160" t="s">
        <v>645</v>
      </c>
      <c r="C36" s="17"/>
      <c r="D36" s="60">
        <v>0</v>
      </c>
      <c r="E36" s="60">
        <v>0</v>
      </c>
      <c r="F36" s="60">
        <v>0</v>
      </c>
      <c r="G36" s="60">
        <v>0</v>
      </c>
      <c r="H36" s="93">
        <v>0</v>
      </c>
      <c r="I36" s="48"/>
      <c r="J36" s="60">
        <v>-6.0000000000000001E-3</v>
      </c>
      <c r="K36" s="60">
        <v>5.7999999999999996E-3</v>
      </c>
      <c r="L36" s="60">
        <v>-109.97880000000001</v>
      </c>
      <c r="M36" s="60">
        <v>-89.491</v>
      </c>
      <c r="N36" s="93">
        <v>-199.47</v>
      </c>
      <c r="O36" s="48"/>
      <c r="P36" s="60">
        <v>-52.244</v>
      </c>
      <c r="Q36" s="60">
        <v>-112.146</v>
      </c>
      <c r="R36" s="60">
        <v>-79.055000000000007</v>
      </c>
      <c r="S36" s="60">
        <v>-73.799000000000007</v>
      </c>
      <c r="T36" s="93">
        <v>-317.24400000000003</v>
      </c>
      <c r="U36" s="48"/>
      <c r="V36" s="60">
        <v>-28.3</v>
      </c>
      <c r="W36" s="60">
        <v>-74.899000000000001</v>
      </c>
      <c r="X36" s="60">
        <v>-76.784000000000006</v>
      </c>
      <c r="Y36" s="60">
        <v>-64.308999999999997</v>
      </c>
      <c r="Z36" s="93">
        <v>-244.292</v>
      </c>
      <c r="AA36" s="51"/>
      <c r="AB36" s="60">
        <v>-18.004999999999999</v>
      </c>
      <c r="AC36" s="60">
        <v>-59.338999999999999</v>
      </c>
      <c r="AD36" s="60">
        <v>-93.263000000000005</v>
      </c>
      <c r="AE36" s="60">
        <v>-72.834999999999994</v>
      </c>
      <c r="AF36" s="93">
        <v>-243.44200000000001</v>
      </c>
      <c r="AG36" s="49"/>
      <c r="AH36" s="60">
        <v>-34.241</v>
      </c>
      <c r="AI36" s="60">
        <v>-81.319999999999993</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39</v>
      </c>
      <c r="B38" s="158" t="s">
        <v>646</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647</v>
      </c>
      <c r="C39" s="115"/>
      <c r="D39" s="60">
        <v>0</v>
      </c>
      <c r="E39" s="60">
        <v>0</v>
      </c>
      <c r="F39" s="60">
        <v>0</v>
      </c>
      <c r="G39" s="60">
        <v>0</v>
      </c>
      <c r="H39" s="66">
        <v>0</v>
      </c>
      <c r="I39" s="48"/>
      <c r="J39" s="60">
        <v>0</v>
      </c>
      <c r="K39" s="60">
        <v>0</v>
      </c>
      <c r="L39" s="60">
        <v>0</v>
      </c>
      <c r="M39" s="60">
        <v>0</v>
      </c>
      <c r="N39" s="66">
        <v>0</v>
      </c>
      <c r="O39" s="48"/>
      <c r="P39" s="60">
        <v>0</v>
      </c>
      <c r="Q39" s="60">
        <v>0</v>
      </c>
      <c r="R39" s="60">
        <v>0</v>
      </c>
      <c r="S39" s="60">
        <v>0</v>
      </c>
      <c r="T39" s="66">
        <v>0</v>
      </c>
      <c r="U39" s="48"/>
      <c r="V39" s="60">
        <v>0</v>
      </c>
      <c r="W39" s="60">
        <v>0</v>
      </c>
      <c r="X39" s="60">
        <v>0</v>
      </c>
      <c r="Y39" s="60">
        <v>0</v>
      </c>
      <c r="Z39" s="66">
        <v>0</v>
      </c>
      <c r="AA39" s="51"/>
      <c r="AB39" s="60">
        <v>0</v>
      </c>
      <c r="AC39" s="60">
        <v>-2.3740000000000001</v>
      </c>
      <c r="AD39" s="60">
        <v>0</v>
      </c>
      <c r="AE39" s="60">
        <v>0</v>
      </c>
      <c r="AF39" s="66">
        <v>-2.3740000000000001</v>
      </c>
      <c r="AG39" s="49"/>
      <c r="AH39" s="60">
        <v>0</v>
      </c>
      <c r="AI39" s="60">
        <v>-6.4139999999999997</v>
      </c>
      <c r="AJ39" s="50"/>
      <c r="AK39" s="50"/>
      <c r="AL39" s="68"/>
    </row>
    <row r="40" spans="1:38" s="54" customFormat="1" ht="15" customHeight="1">
      <c r="A40" s="113"/>
      <c r="B40" s="159" t="s">
        <v>648</v>
      </c>
      <c r="C40" s="115"/>
      <c r="D40" s="60">
        <v>0</v>
      </c>
      <c r="E40" s="60">
        <v>0</v>
      </c>
      <c r="F40" s="60">
        <v>0</v>
      </c>
      <c r="G40" s="60">
        <v>0</v>
      </c>
      <c r="H40" s="66">
        <v>0</v>
      </c>
      <c r="I40" s="48"/>
      <c r="J40" s="60">
        <v>0</v>
      </c>
      <c r="K40" s="60">
        <v>0</v>
      </c>
      <c r="L40" s="60">
        <v>0</v>
      </c>
      <c r="M40" s="60">
        <v>0</v>
      </c>
      <c r="N40" s="66">
        <v>0</v>
      </c>
      <c r="O40" s="48"/>
      <c r="P40" s="60">
        <v>-1.0369999999999999</v>
      </c>
      <c r="Q40" s="60">
        <v>-1.1160000000000001</v>
      </c>
      <c r="R40" s="60">
        <v>-0.307</v>
      </c>
      <c r="S40" s="60">
        <v>0</v>
      </c>
      <c r="T40" s="66">
        <v>-2.46</v>
      </c>
      <c r="U40" s="48"/>
      <c r="V40" s="60">
        <v>0</v>
      </c>
      <c r="W40" s="60">
        <v>0</v>
      </c>
      <c r="X40" s="60">
        <v>0</v>
      </c>
      <c r="Y40" s="60">
        <v>5.8999999999999997E-2</v>
      </c>
      <c r="Z40" s="66">
        <v>5.8999999999999997E-2</v>
      </c>
      <c r="AA40" s="51"/>
      <c r="AB40" s="60">
        <v>-0.189</v>
      </c>
      <c r="AC40" s="60">
        <v>0.189</v>
      </c>
      <c r="AD40" s="60">
        <v>-4.5549999999999997</v>
      </c>
      <c r="AE40" s="60">
        <v>-0.33100000000000002</v>
      </c>
      <c r="AF40" s="66">
        <v>-4.8860000000000001</v>
      </c>
      <c r="AG40" s="49"/>
      <c r="AH40" s="60">
        <v>-0.84799999999999998</v>
      </c>
      <c r="AI40" s="60">
        <v>0.85299999999999998</v>
      </c>
      <c r="AJ40" s="50"/>
      <c r="AK40" s="50"/>
      <c r="AL40" s="68"/>
    </row>
    <row r="41" spans="1:38" s="54" customFormat="1" ht="15" customHeight="1">
      <c r="A41" s="113"/>
      <c r="B41" s="159" t="s">
        <v>649</v>
      </c>
      <c r="C41" s="115"/>
      <c r="D41" s="60">
        <v>0</v>
      </c>
      <c r="E41" s="60">
        <v>0</v>
      </c>
      <c r="F41" s="60">
        <v>0</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650</v>
      </c>
      <c r="C42" s="27"/>
      <c r="D42" s="60">
        <v>0</v>
      </c>
      <c r="E42" s="60">
        <v>0</v>
      </c>
      <c r="F42" s="60">
        <v>0</v>
      </c>
      <c r="G42" s="60">
        <v>0</v>
      </c>
      <c r="H42" s="66">
        <v>0</v>
      </c>
      <c r="I42" s="48"/>
      <c r="J42" s="60">
        <v>0</v>
      </c>
      <c r="K42" s="60">
        <v>0</v>
      </c>
      <c r="L42" s="60">
        <v>0</v>
      </c>
      <c r="M42" s="60">
        <v>0</v>
      </c>
      <c r="N42" s="66">
        <v>0</v>
      </c>
      <c r="O42" s="48"/>
      <c r="P42" s="60">
        <v>0</v>
      </c>
      <c r="Q42" s="60">
        <v>0</v>
      </c>
      <c r="R42" s="60">
        <v>2.6019999999999999</v>
      </c>
      <c r="S42" s="60">
        <v>0</v>
      </c>
      <c r="T42" s="66">
        <v>0</v>
      </c>
      <c r="U42" s="48"/>
      <c r="V42" s="60">
        <v>0</v>
      </c>
      <c r="W42" s="60">
        <v>0</v>
      </c>
      <c r="X42" s="60">
        <v>0</v>
      </c>
      <c r="Y42" s="60">
        <v>0</v>
      </c>
      <c r="Z42" s="66">
        <v>0</v>
      </c>
      <c r="AA42" s="51"/>
      <c r="AB42" s="60">
        <v>0</v>
      </c>
      <c r="AC42" s="60">
        <v>0</v>
      </c>
      <c r="AD42" s="60">
        <v>0</v>
      </c>
      <c r="AE42" s="60">
        <v>0</v>
      </c>
      <c r="AF42" s="66">
        <v>0</v>
      </c>
      <c r="AG42" s="49"/>
      <c r="AH42" s="60">
        <v>0</v>
      </c>
      <c r="AI42" s="60">
        <v>0</v>
      </c>
      <c r="AJ42" s="50"/>
      <c r="AK42" s="50"/>
      <c r="AL42" s="68"/>
    </row>
    <row r="43" spans="1:38" s="54" customFormat="1" ht="15" customHeight="1">
      <c r="A43" s="113"/>
      <c r="B43" s="159" t="s">
        <v>651</v>
      </c>
      <c r="C43" s="115"/>
      <c r="D43" s="60">
        <v>0</v>
      </c>
      <c r="E43" s="60">
        <v>0</v>
      </c>
      <c r="F43" s="60">
        <v>0</v>
      </c>
      <c r="G43" s="60">
        <v>0</v>
      </c>
      <c r="H43" s="66">
        <v>0</v>
      </c>
      <c r="I43" s="48"/>
      <c r="J43" s="60">
        <v>0</v>
      </c>
      <c r="K43" s="60">
        <v>0</v>
      </c>
      <c r="L43" s="60">
        <v>0</v>
      </c>
      <c r="M43" s="60">
        <v>0</v>
      </c>
      <c r="N43" s="66">
        <v>0</v>
      </c>
      <c r="O43" s="48"/>
      <c r="P43" s="60">
        <v>0</v>
      </c>
      <c r="Q43" s="60">
        <v>0</v>
      </c>
      <c r="R43" s="60">
        <v>0</v>
      </c>
      <c r="S43" s="60">
        <v>0</v>
      </c>
      <c r="T43" s="66">
        <v>0</v>
      </c>
      <c r="U43" s="48"/>
      <c r="V43" s="60">
        <v>0</v>
      </c>
      <c r="W43" s="60">
        <v>0</v>
      </c>
      <c r="X43" s="60">
        <v>0</v>
      </c>
      <c r="Y43" s="60">
        <v>0</v>
      </c>
      <c r="Z43" s="66">
        <v>0</v>
      </c>
      <c r="AA43" s="51"/>
      <c r="AB43" s="60">
        <v>0</v>
      </c>
      <c r="AC43" s="60">
        <v>0</v>
      </c>
      <c r="AD43" s="60">
        <v>0</v>
      </c>
      <c r="AE43" s="60">
        <v>0</v>
      </c>
      <c r="AF43" s="66">
        <v>0</v>
      </c>
      <c r="AG43" s="49"/>
      <c r="AH43" s="60">
        <v>0</v>
      </c>
      <c r="AI43" s="60">
        <v>0</v>
      </c>
      <c r="AJ43" s="50"/>
      <c r="AK43" s="50"/>
      <c r="AL43" s="68"/>
    </row>
    <row r="44" spans="1:38" s="54" customFormat="1" ht="15" customHeight="1">
      <c r="A44" s="113"/>
      <c r="B44" s="159" t="s">
        <v>652</v>
      </c>
      <c r="C44" s="115"/>
      <c r="D44" s="60">
        <v>0</v>
      </c>
      <c r="E44" s="60">
        <v>0</v>
      </c>
      <c r="F44" s="60">
        <v>0</v>
      </c>
      <c r="G44" s="60">
        <v>0</v>
      </c>
      <c r="H44" s="74">
        <v>0</v>
      </c>
      <c r="I44" s="48"/>
      <c r="J44" s="60">
        <v>0</v>
      </c>
      <c r="K44" s="60">
        <v>0</v>
      </c>
      <c r="L44" s="60">
        <v>1.034</v>
      </c>
      <c r="M44" s="60">
        <v>47.795000000000002</v>
      </c>
      <c r="N44" s="74">
        <v>48.829000000000001</v>
      </c>
      <c r="O44" s="48"/>
      <c r="P44" s="60">
        <v>6.1340000000000003</v>
      </c>
      <c r="Q44" s="60">
        <v>52.900999999999996</v>
      </c>
      <c r="R44" s="60">
        <v>0.1120000000000001</v>
      </c>
      <c r="S44" s="60">
        <v>1.966</v>
      </c>
      <c r="T44" s="74">
        <v>63.715000000000003</v>
      </c>
      <c r="U44" s="48"/>
      <c r="V44" s="60">
        <v>-15.632999999999999</v>
      </c>
      <c r="W44" s="60">
        <v>-7.2960000000000003</v>
      </c>
      <c r="X44" s="60">
        <v>5.681</v>
      </c>
      <c r="Y44" s="60">
        <v>-10.391999999999999</v>
      </c>
      <c r="Z44" s="74">
        <v>-27.64</v>
      </c>
      <c r="AA44" s="81"/>
      <c r="AB44" s="60">
        <v>-41.454999999999998</v>
      </c>
      <c r="AC44" s="60">
        <v>-23.665000000000003</v>
      </c>
      <c r="AD44" s="60">
        <v>13.647</v>
      </c>
      <c r="AE44" s="60">
        <v>-7.2859999999999996</v>
      </c>
      <c r="AF44" s="74">
        <v>-58.759000000000007</v>
      </c>
      <c r="AG44" s="82"/>
      <c r="AH44" s="60">
        <v>-46.170999999999999</v>
      </c>
      <c r="AI44" s="60">
        <v>-21.239000000000001</v>
      </c>
      <c r="AJ44" s="50"/>
      <c r="AK44" s="50"/>
      <c r="AL44" s="75"/>
    </row>
    <row r="45" spans="1:38" s="54" customFormat="1" ht="15" customHeight="1" thickBot="1">
      <c r="A45" s="113"/>
      <c r="B45" s="160" t="s">
        <v>653</v>
      </c>
      <c r="C45" s="17"/>
      <c r="D45" s="60">
        <v>0</v>
      </c>
      <c r="E45" s="60">
        <v>0</v>
      </c>
      <c r="F45" s="60">
        <v>0</v>
      </c>
      <c r="G45" s="60">
        <v>0</v>
      </c>
      <c r="H45" s="93">
        <v>0</v>
      </c>
      <c r="I45" s="48"/>
      <c r="J45" s="60">
        <v>0</v>
      </c>
      <c r="K45" s="60">
        <v>0</v>
      </c>
      <c r="L45" s="60">
        <v>1.034</v>
      </c>
      <c r="M45" s="60">
        <v>47.795000000000002</v>
      </c>
      <c r="N45" s="93">
        <v>48.829000000000001</v>
      </c>
      <c r="O45" s="48"/>
      <c r="P45" s="60">
        <v>5.0970000000000004</v>
      </c>
      <c r="Q45" s="60">
        <v>51.784999999999997</v>
      </c>
      <c r="R45" s="60">
        <v>2.407</v>
      </c>
      <c r="S45" s="60">
        <v>1.966</v>
      </c>
      <c r="T45" s="93">
        <v>61.255000000000003</v>
      </c>
      <c r="U45" s="48"/>
      <c r="V45" s="60">
        <v>-15.632999999999999</v>
      </c>
      <c r="W45" s="60">
        <v>-7.2960000000000003</v>
      </c>
      <c r="X45" s="60">
        <v>5.681</v>
      </c>
      <c r="Y45" s="60">
        <v>-10.333</v>
      </c>
      <c r="Z45" s="93">
        <v>-27.581</v>
      </c>
      <c r="AA45" s="48"/>
      <c r="AB45" s="60">
        <v>-41.643999999999998</v>
      </c>
      <c r="AC45" s="60">
        <v>-25.85</v>
      </c>
      <c r="AD45" s="60">
        <v>9.0920000000000005</v>
      </c>
      <c r="AE45" s="60">
        <v>-7.617</v>
      </c>
      <c r="AF45" s="93">
        <v>-66.019000000000005</v>
      </c>
      <c r="AG45" s="95"/>
      <c r="AH45" s="60">
        <v>-47.018999999999998</v>
      </c>
      <c r="AI45" s="60">
        <v>-26.8</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39</v>
      </c>
      <c r="B47" s="158" t="s">
        <v>654</v>
      </c>
      <c r="C47" s="17"/>
      <c r="D47" s="60">
        <v>0</v>
      </c>
      <c r="E47" s="60">
        <v>0</v>
      </c>
      <c r="F47" s="60">
        <v>0</v>
      </c>
      <c r="G47" s="60">
        <v>0</v>
      </c>
      <c r="H47" s="66">
        <v>0</v>
      </c>
      <c r="I47" s="48"/>
      <c r="J47" s="60">
        <v>0</v>
      </c>
      <c r="K47" s="60">
        <v>0</v>
      </c>
      <c r="L47" s="60">
        <v>0</v>
      </c>
      <c r="M47" s="60">
        <v>0</v>
      </c>
      <c r="N47" s="66">
        <v>0</v>
      </c>
      <c r="O47" s="48"/>
      <c r="P47" s="60">
        <v>0</v>
      </c>
      <c r="Q47" s="60">
        <v>0</v>
      </c>
      <c r="R47" s="60">
        <v>0</v>
      </c>
      <c r="S47" s="60">
        <v>0</v>
      </c>
      <c r="T47" s="66">
        <v>0</v>
      </c>
      <c r="U47" s="48"/>
      <c r="V47" s="60">
        <v>0</v>
      </c>
      <c r="W47" s="60">
        <v>0</v>
      </c>
      <c r="X47" s="60">
        <v>0</v>
      </c>
      <c r="Y47" s="60">
        <v>0</v>
      </c>
      <c r="Z47" s="66">
        <v>0</v>
      </c>
      <c r="AA47" s="48"/>
      <c r="AB47" s="60">
        <v>0</v>
      </c>
      <c r="AC47" s="60">
        <v>0</v>
      </c>
      <c r="AD47" s="60">
        <v>0</v>
      </c>
      <c r="AE47" s="60">
        <v>0</v>
      </c>
      <c r="AF47" s="66">
        <v>0</v>
      </c>
      <c r="AG47" s="95"/>
      <c r="AH47" s="60">
        <v>0</v>
      </c>
      <c r="AI47" s="60">
        <v>0</v>
      </c>
      <c r="AJ47" s="50"/>
      <c r="AK47" s="50"/>
      <c r="AL47" s="68"/>
    </row>
    <row r="49" spans="1:35" s="54" customFormat="1" ht="15" customHeight="1">
      <c r="A49" s="44" t="s">
        <v>39</v>
      </c>
      <c r="B49" s="158" t="s">
        <v>655</v>
      </c>
      <c r="C49" s="17"/>
      <c r="D49" s="60">
        <v>0</v>
      </c>
      <c r="E49" s="60">
        <v>0</v>
      </c>
      <c r="F49" s="60">
        <v>0</v>
      </c>
      <c r="G49" s="60">
        <v>0</v>
      </c>
      <c r="H49" s="74">
        <v>0</v>
      </c>
      <c r="I49" s="48"/>
      <c r="J49" s="60">
        <v>-0.56230000000000002</v>
      </c>
      <c r="K49" s="60">
        <v>-0.26419999999999999</v>
      </c>
      <c r="L49" s="60">
        <v>11.971500000000001</v>
      </c>
      <c r="M49" s="60">
        <v>5.56</v>
      </c>
      <c r="N49" s="74">
        <v>16.704999999999998</v>
      </c>
      <c r="O49" s="48"/>
      <c r="P49" s="60">
        <v>-2.4159999999999999</v>
      </c>
      <c r="Q49" s="60">
        <v>-2.3079999999999998</v>
      </c>
      <c r="R49" s="60">
        <v>-7.1689999999999996</v>
      </c>
      <c r="S49" s="60">
        <v>-0.79900000000000004</v>
      </c>
      <c r="T49" s="74">
        <v>-12.692</v>
      </c>
      <c r="U49" s="48"/>
      <c r="V49" s="60">
        <v>21.704000000000001</v>
      </c>
      <c r="W49" s="60">
        <v>-9.266</v>
      </c>
      <c r="X49" s="60">
        <v>3.919</v>
      </c>
      <c r="Y49" s="60">
        <v>7.9160000000000004</v>
      </c>
      <c r="Z49" s="74">
        <v>24.273</v>
      </c>
      <c r="AA49" s="48"/>
      <c r="AB49" s="60">
        <v>14.778</v>
      </c>
      <c r="AC49" s="60">
        <v>-7.8840000000000003</v>
      </c>
      <c r="AD49" s="60">
        <v>-6.6040000000000001</v>
      </c>
      <c r="AE49" s="60">
        <v>14.055</v>
      </c>
      <c r="AF49" s="74">
        <v>14.345000000000001</v>
      </c>
      <c r="AG49" s="95"/>
      <c r="AH49" s="60">
        <v>2.48</v>
      </c>
      <c r="AI49" s="60">
        <v>-12.503</v>
      </c>
    </row>
    <row r="50" spans="1:35" s="54" customFormat="1" ht="15" customHeight="1" thickBot="1">
      <c r="B50" s="158" t="s">
        <v>656</v>
      </c>
      <c r="C50" s="115"/>
      <c r="D50" s="60">
        <v>0</v>
      </c>
      <c r="E50" s="60">
        <v>0</v>
      </c>
      <c r="F50" s="60">
        <v>2.7099999999999999E-2</v>
      </c>
      <c r="G50" s="60">
        <v>0</v>
      </c>
      <c r="H50" s="93">
        <v>1.1376999999999999</v>
      </c>
      <c r="I50" s="48"/>
      <c r="J50" s="60">
        <v>0.57540000000000002</v>
      </c>
      <c r="K50" s="60">
        <v>0.31119999999999998</v>
      </c>
      <c r="L50" s="60">
        <v>27.626999999999999</v>
      </c>
      <c r="M50" s="60">
        <v>25.064</v>
      </c>
      <c r="N50" s="93">
        <v>25.064</v>
      </c>
      <c r="O50" s="48"/>
      <c r="P50" s="60">
        <v>27.024999999999999</v>
      </c>
      <c r="Q50" s="60">
        <v>23.472000000000001</v>
      </c>
      <c r="R50" s="60">
        <v>14.010999999999999</v>
      </c>
      <c r="S50" s="60">
        <v>16.239000000000001</v>
      </c>
      <c r="T50" s="93">
        <v>16.239000000000001</v>
      </c>
      <c r="U50" s="48"/>
      <c r="V50" s="60">
        <v>32.185000000000002</v>
      </c>
      <c r="W50" s="60">
        <v>26.797999999999998</v>
      </c>
      <c r="X50" s="60">
        <v>31.125</v>
      </c>
      <c r="Y50" s="60">
        <v>31.791</v>
      </c>
      <c r="Z50" s="93">
        <v>31.791</v>
      </c>
      <c r="AA50" s="48"/>
      <c r="AB50" s="60">
        <v>47.183</v>
      </c>
      <c r="AC50" s="60">
        <v>46.622</v>
      </c>
      <c r="AD50" s="60">
        <v>44.838000000000001</v>
      </c>
      <c r="AE50" s="60">
        <v>61.344000000000001</v>
      </c>
      <c r="AF50" s="93">
        <v>61.344000000000001</v>
      </c>
      <c r="AG50" s="95"/>
      <c r="AH50" s="60">
        <v>57.954000000000001</v>
      </c>
      <c r="AI50" s="60">
        <v>45.226999999999997</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K1" zoomScaleNormal="100" workbookViewId="0"/>
  </sheetViews>
  <sheetFormatPr baseColWidth="10" defaultColWidth="9" defaultRowHeight="14.25" customHeight="1" outlineLevelCol="1"/>
  <cols>
    <col min="1" max="1" width="2.1640625" style="97" customWidth="1"/>
    <col min="2" max="2" width="50.6640625" style="97" customWidth="1"/>
    <col min="3" max="3" width="3.33203125" style="23" customWidth="1"/>
    <col min="4" max="7" width="9.6640625" style="97" customWidth="1" outlineLevel="1"/>
    <col min="8" max="8" width="11.6640625" style="97" customWidth="1"/>
    <col min="9" max="9" width="1.6640625" style="23" customWidth="1"/>
    <col min="10" max="13" width="9.6640625" style="97" customWidth="1" outlineLevel="1"/>
    <col min="14" max="14" width="11.6640625" style="97" customWidth="1"/>
    <col min="15" max="15" width="1.6640625" style="23" customWidth="1"/>
    <col min="16" max="19" width="9.6640625" style="97" customWidth="1" outlineLevel="1"/>
    <col min="20" max="20" width="11.6640625" style="97" customWidth="1"/>
    <col min="21" max="21" width="1.6640625" style="23" customWidth="1"/>
    <col min="22" max="25" width="9.6640625" style="97" customWidth="1" outlineLevel="1"/>
    <col min="26" max="26" width="11.6640625" style="97" customWidth="1"/>
    <col min="27" max="27" width="1.6640625" style="23" customWidth="1"/>
    <col min="28" max="31" width="9.6640625" style="97" customWidth="1" outlineLevel="1"/>
    <col min="32" max="32" width="11.6640625" style="97" customWidth="1"/>
    <col min="33" max="33" width="1.6640625" style="23" customWidth="1"/>
    <col min="34" max="37" width="9.6640625" style="97" customWidth="1" outlineLevel="1"/>
    <col min="38" max="38" width="11.6640625" style="97" customWidth="1"/>
    <col min="39" max="39" width="1.6640625" style="23" customWidth="1"/>
    <col min="40" max="43" width="9.6640625" style="97" customWidth="1" outlineLevel="1"/>
    <col min="44" max="44" width="11.6640625" style="97" customWidth="1"/>
    <col min="45" max="45" width="1.6640625" style="23" customWidth="1"/>
    <col min="46" max="46" width="11.6640625" style="97" customWidth="1"/>
    <col min="47" max="47" width="1.6640625" style="23" customWidth="1"/>
    <col min="48" max="48" width="11.6640625" style="105" customWidth="1"/>
    <col min="49" max="49" width="1.6640625" style="23" customWidth="1"/>
    <col min="50" max="50" width="11.6640625" style="97" customWidth="1"/>
    <col min="51" max="51" width="1.6640625" style="97" customWidth="1"/>
    <col min="52" max="16384" width="9" style="97"/>
  </cols>
  <sheetData>
    <row r="1" spans="1:50" s="546" customFormat="1" ht="15" customHeight="1"/>
    <row r="2" spans="1:50" s="546" customFormat="1" ht="15" customHeight="1"/>
    <row r="3" spans="1:50" s="546" customFormat="1" ht="15" customHeight="1"/>
    <row r="4" spans="1:50" s="546" customFormat="1" ht="15" customHeight="1"/>
    <row r="5" spans="1:50" s="287" customFormat="1" ht="4" customHeight="1">
      <c r="C5" s="36"/>
      <c r="I5" s="36"/>
      <c r="O5" s="36"/>
      <c r="U5" s="36"/>
      <c r="AA5" s="36"/>
      <c r="AG5" s="36"/>
      <c r="AM5" s="36"/>
      <c r="AS5" s="36"/>
      <c r="AU5" s="36"/>
      <c r="AV5" s="288"/>
      <c r="AW5" s="36"/>
    </row>
    <row r="7" spans="1:50" s="41" customFormat="1" ht="15" customHeight="1">
      <c r="B7" s="161" t="s">
        <v>657</v>
      </c>
      <c r="C7" s="18"/>
      <c r="D7" s="201">
        <f>F7</f>
        <v>2020</v>
      </c>
      <c r="E7" s="201">
        <f>F7</f>
        <v>2020</v>
      </c>
      <c r="F7" s="201">
        <v>2020</v>
      </c>
      <c r="G7" s="201">
        <f>F7</f>
        <v>2020</v>
      </c>
      <c r="H7" s="201">
        <f>F7</f>
        <v>2020</v>
      </c>
      <c r="I7" s="18"/>
      <c r="J7" s="201">
        <f>L7</f>
        <v>2021</v>
      </c>
      <c r="K7" s="201">
        <f>L7</f>
        <v>2021</v>
      </c>
      <c r="L7" s="201">
        <v>2021</v>
      </c>
      <c r="M7" s="201">
        <f>L7</f>
        <v>2021</v>
      </c>
      <c r="N7" s="201">
        <f>L7</f>
        <v>2021</v>
      </c>
      <c r="O7" s="169"/>
      <c r="P7" s="201">
        <f>R7</f>
        <v>2022</v>
      </c>
      <c r="Q7" s="201">
        <f>R7</f>
        <v>2022</v>
      </c>
      <c r="R7" s="201">
        <v>2022</v>
      </c>
      <c r="S7" s="201">
        <f>R7</f>
        <v>2022</v>
      </c>
      <c r="T7" s="201">
        <f>R7</f>
        <v>2022</v>
      </c>
      <c r="U7" s="169"/>
      <c r="V7" s="201">
        <f>X7</f>
        <v>2023</v>
      </c>
      <c r="W7" s="201">
        <f>X7</f>
        <v>2023</v>
      </c>
      <c r="X7" s="201">
        <v>2023</v>
      </c>
      <c r="Y7" s="201">
        <f>X7</f>
        <v>2023</v>
      </c>
      <c r="Z7" s="201">
        <f>X7</f>
        <v>2023</v>
      </c>
      <c r="AA7" s="170"/>
      <c r="AB7" s="201">
        <f>AD7</f>
        <v>2024</v>
      </c>
      <c r="AC7" s="201">
        <f>AD7</f>
        <v>2024</v>
      </c>
      <c r="AD7" s="201">
        <v>2024</v>
      </c>
      <c r="AE7" s="201">
        <f>AD7</f>
        <v>2024</v>
      </c>
      <c r="AF7" s="201">
        <f>AD7</f>
        <v>2024</v>
      </c>
      <c r="AG7" s="170"/>
      <c r="AH7" s="201">
        <f>AJ7</f>
        <v>2025</v>
      </c>
      <c r="AI7" s="201">
        <f>AJ7</f>
        <v>2025</v>
      </c>
      <c r="AJ7" s="202">
        <v>2025</v>
      </c>
      <c r="AK7" s="201">
        <f>AJ7</f>
        <v>2025</v>
      </c>
      <c r="AL7" s="201">
        <f>AJ7</f>
        <v>2025</v>
      </c>
      <c r="AM7" s="171"/>
      <c r="AN7" s="201">
        <f>AP7</f>
        <v>2025</v>
      </c>
      <c r="AO7" s="201">
        <f>AP7</f>
        <v>2025</v>
      </c>
      <c r="AP7" s="202">
        <v>2025</v>
      </c>
      <c r="AQ7" s="201">
        <f>AP7</f>
        <v>2025</v>
      </c>
      <c r="AR7" s="201">
        <f>AP7</f>
        <v>2025</v>
      </c>
      <c r="AS7" s="18"/>
      <c r="AT7" s="162"/>
      <c r="AU7" s="18"/>
      <c r="AV7" s="163"/>
      <c r="AW7" s="18"/>
      <c r="AX7" s="163"/>
    </row>
    <row r="8" spans="1:50" s="41" customFormat="1" ht="15" customHeight="1">
      <c r="B8" s="164"/>
      <c r="C8" s="18"/>
      <c r="D8" s="822">
        <v>2020</v>
      </c>
      <c r="E8" s="822"/>
      <c r="F8" s="822"/>
      <c r="G8" s="822"/>
      <c r="H8" s="822"/>
      <c r="I8" s="169"/>
      <c r="J8" s="822">
        <f>D8+1</f>
        <v>2021</v>
      </c>
      <c r="K8" s="822"/>
      <c r="L8" s="822"/>
      <c r="M8" s="822"/>
      <c r="N8" s="822"/>
      <c r="O8" s="169"/>
      <c r="P8" s="822">
        <f>J8+1</f>
        <v>2022</v>
      </c>
      <c r="Q8" s="822"/>
      <c r="R8" s="822"/>
      <c r="S8" s="822"/>
      <c r="T8" s="822"/>
      <c r="U8" s="169"/>
      <c r="V8" s="822">
        <f>P8+1</f>
        <v>2023</v>
      </c>
      <c r="W8" s="822"/>
      <c r="X8" s="822"/>
      <c r="Y8" s="822"/>
      <c r="Z8" s="822"/>
      <c r="AA8" s="169"/>
      <c r="AB8" s="822">
        <f>V8+1</f>
        <v>2024</v>
      </c>
      <c r="AC8" s="822"/>
      <c r="AD8" s="822"/>
      <c r="AE8" s="822"/>
      <c r="AF8" s="822"/>
      <c r="AG8" s="169"/>
      <c r="AH8" s="821">
        <f>AB8+1</f>
        <v>2025</v>
      </c>
      <c r="AI8" s="821"/>
      <c r="AJ8" s="821"/>
      <c r="AK8" s="821"/>
      <c r="AL8" s="821"/>
      <c r="AM8" s="169"/>
      <c r="AN8" s="821">
        <f>AH8+1</f>
        <v>2026</v>
      </c>
      <c r="AO8" s="821"/>
      <c r="AP8" s="821"/>
      <c r="AQ8" s="821"/>
      <c r="AR8" s="821"/>
      <c r="AS8" s="171"/>
      <c r="AT8" s="166">
        <f>AN8+1</f>
        <v>2027</v>
      </c>
      <c r="AU8" s="167"/>
      <c r="AV8" s="166">
        <f>+AT8+1</f>
        <v>2028</v>
      </c>
      <c r="AW8" s="167"/>
      <c r="AX8" s="166">
        <f>+AV8+1</f>
        <v>2029</v>
      </c>
    </row>
    <row r="9" spans="1:50" s="41" customFormat="1" ht="14.25" customHeight="1">
      <c r="B9" s="164"/>
      <c r="C9" s="18"/>
      <c r="D9" s="168" t="s">
        <v>173</v>
      </c>
      <c r="E9" s="168" t="s">
        <v>174</v>
      </c>
      <c r="F9" s="168" t="s">
        <v>175</v>
      </c>
      <c r="G9" s="168" t="s">
        <v>176</v>
      </c>
      <c r="H9" s="168" t="s">
        <v>177</v>
      </c>
      <c r="I9" s="18"/>
      <c r="J9" s="168" t="s">
        <v>173</v>
      </c>
      <c r="K9" s="168" t="s">
        <v>174</v>
      </c>
      <c r="L9" s="168" t="s">
        <v>175</v>
      </c>
      <c r="M9" s="168" t="s">
        <v>176</v>
      </c>
      <c r="N9" s="168" t="s">
        <v>177</v>
      </c>
      <c r="O9" s="165"/>
      <c r="P9" s="168" t="s">
        <v>173</v>
      </c>
      <c r="Q9" s="168" t="s">
        <v>174</v>
      </c>
      <c r="R9" s="168" t="s">
        <v>175</v>
      </c>
      <c r="S9" s="168" t="s">
        <v>176</v>
      </c>
      <c r="T9" s="168" t="s">
        <v>177</v>
      </c>
      <c r="U9" s="165"/>
      <c r="V9" s="168" t="s">
        <v>173</v>
      </c>
      <c r="W9" s="168" t="s">
        <v>174</v>
      </c>
      <c r="X9" s="168" t="s">
        <v>175</v>
      </c>
      <c r="Y9" s="168" t="s">
        <v>176</v>
      </c>
      <c r="Z9" s="168" t="s">
        <v>177</v>
      </c>
      <c r="AA9" s="165"/>
      <c r="AB9" s="168" t="s">
        <v>173</v>
      </c>
      <c r="AC9" s="168" t="s">
        <v>174</v>
      </c>
      <c r="AD9" s="168" t="s">
        <v>175</v>
      </c>
      <c r="AE9" s="168" t="s">
        <v>176</v>
      </c>
      <c r="AF9" s="168" t="s">
        <v>177</v>
      </c>
      <c r="AG9" s="165"/>
      <c r="AH9" s="168" t="s">
        <v>173</v>
      </c>
      <c r="AI9" s="168" t="s">
        <v>174</v>
      </c>
      <c r="AJ9" s="168" t="s">
        <v>175</v>
      </c>
      <c r="AK9" s="168" t="s">
        <v>176</v>
      </c>
      <c r="AL9" s="168" t="s">
        <v>177</v>
      </c>
      <c r="AM9" s="165"/>
      <c r="AN9" s="168" t="s">
        <v>173</v>
      </c>
      <c r="AO9" s="168" t="s">
        <v>174</v>
      </c>
      <c r="AP9" s="168" t="s">
        <v>175</v>
      </c>
      <c r="AQ9" s="168" t="s">
        <v>176</v>
      </c>
      <c r="AR9" s="168" t="s">
        <v>177</v>
      </c>
      <c r="AS9" s="165"/>
      <c r="AT9" s="168" t="s">
        <v>177</v>
      </c>
      <c r="AU9" s="165"/>
      <c r="AV9" s="168" t="s">
        <v>177</v>
      </c>
      <c r="AW9" s="165"/>
      <c r="AX9" s="168" t="s">
        <v>177</v>
      </c>
    </row>
    <row r="10" spans="1:50" s="41" customFormat="1" ht="4"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4"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3"/>
      <c r="AH11" s="173"/>
      <c r="AI11" s="173"/>
      <c r="AJ11" s="173"/>
      <c r="AK11" s="173"/>
      <c r="AL11" s="175"/>
      <c r="AM11" s="34"/>
      <c r="AN11" s="175"/>
      <c r="AO11" s="175"/>
      <c r="AP11" s="175"/>
      <c r="AQ11" s="175"/>
      <c r="AR11" s="175"/>
      <c r="AS11" s="34"/>
      <c r="AT11" s="175"/>
      <c r="AU11" s="34"/>
      <c r="AV11" s="175"/>
      <c r="AW11" s="34"/>
      <c r="AX11" s="175"/>
    </row>
    <row r="12" spans="1:50" ht="14.25" customHeight="1">
      <c r="A12" s="44" t="s">
        <v>39</v>
      </c>
      <c r="B12" s="65" t="s">
        <v>548</v>
      </c>
      <c r="D12" s="207"/>
      <c r="E12" s="207"/>
      <c r="F12" s="207"/>
      <c r="G12" s="207"/>
      <c r="H12" s="208"/>
      <c r="I12" s="209"/>
      <c r="J12" s="207"/>
      <c r="K12" s="207"/>
      <c r="L12" s="207"/>
      <c r="M12" s="207"/>
      <c r="N12" s="208"/>
      <c r="O12" s="208"/>
      <c r="P12" s="207"/>
      <c r="Q12" s="207"/>
      <c r="R12" s="207"/>
      <c r="S12" s="207"/>
      <c r="T12" s="208"/>
      <c r="U12" s="208"/>
      <c r="V12" s="207"/>
      <c r="W12" s="207"/>
      <c r="X12" s="207"/>
      <c r="Y12" s="207"/>
      <c r="Z12" s="208"/>
      <c r="AA12" s="208"/>
      <c r="AB12" s="207"/>
      <c r="AC12" s="207"/>
      <c r="AD12" s="207"/>
      <c r="AE12" s="207"/>
      <c r="AF12" s="208"/>
      <c r="AG12" s="210"/>
      <c r="AH12" s="207"/>
      <c r="AI12" s="207"/>
      <c r="AJ12" s="211"/>
      <c r="AK12" s="211"/>
      <c r="AL12" s="208"/>
      <c r="AM12" s="212"/>
      <c r="AN12" s="211"/>
      <c r="AO12" s="211"/>
      <c r="AP12" s="211"/>
      <c r="AQ12" s="211"/>
      <c r="AR12" s="208"/>
      <c r="AS12" s="212"/>
      <c r="AT12" s="213"/>
      <c r="AU12" s="214"/>
      <c r="AV12" s="213"/>
      <c r="AW12" s="214"/>
      <c r="AX12" s="213"/>
    </row>
    <row r="13" spans="1:50" ht="14.25" customHeight="1">
      <c r="A13" s="55"/>
      <c r="B13" s="70" t="s">
        <v>549</v>
      </c>
      <c r="D13" s="207"/>
      <c r="E13" s="207"/>
      <c r="F13" s="207"/>
      <c r="G13" s="207"/>
      <c r="H13" s="208" t="str">
        <f>IF(ROUND(SUM(IS!D13:G13),1)=ROUND(IS!H13,1),"OK","ERROR")</f>
        <v>OK</v>
      </c>
      <c r="I13" s="209"/>
      <c r="J13" s="207"/>
      <c r="K13" s="207"/>
      <c r="L13" s="207"/>
      <c r="M13" s="207"/>
      <c r="N13" s="208" t="str">
        <f>IF(ROUND(SUM(IS!J13:M13),1)=ROUND(IS!N13,1),"OK","ERROR")</f>
        <v>OK</v>
      </c>
      <c r="O13" s="208"/>
      <c r="P13" s="207"/>
      <c r="Q13" s="207"/>
      <c r="R13" s="207"/>
      <c r="S13" s="207"/>
      <c r="T13" s="208" t="str">
        <f>IF(ROUND(SUM(IS!P13:S13),1)=ROUND(IS!T13,1),"OK","ERROR")</f>
        <v>OK</v>
      </c>
      <c r="U13" s="208"/>
      <c r="V13" s="207"/>
      <c r="W13" s="207"/>
      <c r="X13" s="207"/>
      <c r="Y13" s="207"/>
      <c r="Z13" s="208" t="str">
        <f>IF(ROUND(SUM(IS!V13:Y13),1)=ROUND(IS!Z13,1),"OK","ERROR")</f>
        <v>OK</v>
      </c>
      <c r="AA13" s="208"/>
      <c r="AB13" s="207"/>
      <c r="AC13" s="207"/>
      <c r="AD13" s="207"/>
      <c r="AE13" s="207"/>
      <c r="AF13" s="208" t="str">
        <f>IF(ROUND(SUM(IS!AB13:AE13),1)=ROUND(IS!AF13,1),"OK","ERROR")</f>
        <v>OK</v>
      </c>
      <c r="AG13" s="210"/>
      <c r="AH13" s="207"/>
      <c r="AI13" s="207"/>
      <c r="AJ13" s="211"/>
      <c r="AK13" s="211"/>
      <c r="AL13" s="208" t="str">
        <f>IF(ROUND(SUM(IS!AH13:AK13),1)=ROUND(IS!AL13,1),"OK","ERROR")</f>
        <v>OK</v>
      </c>
      <c r="AM13" s="212"/>
      <c r="AN13" s="211"/>
      <c r="AO13" s="211"/>
      <c r="AP13" s="211"/>
      <c r="AQ13" s="211"/>
      <c r="AR13" s="208" t="str">
        <f>IF(ROUND(SUM(IS!AN13:AQ13),1)=ROUND(IS!AR13,1),"OK","ERROR")</f>
        <v>OK</v>
      </c>
      <c r="AS13" s="212"/>
      <c r="AT13" s="208"/>
      <c r="AU13" s="214"/>
      <c r="AV13" s="208"/>
      <c r="AW13" s="214"/>
      <c r="AX13" s="208"/>
    </row>
    <row r="14" spans="1:50" ht="14.25" customHeight="1">
      <c r="A14" s="55"/>
      <c r="B14" s="70" t="s">
        <v>550</v>
      </c>
      <c r="D14" s="207"/>
      <c r="E14" s="207"/>
      <c r="F14" s="207"/>
      <c r="G14" s="207"/>
      <c r="H14" s="208" t="str">
        <f>IF(ROUND(SUM(IS!D14:G14),1)=ROUND(IS!H14,1),"OK","ERROR")</f>
        <v>OK</v>
      </c>
      <c r="I14" s="209"/>
      <c r="J14" s="207"/>
      <c r="K14" s="207"/>
      <c r="L14" s="207"/>
      <c r="M14" s="207"/>
      <c r="N14" s="208" t="str">
        <f>IF(ROUND(SUM(IS!J14:M14),1)=ROUND(IS!N14,1),"OK","ERROR")</f>
        <v>OK</v>
      </c>
      <c r="O14" s="208"/>
      <c r="P14" s="207"/>
      <c r="Q14" s="207"/>
      <c r="R14" s="207"/>
      <c r="S14" s="207"/>
      <c r="T14" s="208" t="str">
        <f>IF(ROUND(SUM(IS!P14:S14),1)=ROUND(IS!T14,1),"OK","ERROR")</f>
        <v>OK</v>
      </c>
      <c r="U14" s="208"/>
      <c r="V14" s="207"/>
      <c r="W14" s="207"/>
      <c r="X14" s="207"/>
      <c r="Y14" s="207"/>
      <c r="Z14" s="208" t="str">
        <f>IF(ROUND(SUM(IS!V14:Y14),1)=ROUND(IS!Z14,1),"OK","ERROR")</f>
        <v>OK</v>
      </c>
      <c r="AA14" s="208"/>
      <c r="AB14" s="207"/>
      <c r="AC14" s="207"/>
      <c r="AD14" s="207"/>
      <c r="AE14" s="207"/>
      <c r="AF14" s="208" t="str">
        <f>IF(ROUND(SUM(IS!AB14:AE14),1)=ROUND(IS!AF14,1),"OK","ERROR")</f>
        <v>OK</v>
      </c>
      <c r="AG14" s="210"/>
      <c r="AH14" s="207"/>
      <c r="AI14" s="207"/>
      <c r="AJ14" s="211"/>
      <c r="AK14" s="211"/>
      <c r="AL14" s="208" t="str">
        <f>IF(ROUND(SUM(IS!AH14:AK14),1)=ROUND(IS!AL14,1),"OK","ERROR")</f>
        <v>OK</v>
      </c>
      <c r="AM14" s="212"/>
      <c r="AN14" s="211"/>
      <c r="AO14" s="211"/>
      <c r="AP14" s="211"/>
      <c r="AQ14" s="211"/>
      <c r="AR14" s="208" t="str">
        <f>IF(ROUND(SUM(IS!AN14:AQ14),1)=ROUND(IS!AR14,1),"OK","ERROR")</f>
        <v>OK</v>
      </c>
      <c r="AS14" s="212"/>
      <c r="AT14" s="208"/>
      <c r="AU14" s="214"/>
      <c r="AV14" s="208"/>
      <c r="AW14" s="214"/>
      <c r="AX14" s="208"/>
    </row>
    <row r="15" spans="1:50" ht="14.25" customHeight="1">
      <c r="A15" s="55"/>
      <c r="B15" s="70" t="s">
        <v>551</v>
      </c>
      <c r="D15" s="207"/>
      <c r="E15" s="207"/>
      <c r="F15" s="207"/>
      <c r="G15" s="207"/>
      <c r="H15" s="208" t="str">
        <f>IF(ROUND(SUM(IS!D15:G15),1)=ROUND(IS!H15,1),"OK","ERROR")</f>
        <v>OK</v>
      </c>
      <c r="I15" s="209"/>
      <c r="J15" s="207"/>
      <c r="K15" s="207"/>
      <c r="L15" s="207"/>
      <c r="M15" s="207"/>
      <c r="N15" s="208" t="str">
        <f>IF(ROUND(SUM(IS!J15:M15),1)=ROUND(IS!N15,1),"OK","ERROR")</f>
        <v>OK</v>
      </c>
      <c r="O15" s="208"/>
      <c r="P15" s="207"/>
      <c r="Q15" s="207"/>
      <c r="R15" s="207"/>
      <c r="S15" s="207"/>
      <c r="T15" s="208" t="str">
        <f>IF(ROUND(SUM(IS!P15:S15),1)=ROUND(IS!T15,1),"OK","ERROR")</f>
        <v>OK</v>
      </c>
      <c r="U15" s="208"/>
      <c r="V15" s="207"/>
      <c r="W15" s="207"/>
      <c r="X15" s="207"/>
      <c r="Y15" s="207"/>
      <c r="Z15" s="208" t="str">
        <f>IF(ROUND(SUM(IS!V15:Y15),1)=ROUND(IS!Z15,1),"OK","ERROR")</f>
        <v>OK</v>
      </c>
      <c r="AA15" s="208"/>
      <c r="AB15" s="207"/>
      <c r="AC15" s="207"/>
      <c r="AD15" s="207"/>
      <c r="AE15" s="207"/>
      <c r="AF15" s="208" t="str">
        <f>IF(ROUND(SUM(IS!AB15:AE15),1)=ROUND(IS!AF15,1),"OK","ERROR")</f>
        <v>OK</v>
      </c>
      <c r="AG15" s="210"/>
      <c r="AH15" s="207"/>
      <c r="AI15" s="207"/>
      <c r="AJ15" s="211"/>
      <c r="AK15" s="211"/>
      <c r="AL15" s="208" t="str">
        <f>IF(ROUND(SUM(IS!AH15:AK15),1)=ROUND(IS!AL15,1),"OK","ERROR")</f>
        <v>OK</v>
      </c>
      <c r="AM15" s="212"/>
      <c r="AN15" s="211"/>
      <c r="AO15" s="211"/>
      <c r="AP15" s="211"/>
      <c r="AQ15" s="211"/>
      <c r="AR15" s="208" t="str">
        <f>IF(ROUND(SUM(IS!AN15:AQ15),1)=ROUND(IS!AR15,1),"OK","ERROR")</f>
        <v>OK</v>
      </c>
      <c r="AS15" s="212"/>
      <c r="AT15" s="208"/>
      <c r="AU15" s="214"/>
      <c r="AV15" s="208"/>
      <c r="AW15" s="214"/>
      <c r="AX15" s="208"/>
    </row>
    <row r="16" spans="1:50" ht="14.25" customHeight="1">
      <c r="A16" s="55"/>
      <c r="B16" s="70" t="s">
        <v>552</v>
      </c>
      <c r="D16" s="207"/>
      <c r="E16" s="207"/>
      <c r="F16" s="207"/>
      <c r="G16" s="207"/>
      <c r="H16" s="215" t="str">
        <f>IF(ROUND(SUM(IS!D16:G16),1)=ROUND(IS!H16,1),"OK","ERROR")</f>
        <v>OK</v>
      </c>
      <c r="I16" s="209"/>
      <c r="J16" s="207"/>
      <c r="K16" s="207"/>
      <c r="L16" s="207"/>
      <c r="M16" s="207"/>
      <c r="N16" s="215" t="str">
        <f>IF(ROUND(SUM(IS!J16:M16),1)=ROUND(IS!N16,1),"OK","ERROR")</f>
        <v>OK</v>
      </c>
      <c r="O16" s="215"/>
      <c r="P16" s="207"/>
      <c r="Q16" s="207"/>
      <c r="R16" s="207"/>
      <c r="S16" s="207"/>
      <c r="T16" s="215" t="str">
        <f>IF(ROUND(SUM(IS!P16:S16),1)=ROUND(IS!T16,1),"OK","ERROR")</f>
        <v>OK</v>
      </c>
      <c r="U16" s="215"/>
      <c r="V16" s="207"/>
      <c r="W16" s="207"/>
      <c r="X16" s="207"/>
      <c r="Y16" s="207"/>
      <c r="Z16" s="215" t="str">
        <f>IF(ROUND(SUM(IS!V16:Y16),1)=ROUND(IS!Z16,1),"OK","ERROR")</f>
        <v>OK</v>
      </c>
      <c r="AA16" s="215"/>
      <c r="AB16" s="207"/>
      <c r="AC16" s="207"/>
      <c r="AD16" s="207"/>
      <c r="AE16" s="207"/>
      <c r="AF16" s="215" t="str">
        <f>IF(ROUND(SUM(IS!AB16:AE16),1)=ROUND(IS!AF16,1),"OK","ERROR")</f>
        <v>OK</v>
      </c>
      <c r="AG16" s="210"/>
      <c r="AH16" s="207"/>
      <c r="AI16" s="207"/>
      <c r="AJ16" s="211"/>
      <c r="AK16" s="211"/>
      <c r="AL16" s="215" t="str">
        <f>IF(ROUND(SUM(IS!AH16:AK16),1)=ROUND(IS!AL16,1),"OK","ERROR")</f>
        <v>OK</v>
      </c>
      <c r="AM16" s="212"/>
      <c r="AN16" s="211"/>
      <c r="AO16" s="211"/>
      <c r="AP16" s="211"/>
      <c r="AQ16" s="211"/>
      <c r="AR16" s="215" t="str">
        <f>IF(ROUND(SUM(IS!AN16:AQ16),1)=ROUND(IS!AR16,1),"OK","ERROR")</f>
        <v>OK</v>
      </c>
      <c r="AS16" s="212"/>
      <c r="AT16" s="215"/>
      <c r="AU16" s="214"/>
      <c r="AV16" s="215"/>
      <c r="AW16" s="214"/>
      <c r="AX16" s="215"/>
    </row>
    <row r="17" spans="1:44" ht="14.25" customHeight="1">
      <c r="A17" s="55"/>
      <c r="B17" s="70" t="s">
        <v>553</v>
      </c>
      <c r="D17" s="207"/>
      <c r="E17" s="207"/>
      <c r="F17" s="207"/>
      <c r="G17" s="207"/>
      <c r="H17" s="215" t="str">
        <f>IF(ROUND(SUM(IS!D17:G17),1)=ROUND(IS!H17,1),"OK","ERROR")</f>
        <v>OK</v>
      </c>
      <c r="I17" s="209"/>
      <c r="J17" s="207"/>
      <c r="K17" s="207"/>
      <c r="L17" s="207"/>
      <c r="M17" s="207"/>
      <c r="N17" s="215" t="str">
        <f>IF(ROUND(SUM(IS!J17:M17),1)=ROUND(IS!N17,1),"OK","ERROR")</f>
        <v>OK</v>
      </c>
      <c r="O17" s="215"/>
      <c r="P17" s="207"/>
      <c r="Q17" s="207"/>
      <c r="R17" s="207"/>
      <c r="S17" s="207"/>
      <c r="T17" s="215" t="str">
        <f>IF(ROUND(SUM(IS!P17:S17),1)=ROUND(IS!T17,1),"OK","ERROR")</f>
        <v>OK</v>
      </c>
      <c r="U17" s="215"/>
      <c r="V17" s="207"/>
      <c r="W17" s="207"/>
      <c r="X17" s="207"/>
      <c r="Y17" s="207"/>
      <c r="Z17" s="215" t="str">
        <f>IF(ROUND(SUM(IS!V17:Y17),1)=ROUND(IS!Z17,1),"OK","ERROR")</f>
        <v>OK</v>
      </c>
      <c r="AA17" s="215"/>
      <c r="AB17" s="207"/>
      <c r="AC17" s="207"/>
      <c r="AD17" s="207"/>
      <c r="AE17" s="207"/>
      <c r="AF17" s="215" t="str">
        <f>IF(ROUND(SUM(IS!AB17:AE17),1)=ROUND(IS!AF17,1),"OK","ERROR")</f>
        <v>OK</v>
      </c>
      <c r="AG17" s="210"/>
      <c r="AH17" s="207"/>
      <c r="AI17" s="207"/>
      <c r="AJ17" s="211"/>
      <c r="AK17" s="211"/>
      <c r="AL17" s="215" t="str">
        <f>IF(ROUND(SUM(IS!AH17:AK17),1)=ROUND(IS!AL17,1),"OK","ERROR")</f>
        <v>OK</v>
      </c>
      <c r="AM17" s="212"/>
      <c r="AN17" s="211"/>
      <c r="AO17" s="211"/>
      <c r="AP17" s="211"/>
      <c r="AQ17" s="211"/>
      <c r="AR17" s="215" t="str">
        <f>IF(ROUND(SUM(IS!AN17:AQ17),1)=ROUND(IS!AR17,1),"OK","ERROR")</f>
        <v>OK</v>
      </c>
    </row>
    <row r="18" spans="1:44" ht="14.25" customHeight="1">
      <c r="A18" s="55"/>
      <c r="B18" s="76" t="s">
        <v>180</v>
      </c>
      <c r="D18" s="216"/>
      <c r="E18" s="216"/>
      <c r="F18" s="216" t="s">
        <v>658</v>
      </c>
      <c r="G18" s="216"/>
      <c r="H18" s="217" t="str">
        <f>IF(ROUND(SUM(IS!D18:G18),1)=ROUND(IS!H18,1),"OK","ERROR")</f>
        <v>OK</v>
      </c>
      <c r="I18" s="209"/>
      <c r="J18" s="216"/>
      <c r="K18" s="216"/>
      <c r="L18" s="216"/>
      <c r="M18" s="216"/>
      <c r="N18" s="217" t="str">
        <f>IF(ROUND(SUM(IS!J18:M18),1)=ROUND(IS!N18,1),"OK","ERROR")</f>
        <v>ERROR</v>
      </c>
      <c r="O18" s="208"/>
      <c r="P18" s="216"/>
      <c r="Q18" s="216"/>
      <c r="R18" s="216"/>
      <c r="S18" s="216"/>
      <c r="T18" s="217" t="str">
        <f>IF(ROUND(SUM(IS!P18:S18),1)=ROUND(IS!T18,1),"OK","ERROR")</f>
        <v>ERROR</v>
      </c>
      <c r="U18" s="208"/>
      <c r="V18" s="216"/>
      <c r="W18" s="216"/>
      <c r="X18" s="216"/>
      <c r="Y18" s="216"/>
      <c r="Z18" s="217" t="str">
        <f>IF(ROUND(SUM(IS!V18:Y18),1)=ROUND(IS!Z18,1),"OK","ERROR")</f>
        <v>OK</v>
      </c>
      <c r="AA18" s="208"/>
      <c r="AB18" s="216"/>
      <c r="AC18" s="216"/>
      <c r="AD18" s="216"/>
      <c r="AE18" s="216"/>
      <c r="AF18" s="217" t="str">
        <f>IF(ROUND(SUM(IS!AB18:AE18),1)=ROUND(IS!AF18,1),"OK","ERROR")</f>
        <v>OK</v>
      </c>
      <c r="AG18" s="210"/>
      <c r="AH18" s="216"/>
      <c r="AI18" s="216"/>
      <c r="AJ18" s="218"/>
      <c r="AK18" s="218"/>
      <c r="AL18" s="217" t="str">
        <f>IF(ROUND(SUM(IS!AH18:AK18),1)=ROUND(IS!AL18,1),"OK","ERROR")</f>
        <v>ERROR</v>
      </c>
      <c r="AM18" s="212"/>
      <c r="AN18" s="218"/>
      <c r="AO18" s="218"/>
      <c r="AP18" s="218"/>
      <c r="AQ18" s="218"/>
      <c r="AR18" s="217" t="str">
        <f>IF(ROUND(SUM(IS!AN18:AQ18),1)=ROUND(IS!AR18,1),"OK","ERROR")</f>
        <v>ERROR</v>
      </c>
    </row>
    <row r="19" spans="1:44" ht="14.25" customHeight="1">
      <c r="A19" s="55"/>
      <c r="B19" s="64"/>
      <c r="D19" s="207"/>
      <c r="E19" s="207"/>
      <c r="F19" s="207"/>
      <c r="G19" s="207"/>
      <c r="H19" s="208"/>
      <c r="I19" s="209"/>
      <c r="J19" s="207"/>
      <c r="K19" s="207"/>
      <c r="L19" s="207"/>
      <c r="M19" s="207"/>
      <c r="N19" s="208"/>
      <c r="O19" s="208"/>
      <c r="P19" s="207"/>
      <c r="Q19" s="207"/>
      <c r="R19" s="207"/>
      <c r="S19" s="207"/>
      <c r="T19" s="208"/>
      <c r="U19" s="208"/>
      <c r="V19" s="207"/>
      <c r="W19" s="207"/>
      <c r="X19" s="207"/>
      <c r="Y19" s="207"/>
      <c r="Z19" s="208"/>
      <c r="AA19" s="208"/>
      <c r="AB19" s="207"/>
      <c r="AC19" s="207"/>
      <c r="AD19" s="207"/>
      <c r="AE19" s="207"/>
      <c r="AF19" s="208"/>
      <c r="AG19" s="210"/>
      <c r="AH19" s="207"/>
      <c r="AI19" s="207"/>
      <c r="AJ19" s="211"/>
      <c r="AK19" s="211"/>
      <c r="AL19" s="208"/>
      <c r="AM19" s="212"/>
      <c r="AN19" s="211"/>
      <c r="AO19" s="211"/>
      <c r="AP19" s="211"/>
      <c r="AQ19" s="211"/>
      <c r="AR19" s="208"/>
    </row>
    <row r="20" spans="1:44" ht="14.25" customHeight="1">
      <c r="A20" s="44" t="s">
        <v>39</v>
      </c>
      <c r="B20" s="65" t="s">
        <v>554</v>
      </c>
      <c r="D20" s="207"/>
      <c r="E20" s="207"/>
      <c r="F20" s="207"/>
      <c r="G20" s="207"/>
      <c r="H20" s="219"/>
      <c r="I20" s="209"/>
      <c r="J20" s="207"/>
      <c r="K20" s="207"/>
      <c r="L20" s="207"/>
      <c r="M20" s="207"/>
      <c r="N20" s="219"/>
      <c r="O20" s="209"/>
      <c r="P20" s="207"/>
      <c r="Q20" s="207"/>
      <c r="R20" s="207"/>
      <c r="S20" s="207"/>
      <c r="T20" s="219"/>
      <c r="U20" s="209"/>
      <c r="V20" s="207"/>
      <c r="W20" s="207"/>
      <c r="X20" s="207"/>
      <c r="Y20" s="207"/>
      <c r="Z20" s="219"/>
      <c r="AA20" s="212"/>
      <c r="AB20" s="207"/>
      <c r="AC20" s="207"/>
      <c r="AD20" s="207"/>
      <c r="AE20" s="207"/>
      <c r="AF20" s="219"/>
      <c r="AG20" s="210"/>
      <c r="AH20" s="207"/>
      <c r="AI20" s="207"/>
      <c r="AJ20" s="211"/>
      <c r="AK20" s="211"/>
      <c r="AL20" s="219"/>
      <c r="AM20" s="220"/>
      <c r="AN20" s="211"/>
      <c r="AO20" s="211"/>
      <c r="AP20" s="211"/>
      <c r="AQ20" s="211"/>
      <c r="AR20" s="219"/>
    </row>
    <row r="21" spans="1:44" ht="14.25" customHeight="1">
      <c r="A21" s="55"/>
      <c r="B21" s="70" t="s">
        <v>555</v>
      </c>
      <c r="D21" s="216"/>
      <c r="E21" s="216"/>
      <c r="F21" s="216"/>
      <c r="G21" s="216"/>
      <c r="H21" s="219" t="str">
        <f>IF(ROUND(SUM(IS!D21:G21),1)=ROUND(IS!H21,1),"OK","ERROR")</f>
        <v>OK</v>
      </c>
      <c r="I21" s="209"/>
      <c r="J21" s="216"/>
      <c r="K21" s="216"/>
      <c r="L21" s="216"/>
      <c r="M21" s="216"/>
      <c r="N21" s="219" t="str">
        <f>IF(ROUND(SUM(IS!J21:M21),1)=ROUND(IS!N21,1),"OK","ERROR")</f>
        <v>OK</v>
      </c>
      <c r="O21" s="209"/>
      <c r="P21" s="216"/>
      <c r="Q21" s="216"/>
      <c r="R21" s="216"/>
      <c r="S21" s="216"/>
      <c r="T21" s="219" t="str">
        <f>IF(ROUND(SUM(IS!P21:S21),1)=ROUND(IS!T21,1),"OK","ERROR")</f>
        <v>OK</v>
      </c>
      <c r="U21" s="209"/>
      <c r="V21" s="216"/>
      <c r="W21" s="216"/>
      <c r="X21" s="216"/>
      <c r="Y21" s="216"/>
      <c r="Z21" s="219" t="str">
        <f>IF(ROUND(SUM(IS!V21:Y21),1)=ROUND(IS!Z21,1),"OK","ERROR")</f>
        <v>OK</v>
      </c>
      <c r="AA21" s="212"/>
      <c r="AB21" s="216"/>
      <c r="AC21" s="216"/>
      <c r="AD21" s="216"/>
      <c r="AE21" s="216"/>
      <c r="AF21" s="219" t="str">
        <f>IF(ROUND(SUM(IS!AB21:AE21),1)=ROUND(IS!AF21,1),"OK","ERROR")</f>
        <v>ERROR</v>
      </c>
      <c r="AG21" s="210"/>
      <c r="AH21" s="216"/>
      <c r="AI21" s="216"/>
      <c r="AJ21" s="211"/>
      <c r="AK21" s="211"/>
      <c r="AL21" s="219" t="str">
        <f>IF(ROUND(SUM(IS!AH21:AK21),1)=ROUND(IS!AL21,1),"OK","ERROR")</f>
        <v>ERROR</v>
      </c>
      <c r="AM21" s="223"/>
      <c r="AN21" s="211"/>
      <c r="AO21" s="211"/>
      <c r="AP21" s="211"/>
      <c r="AQ21" s="211"/>
      <c r="AR21" s="219" t="str">
        <f>IF(ROUND(SUM(IS!AN21:AQ21),1)=ROUND(IS!AR21,1),"OK","ERROR")</f>
        <v>OK</v>
      </c>
    </row>
    <row r="22" spans="1:44" ht="14.25" customHeight="1">
      <c r="A22" s="73"/>
      <c r="B22" s="70" t="s">
        <v>556</v>
      </c>
      <c r="D22" s="216"/>
      <c r="E22" s="207"/>
      <c r="F22" s="207"/>
      <c r="G22" s="207"/>
      <c r="H22" s="225" t="str">
        <f>IF(ROUND(SUM(IS!D22:G22),1)=ROUND(IS!H22,1),"OK","ERROR")</f>
        <v>OK</v>
      </c>
      <c r="I22" s="209"/>
      <c r="J22" s="216"/>
      <c r="K22" s="216"/>
      <c r="L22" s="216"/>
      <c r="M22" s="216"/>
      <c r="N22" s="225" t="str">
        <f>IF(ROUND(SUM(IS!J22:M22),1)=ROUND(IS!N22,1),"OK","ERROR")</f>
        <v>OK</v>
      </c>
      <c r="O22" s="209"/>
      <c r="P22" s="216"/>
      <c r="Q22" s="216"/>
      <c r="R22" s="216"/>
      <c r="S22" s="216"/>
      <c r="T22" s="225" t="str">
        <f>IF(ROUND(SUM(IS!P22:S22),1)=ROUND(IS!T22,1),"OK","ERROR")</f>
        <v>OK</v>
      </c>
      <c r="U22" s="209"/>
      <c r="V22" s="216"/>
      <c r="W22" s="216"/>
      <c r="X22" s="216"/>
      <c r="Y22" s="216"/>
      <c r="Z22" s="225" t="str">
        <f>IF(ROUND(SUM(IS!V22:Y22),1)=ROUND(IS!Z22,1),"OK","ERROR")</f>
        <v>OK</v>
      </c>
      <c r="AA22" s="212"/>
      <c r="AB22" s="216"/>
      <c r="AC22" s="216"/>
      <c r="AD22" s="216"/>
      <c r="AE22" s="216"/>
      <c r="AF22" s="225" t="str">
        <f>IF(ROUND(SUM(IS!AB22:AE22),1)=ROUND(IS!AF22,1),"OK","ERROR")</f>
        <v>OK</v>
      </c>
      <c r="AG22" s="210"/>
      <c r="AH22" s="216"/>
      <c r="AI22" s="216"/>
      <c r="AJ22" s="211"/>
      <c r="AK22" s="211"/>
      <c r="AL22" s="225" t="str">
        <f>IF(ROUND(SUM(IS!AH22:AK22),1)=ROUND(IS!AL22,1),"OK","ERROR")</f>
        <v>OK</v>
      </c>
      <c r="AM22" s="223"/>
      <c r="AN22" s="211"/>
      <c r="AO22" s="211"/>
      <c r="AP22" s="211"/>
      <c r="AQ22" s="211"/>
      <c r="AR22" s="225" t="str">
        <f>IF(ROUND(SUM(IS!AN22:AQ22),1)=ROUND(IS!AR22,1),"OK","ERROR")</f>
        <v>OK</v>
      </c>
    </row>
    <row r="23" spans="1:44" ht="14.25" customHeight="1">
      <c r="A23" s="55"/>
      <c r="B23" s="76" t="s">
        <v>557</v>
      </c>
      <c r="D23" s="207"/>
      <c r="E23" s="207"/>
      <c r="F23" s="207"/>
      <c r="G23" s="207"/>
      <c r="H23" s="226" t="str">
        <f>IF(ROUND(SUM(IS!D23:G23),1)=ROUND(IS!H23,1),"OK","ERROR")</f>
        <v>OK</v>
      </c>
      <c r="I23" s="209"/>
      <c r="J23" s="207"/>
      <c r="K23" s="207"/>
      <c r="L23" s="207"/>
      <c r="M23" s="207"/>
      <c r="N23" s="226" t="str">
        <f>IF(ROUND(SUM(IS!J23:M23),1)=ROUND(IS!N23,1),"OK","ERROR")</f>
        <v>OK</v>
      </c>
      <c r="O23" s="209"/>
      <c r="P23" s="207"/>
      <c r="Q23" s="207"/>
      <c r="R23" s="207"/>
      <c r="S23" s="207"/>
      <c r="T23" s="226" t="str">
        <f>IF(ROUND(SUM(IS!P23:S23),1)=ROUND(IS!T23,1),"OK","ERROR")</f>
        <v>OK</v>
      </c>
      <c r="U23" s="209"/>
      <c r="V23" s="207"/>
      <c r="W23" s="207"/>
      <c r="X23" s="207"/>
      <c r="Y23" s="207"/>
      <c r="Z23" s="226" t="str">
        <f>IF(ROUND(SUM(IS!V23:Y23),1)=ROUND(IS!Z23,1),"OK","ERROR")</f>
        <v>OK</v>
      </c>
      <c r="AA23" s="212"/>
      <c r="AB23" s="207"/>
      <c r="AC23" s="207"/>
      <c r="AD23" s="207"/>
      <c r="AE23" s="207"/>
      <c r="AF23" s="226" t="str">
        <f>IF(ROUND(SUM(IS!AB23:AE23),1)=ROUND(IS!AF23,1),"OK","ERROR")</f>
        <v>OK</v>
      </c>
      <c r="AG23" s="210"/>
      <c r="AH23" s="207"/>
      <c r="AI23" s="207"/>
      <c r="AJ23" s="211"/>
      <c r="AK23" s="211"/>
      <c r="AL23" s="226" t="str">
        <f>IF(ROUND(SUM(IS!AH23:AK23),1)=ROUND(IS!AL23,1),"OK","ERROR")</f>
        <v>OK</v>
      </c>
      <c r="AM23" s="223"/>
      <c r="AN23" s="211"/>
      <c r="AO23" s="211"/>
      <c r="AP23" s="211"/>
      <c r="AQ23" s="211"/>
      <c r="AR23" s="226" t="str">
        <f>IF(ROUND(SUM(IS!AN23:AQ23),1)=ROUND(IS!AR23,1),"OK","ERROR")</f>
        <v>OK</v>
      </c>
    </row>
    <row r="24" spans="1:44" ht="14.25" customHeight="1">
      <c r="A24" s="73"/>
      <c r="B24" s="79" t="s">
        <v>227</v>
      </c>
      <c r="D24" s="207"/>
      <c r="E24" s="207"/>
      <c r="F24" s="207"/>
      <c r="G24" s="207"/>
      <c r="H24" s="226" t="str">
        <f>IF(ROUND(SUM(IS!D24:G24),1)=ROUND(IS!H24,1),"OK","ERROR")</f>
        <v>OK</v>
      </c>
      <c r="I24" s="209"/>
      <c r="J24" s="207"/>
      <c r="K24" s="207"/>
      <c r="L24" s="207"/>
      <c r="M24" s="207"/>
      <c r="N24" s="226" t="str">
        <f>IF(ROUND(SUM(IS!J24:M24),1)=ROUND(IS!N24,1),"OK","ERROR")</f>
        <v>OK</v>
      </c>
      <c r="O24" s="209"/>
      <c r="P24" s="207"/>
      <c r="Q24" s="207"/>
      <c r="R24" s="207"/>
      <c r="S24" s="207"/>
      <c r="T24" s="226" t="str">
        <f>IF(ROUND(SUM(IS!P24:S24),1)=ROUND(IS!T24,1),"OK","ERROR")</f>
        <v>ERROR</v>
      </c>
      <c r="U24" s="209"/>
      <c r="V24" s="207"/>
      <c r="W24" s="207"/>
      <c r="X24" s="207"/>
      <c r="Y24" s="207"/>
      <c r="Z24" s="226" t="str">
        <f>IF(ROUND(SUM(IS!V24:Y24),1)=ROUND(IS!Z24,1),"OK","ERROR")</f>
        <v>OK</v>
      </c>
      <c r="AA24" s="212"/>
      <c r="AB24" s="207"/>
      <c r="AC24" s="207"/>
      <c r="AD24" s="207"/>
      <c r="AE24" s="207"/>
      <c r="AF24" s="226" t="str">
        <f>IF(ROUND(SUM(IS!AB24:AE24),1)=ROUND(IS!AF24,1),"OK","ERROR")</f>
        <v>ERROR</v>
      </c>
      <c r="AG24" s="210"/>
      <c r="AH24" s="207"/>
      <c r="AI24" s="207"/>
      <c r="AJ24" s="211"/>
      <c r="AK24" s="211"/>
      <c r="AL24" s="226" t="str">
        <f>IF(ROUND(SUM(IS!AH24:AK24),1)=ROUND(IS!AL24,1),"OK","ERROR")</f>
        <v>ERROR</v>
      </c>
      <c r="AM24" s="223"/>
      <c r="AN24" s="211"/>
      <c r="AO24" s="211"/>
      <c r="AP24" s="211"/>
      <c r="AQ24" s="211"/>
      <c r="AR24" s="226" t="str">
        <f>IF(ROUND(SUM(IS!AN24:AQ24),1)=ROUND(IS!AR24,1),"OK","ERROR")</f>
        <v>OK</v>
      </c>
    </row>
    <row r="25" spans="1:44" ht="14.25" customHeight="1">
      <c r="A25" s="55"/>
      <c r="B25" s="80"/>
      <c r="D25" s="207"/>
      <c r="E25" s="207"/>
      <c r="F25" s="207"/>
      <c r="G25" s="207"/>
      <c r="H25" s="219"/>
      <c r="I25" s="209"/>
      <c r="J25" s="207"/>
      <c r="K25" s="207"/>
      <c r="L25" s="207"/>
      <c r="M25" s="207"/>
      <c r="N25" s="219"/>
      <c r="O25" s="209"/>
      <c r="P25" s="207"/>
      <c r="Q25" s="207"/>
      <c r="R25" s="207"/>
      <c r="S25" s="207"/>
      <c r="T25" s="219"/>
      <c r="U25" s="209"/>
      <c r="V25" s="207"/>
      <c r="W25" s="207"/>
      <c r="X25" s="207"/>
      <c r="Y25" s="207"/>
      <c r="Z25" s="219"/>
      <c r="AA25" s="212"/>
      <c r="AB25" s="207"/>
      <c r="AC25" s="207"/>
      <c r="AD25" s="207"/>
      <c r="AE25" s="207"/>
      <c r="AF25" s="219"/>
      <c r="AG25" s="210"/>
      <c r="AH25" s="207"/>
      <c r="AI25" s="207"/>
      <c r="AJ25" s="211"/>
      <c r="AK25" s="211"/>
      <c r="AL25" s="219"/>
      <c r="AM25" s="223"/>
      <c r="AN25" s="211"/>
      <c r="AO25" s="211"/>
      <c r="AP25" s="211"/>
      <c r="AQ25" s="211"/>
      <c r="AR25" s="219"/>
    </row>
    <row r="26" spans="1:44" ht="14.25" customHeight="1">
      <c r="A26" s="44" t="s">
        <v>39</v>
      </c>
      <c r="B26" s="65" t="s">
        <v>558</v>
      </c>
      <c r="D26" s="207"/>
      <c r="E26" s="207"/>
      <c r="F26" s="207"/>
      <c r="G26" s="207"/>
      <c r="H26" s="219"/>
      <c r="I26" s="209"/>
      <c r="J26" s="207"/>
      <c r="K26" s="207"/>
      <c r="L26" s="207"/>
      <c r="M26" s="207"/>
      <c r="N26" s="219"/>
      <c r="O26" s="209"/>
      <c r="P26" s="207"/>
      <c r="Q26" s="207"/>
      <c r="R26" s="207"/>
      <c r="S26" s="207"/>
      <c r="T26" s="219"/>
      <c r="U26" s="209"/>
      <c r="V26" s="207"/>
      <c r="W26" s="207"/>
      <c r="X26" s="207"/>
      <c r="Y26" s="207"/>
      <c r="Z26" s="219"/>
      <c r="AA26" s="227"/>
      <c r="AB26" s="207"/>
      <c r="AC26" s="207"/>
      <c r="AD26" s="207"/>
      <c r="AE26" s="207"/>
      <c r="AF26" s="219"/>
      <c r="AG26" s="228"/>
      <c r="AH26" s="207"/>
      <c r="AI26" s="207"/>
      <c r="AJ26" s="211"/>
      <c r="AK26" s="211"/>
      <c r="AL26" s="219"/>
      <c r="AM26" s="227"/>
      <c r="AN26" s="211"/>
      <c r="AO26" s="211"/>
      <c r="AP26" s="211"/>
      <c r="AQ26" s="211"/>
      <c r="AR26" s="219"/>
    </row>
    <row r="27" spans="1:44" ht="14.25" customHeight="1">
      <c r="A27" s="84"/>
      <c r="B27" s="70" t="s">
        <v>559</v>
      </c>
      <c r="D27" s="207"/>
      <c r="E27" s="207"/>
      <c r="F27" s="207"/>
      <c r="G27" s="207"/>
      <c r="H27" s="219" t="str">
        <f>IF(ROUND(SUM(IS!D27:G27),1)=ROUND(IS!H27,1),"OK","ERROR")</f>
        <v>OK</v>
      </c>
      <c r="I27" s="209"/>
      <c r="J27" s="207"/>
      <c r="K27" s="207"/>
      <c r="L27" s="207"/>
      <c r="M27" s="207"/>
      <c r="N27" s="219" t="str">
        <f>IF(ROUND(SUM(IS!J27:M27),1)=ROUND(IS!N27,1),"OK","ERROR")</f>
        <v>ERROR</v>
      </c>
      <c r="O27" s="209"/>
      <c r="P27" s="207"/>
      <c r="Q27" s="207"/>
      <c r="R27" s="207"/>
      <c r="S27" s="207"/>
      <c r="T27" s="219" t="str">
        <f>IF(ROUND(SUM(IS!P27:S27),1)=ROUND(IS!T27,1),"OK","ERROR")</f>
        <v>ERROR</v>
      </c>
      <c r="U27" s="209"/>
      <c r="V27" s="207"/>
      <c r="W27" s="207"/>
      <c r="X27" s="207"/>
      <c r="Y27" s="207"/>
      <c r="Z27" s="219" t="str">
        <f>IF(ROUND(SUM(IS!V27:Y27),1)=ROUND(IS!Z27,1),"OK","ERROR")</f>
        <v>ERROR</v>
      </c>
      <c r="AA27" s="227"/>
      <c r="AB27" s="207"/>
      <c r="AC27" s="207"/>
      <c r="AD27" s="207"/>
      <c r="AE27" s="207"/>
      <c r="AF27" s="219" t="str">
        <f>IF(ROUND(SUM(IS!AB27:AE27),1)=ROUND(IS!AF27,1),"OK","ERROR")</f>
        <v>ERROR</v>
      </c>
      <c r="AG27" s="228"/>
      <c r="AH27" s="207"/>
      <c r="AI27" s="207"/>
      <c r="AJ27" s="211"/>
      <c r="AK27" s="211"/>
      <c r="AL27" s="219" t="str">
        <f>IF(ROUND(SUM(IS!AH27:AK27),1)=ROUND(IS!AL27,1),"OK","ERROR")</f>
        <v>OK</v>
      </c>
      <c r="AM27" s="227"/>
      <c r="AN27" s="211"/>
      <c r="AO27" s="211"/>
      <c r="AP27" s="211"/>
      <c r="AQ27" s="211"/>
      <c r="AR27" s="219" t="str">
        <f>IF(ROUND(SUM(IS!AN27:AQ27),1)=ROUND(IS!AR27,1),"OK","ERROR")</f>
        <v>OK</v>
      </c>
    </row>
    <row r="28" spans="1:44" ht="14.25" customHeight="1">
      <c r="A28" s="55"/>
      <c r="B28" s="70" t="s">
        <v>560</v>
      </c>
      <c r="D28" s="207"/>
      <c r="E28" s="207"/>
      <c r="F28" s="207"/>
      <c r="G28" s="207"/>
      <c r="H28" s="219" t="str">
        <f>IF(ROUND(SUM(IS!D28:G28),1)=ROUND(IS!H28,1),"OK","ERROR")</f>
        <v>OK</v>
      </c>
      <c r="I28" s="209"/>
      <c r="J28" s="207"/>
      <c r="K28" s="207"/>
      <c r="L28" s="207"/>
      <c r="M28" s="207"/>
      <c r="N28" s="219" t="str">
        <f>IF(ROUND(SUM(IS!J28:M28),1)=ROUND(IS!N28,1),"OK","ERROR")</f>
        <v>ERROR</v>
      </c>
      <c r="O28" s="209"/>
      <c r="P28" s="207"/>
      <c r="Q28" s="207"/>
      <c r="R28" s="207"/>
      <c r="S28" s="207"/>
      <c r="T28" s="219" t="str">
        <f>IF(ROUND(SUM(IS!P28:S28),1)=ROUND(IS!T28,1),"OK","ERROR")</f>
        <v>ERROR</v>
      </c>
      <c r="U28" s="209"/>
      <c r="V28" s="207"/>
      <c r="W28" s="207"/>
      <c r="X28" s="207"/>
      <c r="Y28" s="207"/>
      <c r="Z28" s="219" t="str">
        <f>IF(ROUND(SUM(IS!V28:Y28),1)=ROUND(IS!Z28,1),"OK","ERROR")</f>
        <v>ERROR</v>
      </c>
      <c r="AA28" s="212"/>
      <c r="AB28" s="207"/>
      <c r="AC28" s="207"/>
      <c r="AD28" s="207"/>
      <c r="AE28" s="207"/>
      <c r="AF28" s="219" t="str">
        <f>IF(ROUND(SUM(IS!AB28:AE28),1)=ROUND(IS!AF28,1),"OK","ERROR")</f>
        <v>ERROR</v>
      </c>
      <c r="AG28" s="210"/>
      <c r="AH28" s="207"/>
      <c r="AI28" s="207"/>
      <c r="AJ28" s="211"/>
      <c r="AK28" s="211"/>
      <c r="AL28" s="219" t="str">
        <f>IF(ROUND(SUM(IS!AH28:AK28),1)=ROUND(IS!AL28,1),"OK","ERROR")</f>
        <v>OK</v>
      </c>
      <c r="AM28" s="223"/>
      <c r="AN28" s="211"/>
      <c r="AO28" s="211"/>
      <c r="AP28" s="211"/>
      <c r="AQ28" s="211"/>
      <c r="AR28" s="219" t="str">
        <f>IF(ROUND(SUM(IS!AN28:AQ28),1)=ROUND(IS!AR28,1),"OK","ERROR")</f>
        <v>OK</v>
      </c>
    </row>
    <row r="29" spans="1:44" ht="14.25" customHeight="1">
      <c r="A29" s="73"/>
      <c r="B29" s="70" t="s">
        <v>561</v>
      </c>
      <c r="D29" s="207"/>
      <c r="E29" s="207"/>
      <c r="F29" s="207"/>
      <c r="G29" s="207"/>
      <c r="H29" s="219" t="str">
        <f>IF(ROUND(SUM(IS!D29:G29),1)=ROUND(IS!H29,1),"OK","ERROR")</f>
        <v>OK</v>
      </c>
      <c r="I29" s="209"/>
      <c r="J29" s="207"/>
      <c r="K29" s="207"/>
      <c r="L29" s="207"/>
      <c r="M29" s="207"/>
      <c r="N29" s="219" t="str">
        <f>IF(ROUND(SUM(IS!J29:M29),1)=ROUND(IS!N29,1),"OK","ERROR")</f>
        <v>ERROR</v>
      </c>
      <c r="O29" s="209"/>
      <c r="P29" s="207"/>
      <c r="Q29" s="207"/>
      <c r="R29" s="207"/>
      <c r="S29" s="207"/>
      <c r="T29" s="219" t="str">
        <f>IF(ROUND(SUM(IS!P29:S29),1)=ROUND(IS!T29,1),"OK","ERROR")</f>
        <v>ERROR</v>
      </c>
      <c r="U29" s="209"/>
      <c r="V29" s="207"/>
      <c r="W29" s="207"/>
      <c r="X29" s="207"/>
      <c r="Y29" s="207"/>
      <c r="Z29" s="219" t="str">
        <f>IF(ROUND(SUM(IS!V29:Y29),1)=ROUND(IS!Z29,1),"OK","ERROR")</f>
        <v>ERROR</v>
      </c>
      <c r="AA29" s="227"/>
      <c r="AB29" s="207"/>
      <c r="AC29" s="207"/>
      <c r="AD29" s="207"/>
      <c r="AE29" s="207"/>
      <c r="AF29" s="219" t="str">
        <f>IF(ROUND(SUM(IS!AB29:AE29),1)=ROUND(IS!AF29,1),"OK","ERROR")</f>
        <v>ERROR</v>
      </c>
      <c r="AG29" s="228"/>
      <c r="AH29" s="207"/>
      <c r="AI29" s="207"/>
      <c r="AJ29" s="211"/>
      <c r="AK29" s="211"/>
      <c r="AL29" s="219" t="str">
        <f>IF(ROUND(SUM(IS!AH29:AK29),1)=ROUND(IS!AL29,1),"OK","ERROR")</f>
        <v>OK</v>
      </c>
      <c r="AM29" s="227"/>
      <c r="AN29" s="211"/>
      <c r="AO29" s="211"/>
      <c r="AP29" s="211"/>
      <c r="AQ29" s="211"/>
      <c r="AR29" s="219" t="str">
        <f>IF(ROUND(SUM(IS!AN29:AQ29),1)=ROUND(IS!AR29,1),"OK","ERROR")</f>
        <v>OK</v>
      </c>
    </row>
    <row r="30" spans="1:44" ht="14.25" customHeight="1">
      <c r="A30" s="55"/>
      <c r="B30" s="70" t="s">
        <v>562</v>
      </c>
      <c r="D30" s="207"/>
      <c r="E30" s="207"/>
      <c r="F30" s="207"/>
      <c r="G30" s="207"/>
      <c r="H30" s="225" t="str">
        <f>IF(ROUND(SUM(IS!D30:G30),1)=ROUND(IS!H30,1),"OK","ERROR")</f>
        <v>OK</v>
      </c>
      <c r="I30" s="209"/>
      <c r="J30" s="207"/>
      <c r="K30" s="207"/>
      <c r="L30" s="207"/>
      <c r="M30" s="207"/>
      <c r="N30" s="225" t="str">
        <f>IF(ROUND(SUM(IS!J30:M30),1)=ROUND(IS!N30,1),"OK","ERROR")</f>
        <v>ERROR</v>
      </c>
      <c r="O30" s="209"/>
      <c r="P30" s="207"/>
      <c r="Q30" s="207"/>
      <c r="R30" s="207"/>
      <c r="S30" s="207"/>
      <c r="T30" s="225" t="str">
        <f>IF(ROUND(SUM(IS!P30:S30),1)=ROUND(IS!T30,1),"OK","ERROR")</f>
        <v>ERROR</v>
      </c>
      <c r="U30" s="209"/>
      <c r="V30" s="207"/>
      <c r="W30" s="207"/>
      <c r="X30" s="207"/>
      <c r="Y30" s="207"/>
      <c r="Z30" s="225" t="str">
        <f>IF(ROUND(SUM(IS!V30:Y30),1)=ROUND(IS!Z30,1),"OK","ERROR")</f>
        <v>ERROR</v>
      </c>
      <c r="AA30" s="212"/>
      <c r="AB30" s="207"/>
      <c r="AC30" s="207"/>
      <c r="AD30" s="207"/>
      <c r="AE30" s="207"/>
      <c r="AF30" s="225" t="str">
        <f>IF(ROUND(SUM(IS!AB30:AE30),1)=ROUND(IS!AF30,1),"OK","ERROR")</f>
        <v>ERROR</v>
      </c>
      <c r="AG30" s="210"/>
      <c r="AH30" s="207"/>
      <c r="AI30" s="207"/>
      <c r="AJ30" s="211"/>
      <c r="AK30" s="211"/>
      <c r="AL30" s="225" t="str">
        <f>IF(ROUND(SUM(IS!AH30:AK30),1)=ROUND(IS!AL30,1),"OK","ERROR")</f>
        <v>OK</v>
      </c>
      <c r="AM30" s="223"/>
      <c r="AN30" s="211"/>
      <c r="AO30" s="211"/>
      <c r="AP30" s="211"/>
      <c r="AQ30" s="211"/>
      <c r="AR30" s="225" t="str">
        <f>IF(ROUND(SUM(IS!AN30:AQ30),1)=ROUND(IS!AR30,1),"OK","ERROR")</f>
        <v>OK</v>
      </c>
    </row>
    <row r="31" spans="1:44" ht="14.25" customHeight="1">
      <c r="A31" s="73"/>
      <c r="B31" s="76" t="s">
        <v>563</v>
      </c>
      <c r="D31" s="207"/>
      <c r="E31" s="207"/>
      <c r="F31" s="207"/>
      <c r="G31" s="207"/>
      <c r="H31" s="230" t="str">
        <f>IF(ROUND(SUM(IS!D31:G31),1)=ROUND(IS!H31,1),"OK","ERROR")</f>
        <v>OK</v>
      </c>
      <c r="I31" s="209"/>
      <c r="J31" s="207"/>
      <c r="K31" s="207"/>
      <c r="L31" s="207"/>
      <c r="M31" s="207"/>
      <c r="N31" s="230" t="str">
        <f>IF(ROUND(SUM(IS!J31:M31),1)=ROUND(IS!N31,1),"OK","ERROR")</f>
        <v>ERROR</v>
      </c>
      <c r="O31" s="209"/>
      <c r="P31" s="207"/>
      <c r="Q31" s="207"/>
      <c r="R31" s="207"/>
      <c r="S31" s="207"/>
      <c r="T31" s="230" t="str">
        <f>IF(ROUND(SUM(IS!P31:S31),1)=ROUND(IS!T31,1),"OK","ERROR")</f>
        <v>ERROR</v>
      </c>
      <c r="U31" s="209"/>
      <c r="V31" s="207"/>
      <c r="W31" s="207"/>
      <c r="X31" s="207"/>
      <c r="Y31" s="207"/>
      <c r="Z31" s="230" t="str">
        <f>IF(ROUND(SUM(IS!V31:Y31),1)=ROUND(IS!Z31,1),"OK","ERROR")</f>
        <v>ERROR</v>
      </c>
      <c r="AA31" s="227"/>
      <c r="AB31" s="207"/>
      <c r="AC31" s="207"/>
      <c r="AD31" s="207"/>
      <c r="AE31" s="207"/>
      <c r="AF31" s="230" t="str">
        <f>IF(ROUND(SUM(IS!AB31:AE31),1)=ROUND(IS!AF31,1),"OK","ERROR")</f>
        <v>ERROR</v>
      </c>
      <c r="AG31" s="228"/>
      <c r="AH31" s="207"/>
      <c r="AI31" s="207"/>
      <c r="AJ31" s="211"/>
      <c r="AK31" s="211"/>
      <c r="AL31" s="230" t="str">
        <f>IF(ROUND(SUM(IS!AH31:AK31),1)=ROUND(IS!AL31,1),"OK","ERROR")</f>
        <v>OK</v>
      </c>
      <c r="AM31" s="227"/>
      <c r="AN31" s="211"/>
      <c r="AO31" s="211"/>
      <c r="AP31" s="211"/>
      <c r="AQ31" s="211"/>
      <c r="AR31" s="230" t="str">
        <f>IF(ROUND(SUM(IS!AN31:AQ31),1)=ROUND(IS!AR31,1),"OK","ERROR")</f>
        <v>OK</v>
      </c>
    </row>
    <row r="32" spans="1:44" ht="14.25" customHeight="1">
      <c r="A32" s="73"/>
      <c r="B32" s="76" t="s">
        <v>564</v>
      </c>
      <c r="D32" s="207"/>
      <c r="E32" s="207"/>
      <c r="F32" s="207"/>
      <c r="G32" s="207"/>
      <c r="H32" s="225" t="str">
        <f>IF(ROUND(SUM(IS!D32:G32),1)=ROUND(IS!H32,1),"OK","ERROR")</f>
        <v>OK</v>
      </c>
      <c r="I32" s="209"/>
      <c r="J32" s="207"/>
      <c r="K32" s="207"/>
      <c r="L32" s="207"/>
      <c r="M32" s="207"/>
      <c r="N32" s="225" t="str">
        <f>IF(ROUND(SUM(IS!J32:M32),1)=ROUND(IS!N32,1),"OK","ERROR")</f>
        <v>ERROR</v>
      </c>
      <c r="O32" s="209"/>
      <c r="P32" s="207"/>
      <c r="Q32" s="207"/>
      <c r="R32" s="207"/>
      <c r="S32" s="207"/>
      <c r="T32" s="225" t="str">
        <f>IF(ROUND(SUM(IS!P32:S32),1)=ROUND(IS!T32,1),"OK","ERROR")</f>
        <v>ERROR</v>
      </c>
      <c r="U32" s="209"/>
      <c r="V32" s="207"/>
      <c r="W32" s="207"/>
      <c r="X32" s="207"/>
      <c r="Y32" s="207"/>
      <c r="Z32" s="225" t="str">
        <f>IF(ROUND(SUM(IS!V32:Y32),1)=ROUND(IS!Z32,1),"OK","ERROR")</f>
        <v>OK</v>
      </c>
      <c r="AA32" s="231"/>
      <c r="AB32" s="207"/>
      <c r="AC32" s="207"/>
      <c r="AD32" s="207"/>
      <c r="AE32" s="207"/>
      <c r="AF32" s="225" t="str">
        <f>IF(ROUND(SUM(IS!AB32:AE32),1)=ROUND(IS!AF32,1),"OK","ERROR")</f>
        <v>OK</v>
      </c>
      <c r="AG32" s="228"/>
      <c r="AH32" s="207"/>
      <c r="AI32" s="207"/>
      <c r="AJ32" s="211"/>
      <c r="AK32" s="211"/>
      <c r="AL32" s="225" t="str">
        <f>IF(ROUND(SUM(IS!AH32:AK32),1)=ROUND(IS!AL32,1),"OK","ERROR")</f>
        <v>OK</v>
      </c>
      <c r="AM32" s="231"/>
      <c r="AN32" s="211"/>
      <c r="AO32" s="211"/>
      <c r="AP32" s="211"/>
      <c r="AQ32" s="211"/>
      <c r="AR32" s="225" t="str">
        <f>IF(ROUND(SUM(IS!AN32:AQ32),1)=ROUND(IS!AR32,1),"OK","ERROR")</f>
        <v>OK</v>
      </c>
    </row>
    <row r="33" spans="1:44" ht="14.25" customHeight="1">
      <c r="A33" s="55"/>
      <c r="B33" s="79" t="s">
        <v>565</v>
      </c>
      <c r="D33" s="207"/>
      <c r="E33" s="207"/>
      <c r="F33" s="207"/>
      <c r="G33" s="207"/>
      <c r="H33" s="225" t="str">
        <f>IF(ROUND(SUM(IS!D33:G33),1)=ROUND(IS!H33,1),"OK","ERROR")</f>
        <v>OK</v>
      </c>
      <c r="I33" s="209"/>
      <c r="J33" s="207"/>
      <c r="K33" s="207"/>
      <c r="L33" s="207"/>
      <c r="M33" s="207"/>
      <c r="N33" s="225" t="str">
        <f>IF(ROUND(SUM(IS!J33:M33),1)=ROUND(IS!N33,1),"OK","ERROR")</f>
        <v>ERROR</v>
      </c>
      <c r="O33" s="209"/>
      <c r="P33" s="207"/>
      <c r="Q33" s="207"/>
      <c r="R33" s="207"/>
      <c r="S33" s="207"/>
      <c r="T33" s="225" t="str">
        <f>IF(ROUND(SUM(IS!P33:S33),1)=ROUND(IS!T33,1),"OK","ERROR")</f>
        <v>ERROR</v>
      </c>
      <c r="U33" s="209"/>
      <c r="V33" s="207"/>
      <c r="W33" s="207"/>
      <c r="X33" s="207"/>
      <c r="Y33" s="207"/>
      <c r="Z33" s="225" t="str">
        <f>IF(ROUND(SUM(IS!V33:Y33),1)=ROUND(IS!Z33,1),"OK","ERROR")</f>
        <v>ERROR</v>
      </c>
      <c r="AA33" s="212"/>
      <c r="AB33" s="207"/>
      <c r="AC33" s="207"/>
      <c r="AD33" s="207"/>
      <c r="AE33" s="207"/>
      <c r="AF33" s="225" t="str">
        <f>IF(ROUND(SUM(IS!AB33:AE33),1)=ROUND(IS!AF33,1),"OK","ERROR")</f>
        <v>ERROR</v>
      </c>
      <c r="AG33" s="210"/>
      <c r="AH33" s="207"/>
      <c r="AI33" s="207"/>
      <c r="AJ33" s="211"/>
      <c r="AK33" s="211"/>
      <c r="AL33" s="225" t="str">
        <f>IF(ROUND(SUM(IS!AH33:AK33),1)=ROUND(IS!AL33,1),"OK","ERROR")</f>
        <v>OK</v>
      </c>
      <c r="AM33" s="223"/>
      <c r="AN33" s="211"/>
      <c r="AO33" s="211"/>
      <c r="AP33" s="211"/>
      <c r="AQ33" s="211"/>
      <c r="AR33" s="225" t="str">
        <f>IF(ROUND(SUM(IS!AN33:AQ33),1)=ROUND(IS!AR33,1),"OK","ERROR")</f>
        <v>OK</v>
      </c>
    </row>
    <row r="34" spans="1:44" ht="14.25" customHeight="1">
      <c r="A34" s="73"/>
      <c r="B34" s="205"/>
      <c r="D34" s="207"/>
      <c r="E34" s="207"/>
      <c r="F34" s="207"/>
      <c r="G34" s="207"/>
      <c r="H34" s="219"/>
      <c r="I34" s="209"/>
      <c r="J34" s="207"/>
      <c r="K34" s="207"/>
      <c r="L34" s="207"/>
      <c r="M34" s="207"/>
      <c r="N34" s="219"/>
      <c r="O34" s="209"/>
      <c r="P34" s="207"/>
      <c r="Q34" s="207"/>
      <c r="R34" s="207"/>
      <c r="S34" s="207"/>
      <c r="T34" s="219"/>
      <c r="U34" s="209"/>
      <c r="V34" s="207"/>
      <c r="W34" s="207"/>
      <c r="X34" s="207"/>
      <c r="Y34" s="207"/>
      <c r="Z34" s="219"/>
      <c r="AA34" s="227"/>
      <c r="AB34" s="207"/>
      <c r="AC34" s="207"/>
      <c r="AD34" s="207"/>
      <c r="AE34" s="207"/>
      <c r="AF34" s="219"/>
      <c r="AG34" s="228"/>
      <c r="AH34" s="207"/>
      <c r="AI34" s="207"/>
      <c r="AJ34" s="211"/>
      <c r="AK34" s="211"/>
      <c r="AL34" s="219"/>
      <c r="AM34" s="232"/>
      <c r="AN34" s="211"/>
      <c r="AO34" s="211"/>
      <c r="AP34" s="211"/>
      <c r="AQ34" s="211"/>
      <c r="AR34" s="219"/>
    </row>
    <row r="35" spans="1:44" ht="14.25" customHeight="1">
      <c r="A35" s="44" t="s">
        <v>39</v>
      </c>
      <c r="B35" s="65" t="s">
        <v>566</v>
      </c>
      <c r="D35" s="207"/>
      <c r="E35" s="207"/>
      <c r="F35" s="207"/>
      <c r="G35" s="207"/>
      <c r="H35" s="219"/>
      <c r="I35" s="209"/>
      <c r="J35" s="207"/>
      <c r="K35" s="207"/>
      <c r="L35" s="207"/>
      <c r="M35" s="207"/>
      <c r="N35" s="219"/>
      <c r="O35" s="209"/>
      <c r="P35" s="207"/>
      <c r="Q35" s="207"/>
      <c r="R35" s="207"/>
      <c r="S35" s="207"/>
      <c r="T35" s="219"/>
      <c r="U35" s="209"/>
      <c r="V35" s="207"/>
      <c r="W35" s="207"/>
      <c r="X35" s="207"/>
      <c r="Y35" s="207"/>
      <c r="Z35" s="219"/>
      <c r="AA35" s="212"/>
      <c r="AB35" s="207"/>
      <c r="AC35" s="207"/>
      <c r="AD35" s="207"/>
      <c r="AE35" s="207"/>
      <c r="AF35" s="219"/>
      <c r="AG35" s="210"/>
      <c r="AH35" s="207"/>
      <c r="AI35" s="207"/>
      <c r="AJ35" s="211"/>
      <c r="AK35" s="211"/>
      <c r="AL35" s="219"/>
      <c r="AM35" s="223"/>
      <c r="AN35" s="211"/>
      <c r="AO35" s="211"/>
      <c r="AP35" s="211"/>
      <c r="AQ35" s="211"/>
      <c r="AR35" s="219"/>
    </row>
    <row r="36" spans="1:44" ht="14.25" customHeight="1">
      <c r="A36" s="44"/>
      <c r="B36" s="70" t="s">
        <v>567</v>
      </c>
      <c r="D36" s="207"/>
      <c r="E36" s="207"/>
      <c r="F36" s="207"/>
      <c r="G36" s="207"/>
      <c r="H36" s="219" t="str">
        <f>IF(ROUND(SUM(IS!D36:G36),1)=ROUND(IS!H36,1),"OK","ERROR")</f>
        <v>OK</v>
      </c>
      <c r="I36" s="209"/>
      <c r="J36" s="207"/>
      <c r="K36" s="207"/>
      <c r="L36" s="207"/>
      <c r="M36" s="207"/>
      <c r="N36" s="219" t="str">
        <f>IF(ROUND(SUM(IS!J36:M36),1)=ROUND(IS!N36,1),"OK","ERROR")</f>
        <v>ERROR</v>
      </c>
      <c r="O36" s="209"/>
      <c r="P36" s="207"/>
      <c r="Q36" s="207"/>
      <c r="R36" s="207"/>
      <c r="S36" s="207"/>
      <c r="T36" s="219" t="str">
        <f>IF(ROUND(SUM(IS!P36:S36),1)=ROUND(IS!T36,1),"OK","ERROR")</f>
        <v>ERROR</v>
      </c>
      <c r="U36" s="209"/>
      <c r="V36" s="207"/>
      <c r="W36" s="207"/>
      <c r="X36" s="207"/>
      <c r="Y36" s="207"/>
      <c r="Z36" s="219" t="str">
        <f>IF(ROUND(SUM(IS!V36:Y36),1)=ROUND(IS!Z36,1),"OK","ERROR")</f>
        <v>ERROR</v>
      </c>
      <c r="AA36" s="212"/>
      <c r="AB36" s="207"/>
      <c r="AC36" s="207"/>
      <c r="AD36" s="207"/>
      <c r="AE36" s="207"/>
      <c r="AF36" s="219" t="str">
        <f>IF(ROUND(SUM(IS!AB36:AE36),1)=ROUND(IS!AF36,1),"OK","ERROR")</f>
        <v>ERROR</v>
      </c>
      <c r="AG36" s="210"/>
      <c r="AH36" s="207"/>
      <c r="AI36" s="207"/>
      <c r="AJ36" s="211"/>
      <c r="AK36" s="211"/>
      <c r="AL36" s="219" t="str">
        <f>IF(ROUND(SUM(IS!AH36:AK36),1)=ROUND(IS!AL36,1),"OK","ERROR")</f>
        <v>ERROR</v>
      </c>
      <c r="AM36" s="223"/>
      <c r="AN36" s="211"/>
      <c r="AO36" s="211"/>
      <c r="AP36" s="211"/>
      <c r="AQ36" s="211"/>
      <c r="AR36" s="219" t="str">
        <f>IF(ROUND(SUM(IS!AN36:AQ36),1)=ROUND(IS!AR36,1),"OK","ERROR")</f>
        <v>OK</v>
      </c>
    </row>
    <row r="37" spans="1:44" ht="14.25" customHeight="1">
      <c r="A37" s="44"/>
      <c r="B37" s="70" t="s">
        <v>568</v>
      </c>
      <c r="D37" s="207"/>
      <c r="E37" s="207"/>
      <c r="F37" s="207"/>
      <c r="G37" s="207"/>
      <c r="H37" s="219" t="str">
        <f>IF(ROUND(SUM(IS!D37:G37),1)=ROUND(IS!H37,1),"OK","ERROR")</f>
        <v>OK</v>
      </c>
      <c r="I37" s="209"/>
      <c r="J37" s="207"/>
      <c r="K37" s="207"/>
      <c r="L37" s="207"/>
      <c r="M37" s="207"/>
      <c r="N37" s="219" t="str">
        <f>IF(ROUND(SUM(IS!J37:M37),1)=ROUND(IS!N37,1),"OK","ERROR")</f>
        <v>OK</v>
      </c>
      <c r="O37" s="209"/>
      <c r="P37" s="207"/>
      <c r="Q37" s="207"/>
      <c r="R37" s="207"/>
      <c r="S37" s="207"/>
      <c r="T37" s="219" t="str">
        <f>IF(ROUND(SUM(IS!P37:S37),1)=ROUND(IS!T37,1),"OK","ERROR")</f>
        <v>OK</v>
      </c>
      <c r="U37" s="209"/>
      <c r="V37" s="207"/>
      <c r="W37" s="207"/>
      <c r="X37" s="207"/>
      <c r="Y37" s="207"/>
      <c r="Z37" s="219" t="str">
        <f>IF(ROUND(SUM(IS!V37:Y37),1)=ROUND(IS!Z37,1),"OK","ERROR")</f>
        <v>OK</v>
      </c>
      <c r="AA37" s="212"/>
      <c r="AB37" s="207"/>
      <c r="AC37" s="207"/>
      <c r="AD37" s="207"/>
      <c r="AE37" s="207"/>
      <c r="AF37" s="219" t="str">
        <f>IF(ROUND(SUM(IS!AB37:AE37),1)=ROUND(IS!AF37,1),"OK","ERROR")</f>
        <v>OK</v>
      </c>
      <c r="AG37" s="210"/>
      <c r="AH37" s="207"/>
      <c r="AI37" s="207"/>
      <c r="AJ37" s="211"/>
      <c r="AK37" s="211"/>
      <c r="AL37" s="219" t="str">
        <f>IF(ROUND(SUM(IS!AH37:AK37),1)=ROUND(IS!AL37,1),"OK","ERROR")</f>
        <v>OK</v>
      </c>
      <c r="AM37" s="223"/>
      <c r="AN37" s="211"/>
      <c r="AO37" s="211"/>
      <c r="AP37" s="211"/>
      <c r="AQ37" s="211"/>
      <c r="AR37" s="219" t="str">
        <f>IF(ROUND(SUM(IS!AN37:AQ37),1)=ROUND(IS!AR37,1),"OK","ERROR")</f>
        <v>OK</v>
      </c>
    </row>
    <row r="38" spans="1:44" ht="14.25" customHeight="1">
      <c r="A38" s="55" t="s">
        <v>39</v>
      </c>
      <c r="B38" s="76" t="s">
        <v>569</v>
      </c>
      <c r="D38" s="207"/>
      <c r="E38" s="207"/>
      <c r="F38" s="207"/>
      <c r="G38" s="207"/>
      <c r="H38" s="219" t="str">
        <f>IF(ROUND(SUM(IS!D38:G38),1)=ROUND(IS!H38,1),"OK","ERROR")</f>
        <v>OK</v>
      </c>
      <c r="I38" s="209"/>
      <c r="J38" s="207"/>
      <c r="K38" s="207"/>
      <c r="L38" s="207"/>
      <c r="M38" s="207"/>
      <c r="N38" s="219" t="str">
        <f>IF(ROUND(SUM(IS!J38:M38),1)=ROUND(IS!N38,1),"OK","ERROR")</f>
        <v>OK</v>
      </c>
      <c r="O38" s="209"/>
      <c r="P38" s="207"/>
      <c r="Q38" s="207"/>
      <c r="R38" s="207"/>
      <c r="S38" s="207"/>
      <c r="T38" s="219" t="str">
        <f>IF(ROUND(SUM(IS!P38:S38),1)=ROUND(IS!T38,1),"OK","ERROR")</f>
        <v>ERROR</v>
      </c>
      <c r="U38" s="209"/>
      <c r="V38" s="207"/>
      <c r="W38" s="207"/>
      <c r="X38" s="207"/>
      <c r="Y38" s="207"/>
      <c r="Z38" s="219" t="str">
        <f>IF(ROUND(SUM(IS!V38:Y38),1)=ROUND(IS!Z38,1),"OK","ERROR")</f>
        <v>ERROR</v>
      </c>
      <c r="AA38" s="212"/>
      <c r="AB38" s="207"/>
      <c r="AC38" s="207"/>
      <c r="AD38" s="207"/>
      <c r="AE38" s="207"/>
      <c r="AF38" s="219" t="str">
        <f>IF(ROUND(SUM(IS!AB38:AE38),1)=ROUND(IS!AF38,1),"OK","ERROR")</f>
        <v>ERROR</v>
      </c>
      <c r="AG38" s="210"/>
      <c r="AH38" s="207"/>
      <c r="AI38" s="207"/>
      <c r="AJ38" s="211"/>
      <c r="AK38" s="211"/>
      <c r="AL38" s="219" t="str">
        <f>IF(ROUND(SUM(IS!AH38:AK38),1)=ROUND(IS!AL38,1),"OK","ERROR")</f>
        <v>OK</v>
      </c>
      <c r="AM38" s="223"/>
      <c r="AN38" s="211"/>
      <c r="AO38" s="211"/>
      <c r="AP38" s="211"/>
      <c r="AQ38" s="211"/>
      <c r="AR38" s="219" t="str">
        <f>IF(ROUND(SUM(IS!AN38:AQ38),1)=ROUND(IS!AR38,1),"OK","ERROR")</f>
        <v>OK</v>
      </c>
    </row>
    <row r="39" spans="1:44" ht="14.25" customHeight="1">
      <c r="A39" s="73"/>
      <c r="B39" s="76" t="s">
        <v>570</v>
      </c>
      <c r="D39" s="207"/>
      <c r="E39" s="207"/>
      <c r="F39" s="207"/>
      <c r="G39" s="207"/>
      <c r="H39" s="219" t="str">
        <f>IF(ROUND(SUM(IS!D39:G39),1)=ROUND(IS!H39,1),"OK","ERROR")</f>
        <v>OK</v>
      </c>
      <c r="I39" s="209"/>
      <c r="J39" s="207"/>
      <c r="K39" s="207"/>
      <c r="L39" s="207"/>
      <c r="M39" s="207"/>
      <c r="N39" s="219" t="str">
        <f>IF(ROUND(SUM(IS!J39:M39),1)=ROUND(IS!N39,1),"OK","ERROR")</f>
        <v>OK</v>
      </c>
      <c r="O39" s="209"/>
      <c r="P39" s="207"/>
      <c r="Q39" s="207"/>
      <c r="R39" s="207"/>
      <c r="S39" s="207"/>
      <c r="T39" s="219" t="str">
        <f>IF(ROUND(SUM(IS!P39:S39),1)=ROUND(IS!T39,1),"OK","ERROR")</f>
        <v>OK</v>
      </c>
      <c r="U39" s="209"/>
      <c r="V39" s="207"/>
      <c r="W39" s="207"/>
      <c r="X39" s="207"/>
      <c r="Y39" s="207"/>
      <c r="Z39" s="219" t="str">
        <f>IF(ROUND(SUM(IS!V39:Y39),1)=ROUND(IS!Z39,1),"OK","ERROR")</f>
        <v>OK</v>
      </c>
      <c r="AA39" s="227"/>
      <c r="AB39" s="207"/>
      <c r="AC39" s="207"/>
      <c r="AD39" s="207"/>
      <c r="AE39" s="207"/>
      <c r="AF39" s="219" t="str">
        <f>IF(ROUND(SUM(IS!AB39:AE39),1)=ROUND(IS!AF39,1),"OK","ERROR")</f>
        <v>OK</v>
      </c>
      <c r="AG39" s="228"/>
      <c r="AH39" s="207"/>
      <c r="AI39" s="207"/>
      <c r="AJ39" s="211"/>
      <c r="AK39" s="211"/>
      <c r="AL39" s="219" t="str">
        <f>IF(ROUND(SUM(IS!AH39:AK39),1)=ROUND(IS!AL39,1),"OK","ERROR")</f>
        <v>OK</v>
      </c>
      <c r="AM39" s="227"/>
      <c r="AN39" s="211"/>
      <c r="AO39" s="211"/>
      <c r="AP39" s="211"/>
      <c r="AQ39" s="211"/>
      <c r="AR39" s="219" t="str">
        <f>IF(ROUND(SUM(IS!AN39:AQ39),1)=ROUND(IS!AR39,1),"OK","ERROR")</f>
        <v>OK</v>
      </c>
    </row>
    <row r="40" spans="1:44" ht="14.25" customHeight="1">
      <c r="A40" s="55"/>
      <c r="B40" s="76" t="s">
        <v>571</v>
      </c>
      <c r="D40" s="207"/>
      <c r="E40" s="207"/>
      <c r="F40" s="207"/>
      <c r="G40" s="207"/>
      <c r="H40" s="225" t="str">
        <f>IF(ROUND(SUM(IS!D40:G40),1)=ROUND(IS!H40,1),"OK","ERROR")</f>
        <v>OK</v>
      </c>
      <c r="I40" s="209"/>
      <c r="J40" s="207"/>
      <c r="K40" s="207"/>
      <c r="L40" s="207"/>
      <c r="M40" s="207"/>
      <c r="N40" s="225" t="str">
        <f>IF(ROUND(SUM(IS!J40:M40),1)=ROUND(IS!N40,1),"OK","ERROR")</f>
        <v>ERROR</v>
      </c>
      <c r="O40" s="209"/>
      <c r="P40" s="207"/>
      <c r="Q40" s="207"/>
      <c r="R40" s="207"/>
      <c r="S40" s="207"/>
      <c r="T40" s="225" t="str">
        <f>IF(ROUND(SUM(IS!P40:S40),1)=ROUND(IS!T40,1),"OK","ERROR")</f>
        <v>ERROR</v>
      </c>
      <c r="U40" s="209"/>
      <c r="V40" s="207"/>
      <c r="W40" s="207"/>
      <c r="X40" s="207"/>
      <c r="Y40" s="207"/>
      <c r="Z40" s="225" t="str">
        <f>IF(ROUND(SUM(IS!V40:Y40),1)=ROUND(IS!Z40,1),"OK","ERROR")</f>
        <v>ERROR</v>
      </c>
      <c r="AA40" s="212"/>
      <c r="AB40" s="207"/>
      <c r="AC40" s="207"/>
      <c r="AD40" s="207"/>
      <c r="AE40" s="207"/>
      <c r="AF40" s="225" t="str">
        <f>IF(ROUND(SUM(IS!AB40:AE40),1)=ROUND(IS!AF40,1),"OK","ERROR")</f>
        <v>ERROR</v>
      </c>
      <c r="AG40" s="210"/>
      <c r="AH40" s="207"/>
      <c r="AI40" s="207"/>
      <c r="AJ40" s="211"/>
      <c r="AK40" s="211"/>
      <c r="AL40" s="225" t="str">
        <f>IF(ROUND(SUM(IS!AH40:AK40),1)=ROUND(IS!AL40,1),"OK","ERROR")</f>
        <v>ERROR</v>
      </c>
      <c r="AM40" s="212"/>
      <c r="AN40" s="211"/>
      <c r="AO40" s="211"/>
      <c r="AP40" s="211"/>
      <c r="AQ40" s="211"/>
      <c r="AR40" s="225" t="str">
        <f>IF(ROUND(SUM(IS!AN40:AQ40),1)=ROUND(IS!AR40,1),"OK","ERROR")</f>
        <v>OK</v>
      </c>
    </row>
    <row r="41" spans="1:44" ht="14.25" customHeight="1">
      <c r="A41" s="73"/>
      <c r="B41" s="79" t="s">
        <v>572</v>
      </c>
      <c r="D41" s="207"/>
      <c r="E41" s="207"/>
      <c r="F41" s="207"/>
      <c r="G41" s="207"/>
      <c r="H41" s="226" t="str">
        <f>IF(ROUND(SUM(IS!D41:G41),1)=ROUND(IS!H41,1),"OK","ERROR")</f>
        <v>OK</v>
      </c>
      <c r="I41" s="209"/>
      <c r="J41" s="207"/>
      <c r="K41" s="207"/>
      <c r="L41" s="207"/>
      <c r="M41" s="207"/>
      <c r="N41" s="226" t="str">
        <f>IF(ROUND(SUM(IS!J41:M41),1)=ROUND(IS!N41,1),"OK","ERROR")</f>
        <v>ERROR</v>
      </c>
      <c r="O41" s="209"/>
      <c r="P41" s="207"/>
      <c r="Q41" s="207"/>
      <c r="R41" s="207"/>
      <c r="S41" s="207"/>
      <c r="T41" s="226" t="str">
        <f>IF(ROUND(SUM(IS!P41:S41),1)=ROUND(IS!T41,1),"OK","ERROR")</f>
        <v>ERROR</v>
      </c>
      <c r="U41" s="209"/>
      <c r="V41" s="207"/>
      <c r="W41" s="207"/>
      <c r="X41" s="207"/>
      <c r="Y41" s="207"/>
      <c r="Z41" s="226" t="str">
        <f>IF(ROUND(SUM(IS!V41:Y41),1)=ROUND(IS!Z41,1),"OK","ERROR")</f>
        <v>ERROR</v>
      </c>
      <c r="AA41" s="231"/>
      <c r="AB41" s="207"/>
      <c r="AC41" s="207"/>
      <c r="AD41" s="207"/>
      <c r="AE41" s="207"/>
      <c r="AF41" s="226" t="str">
        <f>IF(ROUND(SUM(IS!AB41:AE41),1)=ROUND(IS!AF41,1),"OK","ERROR")</f>
        <v>ERROR</v>
      </c>
      <c r="AG41" s="228"/>
      <c r="AH41" s="207"/>
      <c r="AI41" s="207"/>
      <c r="AJ41" s="211"/>
      <c r="AK41" s="211"/>
      <c r="AL41" s="226" t="str">
        <f>IF(ROUND(SUM(IS!AH41:AK41),1)=ROUND(IS!AL41,1),"OK","ERROR")</f>
        <v>ERROR</v>
      </c>
      <c r="AM41" s="227"/>
      <c r="AN41" s="211"/>
      <c r="AO41" s="211"/>
      <c r="AP41" s="211"/>
      <c r="AQ41" s="211"/>
      <c r="AR41" s="226" t="str">
        <f>IF(ROUND(SUM(IS!AN41:AQ41),1)=ROUND(IS!AR41,1),"OK","ERROR")</f>
        <v>OK</v>
      </c>
    </row>
    <row r="42" spans="1:44" ht="14.25" customHeight="1">
      <c r="A42" s="84"/>
      <c r="B42" s="90" t="s">
        <v>499</v>
      </c>
      <c r="D42" s="207"/>
      <c r="E42" s="207"/>
      <c r="F42" s="207"/>
      <c r="G42" s="207"/>
      <c r="H42" s="226" t="str">
        <f>IF(ROUND(SUM(IS!D42:G42),1)=ROUND(IS!H42,1),"OK","ERROR")</f>
        <v>OK</v>
      </c>
      <c r="I42" s="209"/>
      <c r="J42" s="207"/>
      <c r="K42" s="207"/>
      <c r="L42" s="207"/>
      <c r="M42" s="207"/>
      <c r="N42" s="226" t="str">
        <f>IF(ROUND(SUM(IS!J42:M42),1)=ROUND(IS!N42,1),"OK","ERROR")</f>
        <v>ERROR</v>
      </c>
      <c r="O42" s="209"/>
      <c r="P42" s="207"/>
      <c r="Q42" s="207"/>
      <c r="R42" s="207"/>
      <c r="S42" s="207"/>
      <c r="T42" s="226" t="str">
        <f>IF(ROUND(SUM(IS!P42:S42),1)=ROUND(IS!T42,1),"OK","ERROR")</f>
        <v>ERROR</v>
      </c>
      <c r="U42" s="209"/>
      <c r="V42" s="207"/>
      <c r="W42" s="207"/>
      <c r="X42" s="207"/>
      <c r="Y42" s="207"/>
      <c r="Z42" s="226" t="str">
        <f>IF(ROUND(SUM(IS!V42:Y42),1)=ROUND(IS!Z42,1),"OK","ERROR")</f>
        <v>ERROR</v>
      </c>
      <c r="AA42" s="212"/>
      <c r="AB42" s="207"/>
      <c r="AC42" s="207"/>
      <c r="AD42" s="207"/>
      <c r="AE42" s="207"/>
      <c r="AF42" s="226" t="str">
        <f>IF(ROUND(SUM(IS!AB42:AE42),1)=ROUND(IS!AF42,1),"OK","ERROR")</f>
        <v>ERROR</v>
      </c>
      <c r="AG42" s="210"/>
      <c r="AH42" s="207"/>
      <c r="AI42" s="207"/>
      <c r="AJ42" s="211"/>
      <c r="AK42" s="211"/>
      <c r="AL42" s="226" t="str">
        <f>IF(ROUND(SUM(IS!AH42:AK42),1)=ROUND(IS!AL42,1),"OK","ERROR")</f>
        <v>ERROR</v>
      </c>
      <c r="AM42" s="212"/>
      <c r="AN42" s="211"/>
      <c r="AO42" s="211"/>
      <c r="AP42" s="211"/>
      <c r="AQ42" s="211"/>
      <c r="AR42" s="226" t="str">
        <f>IF(ROUND(SUM(IS!AN42:AQ42),1)=ROUND(IS!AR42,1),"OK","ERROR")</f>
        <v>OK</v>
      </c>
    </row>
    <row r="43" spans="1:44" ht="14.25" customHeight="1">
      <c r="A43" s="73"/>
      <c r="B43" s="76"/>
      <c r="D43" s="207"/>
      <c r="E43" s="207"/>
      <c r="F43" s="207"/>
      <c r="G43" s="207"/>
      <c r="H43" s="219"/>
      <c r="I43" s="209"/>
      <c r="J43" s="207"/>
      <c r="K43" s="207"/>
      <c r="L43" s="207"/>
      <c r="M43" s="207"/>
      <c r="N43" s="219"/>
      <c r="O43" s="209"/>
      <c r="P43" s="207"/>
      <c r="Q43" s="207"/>
      <c r="R43" s="207"/>
      <c r="S43" s="207"/>
      <c r="T43" s="219"/>
      <c r="U43" s="209"/>
      <c r="V43" s="207"/>
      <c r="W43" s="207"/>
      <c r="X43" s="207"/>
      <c r="Y43" s="207"/>
      <c r="Z43" s="219"/>
      <c r="AA43" s="212"/>
      <c r="AB43" s="207"/>
      <c r="AC43" s="207"/>
      <c r="AD43" s="207"/>
      <c r="AE43" s="207"/>
      <c r="AF43" s="219"/>
      <c r="AG43" s="210"/>
      <c r="AH43" s="207"/>
      <c r="AI43" s="207"/>
      <c r="AJ43" s="211"/>
      <c r="AK43" s="211"/>
      <c r="AL43" s="219"/>
      <c r="AM43" s="212"/>
      <c r="AN43" s="211"/>
      <c r="AO43" s="211"/>
      <c r="AP43" s="211"/>
      <c r="AQ43" s="211"/>
      <c r="AR43" s="219"/>
    </row>
    <row r="44" spans="1:44" ht="14.25" customHeight="1">
      <c r="A44" s="44" t="s">
        <v>39</v>
      </c>
      <c r="B44" s="65" t="s">
        <v>573</v>
      </c>
      <c r="D44" s="207"/>
      <c r="E44" s="207"/>
      <c r="F44" s="207"/>
      <c r="G44" s="207"/>
      <c r="H44" s="219"/>
      <c r="I44" s="209"/>
      <c r="J44" s="207"/>
      <c r="K44" s="207"/>
      <c r="L44" s="207"/>
      <c r="M44" s="207"/>
      <c r="N44" s="219"/>
      <c r="O44" s="209"/>
      <c r="P44" s="207"/>
      <c r="Q44" s="207"/>
      <c r="R44" s="207"/>
      <c r="S44" s="207"/>
      <c r="T44" s="219"/>
      <c r="U44" s="209"/>
      <c r="V44" s="207"/>
      <c r="W44" s="207"/>
      <c r="X44" s="207"/>
      <c r="Y44" s="207"/>
      <c r="Z44" s="219"/>
      <c r="AA44" s="212"/>
      <c r="AB44" s="207"/>
      <c r="AC44" s="207"/>
      <c r="AD44" s="207"/>
      <c r="AE44" s="207"/>
      <c r="AF44" s="219"/>
      <c r="AG44" s="210"/>
      <c r="AH44" s="207"/>
      <c r="AI44" s="207"/>
      <c r="AJ44" s="211"/>
      <c r="AK44" s="211"/>
      <c r="AL44" s="219"/>
      <c r="AM44" s="212"/>
      <c r="AN44" s="211"/>
      <c r="AO44" s="211"/>
      <c r="AP44" s="211"/>
      <c r="AQ44" s="211"/>
      <c r="AR44" s="219"/>
    </row>
    <row r="45" spans="1:44" ht="14.25" customHeight="1">
      <c r="A45" s="84"/>
      <c r="B45" s="70" t="s">
        <v>500</v>
      </c>
      <c r="D45" s="207"/>
      <c r="E45" s="207"/>
      <c r="F45" s="207"/>
      <c r="G45" s="207"/>
      <c r="H45" s="219" t="str">
        <f>IF(ROUND(SUM(IS!D45:G45),1)=ROUND(IS!H45,1),"OK","ERROR")</f>
        <v>OK</v>
      </c>
      <c r="I45" s="209"/>
      <c r="J45" s="207"/>
      <c r="K45" s="207"/>
      <c r="L45" s="207"/>
      <c r="M45" s="207"/>
      <c r="N45" s="219" t="str">
        <f>IF(ROUND(SUM(IS!J45:M45),1)=ROUND(IS!N45,1),"OK","ERROR")</f>
        <v>OK</v>
      </c>
      <c r="O45" s="209"/>
      <c r="P45" s="207"/>
      <c r="Q45" s="207"/>
      <c r="R45" s="207"/>
      <c r="S45" s="207"/>
      <c r="T45" s="219" t="str">
        <f>IF(ROUND(SUM(IS!P45:S45),1)=ROUND(IS!T45,1),"OK","ERROR")</f>
        <v>ERROR</v>
      </c>
      <c r="U45" s="209"/>
      <c r="V45" s="207"/>
      <c r="W45" s="207"/>
      <c r="X45" s="207"/>
      <c r="Y45" s="207"/>
      <c r="Z45" s="219" t="str">
        <f>IF(ROUND(SUM(IS!V45:Y45),1)=ROUND(IS!Z45,1),"OK","ERROR")</f>
        <v>ERROR</v>
      </c>
      <c r="AA45" s="223"/>
      <c r="AB45" s="207"/>
      <c r="AC45" s="207"/>
      <c r="AD45" s="207"/>
      <c r="AE45" s="207"/>
      <c r="AF45" s="219" t="str">
        <f>IF(ROUND(SUM(IS!AB45:AE45),1)=ROUND(IS!AF45,1),"OK","ERROR")</f>
        <v>ERROR</v>
      </c>
      <c r="AG45" s="210"/>
      <c r="AH45" s="207"/>
      <c r="AI45" s="207"/>
      <c r="AJ45" s="211"/>
      <c r="AK45" s="211"/>
      <c r="AL45" s="219" t="str">
        <f>IF(ROUND(SUM(IS!AH45:AK45),1)=ROUND(IS!AL45,1),"OK","ERROR")</f>
        <v>ERROR</v>
      </c>
      <c r="AM45" s="234"/>
      <c r="AN45" s="211"/>
      <c r="AO45" s="211"/>
      <c r="AP45" s="211"/>
      <c r="AQ45" s="211"/>
      <c r="AR45" s="219" t="str">
        <f>IF(ROUND(SUM(IS!AN45:AQ45),1)=ROUND(IS!AR45,1),"OK","ERROR")</f>
        <v>OK</v>
      </c>
    </row>
    <row r="46" spans="1:44" ht="14.25" customHeight="1">
      <c r="A46" s="84"/>
      <c r="B46" s="70" t="s">
        <v>574</v>
      </c>
      <c r="D46" s="207"/>
      <c r="E46" s="207"/>
      <c r="F46" s="207"/>
      <c r="G46" s="207"/>
      <c r="H46" s="219" t="str">
        <f>IF(ROUND(SUM(IS!D46:G46),1)=ROUND(IS!H46,1),"OK","ERROR")</f>
        <v>OK</v>
      </c>
      <c r="I46" s="209"/>
      <c r="J46" s="207"/>
      <c r="K46" s="207"/>
      <c r="L46" s="207"/>
      <c r="M46" s="207"/>
      <c r="N46" s="219" t="str">
        <f>IF(ROUND(SUM(IS!J46:M46),1)=ROUND(IS!N46,1),"OK","ERROR")</f>
        <v>ERROR</v>
      </c>
      <c r="O46" s="209"/>
      <c r="P46" s="207"/>
      <c r="Q46" s="207"/>
      <c r="R46" s="207"/>
      <c r="S46" s="207"/>
      <c r="T46" s="219" t="str">
        <f>IF(ROUND(SUM(IS!P46:S46),1)=ROUND(IS!T46,1),"OK","ERROR")</f>
        <v>OK</v>
      </c>
      <c r="U46" s="209"/>
      <c r="V46" s="207"/>
      <c r="W46" s="207"/>
      <c r="X46" s="207"/>
      <c r="Y46" s="207"/>
      <c r="Z46" s="219" t="str">
        <f>IF(ROUND(SUM(IS!V46:Y46),1)=ROUND(IS!Z46,1),"OK","ERROR")</f>
        <v>OK</v>
      </c>
      <c r="AA46" s="212"/>
      <c r="AB46" s="207"/>
      <c r="AC46" s="207"/>
      <c r="AD46" s="207"/>
      <c r="AE46" s="207"/>
      <c r="AF46" s="219" t="str">
        <f>IF(ROUND(SUM(IS!AB46:AE46),1)=ROUND(IS!AF46,1),"OK","ERROR")</f>
        <v>OK</v>
      </c>
      <c r="AG46" s="210"/>
      <c r="AH46" s="207"/>
      <c r="AI46" s="207"/>
      <c r="AJ46" s="211"/>
      <c r="AK46" s="211"/>
      <c r="AL46" s="219" t="str">
        <f>IF(ROUND(SUM(IS!AH46:AK46),1)=ROUND(IS!AL46,1),"OK","ERROR")</f>
        <v>OK</v>
      </c>
      <c r="AM46" s="235"/>
      <c r="AN46" s="211"/>
      <c r="AO46" s="211"/>
      <c r="AP46" s="211"/>
      <c r="AQ46" s="211"/>
      <c r="AR46" s="219" t="str">
        <f>IF(ROUND(SUM(IS!AN46:AQ46),1)=ROUND(IS!AR46,1),"OK","ERROR")</f>
        <v>OK</v>
      </c>
    </row>
    <row r="47" spans="1:44" ht="14.25" customHeight="1" thickBot="1">
      <c r="A47" s="73"/>
      <c r="B47" s="70" t="s">
        <v>575</v>
      </c>
      <c r="D47" s="207"/>
      <c r="E47" s="207"/>
      <c r="F47" s="207"/>
      <c r="G47" s="207"/>
      <c r="H47" s="236" t="str">
        <f>IF(ROUND(SUM(IS!D47:G47),1)=ROUND(IS!H47,1),"OK","ERROR")</f>
        <v>OK</v>
      </c>
      <c r="I47" s="209"/>
      <c r="J47" s="207"/>
      <c r="K47" s="207"/>
      <c r="L47" s="207"/>
      <c r="M47" s="207"/>
      <c r="N47" s="236" t="str">
        <f>IF(ROUND(SUM(IS!J47:M47),1)=ROUND(IS!N47,1),"OK","ERROR")</f>
        <v>ERROR</v>
      </c>
      <c r="O47" s="209"/>
      <c r="P47" s="207"/>
      <c r="Q47" s="207"/>
      <c r="R47" s="207"/>
      <c r="S47" s="207"/>
      <c r="T47" s="236" t="str">
        <f>IF(ROUND(SUM(IS!P47:S47),1)=ROUND(IS!T47,1),"OK","ERROR")</f>
        <v>ERROR</v>
      </c>
      <c r="U47" s="209"/>
      <c r="V47" s="207"/>
      <c r="W47" s="207"/>
      <c r="X47" s="207"/>
      <c r="Y47" s="207"/>
      <c r="Z47" s="236" t="str">
        <f>IF(ROUND(SUM(IS!V47:Y47),1)=ROUND(IS!Z47,1),"OK","ERROR")</f>
        <v>ERROR</v>
      </c>
      <c r="AA47" s="212"/>
      <c r="AB47" s="207"/>
      <c r="AC47" s="207"/>
      <c r="AD47" s="207"/>
      <c r="AE47" s="207"/>
      <c r="AF47" s="236" t="str">
        <f>IF(ROUND(SUM(IS!AB47:AE47),1)=ROUND(IS!AF47,1),"OK","ERROR")</f>
        <v>ERROR</v>
      </c>
      <c r="AG47" s="210"/>
      <c r="AH47" s="207"/>
      <c r="AI47" s="207"/>
      <c r="AJ47" s="211"/>
      <c r="AK47" s="211"/>
      <c r="AL47" s="236" t="str">
        <f>IF(ROUND(SUM(IS!AH47:AK47),1)=ROUND(IS!AL47,1),"OK","ERROR")</f>
        <v>ERROR</v>
      </c>
      <c r="AM47" s="235"/>
      <c r="AN47" s="211"/>
      <c r="AO47" s="211"/>
      <c r="AP47" s="211"/>
      <c r="AQ47" s="211"/>
      <c r="AR47" s="236" t="str">
        <f>IF(ROUND(SUM(IS!AN47:AQ47),1)=ROUND(IS!AR47,1),"OK","ERROR")</f>
        <v>OK</v>
      </c>
    </row>
    <row r="49" spans="1:50" ht="14.25" customHeight="1">
      <c r="A49" s="44" t="s">
        <v>39</v>
      </c>
      <c r="B49" s="65" t="s">
        <v>576</v>
      </c>
      <c r="D49" s="207"/>
      <c r="E49" s="207"/>
      <c r="F49" s="207"/>
      <c r="G49" s="207"/>
      <c r="H49" s="219"/>
      <c r="I49" s="209"/>
      <c r="J49" s="207"/>
      <c r="K49" s="207"/>
      <c r="L49" s="207"/>
      <c r="M49" s="207"/>
      <c r="N49" s="219"/>
      <c r="O49" s="209"/>
      <c r="P49" s="207"/>
      <c r="Q49" s="207"/>
      <c r="R49" s="207"/>
      <c r="S49" s="207"/>
      <c r="T49" s="219"/>
      <c r="U49" s="209"/>
      <c r="V49" s="207"/>
      <c r="W49" s="207"/>
      <c r="X49" s="207"/>
      <c r="Y49" s="207"/>
      <c r="Z49" s="219"/>
      <c r="AA49" s="209"/>
      <c r="AB49" s="207"/>
      <c r="AC49" s="207"/>
      <c r="AD49" s="207"/>
      <c r="AE49" s="207"/>
      <c r="AF49" s="219"/>
      <c r="AG49" s="237"/>
      <c r="AH49" s="207"/>
      <c r="AI49" s="207"/>
      <c r="AJ49" s="211"/>
      <c r="AK49" s="211"/>
      <c r="AL49" s="219"/>
      <c r="AM49" s="209"/>
      <c r="AN49" s="211"/>
      <c r="AO49" s="211"/>
      <c r="AP49" s="211"/>
      <c r="AQ49" s="211"/>
      <c r="AR49" s="219"/>
      <c r="AS49" s="209"/>
      <c r="AT49" s="219"/>
      <c r="AU49" s="238"/>
      <c r="AV49" s="219"/>
      <c r="AW49" s="238"/>
      <c r="AX49" s="219"/>
    </row>
    <row r="50" spans="1:50" ht="14.25" customHeight="1">
      <c r="A50" s="73"/>
      <c r="B50" s="70" t="s">
        <v>577</v>
      </c>
      <c r="D50" s="207"/>
      <c r="E50" s="207"/>
      <c r="F50" s="207"/>
      <c r="G50" s="207"/>
      <c r="H50" s="219" t="str">
        <f>IF(ROUND(SUM(IS!D50:G50),1)=ROUND(IS!H50,1),"OK","ERROR")</f>
        <v>OK</v>
      </c>
      <c r="I50" s="209"/>
      <c r="J50" s="207"/>
      <c r="K50" s="207"/>
      <c r="L50" s="207"/>
      <c r="M50" s="207"/>
      <c r="N50" s="219" t="str">
        <f>IF(ROUND(SUM(IS!J50:M50),1)=ROUND(IS!N50,1),"OK","ERROR")</f>
        <v>OK</v>
      </c>
      <c r="O50" s="209"/>
      <c r="P50" s="207"/>
      <c r="Q50" s="207"/>
      <c r="R50" s="207"/>
      <c r="S50" s="207"/>
      <c r="T50" s="219" t="str">
        <f>IF(ROUND(SUM(IS!P50:S50),1)=ROUND(IS!T50,1),"OK","ERROR")</f>
        <v>OK</v>
      </c>
      <c r="U50" s="209"/>
      <c r="V50" s="207"/>
      <c r="W50" s="207"/>
      <c r="X50" s="207"/>
      <c r="Y50" s="207"/>
      <c r="Z50" s="219" t="str">
        <f>IF(ROUND(SUM(IS!V50:Y50),1)=ROUND(IS!Z50,1),"OK","ERROR")</f>
        <v>OK</v>
      </c>
      <c r="AA50" s="227"/>
      <c r="AB50" s="207"/>
      <c r="AC50" s="207"/>
      <c r="AD50" s="207"/>
      <c r="AE50" s="207"/>
      <c r="AF50" s="219" t="str">
        <f>IF(ROUND(SUM(IS!AB50:AE50),1)=ROUND(IS!AF50,1),"OK","ERROR")</f>
        <v>OK</v>
      </c>
      <c r="AG50" s="228"/>
      <c r="AH50" s="207"/>
      <c r="AI50" s="207"/>
      <c r="AJ50" s="211"/>
      <c r="AK50" s="211"/>
      <c r="AL50" s="219" t="str">
        <f>IF(ROUND(SUM(IS!AH50:AK50),1)=ROUND(IS!AL50,1),"OK","ERROR")</f>
        <v>OK</v>
      </c>
      <c r="AM50" s="227"/>
      <c r="AN50" s="211"/>
      <c r="AO50" s="211"/>
      <c r="AP50" s="211"/>
      <c r="AQ50" s="211"/>
      <c r="AR50" s="219" t="str">
        <f>IF(ROUND(SUM(IS!AN50:AQ50),1)=ROUND(IS!AR50,1),"OK","ERROR")</f>
        <v>OK</v>
      </c>
      <c r="AS50" s="227"/>
      <c r="AT50" s="219"/>
      <c r="AU50" s="229"/>
      <c r="AV50" s="219"/>
      <c r="AW50" s="229"/>
      <c r="AX50" s="219"/>
    </row>
    <row r="51" spans="1:50" ht="14.25" customHeight="1">
      <c r="A51" s="55"/>
      <c r="B51" s="70" t="s">
        <v>578</v>
      </c>
      <c r="D51" s="207"/>
      <c r="E51" s="207"/>
      <c r="F51" s="207"/>
      <c r="G51" s="207"/>
      <c r="H51" s="225" t="str">
        <f>IF(ROUND(SUM(IS!D51:G51),1)=ROUND(IS!H51,1),"OK","ERROR")</f>
        <v>OK</v>
      </c>
      <c r="I51" s="209"/>
      <c r="J51" s="207"/>
      <c r="K51" s="207"/>
      <c r="L51" s="207"/>
      <c r="M51" s="207"/>
      <c r="N51" s="225" t="str">
        <f>IF(ROUND(SUM(IS!J51:M51),1)=ROUND(IS!N51,1),"OK","ERROR")</f>
        <v>ERROR</v>
      </c>
      <c r="O51" s="209"/>
      <c r="P51" s="207"/>
      <c r="Q51" s="207"/>
      <c r="R51" s="207"/>
      <c r="S51" s="207"/>
      <c r="T51" s="225" t="str">
        <f>IF(ROUND(SUM(IS!P51:S51),1)=ROUND(IS!T51,1),"OK","ERROR")</f>
        <v>OK</v>
      </c>
      <c r="U51" s="209"/>
      <c r="V51" s="207"/>
      <c r="W51" s="207"/>
      <c r="X51" s="207"/>
      <c r="Y51" s="207"/>
      <c r="Z51" s="225" t="str">
        <f>IF(ROUND(SUM(IS!V51:Y51),1)=ROUND(IS!Z51,1),"OK","ERROR")</f>
        <v>OK</v>
      </c>
      <c r="AA51" s="209"/>
      <c r="AB51" s="207"/>
      <c r="AC51" s="207"/>
      <c r="AD51" s="207"/>
      <c r="AE51" s="207"/>
      <c r="AF51" s="225" t="str">
        <f>IF(ROUND(SUM(IS!AB51:AE51),1)=ROUND(IS!AF51,1),"OK","ERROR")</f>
        <v>OK</v>
      </c>
      <c r="AG51" s="237"/>
      <c r="AH51" s="207"/>
      <c r="AI51" s="207"/>
      <c r="AJ51" s="211"/>
      <c r="AK51" s="211"/>
      <c r="AL51" s="225" t="str">
        <f>IF(ROUND(SUM(IS!AH51:AK51),1)=ROUND(IS!AL51,1),"OK","ERROR")</f>
        <v>ERROR</v>
      </c>
      <c r="AM51" s="209"/>
      <c r="AN51" s="211"/>
      <c r="AO51" s="211"/>
      <c r="AP51" s="211"/>
      <c r="AQ51" s="211"/>
      <c r="AR51" s="225" t="str">
        <f>IF(ROUND(SUM(IS!AN51:AQ51),1)=ROUND(IS!AR51,1),"OK","ERROR")</f>
        <v>OK</v>
      </c>
      <c r="AS51" s="209"/>
      <c r="AT51" s="225"/>
      <c r="AU51" s="238"/>
      <c r="AV51" s="225"/>
      <c r="AW51" s="238"/>
      <c r="AX51" s="225"/>
    </row>
    <row r="52" spans="1:50" ht="14.25" customHeight="1" thickBot="1">
      <c r="A52" s="73"/>
      <c r="B52" s="76" t="s">
        <v>579</v>
      </c>
      <c r="D52" s="207"/>
      <c r="E52" s="207"/>
      <c r="F52" s="207"/>
      <c r="G52" s="207"/>
      <c r="H52" s="236" t="str">
        <f>IF(ROUND(SUM(IS!D52:G52),1)=ROUND(IS!H52,1),"OK","ERROR")</f>
        <v>OK</v>
      </c>
      <c r="I52" s="209"/>
      <c r="J52" s="207"/>
      <c r="K52" s="207"/>
      <c r="L52" s="207"/>
      <c r="M52" s="207"/>
      <c r="N52" s="236" t="str">
        <f>IF(ROUND(SUM(IS!J52:M52),1)=ROUND(IS!N52,1),"OK","ERROR")</f>
        <v>ERROR</v>
      </c>
      <c r="O52" s="209"/>
      <c r="P52" s="207"/>
      <c r="Q52" s="207"/>
      <c r="R52" s="207"/>
      <c r="S52" s="207"/>
      <c r="T52" s="236" t="str">
        <f>IF(ROUND(SUM(IS!P52:S52),1)=ROUND(IS!T52,1),"OK","ERROR")</f>
        <v>ERROR</v>
      </c>
      <c r="U52" s="209"/>
      <c r="V52" s="207"/>
      <c r="W52" s="207"/>
      <c r="X52" s="207"/>
      <c r="Y52" s="207"/>
      <c r="Z52" s="236" t="str">
        <f>IF(ROUND(SUM(IS!V52:Y52),1)=ROUND(IS!Z52,1),"OK","ERROR")</f>
        <v>ERROR</v>
      </c>
      <c r="AA52" s="209"/>
      <c r="AB52" s="207"/>
      <c r="AC52" s="207"/>
      <c r="AD52" s="207"/>
      <c r="AE52" s="207"/>
      <c r="AF52" s="236" t="str">
        <f>IF(ROUND(SUM(IS!AB52:AE52),1)=ROUND(IS!AF52,1),"OK","ERROR")</f>
        <v>ERROR</v>
      </c>
      <c r="AG52" s="237"/>
      <c r="AH52" s="207"/>
      <c r="AI52" s="207"/>
      <c r="AJ52" s="211"/>
      <c r="AK52" s="211"/>
      <c r="AL52" s="236" t="str">
        <f>IF(ROUND(SUM(IS!AH52:AK52),1)=ROUND(IS!AL52,1),"OK","ERROR")</f>
        <v>ERROR</v>
      </c>
      <c r="AM52" s="209"/>
      <c r="AN52" s="211"/>
      <c r="AO52" s="211"/>
      <c r="AP52" s="211"/>
      <c r="AQ52" s="211"/>
      <c r="AR52" s="236" t="str">
        <f>IF(ROUND(SUM(IS!AN52:AQ52),1)=ROUND(IS!AR52,1),"OK","ERROR")</f>
        <v>OK</v>
      </c>
      <c r="AS52" s="209"/>
      <c r="AT52" s="236"/>
      <c r="AU52" s="238"/>
      <c r="AV52" s="236"/>
      <c r="AW52" s="238"/>
      <c r="AX52" s="236"/>
    </row>
    <row r="53" spans="1:50" ht="14.25" customHeight="1" thickTop="1">
      <c r="A53" s="55"/>
      <c r="B53" s="206"/>
      <c r="D53" s="207"/>
      <c r="E53" s="207"/>
      <c r="F53" s="207"/>
      <c r="G53" s="207"/>
      <c r="H53" s="219"/>
      <c r="I53" s="209"/>
      <c r="J53" s="207"/>
      <c r="K53" s="207"/>
      <c r="L53" s="207"/>
      <c r="M53" s="207"/>
      <c r="N53" s="219"/>
      <c r="O53" s="209"/>
      <c r="P53" s="207"/>
      <c r="Q53" s="207"/>
      <c r="R53" s="207"/>
      <c r="S53" s="207"/>
      <c r="T53" s="219"/>
      <c r="U53" s="209"/>
      <c r="V53" s="207"/>
      <c r="W53" s="207"/>
      <c r="X53" s="207"/>
      <c r="Y53" s="207"/>
      <c r="Z53" s="219"/>
      <c r="AA53" s="209"/>
      <c r="AB53" s="207"/>
      <c r="AC53" s="207"/>
      <c r="AD53" s="207"/>
      <c r="AE53" s="207"/>
      <c r="AF53" s="219"/>
      <c r="AG53" s="237"/>
      <c r="AH53" s="207"/>
      <c r="AI53" s="207"/>
      <c r="AJ53" s="211"/>
      <c r="AK53" s="211"/>
      <c r="AL53" s="219"/>
      <c r="AM53" s="209"/>
      <c r="AN53" s="211"/>
      <c r="AO53" s="211"/>
      <c r="AP53" s="211"/>
      <c r="AQ53" s="211"/>
      <c r="AR53" s="219"/>
      <c r="AS53" s="209"/>
      <c r="AT53" s="219"/>
      <c r="AU53" s="238"/>
      <c r="AV53" s="219"/>
      <c r="AW53" s="238"/>
      <c r="AX53" s="219"/>
    </row>
    <row r="54" spans="1:50" ht="14.25" customHeight="1">
      <c r="A54" s="44" t="s">
        <v>39</v>
      </c>
      <c r="B54" s="65" t="s">
        <v>580</v>
      </c>
      <c r="D54" s="207"/>
      <c r="E54" s="207"/>
      <c r="F54" s="207"/>
      <c r="G54" s="207"/>
      <c r="H54" s="219"/>
      <c r="I54" s="209"/>
      <c r="J54" s="207"/>
      <c r="K54" s="207"/>
      <c r="L54" s="207"/>
      <c r="M54" s="207"/>
      <c r="N54" s="219"/>
      <c r="O54" s="209"/>
      <c r="P54" s="207"/>
      <c r="Q54" s="207"/>
      <c r="R54" s="207"/>
      <c r="S54" s="207"/>
      <c r="T54" s="219"/>
      <c r="U54" s="209"/>
      <c r="V54" s="207"/>
      <c r="W54" s="207"/>
      <c r="X54" s="207"/>
      <c r="Y54" s="207"/>
      <c r="Z54" s="219"/>
      <c r="AA54" s="209"/>
      <c r="AB54" s="207"/>
      <c r="AC54" s="207"/>
      <c r="AD54" s="207"/>
      <c r="AE54" s="207"/>
      <c r="AF54" s="219"/>
      <c r="AG54" s="237"/>
      <c r="AH54" s="207"/>
      <c r="AI54" s="207"/>
      <c r="AJ54" s="211"/>
      <c r="AK54" s="211"/>
      <c r="AL54" s="219"/>
      <c r="AM54" s="209"/>
      <c r="AN54" s="211"/>
      <c r="AO54" s="211"/>
      <c r="AP54" s="211"/>
      <c r="AQ54" s="211"/>
      <c r="AR54" s="219"/>
      <c r="AS54" s="209"/>
      <c r="AT54" s="219"/>
      <c r="AU54" s="238"/>
      <c r="AV54" s="219"/>
      <c r="AW54" s="238"/>
      <c r="AX54" s="219"/>
    </row>
    <row r="55" spans="1:50" ht="14.25" customHeight="1">
      <c r="A55" s="55"/>
      <c r="B55" s="76" t="s">
        <v>581</v>
      </c>
      <c r="D55" s="239"/>
      <c r="E55" s="239"/>
      <c r="F55" s="239"/>
      <c r="G55" s="239"/>
      <c r="H55" s="240" t="str">
        <f>IF(ROUND(AVERAGE(IS!D55:G55),0)-ROUND(IS!H55,0)&lt;0.01*ROUND(IS!H55,0),"OK","ERROR")</f>
        <v>ERROR</v>
      </c>
      <c r="I55" s="241"/>
      <c r="J55" s="239"/>
      <c r="K55" s="239"/>
      <c r="L55" s="239"/>
      <c r="M55" s="239"/>
      <c r="N55" s="240" t="str">
        <f>IF(ROUND(AVERAGE(IS!J55:M55),0)-ROUND(IS!N55,0)&lt;0.01*ROUND(IS!N55,0),"OK","ERROR")</f>
        <v>OK</v>
      </c>
      <c r="O55" s="241"/>
      <c r="P55" s="239"/>
      <c r="Q55" s="239"/>
      <c r="R55" s="239"/>
      <c r="S55" s="239"/>
      <c r="T55" s="240" t="str">
        <f>IF(ROUND(AVERAGE(IS!P55:S55),0)-ROUND(IS!T55,0)&lt;0.01*ROUND(IS!T55,0),"OK","ERROR")</f>
        <v>OK</v>
      </c>
      <c r="U55" s="241"/>
      <c r="V55" s="239"/>
      <c r="W55" s="239"/>
      <c r="X55" s="239"/>
      <c r="Y55" s="239"/>
      <c r="Z55" s="240" t="str">
        <f>IF(ROUND(AVERAGE(IS!V55:Y55),0)-ROUND(IS!Z55,0)&lt;0.01*ROUND(IS!Z55,0),"OK","ERROR")</f>
        <v>ERROR</v>
      </c>
      <c r="AA55" s="241"/>
      <c r="AB55" s="239"/>
      <c r="AC55" s="239"/>
      <c r="AD55" s="239"/>
      <c r="AE55" s="239"/>
      <c r="AF55" s="240" t="str">
        <f>IF(ROUND(AVERAGE(IS!AB55:AE55),0)-ROUND(IS!AF55,0)&lt;0.01*ROUND(IS!AF55,0),"OK","ERROR")</f>
        <v>ERROR</v>
      </c>
      <c r="AG55" s="242"/>
      <c r="AH55" s="239"/>
      <c r="AI55" s="239"/>
      <c r="AJ55" s="243"/>
      <c r="AK55" s="243"/>
      <c r="AL55" s="240" t="str">
        <f>IF(ROUND(AVERAGE(IS!AH55:AK55),0)-ROUND(IS!AL55,0)&lt;0.01*ROUND(IS!AL55,0),"OK","ERROR")</f>
        <v>ERROR</v>
      </c>
      <c r="AM55" s="241"/>
      <c r="AN55" s="243"/>
      <c r="AO55" s="243"/>
      <c r="AP55" s="243"/>
      <c r="AQ55" s="243"/>
      <c r="AR55" s="240" t="e">
        <f>IF(ROUND(AVERAGE(IS!AN55:AQ55),0)-ROUND(IS!AR55,0)&lt;0.01*ROUND(IS!AR55,0),"OK","ERROR")</f>
        <v>#DIV/0!</v>
      </c>
      <c r="AS55" s="241"/>
      <c r="AT55" s="240"/>
      <c r="AU55" s="244"/>
      <c r="AV55" s="240"/>
      <c r="AW55" s="244"/>
      <c r="AX55" s="240"/>
    </row>
    <row r="56" spans="1:50" ht="14.25" customHeight="1">
      <c r="A56" s="73"/>
      <c r="B56" s="76" t="s">
        <v>582</v>
      </c>
      <c r="D56" s="239"/>
      <c r="E56" s="239"/>
      <c r="F56" s="239"/>
      <c r="G56" s="239"/>
      <c r="H56" s="240" t="str">
        <f>IF(ROUND(AVERAGE(IS!D56:G56),0)-ROUND(IS!H56,0)&lt;0.01*ROUND(IS!H56,0),"OK","ERROR")</f>
        <v>ERROR</v>
      </c>
      <c r="I56" s="241"/>
      <c r="J56" s="239"/>
      <c r="K56" s="239"/>
      <c r="L56" s="239"/>
      <c r="M56" s="239"/>
      <c r="N56" s="240" t="str">
        <f>IF(ROUND(AVERAGE(IS!J56:M56),0)-ROUND(IS!N56,0)&lt;0.01*ROUND(IS!N56,0),"OK","ERROR")</f>
        <v>OK</v>
      </c>
      <c r="O56" s="241"/>
      <c r="P56" s="239"/>
      <c r="Q56" s="239"/>
      <c r="R56" s="239"/>
      <c r="S56" s="239"/>
      <c r="T56" s="240" t="str">
        <f>IF(ROUND(AVERAGE(IS!P56:S56),0)-ROUND(IS!T56,0)&lt;0.01*ROUND(IS!T56,0),"OK","ERROR")</f>
        <v>ERROR</v>
      </c>
      <c r="U56" s="241"/>
      <c r="V56" s="239"/>
      <c r="W56" s="239"/>
      <c r="X56" s="239"/>
      <c r="Y56" s="239"/>
      <c r="Z56" s="240" t="str">
        <f>IF(ROUND(AVERAGE(IS!V56:Y56),0)-ROUND(IS!Z56,0)&lt;0.01*ROUND(IS!Z56,0),"OK","ERROR")</f>
        <v>ERROR</v>
      </c>
      <c r="AA56" s="241"/>
      <c r="AB56" s="239"/>
      <c r="AC56" s="239"/>
      <c r="AD56" s="239"/>
      <c r="AE56" s="239"/>
      <c r="AF56" s="240" t="str">
        <f>IF(ROUND(AVERAGE(IS!AB56:AE56),0)-ROUND(IS!AF56,0)&lt;0.01*ROUND(IS!AF56,0),"OK","ERROR")</f>
        <v>ERROR</v>
      </c>
      <c r="AG56" s="242"/>
      <c r="AH56" s="239"/>
      <c r="AI56" s="239"/>
      <c r="AJ56" s="243"/>
      <c r="AK56" s="243"/>
      <c r="AL56" s="240" t="str">
        <f>IF(ROUND(AVERAGE(IS!AH56:AK56),0)-ROUND(IS!AL56,0)&lt;0.01*ROUND(IS!AL56,0),"OK","ERROR")</f>
        <v>ERROR</v>
      </c>
      <c r="AM56" s="241"/>
      <c r="AN56" s="243"/>
      <c r="AO56" s="243"/>
      <c r="AP56" s="243"/>
      <c r="AQ56" s="243"/>
      <c r="AR56" s="240" t="e">
        <f>IF(ROUND(AVERAGE(IS!AN56:AQ56),0)-ROUND(IS!AR56,0)&lt;0.01*ROUND(IS!AR56,0),"OK","ERROR")</f>
        <v>#DIV/0!</v>
      </c>
      <c r="AS56" s="241"/>
      <c r="AT56" s="240"/>
      <c r="AU56" s="244"/>
      <c r="AV56" s="240"/>
      <c r="AW56" s="244"/>
      <c r="AX56" s="240"/>
    </row>
    <row r="57" spans="1:50" ht="14.25" customHeight="1">
      <c r="A57" s="55"/>
      <c r="B57" s="206"/>
      <c r="D57" s="207"/>
      <c r="E57" s="207"/>
      <c r="F57" s="207"/>
      <c r="G57" s="207"/>
      <c r="H57" s="219"/>
      <c r="I57" s="209"/>
      <c r="J57" s="207"/>
      <c r="K57" s="207"/>
      <c r="L57" s="207"/>
      <c r="M57" s="207"/>
      <c r="N57" s="219"/>
      <c r="O57" s="209"/>
      <c r="P57" s="207"/>
      <c r="Q57" s="207"/>
      <c r="R57" s="207"/>
      <c r="S57" s="207"/>
      <c r="T57" s="219"/>
      <c r="U57" s="209"/>
      <c r="V57" s="207"/>
      <c r="W57" s="207"/>
      <c r="X57" s="207"/>
      <c r="Y57" s="207"/>
      <c r="Z57" s="219"/>
      <c r="AA57" s="209"/>
      <c r="AB57" s="207"/>
      <c r="AC57" s="207"/>
      <c r="AD57" s="207"/>
      <c r="AE57" s="207"/>
      <c r="AF57" s="219"/>
      <c r="AG57" s="237"/>
      <c r="AH57" s="207"/>
      <c r="AI57" s="207"/>
      <c r="AJ57" s="211"/>
      <c r="AK57" s="211"/>
      <c r="AL57" s="219"/>
      <c r="AM57" s="209"/>
      <c r="AN57" s="211"/>
      <c r="AO57" s="211"/>
      <c r="AP57" s="211"/>
      <c r="AQ57" s="211"/>
      <c r="AR57" s="219"/>
      <c r="AS57" s="209"/>
      <c r="AT57" s="219"/>
      <c r="AU57" s="238"/>
      <c r="AV57" s="219"/>
      <c r="AW57" s="238"/>
      <c r="AX57" s="219"/>
    </row>
    <row r="58" spans="1:50" ht="14.25" customHeight="1">
      <c r="A58" s="44" t="s">
        <v>39</v>
      </c>
      <c r="B58" s="65" t="s">
        <v>583</v>
      </c>
      <c r="D58" s="207"/>
      <c r="E58" s="207"/>
      <c r="F58" s="207"/>
      <c r="G58" s="207"/>
      <c r="H58" s="219"/>
      <c r="I58" s="209"/>
      <c r="J58" s="207"/>
      <c r="K58" s="207"/>
      <c r="L58" s="207"/>
      <c r="M58" s="207"/>
      <c r="N58" s="219"/>
      <c r="O58" s="209"/>
      <c r="P58" s="207"/>
      <c r="Q58" s="207"/>
      <c r="R58" s="207"/>
      <c r="S58" s="207"/>
      <c r="T58" s="219"/>
      <c r="U58" s="209"/>
      <c r="V58" s="207"/>
      <c r="W58" s="207"/>
      <c r="X58" s="207"/>
      <c r="Y58" s="207"/>
      <c r="Z58" s="219"/>
      <c r="AA58" s="209"/>
      <c r="AB58" s="207"/>
      <c r="AC58" s="207"/>
      <c r="AD58" s="207"/>
      <c r="AE58" s="207"/>
      <c r="AF58" s="219"/>
      <c r="AG58" s="237"/>
      <c r="AH58" s="207"/>
      <c r="AI58" s="207"/>
      <c r="AJ58" s="211"/>
      <c r="AK58" s="211"/>
      <c r="AL58" s="219"/>
      <c r="AM58" s="209"/>
      <c r="AN58" s="211"/>
      <c r="AO58" s="211"/>
      <c r="AP58" s="211"/>
      <c r="AQ58" s="211"/>
      <c r="AR58" s="219"/>
      <c r="AS58" s="209"/>
      <c r="AT58" s="219"/>
      <c r="AU58" s="238"/>
      <c r="AV58" s="219"/>
      <c r="AW58" s="238"/>
      <c r="AX58" s="219"/>
    </row>
    <row r="59" spans="1:50" ht="14.25" customHeight="1">
      <c r="B59" s="70" t="s">
        <v>584</v>
      </c>
      <c r="D59" s="207"/>
      <c r="E59" s="207"/>
      <c r="F59" s="207"/>
      <c r="G59" s="207"/>
      <c r="H59" s="219" t="str">
        <f>IF(ROUND(AVERAGE(IS!D59:G59),0)-ROUND(IS!H59,0)&lt;0.01*ROUND(IS!H59,0),"OK","ERROR")</f>
        <v>ERROR</v>
      </c>
      <c r="I59" s="209"/>
      <c r="J59" s="207"/>
      <c r="K59" s="207"/>
      <c r="L59" s="207"/>
      <c r="M59" s="207"/>
      <c r="N59" s="219" t="str">
        <f>IF(ROUND(AVERAGE(IS!J59:M59),0)-ROUND(IS!N59,0)&lt;0.01*ROUND(IS!N59,0),"OK","ERROR")</f>
        <v>OK</v>
      </c>
      <c r="O59" s="209"/>
      <c r="P59" s="207"/>
      <c r="Q59" s="207"/>
      <c r="R59" s="207"/>
      <c r="S59" s="207"/>
      <c r="T59" s="219" t="str">
        <f>IF(ROUND(AVERAGE(IS!P59:S59),0)-ROUND(IS!T59,0)&lt;0.01*ROUND(IS!T59,0),"OK","ERROR")</f>
        <v>OK</v>
      </c>
      <c r="U59" s="209"/>
      <c r="V59" s="207"/>
      <c r="W59" s="207"/>
      <c r="X59" s="207"/>
      <c r="Y59" s="207"/>
      <c r="Z59" s="219" t="str">
        <f>IF(ROUND(AVERAGE(IS!V59:Y59),0)-ROUND(IS!Z59,0)&lt;0.01*ROUND(IS!Z59,0),"OK","ERROR")</f>
        <v>OK</v>
      </c>
      <c r="AA59" s="209"/>
      <c r="AB59" s="207"/>
      <c r="AC59" s="207"/>
      <c r="AD59" s="207"/>
      <c r="AE59" s="207"/>
      <c r="AF59" s="219" t="str">
        <f>IF(ROUND(AVERAGE(IS!AB59:AE59),0)-ROUND(IS!AF59,0)&lt;0.01*ROUND(IS!AF59,0),"OK","ERROR")</f>
        <v>OK</v>
      </c>
      <c r="AG59" s="237"/>
      <c r="AH59" s="207"/>
      <c r="AI59" s="207"/>
      <c r="AJ59" s="211"/>
      <c r="AK59" s="211"/>
      <c r="AL59" s="219" t="e">
        <f>IF(ROUND(AVERAGE(IS!AH59:AK59),0)-ROUND(IS!AL59,0)&lt;0.01*ROUND(IS!AL59,0),"OK","ERROR")</f>
        <v>#DIV/0!</v>
      </c>
      <c r="AM59" s="209"/>
      <c r="AN59" s="211"/>
      <c r="AO59" s="211"/>
      <c r="AP59" s="211"/>
      <c r="AQ59" s="211"/>
      <c r="AR59" s="219" t="e">
        <f>IF(ROUND(AVERAGE(IS!AN59:AQ59),0)-ROUND(IS!AR59,0)&lt;0.01*ROUND(IS!AR59,0),"OK","ERROR")</f>
        <v>#DIV/0!</v>
      </c>
      <c r="AS59" s="209"/>
      <c r="AT59" s="219"/>
      <c r="AU59" s="238"/>
      <c r="AV59" s="219"/>
      <c r="AW59" s="238"/>
      <c r="AX59" s="219"/>
    </row>
    <row r="60" spans="1:50" ht="14.25" customHeight="1">
      <c r="B60" s="70" t="s">
        <v>585</v>
      </c>
      <c r="D60" s="207"/>
      <c r="E60" s="207"/>
      <c r="F60" s="207"/>
      <c r="G60" s="207"/>
      <c r="H60" s="219" t="str">
        <f>IF(ROUND(AVERAGE(IS!D60:G60),0)-ROUND(IS!H60,0)&lt;0.01*ROUND(IS!H60,0),"OK","ERROR")</f>
        <v>ERROR</v>
      </c>
      <c r="I60" s="209"/>
      <c r="J60" s="207"/>
      <c r="K60" s="207"/>
      <c r="L60" s="207"/>
      <c r="M60" s="207"/>
      <c r="N60" s="219" t="str">
        <f>IF(ROUND(AVERAGE(IS!J60:M60),0)-ROUND(IS!N60,0)&lt;0.01*ROUND(IS!N60,0),"OK","ERROR")</f>
        <v>OK</v>
      </c>
      <c r="O60" s="209"/>
      <c r="P60" s="207"/>
      <c r="Q60" s="207"/>
      <c r="R60" s="207"/>
      <c r="S60" s="207"/>
      <c r="T60" s="219" t="str">
        <f>IF(ROUND(AVERAGE(IS!P60:S60),0)-ROUND(IS!T60,0)&lt;0.01*ROUND(IS!T60,0),"OK","ERROR")</f>
        <v>OK</v>
      </c>
      <c r="U60" s="209"/>
      <c r="V60" s="207"/>
      <c r="W60" s="207"/>
      <c r="X60" s="207"/>
      <c r="Y60" s="207"/>
      <c r="Z60" s="219" t="str">
        <f>IF(ROUND(AVERAGE(IS!V60:Y60),0)-ROUND(IS!Z60,0)&lt;0.01*ROUND(IS!Z60,0),"OK","ERROR")</f>
        <v>ERROR</v>
      </c>
      <c r="AA60" s="209"/>
      <c r="AB60" s="207"/>
      <c r="AC60" s="207"/>
      <c r="AD60" s="207"/>
      <c r="AE60" s="207"/>
      <c r="AF60" s="219" t="str">
        <f>IF(ROUND(AVERAGE(IS!AB60:AE60),0)-ROUND(IS!AF60,0)&lt;0.01*ROUND(IS!AF60,0),"OK","ERROR")</f>
        <v>ERROR</v>
      </c>
      <c r="AG60" s="237"/>
      <c r="AH60" s="207"/>
      <c r="AI60" s="207"/>
      <c r="AJ60" s="211"/>
      <c r="AK60" s="211"/>
      <c r="AL60" s="219" t="str">
        <f>IF(ROUND(AVERAGE(IS!AH60:AK60),0)-ROUND(IS!AL60,0)&lt;0.01*ROUND(IS!AL60,0),"OK","ERROR")</f>
        <v>OK</v>
      </c>
      <c r="AM60" s="209"/>
      <c r="AN60" s="211"/>
      <c r="AO60" s="211"/>
      <c r="AP60" s="211"/>
      <c r="AQ60" s="211"/>
      <c r="AR60" s="219" t="str">
        <f>IF(ROUND(AVERAGE(IS!AN60:AQ60),0)-ROUND(IS!AR60,0)&lt;0.01*ROUND(IS!AR60,0),"OK","ERROR")</f>
        <v>OK</v>
      </c>
      <c r="AS60" s="209"/>
      <c r="AT60" s="219"/>
      <c r="AU60" s="238"/>
      <c r="AV60" s="219"/>
      <c r="AW60" s="238"/>
      <c r="AX60" s="219"/>
    </row>
    <row r="62" spans="1:50" s="41" customFormat="1" ht="15" customHeight="1">
      <c r="B62" s="161" t="s">
        <v>659</v>
      </c>
      <c r="C62" s="18"/>
      <c r="D62" s="201">
        <f>F62</f>
        <v>2020</v>
      </c>
      <c r="E62" s="201">
        <f>F62</f>
        <v>2020</v>
      </c>
      <c r="F62" s="201">
        <v>2020</v>
      </c>
      <c r="G62" s="201">
        <f>F62</f>
        <v>2020</v>
      </c>
      <c r="H62" s="201">
        <f>F62</f>
        <v>2020</v>
      </c>
      <c r="I62" s="18"/>
      <c r="J62" s="201">
        <f>L62</f>
        <v>2021</v>
      </c>
      <c r="K62" s="201">
        <f>L62</f>
        <v>2021</v>
      </c>
      <c r="L62" s="201">
        <v>2021</v>
      </c>
      <c r="M62" s="201">
        <f>L62</f>
        <v>2021</v>
      </c>
      <c r="N62" s="201">
        <f>L62</f>
        <v>2021</v>
      </c>
      <c r="O62" s="169"/>
      <c r="P62" s="201">
        <f>R62</f>
        <v>2022</v>
      </c>
      <c r="Q62" s="201">
        <f>R62</f>
        <v>2022</v>
      </c>
      <c r="R62" s="201">
        <v>2022</v>
      </c>
      <c r="S62" s="201">
        <f>R62</f>
        <v>2022</v>
      </c>
      <c r="T62" s="201">
        <f>R62</f>
        <v>2022</v>
      </c>
      <c r="U62" s="169"/>
      <c r="V62" s="201">
        <f>X62</f>
        <v>2023</v>
      </c>
      <c r="W62" s="201">
        <f>X62</f>
        <v>2023</v>
      </c>
      <c r="X62" s="201">
        <v>2023</v>
      </c>
      <c r="Y62" s="201">
        <f>X62</f>
        <v>2023</v>
      </c>
      <c r="Z62" s="201">
        <f>X62</f>
        <v>2023</v>
      </c>
      <c r="AA62" s="170"/>
      <c r="AB62" s="201">
        <f>AD62</f>
        <v>2024</v>
      </c>
      <c r="AC62" s="201">
        <f>AD62</f>
        <v>2024</v>
      </c>
      <c r="AD62" s="201">
        <v>2024</v>
      </c>
      <c r="AE62" s="201">
        <f>AD62</f>
        <v>2024</v>
      </c>
      <c r="AF62" s="201">
        <f>AD62</f>
        <v>2024</v>
      </c>
      <c r="AG62" s="170"/>
      <c r="AH62" s="201">
        <f>AJ62</f>
        <v>2025</v>
      </c>
      <c r="AI62" s="201">
        <f>AJ62</f>
        <v>2025</v>
      </c>
      <c r="AJ62" s="202">
        <v>2025</v>
      </c>
      <c r="AK62" s="201">
        <f>AJ62</f>
        <v>2025</v>
      </c>
      <c r="AL62" s="201">
        <f>AJ62</f>
        <v>2025</v>
      </c>
      <c r="AM62" s="171"/>
      <c r="AN62" s="201">
        <f>AP62</f>
        <v>2025</v>
      </c>
      <c r="AO62" s="201">
        <f>AP62</f>
        <v>2025</v>
      </c>
      <c r="AP62" s="202">
        <v>2025</v>
      </c>
      <c r="AQ62" s="201">
        <f>AP62</f>
        <v>2025</v>
      </c>
      <c r="AR62" s="201">
        <f>AP62</f>
        <v>2025</v>
      </c>
      <c r="AS62" s="18"/>
      <c r="AT62" s="162"/>
      <c r="AU62" s="18"/>
      <c r="AV62" s="163"/>
      <c r="AW62" s="18"/>
      <c r="AX62" s="163"/>
    </row>
    <row r="63" spans="1:50" s="41" customFormat="1" ht="15" customHeight="1">
      <c r="B63" s="164"/>
      <c r="C63" s="18"/>
      <c r="D63" s="822">
        <v>2020</v>
      </c>
      <c r="E63" s="822"/>
      <c r="F63" s="822"/>
      <c r="G63" s="822"/>
      <c r="H63" s="822"/>
      <c r="I63" s="169"/>
      <c r="J63" s="822">
        <f>D63+1</f>
        <v>2021</v>
      </c>
      <c r="K63" s="822"/>
      <c r="L63" s="822"/>
      <c r="M63" s="822"/>
      <c r="N63" s="822"/>
      <c r="O63" s="169"/>
      <c r="P63" s="822">
        <f>J63+1</f>
        <v>2022</v>
      </c>
      <c r="Q63" s="822"/>
      <c r="R63" s="822"/>
      <c r="S63" s="822"/>
      <c r="T63" s="822"/>
      <c r="U63" s="169"/>
      <c r="V63" s="822">
        <f>P63+1</f>
        <v>2023</v>
      </c>
      <c r="W63" s="822"/>
      <c r="X63" s="822"/>
      <c r="Y63" s="822"/>
      <c r="Z63" s="822"/>
      <c r="AA63" s="169"/>
      <c r="AB63" s="822">
        <f>V63+1</f>
        <v>2024</v>
      </c>
      <c r="AC63" s="822"/>
      <c r="AD63" s="822"/>
      <c r="AE63" s="822"/>
      <c r="AF63" s="822"/>
      <c r="AG63" s="169"/>
      <c r="AH63" s="821">
        <f>AB63+1</f>
        <v>2025</v>
      </c>
      <c r="AI63" s="821"/>
      <c r="AJ63" s="821"/>
      <c r="AK63" s="821"/>
      <c r="AL63" s="821"/>
      <c r="AM63" s="169"/>
      <c r="AN63" s="821">
        <f>AH63+1</f>
        <v>2026</v>
      </c>
      <c r="AO63" s="821"/>
      <c r="AP63" s="821"/>
      <c r="AQ63" s="821"/>
      <c r="AR63" s="821"/>
      <c r="AS63" s="171"/>
      <c r="AT63" s="166">
        <f>AN63+1</f>
        <v>2027</v>
      </c>
      <c r="AU63" s="167"/>
      <c r="AV63" s="166">
        <f>+AT63+1</f>
        <v>2028</v>
      </c>
      <c r="AW63" s="167"/>
      <c r="AX63" s="166">
        <f>+AV63+1</f>
        <v>2029</v>
      </c>
    </row>
    <row r="64" spans="1:50" s="41" customFormat="1" ht="14.25" customHeight="1">
      <c r="B64" s="164"/>
      <c r="C64" s="18"/>
      <c r="D64" s="168" t="s">
        <v>173</v>
      </c>
      <c r="E64" s="168" t="s">
        <v>174</v>
      </c>
      <c r="F64" s="168" t="s">
        <v>175</v>
      </c>
      <c r="G64" s="168" t="s">
        <v>176</v>
      </c>
      <c r="H64" s="168" t="s">
        <v>177</v>
      </c>
      <c r="I64" s="18"/>
      <c r="J64" s="168" t="s">
        <v>173</v>
      </c>
      <c r="K64" s="168" t="s">
        <v>174</v>
      </c>
      <c r="L64" s="168" t="s">
        <v>175</v>
      </c>
      <c r="M64" s="168" t="s">
        <v>176</v>
      </c>
      <c r="N64" s="168" t="s">
        <v>177</v>
      </c>
      <c r="O64" s="165"/>
      <c r="P64" s="168" t="s">
        <v>173</v>
      </c>
      <c r="Q64" s="168" t="s">
        <v>174</v>
      </c>
      <c r="R64" s="168" t="s">
        <v>175</v>
      </c>
      <c r="S64" s="168" t="s">
        <v>176</v>
      </c>
      <c r="T64" s="168" t="s">
        <v>177</v>
      </c>
      <c r="U64" s="165"/>
      <c r="V64" s="168" t="s">
        <v>173</v>
      </c>
      <c r="W64" s="168" t="s">
        <v>174</v>
      </c>
      <c r="X64" s="168" t="s">
        <v>175</v>
      </c>
      <c r="Y64" s="168" t="s">
        <v>176</v>
      </c>
      <c r="Z64" s="168" t="s">
        <v>177</v>
      </c>
      <c r="AA64" s="165"/>
      <c r="AB64" s="168" t="s">
        <v>173</v>
      </c>
      <c r="AC64" s="168" t="s">
        <v>174</v>
      </c>
      <c r="AD64" s="168" t="s">
        <v>175</v>
      </c>
      <c r="AE64" s="168" t="s">
        <v>176</v>
      </c>
      <c r="AF64" s="168" t="s">
        <v>177</v>
      </c>
      <c r="AG64" s="165"/>
      <c r="AH64" s="168" t="s">
        <v>173</v>
      </c>
      <c r="AI64" s="168" t="s">
        <v>174</v>
      </c>
      <c r="AJ64" s="168" t="s">
        <v>175</v>
      </c>
      <c r="AK64" s="168" t="s">
        <v>176</v>
      </c>
      <c r="AL64" s="168" t="s">
        <v>177</v>
      </c>
      <c r="AM64" s="165"/>
      <c r="AN64" s="168" t="s">
        <v>173</v>
      </c>
      <c r="AO64" s="168" t="s">
        <v>174</v>
      </c>
      <c r="AP64" s="168" t="s">
        <v>175</v>
      </c>
      <c r="AQ64" s="168" t="s">
        <v>176</v>
      </c>
      <c r="AR64" s="168" t="s">
        <v>177</v>
      </c>
      <c r="AS64" s="165"/>
      <c r="AT64" s="168" t="s">
        <v>177</v>
      </c>
      <c r="AU64" s="165"/>
      <c r="AV64" s="168" t="s">
        <v>177</v>
      </c>
      <c r="AW64" s="165"/>
      <c r="AX64" s="168" t="s">
        <v>177</v>
      </c>
    </row>
    <row r="67" spans="1:50" ht="14.25" customHeight="1">
      <c r="A67" s="44" t="s">
        <v>39</v>
      </c>
      <c r="B67" s="65" t="s">
        <v>548</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180</v>
      </c>
      <c r="D68" s="216" t="str">
        <f>IF(ROUND(SUM(IS!D13:D17),0)=IS!D18,"OK","ERROR")</f>
        <v>OK</v>
      </c>
      <c r="E68" s="216" t="str">
        <f>IF(ROUND(SUM(IS!E13:E17),0)=IS!E18,"OK","ERROR")</f>
        <v>OK</v>
      </c>
      <c r="F68" s="216" t="str">
        <f>IF(ROUND(SUM(IS!F13:F17),0)=IS!F18,"OK","ERROR")</f>
        <v>OK</v>
      </c>
      <c r="G68" s="216" t="str">
        <f>IF(ROUND(SUM(IS!G13:G17),0)=IS!G18,"OK","ERROR")</f>
        <v>OK</v>
      </c>
      <c r="H68" s="217" t="str">
        <f>IF(ROUND(SUM(IS!H13:H17),0)=IS!H18,"OK","ERROR")</f>
        <v>OK</v>
      </c>
      <c r="I68" s="209"/>
      <c r="J68" s="216" t="str">
        <f>IF(ROUND(SUM(IS!J13:J17),0)=IS!J18,"OK","ERROR")</f>
        <v>OK</v>
      </c>
      <c r="K68" s="216" t="str">
        <f>IF(ROUND(SUM(IS!K13:K17),0)=IS!K18,"OK","ERROR")</f>
        <v>OK</v>
      </c>
      <c r="L68" s="216" t="str">
        <f>IF(ROUND(SUM(IS!L13:L17),0)=IS!L18,"OK","ERROR")</f>
        <v>ERROR</v>
      </c>
      <c r="M68" s="216" t="str">
        <f>IF(ROUND(SUM(IS!M13:M17),0)=IS!M18,"OK","ERROR")</f>
        <v>ERROR</v>
      </c>
      <c r="N68" s="217" t="str">
        <f>IF(ROUND(SUM(IS!N13:N17),0)=IS!N18,"OK","ERROR")</f>
        <v>ERROR</v>
      </c>
      <c r="O68" s="208"/>
      <c r="P68" s="216" t="str">
        <f>IF(ROUND(SUM(IS!P13:P17),0)=IS!P18,"OK","ERROR")</f>
        <v>ERROR</v>
      </c>
      <c r="Q68" s="216" t="str">
        <f>IF(ROUND(SUM(IS!Q13:Q17),0)=IS!Q18,"OK","ERROR")</f>
        <v>ERROR</v>
      </c>
      <c r="R68" s="216" t="str">
        <f>IF(ROUND(SUM(IS!R13:R17),0)=IS!R18,"OK","ERROR")</f>
        <v>ERROR</v>
      </c>
      <c r="S68" s="216" t="str">
        <f>IF(ROUND(SUM(IS!S13:S17),0)=IS!S18,"OK","ERROR")</f>
        <v>ERROR</v>
      </c>
      <c r="T68" s="217" t="str">
        <f>IF(ROUND(SUM(IS!T13:T17),0)=IS!T18,"OK","ERROR")</f>
        <v>ERROR</v>
      </c>
      <c r="U68" s="208"/>
      <c r="V68" s="216" t="str">
        <f>IF(ROUND(SUM(IS!V13:V17),0)=IS!V18,"OK","ERROR")</f>
        <v>ERROR</v>
      </c>
      <c r="W68" s="216" t="str">
        <f>IF(ROUND(SUM(IS!W13:W17),0)=IS!W18,"OK","ERROR")</f>
        <v>ERROR</v>
      </c>
      <c r="X68" s="216" t="str">
        <f>IF(ROUND(SUM(IS!X13:X17),0)=IS!X18,"OK","ERROR")</f>
        <v>ERROR</v>
      </c>
      <c r="Y68" s="216" t="str">
        <f>IF(ROUND(SUM(IS!Y13:Y17),0)=IS!Y18,"OK","ERROR")</f>
        <v>ERROR</v>
      </c>
      <c r="Z68" s="217" t="str">
        <f>IF(ROUND(SUM(IS!Z13:Z17),0)=IS!Z18,"OK","ERROR")</f>
        <v>ERROR</v>
      </c>
      <c r="AA68" s="208"/>
      <c r="AB68" s="216" t="str">
        <f>IF(ROUND(SUM(IS!AB13:AB17),0)=IS!AB18,"OK","ERROR")</f>
        <v>ERROR</v>
      </c>
      <c r="AC68" s="216" t="str">
        <f>IF(ROUND(SUM(IS!AC13:AC17),0)=IS!AC18,"OK","ERROR")</f>
        <v>ERROR</v>
      </c>
      <c r="AD68" s="216" t="str">
        <f>IF(ROUND(SUM(IS!AD13:AD17),0)=IS!AD18,"OK","ERROR")</f>
        <v>ERROR</v>
      </c>
      <c r="AE68" s="216" t="str">
        <f>IF(ROUND(SUM(IS!AE13:AE17),0)=IS!AE18,"OK","ERROR")</f>
        <v>ERROR</v>
      </c>
      <c r="AF68" s="217" t="str">
        <f>IF(ROUND(SUM(IS!AF13:AF17),0)=IS!AF18,"OK","ERROR")</f>
        <v>ERROR</v>
      </c>
      <c r="AG68" s="210"/>
      <c r="AH68" s="216" t="str">
        <f>IF(ROUND(SUM(IS!AH13:AH17),0)=IS!AH18,"OK","ERROR")</f>
        <v>ERROR</v>
      </c>
      <c r="AI68" s="216" t="str">
        <f>IF(ROUND(SUM(IS!AI13:AI17),0)=IS!AI18,"OK","ERROR")</f>
        <v>ERROR</v>
      </c>
      <c r="AJ68" s="216" t="str">
        <f>IF(ROUND(SUM(IS!AJ13:AJ17),0)=IS!AJ18,"OK","ERROR")</f>
        <v>ERROR</v>
      </c>
      <c r="AK68" s="216" t="str">
        <f>IF(ROUND(SUM(IS!AK13:AK17),0)=IS!AK18,"OK","ERROR")</f>
        <v>ERROR</v>
      </c>
      <c r="AL68" s="217" t="str">
        <f>IF(ROUND(SUM(IS!AL13:AL17),0)=IS!AL18,"OK","ERROR")</f>
        <v>ERROR</v>
      </c>
      <c r="AM68" s="212"/>
      <c r="AN68" s="216" t="str">
        <f>IF(ROUND(SUM(IS!AN13:AN17),0)=IS!AN18,"OK","ERROR")</f>
        <v>ERROR</v>
      </c>
      <c r="AO68" s="216" t="str">
        <f>IF(ROUND(SUM(IS!AO13:AO17),0)=IS!AO18,"OK","ERROR")</f>
        <v>ERROR</v>
      </c>
      <c r="AP68" s="216" t="str">
        <f>IF(ROUND(SUM(IS!AP13:AP17),0)=IS!AP18,"OK","ERROR")</f>
        <v>ERROR</v>
      </c>
      <c r="AQ68" s="216" t="str">
        <f>IF(ROUND(SUM(IS!AQ13:AQ17),0)=IS!AQ18,"OK","ERROR")</f>
        <v>ERROR</v>
      </c>
      <c r="AR68" s="217" t="str">
        <f>IF(ROUND(SUM(IS!AR13:AR17),0)=IS!AR18,"OK","ERROR")</f>
        <v>ERROR</v>
      </c>
      <c r="AS68" s="212"/>
      <c r="AT68" s="217" t="str">
        <f>IF(ROUND(SUM(IS!AT13:AT17),0)=IS!AT18,"OK","ERROR")</f>
        <v>ERROR</v>
      </c>
      <c r="AU68" s="214"/>
      <c r="AV68" s="217" t="str">
        <f>IF(ROUND(SUM(IS!AV13:AV17),0)=IS!AV18,"OK","ERROR")</f>
        <v>ERROR</v>
      </c>
      <c r="AW68" s="214"/>
      <c r="AX68" s="217" t="str">
        <f>IF(ROUND(SUM(IS!AX13:AX17),0)=IS!AX18,"OK","ERROR")</f>
        <v>ERROR</v>
      </c>
    </row>
    <row r="69" spans="1:50" ht="14.25" customHeight="1">
      <c r="A69" s="55"/>
      <c r="B69" s="64"/>
      <c r="D69" s="207"/>
      <c r="E69" s="207"/>
      <c r="F69" s="207"/>
      <c r="G69" s="207"/>
      <c r="H69" s="208"/>
      <c r="I69" s="209"/>
      <c r="J69" s="207"/>
      <c r="K69" s="207"/>
      <c r="L69" s="207"/>
      <c r="M69" s="207"/>
      <c r="N69" s="208"/>
      <c r="O69" s="208"/>
      <c r="P69" s="207"/>
      <c r="Q69" s="207"/>
      <c r="R69" s="207"/>
      <c r="S69" s="207"/>
      <c r="T69" s="208"/>
      <c r="U69" s="208"/>
      <c r="V69" s="207"/>
      <c r="W69" s="207"/>
      <c r="X69" s="207"/>
      <c r="Y69" s="207"/>
      <c r="Z69" s="208"/>
      <c r="AA69" s="208"/>
      <c r="AB69" s="207"/>
      <c r="AC69" s="207"/>
      <c r="AD69" s="207"/>
      <c r="AE69" s="207"/>
      <c r="AF69" s="208"/>
      <c r="AG69" s="210"/>
      <c r="AH69" s="207"/>
      <c r="AI69" s="207"/>
      <c r="AJ69" s="207"/>
      <c r="AK69" s="207"/>
      <c r="AL69" s="208"/>
      <c r="AM69" s="212"/>
      <c r="AN69" s="207"/>
      <c r="AO69" s="207"/>
      <c r="AP69" s="207"/>
      <c r="AQ69" s="207"/>
      <c r="AR69" s="208"/>
      <c r="AS69" s="212"/>
      <c r="AT69" s="208"/>
      <c r="AU69" s="214"/>
      <c r="AV69" s="208"/>
      <c r="AW69" s="214"/>
      <c r="AX69" s="208"/>
    </row>
    <row r="70" spans="1:50" ht="14.25" customHeight="1">
      <c r="A70" s="44" t="s">
        <v>39</v>
      </c>
      <c r="B70" s="65" t="s">
        <v>554</v>
      </c>
      <c r="D70" s="207"/>
      <c r="E70" s="207"/>
      <c r="F70" s="207"/>
      <c r="G70" s="207"/>
      <c r="H70" s="219"/>
      <c r="I70" s="209"/>
      <c r="J70" s="207"/>
      <c r="K70" s="207"/>
      <c r="L70" s="207"/>
      <c r="M70" s="207"/>
      <c r="N70" s="219"/>
      <c r="O70" s="209"/>
      <c r="P70" s="207"/>
      <c r="Q70" s="207"/>
      <c r="R70" s="207"/>
      <c r="S70" s="207"/>
      <c r="T70" s="219"/>
      <c r="U70" s="209"/>
      <c r="V70" s="207"/>
      <c r="W70" s="207"/>
      <c r="X70" s="207"/>
      <c r="Y70" s="207"/>
      <c r="Z70" s="219"/>
      <c r="AA70" s="212"/>
      <c r="AB70" s="207"/>
      <c r="AC70" s="207"/>
      <c r="AD70" s="207"/>
      <c r="AE70" s="207"/>
      <c r="AF70" s="219"/>
      <c r="AG70" s="210"/>
      <c r="AH70" s="207"/>
      <c r="AI70" s="207"/>
      <c r="AJ70" s="207"/>
      <c r="AK70" s="207"/>
      <c r="AL70" s="219"/>
      <c r="AM70" s="220"/>
      <c r="AN70" s="207"/>
      <c r="AO70" s="207"/>
      <c r="AP70" s="207"/>
      <c r="AQ70" s="207"/>
      <c r="AR70" s="219"/>
      <c r="AS70" s="220"/>
      <c r="AT70" s="219"/>
      <c r="AU70" s="222"/>
      <c r="AV70" s="219"/>
      <c r="AW70" s="222"/>
      <c r="AX70" s="219"/>
    </row>
    <row r="71" spans="1:50" ht="14.25" customHeight="1">
      <c r="A71" s="73"/>
      <c r="B71" s="79" t="s">
        <v>227</v>
      </c>
      <c r="D71" s="207" t="str">
        <f>IF(ROUND(IS!D18,0)-ROUND(SUM(IS!D21:D22),0)=ROUND(IS!D24,0),"OK","ERROR")</f>
        <v>OK</v>
      </c>
      <c r="E71" s="207" t="str">
        <f>IF(ROUND(IS!E18,0)-ROUND(SUM(IS!E21:E22),0)=ROUND(IS!E24,0),"OK","ERROR")</f>
        <v>OK</v>
      </c>
      <c r="F71" s="207" t="str">
        <f>IF(ROUND(IS!F18,0)-ROUND(SUM(IS!F21:F22),0)=ROUND(IS!F24,0),"OK","ERROR")</f>
        <v>OK</v>
      </c>
      <c r="G71" s="207" t="str">
        <f>IF(ROUND(IS!G18,0)-ROUND(SUM(IS!G21:G22),0)=ROUND(IS!G24,0),"OK","ERROR")</f>
        <v>OK</v>
      </c>
      <c r="H71" s="226" t="str">
        <f>IF(ROUND(IS!H18,0)-ROUND(SUM(IS!H21:H22),0)=ROUND(IS!H24,0),"OK","ERROR")</f>
        <v>OK</v>
      </c>
      <c r="I71" s="209"/>
      <c r="J71" s="207" t="str">
        <f>IF(ROUND(IS!J18,0)-ROUND(SUM(IS!J21:J22),0)=ROUND(IS!J24,0),"OK","ERROR")</f>
        <v>OK</v>
      </c>
      <c r="K71" s="207" t="str">
        <f>IF(ROUND(IS!K18,0)-ROUND(SUM(IS!K21:K22),0)=ROUND(IS!K24,0),"OK","ERROR")</f>
        <v>OK</v>
      </c>
      <c r="L71" s="207" t="str">
        <f>IF(ROUND(IS!L18,0)-ROUND(SUM(IS!L21:L22),0)=ROUND(IS!L24,0),"OK","ERROR")</f>
        <v>ERROR</v>
      </c>
      <c r="M71" s="207" t="str">
        <f>IF(ROUND(IS!M18,0)-ROUND(SUM(IS!M21:M22),0)=ROUND(IS!M24,0),"OK","ERROR")</f>
        <v>ERROR</v>
      </c>
      <c r="N71" s="226" t="str">
        <f>IF(ROUND(IS!N18,0)-ROUND(SUM(IS!N21:N22),0)=ROUND(IS!N24,0),"OK","ERROR")</f>
        <v>ERROR</v>
      </c>
      <c r="O71" s="209"/>
      <c r="P71" s="207" t="str">
        <f>IF(ROUND(IS!P18,0)-ROUND(SUM(IS!P21:P22),0)=ROUND(IS!P24,0),"OK","ERROR")</f>
        <v>OK</v>
      </c>
      <c r="Q71" s="207" t="str">
        <f>IF(ROUND(IS!Q18,0)-ROUND(SUM(IS!Q21:Q22),0)=ROUND(IS!Q24,0),"OK","ERROR")</f>
        <v>ERROR</v>
      </c>
      <c r="R71" s="207" t="str">
        <f>IF(ROUND(IS!R18,0)-ROUND(SUM(IS!R21:R22),0)=ROUND(IS!R24,0),"OK","ERROR")</f>
        <v>OK</v>
      </c>
      <c r="S71" s="207" t="str">
        <f>IF(ROUND(IS!S18,0)-ROUND(SUM(IS!S21:S22),0)=ROUND(IS!S24,0),"OK","ERROR")</f>
        <v>OK</v>
      </c>
      <c r="T71" s="226" t="str">
        <f>IF(ROUND(IS!T18,0)-ROUND(SUM(IS!T21:T22),0)=ROUND(IS!T24,0),"OK","ERROR")</f>
        <v>OK</v>
      </c>
      <c r="U71" s="209"/>
      <c r="V71" s="207" t="str">
        <f>IF(ROUND(IS!V18,0)-ROUND(SUM(IS!V21:V22),0)=ROUND(IS!V24,0),"OK","ERROR")</f>
        <v>OK</v>
      </c>
      <c r="W71" s="207" t="str">
        <f>IF(ROUND(IS!W18,0)-ROUND(SUM(IS!W21:W22),0)=ROUND(IS!W24,0),"OK","ERROR")</f>
        <v>OK</v>
      </c>
      <c r="X71" s="207" t="str">
        <f>IF(ROUND(IS!X18,0)-ROUND(SUM(IS!X21:X22),0)=ROUND(IS!X24,0),"OK","ERROR")</f>
        <v>OK</v>
      </c>
      <c r="Y71" s="207" t="str">
        <f>IF(ROUND(IS!Y18,0)-ROUND(SUM(IS!Y21:Y22),0)=ROUND(IS!Y24,0),"OK","ERROR")</f>
        <v>OK</v>
      </c>
      <c r="Z71" s="226" t="str">
        <f>IF(ROUND(IS!Z18,0)-ROUND(SUM(IS!Z21:Z22),0)=ROUND(IS!Z24,0),"OK","ERROR")</f>
        <v>OK</v>
      </c>
      <c r="AA71" s="212"/>
      <c r="AB71" s="207" t="str">
        <f>IF(ROUND(IS!AB18,0)-ROUND(SUM(IS!AB21:AB22),0)=ROUND(IS!AB24,0),"OK","ERROR")</f>
        <v>ERROR</v>
      </c>
      <c r="AC71" s="207" t="str">
        <f>IF(ROUND(IS!AC18,0)-ROUND(SUM(IS!AC21:AC22),0)=ROUND(IS!AC24,0),"OK","ERROR")</f>
        <v>OK</v>
      </c>
      <c r="AD71" s="207" t="str">
        <f>IF(ROUND(IS!AD18,0)-ROUND(SUM(IS!AD21:AD22),0)=ROUND(IS!AD24,0),"OK","ERROR")</f>
        <v>OK</v>
      </c>
      <c r="AE71" s="207" t="str">
        <f>IF(ROUND(IS!AE18,0)-ROUND(SUM(IS!AE21:AE22),0)=ROUND(IS!AE24,0),"OK","ERROR")</f>
        <v>OK</v>
      </c>
      <c r="AF71" s="226" t="str">
        <f>IF(ROUND(IS!AF18,0)-ROUND(SUM(IS!AF21:AF22),0)=ROUND(IS!AF24,0),"OK","ERROR")</f>
        <v>OK</v>
      </c>
      <c r="AG71" s="210"/>
      <c r="AH71" s="207" t="str">
        <f>IF(ROUND(IS!AH18,0)-ROUND(SUM(IS!AH21:AH22),0)=ROUND(IS!AH24,0),"OK","ERROR")</f>
        <v>OK</v>
      </c>
      <c r="AI71" s="207" t="str">
        <f>IF(ROUND(IS!AI18,0)-ROUND(SUM(IS!AI21:AI22),0)=ROUND(IS!AI24,0),"OK","ERROR")</f>
        <v>OK</v>
      </c>
      <c r="AJ71" s="207" t="str">
        <f>IF(ROUND(IS!AJ18,0)-ROUND(SUM(IS!AJ21:AJ22),0)=ROUND(IS!AJ24,0),"OK","ERROR")</f>
        <v>ERROR</v>
      </c>
      <c r="AK71" s="207" t="str">
        <f>IF(ROUND(IS!AK18,0)-ROUND(SUM(IS!AK21:AK22),0)=ROUND(IS!AK24,0),"OK","ERROR")</f>
        <v>ERROR</v>
      </c>
      <c r="AL71" s="226" t="str">
        <f>IF(ROUND(IS!AL18,0)-ROUND(SUM(IS!AL21:AL22),0)=ROUND(IS!AL24,0),"OK","ERROR")</f>
        <v>ERROR</v>
      </c>
      <c r="AM71" s="223"/>
      <c r="AN71" s="207" t="str">
        <f>IF(ROUND(IS!AN18,0)-ROUND(SUM(IS!AN21:AN22),0)=ROUND(IS!AN24,0),"OK","ERROR")</f>
        <v>ERROR</v>
      </c>
      <c r="AO71" s="207" t="str">
        <f>IF(ROUND(IS!AO18,0)-ROUND(SUM(IS!AO21:AO22),0)=ROUND(IS!AO24,0),"OK","ERROR")</f>
        <v>ERROR</v>
      </c>
      <c r="AP71" s="207" t="str">
        <f>IF(ROUND(IS!AP18,0)-ROUND(SUM(IS!AP21:AP22),0)=ROUND(IS!AP24,0),"OK","ERROR")</f>
        <v>ERROR</v>
      </c>
      <c r="AQ71" s="207" t="str">
        <f>IF(ROUND(IS!AQ18,0)-ROUND(SUM(IS!AQ21:AQ22),0)=ROUND(IS!AQ24,0),"OK","ERROR")</f>
        <v>ERROR</v>
      </c>
      <c r="AR71" s="226" t="str">
        <f>IF(ROUND(IS!AR18,0)-ROUND(SUM(IS!AR21:AR22),0)=ROUND(IS!AR24,0),"OK","ERROR")</f>
        <v>ERROR</v>
      </c>
      <c r="AS71" s="223"/>
      <c r="AT71" s="226" t="str">
        <f>IF(ROUND(IS!AT18,0)-ROUND(SUM(IS!AT21:AT22),0)=ROUND(IS!AT24,0),"OK","ERROR")</f>
        <v>ERROR</v>
      </c>
      <c r="AU71" s="224"/>
      <c r="AV71" s="226" t="str">
        <f>IF(ROUND(IS!AV18,0)-ROUND(SUM(IS!AV21:AV22),0)=ROUND(IS!AV24,0),"OK","ERROR")</f>
        <v>ERROR</v>
      </c>
      <c r="AW71" s="224"/>
      <c r="AX71" s="226" t="str">
        <f>IF(ROUND(IS!AX18,0)-ROUND(SUM(IS!AX21:AX22),0)=ROUND(IS!AX24,0),"OK","ERROR")</f>
        <v>ERROR</v>
      </c>
    </row>
    <row r="72" spans="1:50" ht="14.25" customHeight="1">
      <c r="A72" s="55"/>
      <c r="B72" s="80"/>
      <c r="D72" s="207"/>
      <c r="E72" s="207"/>
      <c r="F72" s="207"/>
      <c r="G72" s="207"/>
      <c r="H72" s="219"/>
      <c r="I72" s="209"/>
      <c r="J72" s="207"/>
      <c r="K72" s="207"/>
      <c r="L72" s="207"/>
      <c r="M72" s="207"/>
      <c r="N72" s="219"/>
      <c r="O72" s="209"/>
      <c r="P72" s="207"/>
      <c r="Q72" s="207"/>
      <c r="R72" s="207"/>
      <c r="S72" s="207"/>
      <c r="T72" s="219"/>
      <c r="U72" s="209"/>
      <c r="V72" s="207"/>
      <c r="W72" s="207"/>
      <c r="X72" s="207"/>
      <c r="Y72" s="207"/>
      <c r="Z72" s="219"/>
      <c r="AA72" s="212"/>
      <c r="AB72" s="207"/>
      <c r="AC72" s="207"/>
      <c r="AD72" s="207"/>
      <c r="AE72" s="207"/>
      <c r="AF72" s="219"/>
      <c r="AG72" s="210"/>
      <c r="AH72" s="207"/>
      <c r="AI72" s="207"/>
      <c r="AJ72" s="207"/>
      <c r="AK72" s="207"/>
      <c r="AL72" s="219"/>
      <c r="AM72" s="223"/>
      <c r="AN72" s="207"/>
      <c r="AO72" s="207"/>
      <c r="AP72" s="207"/>
      <c r="AQ72" s="207"/>
      <c r="AR72" s="219"/>
      <c r="AS72" s="223"/>
      <c r="AT72" s="219"/>
      <c r="AU72" s="224"/>
      <c r="AV72" s="219"/>
      <c r="AW72" s="224"/>
      <c r="AX72" s="219"/>
    </row>
    <row r="73" spans="1:50" ht="14.25" customHeight="1">
      <c r="A73" s="44" t="s">
        <v>39</v>
      </c>
      <c r="B73" s="65" t="s">
        <v>558</v>
      </c>
      <c r="D73" s="207"/>
      <c r="E73" s="207"/>
      <c r="F73" s="207"/>
      <c r="G73" s="207"/>
      <c r="H73" s="219"/>
      <c r="I73" s="209"/>
      <c r="J73" s="207"/>
      <c r="K73" s="207"/>
      <c r="L73" s="207"/>
      <c r="M73" s="207"/>
      <c r="N73" s="219"/>
      <c r="O73" s="209"/>
      <c r="P73" s="207"/>
      <c r="Q73" s="207"/>
      <c r="R73" s="207"/>
      <c r="S73" s="207"/>
      <c r="T73" s="219"/>
      <c r="U73" s="209"/>
      <c r="V73" s="207"/>
      <c r="W73" s="207"/>
      <c r="X73" s="207"/>
      <c r="Y73" s="207"/>
      <c r="Z73" s="219"/>
      <c r="AA73" s="227"/>
      <c r="AB73" s="207"/>
      <c r="AC73" s="207"/>
      <c r="AD73" s="207"/>
      <c r="AE73" s="207"/>
      <c r="AF73" s="219"/>
      <c r="AG73" s="228"/>
      <c r="AH73" s="207"/>
      <c r="AI73" s="207"/>
      <c r="AJ73" s="207"/>
      <c r="AK73" s="207"/>
      <c r="AL73" s="219"/>
      <c r="AM73" s="227"/>
      <c r="AN73" s="207"/>
      <c r="AO73" s="207"/>
      <c r="AP73" s="207"/>
      <c r="AQ73" s="207"/>
      <c r="AR73" s="219"/>
      <c r="AS73" s="227"/>
      <c r="AT73" s="219"/>
      <c r="AU73" s="229"/>
      <c r="AV73" s="219"/>
      <c r="AW73" s="229"/>
      <c r="AX73" s="219"/>
    </row>
    <row r="74" spans="1:50" ht="14.25" customHeight="1">
      <c r="A74" s="55"/>
      <c r="B74" s="79" t="s">
        <v>565</v>
      </c>
      <c r="D74" s="207" t="str">
        <f>IF(ROUND(IS!D24,0)-ROUND(SUM(IS!D31:D32),0)=ROUND(IS!D33,0),"OK","ERROR")</f>
        <v>OK</v>
      </c>
      <c r="E74" s="207" t="str">
        <f>IF(ROUND(IS!E24,0)-ROUND(SUM(IS!E31:E32),0)=ROUND(IS!E33,0),"OK","ERROR")</f>
        <v>OK</v>
      </c>
      <c r="F74" s="207" t="str">
        <f>IF(ROUND(IS!F24,0)-ROUND(SUM(IS!F31:F32),0)=ROUND(IS!F33,0),"OK","ERROR")</f>
        <v>OK</v>
      </c>
      <c r="G74" s="207" t="str">
        <f>IF(ROUND(IS!G24,0)-ROUND(SUM(IS!G31:G32),0)=ROUND(IS!G33,0),"OK","ERROR")</f>
        <v>OK</v>
      </c>
      <c r="H74" s="225" t="str">
        <f>IF(ROUND(IS!H24,0)-ROUND(SUM(IS!H31:H32),0)=ROUND(IS!H33,0),"OK","ERROR")</f>
        <v>OK</v>
      </c>
      <c r="I74" s="209"/>
      <c r="J74" s="207" t="str">
        <f>IF(ROUND(IS!J24,0)-ROUND(SUM(IS!J31:J32),0)=ROUND(IS!J33,0),"OK","ERROR")</f>
        <v>OK</v>
      </c>
      <c r="K74" s="207" t="str">
        <f>IF(ROUND(IS!K24,0)-ROUND(SUM(IS!K31:K32),0)=ROUND(IS!K33,0),"OK","ERROR")</f>
        <v>OK</v>
      </c>
      <c r="L74" s="207" t="str">
        <f>IF(ROUND(IS!L24,0)-ROUND(SUM(IS!L31:L32),0)=ROUND(IS!L33,0),"OK","ERROR")</f>
        <v>ERROR</v>
      </c>
      <c r="M74" s="207" t="str">
        <f>IF(ROUND(IS!M24,0)-ROUND(SUM(IS!M31:M32),0)=ROUND(IS!M33,0),"OK","ERROR")</f>
        <v>ERROR</v>
      </c>
      <c r="N74" s="225" t="str">
        <f>IF(ROUND(IS!N24,0)-ROUND(SUM(IS!N31:N32),0)=ROUND(IS!N33,0),"OK","ERROR")</f>
        <v>ERROR</v>
      </c>
      <c r="O74" s="209"/>
      <c r="P74" s="207" t="str">
        <f>IF(ROUND(IS!P24,0)-ROUND(SUM(IS!P31:P32),0)=ROUND(IS!P33,0),"OK","ERROR")</f>
        <v>ERROR</v>
      </c>
      <c r="Q74" s="207" t="str">
        <f>IF(ROUND(IS!Q24,0)-ROUND(SUM(IS!Q31:Q32),0)=ROUND(IS!Q33,0),"OK","ERROR")</f>
        <v>ERROR</v>
      </c>
      <c r="R74" s="207" t="str">
        <f>IF(ROUND(IS!R24,0)-ROUND(SUM(IS!R31:R32),0)=ROUND(IS!R33,0),"OK","ERROR")</f>
        <v>ERROR</v>
      </c>
      <c r="S74" s="207" t="str">
        <f>IF(ROUND(IS!S24,0)-ROUND(SUM(IS!S31:S32),0)=ROUND(IS!S33,0),"OK","ERROR")</f>
        <v>ERROR</v>
      </c>
      <c r="T74" s="225" t="str">
        <f>IF(ROUND(IS!T24,0)-ROUND(SUM(IS!T31:T32),0)=ROUND(IS!T33,0),"OK","ERROR")</f>
        <v>ERROR</v>
      </c>
      <c r="U74" s="209"/>
      <c r="V74" s="207" t="str">
        <f>IF(ROUND(IS!V24,0)-ROUND(SUM(IS!V31:V32),0)=ROUND(IS!V33,0),"OK","ERROR")</f>
        <v>ERROR</v>
      </c>
      <c r="W74" s="207" t="str">
        <f>IF(ROUND(IS!W24,0)-ROUND(SUM(IS!W31:W32),0)=ROUND(IS!W33,0),"OK","ERROR")</f>
        <v>ERROR</v>
      </c>
      <c r="X74" s="207" t="str">
        <f>IF(ROUND(IS!X24,0)-ROUND(SUM(IS!X31:X32),0)=ROUND(IS!X33,0),"OK","ERROR")</f>
        <v>ERROR</v>
      </c>
      <c r="Y74" s="207" t="str">
        <f>IF(ROUND(IS!Y24,0)-ROUND(SUM(IS!Y31:Y32),0)=ROUND(IS!Y33,0),"OK","ERROR")</f>
        <v>ERROR</v>
      </c>
      <c r="Z74" s="225" t="str">
        <f>IF(ROUND(IS!Z24,0)-ROUND(SUM(IS!Z31:Z32),0)=ROUND(IS!Z33,0),"OK","ERROR")</f>
        <v>ERROR</v>
      </c>
      <c r="AA74" s="212"/>
      <c r="AB74" s="207" t="str">
        <f>IF(ROUND(IS!AB24,0)-ROUND(SUM(IS!AB31:AB32),0)=ROUND(IS!AB33,0),"OK","ERROR")</f>
        <v>ERROR</v>
      </c>
      <c r="AC74" s="207" t="str">
        <f>IF(ROUND(IS!AC24,0)-ROUND(SUM(IS!AC31:AC32),0)=ROUND(IS!AC33,0),"OK","ERROR")</f>
        <v>ERROR</v>
      </c>
      <c r="AD74" s="207" t="str">
        <f>IF(ROUND(IS!AD24,0)-ROUND(SUM(IS!AD31:AD32),0)=ROUND(IS!AD33,0),"OK","ERROR")</f>
        <v>ERROR</v>
      </c>
      <c r="AE74" s="207" t="str">
        <f>IF(ROUND(IS!AE24,0)-ROUND(SUM(IS!AE31:AE32),0)=ROUND(IS!AE33,0),"OK","ERROR")</f>
        <v>ERROR</v>
      </c>
      <c r="AF74" s="225" t="str">
        <f>IF(ROUND(IS!AF24,0)-ROUND(SUM(IS!AF31:AF32),0)=ROUND(IS!AF33,0),"OK","ERROR")</f>
        <v>ERROR</v>
      </c>
      <c r="AG74" s="210"/>
      <c r="AH74" s="207" t="str">
        <f>IF(ROUND(IS!AH24,0)-ROUND(SUM(IS!AH31:AH32),0)=ROUND(IS!AH33,0),"OK","ERROR")</f>
        <v>ERROR</v>
      </c>
      <c r="AI74" s="207" t="str">
        <f>IF(ROUND(IS!AI24,0)-ROUND(SUM(IS!AI31:AI32),0)=ROUND(IS!AI33,0),"OK","ERROR")</f>
        <v>ERROR</v>
      </c>
      <c r="AJ74" s="207" t="str">
        <f>IF(ROUND(IS!AJ24,0)-ROUND(SUM(IS!AJ31:AJ32),0)=ROUND(IS!AJ33,0),"OK","ERROR")</f>
        <v>OK</v>
      </c>
      <c r="AK74" s="207" t="str">
        <f>IF(ROUND(IS!AK24,0)-ROUND(SUM(IS!AK31:AK32),0)=ROUND(IS!AK33,0),"OK","ERROR")</f>
        <v>OK</v>
      </c>
      <c r="AL74" s="225" t="str">
        <f>IF(ROUND(IS!AL24,0)-ROUND(SUM(IS!AL31:AL32),0)=ROUND(IS!AL33,0),"OK","ERROR")</f>
        <v>ERROR</v>
      </c>
      <c r="AM74" s="223"/>
      <c r="AN74" s="207" t="str">
        <f>IF(ROUND(IS!AN24,0)-ROUND(SUM(IS!AN31:AN32),0)=ROUND(IS!AN33,0),"OK","ERROR")</f>
        <v>OK</v>
      </c>
      <c r="AO74" s="207" t="str">
        <f>IF(ROUND(IS!AO24,0)-ROUND(SUM(IS!AO31:AO32),0)=ROUND(IS!AO33,0),"OK","ERROR")</f>
        <v>OK</v>
      </c>
      <c r="AP74" s="207" t="str">
        <f>IF(ROUND(IS!AP24,0)-ROUND(SUM(IS!AP31:AP32),0)=ROUND(IS!AP33,0),"OK","ERROR")</f>
        <v>OK</v>
      </c>
      <c r="AQ74" s="207" t="str">
        <f>IF(ROUND(IS!AQ24,0)-ROUND(SUM(IS!AQ31:AQ32),0)=ROUND(IS!AQ33,0),"OK","ERROR")</f>
        <v>OK</v>
      </c>
      <c r="AR74" s="225" t="str">
        <f>IF(ROUND(IS!AR24,0)-ROUND(SUM(IS!AR31:AR32),0)=ROUND(IS!AR33,0),"OK","ERROR")</f>
        <v>OK</v>
      </c>
      <c r="AS74" s="223"/>
      <c r="AT74" s="225" t="str">
        <f>IF(ROUND(IS!AT24,0)-ROUND(SUM(IS!AT31:AT32),0)=ROUND(IS!AT33,0),"OK","ERROR")</f>
        <v>OK</v>
      </c>
      <c r="AU74" s="224"/>
      <c r="AV74" s="225" t="str">
        <f>IF(ROUND(IS!AV24,0)-ROUND(SUM(IS!AV31:AV32),0)=ROUND(IS!AV33,0),"OK","ERROR")</f>
        <v>OK</v>
      </c>
      <c r="AW74" s="224"/>
      <c r="AX74" s="225" t="str">
        <f>IF(ROUND(IS!AX24,0)-ROUND(SUM(IS!AX31:AX32),0)=ROUND(IS!AX33,0),"OK","ERROR")</f>
        <v>OK</v>
      </c>
    </row>
    <row r="75" spans="1:50" ht="14.25" customHeight="1">
      <c r="A75" s="73"/>
      <c r="B75" s="73"/>
      <c r="D75" s="207"/>
      <c r="E75" s="207"/>
      <c r="F75" s="207"/>
      <c r="G75" s="207"/>
      <c r="H75" s="219"/>
      <c r="I75" s="209"/>
      <c r="J75" s="207"/>
      <c r="K75" s="207"/>
      <c r="L75" s="207"/>
      <c r="M75" s="207"/>
      <c r="N75" s="219"/>
      <c r="O75" s="209"/>
      <c r="P75" s="207"/>
      <c r="Q75" s="207"/>
      <c r="R75" s="207"/>
      <c r="S75" s="207"/>
      <c r="T75" s="219"/>
      <c r="U75" s="209"/>
      <c r="V75" s="207"/>
      <c r="W75" s="207"/>
      <c r="X75" s="207"/>
      <c r="Y75" s="207"/>
      <c r="Z75" s="219"/>
      <c r="AA75" s="227"/>
      <c r="AB75" s="207"/>
      <c r="AC75" s="207"/>
      <c r="AD75" s="207"/>
      <c r="AE75" s="207"/>
      <c r="AF75" s="219"/>
      <c r="AG75" s="228"/>
      <c r="AH75" s="207"/>
      <c r="AI75" s="207"/>
      <c r="AJ75" s="207"/>
      <c r="AK75" s="207"/>
      <c r="AL75" s="219"/>
      <c r="AM75" s="232"/>
      <c r="AN75" s="207"/>
      <c r="AO75" s="207"/>
      <c r="AP75" s="207"/>
      <c r="AQ75" s="207"/>
      <c r="AR75" s="219"/>
      <c r="AS75" s="232"/>
      <c r="AT75" s="219"/>
      <c r="AU75" s="233"/>
      <c r="AV75" s="219"/>
      <c r="AW75" s="233"/>
      <c r="AX75" s="219"/>
    </row>
    <row r="76" spans="1:50" ht="14.25" customHeight="1">
      <c r="A76" s="44" t="s">
        <v>39</v>
      </c>
      <c r="B76" s="65" t="s">
        <v>566</v>
      </c>
      <c r="D76" s="207"/>
      <c r="E76" s="207"/>
      <c r="F76" s="207"/>
      <c r="G76" s="207"/>
      <c r="H76" s="219"/>
      <c r="I76" s="209"/>
      <c r="J76" s="207"/>
      <c r="K76" s="207"/>
      <c r="L76" s="207"/>
      <c r="M76" s="207"/>
      <c r="N76" s="219"/>
      <c r="O76" s="209"/>
      <c r="P76" s="207"/>
      <c r="Q76" s="207"/>
      <c r="R76" s="207"/>
      <c r="S76" s="207"/>
      <c r="T76" s="219"/>
      <c r="U76" s="209"/>
      <c r="V76" s="207"/>
      <c r="W76" s="207"/>
      <c r="X76" s="207"/>
      <c r="Y76" s="207"/>
      <c r="Z76" s="219"/>
      <c r="AA76" s="212"/>
      <c r="AB76" s="207"/>
      <c r="AC76" s="207"/>
      <c r="AD76" s="207"/>
      <c r="AE76" s="207"/>
      <c r="AF76" s="219"/>
      <c r="AG76" s="210"/>
      <c r="AH76" s="207"/>
      <c r="AI76" s="207"/>
      <c r="AJ76" s="207"/>
      <c r="AK76" s="207"/>
      <c r="AL76" s="219"/>
      <c r="AM76" s="223"/>
      <c r="AN76" s="207"/>
      <c r="AO76" s="207"/>
      <c r="AP76" s="207"/>
      <c r="AQ76" s="207"/>
      <c r="AR76" s="219"/>
      <c r="AS76" s="223"/>
      <c r="AT76" s="219"/>
      <c r="AU76" s="224"/>
      <c r="AV76" s="219"/>
      <c r="AW76" s="224"/>
      <c r="AX76" s="219"/>
    </row>
    <row r="77" spans="1:50" ht="14.25" customHeight="1">
      <c r="A77" s="84"/>
      <c r="B77" s="90" t="s">
        <v>499</v>
      </c>
      <c r="D77" s="207" t="str">
        <f>IF(ROUND(IS!D33,0)-ROUND(IS!D41,0)=ROUND(IS!D42,0),"OK","ERROR")</f>
        <v>OK</v>
      </c>
      <c r="E77" s="207" t="str">
        <f>IF(ROUND(IS!E33,0)-ROUND(IS!E41,0)=ROUND(IS!E42,0),"OK","ERROR")</f>
        <v>OK</v>
      </c>
      <c r="F77" s="207" t="str">
        <f>IF(ROUND(IS!F33,0)-ROUND(IS!F41,0)=ROUND(IS!F42,0),"OK","ERROR")</f>
        <v>OK</v>
      </c>
      <c r="G77" s="207" t="str">
        <f>IF(ROUND(IS!G33,0)-ROUND(IS!G41,0)=ROUND(IS!G42,0),"OK","ERROR")</f>
        <v>OK</v>
      </c>
      <c r="H77" s="226" t="str">
        <f>IF(ROUND(IS!H33,0)-ROUND(IS!H41,0)=ROUND(IS!H42,0),"OK","ERROR")</f>
        <v>OK</v>
      </c>
      <c r="I77" s="209"/>
      <c r="J77" s="207" t="str">
        <f>IF(ROUND(IS!J33,0)-ROUND(IS!J41,0)=ROUND(IS!J42,0),"OK","ERROR")</f>
        <v>OK</v>
      </c>
      <c r="K77" s="207" t="str">
        <f>IF(ROUND(IS!K33,0)-ROUND(IS!K41,0)=ROUND(IS!K42,0),"OK","ERROR")</f>
        <v>OK</v>
      </c>
      <c r="L77" s="207" t="str">
        <f>IF(ROUND(IS!L33,0)-ROUND(IS!L41,0)=ROUND(IS!L42,0),"OK","ERROR")</f>
        <v>OK</v>
      </c>
      <c r="M77" s="207" t="str">
        <f>IF(ROUND(IS!M33,0)-ROUND(IS!M41,0)=ROUND(IS!M42,0),"OK","ERROR")</f>
        <v>OK</v>
      </c>
      <c r="N77" s="226" t="str">
        <f>IF(ROUND(IS!N33,0)-ROUND(IS!N41,0)=ROUND(IS!N42,0),"OK","ERROR")</f>
        <v>OK</v>
      </c>
      <c r="O77" s="209"/>
      <c r="P77" s="207" t="str">
        <f>IF(ROUND(IS!P33,0)-ROUND(IS!P41,0)=ROUND(IS!P42,0),"OK","ERROR")</f>
        <v>OK</v>
      </c>
      <c r="Q77" s="207" t="str">
        <f>IF(ROUND(IS!Q33,0)-ROUND(IS!Q41,0)=ROUND(IS!Q42,0),"OK","ERROR")</f>
        <v>ERROR</v>
      </c>
      <c r="R77" s="207" t="str">
        <f>IF(ROUND(IS!R33,0)-ROUND(IS!R41,0)=ROUND(IS!R42,0),"OK","ERROR")</f>
        <v>OK</v>
      </c>
      <c r="S77" s="207" t="str">
        <f>IF(ROUND(IS!S33,0)-ROUND(IS!S41,0)=ROUND(IS!S42,0),"OK","ERROR")</f>
        <v>ERROR</v>
      </c>
      <c r="T77" s="226" t="str">
        <f>IF(ROUND(IS!T33,0)-ROUND(IS!T41,0)=ROUND(IS!T42,0),"OK","ERROR")</f>
        <v>ERROR</v>
      </c>
      <c r="U77" s="209"/>
      <c r="V77" s="207" t="str">
        <f>IF(ROUND(IS!V33,0)-ROUND(IS!V41,0)=ROUND(IS!V42,0),"OK","ERROR")</f>
        <v>OK</v>
      </c>
      <c r="W77" s="207" t="str">
        <f>IF(ROUND(IS!W33,0)-ROUND(IS!W41,0)=ROUND(IS!W42,0),"OK","ERROR")</f>
        <v>OK</v>
      </c>
      <c r="X77" s="207" t="str">
        <f>IF(ROUND(IS!X33,0)-ROUND(IS!X41,0)=ROUND(IS!X42,0),"OK","ERROR")</f>
        <v>ERROR</v>
      </c>
      <c r="Y77" s="207" t="str">
        <f>IF(ROUND(IS!Y33,0)-ROUND(IS!Y41,0)=ROUND(IS!Y42,0),"OK","ERROR")</f>
        <v>OK</v>
      </c>
      <c r="Z77" s="226" t="str">
        <f>IF(ROUND(IS!Z33,0)-ROUND(IS!Z41,0)=ROUND(IS!Z42,0),"OK","ERROR")</f>
        <v>OK</v>
      </c>
      <c r="AA77" s="212"/>
      <c r="AB77" s="207" t="str">
        <f>IF(ROUND(IS!AB33,0)-ROUND(IS!AB41,0)=ROUND(IS!AB42,0),"OK","ERROR")</f>
        <v>ERROR</v>
      </c>
      <c r="AC77" s="207" t="str">
        <f>IF(ROUND(IS!AC33,0)-ROUND(IS!AC41,0)=ROUND(IS!AC42,0),"OK","ERROR")</f>
        <v>OK</v>
      </c>
      <c r="AD77" s="207" t="str">
        <f>IF(ROUND(IS!AD33,0)-ROUND(IS!AD41,0)=ROUND(IS!AD42,0),"OK","ERROR")</f>
        <v>OK</v>
      </c>
      <c r="AE77" s="207" t="str">
        <f>IF(ROUND(IS!AE33,0)-ROUND(IS!AE41,0)=ROUND(IS!AE42,0),"OK","ERROR")</f>
        <v>ERROR</v>
      </c>
      <c r="AF77" s="226" t="str">
        <f>IF(ROUND(IS!AF33,0)-ROUND(IS!AF41,0)=ROUND(IS!AF42,0),"OK","ERROR")</f>
        <v>OK</v>
      </c>
      <c r="AG77" s="210"/>
      <c r="AH77" s="207" t="str">
        <f>IF(ROUND(IS!AH33,0)-ROUND(IS!AH41,0)=ROUND(IS!AH42,0),"OK","ERROR")</f>
        <v>OK</v>
      </c>
      <c r="AI77" s="207" t="str">
        <f>IF(ROUND(IS!AI33,0)-ROUND(IS!AI41,0)=ROUND(IS!AI42,0),"OK","ERROR")</f>
        <v>OK</v>
      </c>
      <c r="AJ77" s="207" t="str">
        <f>IF(ROUND(IS!AJ33,0)-ROUND(IS!AJ41,0)=ROUND(IS!AJ42,0),"OK","ERROR")</f>
        <v>ERROR</v>
      </c>
      <c r="AK77" s="207" t="str">
        <f>IF(ROUND(IS!AK33,0)-ROUND(IS!AK41,0)=ROUND(IS!AK42,0),"OK","ERROR")</f>
        <v>ERROR</v>
      </c>
      <c r="AL77" s="226" t="str">
        <f>IF(ROUND(IS!AL33,0)-ROUND(IS!AL41,0)=ROUND(IS!AL42,0),"OK","ERROR")</f>
        <v>ERROR</v>
      </c>
      <c r="AM77" s="212"/>
      <c r="AN77" s="207" t="str">
        <f>IF(ROUND(IS!AN33,0)-ROUND(IS!AN41,0)=ROUND(IS!AN42,0),"OK","ERROR")</f>
        <v>ERROR</v>
      </c>
      <c r="AO77" s="207" t="str">
        <f>IF(ROUND(IS!AO33,0)-ROUND(IS!AO41,0)=ROUND(IS!AO42,0),"OK","ERROR")</f>
        <v>ERROR</v>
      </c>
      <c r="AP77" s="207" t="str">
        <f>IF(ROUND(IS!AP33,0)-ROUND(IS!AP41,0)=ROUND(IS!AP42,0),"OK","ERROR")</f>
        <v>ERROR</v>
      </c>
      <c r="AQ77" s="207" t="str">
        <f>IF(ROUND(IS!AQ33,0)-ROUND(IS!AQ41,0)=ROUND(IS!AQ42,0),"OK","ERROR")</f>
        <v>ERROR</v>
      </c>
      <c r="AR77" s="226" t="str">
        <f>IF(ROUND(IS!AR33,0)-ROUND(IS!AR41,0)=ROUND(IS!AR42,0),"OK","ERROR")</f>
        <v>ERROR</v>
      </c>
      <c r="AS77" s="212"/>
      <c r="AT77" s="226" t="str">
        <f>IF(ROUND(IS!AT33,0)-ROUND(IS!AT41,0)=ROUND(IS!AT42,0),"OK","ERROR")</f>
        <v>ERROR</v>
      </c>
      <c r="AU77" s="214"/>
      <c r="AV77" s="226" t="str">
        <f>IF(ROUND(IS!AV33,0)-ROUND(IS!AV41,0)=ROUND(IS!AV42,0),"OK","ERROR")</f>
        <v>ERROR</v>
      </c>
      <c r="AW77" s="214"/>
      <c r="AX77" s="226" t="str">
        <f>IF(ROUND(IS!AX33,0)-ROUND(IS!AX41,0)=ROUND(IS!AX42,0),"OK","ERROR")</f>
        <v>ERROR</v>
      </c>
    </row>
    <row r="78" spans="1:50" ht="14.25" customHeight="1">
      <c r="A78" s="73"/>
      <c r="B78" s="76"/>
      <c r="D78" s="207"/>
      <c r="E78" s="207"/>
      <c r="F78" s="207"/>
      <c r="G78" s="207"/>
      <c r="H78" s="219"/>
      <c r="I78" s="209"/>
      <c r="J78" s="207"/>
      <c r="K78" s="207"/>
      <c r="L78" s="207"/>
      <c r="M78" s="207"/>
      <c r="N78" s="219"/>
      <c r="O78" s="209"/>
      <c r="P78" s="207"/>
      <c r="Q78" s="207"/>
      <c r="R78" s="207"/>
      <c r="S78" s="207"/>
      <c r="T78" s="219"/>
      <c r="U78" s="209"/>
      <c r="V78" s="207"/>
      <c r="W78" s="207"/>
      <c r="X78" s="207"/>
      <c r="Y78" s="207"/>
      <c r="Z78" s="219"/>
      <c r="AA78" s="212"/>
      <c r="AB78" s="207"/>
      <c r="AC78" s="207"/>
      <c r="AD78" s="207"/>
      <c r="AE78" s="207"/>
      <c r="AF78" s="219"/>
      <c r="AG78" s="210"/>
      <c r="AH78" s="207"/>
      <c r="AI78" s="207"/>
      <c r="AJ78" s="207"/>
      <c r="AK78" s="207"/>
      <c r="AL78" s="219"/>
      <c r="AM78" s="212"/>
      <c r="AN78" s="207"/>
      <c r="AO78" s="207"/>
      <c r="AP78" s="207"/>
      <c r="AQ78" s="207"/>
      <c r="AR78" s="219"/>
      <c r="AS78" s="212"/>
      <c r="AT78" s="219"/>
      <c r="AU78" s="214"/>
      <c r="AV78" s="219"/>
      <c r="AW78" s="214"/>
      <c r="AX78" s="219"/>
    </row>
    <row r="79" spans="1:50" ht="14.25" customHeight="1">
      <c r="A79" s="44" t="s">
        <v>39</v>
      </c>
      <c r="B79" s="65" t="s">
        <v>573</v>
      </c>
      <c r="D79" s="207"/>
      <c r="E79" s="207"/>
      <c r="F79" s="207"/>
      <c r="G79" s="207"/>
      <c r="H79" s="219"/>
      <c r="I79" s="209"/>
      <c r="J79" s="207"/>
      <c r="K79" s="207"/>
      <c r="L79" s="207"/>
      <c r="M79" s="207"/>
      <c r="N79" s="219"/>
      <c r="O79" s="209"/>
      <c r="P79" s="207"/>
      <c r="Q79" s="207"/>
      <c r="R79" s="207"/>
      <c r="S79" s="207"/>
      <c r="T79" s="219"/>
      <c r="U79" s="209"/>
      <c r="V79" s="207"/>
      <c r="W79" s="207"/>
      <c r="X79" s="207"/>
      <c r="Y79" s="207"/>
      <c r="Z79" s="219"/>
      <c r="AA79" s="212"/>
      <c r="AB79" s="207"/>
      <c r="AC79" s="207"/>
      <c r="AD79" s="207"/>
      <c r="AE79" s="207"/>
      <c r="AF79" s="219"/>
      <c r="AG79" s="210"/>
      <c r="AH79" s="207"/>
      <c r="AI79" s="207"/>
      <c r="AJ79" s="207"/>
      <c r="AK79" s="207"/>
      <c r="AL79" s="219"/>
      <c r="AM79" s="212"/>
      <c r="AN79" s="207"/>
      <c r="AO79" s="207"/>
      <c r="AP79" s="207"/>
      <c r="AQ79" s="207"/>
      <c r="AR79" s="219"/>
      <c r="AS79" s="212"/>
      <c r="AT79" s="219"/>
      <c r="AU79" s="214"/>
      <c r="AV79" s="219"/>
      <c r="AW79" s="214"/>
      <c r="AX79" s="219"/>
    </row>
    <row r="80" spans="1:50" ht="14.25" customHeight="1" thickBot="1">
      <c r="A80" s="73"/>
      <c r="B80" s="70" t="s">
        <v>575</v>
      </c>
      <c r="D80" s="207" t="str">
        <f>IF(ROUND(IS!D42,0)-ROUND(SUM(IS!D45:D46),0)=ROUND(IS!D47,0),"OK","ERROR")</f>
        <v>OK</v>
      </c>
      <c r="E80" s="207" t="str">
        <f>IF(ROUND(IS!E42,0)-ROUND(SUM(IS!E45:E46),0)=ROUND(IS!E47,0),"OK","ERROR")</f>
        <v>OK</v>
      </c>
      <c r="F80" s="207" t="str">
        <f>IF(ROUND(IS!F42,0)-ROUND(SUM(IS!F45:F46),0)=ROUND(IS!F47,0),"OK","ERROR")</f>
        <v>OK</v>
      </c>
      <c r="G80" s="207" t="str">
        <f>IF(ROUND(IS!G42,0)-ROUND(SUM(IS!G45:G46),0)=ROUND(IS!G47,0),"OK","ERROR")</f>
        <v>OK</v>
      </c>
      <c r="H80" s="236" t="str">
        <f>IF(ROUND(IS!H42,0)-ROUND(SUM(IS!H45:H46),0)=ROUND(IS!H47,0),"OK","ERROR")</f>
        <v>OK</v>
      </c>
      <c r="I80" s="209"/>
      <c r="J80" s="207" t="str">
        <f>IF(ROUND(IS!J42,0)-ROUND(SUM(IS!J45:J46),0)=ROUND(IS!J47,0),"OK","ERROR")</f>
        <v>OK</v>
      </c>
      <c r="K80" s="207" t="str">
        <f>IF(ROUND(IS!K42,0)-ROUND(SUM(IS!K45:K46),0)=ROUND(IS!K47,0),"OK","ERROR")</f>
        <v>OK</v>
      </c>
      <c r="L80" s="207" t="str">
        <f>IF(ROUND(IS!L42,0)-ROUND(SUM(IS!L45:L46),0)=ROUND(IS!L47,0),"OK","ERROR")</f>
        <v>OK</v>
      </c>
      <c r="M80" s="207" t="str">
        <f>IF(ROUND(IS!M42,0)-ROUND(SUM(IS!M45:M46),0)=ROUND(IS!M47,0),"OK","ERROR")</f>
        <v>OK</v>
      </c>
      <c r="N80" s="236" t="str">
        <f>IF(ROUND(IS!N42,0)-ROUND(SUM(IS!N45:N46),0)=ROUND(IS!N47,0),"OK","ERROR")</f>
        <v>OK</v>
      </c>
      <c r="O80" s="209"/>
      <c r="P80" s="207" t="str">
        <f>IF(ROUND(IS!P42,0)-ROUND(SUM(IS!P45:P46),0)=ROUND(IS!P47,0),"OK","ERROR")</f>
        <v>OK</v>
      </c>
      <c r="Q80" s="207" t="str">
        <f>IF(ROUND(IS!Q42,0)-ROUND(SUM(IS!Q45:Q46),0)=ROUND(IS!Q47,0),"OK","ERROR")</f>
        <v>OK</v>
      </c>
      <c r="R80" s="207" t="str">
        <f>IF(ROUND(IS!R42,0)-ROUND(SUM(IS!R45:R46),0)=ROUND(IS!R47,0),"OK","ERROR")</f>
        <v>OK</v>
      </c>
      <c r="S80" s="207" t="str">
        <f>IF(ROUND(IS!S42,0)-ROUND(SUM(IS!S45:S46),0)=ROUND(IS!S47,0),"OK","ERROR")</f>
        <v>OK</v>
      </c>
      <c r="T80" s="236" t="str">
        <f>IF(ROUND(IS!T42,0)-ROUND(SUM(IS!T45:T46),0)=ROUND(IS!T47,0),"OK","ERROR")</f>
        <v>OK</v>
      </c>
      <c r="U80" s="209"/>
      <c r="V80" s="207" t="str">
        <f>IF(ROUND(IS!V42,0)-ROUND(SUM(IS!V45:V46),0)=ROUND(IS!V47,0),"OK","ERROR")</f>
        <v>OK</v>
      </c>
      <c r="W80" s="207" t="str">
        <f>IF(ROUND(IS!W42,0)-ROUND(SUM(IS!W45:W46),0)=ROUND(IS!W47,0),"OK","ERROR")</f>
        <v>OK</v>
      </c>
      <c r="X80" s="207" t="str">
        <f>IF(ROUND(IS!X42,0)-ROUND(SUM(IS!X45:X46),0)=ROUND(IS!X47,0),"OK","ERROR")</f>
        <v>OK</v>
      </c>
      <c r="Y80" s="207" t="str">
        <f>IF(ROUND(IS!Y42,0)-ROUND(SUM(IS!Y45:Y46),0)=ROUND(IS!Y47,0),"OK","ERROR")</f>
        <v>OK</v>
      </c>
      <c r="Z80" s="236" t="str">
        <f>IF(ROUND(IS!Z42,0)-ROUND(SUM(IS!Z45:Z46),0)=ROUND(IS!Z47,0),"OK","ERROR")</f>
        <v>ERROR</v>
      </c>
      <c r="AA80" s="212"/>
      <c r="AB80" s="207" t="str">
        <f>IF(ROUND(IS!AB42,0)-ROUND(SUM(IS!AB45:AB46),0)=ROUND(IS!AB47,0),"OK","ERROR")</f>
        <v>ERROR</v>
      </c>
      <c r="AC80" s="207" t="str">
        <f>IF(ROUND(IS!AC42,0)-ROUND(SUM(IS!AC45:AC46),0)=ROUND(IS!AC47,0),"OK","ERROR")</f>
        <v>OK</v>
      </c>
      <c r="AD80" s="207" t="str">
        <f>IF(ROUND(IS!AD42,0)-ROUND(SUM(IS!AD45:AD46),0)=ROUND(IS!AD47,0),"OK","ERROR")</f>
        <v>OK</v>
      </c>
      <c r="AE80" s="207" t="str">
        <f>IF(ROUND(IS!AE42,0)-ROUND(SUM(IS!AE45:AE46),0)=ROUND(IS!AE47,0),"OK","ERROR")</f>
        <v>OK</v>
      </c>
      <c r="AF80" s="236" t="str">
        <f>IF(ROUND(IS!AF42,0)-ROUND(SUM(IS!AF45:AF46),0)=ROUND(IS!AF47,0),"OK","ERROR")</f>
        <v>OK</v>
      </c>
      <c r="AG80" s="210"/>
      <c r="AH80" s="207" t="str">
        <f>IF(ROUND(IS!AH42,0)-ROUND(SUM(IS!AH45:AH46),0)=ROUND(IS!AH47,0),"OK","ERROR")</f>
        <v>OK</v>
      </c>
      <c r="AI80" s="207" t="str">
        <f>IF(ROUND(IS!AI42,0)-ROUND(SUM(IS!AI45:AI46),0)=ROUND(IS!AI47,0),"OK","ERROR")</f>
        <v>ERROR</v>
      </c>
      <c r="AJ80" s="207" t="str">
        <f>IF(ROUND(IS!AJ42,0)-ROUND(SUM(IS!AJ45:AJ46),0)=ROUND(IS!AJ47,0),"OK","ERROR")</f>
        <v>OK</v>
      </c>
      <c r="AK80" s="207" t="str">
        <f>IF(ROUND(IS!AK42,0)-ROUND(SUM(IS!AK45:AK46),0)=ROUND(IS!AK47,0),"OK","ERROR")</f>
        <v>OK</v>
      </c>
      <c r="AL80" s="236" t="str">
        <f>IF(ROUND(IS!AL42,0)-ROUND(SUM(IS!AL45:AL46),0)=ROUND(IS!AL47,0),"OK","ERROR")</f>
        <v>OK</v>
      </c>
      <c r="AM80" s="235"/>
      <c r="AN80" s="207" t="str">
        <f>IF(ROUND(IS!AN42,0)-ROUND(SUM(IS!AN45:AN46),0)=ROUND(IS!AN47,0),"OK","ERROR")</f>
        <v>OK</v>
      </c>
      <c r="AO80" s="207" t="str">
        <f>IF(ROUND(IS!AO42,0)-ROUND(SUM(IS!AO45:AO46),0)=ROUND(IS!AO47,0),"OK","ERROR")</f>
        <v>OK</v>
      </c>
      <c r="AP80" s="207" t="str">
        <f>IF(ROUND(IS!AP42,0)-ROUND(SUM(IS!AP45:AP46),0)=ROUND(IS!AP47,0),"OK","ERROR")</f>
        <v>OK</v>
      </c>
      <c r="AQ80" s="207" t="str">
        <f>IF(ROUND(IS!AQ42,0)-ROUND(SUM(IS!AQ45:AQ46),0)=ROUND(IS!AQ47,0),"OK","ERROR")</f>
        <v>OK</v>
      </c>
      <c r="AR80" s="236" t="str">
        <f>IF(ROUND(IS!AR42,0)-ROUND(SUM(IS!AR45:AR46),0)=ROUND(IS!AR47,0),"OK","ERROR")</f>
        <v>OK</v>
      </c>
      <c r="AS80" s="212"/>
      <c r="AT80" s="236" t="str">
        <f>IF(ROUND(IS!AT42,0)-ROUND(SUM(IS!AT45:AT46),0)=ROUND(IS!AT47,0),"OK","ERROR")</f>
        <v>OK</v>
      </c>
      <c r="AU80" s="214"/>
      <c r="AV80" s="236" t="str">
        <f>IF(ROUND(IS!AV42,0)-ROUND(SUM(IS!AV45:AV46),0)=ROUND(IS!AV47,0),"OK","ERROR")</f>
        <v>OK</v>
      </c>
      <c r="AW80" s="214"/>
      <c r="AX80" s="236" t="str">
        <f>IF(ROUND(IS!AX42,0)-ROUND(SUM(IS!AX45:AX46),0)=ROUND(IS!AX47,0),"OK","ERROR")</f>
        <v>OK</v>
      </c>
    </row>
    <row r="82" spans="1:50" ht="14.25" customHeight="1">
      <c r="A82" s="44" t="s">
        <v>39</v>
      </c>
      <c r="B82" s="65" t="s">
        <v>576</v>
      </c>
      <c r="D82" s="207"/>
      <c r="E82" s="207"/>
      <c r="F82" s="207"/>
      <c r="G82" s="207"/>
      <c r="H82" s="219"/>
      <c r="I82" s="209"/>
      <c r="J82" s="207"/>
      <c r="K82" s="207"/>
      <c r="L82" s="207"/>
      <c r="M82" s="207"/>
      <c r="N82" s="219"/>
      <c r="O82" s="209"/>
      <c r="P82" s="207"/>
      <c r="Q82" s="207"/>
      <c r="R82" s="207"/>
      <c r="S82" s="207"/>
      <c r="T82" s="219"/>
      <c r="U82" s="209"/>
      <c r="V82" s="207"/>
      <c r="W82" s="207"/>
      <c r="X82" s="207"/>
      <c r="Y82" s="207"/>
      <c r="Z82" s="219"/>
      <c r="AA82" s="209"/>
      <c r="AB82" s="207"/>
      <c r="AC82" s="207"/>
      <c r="AD82" s="207"/>
      <c r="AE82" s="207"/>
      <c r="AF82" s="219"/>
      <c r="AG82" s="237"/>
      <c r="AH82" s="207"/>
      <c r="AI82" s="207"/>
      <c r="AJ82" s="207"/>
      <c r="AK82" s="207"/>
      <c r="AL82" s="219"/>
      <c r="AM82" s="209"/>
      <c r="AN82" s="207"/>
      <c r="AO82" s="207"/>
      <c r="AP82" s="207"/>
      <c r="AQ82" s="207"/>
      <c r="AR82" s="219"/>
      <c r="AS82" s="209"/>
      <c r="AT82" s="219"/>
      <c r="AU82" s="238"/>
      <c r="AV82" s="219"/>
      <c r="AW82" s="238"/>
      <c r="AX82" s="219"/>
    </row>
    <row r="83" spans="1:50" ht="14.25" customHeight="1" thickBot="1">
      <c r="A83" s="73"/>
      <c r="B83" s="76" t="s">
        <v>579</v>
      </c>
      <c r="D83" s="207" t="str">
        <f>IF(ROUND(IS!D47,0)-ROUND(SUM(IS!D50:D51),0)=ROUND(IS!D52,0),"OK","ERROR")</f>
        <v>OK</v>
      </c>
      <c r="E83" s="207" t="str">
        <f>IF(ROUND(IS!E47,0)-ROUND(SUM(IS!E50:E51),0)=ROUND(IS!E52,0),"OK","ERROR")</f>
        <v>OK</v>
      </c>
      <c r="F83" s="207" t="str">
        <f>IF(ROUND(IS!F47,0)-ROUND(SUM(IS!F50:F51),0)=ROUND(IS!F52,0),"OK","ERROR")</f>
        <v>OK</v>
      </c>
      <c r="G83" s="207" t="str">
        <f>IF(ROUND(IS!G47,0)-ROUND(SUM(IS!G50:G51),0)=ROUND(IS!G52,0),"OK","ERROR")</f>
        <v>OK</v>
      </c>
      <c r="H83" s="236" t="str">
        <f>IF(ROUND(IS!H47,0)-ROUND(SUM(IS!H50:H51),0)=ROUND(IS!H52,0),"OK","ERROR")</f>
        <v>OK</v>
      </c>
      <c r="I83" s="209"/>
      <c r="J83" s="207" t="str">
        <f>IF(ROUND(IS!J47,0)-ROUND(SUM(IS!J50:J51),0)=ROUND(IS!J52,0),"OK","ERROR")</f>
        <v>OK</v>
      </c>
      <c r="K83" s="207" t="str">
        <f>IF(ROUND(IS!K47,0)-ROUND(SUM(IS!K50:K51),0)=ROUND(IS!K52,0),"OK","ERROR")</f>
        <v>OK</v>
      </c>
      <c r="L83" s="207" t="str">
        <f>IF(ROUND(IS!L47,0)-ROUND(SUM(IS!L50:L51),0)=ROUND(IS!L52,0),"OK","ERROR")</f>
        <v>OK</v>
      </c>
      <c r="M83" s="207" t="str">
        <f>IF(ROUND(IS!M47,0)-ROUND(SUM(IS!M50:M51),0)=ROUND(IS!M52,0),"OK","ERROR")</f>
        <v>OK</v>
      </c>
      <c r="N83" s="236" t="str">
        <f>IF(ROUND(IS!N47,0)-ROUND(SUM(IS!N50:N51),0)=ROUND(IS!N52,0),"OK","ERROR")</f>
        <v>OK</v>
      </c>
      <c r="O83" s="209"/>
      <c r="P83" s="207" t="str">
        <f>IF(ROUND(IS!P47,0)-ROUND(SUM(IS!P50:P51),0)=ROUND(IS!P52,0),"OK","ERROR")</f>
        <v>OK</v>
      </c>
      <c r="Q83" s="207" t="str">
        <f>IF(ROUND(IS!Q47,0)-ROUND(SUM(IS!Q50:Q51),0)=ROUND(IS!Q52,0),"OK","ERROR")</f>
        <v>OK</v>
      </c>
      <c r="R83" s="207" t="str">
        <f>IF(ROUND(IS!R47,0)-ROUND(SUM(IS!R50:R51),0)=ROUND(IS!R52,0),"OK","ERROR")</f>
        <v>OK</v>
      </c>
      <c r="S83" s="207" t="str">
        <f>IF(ROUND(IS!S47,0)-ROUND(SUM(IS!S50:S51),0)=ROUND(IS!S52,0),"OK","ERROR")</f>
        <v>OK</v>
      </c>
      <c r="T83" s="236" t="str">
        <f>IF(ROUND(IS!T47,0)-ROUND(SUM(IS!T50:T51),0)=ROUND(IS!T52,0),"OK","ERROR")</f>
        <v>OK</v>
      </c>
      <c r="U83" s="209"/>
      <c r="V83" s="207" t="str">
        <f>IF(ROUND(IS!V47,0)-ROUND(SUM(IS!V50:V51),0)=ROUND(IS!V52,0),"OK","ERROR")</f>
        <v>OK</v>
      </c>
      <c r="W83" s="207" t="str">
        <f>IF(ROUND(IS!W47,0)-ROUND(SUM(IS!W50:W51),0)=ROUND(IS!W52,0),"OK","ERROR")</f>
        <v>OK</v>
      </c>
      <c r="X83" s="207" t="str">
        <f>IF(ROUND(IS!X47,0)-ROUND(SUM(IS!X50:X51),0)=ROUND(IS!X52,0),"OK","ERROR")</f>
        <v>OK</v>
      </c>
      <c r="Y83" s="207" t="str">
        <f>IF(ROUND(IS!Y47,0)-ROUND(SUM(IS!Y50:Y51),0)=ROUND(IS!Y52,0),"OK","ERROR")</f>
        <v>ERROR</v>
      </c>
      <c r="Z83" s="236" t="str">
        <f>IF(ROUND(IS!Z47,0)-ROUND(SUM(IS!Z50:Z51),0)=ROUND(IS!Z52,0),"OK","ERROR")</f>
        <v>OK</v>
      </c>
      <c r="AA83" s="209"/>
      <c r="AB83" s="207" t="str">
        <f>IF(ROUND(IS!AB47,0)-ROUND(SUM(IS!AB50:AB51),0)=ROUND(IS!AB52,0),"OK","ERROR")</f>
        <v>ERROR</v>
      </c>
      <c r="AC83" s="207" t="str">
        <f>IF(ROUND(IS!AC47,0)-ROUND(SUM(IS!AC50:AC51),0)=ROUND(IS!AC52,0),"OK","ERROR")</f>
        <v>OK</v>
      </c>
      <c r="AD83" s="207" t="str">
        <f>IF(ROUND(IS!AD47,0)-ROUND(SUM(IS!AD50:AD51),0)=ROUND(IS!AD52,0),"OK","ERROR")</f>
        <v>OK</v>
      </c>
      <c r="AE83" s="207" t="str">
        <f>IF(ROUND(IS!AE47,0)-ROUND(SUM(IS!AE50:AE51),0)=ROUND(IS!AE52,0),"OK","ERROR")</f>
        <v>ERROR</v>
      </c>
      <c r="AF83" s="236" t="str">
        <f>IF(ROUND(IS!AF47,0)-ROUND(SUM(IS!AF50:AF51),0)=ROUND(IS!AF52,0),"OK","ERROR")</f>
        <v>ERROR</v>
      </c>
      <c r="AG83" s="237"/>
      <c r="AH83" s="207" t="str">
        <f>IF(ROUND(IS!AH47,0)-ROUND(SUM(IS!AH50:AH51),0)=ROUND(IS!AH52,0),"OK","ERROR")</f>
        <v>OK</v>
      </c>
      <c r="AI83" s="207" t="str">
        <f>IF(ROUND(IS!AI47,0)-ROUND(SUM(IS!AI50:AI51),0)=ROUND(IS!AI52,0),"OK","ERROR")</f>
        <v>ERROR</v>
      </c>
      <c r="AJ83" s="207" t="str">
        <f>IF(ROUND(IS!AJ47,0)-ROUND(SUM(IS!AJ50:AJ51),0)=ROUND(IS!AJ52,0),"OK","ERROR")</f>
        <v>OK</v>
      </c>
      <c r="AK83" s="207" t="str">
        <f>IF(ROUND(IS!AK47,0)-ROUND(SUM(IS!AK50:AK51),0)=ROUND(IS!AK52,0),"OK","ERROR")</f>
        <v>OK</v>
      </c>
      <c r="AL83" s="236" t="str">
        <f>IF(ROUND(IS!AL47,0)-ROUND(SUM(IS!AL50:AL51),0)=ROUND(IS!AL52,0),"OK","ERROR")</f>
        <v>OK</v>
      </c>
      <c r="AM83" s="209"/>
      <c r="AN83" s="207" t="str">
        <f>IF(ROUND(IS!AN47,0)-ROUND(SUM(IS!AN50:AN51),0)=ROUND(IS!AN52,0),"OK","ERROR")</f>
        <v>OK</v>
      </c>
      <c r="AO83" s="207" t="str">
        <f>IF(ROUND(IS!AO47,0)-ROUND(SUM(IS!AO50:AO51),0)=ROUND(IS!AO52,0),"OK","ERROR")</f>
        <v>OK</v>
      </c>
      <c r="AP83" s="207" t="str">
        <f>IF(ROUND(IS!AP47,0)-ROUND(SUM(IS!AP50:AP51),0)=ROUND(IS!AP52,0),"OK","ERROR")</f>
        <v>OK</v>
      </c>
      <c r="AQ83" s="207" t="str">
        <f>IF(ROUND(IS!AQ47,0)-ROUND(SUM(IS!AQ50:AQ51),0)=ROUND(IS!AQ52,0),"OK","ERROR")</f>
        <v>OK</v>
      </c>
      <c r="AR83" s="236" t="str">
        <f>IF(ROUND(IS!AR47,0)-ROUND(SUM(IS!AR50:AR51),0)=ROUND(IS!AR52,0),"OK","ERROR")</f>
        <v>OK</v>
      </c>
      <c r="AS83" s="209"/>
      <c r="AT83" s="236" t="str">
        <f>IF(ROUND(IS!AT47,0)-ROUND(SUM(IS!AT50:AT51),0)=ROUND(IS!AT52,0),"OK","ERROR")</f>
        <v>OK</v>
      </c>
      <c r="AU83" s="238"/>
      <c r="AV83" s="236" t="str">
        <f>IF(ROUND(IS!AV47,0)-ROUND(SUM(IS!AV50:AV51),0)=ROUND(IS!AV52,0),"OK","ERROR")</f>
        <v>OK</v>
      </c>
      <c r="AW83" s="238"/>
      <c r="AX83" s="236" t="str">
        <f>IF(ROUND(IS!AX47,0)-ROUND(SUM(IS!AX50:AX51),0)=ROUND(IS!AX52,0),"OK","ERROR")</f>
        <v>OK</v>
      </c>
    </row>
    <row r="84" spans="1:50" ht="14.25" customHeight="1" thickTop="1">
      <c r="A84" s="55"/>
      <c r="D84" s="207"/>
      <c r="E84" s="207"/>
      <c r="F84" s="207"/>
      <c r="G84" s="207"/>
      <c r="H84" s="219"/>
      <c r="I84" s="209"/>
      <c r="J84" s="207"/>
      <c r="K84" s="207"/>
      <c r="L84" s="207"/>
      <c r="M84" s="207"/>
      <c r="N84" s="219"/>
      <c r="O84" s="209"/>
      <c r="P84" s="207"/>
      <c r="Q84" s="207"/>
      <c r="R84" s="207"/>
      <c r="S84" s="207"/>
      <c r="T84" s="219"/>
      <c r="U84" s="209"/>
      <c r="V84" s="207"/>
      <c r="W84" s="207"/>
      <c r="X84" s="207"/>
      <c r="Y84" s="207"/>
      <c r="Z84" s="219"/>
      <c r="AA84" s="209"/>
      <c r="AB84" s="207"/>
      <c r="AC84" s="207"/>
      <c r="AD84" s="207"/>
      <c r="AE84" s="207"/>
      <c r="AF84" s="219"/>
      <c r="AG84" s="237"/>
      <c r="AH84" s="207"/>
      <c r="AI84" s="207"/>
      <c r="AJ84" s="207"/>
      <c r="AK84" s="207"/>
      <c r="AL84" s="219"/>
      <c r="AM84" s="209"/>
      <c r="AN84" s="207"/>
      <c r="AO84" s="207"/>
      <c r="AP84" s="207"/>
      <c r="AQ84" s="207"/>
      <c r="AR84" s="219"/>
      <c r="AS84" s="209"/>
      <c r="AT84" s="219"/>
      <c r="AU84" s="238"/>
      <c r="AV84" s="219"/>
      <c r="AW84" s="238"/>
      <c r="AX84" s="219"/>
    </row>
    <row r="85" spans="1:50" ht="14.25" customHeight="1">
      <c r="A85" s="44" t="s">
        <v>39</v>
      </c>
      <c r="B85" s="65" t="s">
        <v>580</v>
      </c>
      <c r="D85" s="207"/>
      <c r="E85" s="207"/>
      <c r="F85" s="207"/>
      <c r="G85" s="207"/>
      <c r="H85" s="219"/>
      <c r="I85" s="209"/>
      <c r="J85" s="207"/>
      <c r="K85" s="207"/>
      <c r="L85" s="207"/>
      <c r="M85" s="207"/>
      <c r="N85" s="219"/>
      <c r="O85" s="209"/>
      <c r="P85" s="207"/>
      <c r="Q85" s="207"/>
      <c r="R85" s="207"/>
      <c r="S85" s="207"/>
      <c r="T85" s="219"/>
      <c r="U85" s="209"/>
      <c r="V85" s="207"/>
      <c r="W85" s="207"/>
      <c r="X85" s="207"/>
      <c r="Y85" s="207"/>
      <c r="Z85" s="219"/>
      <c r="AA85" s="209"/>
      <c r="AB85" s="207"/>
      <c r="AC85" s="207"/>
      <c r="AD85" s="207"/>
      <c r="AE85" s="207"/>
      <c r="AF85" s="219"/>
      <c r="AG85" s="237"/>
      <c r="AH85" s="207"/>
      <c r="AI85" s="207"/>
      <c r="AJ85" s="207"/>
      <c r="AK85" s="207"/>
      <c r="AL85" s="219"/>
      <c r="AM85" s="209"/>
      <c r="AN85" s="207"/>
      <c r="AO85" s="207"/>
      <c r="AP85" s="207"/>
      <c r="AQ85" s="207"/>
      <c r="AR85" s="219"/>
      <c r="AS85" s="209"/>
      <c r="AT85" s="219"/>
      <c r="AU85" s="238"/>
      <c r="AV85" s="219"/>
      <c r="AW85" s="238"/>
      <c r="AX85" s="219"/>
    </row>
    <row r="86" spans="1:50" ht="14.25" customHeight="1">
      <c r="A86" s="55"/>
      <c r="B86" s="76" t="s">
        <v>581</v>
      </c>
      <c r="D86" s="239" t="e">
        <f>IF(ROUND(IS!D52/IS!D59,1)=ROUND(IS!D55,1),"OK","ERROR")</f>
        <v>#DIV/0!</v>
      </c>
      <c r="E86" s="239" t="e">
        <f>IF(ROUND(IS!E52/IS!E59,1)=ROUND(IS!E55,1),"OK","ERROR")</f>
        <v>#DIV/0!</v>
      </c>
      <c r="F86" s="239" t="str">
        <f>IF(ROUND(IS!F52/IS!F59,1)=ROUND(IS!F55,1),"OK","ERROR")</f>
        <v>OK</v>
      </c>
      <c r="G86" s="239" t="e">
        <f>IF(ROUND(IS!G52/IS!G59,1)=ROUND(IS!G55,1),"OK","ERROR")</f>
        <v>#DIV/0!</v>
      </c>
      <c r="H86" s="240" t="e">
        <f>IF(ROUND(IS!H52/IS!H59,1)=ROUND(IS!H55,1),"OK","ERROR")</f>
        <v>#DIV/0!</v>
      </c>
      <c r="I86" s="241"/>
      <c r="J86" s="239" t="str">
        <f>IF(ROUND(IS!J52/IS!J59,1)=ROUND(IS!J55,1),"OK","ERROR")</f>
        <v>OK</v>
      </c>
      <c r="K86" s="239" t="str">
        <f>IF(ROUND(IS!K52/IS!K59,1)=ROUND(IS!K55,1),"OK","ERROR")</f>
        <v>OK</v>
      </c>
      <c r="L86" s="239" t="str">
        <f>IF(ROUND(IS!L52/IS!L59,1)=ROUND(IS!L55,1),"OK","ERROR")</f>
        <v>OK</v>
      </c>
      <c r="M86" s="239" t="str">
        <f>IF(ROUND(IS!M52/IS!M59,1)=ROUND(IS!M55,1),"OK","ERROR")</f>
        <v>OK</v>
      </c>
      <c r="N86" s="240" t="str">
        <f>IF(ROUND(IS!N52/IS!N59,1)=ROUND(IS!N55,1),"OK","ERROR")</f>
        <v>OK</v>
      </c>
      <c r="O86" s="241"/>
      <c r="P86" s="239" t="str">
        <f>IF(ROUND(IS!P52/IS!P59,1)=ROUND(IS!P55,1),"OK","ERROR")</f>
        <v>OK</v>
      </c>
      <c r="Q86" s="239" t="str">
        <f>IF(ROUND(IS!Q52/IS!Q59,1)=ROUND(IS!Q55,1),"OK","ERROR")</f>
        <v>OK</v>
      </c>
      <c r="R86" s="239" t="str">
        <f>IF(ROUND(IS!R52/IS!R59,1)=ROUND(IS!R55,1),"OK","ERROR")</f>
        <v>OK</v>
      </c>
      <c r="S86" s="239" t="str">
        <f>IF(ROUND(IS!S52/IS!S59,1)=ROUND(IS!S55,1),"OK","ERROR")</f>
        <v>OK</v>
      </c>
      <c r="T86" s="240" t="str">
        <f>IF(ROUND(IS!T52/IS!T59,1)=ROUND(IS!T55,1),"OK","ERROR")</f>
        <v>OK</v>
      </c>
      <c r="U86" s="241"/>
      <c r="V86" s="239" t="str">
        <f>IF(ROUND(IS!V52/IS!V59,1)=ROUND(IS!V55,1),"OK","ERROR")</f>
        <v>OK</v>
      </c>
      <c r="W86" s="239" t="str">
        <f>IF(ROUND(IS!W52/IS!W59,1)=ROUND(IS!W55,1),"OK","ERROR")</f>
        <v>OK</v>
      </c>
      <c r="X86" s="239" t="str">
        <f>IF(ROUND(IS!X52/IS!X59,1)=ROUND(IS!X55,1),"OK","ERROR")</f>
        <v>OK</v>
      </c>
      <c r="Y86" s="239" t="str">
        <f>IF(ROUND(IS!Y52/IS!Y59,1)=ROUND(IS!Y55,1),"OK","ERROR")</f>
        <v>OK</v>
      </c>
      <c r="Z86" s="240" t="str">
        <f>IF(ROUND(IS!Z52/IS!Z59,1)=ROUND(IS!Z55,1),"OK","ERROR")</f>
        <v>OK</v>
      </c>
      <c r="AA86" s="241"/>
      <c r="AB86" s="239" t="str">
        <f>IF(ROUND(IS!AB52/IS!AB59,1)=ROUND(IS!AB55,1),"OK","ERROR")</f>
        <v>OK</v>
      </c>
      <c r="AC86" s="239" t="str">
        <f>IF(ROUND(IS!AC52/IS!AC59,1)=ROUND(IS!AC55,1),"OK","ERROR")</f>
        <v>OK</v>
      </c>
      <c r="AD86" s="239" t="str">
        <f>IF(ROUND(IS!AD52/IS!AD59,1)=ROUND(IS!AD55,1),"OK","ERROR")</f>
        <v>OK</v>
      </c>
      <c r="AE86" s="239" t="str">
        <f>IF(ROUND(IS!AE52/IS!AE59,1)=ROUND(IS!AE55,1),"OK","ERROR")</f>
        <v>OK</v>
      </c>
      <c r="AF86" s="240" t="str">
        <f>IF(ROUND(IS!AF52/IS!AF59,1)=ROUND(IS!AF55,1),"OK","ERROR")</f>
        <v>OK</v>
      </c>
      <c r="AG86" s="242"/>
      <c r="AH86" s="239" t="str">
        <f>IF(ROUND(IS!AH52/IS!AH59,1)=ROUND(IS!AH55,1),"OK","ERROR")</f>
        <v>OK</v>
      </c>
      <c r="AI86" s="239" t="str">
        <f>IF(ROUND(IS!AI52/IS!AI59,1)=ROUND(IS!AI55,1),"OK","ERROR")</f>
        <v>OK</v>
      </c>
      <c r="AJ86" s="239" t="e">
        <f>IF(ROUND(IS!AJ52/IS!AJ59,1)=ROUND(IS!AJ55,1),"OK","ERROR")</f>
        <v>#DIV/0!</v>
      </c>
      <c r="AK86" s="239" t="e">
        <f>IF(ROUND(IS!AK52/IS!AK59,1)=ROUND(IS!AK55,1),"OK","ERROR")</f>
        <v>#DIV/0!</v>
      </c>
      <c r="AL86" s="240" t="e">
        <f>IF(ROUND(IS!AL52/IS!AL59,1)=ROUND(IS!AL55,1),"OK","ERROR")</f>
        <v>#DIV/0!</v>
      </c>
      <c r="AM86" s="241"/>
      <c r="AN86" s="239" t="e">
        <f>IF(ROUND(IS!AN52/IS!AN59,1)=ROUND(IS!AN55,1),"OK","ERROR")</f>
        <v>#DIV/0!</v>
      </c>
      <c r="AO86" s="239" t="e">
        <f>IF(ROUND(IS!AO52/IS!AO59,1)=ROUND(IS!AO55,1),"OK","ERROR")</f>
        <v>#DIV/0!</v>
      </c>
      <c r="AP86" s="239" t="e">
        <f>IF(ROUND(IS!AP52/IS!AP59,1)=ROUND(IS!AP55,1),"OK","ERROR")</f>
        <v>#DIV/0!</v>
      </c>
      <c r="AQ86" s="239" t="e">
        <f>IF(ROUND(IS!AQ52/IS!AQ59,1)=ROUND(IS!AQ55,1),"OK","ERROR")</f>
        <v>#DIV/0!</v>
      </c>
      <c r="AR86" s="240" t="e">
        <f>IF(ROUND(IS!AR52/IS!AR59,1)=ROUND(IS!AR55,1),"OK","ERROR")</f>
        <v>#DIV/0!</v>
      </c>
      <c r="AS86" s="241"/>
      <c r="AT86" s="240" t="e">
        <f>IF(ROUND(IS!AT52/IS!AT59,1)=ROUND(IS!AT55,1),"OK","ERROR")</f>
        <v>#DIV/0!</v>
      </c>
      <c r="AU86" s="244"/>
      <c r="AV86" s="240" t="e">
        <f>IF(ROUND(IS!AV52/IS!AV59,1)=ROUND(IS!AV55,1),"OK","ERROR")</f>
        <v>#DIV/0!</v>
      </c>
      <c r="AW86" s="244"/>
      <c r="AX86" s="240" t="e">
        <f>IF(ROUND(IS!AX52/IS!AX59,1)=ROUND(IS!AX55,1),"OK","ERROR")</f>
        <v>#DIV/0!</v>
      </c>
    </row>
    <row r="87" spans="1:50" ht="14.25" customHeight="1">
      <c r="A87" s="73"/>
      <c r="B87" s="76" t="s">
        <v>582</v>
      </c>
      <c r="D87" s="239" t="e">
        <f>IF(ROUND(IS!D52/IS!D60,1)=ROUND(IS!D56,1),"OK","ERROR")</f>
        <v>#DIV/0!</v>
      </c>
      <c r="E87" s="239" t="e">
        <f>IF(ROUND(IS!E52/IS!E60,1)=ROUND(IS!E56,1),"OK","ERROR")</f>
        <v>#DIV/0!</v>
      </c>
      <c r="F87" s="239" t="str">
        <f>IF(ROUND(IS!F52/IS!F60,1)=ROUND(IS!F56,1),"OK","ERROR")</f>
        <v>OK</v>
      </c>
      <c r="G87" s="239" t="e">
        <f>IF(ROUND(IS!G52/IS!G60,1)=ROUND(IS!G56,1),"OK","ERROR")</f>
        <v>#DIV/0!</v>
      </c>
      <c r="H87" s="240" t="e">
        <f>IF(ROUND(IS!H52/IS!H60,1)=ROUND(IS!H56,1),"OK","ERROR")</f>
        <v>#DIV/0!</v>
      </c>
      <c r="I87" s="241"/>
      <c r="J87" s="239" t="str">
        <f>IF(ROUND(IS!J52/IS!J60,1)=ROUND(IS!J56,1),"OK","ERROR")</f>
        <v>OK</v>
      </c>
      <c r="K87" s="239" t="str">
        <f>IF(ROUND(IS!K52/IS!K60,1)=ROUND(IS!K56,1),"OK","ERROR")</f>
        <v>OK</v>
      </c>
      <c r="L87" s="239" t="str">
        <f>IF(ROUND(IS!L52/IS!L60,1)=ROUND(IS!L56,1),"OK","ERROR")</f>
        <v>OK</v>
      </c>
      <c r="M87" s="239" t="str">
        <f>IF(ROUND(IS!M52/IS!M60,1)=ROUND(IS!M56,1),"OK","ERROR")</f>
        <v>OK</v>
      </c>
      <c r="N87" s="240" t="str">
        <f>IF(ROUND(IS!N52/IS!N60,1)=ROUND(IS!N56,1),"OK","ERROR")</f>
        <v>OK</v>
      </c>
      <c r="O87" s="241"/>
      <c r="P87" s="239" t="str">
        <f>IF(ROUND(IS!P52/IS!P60,1)=ROUND(IS!P56,1),"OK","ERROR")</f>
        <v>OK</v>
      </c>
      <c r="Q87" s="239" t="str">
        <f>IF(ROUND(IS!Q52/IS!Q60,1)=ROUND(IS!Q56,1),"OK","ERROR")</f>
        <v>ERROR</v>
      </c>
      <c r="R87" s="239" t="str">
        <f>IF(ROUND(IS!R52/IS!R60,1)=ROUND(IS!R56,1),"OK","ERROR")</f>
        <v>OK</v>
      </c>
      <c r="S87" s="239" t="str">
        <f>IF(ROUND(IS!S52/IS!S60,1)=ROUND(IS!S56,1),"OK","ERROR")</f>
        <v>OK</v>
      </c>
      <c r="T87" s="240" t="str">
        <f>IF(ROUND(IS!T52/IS!T60,1)=ROUND(IS!T56,1),"OK","ERROR")</f>
        <v>OK</v>
      </c>
      <c r="U87" s="241"/>
      <c r="V87" s="239" t="str">
        <f>IF(ROUND(IS!V52/IS!V60,1)=ROUND(IS!V56,1),"OK","ERROR")</f>
        <v>OK</v>
      </c>
      <c r="W87" s="239" t="str">
        <f>IF(ROUND(IS!W52/IS!W60,1)=ROUND(IS!W56,1),"OK","ERROR")</f>
        <v>OK</v>
      </c>
      <c r="X87" s="239" t="str">
        <f>IF(ROUND(IS!X52/IS!X60,1)=ROUND(IS!X56,1),"OK","ERROR")</f>
        <v>OK</v>
      </c>
      <c r="Y87" s="239" t="str">
        <f>IF(ROUND(IS!Y52/IS!Y60,1)=ROUND(IS!Y56,1),"OK","ERROR")</f>
        <v>OK</v>
      </c>
      <c r="Z87" s="240" t="str">
        <f>IF(ROUND(IS!Z52/IS!Z60,1)=ROUND(IS!Z56,1),"OK","ERROR")</f>
        <v>OK</v>
      </c>
      <c r="AA87" s="241"/>
      <c r="AB87" s="239" t="str">
        <f>IF(ROUND(IS!AB52/IS!AB60,1)=ROUND(IS!AB56,1),"OK","ERROR")</f>
        <v>OK</v>
      </c>
      <c r="AC87" s="239" t="str">
        <f>IF(ROUND(IS!AC52/IS!AC60,1)=ROUND(IS!AC56,1),"OK","ERROR")</f>
        <v>OK</v>
      </c>
      <c r="AD87" s="239" t="str">
        <f>IF(ROUND(IS!AD52/IS!AD60,1)=ROUND(IS!AD56,1),"OK","ERROR")</f>
        <v>OK</v>
      </c>
      <c r="AE87" s="239" t="str">
        <f>IF(ROUND(IS!AE52/IS!AE60,1)=ROUND(IS!AE56,1),"OK","ERROR")</f>
        <v>OK</v>
      </c>
      <c r="AF87" s="240" t="str">
        <f>IF(ROUND(IS!AF52/IS!AF60,1)=ROUND(IS!AF56,1),"OK","ERROR")</f>
        <v>OK</v>
      </c>
      <c r="AG87" s="242"/>
      <c r="AH87" s="239" t="str">
        <f>IF(ROUND(IS!AH52/IS!AH60,1)=ROUND(IS!AH56,1),"OK","ERROR")</f>
        <v>OK</v>
      </c>
      <c r="AI87" s="239" t="str">
        <f>IF(ROUND(IS!AI52/IS!AI60,1)=ROUND(IS!AI56,1),"OK","ERROR")</f>
        <v>OK</v>
      </c>
      <c r="AJ87" s="239" t="str">
        <f>IF(ROUND(IS!AJ52/IS!AJ60,1)=ROUND(IS!AJ56,1),"OK","ERROR")</f>
        <v>OK</v>
      </c>
      <c r="AK87" s="239" t="str">
        <f>IF(ROUND(IS!AK52/IS!AK60,1)=ROUND(IS!AK56,1),"OK","ERROR")</f>
        <v>OK</v>
      </c>
      <c r="AL87" s="240" t="str">
        <f>IF(ROUND(IS!AL52/IS!AL60,1)=ROUND(IS!AL56,1),"OK","ERROR")</f>
        <v>OK</v>
      </c>
      <c r="AM87" s="241"/>
      <c r="AN87" s="239" t="str">
        <f>IF(ROUND(IS!AN52/IS!AN60,1)=ROUND(IS!AN56,1),"OK","ERROR")</f>
        <v>OK</v>
      </c>
      <c r="AO87" s="239" t="str">
        <f>IF(ROUND(IS!AO52/IS!AO60,1)=ROUND(IS!AO56,1),"OK","ERROR")</f>
        <v>OK</v>
      </c>
      <c r="AP87" s="239" t="str">
        <f>IF(ROUND(IS!AP52/IS!AP60,1)=ROUND(IS!AP56,1),"OK","ERROR")</f>
        <v>OK</v>
      </c>
      <c r="AQ87" s="239" t="str">
        <f>IF(ROUND(IS!AQ52/IS!AQ60,1)=ROUND(IS!AQ56,1),"OK","ERROR")</f>
        <v>OK</v>
      </c>
      <c r="AR87" s="240" t="str">
        <f>IF(ROUND(IS!AR52/IS!AR60,1)=ROUND(IS!AR56,1),"OK","ERROR")</f>
        <v>OK</v>
      </c>
      <c r="AS87" s="241"/>
      <c r="AT87" s="240" t="str">
        <f>IF(ROUND(IS!AT52/IS!AT60,1)=ROUND(IS!AT56,1),"OK","ERROR")</f>
        <v>OK</v>
      </c>
      <c r="AU87" s="244"/>
      <c r="AV87" s="240" t="str">
        <f>IF(ROUND(IS!AV52/IS!AV60,1)=ROUND(IS!AV56,1),"OK","ERROR")</f>
        <v>OK</v>
      </c>
      <c r="AW87" s="244"/>
      <c r="AX87" s="240" t="str">
        <f>IF(ROUND(IS!AX52/IS!AX60,1)=ROUND(IS!AX56,1),"OK","ERROR")</f>
        <v>OK</v>
      </c>
    </row>
    <row r="89" spans="1:50" s="41" customFormat="1" ht="15" customHeight="1">
      <c r="B89" s="161" t="s">
        <v>660</v>
      </c>
      <c r="C89" s="18"/>
      <c r="D89" s="201">
        <f>F89</f>
        <v>2020</v>
      </c>
      <c r="E89" s="201">
        <f>F89</f>
        <v>2020</v>
      </c>
      <c r="F89" s="201">
        <v>2020</v>
      </c>
      <c r="G89" s="201">
        <f>F89</f>
        <v>2020</v>
      </c>
      <c r="H89" s="201">
        <f>F89</f>
        <v>2020</v>
      </c>
      <c r="I89" s="18"/>
      <c r="J89" s="201">
        <f>L89</f>
        <v>2021</v>
      </c>
      <c r="K89" s="201">
        <f>L89</f>
        <v>2021</v>
      </c>
      <c r="L89" s="201">
        <v>2021</v>
      </c>
      <c r="M89" s="201">
        <f>L89</f>
        <v>2021</v>
      </c>
      <c r="N89" s="201">
        <f>L89</f>
        <v>2021</v>
      </c>
      <c r="O89" s="169"/>
      <c r="P89" s="201">
        <f>R89</f>
        <v>2022</v>
      </c>
      <c r="Q89" s="201">
        <f>R89</f>
        <v>2022</v>
      </c>
      <c r="R89" s="201">
        <v>2022</v>
      </c>
      <c r="S89" s="201">
        <f>R89</f>
        <v>2022</v>
      </c>
      <c r="T89" s="201">
        <f>R89</f>
        <v>2022</v>
      </c>
      <c r="U89" s="169"/>
      <c r="V89" s="201">
        <f>X89</f>
        <v>2023</v>
      </c>
      <c r="W89" s="201">
        <f>X89</f>
        <v>2023</v>
      </c>
      <c r="X89" s="201">
        <v>2023</v>
      </c>
      <c r="Y89" s="201">
        <f>X89</f>
        <v>2023</v>
      </c>
      <c r="Z89" s="201">
        <f>X89</f>
        <v>2023</v>
      </c>
      <c r="AA89" s="170"/>
      <c r="AB89" s="201">
        <f>AD89</f>
        <v>2024</v>
      </c>
      <c r="AC89" s="201">
        <f>AD89</f>
        <v>2024</v>
      </c>
      <c r="AD89" s="201">
        <v>2024</v>
      </c>
      <c r="AE89" s="201">
        <f>AD89</f>
        <v>2024</v>
      </c>
      <c r="AF89" s="201">
        <f>AD89</f>
        <v>2024</v>
      </c>
      <c r="AG89" s="170"/>
      <c r="AH89" s="201">
        <f>AJ89</f>
        <v>2025</v>
      </c>
      <c r="AI89" s="201">
        <f>AJ89</f>
        <v>2025</v>
      </c>
      <c r="AJ89" s="202">
        <v>2025</v>
      </c>
      <c r="AK89" s="201">
        <f>AJ89</f>
        <v>2025</v>
      </c>
      <c r="AL89" s="201">
        <f>AJ89</f>
        <v>2025</v>
      </c>
      <c r="AM89" s="171"/>
      <c r="AN89" s="201">
        <f>AP89</f>
        <v>2025</v>
      </c>
      <c r="AO89" s="201">
        <f>AP89</f>
        <v>2025</v>
      </c>
      <c r="AP89" s="202">
        <v>2025</v>
      </c>
      <c r="AQ89" s="201">
        <f>AP89</f>
        <v>2025</v>
      </c>
      <c r="AR89" s="201">
        <f>AP89</f>
        <v>2025</v>
      </c>
      <c r="AS89" s="18"/>
      <c r="AT89" s="162"/>
      <c r="AU89" s="18"/>
      <c r="AV89" s="163"/>
      <c r="AW89" s="18"/>
      <c r="AX89" s="163"/>
    </row>
    <row r="90" spans="1:50" s="41" customFormat="1" ht="15" customHeight="1">
      <c r="B90" s="164"/>
      <c r="C90" s="18"/>
      <c r="D90" s="822">
        <v>2020</v>
      </c>
      <c r="E90" s="822"/>
      <c r="F90" s="822"/>
      <c r="G90" s="822"/>
      <c r="H90" s="822"/>
      <c r="I90" s="169"/>
      <c r="J90" s="822">
        <f>D90+1</f>
        <v>2021</v>
      </c>
      <c r="K90" s="822"/>
      <c r="L90" s="822"/>
      <c r="M90" s="822"/>
      <c r="N90" s="822"/>
      <c r="O90" s="169"/>
      <c r="P90" s="822">
        <f>J90+1</f>
        <v>2022</v>
      </c>
      <c r="Q90" s="822"/>
      <c r="R90" s="822"/>
      <c r="S90" s="822"/>
      <c r="T90" s="822"/>
      <c r="U90" s="169"/>
      <c r="V90" s="822">
        <f>P90+1</f>
        <v>2023</v>
      </c>
      <c r="W90" s="822"/>
      <c r="X90" s="822"/>
      <c r="Y90" s="822"/>
      <c r="Z90" s="822"/>
      <c r="AA90" s="169"/>
      <c r="AB90" s="822">
        <f>V90+1</f>
        <v>2024</v>
      </c>
      <c r="AC90" s="822"/>
      <c r="AD90" s="822"/>
      <c r="AE90" s="822"/>
      <c r="AF90" s="822"/>
      <c r="AG90" s="169"/>
      <c r="AH90" s="821">
        <f>AB90+1</f>
        <v>2025</v>
      </c>
      <c r="AI90" s="821"/>
      <c r="AJ90" s="821"/>
      <c r="AK90" s="821"/>
      <c r="AL90" s="821"/>
      <c r="AM90" s="169"/>
      <c r="AN90" s="821">
        <f>AH90+1</f>
        <v>2026</v>
      </c>
      <c r="AO90" s="821"/>
      <c r="AP90" s="821"/>
      <c r="AQ90" s="821"/>
      <c r="AR90" s="821"/>
      <c r="AS90" s="171"/>
      <c r="AT90" s="166">
        <f>AN90+1</f>
        <v>2027</v>
      </c>
      <c r="AU90" s="167"/>
      <c r="AV90" s="166">
        <f>+AT90+1</f>
        <v>2028</v>
      </c>
      <c r="AW90" s="167"/>
      <c r="AX90" s="166">
        <f>+AV90+1</f>
        <v>2029</v>
      </c>
    </row>
    <row r="91" spans="1:50" s="41" customFormat="1" ht="15" customHeight="1">
      <c r="B91" s="164"/>
      <c r="C91" s="18"/>
      <c r="D91" s="168" t="s">
        <v>173</v>
      </c>
      <c r="E91" s="168" t="s">
        <v>174</v>
      </c>
      <c r="F91" s="168" t="s">
        <v>175</v>
      </c>
      <c r="G91" s="168" t="s">
        <v>176</v>
      </c>
      <c r="H91" s="168" t="s">
        <v>177</v>
      </c>
      <c r="I91" s="18"/>
      <c r="J91" s="168" t="s">
        <v>173</v>
      </c>
      <c r="K91" s="168" t="s">
        <v>174</v>
      </c>
      <c r="L91" s="168" t="s">
        <v>175</v>
      </c>
      <c r="M91" s="168" t="s">
        <v>176</v>
      </c>
      <c r="N91" s="168" t="s">
        <v>177</v>
      </c>
      <c r="O91" s="165"/>
      <c r="P91" s="168" t="s">
        <v>173</v>
      </c>
      <c r="Q91" s="168" t="s">
        <v>174</v>
      </c>
      <c r="R91" s="168" t="s">
        <v>175</v>
      </c>
      <c r="S91" s="168" t="s">
        <v>176</v>
      </c>
      <c r="T91" s="168" t="s">
        <v>177</v>
      </c>
      <c r="U91" s="165"/>
      <c r="V91" s="168" t="s">
        <v>173</v>
      </c>
      <c r="W91" s="168" t="s">
        <v>174</v>
      </c>
      <c r="X91" s="168" t="s">
        <v>175</v>
      </c>
      <c r="Y91" s="168" t="s">
        <v>176</v>
      </c>
      <c r="Z91" s="168" t="s">
        <v>177</v>
      </c>
      <c r="AA91" s="165"/>
      <c r="AB91" s="168" t="s">
        <v>173</v>
      </c>
      <c r="AC91" s="168" t="s">
        <v>174</v>
      </c>
      <c r="AD91" s="168" t="s">
        <v>175</v>
      </c>
      <c r="AE91" s="168" t="s">
        <v>176</v>
      </c>
      <c r="AF91" s="168" t="s">
        <v>177</v>
      </c>
      <c r="AG91" s="165"/>
      <c r="AH91" s="168" t="s">
        <v>173</v>
      </c>
      <c r="AI91" s="168" t="s">
        <v>174</v>
      </c>
      <c r="AJ91" s="168" t="s">
        <v>175</v>
      </c>
      <c r="AK91" s="168" t="s">
        <v>176</v>
      </c>
      <c r="AL91" s="168" t="s">
        <v>177</v>
      </c>
      <c r="AM91" s="165"/>
      <c r="AN91" s="168" t="s">
        <v>173</v>
      </c>
      <c r="AO91" s="168" t="s">
        <v>174</v>
      </c>
      <c r="AP91" s="168" t="s">
        <v>175</v>
      </c>
      <c r="AQ91" s="168" t="s">
        <v>176</v>
      </c>
      <c r="AR91" s="168" t="s">
        <v>177</v>
      </c>
      <c r="AS91" s="165"/>
      <c r="AT91" s="168" t="s">
        <v>177</v>
      </c>
      <c r="AU91" s="165"/>
      <c r="AV91" s="168" t="s">
        <v>177</v>
      </c>
      <c r="AW91" s="165"/>
      <c r="AX91" s="168" t="s">
        <v>177</v>
      </c>
    </row>
    <row r="92" spans="1:50" s="41" customFormat="1" ht="4"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4"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3"/>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594</v>
      </c>
      <c r="C94" s="17"/>
      <c r="D94" s="207"/>
      <c r="E94" s="207"/>
      <c r="F94" s="207"/>
      <c r="G94" s="207"/>
      <c r="H94" s="215"/>
      <c r="I94" s="247"/>
      <c r="J94" s="248"/>
      <c r="K94" s="248"/>
      <c r="L94" s="248"/>
      <c r="M94" s="248"/>
      <c r="N94" s="249"/>
      <c r="O94" s="249"/>
      <c r="P94" s="248"/>
      <c r="Q94" s="248"/>
      <c r="R94" s="248"/>
      <c r="S94" s="248"/>
      <c r="T94" s="249"/>
      <c r="U94" s="249"/>
      <c r="V94" s="248"/>
      <c r="W94" s="248"/>
      <c r="X94" s="248"/>
      <c r="Y94" s="248"/>
      <c r="Z94" s="249"/>
      <c r="AA94" s="249"/>
      <c r="AB94" s="250"/>
      <c r="AC94" s="250"/>
      <c r="AD94" s="250"/>
      <c r="AE94" s="250"/>
      <c r="AF94" s="249"/>
      <c r="AG94" s="251"/>
      <c r="AH94" s="252"/>
      <c r="AI94" s="252"/>
      <c r="AJ94" s="252"/>
      <c r="AK94" s="252"/>
      <c r="AL94" s="249"/>
      <c r="AM94" s="253"/>
      <c r="AN94" s="252"/>
      <c r="AO94" s="252"/>
      <c r="AP94" s="252"/>
      <c r="AQ94" s="252"/>
      <c r="AR94" s="249"/>
      <c r="AS94" s="253"/>
      <c r="AT94" s="249"/>
      <c r="AU94" s="253"/>
      <c r="AV94" s="249"/>
      <c r="AW94" s="254"/>
      <c r="AX94" s="254"/>
    </row>
    <row r="95" spans="1:50" s="113" customFormat="1" ht="15" customHeight="1">
      <c r="B95" s="114"/>
      <c r="C95" s="115"/>
      <c r="D95" s="207"/>
      <c r="E95" s="207"/>
      <c r="F95" s="207"/>
      <c r="G95" s="207"/>
      <c r="H95" s="215"/>
      <c r="I95" s="255"/>
      <c r="J95" s="248"/>
      <c r="K95" s="248"/>
      <c r="L95" s="248"/>
      <c r="M95" s="248"/>
      <c r="N95" s="249"/>
      <c r="O95" s="255"/>
      <c r="P95" s="248"/>
      <c r="Q95" s="248"/>
      <c r="R95" s="248"/>
      <c r="S95" s="248"/>
      <c r="T95" s="249"/>
      <c r="U95" s="255"/>
      <c r="V95" s="248"/>
      <c r="W95" s="248"/>
      <c r="X95" s="248"/>
      <c r="Y95" s="248"/>
      <c r="Z95" s="249"/>
      <c r="AA95" s="256"/>
      <c r="AB95" s="250"/>
      <c r="AC95" s="250"/>
      <c r="AD95" s="250"/>
      <c r="AE95" s="250"/>
      <c r="AF95" s="249"/>
      <c r="AG95" s="257"/>
      <c r="AH95" s="258"/>
      <c r="AI95" s="258"/>
      <c r="AJ95" s="258"/>
      <c r="AK95" s="258"/>
      <c r="AL95" s="249"/>
      <c r="AM95" s="259"/>
      <c r="AN95" s="258"/>
      <c r="AO95" s="258"/>
      <c r="AP95" s="258"/>
      <c r="AQ95" s="258"/>
      <c r="AR95" s="249"/>
      <c r="AS95" s="259"/>
      <c r="AT95" s="249"/>
      <c r="AU95" s="259"/>
      <c r="AV95" s="249"/>
      <c r="AW95" s="260"/>
      <c r="AX95" s="260"/>
    </row>
    <row r="96" spans="1:50" s="41" customFormat="1" ht="15" customHeight="1">
      <c r="A96" s="44" t="s">
        <v>39</v>
      </c>
      <c r="B96" s="114" t="s">
        <v>595</v>
      </c>
      <c r="C96" s="17"/>
      <c r="D96" s="207"/>
      <c r="E96" s="207"/>
      <c r="F96" s="207"/>
      <c r="G96" s="207"/>
      <c r="H96" s="219"/>
      <c r="I96" s="247"/>
      <c r="J96" s="261"/>
      <c r="K96" s="261"/>
      <c r="L96" s="261"/>
      <c r="M96" s="261"/>
      <c r="N96" s="249"/>
      <c r="O96" s="247"/>
      <c r="P96" s="261"/>
      <c r="Q96" s="261"/>
      <c r="R96" s="261"/>
      <c r="S96" s="261"/>
      <c r="T96" s="249"/>
      <c r="U96" s="247"/>
      <c r="V96" s="261"/>
      <c r="W96" s="261"/>
      <c r="X96" s="261"/>
      <c r="Y96" s="261"/>
      <c r="Z96" s="249"/>
      <c r="AA96" s="262"/>
      <c r="AB96" s="263"/>
      <c r="AC96" s="263"/>
      <c r="AD96" s="263"/>
      <c r="AE96" s="263"/>
      <c r="AF96" s="249"/>
      <c r="AG96" s="264"/>
      <c r="AH96" s="265"/>
      <c r="AI96" s="265"/>
      <c r="AJ96" s="265"/>
      <c r="AK96" s="265"/>
      <c r="AL96" s="249"/>
      <c r="AM96" s="266"/>
      <c r="AN96" s="265"/>
      <c r="AO96" s="265"/>
      <c r="AP96" s="265"/>
      <c r="AQ96" s="265"/>
      <c r="AR96" s="249"/>
      <c r="AS96" s="266"/>
      <c r="AT96" s="249"/>
      <c r="AU96" s="266"/>
      <c r="AV96" s="249"/>
      <c r="AW96" s="254"/>
      <c r="AX96" s="254"/>
    </row>
    <row r="97" spans="1:50" s="41" customFormat="1" ht="15" customHeight="1">
      <c r="A97" s="44"/>
      <c r="B97" s="127" t="s">
        <v>596</v>
      </c>
      <c r="C97" s="17"/>
      <c r="D97" s="207" t="str">
        <f>IF(ROUND(BS!D15,0)=ROUND(SUM(BS!D16:D17),0),"OK","ERROR")</f>
        <v>OK</v>
      </c>
      <c r="E97" s="207" t="str">
        <f>IF(ROUND(BS!E15,0)=ROUND(SUM(BS!E16:E17),0),"OK","ERROR")</f>
        <v>OK</v>
      </c>
      <c r="F97" s="207" t="str">
        <f>IF(ROUND(BS!F15,0)=ROUND(SUM(BS!F16:F17),0),"OK","ERROR")</f>
        <v>OK</v>
      </c>
      <c r="G97" s="207" t="str">
        <f>IF(ROUND(BS!G15,0)=ROUND(SUM(BS!G16:G17),0),"OK","ERROR")</f>
        <v>OK</v>
      </c>
      <c r="H97" s="219" t="str">
        <f>IF(ROUND(BS!H15,0)=ROUND(SUM(BS!H16:H17),0),"OK","ERROR")</f>
        <v>OK</v>
      </c>
      <c r="I97" s="247"/>
      <c r="J97" s="207" t="str">
        <f>IF(ROUND(BS!J15,0)=ROUND(SUM(BS!J16:J17),0),"OK","ERROR")</f>
        <v>OK</v>
      </c>
      <c r="K97" s="207" t="str">
        <f>IF(ROUND(BS!K15,0)=ROUND(SUM(BS!K16:K17),0),"OK","ERROR")</f>
        <v>OK</v>
      </c>
      <c r="L97" s="207" t="str">
        <f>IF(ROUND(BS!L15,0)=ROUND(SUM(BS!L16:L17),0),"OK","ERROR")</f>
        <v>OK</v>
      </c>
      <c r="M97" s="207" t="str">
        <f>IF(ROUND(BS!M15,0)=ROUND(SUM(BS!M16:M17),0),"OK","ERROR")</f>
        <v>OK</v>
      </c>
      <c r="N97" s="219" t="str">
        <f>IF(ROUND(BS!N15,0)=ROUND(SUM(BS!N16:N17),0),"OK","ERROR")</f>
        <v>OK</v>
      </c>
      <c r="O97" s="247"/>
      <c r="P97" s="207" t="str">
        <f>IF(ROUND(BS!P15,0)=ROUND(SUM(BS!P16:P17),0),"OK","ERROR")</f>
        <v>OK</v>
      </c>
      <c r="Q97" s="207" t="str">
        <f>IF(ROUND(BS!Q15,0)=ROUND(SUM(BS!Q16:Q17),0),"OK","ERROR")</f>
        <v>OK</v>
      </c>
      <c r="R97" s="207" t="str">
        <f>IF(ROUND(BS!R15,0)=ROUND(SUM(BS!R16:R17),0),"OK","ERROR")</f>
        <v>OK</v>
      </c>
      <c r="S97" s="207" t="str">
        <f>IF(ROUND(BS!S15,0)=ROUND(SUM(BS!S16:S17),0),"OK","ERROR")</f>
        <v>OK</v>
      </c>
      <c r="T97" s="219" t="str">
        <f>IF(ROUND(BS!T15,0)=ROUND(SUM(BS!T16:T17),0),"OK","ERROR")</f>
        <v>OK</v>
      </c>
      <c r="U97" s="247"/>
      <c r="V97" s="207" t="str">
        <f>IF(ROUND(BS!V15,0)=ROUND(SUM(BS!V16:V17),0),"OK","ERROR")</f>
        <v>OK</v>
      </c>
      <c r="W97" s="207" t="str">
        <f>IF(ROUND(BS!W15,0)=ROUND(SUM(BS!W16:W17),0),"OK","ERROR")</f>
        <v>OK</v>
      </c>
      <c r="X97" s="207" t="str">
        <f>IF(ROUND(BS!X15,0)=ROUND(SUM(BS!X16:X17),0),"OK","ERROR")</f>
        <v>OK</v>
      </c>
      <c r="Y97" s="207" t="str">
        <f>IF(ROUND(BS!Y15,0)=ROUND(SUM(BS!Y16:Y17),0),"OK","ERROR")</f>
        <v>OK</v>
      </c>
      <c r="Z97" s="219" t="str">
        <f>IF(ROUND(BS!Z15,0)=ROUND(SUM(BS!Z16:Z17),0),"OK","ERROR")</f>
        <v>OK</v>
      </c>
      <c r="AA97" s="262"/>
      <c r="AB97" s="207" t="str">
        <f>IF(ROUND(BS!AB15,0)=ROUND(SUM(BS!AB16:AB17),0),"OK","ERROR")</f>
        <v>OK</v>
      </c>
      <c r="AC97" s="207" t="str">
        <f>IF(ROUND(BS!AC15,0)=ROUND(SUM(BS!AC16:AC17),0),"OK","ERROR")</f>
        <v>OK</v>
      </c>
      <c r="AD97" s="207" t="str">
        <f>IF(ROUND(BS!AD15,0)=ROUND(SUM(BS!AD16:AD17),0),"OK","ERROR")</f>
        <v>OK</v>
      </c>
      <c r="AE97" s="207" t="str">
        <f>IF(ROUND(BS!AE15,0)=ROUND(SUM(BS!AE16:AE17),0),"OK","ERROR")</f>
        <v>OK</v>
      </c>
      <c r="AF97" s="219" t="str">
        <f>IF(ROUND(BS!AF15,0)=ROUND(SUM(BS!AF16:AF17),0),"OK","ERROR")</f>
        <v>OK</v>
      </c>
      <c r="AG97" s="264"/>
      <c r="AH97" s="207" t="str">
        <f>IF(ROUND(BS!AH15,0)=ROUND(SUM(BS!AH16:AH17),0),"OK","ERROR")</f>
        <v>OK</v>
      </c>
      <c r="AI97" s="207" t="str">
        <f>IF(ROUND(BS!AI15,0)=ROUND(SUM(BS!AI16:AI17),0),"OK","ERROR")</f>
        <v>OK</v>
      </c>
      <c r="AJ97" s="207" t="str">
        <f>IF(ROUND(BS!AJ15,0)=ROUND(SUM(BS!AJ16:AJ17),0),"OK","ERROR")</f>
        <v>OK</v>
      </c>
      <c r="AK97" s="207" t="str">
        <f>IF(ROUND(BS!AK15,0)=ROUND(SUM(BS!AK16:AK17),0),"OK","ERROR")</f>
        <v>OK</v>
      </c>
      <c r="AL97" s="219" t="str">
        <f>IF(ROUND(BS!AL15,0)=ROUND(SUM(BS!AL16:AL17),0),"OK","ERROR")</f>
        <v>OK</v>
      </c>
      <c r="AM97" s="266"/>
      <c r="AN97" s="207" t="str">
        <f>IF(ROUND(BS!AN15,0)=ROUND(SUM(BS!AN16:AN17),0),"OK","ERROR")</f>
        <v>OK</v>
      </c>
      <c r="AO97" s="207" t="str">
        <f>IF(ROUND(BS!AO15,0)=ROUND(SUM(BS!AO16:AO17),0),"OK","ERROR")</f>
        <v>OK</v>
      </c>
      <c r="AP97" s="207" t="str">
        <f>IF(ROUND(BS!AP15,0)=ROUND(SUM(BS!AP16:AP17),0),"OK","ERROR")</f>
        <v>OK</v>
      </c>
      <c r="AQ97" s="207" t="str">
        <f>IF(ROUND(BS!AQ15,0)=ROUND(SUM(BS!AQ16:AQ17),0),"OK","ERROR")</f>
        <v>OK</v>
      </c>
      <c r="AR97" s="219" t="str">
        <f>IF(ROUND(BS!AR15,0)=ROUND(SUM(BS!AR16:AR17),0),"OK","ERROR")</f>
        <v>OK</v>
      </c>
      <c r="AS97" s="266"/>
      <c r="AT97" s="219" t="str">
        <f>IF(ROUND(BS!AT15,0)=ROUND(SUM(BS!AT16:AT17),0),"OK","ERROR")</f>
        <v>OK</v>
      </c>
      <c r="AU97" s="266"/>
      <c r="AV97" s="219" t="str">
        <f>IF(ROUND(BS!AV15,0)=ROUND(SUM(BS!AV16:AV17),0),"OK","ERROR")</f>
        <v>OK</v>
      </c>
      <c r="AW97" s="254"/>
      <c r="AX97" s="219" t="str">
        <f>IF(ROUND(BS!AX15,0)=ROUND(SUM(BS!AX16:AX17),0),"OK","ERROR")</f>
        <v>OK</v>
      </c>
    </row>
    <row r="98" spans="1:50" s="135" customFormat="1" ht="15" customHeight="1">
      <c r="A98" s="84"/>
      <c r="B98" s="59" t="s">
        <v>601</v>
      </c>
      <c r="C98" s="26"/>
      <c r="D98" s="216" t="str">
        <f>IF(ROUND(BS!D21,0)=ROUND(SUM(BS!D16:D20),0),"OK","ERROR")</f>
        <v>OK</v>
      </c>
      <c r="E98" s="216" t="str">
        <f>IF(ROUND(BS!E21,0)=ROUND(SUM(BS!E16:E20),0),"OK","ERROR")</f>
        <v>OK</v>
      </c>
      <c r="F98" s="216" t="str">
        <f>IF(ROUND(BS!F21,0)=ROUND(SUM(BS!F16:F20),0),"OK","ERROR")</f>
        <v>OK</v>
      </c>
      <c r="G98" s="216" t="str">
        <f>IF(ROUND(BS!G21,0)=ROUND(SUM(BS!G16:G20),0),"OK","ERROR")</f>
        <v>OK</v>
      </c>
      <c r="H98" s="226" t="str">
        <f>IF(ROUND(BS!H21,0)=ROUND(SUM(BS!H16:H20),0),"OK","ERROR")</f>
        <v>OK</v>
      </c>
      <c r="I98" s="267"/>
      <c r="J98" s="216" t="str">
        <f>IF(ROUND(BS!J21,0)=ROUND(SUM(BS!J16:J20),0),"OK","ERROR")</f>
        <v>OK</v>
      </c>
      <c r="K98" s="216" t="str">
        <f>IF(ROUND(BS!K21,0)=ROUND(SUM(BS!K16:K20),0),"OK","ERROR")</f>
        <v>OK</v>
      </c>
      <c r="L98" s="216" t="str">
        <f>IF(ROUND(BS!L21,0)=ROUND(SUM(BS!L16:L20),0),"OK","ERROR")</f>
        <v>OK</v>
      </c>
      <c r="M98" s="216" t="str">
        <f>IF(ROUND(BS!M21,0)=ROUND(SUM(BS!M16:M20),0),"OK","ERROR")</f>
        <v>OK</v>
      </c>
      <c r="N98" s="226" t="str">
        <f>IF(ROUND(BS!N21,0)=ROUND(SUM(BS!N16:N20),0),"OK","ERROR")</f>
        <v>OK</v>
      </c>
      <c r="O98" s="267"/>
      <c r="P98" s="216" t="str">
        <f>IF(ROUND(BS!P21,0)=ROUND(SUM(BS!P16:P20),0),"OK","ERROR")</f>
        <v>OK</v>
      </c>
      <c r="Q98" s="216" t="str">
        <f>IF(ROUND(BS!Q21,0)=ROUND(SUM(BS!Q16:Q20),0),"OK","ERROR")</f>
        <v>OK</v>
      </c>
      <c r="R98" s="216" t="str">
        <f>IF(ROUND(BS!R21,0)=ROUND(SUM(BS!R16:R20),0),"OK","ERROR")</f>
        <v>OK</v>
      </c>
      <c r="S98" s="216" t="str">
        <f>IF(ROUND(BS!S21,0)=ROUND(SUM(BS!S16:S20),0),"OK","ERROR")</f>
        <v>OK</v>
      </c>
      <c r="T98" s="226" t="str">
        <f>IF(ROUND(BS!T21,0)=ROUND(SUM(BS!T16:T20),0),"OK","ERROR")</f>
        <v>OK</v>
      </c>
      <c r="U98" s="267"/>
      <c r="V98" s="216" t="str">
        <f>IF(ROUND(BS!V21,0)=ROUND(SUM(BS!V16:V20),0),"OK","ERROR")</f>
        <v>OK</v>
      </c>
      <c r="W98" s="216" t="str">
        <f>IF(ROUND(BS!W21,0)=ROUND(SUM(BS!W16:W20),0),"OK","ERROR")</f>
        <v>OK</v>
      </c>
      <c r="X98" s="216" t="str">
        <f>IF(ROUND(BS!X21,0)=ROUND(SUM(BS!X16:X20),0),"OK","ERROR")</f>
        <v>OK</v>
      </c>
      <c r="Y98" s="216" t="str">
        <f>IF(ROUND(BS!Y21,0)=ROUND(SUM(BS!Y16:Y20),0),"OK","ERROR")</f>
        <v>OK</v>
      </c>
      <c r="Z98" s="226" t="str">
        <f>IF(ROUND(BS!Z21,0)=ROUND(SUM(BS!Z16:Z20),0),"OK","ERROR")</f>
        <v>OK</v>
      </c>
      <c r="AA98" s="268"/>
      <c r="AB98" s="216" t="str">
        <f>IF(ROUND(BS!AB21,0)=ROUND(SUM(BS!AB16:AB20),0),"OK","ERROR")</f>
        <v>OK</v>
      </c>
      <c r="AC98" s="216" t="str">
        <f>IF(ROUND(BS!AC21,0)=ROUND(SUM(BS!AC16:AC20),0),"OK","ERROR")</f>
        <v>OK</v>
      </c>
      <c r="AD98" s="216" t="str">
        <f>IF(ROUND(BS!AD21,0)=ROUND(SUM(BS!AD16:AD20),0),"OK","ERROR")</f>
        <v>OK</v>
      </c>
      <c r="AE98" s="216" t="str">
        <f>IF(ROUND(BS!AE21,0)=ROUND(SUM(BS!AE16:AE20),0),"OK","ERROR")</f>
        <v>OK</v>
      </c>
      <c r="AF98" s="226" t="str">
        <f>IF(ROUND(BS!AF21,0)=ROUND(SUM(BS!AF16:AF20),0),"OK","ERROR")</f>
        <v>OK</v>
      </c>
      <c r="AG98" s="269"/>
      <c r="AH98" s="216" t="str">
        <f>IF(ROUND(BS!AH21,0)=ROUND(SUM(BS!AH16:AH20),0),"OK","ERROR")</f>
        <v>OK</v>
      </c>
      <c r="AI98" s="216" t="str">
        <f>IF(ROUND(BS!AI21,0)=ROUND(SUM(BS!AI16:AI20),0),"OK","ERROR")</f>
        <v>OK</v>
      </c>
      <c r="AJ98" s="216" t="str">
        <f>IF(ROUND(BS!AJ21,0)=ROUND(SUM(BS!AJ16:AJ20),0),"OK","ERROR")</f>
        <v>OK</v>
      </c>
      <c r="AK98" s="216" t="str">
        <f>IF(ROUND(BS!AK21,0)=ROUND(SUM(BS!AK16:AK20),0),"OK","ERROR")</f>
        <v>OK</v>
      </c>
      <c r="AL98" s="226" t="str">
        <f>IF(ROUND(BS!AL21,0)=ROUND(SUM(BS!AL16:AL20),0),"OK","ERROR")</f>
        <v>OK</v>
      </c>
      <c r="AM98" s="270"/>
      <c r="AN98" s="216" t="str">
        <f>IF(ROUND(BS!AN21,0)=ROUND(SUM(BS!AN16:AN20),0),"OK","ERROR")</f>
        <v>OK</v>
      </c>
      <c r="AO98" s="216" t="str">
        <f>IF(ROUND(BS!AO21,0)=ROUND(SUM(BS!AO16:AO20),0),"OK","ERROR")</f>
        <v>OK</v>
      </c>
      <c r="AP98" s="216" t="str">
        <f>IF(ROUND(BS!AP21,0)=ROUND(SUM(BS!AP16:AP20),0),"OK","ERROR")</f>
        <v>OK</v>
      </c>
      <c r="AQ98" s="216" t="str">
        <f>IF(ROUND(BS!AQ21,0)=ROUND(SUM(BS!AQ16:AQ20),0),"OK","ERROR")</f>
        <v>OK</v>
      </c>
      <c r="AR98" s="226" t="str">
        <f>IF(ROUND(BS!AR21,0)=ROUND(SUM(BS!AR16:AR20),0),"OK","ERROR")</f>
        <v>OK</v>
      </c>
      <c r="AS98" s="270"/>
      <c r="AT98" s="226" t="str">
        <f>IF(ROUND(BS!AT21,0)=ROUND(SUM(BS!AT16:AT20),0),"OK","ERROR")</f>
        <v>OK</v>
      </c>
      <c r="AU98" s="270"/>
      <c r="AV98" s="226" t="str">
        <f>IF(ROUND(BS!AV21,0)=ROUND(SUM(BS!AV16:AV20),0),"OK","ERROR")</f>
        <v>OK</v>
      </c>
      <c r="AW98" s="271"/>
      <c r="AX98" s="226" t="str">
        <f>IF(ROUND(BS!AX21,0)=ROUND(SUM(BS!AX16:AX20),0),"OK","ERROR")</f>
        <v>OK</v>
      </c>
    </row>
    <row r="99" spans="1:50" s="41" customFormat="1" ht="15" customHeight="1">
      <c r="A99" s="43"/>
      <c r="B99" s="136"/>
      <c r="C99" s="17"/>
      <c r="D99" s="207"/>
      <c r="E99" s="207"/>
      <c r="F99" s="207"/>
      <c r="G99" s="207"/>
      <c r="H99" s="219"/>
      <c r="I99" s="247"/>
      <c r="J99" s="207"/>
      <c r="K99" s="207"/>
      <c r="L99" s="207"/>
      <c r="M99" s="207"/>
      <c r="N99" s="219"/>
      <c r="O99" s="247"/>
      <c r="P99" s="207"/>
      <c r="Q99" s="207"/>
      <c r="R99" s="207"/>
      <c r="S99" s="207"/>
      <c r="T99" s="219"/>
      <c r="U99" s="247"/>
      <c r="V99" s="207"/>
      <c r="W99" s="207"/>
      <c r="X99" s="207"/>
      <c r="Y99" s="207"/>
      <c r="Z99" s="219"/>
      <c r="AA99" s="262"/>
      <c r="AB99" s="207"/>
      <c r="AC99" s="207"/>
      <c r="AD99" s="207"/>
      <c r="AE99" s="207"/>
      <c r="AF99" s="219"/>
      <c r="AG99" s="264"/>
      <c r="AH99" s="207"/>
      <c r="AI99" s="207"/>
      <c r="AJ99" s="207"/>
      <c r="AK99" s="207"/>
      <c r="AL99" s="219"/>
      <c r="AM99" s="266"/>
      <c r="AN99" s="207"/>
      <c r="AO99" s="207"/>
      <c r="AP99" s="207"/>
      <c r="AQ99" s="207"/>
      <c r="AR99" s="219"/>
      <c r="AS99" s="266"/>
      <c r="AT99" s="219"/>
      <c r="AU99" s="266"/>
      <c r="AV99" s="219"/>
      <c r="AW99" s="254"/>
      <c r="AX99" s="219"/>
    </row>
    <row r="100" spans="1:50" s="113" customFormat="1" ht="15" customHeight="1">
      <c r="A100" s="44" t="s">
        <v>39</v>
      </c>
      <c r="B100" s="45" t="s">
        <v>602</v>
      </c>
      <c r="C100" s="115"/>
      <c r="D100" s="207"/>
      <c r="E100" s="207"/>
      <c r="F100" s="207"/>
      <c r="G100" s="207"/>
      <c r="H100" s="219"/>
      <c r="I100" s="255"/>
      <c r="J100" s="207"/>
      <c r="K100" s="207"/>
      <c r="L100" s="207"/>
      <c r="M100" s="207"/>
      <c r="N100" s="219"/>
      <c r="O100" s="255"/>
      <c r="P100" s="207"/>
      <c r="Q100" s="207"/>
      <c r="R100" s="207"/>
      <c r="S100" s="207"/>
      <c r="T100" s="219"/>
      <c r="U100" s="255"/>
      <c r="V100" s="207"/>
      <c r="W100" s="207"/>
      <c r="X100" s="207"/>
      <c r="Y100" s="207"/>
      <c r="Z100" s="219"/>
      <c r="AA100" s="272"/>
      <c r="AB100" s="207"/>
      <c r="AC100" s="207"/>
      <c r="AD100" s="207"/>
      <c r="AE100" s="207"/>
      <c r="AF100" s="219"/>
      <c r="AG100" s="273"/>
      <c r="AH100" s="207"/>
      <c r="AI100" s="207"/>
      <c r="AJ100" s="207"/>
      <c r="AK100" s="207"/>
      <c r="AL100" s="219"/>
      <c r="AM100" s="272"/>
      <c r="AN100" s="207"/>
      <c r="AO100" s="207"/>
      <c r="AP100" s="207"/>
      <c r="AQ100" s="207"/>
      <c r="AR100" s="219"/>
      <c r="AS100" s="272"/>
      <c r="AT100" s="219"/>
      <c r="AU100" s="272"/>
      <c r="AV100" s="219"/>
      <c r="AW100" s="260"/>
      <c r="AX100" s="219"/>
    </row>
    <row r="101" spans="1:50" s="113" customFormat="1" ht="15" customHeight="1">
      <c r="A101" s="44"/>
      <c r="B101" s="127" t="s">
        <v>413</v>
      </c>
      <c r="C101" s="115"/>
      <c r="D101" s="207" t="str">
        <f>IF(ROUND(BS!D24,0)=ROUND(BS!D25-BS!D26,0),"OK","ERROR")</f>
        <v>OK</v>
      </c>
      <c r="E101" s="207" t="str">
        <f>IF(ROUND(BS!E24,0)=ROUND(BS!E25-BS!E26,0),"OK","ERROR")</f>
        <v>OK</v>
      </c>
      <c r="F101" s="207" t="str">
        <f>IF(ROUND(BS!F24,0)=ROUND(BS!F25-BS!F26,0),"OK","ERROR")</f>
        <v>OK</v>
      </c>
      <c r="G101" s="207" t="str">
        <f>IF(ROUND(BS!G24,0)=ROUND(BS!G25-BS!G26,0),"OK","ERROR")</f>
        <v>OK</v>
      </c>
      <c r="H101" s="219" t="str">
        <f>IF(ROUND(BS!H24,0)=ROUND(BS!H25-BS!H26,0),"OK","ERROR")</f>
        <v>OK</v>
      </c>
      <c r="I101" s="255"/>
      <c r="J101" s="207" t="str">
        <f>IF(ROUND(BS!J24,0)=ROUND(BS!J25-BS!J26,0),"OK","ERROR")</f>
        <v>OK</v>
      </c>
      <c r="K101" s="207" t="str">
        <f>IF(ROUND(BS!K24,0)=ROUND(BS!K25-BS!K26,0),"OK","ERROR")</f>
        <v>OK</v>
      </c>
      <c r="L101" s="207" t="str">
        <f>IF(ROUND(BS!L24,0)=ROUND(BS!L25-BS!L26,0),"OK","ERROR")</f>
        <v>OK</v>
      </c>
      <c r="M101" s="207" t="str">
        <f>IF(ROUND(BS!M24,0)=ROUND(BS!M25-BS!M26,0),"OK","ERROR")</f>
        <v>OK</v>
      </c>
      <c r="N101" s="219" t="str">
        <f>IF(ROUND(BS!N24,0)=ROUND(BS!N25-BS!N26,0),"OK","ERROR")</f>
        <v>OK</v>
      </c>
      <c r="O101" s="255"/>
      <c r="P101" s="207" t="str">
        <f>IF(ROUND(BS!P24,0)=ROUND(BS!P25-BS!P26,0),"OK","ERROR")</f>
        <v>OK</v>
      </c>
      <c r="Q101" s="207" t="str">
        <f>IF(ROUND(BS!Q24,0)=ROUND(BS!Q25-BS!Q26,0),"OK","ERROR")</f>
        <v>OK</v>
      </c>
      <c r="R101" s="207" t="str">
        <f>IF(ROUND(BS!R24,0)=ROUND(BS!R25-BS!R26,0),"OK","ERROR")</f>
        <v>OK</v>
      </c>
      <c r="S101" s="207" t="str">
        <f>IF(ROUND(BS!S24,0)=ROUND(BS!S25-BS!S26,0),"OK","ERROR")</f>
        <v>OK</v>
      </c>
      <c r="T101" s="219" t="str">
        <f>IF(ROUND(BS!T24,0)=ROUND(BS!T25-BS!T26,0),"OK","ERROR")</f>
        <v>OK</v>
      </c>
      <c r="U101" s="255"/>
      <c r="V101" s="207" t="str">
        <f>IF(ROUND(BS!V24,0)=ROUND(BS!V25-BS!V26,0),"OK","ERROR")</f>
        <v>OK</v>
      </c>
      <c r="W101" s="207" t="str">
        <f>IF(ROUND(BS!W24,0)=ROUND(BS!W25-BS!W26,0),"OK","ERROR")</f>
        <v>OK</v>
      </c>
      <c r="X101" s="207" t="str">
        <f>IF(ROUND(BS!X24,0)=ROUND(BS!X25-BS!X26,0),"OK","ERROR")</f>
        <v>OK</v>
      </c>
      <c r="Y101" s="207" t="str">
        <f>IF(ROUND(BS!Y24,0)=ROUND(BS!Y25-BS!Y26,0),"OK","ERROR")</f>
        <v>OK</v>
      </c>
      <c r="Z101" s="219" t="str">
        <f>IF(ROUND(BS!Z24,0)=ROUND(BS!Z25-BS!Z26,0),"OK","ERROR")</f>
        <v>OK</v>
      </c>
      <c r="AA101" s="272"/>
      <c r="AB101" s="207" t="str">
        <f>IF(ROUND(BS!AB24,0)=ROUND(BS!AB25-BS!AB26,0),"OK","ERROR")</f>
        <v>OK</v>
      </c>
      <c r="AC101" s="207" t="str">
        <f>IF(ROUND(BS!AC24,0)=ROUND(BS!AC25-BS!AC26,0),"OK","ERROR")</f>
        <v>OK</v>
      </c>
      <c r="AD101" s="207" t="str">
        <f>IF(ROUND(BS!AD24,0)=ROUND(BS!AD25-BS!AD26,0),"OK","ERROR")</f>
        <v>OK</v>
      </c>
      <c r="AE101" s="207" t="str">
        <f>IF(ROUND(BS!AE24,0)=ROUND(BS!AE25-BS!AE26,0),"OK","ERROR")</f>
        <v>OK</v>
      </c>
      <c r="AF101" s="219" t="str">
        <f>IF(ROUND(BS!AF24,0)=ROUND(BS!AF25-BS!AF26,0),"OK","ERROR")</f>
        <v>OK</v>
      </c>
      <c r="AG101" s="273"/>
      <c r="AH101" s="207" t="str">
        <f>IF(ROUND(BS!AH24,0)=ROUND(BS!AH25-BS!AH26,0),"OK","ERROR")</f>
        <v>OK</v>
      </c>
      <c r="AI101" s="207" t="str">
        <f>IF(ROUND(BS!AI24,0)=ROUND(BS!AI25-BS!AI26,0),"OK","ERROR")</f>
        <v>OK</v>
      </c>
      <c r="AJ101" s="207" t="str">
        <f>IF(ROUND(BS!AJ24,0)=ROUND(BS!AJ25-BS!AJ26,0),"OK","ERROR")</f>
        <v>ERROR</v>
      </c>
      <c r="AK101" s="207" t="str">
        <f>IF(ROUND(BS!AK24,0)=ROUND(BS!AK25-BS!AK26,0),"OK","ERROR")</f>
        <v>ERROR</v>
      </c>
      <c r="AL101" s="219" t="str">
        <f>IF(ROUND(BS!AL24,0)=ROUND(BS!AL25-BS!AL26,0),"OK","ERROR")</f>
        <v>ERROR</v>
      </c>
      <c r="AM101" s="272"/>
      <c r="AN101" s="207" t="str">
        <f>IF(ROUND(BS!AN24,0)=ROUND(BS!AN25-BS!AN26,0),"OK","ERROR")</f>
        <v>ERROR</v>
      </c>
      <c r="AO101" s="207" t="str">
        <f>IF(ROUND(BS!AO24,0)=ROUND(BS!AO25-BS!AO26,0),"OK","ERROR")</f>
        <v>ERROR</v>
      </c>
      <c r="AP101" s="207" t="str">
        <f>IF(ROUND(BS!AP24,0)=ROUND(BS!AP25-BS!AP26,0),"OK","ERROR")</f>
        <v>ERROR</v>
      </c>
      <c r="AQ101" s="207" t="str">
        <f>IF(ROUND(BS!AQ24,0)=ROUND(BS!AQ25-BS!AQ26,0),"OK","ERROR")</f>
        <v>ERROR</v>
      </c>
      <c r="AR101" s="219" t="str">
        <f>IF(ROUND(BS!AR24,0)=ROUND(BS!AR25-BS!AR26,0),"OK","ERROR")</f>
        <v>ERROR</v>
      </c>
      <c r="AS101" s="272"/>
      <c r="AT101" s="219" t="str">
        <f>IF(ROUND(BS!AT24,0)=ROUND(BS!AT25-BS!AT26,0),"OK","ERROR")</f>
        <v>ERROR</v>
      </c>
      <c r="AU101" s="272"/>
      <c r="AV101" s="219" t="str">
        <f>IF(ROUND(BS!AV24,0)=ROUND(BS!AV25-BS!AV26,0),"OK","ERROR")</f>
        <v>ERROR</v>
      </c>
      <c r="AW101" s="260"/>
      <c r="AX101" s="219" t="str">
        <f>IF(ROUND(BS!AX24,0)=ROUND(BS!AX25-BS!AX26,0),"OK","ERROR")</f>
        <v>OK</v>
      </c>
    </row>
    <row r="102" spans="1:50" s="113" customFormat="1" ht="15" customHeight="1">
      <c r="A102" s="44"/>
      <c r="B102" s="127" t="s">
        <v>415</v>
      </c>
      <c r="C102" s="115"/>
      <c r="D102" s="207" t="str">
        <f>IF(ROUND(BS!D27,0)=ROUND(SUM(BS!D27:D29),0),"OK","ERROR")</f>
        <v>OK</v>
      </c>
      <c r="E102" s="207" t="str">
        <f>IF(ROUND(BS!E27,0)=ROUND(SUM(BS!E27:E29),0),"OK","ERROR")</f>
        <v>OK</v>
      </c>
      <c r="F102" s="207" t="str">
        <f>IF(ROUND(BS!F27,0)=ROUND(SUM(BS!F27:F29),0),"OK","ERROR")</f>
        <v>OK</v>
      </c>
      <c r="G102" s="207" t="str">
        <f>IF(ROUND(BS!G27,0)=ROUND(SUM(BS!G27:G29),0),"OK","ERROR")</f>
        <v>OK</v>
      </c>
      <c r="H102" s="219" t="str">
        <f>IF(ROUND(BS!H27,0)=ROUND(SUM(BS!H27:H29),0),"OK","ERROR")</f>
        <v>OK</v>
      </c>
      <c r="I102" s="255"/>
      <c r="J102" s="207" t="str">
        <f>IF(ROUND(BS!J27,0)=ROUND(SUM(BS!J27:J29),0),"OK","ERROR")</f>
        <v>OK</v>
      </c>
      <c r="K102" s="207" t="str">
        <f>IF(ROUND(BS!K27,0)=ROUND(SUM(BS!K27:K29),0),"OK","ERROR")</f>
        <v>OK</v>
      </c>
      <c r="L102" s="207" t="str">
        <f>IF(ROUND(BS!L27,0)=ROUND(SUM(BS!L27:L29),0),"OK","ERROR")</f>
        <v>OK</v>
      </c>
      <c r="M102" s="207" t="str">
        <f>IF(ROUND(BS!M27,0)=ROUND(SUM(BS!M27:M29),0),"OK","ERROR")</f>
        <v>OK</v>
      </c>
      <c r="N102" s="219" t="str">
        <f>IF(ROUND(BS!N27,0)=ROUND(SUM(BS!N27:N29),0),"OK","ERROR")</f>
        <v>OK</v>
      </c>
      <c r="O102" s="255"/>
      <c r="P102" s="207" t="str">
        <f>IF(ROUND(BS!P27,0)=ROUND(SUM(BS!P27:P29),0),"OK","ERROR")</f>
        <v>OK</v>
      </c>
      <c r="Q102" s="207" t="str">
        <f>IF(ROUND(BS!Q27,0)=ROUND(SUM(BS!Q27:Q29),0),"OK","ERROR")</f>
        <v>OK</v>
      </c>
      <c r="R102" s="207" t="str">
        <f>IF(ROUND(BS!R27,0)=ROUND(SUM(BS!R27:R29),0),"OK","ERROR")</f>
        <v>OK</v>
      </c>
      <c r="S102" s="207" t="str">
        <f>IF(ROUND(BS!S27,0)=ROUND(SUM(BS!S27:S29),0),"OK","ERROR")</f>
        <v>OK</v>
      </c>
      <c r="T102" s="219" t="str">
        <f>IF(ROUND(BS!T27,0)=ROUND(SUM(BS!T27:T29),0),"OK","ERROR")</f>
        <v>OK</v>
      </c>
      <c r="U102" s="255"/>
      <c r="V102" s="207" t="str">
        <f>IF(ROUND(BS!V27,0)=ROUND(SUM(BS!V27:V29),0),"OK","ERROR")</f>
        <v>OK</v>
      </c>
      <c r="W102" s="207" t="str">
        <f>IF(ROUND(BS!W27,0)=ROUND(SUM(BS!W27:W29),0),"OK","ERROR")</f>
        <v>OK</v>
      </c>
      <c r="X102" s="207" t="str">
        <f>IF(ROUND(BS!X27,0)=ROUND(SUM(BS!X27:X29),0),"OK","ERROR")</f>
        <v>OK</v>
      </c>
      <c r="Y102" s="207" t="str">
        <f>IF(ROUND(BS!Y27,0)=ROUND(SUM(BS!Y27:Y29),0),"OK","ERROR")</f>
        <v>OK</v>
      </c>
      <c r="Z102" s="219" t="str">
        <f>IF(ROUND(BS!Z27,0)=ROUND(SUM(BS!Z27:Z29),0),"OK","ERROR")</f>
        <v>OK</v>
      </c>
      <c r="AA102" s="272"/>
      <c r="AB102" s="207" t="str">
        <f>IF(ROUND(BS!AB27,0)=ROUND(SUM(BS!AB27:AB29),0),"OK","ERROR")</f>
        <v>OK</v>
      </c>
      <c r="AC102" s="207" t="str">
        <f>IF(ROUND(BS!AC27,0)=ROUND(SUM(BS!AC27:AC29),0),"OK","ERROR")</f>
        <v>OK</v>
      </c>
      <c r="AD102" s="207" t="str">
        <f>IF(ROUND(BS!AD27,0)=ROUND(SUM(BS!AD27:AD29),0),"OK","ERROR")</f>
        <v>OK</v>
      </c>
      <c r="AE102" s="207" t="str">
        <f>IF(ROUND(BS!AE27,0)=ROUND(SUM(BS!AE27:AE29),0),"OK","ERROR")</f>
        <v>OK</v>
      </c>
      <c r="AF102" s="219" t="str">
        <f>IF(ROUND(BS!AF27,0)=ROUND(SUM(BS!AF27:AF29),0),"OK","ERROR")</f>
        <v>OK</v>
      </c>
      <c r="AG102" s="273"/>
      <c r="AH102" s="207" t="str">
        <f>IF(ROUND(BS!AH27,0)=ROUND(SUM(BS!AH27:AH29),0),"OK","ERROR")</f>
        <v>OK</v>
      </c>
      <c r="AI102" s="207" t="str">
        <f>IF(ROUND(BS!AI27,0)=ROUND(SUM(BS!AI27:AI29),0),"OK","ERROR")</f>
        <v>OK</v>
      </c>
      <c r="AJ102" s="207" t="str">
        <f>IF(ROUND(BS!AJ27,0)=ROUND(SUM(BS!AJ27:AJ29),0),"OK","ERROR")</f>
        <v>OK</v>
      </c>
      <c r="AK102" s="207" t="str">
        <f>IF(ROUND(BS!AK27,0)=ROUND(SUM(BS!AK27:AK29),0),"OK","ERROR")</f>
        <v>OK</v>
      </c>
      <c r="AL102" s="219" t="str">
        <f>IF(ROUND(BS!AL27,0)=ROUND(SUM(BS!AL27:AL29),0),"OK","ERROR")</f>
        <v>OK</v>
      </c>
      <c r="AM102" s="272"/>
      <c r="AN102" s="207" t="str">
        <f>IF(ROUND(BS!AN27,0)=ROUND(SUM(BS!AN27:AN29),0),"OK","ERROR")</f>
        <v>OK</v>
      </c>
      <c r="AO102" s="207" t="str">
        <f>IF(ROUND(BS!AO27,0)=ROUND(SUM(BS!AO27:AO29),0),"OK","ERROR")</f>
        <v>OK</v>
      </c>
      <c r="AP102" s="207" t="str">
        <f>IF(ROUND(BS!AP27,0)=ROUND(SUM(BS!AP27:AP29),0),"OK","ERROR")</f>
        <v>OK</v>
      </c>
      <c r="AQ102" s="207" t="str">
        <f>IF(ROUND(BS!AQ27,0)=ROUND(SUM(BS!AQ27:AQ29),0),"OK","ERROR")</f>
        <v>OK</v>
      </c>
      <c r="AR102" s="219" t="str">
        <f>IF(ROUND(BS!AR27,0)=ROUND(SUM(BS!AR27:AR29),0),"OK","ERROR")</f>
        <v>OK</v>
      </c>
      <c r="AS102" s="272"/>
      <c r="AT102" s="219" t="str">
        <f>IF(ROUND(BS!AT27,0)=ROUND(SUM(BS!AT27:AT29),0),"OK","ERROR")</f>
        <v>ERROR</v>
      </c>
      <c r="AU102" s="272"/>
      <c r="AV102" s="219" t="str">
        <f>IF(ROUND(BS!AV27,0)=ROUND(SUM(BS!AV27:AV29),0),"OK","ERROR")</f>
        <v>ERROR</v>
      </c>
      <c r="AW102" s="260"/>
      <c r="AX102" s="219" t="str">
        <f>IF(ROUND(BS!AX27,0)=ROUND(SUM(BS!AX27:AX29),0),"OK","ERROR")</f>
        <v>OK</v>
      </c>
    </row>
    <row r="103" spans="1:50" s="41" customFormat="1" ht="15" customHeight="1">
      <c r="A103" s="43"/>
      <c r="B103" s="138" t="s">
        <v>607</v>
      </c>
      <c r="C103" s="17"/>
      <c r="D103" s="216" t="str">
        <f>IF(ROUND(BS!D31,0)=ROUND(SUM(BS!D24,BS!D27,BS!D30),0),"OK","ERROR")</f>
        <v>OK</v>
      </c>
      <c r="E103" s="216" t="str">
        <f>IF(ROUND(BS!E31,0)=ROUND(SUM(BS!E24,BS!E27,BS!E30),0),"OK","ERROR")</f>
        <v>OK</v>
      </c>
      <c r="F103" s="216" t="str">
        <f>IF(ROUND(BS!F31,0)=ROUND(SUM(BS!F24,BS!F27,BS!F30),0),"OK","ERROR")</f>
        <v>OK</v>
      </c>
      <c r="G103" s="216" t="str">
        <f>IF(ROUND(BS!G31,0)=ROUND(SUM(BS!G24,BS!G27,BS!G30),0),"OK","ERROR")</f>
        <v>OK</v>
      </c>
      <c r="H103" s="225" t="str">
        <f>IF(ROUND(BS!H31,0)=ROUND(SUM(BS!H24,BS!H27,BS!H30),0),"OK","ERROR")</f>
        <v>OK</v>
      </c>
      <c r="I103" s="247"/>
      <c r="J103" s="216" t="str">
        <f>IF(ROUND(BS!J31,0)=ROUND(SUM(BS!J24,BS!J27,BS!J30),0),"OK","ERROR")</f>
        <v>OK</v>
      </c>
      <c r="K103" s="216" t="str">
        <f>IF(ROUND(BS!K31,0)=ROUND(SUM(BS!K24,BS!K27,BS!K30),0),"OK","ERROR")</f>
        <v>OK</v>
      </c>
      <c r="L103" s="216" t="str">
        <f>IF(ROUND(BS!L31,0)=ROUND(SUM(BS!L24,BS!L27,BS!L30),0),"OK","ERROR")</f>
        <v>OK</v>
      </c>
      <c r="M103" s="216" t="str">
        <f>IF(ROUND(BS!M31,0)=ROUND(SUM(BS!M24,BS!M27,BS!M30),0),"OK","ERROR")</f>
        <v>OK</v>
      </c>
      <c r="N103" s="225" t="str">
        <f>IF(ROUND(BS!N31,0)=ROUND(SUM(BS!N24,BS!N27,BS!N30),0),"OK","ERROR")</f>
        <v>OK</v>
      </c>
      <c r="O103" s="247"/>
      <c r="P103" s="216" t="str">
        <f>IF(ROUND(BS!P31,0)=ROUND(SUM(BS!P24,BS!P27,BS!P30),0),"OK","ERROR")</f>
        <v>OK</v>
      </c>
      <c r="Q103" s="216" t="str">
        <f>IF(ROUND(BS!Q31,0)=ROUND(SUM(BS!Q24,BS!Q27,BS!Q30),0),"OK","ERROR")</f>
        <v>OK</v>
      </c>
      <c r="R103" s="216" t="str">
        <f>IF(ROUND(BS!R31,0)=ROUND(SUM(BS!R24,BS!R27,BS!R30),0),"OK","ERROR")</f>
        <v>OK</v>
      </c>
      <c r="S103" s="216" t="str">
        <f>IF(ROUND(BS!S31,0)=ROUND(SUM(BS!S24,BS!S27,BS!S30),0),"OK","ERROR")</f>
        <v>OK</v>
      </c>
      <c r="T103" s="225" t="str">
        <f>IF(ROUND(BS!T31,0)=ROUND(SUM(BS!T24,BS!T27,BS!T30),0),"OK","ERROR")</f>
        <v>OK</v>
      </c>
      <c r="U103" s="247"/>
      <c r="V103" s="216" t="str">
        <f>IF(ROUND(BS!V31,0)=ROUND(SUM(BS!V24,BS!V27,BS!V30),0),"OK","ERROR")</f>
        <v>OK</v>
      </c>
      <c r="W103" s="216" t="str">
        <f>IF(ROUND(BS!W31,0)=ROUND(SUM(BS!W24,BS!W27,BS!W30),0),"OK","ERROR")</f>
        <v>OK</v>
      </c>
      <c r="X103" s="216" t="str">
        <f>IF(ROUND(BS!X31,0)=ROUND(SUM(BS!X24,BS!X27,BS!X30),0),"OK","ERROR")</f>
        <v>OK</v>
      </c>
      <c r="Y103" s="216" t="str">
        <f>IF(ROUND(BS!Y31,0)=ROUND(SUM(BS!Y24,BS!Y27,BS!Y30),0),"OK","ERROR")</f>
        <v>OK</v>
      </c>
      <c r="Z103" s="225" t="str">
        <f>IF(ROUND(BS!Z31,0)=ROUND(SUM(BS!Z24,BS!Z27,BS!Z30),0),"OK","ERROR")</f>
        <v>OK</v>
      </c>
      <c r="AA103" s="262"/>
      <c r="AB103" s="216" t="str">
        <f>IF(ROUND(BS!AB31,0)=ROUND(SUM(BS!AB24,BS!AB27,BS!AB30),0),"OK","ERROR")</f>
        <v>OK</v>
      </c>
      <c r="AC103" s="216" t="str">
        <f>IF(ROUND(BS!AC31,0)=ROUND(SUM(BS!AC24,BS!AC27,BS!AC30),0),"OK","ERROR")</f>
        <v>OK</v>
      </c>
      <c r="AD103" s="216" t="str">
        <f>IF(ROUND(BS!AD31,0)=ROUND(SUM(BS!AD24,BS!AD27,BS!AD30),0),"OK","ERROR")</f>
        <v>OK</v>
      </c>
      <c r="AE103" s="216" t="str">
        <f>IF(ROUND(BS!AE31,0)=ROUND(SUM(BS!AE24,BS!AE27,BS!AE30),0),"OK","ERROR")</f>
        <v>OK</v>
      </c>
      <c r="AF103" s="225" t="str">
        <f>IF(ROUND(BS!AF31,0)=ROUND(SUM(BS!AF24,BS!AF27,BS!AF30),0),"OK","ERROR")</f>
        <v>OK</v>
      </c>
      <c r="AG103" s="264"/>
      <c r="AH103" s="216" t="str">
        <f>IF(ROUND(BS!AH31,0)=ROUND(SUM(BS!AH24,BS!AH27,BS!AH30),0),"OK","ERROR")</f>
        <v>OK</v>
      </c>
      <c r="AI103" s="216" t="str">
        <f>IF(ROUND(BS!AI31,0)=ROUND(SUM(BS!AI24,BS!AI27,BS!AI30),0),"OK","ERROR")</f>
        <v>OK</v>
      </c>
      <c r="AJ103" s="216" t="str">
        <f>IF(ROUND(BS!AJ31,0)=ROUND(SUM(BS!AJ24,BS!AJ27,BS!AJ30),0),"OK","ERROR")</f>
        <v>ERROR</v>
      </c>
      <c r="AK103" s="216" t="str">
        <f>IF(ROUND(BS!AK31,0)=ROUND(SUM(BS!AK24,BS!AK27,BS!AK30),0),"OK","ERROR")</f>
        <v>ERROR</v>
      </c>
      <c r="AL103" s="225" t="str">
        <f>IF(ROUND(BS!AL31,0)=ROUND(SUM(BS!AL24,BS!AL27,BS!AL30),0),"OK","ERROR")</f>
        <v>ERROR</v>
      </c>
      <c r="AM103" s="274"/>
      <c r="AN103" s="216" t="str">
        <f>IF(ROUND(BS!AN31,0)=ROUND(SUM(BS!AN24,BS!AN27,BS!AN30),0),"OK","ERROR")</f>
        <v>ERROR</v>
      </c>
      <c r="AO103" s="216" t="str">
        <f>IF(ROUND(BS!AO31,0)=ROUND(SUM(BS!AO24,BS!AO27,BS!AO30),0),"OK","ERROR")</f>
        <v>ERROR</v>
      </c>
      <c r="AP103" s="216" t="str">
        <f>IF(ROUND(BS!AP31,0)=ROUND(SUM(BS!AP24,BS!AP27,BS!AP30),0),"OK","ERROR")</f>
        <v>ERROR</v>
      </c>
      <c r="AQ103" s="216" t="str">
        <f>IF(ROUND(BS!AQ31,0)=ROUND(SUM(BS!AQ24,BS!AQ27,BS!AQ30),0),"OK","ERROR")</f>
        <v>ERROR</v>
      </c>
      <c r="AR103" s="225" t="str">
        <f>IF(ROUND(BS!AR31,0)=ROUND(SUM(BS!AR24,BS!AR27,BS!AR30),0),"OK","ERROR")</f>
        <v>ERROR</v>
      </c>
      <c r="AS103" s="274"/>
      <c r="AT103" s="225" t="str">
        <f>IF(ROUND(BS!AT31,0)=ROUND(SUM(BS!AT24,BS!AT27,BS!AT30),0),"OK","ERROR")</f>
        <v>ERROR</v>
      </c>
      <c r="AU103" s="274"/>
      <c r="AV103" s="225" t="str">
        <f>IF(ROUND(BS!AV31,0)=ROUND(SUM(BS!AV24,BS!AV27,BS!AV30),0),"OK","ERROR")</f>
        <v>ERROR</v>
      </c>
      <c r="AW103" s="254"/>
      <c r="AX103" s="225" t="str">
        <f>IF(ROUND(BS!AX31,0)=ROUND(SUM(BS!AX24,BS!AX27,BS!AX30),0),"OK","ERROR")</f>
        <v>OK</v>
      </c>
    </row>
    <row r="104" spans="1:50" s="113" customFormat="1" ht="15" customHeight="1" thickBot="1">
      <c r="B104" s="140" t="s">
        <v>608</v>
      </c>
      <c r="C104" s="115"/>
      <c r="D104" s="216" t="str">
        <f>IF(ROUND(SUM(BS!D21,BS!D31),0)=ROUND(BS!D32,0),"OK","ERROR")</f>
        <v>OK</v>
      </c>
      <c r="E104" s="216" t="str">
        <f>IF(ROUND(SUM(BS!E21,BS!E31),0)=ROUND(BS!E32,0),"OK","ERROR")</f>
        <v>OK</v>
      </c>
      <c r="F104" s="216" t="str">
        <f>IF(ROUND(SUM(BS!F21,BS!F31),0)=ROUND(BS!F32,0),"OK","ERROR")</f>
        <v>OK</v>
      </c>
      <c r="G104" s="216" t="str">
        <f>IF(ROUND(SUM(BS!G21,BS!G31),0)=ROUND(BS!G32,0),"OK","ERROR")</f>
        <v>OK</v>
      </c>
      <c r="H104" s="236" t="str">
        <f>IF(ROUND(SUM(BS!H21,BS!H31),0)=ROUND(BS!H32,0),"OK","ERROR")</f>
        <v>OK</v>
      </c>
      <c r="I104" s="255"/>
      <c r="J104" s="216" t="str">
        <f>IF(ROUND(SUM(BS!J21,BS!J31),0)=ROUND(BS!J32,0),"OK","ERROR")</f>
        <v>OK</v>
      </c>
      <c r="K104" s="216" t="str">
        <f>IF(ROUND(SUM(BS!K21,BS!K31),0)=ROUND(BS!K32,0),"OK","ERROR")</f>
        <v>OK</v>
      </c>
      <c r="L104" s="216" t="str">
        <f>IF(ROUND(SUM(BS!L21,BS!L31),0)=ROUND(BS!L32,0),"OK","ERROR")</f>
        <v>OK</v>
      </c>
      <c r="M104" s="216" t="str">
        <f>IF(ROUND(SUM(BS!M21,BS!M31),0)=ROUND(BS!M32,0),"OK","ERROR")</f>
        <v>OK</v>
      </c>
      <c r="N104" s="236" t="str">
        <f>IF(ROUND(SUM(BS!N21,BS!N31),0)=ROUND(BS!N32,0),"OK","ERROR")</f>
        <v>OK</v>
      </c>
      <c r="O104" s="255"/>
      <c r="P104" s="216" t="str">
        <f>IF(ROUND(SUM(BS!P21,BS!P31),0)=ROUND(BS!P32,0),"OK","ERROR")</f>
        <v>OK</v>
      </c>
      <c r="Q104" s="216" t="str">
        <f>IF(ROUND(SUM(BS!Q21,BS!Q31),0)=ROUND(BS!Q32,0),"OK","ERROR")</f>
        <v>OK</v>
      </c>
      <c r="R104" s="216" t="str">
        <f>IF(ROUND(SUM(BS!R21,BS!R31),0)=ROUND(BS!R32,0),"OK","ERROR")</f>
        <v>OK</v>
      </c>
      <c r="S104" s="216" t="str">
        <f>IF(ROUND(SUM(BS!S21,BS!S31),0)=ROUND(BS!S32,0),"OK","ERROR")</f>
        <v>OK</v>
      </c>
      <c r="T104" s="236" t="str">
        <f>IF(ROUND(SUM(BS!T21,BS!T31),0)=ROUND(BS!T32,0),"OK","ERROR")</f>
        <v>OK</v>
      </c>
      <c r="U104" s="255"/>
      <c r="V104" s="216" t="str">
        <f>IF(ROUND(SUM(BS!V21,BS!V31),0)=ROUND(BS!V32,0),"OK","ERROR")</f>
        <v>OK</v>
      </c>
      <c r="W104" s="216" t="str">
        <f>IF(ROUND(SUM(BS!W21,BS!W31),0)=ROUND(BS!W32,0),"OK","ERROR")</f>
        <v>OK</v>
      </c>
      <c r="X104" s="216" t="str">
        <f>IF(ROUND(SUM(BS!X21,BS!X31),0)=ROUND(BS!X32,0),"OK","ERROR")</f>
        <v>OK</v>
      </c>
      <c r="Y104" s="216" t="str">
        <f>IF(ROUND(SUM(BS!Y21,BS!Y31),0)=ROUND(BS!Y32,0),"OK","ERROR")</f>
        <v>OK</v>
      </c>
      <c r="Z104" s="236" t="str">
        <f>IF(ROUND(SUM(BS!Z21,BS!Z31),0)=ROUND(BS!Z32,0),"OK","ERROR")</f>
        <v>OK</v>
      </c>
      <c r="AA104" s="275"/>
      <c r="AB104" s="216" t="str">
        <f>IF(ROUND(SUM(BS!AB21,BS!AB31),0)=ROUND(BS!AB32,0),"OK","ERROR")</f>
        <v>OK</v>
      </c>
      <c r="AC104" s="216" t="str">
        <f>IF(ROUND(SUM(BS!AC21,BS!AC31),0)=ROUND(BS!AC32,0),"OK","ERROR")</f>
        <v>OK</v>
      </c>
      <c r="AD104" s="216" t="str">
        <f>IF(ROUND(SUM(BS!AD21,BS!AD31),0)=ROUND(BS!AD32,0),"OK","ERROR")</f>
        <v>OK</v>
      </c>
      <c r="AE104" s="216" t="str">
        <f>IF(ROUND(SUM(BS!AE21,BS!AE31),0)=ROUND(BS!AE32,0),"OK","ERROR")</f>
        <v>OK</v>
      </c>
      <c r="AF104" s="236" t="str">
        <f>IF(ROUND(SUM(BS!AF21,BS!AF31),0)=ROUND(BS!AF32,0),"OK","ERROR")</f>
        <v>OK</v>
      </c>
      <c r="AG104" s="273"/>
      <c r="AH104" s="216" t="str">
        <f>IF(ROUND(SUM(BS!AH21,BS!AH31),0)=ROUND(BS!AH32,0),"OK","ERROR")</f>
        <v>OK</v>
      </c>
      <c r="AI104" s="216" t="str">
        <f>IF(ROUND(SUM(BS!AI21,BS!AI31),0)=ROUND(BS!AI32,0),"OK","ERROR")</f>
        <v>OK</v>
      </c>
      <c r="AJ104" s="216" t="str">
        <f>IF(ROUND(SUM(BS!AJ21,BS!AJ31),0)=ROUND(BS!AJ32,0),"OK","ERROR")</f>
        <v>OK</v>
      </c>
      <c r="AK104" s="216" t="str">
        <f>IF(ROUND(SUM(BS!AK21,BS!AK31),0)=ROUND(BS!AK32,0),"OK","ERROR")</f>
        <v>OK</v>
      </c>
      <c r="AL104" s="236" t="str">
        <f>IF(ROUND(SUM(BS!AL21,BS!AL31),0)=ROUND(BS!AL32,0),"OK","ERROR")</f>
        <v>OK</v>
      </c>
      <c r="AM104" s="272"/>
      <c r="AN104" s="216" t="str">
        <f>IF(ROUND(SUM(BS!AN21,BS!AN31),0)=ROUND(BS!AN32,0),"OK","ERROR")</f>
        <v>OK</v>
      </c>
      <c r="AO104" s="216" t="str">
        <f>IF(ROUND(SUM(BS!AO21,BS!AO31),0)=ROUND(BS!AO32,0),"OK","ERROR")</f>
        <v>OK</v>
      </c>
      <c r="AP104" s="216" t="str">
        <f>IF(ROUND(SUM(BS!AP21,BS!AP31),0)=ROUND(BS!AP32,0),"OK","ERROR")</f>
        <v>OK</v>
      </c>
      <c r="AQ104" s="216" t="str">
        <f>IF(ROUND(SUM(BS!AQ21,BS!AQ31),0)=ROUND(BS!AQ32,0),"OK","ERROR")</f>
        <v>OK</v>
      </c>
      <c r="AR104" s="236" t="str">
        <f>IF(ROUND(SUM(BS!AR21,BS!AR31),0)=ROUND(BS!AR32,0),"OK","ERROR")</f>
        <v>OK</v>
      </c>
      <c r="AS104" s="272"/>
      <c r="AT104" s="236" t="str">
        <f>IF(ROUND(SUM(BS!AT21,BS!AT31),0)=ROUND(BS!AT32,0),"OK","ERROR")</f>
        <v>OK</v>
      </c>
      <c r="AU104" s="272"/>
      <c r="AV104" s="236" t="str">
        <f>IF(ROUND(SUM(BS!AV21,BS!AV31),0)=ROUND(BS!AV32,0),"OK","ERROR")</f>
        <v>OK</v>
      </c>
      <c r="AW104" s="260"/>
      <c r="AX104" s="236" t="str">
        <f>IF(ROUND(SUM(BS!AX21,BS!AX31),0)=ROUND(BS!AX32,0),"OK","ERROR")</f>
        <v>OK</v>
      </c>
    </row>
    <row r="105" spans="1:50" s="147" customFormat="1" ht="15" customHeight="1" thickTop="1">
      <c r="A105" s="142"/>
      <c r="B105" s="143"/>
      <c r="C105" s="27"/>
      <c r="D105" s="207"/>
      <c r="E105" s="207"/>
      <c r="F105" s="207"/>
      <c r="G105" s="207"/>
      <c r="H105" s="219"/>
      <c r="I105" s="276"/>
      <c r="J105" s="207"/>
      <c r="K105" s="207"/>
      <c r="L105" s="207"/>
      <c r="M105" s="207"/>
      <c r="N105" s="219"/>
      <c r="O105" s="276"/>
      <c r="P105" s="207"/>
      <c r="Q105" s="207"/>
      <c r="R105" s="207"/>
      <c r="S105" s="207"/>
      <c r="T105" s="219"/>
      <c r="U105" s="276"/>
      <c r="V105" s="207"/>
      <c r="W105" s="207"/>
      <c r="X105" s="207"/>
      <c r="Y105" s="207"/>
      <c r="Z105" s="219"/>
      <c r="AA105" s="277"/>
      <c r="AB105" s="207"/>
      <c r="AC105" s="207"/>
      <c r="AD105" s="207"/>
      <c r="AE105" s="207"/>
      <c r="AF105" s="219"/>
      <c r="AG105" s="278"/>
      <c r="AH105" s="207"/>
      <c r="AI105" s="207"/>
      <c r="AJ105" s="207"/>
      <c r="AK105" s="207"/>
      <c r="AL105" s="219"/>
      <c r="AM105" s="279"/>
      <c r="AN105" s="207"/>
      <c r="AO105" s="207"/>
      <c r="AP105" s="207"/>
      <c r="AQ105" s="207"/>
      <c r="AR105" s="219"/>
      <c r="AS105" s="279"/>
      <c r="AT105" s="219"/>
      <c r="AU105" s="279"/>
      <c r="AV105" s="219"/>
      <c r="AW105" s="280"/>
      <c r="AX105" s="219"/>
    </row>
    <row r="106" spans="1:50" s="113" customFormat="1" ht="15" customHeight="1">
      <c r="A106" s="44"/>
      <c r="B106" s="64" t="s">
        <v>609</v>
      </c>
      <c r="C106" s="115"/>
      <c r="D106" s="207"/>
      <c r="E106" s="207"/>
      <c r="F106" s="207"/>
      <c r="G106" s="207"/>
      <c r="H106" s="219"/>
      <c r="I106" s="255"/>
      <c r="J106" s="207"/>
      <c r="K106" s="207"/>
      <c r="L106" s="207"/>
      <c r="M106" s="207"/>
      <c r="N106" s="219"/>
      <c r="O106" s="255"/>
      <c r="P106" s="207"/>
      <c r="Q106" s="207"/>
      <c r="R106" s="207"/>
      <c r="S106" s="207"/>
      <c r="T106" s="219"/>
      <c r="U106" s="255"/>
      <c r="V106" s="207"/>
      <c r="W106" s="207"/>
      <c r="X106" s="207"/>
      <c r="Y106" s="207"/>
      <c r="Z106" s="219"/>
      <c r="AA106" s="256"/>
      <c r="AB106" s="207"/>
      <c r="AC106" s="207"/>
      <c r="AD106" s="207"/>
      <c r="AE106" s="207"/>
      <c r="AF106" s="219"/>
      <c r="AG106" s="257"/>
      <c r="AH106" s="207"/>
      <c r="AI106" s="207"/>
      <c r="AJ106" s="207"/>
      <c r="AK106" s="207"/>
      <c r="AL106" s="219"/>
      <c r="AM106" s="256"/>
      <c r="AN106" s="207"/>
      <c r="AO106" s="207"/>
      <c r="AP106" s="207"/>
      <c r="AQ106" s="207"/>
      <c r="AR106" s="219"/>
      <c r="AS106" s="256"/>
      <c r="AT106" s="219"/>
      <c r="AU106" s="256"/>
      <c r="AV106" s="219"/>
      <c r="AW106" s="260"/>
      <c r="AX106" s="219"/>
    </row>
    <row r="107" spans="1:50" s="147" customFormat="1" ht="15" customHeight="1">
      <c r="A107" s="142"/>
      <c r="B107" s="143"/>
      <c r="C107" s="27"/>
      <c r="D107" s="207"/>
      <c r="E107" s="207"/>
      <c r="F107" s="207"/>
      <c r="G107" s="207"/>
      <c r="H107" s="219"/>
      <c r="I107" s="276"/>
      <c r="J107" s="207"/>
      <c r="K107" s="207"/>
      <c r="L107" s="207"/>
      <c r="M107" s="207"/>
      <c r="N107" s="219"/>
      <c r="O107" s="276"/>
      <c r="P107" s="207"/>
      <c r="Q107" s="207"/>
      <c r="R107" s="207"/>
      <c r="S107" s="207"/>
      <c r="T107" s="219"/>
      <c r="U107" s="276"/>
      <c r="V107" s="207"/>
      <c r="W107" s="207"/>
      <c r="X107" s="207"/>
      <c r="Y107" s="207"/>
      <c r="Z107" s="219"/>
      <c r="AA107" s="277"/>
      <c r="AB107" s="207"/>
      <c r="AC107" s="207"/>
      <c r="AD107" s="207"/>
      <c r="AE107" s="207"/>
      <c r="AF107" s="219"/>
      <c r="AG107" s="278"/>
      <c r="AH107" s="207"/>
      <c r="AI107" s="207"/>
      <c r="AJ107" s="207"/>
      <c r="AK107" s="207"/>
      <c r="AL107" s="219"/>
      <c r="AM107" s="281"/>
      <c r="AN107" s="207"/>
      <c r="AO107" s="207"/>
      <c r="AP107" s="207"/>
      <c r="AQ107" s="207"/>
      <c r="AR107" s="219"/>
      <c r="AS107" s="274"/>
      <c r="AT107" s="219"/>
      <c r="AU107" s="274"/>
      <c r="AV107" s="219"/>
      <c r="AW107" s="280"/>
      <c r="AX107" s="219"/>
    </row>
    <row r="108" spans="1:50" s="113" customFormat="1" ht="15" customHeight="1">
      <c r="A108" s="44" t="s">
        <v>39</v>
      </c>
      <c r="B108" s="114" t="s">
        <v>610</v>
      </c>
      <c r="C108" s="115"/>
      <c r="D108" s="207"/>
      <c r="E108" s="207"/>
      <c r="F108" s="207"/>
      <c r="G108" s="207"/>
      <c r="H108" s="219"/>
      <c r="I108" s="255"/>
      <c r="J108" s="207"/>
      <c r="K108" s="207"/>
      <c r="L108" s="207"/>
      <c r="M108" s="207"/>
      <c r="N108" s="219"/>
      <c r="O108" s="255"/>
      <c r="P108" s="207"/>
      <c r="Q108" s="207"/>
      <c r="R108" s="207"/>
      <c r="S108" s="207"/>
      <c r="T108" s="219"/>
      <c r="U108" s="255"/>
      <c r="V108" s="207"/>
      <c r="W108" s="207"/>
      <c r="X108" s="207"/>
      <c r="Y108" s="207"/>
      <c r="Z108" s="219"/>
      <c r="AA108" s="256"/>
      <c r="AB108" s="207"/>
      <c r="AC108" s="207"/>
      <c r="AD108" s="207"/>
      <c r="AE108" s="207"/>
      <c r="AF108" s="219"/>
      <c r="AG108" s="257"/>
      <c r="AH108" s="207"/>
      <c r="AI108" s="207"/>
      <c r="AJ108" s="207"/>
      <c r="AK108" s="207"/>
      <c r="AL108" s="219"/>
      <c r="AM108" s="282"/>
      <c r="AN108" s="207"/>
      <c r="AO108" s="207"/>
      <c r="AP108" s="207"/>
      <c r="AQ108" s="207"/>
      <c r="AR108" s="219"/>
      <c r="AS108" s="256"/>
      <c r="AT108" s="219"/>
      <c r="AU108" s="256"/>
      <c r="AV108" s="219"/>
      <c r="AW108" s="260"/>
      <c r="AX108" s="219"/>
    </row>
    <row r="109" spans="1:50" s="113" customFormat="1" ht="15" customHeight="1">
      <c r="B109" s="138" t="s">
        <v>615</v>
      </c>
      <c r="C109" s="115"/>
      <c r="D109" s="216" t="str">
        <f>IF(ROUND(BS!D41,0)=ROUND(SUM(BS!D37:D40),0),"OK","ERROR")</f>
        <v>OK</v>
      </c>
      <c r="E109" s="216" t="str">
        <f>IF(ROUND(BS!E41,0)=ROUND(SUM(BS!E37:E40),0),"OK","ERROR")</f>
        <v>OK</v>
      </c>
      <c r="F109" s="216" t="str">
        <f>IF(ROUND(BS!F41,0)=ROUND(SUM(BS!F37:F40),0),"OK","ERROR")</f>
        <v>OK</v>
      </c>
      <c r="G109" s="216" t="str">
        <f>IF(ROUND(BS!G41,0)=ROUND(SUM(BS!G37:G40),0),"OK","ERROR")</f>
        <v>OK</v>
      </c>
      <c r="H109" s="226" t="str">
        <f>IF(ROUND(BS!H41,0)=ROUND(SUM(BS!H37:H40),0),"OK","ERROR")</f>
        <v>OK</v>
      </c>
      <c r="I109" s="255"/>
      <c r="J109" s="216" t="str">
        <f>IF(ROUND(BS!J41,0)=ROUND(SUM(BS!J37:J40),0),"OK","ERROR")</f>
        <v>OK</v>
      </c>
      <c r="K109" s="216" t="str">
        <f>IF(ROUND(BS!K41,0)=ROUND(SUM(BS!K37:K40),0),"OK","ERROR")</f>
        <v>OK</v>
      </c>
      <c r="L109" s="216" t="str">
        <f>IF(ROUND(BS!L41,0)=ROUND(SUM(BS!L37:L40),0),"OK","ERROR")</f>
        <v>OK</v>
      </c>
      <c r="M109" s="216" t="str">
        <f>IF(ROUND(BS!M41,0)=ROUND(SUM(BS!M37:M40),0),"OK","ERROR")</f>
        <v>OK</v>
      </c>
      <c r="N109" s="226" t="str">
        <f>IF(ROUND(BS!N41,0)=ROUND(SUM(BS!N37:N40),0),"OK","ERROR")</f>
        <v>OK</v>
      </c>
      <c r="O109" s="255"/>
      <c r="P109" s="216" t="str">
        <f>IF(ROUND(BS!P41,0)=ROUND(SUM(BS!P37:P40),0),"OK","ERROR")</f>
        <v>OK</v>
      </c>
      <c r="Q109" s="216" t="str">
        <f>IF(ROUND(BS!Q41,0)=ROUND(SUM(BS!Q37:Q40),0),"OK","ERROR")</f>
        <v>OK</v>
      </c>
      <c r="R109" s="216" t="str">
        <f>IF(ROUND(BS!R41,0)=ROUND(SUM(BS!R37:R40),0),"OK","ERROR")</f>
        <v>OK</v>
      </c>
      <c r="S109" s="216" t="str">
        <f>IF(ROUND(BS!S41,0)=ROUND(SUM(BS!S37:S40),0),"OK","ERROR")</f>
        <v>OK</v>
      </c>
      <c r="T109" s="226" t="str">
        <f>IF(ROUND(BS!T41,0)=ROUND(SUM(BS!T37:T40),0),"OK","ERROR")</f>
        <v>OK</v>
      </c>
      <c r="U109" s="255"/>
      <c r="V109" s="216" t="str">
        <f>IF(ROUND(BS!V41,0)=ROUND(SUM(BS!V37:V40),0),"OK","ERROR")</f>
        <v>OK</v>
      </c>
      <c r="W109" s="216" t="str">
        <f>IF(ROUND(BS!W41,0)=ROUND(SUM(BS!W37:W40),0),"OK","ERROR")</f>
        <v>OK</v>
      </c>
      <c r="X109" s="216" t="str">
        <f>IF(ROUND(BS!X41,0)=ROUND(SUM(BS!X37:X40),0),"OK","ERROR")</f>
        <v>OK</v>
      </c>
      <c r="Y109" s="216" t="str">
        <f>IF(ROUND(BS!Y41,0)=ROUND(SUM(BS!Y37:Y40),0),"OK","ERROR")</f>
        <v>OK</v>
      </c>
      <c r="Z109" s="226" t="str">
        <f>IF(ROUND(BS!Z41,0)=ROUND(SUM(BS!Z37:Z40),0),"OK","ERROR")</f>
        <v>OK</v>
      </c>
      <c r="AA109" s="272"/>
      <c r="AB109" s="216" t="str">
        <f>IF(ROUND(BS!AB41,0)=ROUND(SUM(BS!AB37:AB40),0),"OK","ERROR")</f>
        <v>OK</v>
      </c>
      <c r="AC109" s="216" t="str">
        <f>IF(ROUND(BS!AC41,0)=ROUND(SUM(BS!AC37:AC40),0),"OK","ERROR")</f>
        <v>OK</v>
      </c>
      <c r="AD109" s="216" t="str">
        <f>IF(ROUND(BS!AD41,0)=ROUND(SUM(BS!AD37:AD40),0),"OK","ERROR")</f>
        <v>OK</v>
      </c>
      <c r="AE109" s="216" t="str">
        <f>IF(ROUND(BS!AE41,0)=ROUND(SUM(BS!AE37:AE40),0),"OK","ERROR")</f>
        <v>OK</v>
      </c>
      <c r="AF109" s="226" t="str">
        <f>IF(ROUND(BS!AF41,0)=ROUND(SUM(BS!AF37:AF40),0),"OK","ERROR")</f>
        <v>OK</v>
      </c>
      <c r="AG109" s="273"/>
      <c r="AH109" s="216" t="str">
        <f>IF(ROUND(BS!AH41,0)=ROUND(SUM(BS!AH37:AH40),0),"OK","ERROR")</f>
        <v>OK</v>
      </c>
      <c r="AI109" s="216" t="str">
        <f>IF(ROUND(BS!AI41,0)=ROUND(SUM(BS!AI37:AI40),0),"OK","ERROR")</f>
        <v>OK</v>
      </c>
      <c r="AJ109" s="216" t="str">
        <f>IF(ROUND(BS!AJ41,0)=ROUND(SUM(BS!AJ37:AJ40),0),"OK","ERROR")</f>
        <v>OK</v>
      </c>
      <c r="AK109" s="216" t="str">
        <f>IF(ROUND(BS!AK41,0)=ROUND(SUM(BS!AK37:AK40),0),"OK","ERROR")</f>
        <v>OK</v>
      </c>
      <c r="AL109" s="226" t="str">
        <f>IF(ROUND(BS!AL41,0)=ROUND(SUM(BS!AL37:AL40),0),"OK","ERROR")</f>
        <v>OK</v>
      </c>
      <c r="AM109" s="272"/>
      <c r="AN109" s="216" t="str">
        <f>IF(ROUND(BS!AN41,0)=ROUND(SUM(BS!AN37:AN40),0),"OK","ERROR")</f>
        <v>OK</v>
      </c>
      <c r="AO109" s="216" t="str">
        <f>IF(ROUND(BS!AO41,0)=ROUND(SUM(BS!AO37:AO40),0),"OK","ERROR")</f>
        <v>OK</v>
      </c>
      <c r="AP109" s="216" t="str">
        <f>IF(ROUND(BS!AP41,0)=ROUND(SUM(BS!AP37:AP40),0),"OK","ERROR")</f>
        <v>OK</v>
      </c>
      <c r="AQ109" s="216" t="str">
        <f>IF(ROUND(BS!AQ41,0)=ROUND(SUM(BS!AQ37:AQ40),0),"OK","ERROR")</f>
        <v>OK</v>
      </c>
      <c r="AR109" s="226" t="str">
        <f>IF(ROUND(BS!AR41,0)=ROUND(SUM(BS!AR37:AR40),0),"OK","ERROR")</f>
        <v>OK</v>
      </c>
      <c r="AS109" s="272"/>
      <c r="AT109" s="226" t="str">
        <f>IF(ROUND(BS!AT41,0)=ROUND(SUM(BS!AT37:AT40),0),"OK","ERROR")</f>
        <v>OK</v>
      </c>
      <c r="AU109" s="272"/>
      <c r="AV109" s="226" t="str">
        <f>IF(ROUND(BS!AV41,0)=ROUND(SUM(BS!AV37:AV40),0),"OK","ERROR")</f>
        <v>OK</v>
      </c>
      <c r="AW109" s="260"/>
      <c r="AX109" s="226" t="str">
        <f>IF(ROUND(BS!AX41,0)=ROUND(SUM(BS!AX37:AX40),0),"OK","ERROR")</f>
        <v>OK</v>
      </c>
    </row>
    <row r="110" spans="1:50" s="41" customFormat="1" ht="15" customHeight="1">
      <c r="A110" s="43"/>
      <c r="B110" s="152"/>
      <c r="C110" s="17"/>
      <c r="D110" s="207"/>
      <c r="E110" s="207"/>
      <c r="F110" s="207"/>
      <c r="G110" s="207"/>
      <c r="H110" s="219"/>
      <c r="I110" s="247"/>
      <c r="J110" s="207"/>
      <c r="K110" s="207"/>
      <c r="L110" s="207"/>
      <c r="M110" s="207"/>
      <c r="N110" s="219"/>
      <c r="O110" s="247"/>
      <c r="P110" s="207"/>
      <c r="Q110" s="207"/>
      <c r="R110" s="207"/>
      <c r="S110" s="207"/>
      <c r="T110" s="219"/>
      <c r="U110" s="247"/>
      <c r="V110" s="207"/>
      <c r="W110" s="207"/>
      <c r="X110" s="207"/>
      <c r="Y110" s="207"/>
      <c r="Z110" s="219"/>
      <c r="AA110" s="247"/>
      <c r="AB110" s="207"/>
      <c r="AC110" s="207"/>
      <c r="AD110" s="207"/>
      <c r="AE110" s="207"/>
      <c r="AF110" s="219"/>
      <c r="AG110" s="283"/>
      <c r="AH110" s="207"/>
      <c r="AI110" s="207"/>
      <c r="AJ110" s="207"/>
      <c r="AK110" s="207"/>
      <c r="AL110" s="219"/>
      <c r="AM110" s="247"/>
      <c r="AN110" s="207"/>
      <c r="AO110" s="207"/>
      <c r="AP110" s="207"/>
      <c r="AQ110" s="207"/>
      <c r="AR110" s="219"/>
      <c r="AS110" s="247"/>
      <c r="AT110" s="219"/>
      <c r="AU110" s="247"/>
      <c r="AV110" s="219"/>
      <c r="AW110" s="254"/>
      <c r="AX110" s="219"/>
    </row>
    <row r="111" spans="1:50" s="113" customFormat="1" ht="15" customHeight="1">
      <c r="A111" s="44" t="s">
        <v>39</v>
      </c>
      <c r="B111" s="114" t="s">
        <v>616</v>
      </c>
      <c r="C111" s="115"/>
      <c r="D111" s="207"/>
      <c r="E111" s="207"/>
      <c r="F111" s="207"/>
      <c r="G111" s="207"/>
      <c r="H111" s="219"/>
      <c r="I111" s="255"/>
      <c r="J111" s="207"/>
      <c r="K111" s="207"/>
      <c r="L111" s="207"/>
      <c r="M111" s="207"/>
      <c r="N111" s="219"/>
      <c r="O111" s="255"/>
      <c r="P111" s="207"/>
      <c r="Q111" s="207"/>
      <c r="R111" s="207"/>
      <c r="S111" s="207"/>
      <c r="T111" s="219"/>
      <c r="U111" s="255"/>
      <c r="V111" s="207"/>
      <c r="W111" s="207"/>
      <c r="X111" s="207"/>
      <c r="Y111" s="207"/>
      <c r="Z111" s="219"/>
      <c r="AA111" s="255"/>
      <c r="AB111" s="207"/>
      <c r="AC111" s="207"/>
      <c r="AD111" s="207"/>
      <c r="AE111" s="207"/>
      <c r="AF111" s="219"/>
      <c r="AG111" s="284"/>
      <c r="AH111" s="207"/>
      <c r="AI111" s="207"/>
      <c r="AJ111" s="207"/>
      <c r="AK111" s="207"/>
      <c r="AL111" s="219"/>
      <c r="AM111" s="255"/>
      <c r="AN111" s="207"/>
      <c r="AO111" s="207"/>
      <c r="AP111" s="207"/>
      <c r="AQ111" s="207"/>
      <c r="AR111" s="219"/>
      <c r="AS111" s="255"/>
      <c r="AT111" s="219"/>
      <c r="AU111" s="255"/>
      <c r="AV111" s="219"/>
      <c r="AW111" s="260"/>
      <c r="AX111" s="219"/>
    </row>
    <row r="112" spans="1:50" s="113" customFormat="1" ht="15" customHeight="1">
      <c r="B112" s="138" t="s">
        <v>620</v>
      </c>
      <c r="C112" s="115"/>
      <c r="D112" s="216" t="str">
        <f>IF(ROUND(BS!D47,0)=ROUND(SUM(BS!D44:D46),0),"OK","ERROR")</f>
        <v>OK</v>
      </c>
      <c r="E112" s="216" t="str">
        <f>IF(ROUND(BS!E47,0)=ROUND(SUM(BS!E44:E46),0),"OK","ERROR")</f>
        <v>OK</v>
      </c>
      <c r="F112" s="216" t="str">
        <f>IF(ROUND(BS!F47,0)=ROUND(SUM(BS!F44:F46),0),"OK","ERROR")</f>
        <v>OK</v>
      </c>
      <c r="G112" s="216" t="str">
        <f>IF(ROUND(BS!G47,0)=ROUND(SUM(BS!G44:G46),0),"OK","ERROR")</f>
        <v>OK</v>
      </c>
      <c r="H112" s="219" t="str">
        <f>IF(ROUND(BS!H47,0)=ROUND(SUM(BS!H44:H46),0),"OK","ERROR")</f>
        <v>OK</v>
      </c>
      <c r="I112" s="255"/>
      <c r="J112" s="216" t="str">
        <f>IF(ROUND(BS!J47,0)=ROUND(SUM(BS!J44:J46),0),"OK","ERROR")</f>
        <v>OK</v>
      </c>
      <c r="K112" s="216" t="str">
        <f>IF(ROUND(BS!K47,0)=ROUND(SUM(BS!K44:K46),0),"OK","ERROR")</f>
        <v>OK</v>
      </c>
      <c r="L112" s="216" t="str">
        <f>IF(ROUND(BS!L47,0)=ROUND(SUM(BS!L44:L46),0),"OK","ERROR")</f>
        <v>OK</v>
      </c>
      <c r="M112" s="216" t="str">
        <f>IF(ROUND(BS!M47,0)=ROUND(SUM(BS!M44:M46),0),"OK","ERROR")</f>
        <v>OK</v>
      </c>
      <c r="N112" s="219" t="str">
        <f>IF(ROUND(BS!N47,0)=ROUND(SUM(BS!N44:N46),0),"OK","ERROR")</f>
        <v>OK</v>
      </c>
      <c r="O112" s="255"/>
      <c r="P112" s="216" t="str">
        <f>IF(ROUND(BS!P47,0)=ROUND(SUM(BS!P44:P46),0),"OK","ERROR")</f>
        <v>OK</v>
      </c>
      <c r="Q112" s="216" t="str">
        <f>IF(ROUND(BS!Q47,0)=ROUND(SUM(BS!Q44:Q46),0),"OK","ERROR")</f>
        <v>OK</v>
      </c>
      <c r="R112" s="216" t="str">
        <f>IF(ROUND(BS!R47,0)=ROUND(SUM(BS!R44:R46),0),"OK","ERROR")</f>
        <v>OK</v>
      </c>
      <c r="S112" s="216" t="str">
        <f>IF(ROUND(BS!S47,0)=ROUND(SUM(BS!S44:S46),0),"OK","ERROR")</f>
        <v>OK</v>
      </c>
      <c r="T112" s="219" t="str">
        <f>IF(ROUND(BS!T47,0)=ROUND(SUM(BS!T44:T46),0),"OK","ERROR")</f>
        <v>OK</v>
      </c>
      <c r="U112" s="255"/>
      <c r="V112" s="216" t="str">
        <f>IF(ROUND(BS!V47,0)=ROUND(SUM(BS!V44:V46),0),"OK","ERROR")</f>
        <v>OK</v>
      </c>
      <c r="W112" s="216" t="str">
        <f>IF(ROUND(BS!W47,0)=ROUND(SUM(BS!W44:W46),0),"OK","ERROR")</f>
        <v>OK</v>
      </c>
      <c r="X112" s="216" t="str">
        <f>IF(ROUND(BS!X47,0)=ROUND(SUM(BS!X44:X46),0),"OK","ERROR")</f>
        <v>OK</v>
      </c>
      <c r="Y112" s="216" t="str">
        <f>IF(ROUND(BS!Y47,0)=ROUND(SUM(BS!Y44:Y46),0),"OK","ERROR")</f>
        <v>OK</v>
      </c>
      <c r="Z112" s="219" t="str">
        <f>IF(ROUND(BS!Z47,0)=ROUND(SUM(BS!Z44:Z46),0),"OK","ERROR")</f>
        <v>OK</v>
      </c>
      <c r="AA112" s="255"/>
      <c r="AB112" s="216" t="str">
        <f>IF(ROUND(BS!AB47,0)=ROUND(SUM(BS!AB44:AB46),0),"OK","ERROR")</f>
        <v>OK</v>
      </c>
      <c r="AC112" s="216" t="str">
        <f>IF(ROUND(BS!AC47,0)=ROUND(SUM(BS!AC44:AC46),0),"OK","ERROR")</f>
        <v>OK</v>
      </c>
      <c r="AD112" s="216" t="str">
        <f>IF(ROUND(BS!AD47,0)=ROUND(SUM(BS!AD44:AD46),0),"OK","ERROR")</f>
        <v>OK</v>
      </c>
      <c r="AE112" s="216" t="str">
        <f>IF(ROUND(BS!AE47,0)=ROUND(SUM(BS!AE44:AE46),0),"OK","ERROR")</f>
        <v>OK</v>
      </c>
      <c r="AF112" s="219" t="str">
        <f>IF(ROUND(BS!AF47,0)=ROUND(SUM(BS!AF44:AF46),0),"OK","ERROR")</f>
        <v>OK</v>
      </c>
      <c r="AG112" s="284"/>
      <c r="AH112" s="216" t="str">
        <f>IF(ROUND(BS!AH47,0)=ROUND(SUM(BS!AH44:AH46),0),"OK","ERROR")</f>
        <v>OK</v>
      </c>
      <c r="AI112" s="216" t="str">
        <f>IF(ROUND(BS!AI47,0)=ROUND(SUM(BS!AI44:AI46),0),"OK","ERROR")</f>
        <v>OK</v>
      </c>
      <c r="AJ112" s="216" t="str">
        <f>IF(ROUND(BS!AJ47,0)=ROUND(SUM(BS!AJ44:AJ46),0),"OK","ERROR")</f>
        <v>OK</v>
      </c>
      <c r="AK112" s="216" t="str">
        <f>IF(ROUND(BS!AK47,0)=ROUND(SUM(BS!AK44:AK46),0),"OK","ERROR")</f>
        <v>OK</v>
      </c>
      <c r="AL112" s="219" t="str">
        <f>IF(ROUND(BS!AL47,0)=ROUND(SUM(BS!AL44:AL46),0),"OK","ERROR")</f>
        <v>OK</v>
      </c>
      <c r="AM112" s="255"/>
      <c r="AN112" s="216" t="str">
        <f>IF(ROUND(BS!AN47,0)=ROUND(SUM(BS!AN44:AN46),0),"OK","ERROR")</f>
        <v>OK</v>
      </c>
      <c r="AO112" s="216" t="str">
        <f>IF(ROUND(BS!AO47,0)=ROUND(SUM(BS!AO44:AO46),0),"OK","ERROR")</f>
        <v>OK</v>
      </c>
      <c r="AP112" s="216" t="str">
        <f>IF(ROUND(BS!AP47,0)=ROUND(SUM(BS!AP44:AP46),0),"OK","ERROR")</f>
        <v>OK</v>
      </c>
      <c r="AQ112" s="216" t="str">
        <f>IF(ROUND(BS!AQ47,0)=ROUND(SUM(BS!AQ44:AQ46),0),"OK","ERROR")</f>
        <v>OK</v>
      </c>
      <c r="AR112" s="219" t="str">
        <f>IF(ROUND(BS!AR47,0)=ROUND(SUM(BS!AR44:AR46),0),"OK","ERROR")</f>
        <v>OK</v>
      </c>
      <c r="AS112" s="255"/>
      <c r="AT112" s="219" t="str">
        <f>IF(ROUND(BS!AT47,0)=ROUND(SUM(BS!AT44:AT46),0),"OK","ERROR")</f>
        <v>OK</v>
      </c>
      <c r="AU112" s="255"/>
      <c r="AV112" s="219" t="str">
        <f>IF(ROUND(BS!AV47,0)=ROUND(SUM(BS!AV44:AV46),0),"OK","ERROR")</f>
        <v>OK</v>
      </c>
      <c r="AW112" s="260"/>
      <c r="AX112" s="219" t="str">
        <f>IF(ROUND(BS!AX47,0)=ROUND(SUM(BS!AX44:AX46),0),"OK","ERROR")</f>
        <v>OK</v>
      </c>
    </row>
    <row r="113" spans="1:50" s="41" customFormat="1" ht="15" customHeight="1">
      <c r="A113" s="43"/>
      <c r="B113" s="140" t="s">
        <v>621</v>
      </c>
      <c r="C113" s="17"/>
      <c r="D113" s="216" t="str">
        <f>IF(ROUND(BS!D48,0)=ROUND(SUM(BS!D41,BS!D47),0),"OK","ERROR")</f>
        <v>OK</v>
      </c>
      <c r="E113" s="216" t="str">
        <f>IF(ROUND(BS!E48,0)=ROUND(SUM(BS!E41,BS!E47),0),"OK","ERROR")</f>
        <v>OK</v>
      </c>
      <c r="F113" s="216" t="str">
        <f>IF(ROUND(BS!F48,0)=ROUND(SUM(BS!F41,BS!F47),0),"OK","ERROR")</f>
        <v>OK</v>
      </c>
      <c r="G113" s="216" t="str">
        <f>IF(ROUND(BS!G48,0)=ROUND(SUM(BS!G41,BS!G47),0),"OK","ERROR")</f>
        <v>OK</v>
      </c>
      <c r="H113" s="226" t="str">
        <f>IF(ROUND(BS!H48,0)=ROUND(SUM(BS!H41,BS!H47),0),"OK","ERROR")</f>
        <v>OK</v>
      </c>
      <c r="I113" s="247"/>
      <c r="J113" s="216" t="str">
        <f>IF(ROUND(BS!J48,0)=ROUND(SUM(BS!J41,BS!J47),0),"OK","ERROR")</f>
        <v>OK</v>
      </c>
      <c r="K113" s="216" t="str">
        <f>IF(ROUND(BS!K48,0)=ROUND(SUM(BS!K41,BS!K47),0),"OK","ERROR")</f>
        <v>OK</v>
      </c>
      <c r="L113" s="216" t="str">
        <f>IF(ROUND(BS!L48,0)=ROUND(SUM(BS!L41,BS!L47),0),"OK","ERROR")</f>
        <v>OK</v>
      </c>
      <c r="M113" s="216" t="str">
        <f>IF(ROUND(BS!M48,0)=ROUND(SUM(BS!M41,BS!M47),0),"OK","ERROR")</f>
        <v>OK</v>
      </c>
      <c r="N113" s="226" t="str">
        <f>IF(ROUND(BS!N48,0)=ROUND(SUM(BS!N41,BS!N47),0),"OK","ERROR")</f>
        <v>OK</v>
      </c>
      <c r="O113" s="247"/>
      <c r="P113" s="216" t="str">
        <f>IF(ROUND(BS!P48,0)=ROUND(SUM(BS!P41,BS!P47),0),"OK","ERROR")</f>
        <v>OK</v>
      </c>
      <c r="Q113" s="216" t="str">
        <f>IF(ROUND(BS!Q48,0)=ROUND(SUM(BS!Q41,BS!Q47),0),"OK","ERROR")</f>
        <v>OK</v>
      </c>
      <c r="R113" s="216" t="str">
        <f>IF(ROUND(BS!R48,0)=ROUND(SUM(BS!R41,BS!R47),0),"OK","ERROR")</f>
        <v>OK</v>
      </c>
      <c r="S113" s="216" t="str">
        <f>IF(ROUND(BS!S48,0)=ROUND(SUM(BS!S41,BS!S47),0),"OK","ERROR")</f>
        <v>OK</v>
      </c>
      <c r="T113" s="226" t="str">
        <f>IF(ROUND(BS!T48,0)=ROUND(SUM(BS!T41,BS!T47),0),"OK","ERROR")</f>
        <v>OK</v>
      </c>
      <c r="U113" s="247"/>
      <c r="V113" s="216" t="str">
        <f>IF(ROUND(BS!V48,0)=ROUND(SUM(BS!V41,BS!V47),0),"OK","ERROR")</f>
        <v>OK</v>
      </c>
      <c r="W113" s="216" t="str">
        <f>IF(ROUND(BS!W48,0)=ROUND(SUM(BS!W41,BS!W47),0),"OK","ERROR")</f>
        <v>OK</v>
      </c>
      <c r="X113" s="216" t="str">
        <f>IF(ROUND(BS!X48,0)=ROUND(SUM(BS!X41,BS!X47),0),"OK","ERROR")</f>
        <v>OK</v>
      </c>
      <c r="Y113" s="216" t="str">
        <f>IF(ROUND(BS!Y48,0)=ROUND(SUM(BS!Y41,BS!Y47),0),"OK","ERROR")</f>
        <v>OK</v>
      </c>
      <c r="Z113" s="226" t="str">
        <f>IF(ROUND(BS!Z48,0)=ROUND(SUM(BS!Z41,BS!Z47),0),"OK","ERROR")</f>
        <v>OK</v>
      </c>
      <c r="AA113" s="247"/>
      <c r="AB113" s="216" t="str">
        <f>IF(ROUND(BS!AB48,0)=ROUND(SUM(BS!AB41,BS!AB47),0),"OK","ERROR")</f>
        <v>OK</v>
      </c>
      <c r="AC113" s="216" t="str">
        <f>IF(ROUND(BS!AC48,0)=ROUND(SUM(BS!AC41,BS!AC47),0),"OK","ERROR")</f>
        <v>OK</v>
      </c>
      <c r="AD113" s="216" t="str">
        <f>IF(ROUND(BS!AD48,0)=ROUND(SUM(BS!AD41,BS!AD47),0),"OK","ERROR")</f>
        <v>OK</v>
      </c>
      <c r="AE113" s="216" t="str">
        <f>IF(ROUND(BS!AE48,0)=ROUND(SUM(BS!AE41,BS!AE47),0),"OK","ERROR")</f>
        <v>OK</v>
      </c>
      <c r="AF113" s="226" t="str">
        <f>IF(ROUND(BS!AF48,0)=ROUND(SUM(BS!AF41,BS!AF47),0),"OK","ERROR")</f>
        <v>OK</v>
      </c>
      <c r="AG113" s="283"/>
      <c r="AH113" s="216" t="str">
        <f>IF(ROUND(BS!AH48,0)=ROUND(SUM(BS!AH41,BS!AH47),0),"OK","ERROR")</f>
        <v>OK</v>
      </c>
      <c r="AI113" s="216" t="str">
        <f>IF(ROUND(BS!AI48,0)=ROUND(SUM(BS!AI41,BS!AI47),0),"OK","ERROR")</f>
        <v>OK</v>
      </c>
      <c r="AJ113" s="216" t="str">
        <f>IF(ROUND(BS!AJ48,0)=ROUND(SUM(BS!AJ41,BS!AJ47),0),"OK","ERROR")</f>
        <v>OK</v>
      </c>
      <c r="AK113" s="216" t="str">
        <f>IF(ROUND(BS!AK48,0)=ROUND(SUM(BS!AK41,BS!AK47),0),"OK","ERROR")</f>
        <v>OK</v>
      </c>
      <c r="AL113" s="226" t="str">
        <f>IF(ROUND(BS!AL48,0)=ROUND(SUM(BS!AL41,BS!AL47),0),"OK","ERROR")</f>
        <v>OK</v>
      </c>
      <c r="AM113" s="247"/>
      <c r="AN113" s="216" t="str">
        <f>IF(ROUND(BS!AN48,0)=ROUND(SUM(BS!AN41,BS!AN47),0),"OK","ERROR")</f>
        <v>OK</v>
      </c>
      <c r="AO113" s="216" t="str">
        <f>IF(ROUND(BS!AO48,0)=ROUND(SUM(BS!AO41,BS!AO47),0),"OK","ERROR")</f>
        <v>OK</v>
      </c>
      <c r="AP113" s="216" t="str">
        <f>IF(ROUND(BS!AP48,0)=ROUND(SUM(BS!AP41,BS!AP47),0),"OK","ERROR")</f>
        <v>OK</v>
      </c>
      <c r="AQ113" s="216" t="str">
        <f>IF(ROUND(BS!AQ48,0)=ROUND(SUM(BS!AQ41,BS!AQ47),0),"OK","ERROR")</f>
        <v>OK</v>
      </c>
      <c r="AR113" s="226" t="str">
        <f>IF(ROUND(BS!AR48,0)=ROUND(SUM(BS!AR41,BS!AR47),0),"OK","ERROR")</f>
        <v>OK</v>
      </c>
      <c r="AS113" s="247"/>
      <c r="AT113" s="226" t="str">
        <f>IF(ROUND(BS!AT48,0)=ROUND(SUM(BS!AT41,BS!AT47),0),"OK","ERROR")</f>
        <v>OK</v>
      </c>
      <c r="AU113" s="247"/>
      <c r="AV113" s="226" t="str">
        <f>IF(ROUND(BS!AV48,0)=ROUND(SUM(BS!AV41,BS!AV47),0),"OK","ERROR")</f>
        <v>OK</v>
      </c>
      <c r="AW113" s="254"/>
      <c r="AX113" s="226" t="str">
        <f>IF(ROUND(BS!AX48,0)=ROUND(SUM(BS!AX41,BS!AX47),0),"OK","ERROR")</f>
        <v>OK</v>
      </c>
    </row>
    <row r="114" spans="1:50" s="113" customFormat="1" ht="15" customHeight="1">
      <c r="B114" s="143"/>
      <c r="C114" s="115"/>
      <c r="D114" s="207"/>
      <c r="E114" s="207"/>
      <c r="F114" s="207"/>
      <c r="G114" s="207"/>
      <c r="H114" s="219"/>
      <c r="I114" s="255"/>
      <c r="J114" s="207"/>
      <c r="K114" s="207"/>
      <c r="L114" s="207"/>
      <c r="M114" s="207"/>
      <c r="N114" s="219"/>
      <c r="O114" s="255"/>
      <c r="P114" s="207"/>
      <c r="Q114" s="207"/>
      <c r="R114" s="207"/>
      <c r="S114" s="207"/>
      <c r="T114" s="219"/>
      <c r="U114" s="255"/>
      <c r="V114" s="207"/>
      <c r="W114" s="207"/>
      <c r="X114" s="207"/>
      <c r="Y114" s="207"/>
      <c r="Z114" s="219"/>
      <c r="AA114" s="255"/>
      <c r="AB114" s="207"/>
      <c r="AC114" s="207"/>
      <c r="AD114" s="207"/>
      <c r="AE114" s="207"/>
      <c r="AF114" s="219"/>
      <c r="AG114" s="284"/>
      <c r="AH114" s="207"/>
      <c r="AI114" s="207"/>
      <c r="AJ114" s="207"/>
      <c r="AK114" s="207"/>
      <c r="AL114" s="219"/>
      <c r="AM114" s="255"/>
      <c r="AN114" s="207"/>
      <c r="AO114" s="207"/>
      <c r="AP114" s="207"/>
      <c r="AQ114" s="207"/>
      <c r="AR114" s="219"/>
      <c r="AS114" s="255"/>
      <c r="AT114" s="219"/>
      <c r="AU114" s="255"/>
      <c r="AV114" s="219"/>
      <c r="AW114" s="260"/>
      <c r="AX114" s="219"/>
    </row>
    <row r="115" spans="1:50" s="41" customFormat="1" ht="15" customHeight="1">
      <c r="A115" s="44" t="s">
        <v>39</v>
      </c>
      <c r="B115" s="114" t="s">
        <v>622</v>
      </c>
      <c r="C115" s="17"/>
      <c r="D115" s="207"/>
      <c r="E115" s="207"/>
      <c r="F115" s="207"/>
      <c r="G115" s="207"/>
      <c r="H115" s="219"/>
      <c r="I115" s="247"/>
      <c r="J115" s="207"/>
      <c r="K115" s="207"/>
      <c r="L115" s="207"/>
      <c r="M115" s="207"/>
      <c r="N115" s="219"/>
      <c r="O115" s="247"/>
      <c r="P115" s="207"/>
      <c r="Q115" s="207"/>
      <c r="R115" s="207"/>
      <c r="S115" s="207"/>
      <c r="T115" s="219"/>
      <c r="U115" s="247"/>
      <c r="V115" s="207"/>
      <c r="W115" s="207"/>
      <c r="X115" s="207"/>
      <c r="Y115" s="207"/>
      <c r="Z115" s="219"/>
      <c r="AA115" s="247"/>
      <c r="AB115" s="207"/>
      <c r="AC115" s="207"/>
      <c r="AD115" s="207"/>
      <c r="AE115" s="207"/>
      <c r="AF115" s="219"/>
      <c r="AG115" s="283"/>
      <c r="AH115" s="207"/>
      <c r="AI115" s="207"/>
      <c r="AJ115" s="207"/>
      <c r="AK115" s="207"/>
      <c r="AL115" s="219"/>
      <c r="AM115" s="247"/>
      <c r="AN115" s="207"/>
      <c r="AO115" s="207"/>
      <c r="AP115" s="207"/>
      <c r="AQ115" s="207"/>
      <c r="AR115" s="219"/>
      <c r="AS115" s="247"/>
      <c r="AT115" s="219"/>
      <c r="AU115" s="247"/>
      <c r="AV115" s="219"/>
      <c r="AW115" s="254"/>
      <c r="AX115" s="219"/>
    </row>
    <row r="116" spans="1:50" s="113" customFormat="1" ht="15" customHeight="1">
      <c r="B116" s="138" t="s">
        <v>626</v>
      </c>
      <c r="C116" s="115"/>
      <c r="D116" s="216" t="str">
        <f>IF(ROUND(BS!D54,0)=ROUND(SUM(BS!D51:D53),0),"OK","ERROR")</f>
        <v>OK</v>
      </c>
      <c r="E116" s="216" t="str">
        <f>IF(ROUND(BS!E54,0)=ROUND(SUM(BS!E51:E53),0),"OK","ERROR")</f>
        <v>OK</v>
      </c>
      <c r="F116" s="216" t="str">
        <f>IF(ROUND(BS!F54,0)=ROUND(SUM(BS!F51:F53),0),"OK","ERROR")</f>
        <v>OK</v>
      </c>
      <c r="G116" s="216" t="str">
        <f>IF(ROUND(BS!G54,0)=ROUND(SUM(BS!G51:G53),0),"OK","ERROR")</f>
        <v>OK</v>
      </c>
      <c r="H116" s="226" t="str">
        <f>IF(ROUND(BS!H54,0)=ROUND(SUM(BS!H51:H53),0),"OK","ERROR")</f>
        <v>OK</v>
      </c>
      <c r="I116" s="255"/>
      <c r="J116" s="216" t="str">
        <f>IF(ROUND(BS!J54,0)=ROUND(SUM(BS!J51:J53),0),"OK","ERROR")</f>
        <v>OK</v>
      </c>
      <c r="K116" s="216" t="str">
        <f>IF(ROUND(BS!K54,0)=ROUND(SUM(BS!K51:K53),0),"OK","ERROR")</f>
        <v>OK</v>
      </c>
      <c r="L116" s="216" t="str">
        <f>IF(ROUND(BS!L54,0)=ROUND(SUM(BS!L51:L53),0),"OK","ERROR")</f>
        <v>OK</v>
      </c>
      <c r="M116" s="216" t="str">
        <f>IF(ROUND(BS!M54,0)=ROUND(SUM(BS!M51:M53),0),"OK","ERROR")</f>
        <v>OK</v>
      </c>
      <c r="N116" s="226" t="str">
        <f>IF(ROUND(BS!N54,0)=ROUND(SUM(BS!N51:N53),0),"OK","ERROR")</f>
        <v>OK</v>
      </c>
      <c r="O116" s="255"/>
      <c r="P116" s="216" t="str">
        <f>IF(ROUND(BS!P54,0)=ROUND(SUM(BS!P51:P53),0),"OK","ERROR")</f>
        <v>OK</v>
      </c>
      <c r="Q116" s="216" t="str">
        <f>IF(ROUND(BS!Q54,0)=ROUND(SUM(BS!Q51:Q53),0),"OK","ERROR")</f>
        <v>OK</v>
      </c>
      <c r="R116" s="216" t="str">
        <f>IF(ROUND(BS!R54,0)=ROUND(SUM(BS!R51:R53),0),"OK","ERROR")</f>
        <v>OK</v>
      </c>
      <c r="S116" s="216" t="str">
        <f>IF(ROUND(BS!S54,0)=ROUND(SUM(BS!S51:S53),0),"OK","ERROR")</f>
        <v>OK</v>
      </c>
      <c r="T116" s="226" t="str">
        <f>IF(ROUND(BS!T54,0)=ROUND(SUM(BS!T51:T53),0),"OK","ERROR")</f>
        <v>OK</v>
      </c>
      <c r="U116" s="255"/>
      <c r="V116" s="216" t="str">
        <f>IF(ROUND(BS!V54,0)=ROUND(SUM(BS!V51:V53),0),"OK","ERROR")</f>
        <v>OK</v>
      </c>
      <c r="W116" s="216" t="str">
        <f>IF(ROUND(BS!W54,0)=ROUND(SUM(BS!W51:W53),0),"OK","ERROR")</f>
        <v>OK</v>
      </c>
      <c r="X116" s="216" t="str">
        <f>IF(ROUND(BS!X54,0)=ROUND(SUM(BS!X51:X53),0),"OK","ERROR")</f>
        <v>OK</v>
      </c>
      <c r="Y116" s="216" t="str">
        <f>IF(ROUND(BS!Y54,0)=ROUND(SUM(BS!Y51:Y53),0),"OK","ERROR")</f>
        <v>OK</v>
      </c>
      <c r="Z116" s="226" t="str">
        <f>IF(ROUND(BS!Z54,0)=ROUND(SUM(BS!Z51:Z53),0),"OK","ERROR")</f>
        <v>OK</v>
      </c>
      <c r="AA116" s="255"/>
      <c r="AB116" s="216" t="str">
        <f>IF(ROUND(BS!AB54,0)=ROUND(SUM(BS!AB51:AB53),0),"OK","ERROR")</f>
        <v>OK</v>
      </c>
      <c r="AC116" s="216" t="str">
        <f>IF(ROUND(BS!AC54,0)=ROUND(SUM(BS!AC51:AC53),0),"OK","ERROR")</f>
        <v>OK</v>
      </c>
      <c r="AD116" s="216" t="str">
        <f>IF(ROUND(BS!AD54,0)=ROUND(SUM(BS!AD51:AD53),0),"OK","ERROR")</f>
        <v>OK</v>
      </c>
      <c r="AE116" s="216" t="str">
        <f>IF(ROUND(BS!AE54,0)=ROUND(SUM(BS!AE51:AE53),0),"OK","ERROR")</f>
        <v>OK</v>
      </c>
      <c r="AF116" s="226" t="str">
        <f>IF(ROUND(BS!AF54,0)=ROUND(SUM(BS!AF51:AF53),0),"OK","ERROR")</f>
        <v>OK</v>
      </c>
      <c r="AG116" s="284"/>
      <c r="AH116" s="216" t="str">
        <f>IF(ROUND(BS!AH54,0)=ROUND(SUM(BS!AH51:AH53),0),"OK","ERROR")</f>
        <v>OK</v>
      </c>
      <c r="AI116" s="216" t="str">
        <f>IF(ROUND(BS!AI54,0)=ROUND(SUM(BS!AI51:AI53),0),"OK","ERROR")</f>
        <v>OK</v>
      </c>
      <c r="AJ116" s="216" t="str">
        <f>IF(ROUND(BS!AJ54,0)=ROUND(SUM(BS!AJ51:AJ53),0),"OK","ERROR")</f>
        <v>OK</v>
      </c>
      <c r="AK116" s="216" t="str">
        <f>IF(ROUND(BS!AK54,0)=ROUND(SUM(BS!AK51:AK53),0),"OK","ERROR")</f>
        <v>OK</v>
      </c>
      <c r="AL116" s="226" t="str">
        <f>IF(ROUND(BS!AL54,0)=ROUND(SUM(BS!AL51:AL53),0),"OK","ERROR")</f>
        <v>OK</v>
      </c>
      <c r="AM116" s="255"/>
      <c r="AN116" s="216" t="str">
        <f>IF(ROUND(BS!AN54,0)=ROUND(SUM(BS!AN51:AN53),0),"OK","ERROR")</f>
        <v>OK</v>
      </c>
      <c r="AO116" s="216" t="str">
        <f>IF(ROUND(BS!AO54,0)=ROUND(SUM(BS!AO51:AO53),0),"OK","ERROR")</f>
        <v>OK</v>
      </c>
      <c r="AP116" s="216" t="str">
        <f>IF(ROUND(BS!AP54,0)=ROUND(SUM(BS!AP51:AP53),0),"OK","ERROR")</f>
        <v>OK</v>
      </c>
      <c r="AQ116" s="216" t="str">
        <f>IF(ROUND(BS!AQ54,0)=ROUND(SUM(BS!AQ51:AQ53),0),"OK","ERROR")</f>
        <v>OK</v>
      </c>
      <c r="AR116" s="226" t="str">
        <f>IF(ROUND(BS!AR54,0)=ROUND(SUM(BS!AR51:AR53),0),"OK","ERROR")</f>
        <v>OK</v>
      </c>
      <c r="AS116" s="255"/>
      <c r="AT116" s="226" t="str">
        <f>IF(ROUND(BS!AT54,0)=ROUND(SUM(BS!AT51:AT53),0),"OK","ERROR")</f>
        <v>OK</v>
      </c>
      <c r="AU116" s="255"/>
      <c r="AV116" s="226" t="str">
        <f>IF(ROUND(BS!AV54,0)=ROUND(SUM(BS!AV51:AV53),0),"OK","ERROR")</f>
        <v>OK</v>
      </c>
      <c r="AW116" s="260"/>
      <c r="AX116" s="226" t="str">
        <f>IF(ROUND(BS!AX54,0)=ROUND(SUM(BS!AX51:AX53),0),"OK","ERROR")</f>
        <v>OK</v>
      </c>
    </row>
    <row r="117" spans="1:50" s="41" customFormat="1" ht="15" customHeight="1" thickBot="1">
      <c r="A117" s="43"/>
      <c r="B117" s="140" t="s">
        <v>627</v>
      </c>
      <c r="C117" s="17"/>
      <c r="D117" s="216" t="str">
        <f>IF(ROUND(BS!D55,0)=ROUND(SUM(BS!D54,BS!D48),0),"OK","ERROR")</f>
        <v>OK</v>
      </c>
      <c r="E117" s="216" t="str">
        <f>IF(ROUND(BS!E55,0)=ROUND(SUM(BS!E54,BS!E48),0),"OK","ERROR")</f>
        <v>OK</v>
      </c>
      <c r="F117" s="216" t="str">
        <f>IF(ROUND(BS!F55,0)=ROUND(SUM(BS!F54,BS!F48),0),"OK","ERROR")</f>
        <v>OK</v>
      </c>
      <c r="G117" s="216" t="str">
        <f>IF(ROUND(BS!G55,0)=ROUND(SUM(BS!G54,BS!G48),0),"OK","ERROR")</f>
        <v>OK</v>
      </c>
      <c r="H117" s="236" t="str">
        <f>IF(ROUND(BS!H55,0)=ROUND(SUM(BS!H54,BS!H48),0),"OK","ERROR")</f>
        <v>OK</v>
      </c>
      <c r="I117" s="247"/>
      <c r="J117" s="216" t="str">
        <f>IF(ROUND(BS!J55,0)=ROUND(SUM(BS!J54,BS!J48),0),"OK","ERROR")</f>
        <v>OK</v>
      </c>
      <c r="K117" s="216" t="str">
        <f>IF(ROUND(BS!K55,0)=ROUND(SUM(BS!K54,BS!K48),0),"OK","ERROR")</f>
        <v>OK</v>
      </c>
      <c r="L117" s="216" t="str">
        <f>IF(ROUND(BS!L55,0)=ROUND(SUM(BS!L54,BS!L48),0),"OK","ERROR")</f>
        <v>OK</v>
      </c>
      <c r="M117" s="216" t="str">
        <f>IF(ROUND(BS!M55,0)=ROUND(SUM(BS!M54,BS!M48),0),"OK","ERROR")</f>
        <v>OK</v>
      </c>
      <c r="N117" s="236" t="str">
        <f>IF(ROUND(BS!N55,0)=ROUND(SUM(BS!N54,BS!N48),0),"OK","ERROR")</f>
        <v>OK</v>
      </c>
      <c r="O117" s="247"/>
      <c r="P117" s="216" t="str">
        <f>IF(ROUND(BS!P55,0)=ROUND(SUM(BS!P54,BS!P48),0),"OK","ERROR")</f>
        <v>OK</v>
      </c>
      <c r="Q117" s="216" t="str">
        <f>IF(ROUND(BS!Q55,0)=ROUND(SUM(BS!Q54,BS!Q48),0),"OK","ERROR")</f>
        <v>OK</v>
      </c>
      <c r="R117" s="216" t="str">
        <f>IF(ROUND(BS!R55,0)=ROUND(SUM(BS!R54,BS!R48),0),"OK","ERROR")</f>
        <v>OK</v>
      </c>
      <c r="S117" s="216" t="str">
        <f>IF(ROUND(BS!S55,0)=ROUND(SUM(BS!S54,BS!S48),0),"OK","ERROR")</f>
        <v>OK</v>
      </c>
      <c r="T117" s="236" t="str">
        <f>IF(ROUND(BS!T55,0)=ROUND(SUM(BS!T54,BS!T48),0),"OK","ERROR")</f>
        <v>OK</v>
      </c>
      <c r="U117" s="247"/>
      <c r="V117" s="216" t="str">
        <f>IF(ROUND(BS!V55,0)=ROUND(SUM(BS!V54,BS!V48),0),"OK","ERROR")</f>
        <v>OK</v>
      </c>
      <c r="W117" s="216" t="str">
        <f>IF(ROUND(BS!W55,0)=ROUND(SUM(BS!W54,BS!W48),0),"OK","ERROR")</f>
        <v>OK</v>
      </c>
      <c r="X117" s="216" t="str">
        <f>IF(ROUND(BS!X55,0)=ROUND(SUM(BS!X54,BS!X48),0),"OK","ERROR")</f>
        <v>OK</v>
      </c>
      <c r="Y117" s="216" t="str">
        <f>IF(ROUND(BS!Y55,0)=ROUND(SUM(BS!Y54,BS!Y48),0),"OK","ERROR")</f>
        <v>OK</v>
      </c>
      <c r="Z117" s="236" t="str">
        <f>IF(ROUND(BS!Z55,0)=ROUND(SUM(BS!Z54,BS!Z48),0),"OK","ERROR")</f>
        <v>OK</v>
      </c>
      <c r="AA117" s="247"/>
      <c r="AB117" s="216" t="str">
        <f>IF(ROUND(BS!AB55,0)=ROUND(SUM(BS!AB54,BS!AB48),0),"OK","ERROR")</f>
        <v>OK</v>
      </c>
      <c r="AC117" s="216" t="str">
        <f>IF(ROUND(BS!AC55,0)=ROUND(SUM(BS!AC54,BS!AC48),0),"OK","ERROR")</f>
        <v>OK</v>
      </c>
      <c r="AD117" s="216" t="str">
        <f>IF(ROUND(BS!AD55,0)=ROUND(SUM(BS!AD54,BS!AD48),0),"OK","ERROR")</f>
        <v>OK</v>
      </c>
      <c r="AE117" s="216" t="str">
        <f>IF(ROUND(BS!AE55,0)=ROUND(SUM(BS!AE54,BS!AE48),0),"OK","ERROR")</f>
        <v>OK</v>
      </c>
      <c r="AF117" s="236" t="str">
        <f>IF(ROUND(BS!AF55,0)=ROUND(SUM(BS!AF54,BS!AF48),0),"OK","ERROR")</f>
        <v>OK</v>
      </c>
      <c r="AG117" s="283"/>
      <c r="AH117" s="216" t="str">
        <f>IF(ROUND(BS!AH55,0)=ROUND(SUM(BS!AH54,BS!AH48),0),"OK","ERROR")</f>
        <v>OK</v>
      </c>
      <c r="AI117" s="216" t="str">
        <f>IF(ROUND(BS!AI55,0)=ROUND(SUM(BS!AI54,BS!AI48),0),"OK","ERROR")</f>
        <v>OK</v>
      </c>
      <c r="AJ117" s="216" t="str">
        <f>IF(ROUND(BS!AJ55,0)=ROUND(SUM(BS!AJ54,BS!AJ48),0),"OK","ERROR")</f>
        <v>OK</v>
      </c>
      <c r="AK117" s="216" t="str">
        <f>IF(ROUND(BS!AK55,0)=ROUND(SUM(BS!AK54,BS!AK48),0),"OK","ERROR")</f>
        <v>OK</v>
      </c>
      <c r="AL117" s="236" t="str">
        <f>IF(ROUND(BS!AL55,0)=ROUND(SUM(BS!AL54,BS!AL48),0),"OK","ERROR")</f>
        <v>OK</v>
      </c>
      <c r="AM117" s="247"/>
      <c r="AN117" s="216" t="str">
        <f>IF(ROUND(BS!AN55,0)=ROUND(SUM(BS!AN54,BS!AN48),0),"OK","ERROR")</f>
        <v>OK</v>
      </c>
      <c r="AO117" s="216" t="str">
        <f>IF(ROUND(BS!AO55,0)=ROUND(SUM(BS!AO54,BS!AO48),0),"OK","ERROR")</f>
        <v>OK</v>
      </c>
      <c r="AP117" s="216" t="str">
        <f>IF(ROUND(BS!AP55,0)=ROUND(SUM(BS!AP54,BS!AP48),0),"OK","ERROR")</f>
        <v>OK</v>
      </c>
      <c r="AQ117" s="216" t="str">
        <f>IF(ROUND(BS!AQ55,0)=ROUND(SUM(BS!AQ54,BS!AQ48),0),"OK","ERROR")</f>
        <v>OK</v>
      </c>
      <c r="AR117" s="236" t="str">
        <f>IF(ROUND(BS!AR55,0)=ROUND(SUM(BS!AR54,BS!AR48),0),"OK","ERROR")</f>
        <v>OK</v>
      </c>
      <c r="AS117" s="247"/>
      <c r="AT117" s="236" t="str">
        <f>IF(ROUND(BS!AT55,0)=ROUND(SUM(BS!AT54,BS!AT48),0),"OK","ERROR")</f>
        <v>OK</v>
      </c>
      <c r="AU117" s="247"/>
      <c r="AV117" s="236" t="str">
        <f>IF(ROUND(BS!AV55,0)=ROUND(SUM(BS!AV54,BS!AV48),0),"OK","ERROR")</f>
        <v>OK</v>
      </c>
      <c r="AW117" s="254"/>
      <c r="AX117" s="236" t="str">
        <f>IF(ROUND(BS!AX55,0)=ROUND(SUM(BS!AX54,BS!AX48),0),"OK","ERROR")</f>
        <v>OK</v>
      </c>
    </row>
    <row r="118" spans="1:50" ht="14.25" customHeight="1" thickTop="1"/>
    <row r="119" spans="1:50" s="41" customFormat="1" ht="15" customHeight="1">
      <c r="A119" s="44" t="s">
        <v>39</v>
      </c>
      <c r="B119" s="161" t="s">
        <v>661</v>
      </c>
      <c r="C119" s="18"/>
      <c r="D119" s="201">
        <f>F119</f>
        <v>2020</v>
      </c>
      <c r="E119" s="201">
        <f>F119</f>
        <v>2020</v>
      </c>
      <c r="F119" s="201">
        <v>2020</v>
      </c>
      <c r="G119" s="201">
        <f>F119</f>
        <v>2020</v>
      </c>
      <c r="H119" s="201">
        <f>F119</f>
        <v>2020</v>
      </c>
      <c r="I119" s="18"/>
      <c r="J119" s="201">
        <f>L119</f>
        <v>2021</v>
      </c>
      <c r="K119" s="201">
        <f>L119</f>
        <v>2021</v>
      </c>
      <c r="L119" s="201">
        <v>2021</v>
      </c>
      <c r="M119" s="201">
        <f>L119</f>
        <v>2021</v>
      </c>
      <c r="N119" s="201">
        <f>L119</f>
        <v>2021</v>
      </c>
      <c r="O119" s="169"/>
      <c r="P119" s="201">
        <f>R119</f>
        <v>2022</v>
      </c>
      <c r="Q119" s="201">
        <f>R119</f>
        <v>2022</v>
      </c>
      <c r="R119" s="201">
        <v>2022</v>
      </c>
      <c r="S119" s="201">
        <f>R119</f>
        <v>2022</v>
      </c>
      <c r="T119" s="201">
        <f>R119</f>
        <v>2022</v>
      </c>
      <c r="U119" s="169"/>
      <c r="V119" s="201">
        <f>X119</f>
        <v>2023</v>
      </c>
      <c r="W119" s="201">
        <f>X119</f>
        <v>2023</v>
      </c>
      <c r="X119" s="201">
        <v>2023</v>
      </c>
      <c r="Y119" s="201">
        <f>X119</f>
        <v>2023</v>
      </c>
      <c r="Z119" s="201">
        <f>X119</f>
        <v>2023</v>
      </c>
      <c r="AA119" s="170"/>
      <c r="AB119" s="201">
        <f>AD119</f>
        <v>2024</v>
      </c>
      <c r="AC119" s="201">
        <f>AD119</f>
        <v>2024</v>
      </c>
      <c r="AD119" s="201">
        <v>2024</v>
      </c>
      <c r="AE119" s="201">
        <f>AD119</f>
        <v>2024</v>
      </c>
      <c r="AF119" s="201">
        <f>AD119</f>
        <v>2024</v>
      </c>
      <c r="AG119" s="170"/>
      <c r="AH119" s="201">
        <f>AJ119</f>
        <v>2025</v>
      </c>
      <c r="AI119" s="201">
        <f>AJ119</f>
        <v>2025</v>
      </c>
      <c r="AJ119" s="202">
        <v>2025</v>
      </c>
      <c r="AK119" s="201">
        <f>AJ119</f>
        <v>2025</v>
      </c>
      <c r="AL119" s="201">
        <f>AJ119</f>
        <v>2025</v>
      </c>
      <c r="AM119" s="171"/>
      <c r="AN119" s="201">
        <f>AP119</f>
        <v>2025</v>
      </c>
      <c r="AO119" s="201">
        <f>AP119</f>
        <v>2025</v>
      </c>
      <c r="AP119" s="202">
        <v>2025</v>
      </c>
      <c r="AQ119" s="201">
        <f>AP119</f>
        <v>2025</v>
      </c>
      <c r="AR119" s="201">
        <f>AP119</f>
        <v>2025</v>
      </c>
      <c r="AS119" s="18"/>
      <c r="AT119" s="162"/>
      <c r="AU119" s="18"/>
      <c r="AV119" s="163"/>
      <c r="AW119" s="18"/>
      <c r="AX119" s="163"/>
    </row>
    <row r="120" spans="1:50" s="41" customFormat="1" ht="15" customHeight="1">
      <c r="B120" s="164"/>
      <c r="C120" s="18"/>
      <c r="D120" s="822">
        <v>2020</v>
      </c>
      <c r="E120" s="822"/>
      <c r="F120" s="822"/>
      <c r="G120" s="822"/>
      <c r="H120" s="822"/>
      <c r="I120" s="169"/>
      <c r="J120" s="822">
        <f>D120+1</f>
        <v>2021</v>
      </c>
      <c r="K120" s="822"/>
      <c r="L120" s="822"/>
      <c r="M120" s="822"/>
      <c r="N120" s="822"/>
      <c r="O120" s="169"/>
      <c r="P120" s="822">
        <f>J120+1</f>
        <v>2022</v>
      </c>
      <c r="Q120" s="822"/>
      <c r="R120" s="822"/>
      <c r="S120" s="822"/>
      <c r="T120" s="822"/>
      <c r="U120" s="169"/>
      <c r="V120" s="822">
        <f>P120+1</f>
        <v>2023</v>
      </c>
      <c r="W120" s="822"/>
      <c r="X120" s="822"/>
      <c r="Y120" s="822"/>
      <c r="Z120" s="822"/>
      <c r="AA120" s="169"/>
      <c r="AB120" s="822">
        <f>V120+1</f>
        <v>2024</v>
      </c>
      <c r="AC120" s="822"/>
      <c r="AD120" s="822"/>
      <c r="AE120" s="822"/>
      <c r="AF120" s="822"/>
      <c r="AG120" s="169"/>
      <c r="AH120" s="821">
        <f>AB120+1</f>
        <v>2025</v>
      </c>
      <c r="AI120" s="821"/>
      <c r="AJ120" s="821"/>
      <c r="AK120" s="821"/>
      <c r="AL120" s="821"/>
      <c r="AM120" s="169"/>
      <c r="AN120" s="821">
        <f>AH120+1</f>
        <v>2026</v>
      </c>
      <c r="AO120" s="821"/>
      <c r="AP120" s="821"/>
      <c r="AQ120" s="821"/>
      <c r="AR120" s="821"/>
      <c r="AS120" s="171"/>
      <c r="AT120" s="166">
        <f>AN120+1</f>
        <v>2027</v>
      </c>
      <c r="AU120" s="167"/>
      <c r="AV120" s="166">
        <f>+AT120+1</f>
        <v>2028</v>
      </c>
      <c r="AW120" s="167"/>
      <c r="AX120" s="166">
        <f>+AV120+1</f>
        <v>2029</v>
      </c>
    </row>
    <row r="121" spans="1:50" s="41" customFormat="1" ht="15" customHeight="1">
      <c r="B121" s="164"/>
      <c r="C121" s="18"/>
      <c r="D121" s="168" t="s">
        <v>173</v>
      </c>
      <c r="E121" s="168" t="s">
        <v>174</v>
      </c>
      <c r="F121" s="168" t="s">
        <v>175</v>
      </c>
      <c r="G121" s="168" t="s">
        <v>176</v>
      </c>
      <c r="H121" s="168" t="s">
        <v>177</v>
      </c>
      <c r="I121" s="18"/>
      <c r="J121" s="168" t="s">
        <v>173</v>
      </c>
      <c r="K121" s="168" t="s">
        <v>174</v>
      </c>
      <c r="L121" s="168" t="s">
        <v>175</v>
      </c>
      <c r="M121" s="168" t="s">
        <v>176</v>
      </c>
      <c r="N121" s="168" t="s">
        <v>177</v>
      </c>
      <c r="O121" s="165"/>
      <c r="P121" s="168" t="s">
        <v>173</v>
      </c>
      <c r="Q121" s="168" t="s">
        <v>174</v>
      </c>
      <c r="R121" s="168" t="s">
        <v>175</v>
      </c>
      <c r="S121" s="168" t="s">
        <v>176</v>
      </c>
      <c r="T121" s="168" t="s">
        <v>177</v>
      </c>
      <c r="U121" s="165"/>
      <c r="V121" s="168" t="s">
        <v>173</v>
      </c>
      <c r="W121" s="168" t="s">
        <v>174</v>
      </c>
      <c r="X121" s="168" t="s">
        <v>175</v>
      </c>
      <c r="Y121" s="168" t="s">
        <v>176</v>
      </c>
      <c r="Z121" s="168" t="s">
        <v>177</v>
      </c>
      <c r="AA121" s="165"/>
      <c r="AB121" s="168" t="s">
        <v>173</v>
      </c>
      <c r="AC121" s="168" t="s">
        <v>174</v>
      </c>
      <c r="AD121" s="168" t="s">
        <v>175</v>
      </c>
      <c r="AE121" s="168" t="s">
        <v>176</v>
      </c>
      <c r="AF121" s="168" t="s">
        <v>177</v>
      </c>
      <c r="AG121" s="165"/>
      <c r="AH121" s="168" t="s">
        <v>173</v>
      </c>
      <c r="AI121" s="168" t="s">
        <v>174</v>
      </c>
      <c r="AJ121" s="168" t="s">
        <v>175</v>
      </c>
      <c r="AK121" s="168" t="s">
        <v>176</v>
      </c>
      <c r="AL121" s="168" t="s">
        <v>177</v>
      </c>
      <c r="AM121" s="165"/>
      <c r="AN121" s="168" t="s">
        <v>173</v>
      </c>
      <c r="AO121" s="168" t="s">
        <v>174</v>
      </c>
      <c r="AP121" s="168" t="s">
        <v>175</v>
      </c>
      <c r="AQ121" s="168" t="s">
        <v>176</v>
      </c>
      <c r="AR121" s="168" t="s">
        <v>177</v>
      </c>
      <c r="AS121" s="165"/>
      <c r="AT121" s="168" t="s">
        <v>177</v>
      </c>
      <c r="AU121" s="165"/>
      <c r="AV121" s="168" t="s">
        <v>177</v>
      </c>
      <c r="AW121" s="165"/>
      <c r="AX121" s="168" t="s">
        <v>177</v>
      </c>
    </row>
    <row r="122" spans="1:50" s="41" customFormat="1" ht="4"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4"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3"/>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39</v>
      </c>
      <c r="B124" s="154" t="s">
        <v>630</v>
      </c>
      <c r="C124" s="17"/>
      <c r="D124" s="207"/>
      <c r="E124" s="207"/>
      <c r="F124" s="207"/>
      <c r="G124" s="207"/>
      <c r="H124" s="219"/>
      <c r="I124" s="209"/>
      <c r="J124" s="207"/>
      <c r="K124" s="207"/>
      <c r="L124" s="207"/>
      <c r="M124" s="207"/>
      <c r="N124" s="219"/>
      <c r="O124" s="208"/>
      <c r="P124" s="207"/>
      <c r="Q124" s="207"/>
      <c r="R124" s="207"/>
      <c r="S124" s="207"/>
      <c r="T124" s="219"/>
      <c r="U124" s="208"/>
      <c r="V124" s="207"/>
      <c r="W124" s="207"/>
      <c r="X124" s="207"/>
      <c r="Y124" s="207"/>
      <c r="Z124" s="219"/>
      <c r="AA124" s="208"/>
      <c r="AB124" s="207"/>
      <c r="AC124" s="207"/>
      <c r="AD124" s="207"/>
      <c r="AE124" s="207"/>
      <c r="AF124" s="219"/>
      <c r="AG124" s="210"/>
      <c r="AH124" s="207"/>
      <c r="AI124" s="207"/>
      <c r="AJ124" s="211"/>
      <c r="AK124" s="211"/>
      <c r="AL124" s="221"/>
      <c r="AM124" s="214"/>
      <c r="AN124" s="211"/>
      <c r="AO124" s="211"/>
      <c r="AP124" s="211"/>
      <c r="AQ124" s="211"/>
      <c r="AR124" s="221"/>
      <c r="AS124" s="214"/>
      <c r="AT124" s="221"/>
      <c r="AU124" s="214"/>
      <c r="AV124" s="221"/>
      <c r="AW124" s="245"/>
      <c r="AX124" s="245"/>
    </row>
    <row r="125" spans="1:50" s="54" customFormat="1" ht="15" customHeight="1">
      <c r="A125" s="43"/>
      <c r="B125" s="155" t="s">
        <v>502</v>
      </c>
      <c r="C125" s="17"/>
      <c r="D125" s="216"/>
      <c r="E125" s="216"/>
      <c r="F125" s="216"/>
      <c r="G125" s="216"/>
      <c r="H125" s="215" t="str">
        <f>IF(ROUND(CF!H15,0)=ROUND(SUM(CF!D15:G15),0),"OK","ERROR")</f>
        <v>OK</v>
      </c>
      <c r="I125" s="209"/>
      <c r="J125" s="216"/>
      <c r="K125" s="216"/>
      <c r="L125" s="216"/>
      <c r="M125" s="216"/>
      <c r="N125" s="215" t="str">
        <f>IF(ROUND(CF!N15,0)=ROUND(SUM(CF!J15:M15),0),"OK","ERROR")</f>
        <v>ERROR</v>
      </c>
      <c r="O125" s="208"/>
      <c r="P125" s="216"/>
      <c r="Q125" s="216"/>
      <c r="R125" s="216"/>
      <c r="S125" s="216"/>
      <c r="T125" s="215" t="str">
        <f>IF(ROUND(CF!T15,0)=ROUND(SUM(CF!P15:S15),0),"OK","ERROR")</f>
        <v>OK</v>
      </c>
      <c r="U125" s="208"/>
      <c r="V125" s="216"/>
      <c r="W125" s="216"/>
      <c r="X125" s="216"/>
      <c r="Y125" s="216"/>
      <c r="Z125" s="215" t="str">
        <f>IF(ROUND(CF!Z15,0)=ROUND(SUM(CF!V15:Y15),0),"OK","ERROR")</f>
        <v>OK</v>
      </c>
      <c r="AA125" s="208"/>
      <c r="AB125" s="216"/>
      <c r="AC125" s="216"/>
      <c r="AD125" s="216"/>
      <c r="AE125" s="216"/>
      <c r="AF125" s="215" t="str">
        <f>IF(ROUND(CF!AF15,0)=ROUND(SUM(CF!AB15:AE15),0),"OK","ERROR")</f>
        <v>OK</v>
      </c>
      <c r="AG125" s="210"/>
      <c r="AH125" s="216"/>
      <c r="AI125" s="216"/>
      <c r="AJ125" s="211"/>
      <c r="AK125" s="211"/>
      <c r="AL125" s="215" t="str">
        <f>IF(ROUND(CF!AL15,0)=ROUND(SUM(CF!AH15:AK15),0),"OK","ERROR")</f>
        <v>ERROR</v>
      </c>
      <c r="AM125" s="214"/>
      <c r="AN125" s="211"/>
      <c r="AO125" s="211"/>
      <c r="AP125" s="211"/>
      <c r="AQ125" s="211"/>
      <c r="AR125" s="215" t="str">
        <f>IF(ROUND(CF!AR15,0)=ROUND(SUM(CF!AN15:AQ15),0),"OK","ERROR")</f>
        <v>OK</v>
      </c>
      <c r="AS125" s="214"/>
      <c r="AT125" s="215" t="str">
        <f>IF(ROUND(CF!AT15,0)=ROUND(SUM(CF!AP15:AS15),0),"OK","ERROR")</f>
        <v>OK</v>
      </c>
      <c r="AU125" s="214"/>
      <c r="AV125" s="215" t="str">
        <f>IF(ROUND(CF!AV15,0)=ROUND(SUM(CF!AR15:AU15),0),"OK","ERROR")</f>
        <v>OK</v>
      </c>
      <c r="AW125" s="245"/>
      <c r="AX125" s="215" t="str">
        <f>IF(ROUND(CF!AX15,0)=ROUND(SUM(CF!AT15:AW15),0),"OK","ERROR")</f>
        <v>OK</v>
      </c>
    </row>
    <row r="126" spans="1:50" s="54" customFormat="1" ht="15" customHeight="1">
      <c r="A126" s="43"/>
      <c r="B126" s="155" t="s">
        <v>631</v>
      </c>
      <c r="C126" s="17"/>
      <c r="D126" s="207"/>
      <c r="E126" s="207"/>
      <c r="F126" s="207"/>
      <c r="G126" s="207"/>
      <c r="H126" s="215"/>
      <c r="I126" s="209"/>
      <c r="J126" s="207"/>
      <c r="K126" s="207"/>
      <c r="L126" s="207"/>
      <c r="M126" s="207"/>
      <c r="N126" s="215"/>
      <c r="O126" s="215"/>
      <c r="P126" s="207"/>
      <c r="Q126" s="207"/>
      <c r="R126" s="207"/>
      <c r="S126" s="207"/>
      <c r="T126" s="215"/>
      <c r="U126" s="215"/>
      <c r="V126" s="207"/>
      <c r="W126" s="207"/>
      <c r="X126" s="207"/>
      <c r="Y126" s="207"/>
      <c r="Z126" s="215"/>
      <c r="AA126" s="215"/>
      <c r="AB126" s="207"/>
      <c r="AC126" s="207"/>
      <c r="AD126" s="207"/>
      <c r="AE126" s="207"/>
      <c r="AF126" s="215"/>
      <c r="AG126" s="210"/>
      <c r="AH126" s="207"/>
      <c r="AI126" s="207"/>
      <c r="AJ126" s="211"/>
      <c r="AK126" s="211"/>
      <c r="AL126" s="215"/>
      <c r="AM126" s="214"/>
      <c r="AN126" s="211"/>
      <c r="AO126" s="211"/>
      <c r="AP126" s="211"/>
      <c r="AQ126" s="211"/>
      <c r="AR126" s="215"/>
      <c r="AS126" s="214"/>
      <c r="AT126" s="215"/>
      <c r="AU126" s="214"/>
      <c r="AV126" s="215"/>
      <c r="AW126" s="245"/>
      <c r="AX126" s="215"/>
    </row>
    <row r="127" spans="1:50" s="54" customFormat="1" ht="15" customHeight="1">
      <c r="A127" s="43"/>
      <c r="B127" s="156" t="s">
        <v>560</v>
      </c>
      <c r="C127" s="17"/>
      <c r="D127" s="216"/>
      <c r="E127" s="216"/>
      <c r="F127" s="216"/>
      <c r="G127" s="216"/>
      <c r="H127" s="215" t="str">
        <f>IF(ROUND(CF!H17,0)=ROUND(SUM(CF!D17:G17),0),"OK","ERROR")</f>
        <v>OK</v>
      </c>
      <c r="I127" s="209"/>
      <c r="J127" s="216"/>
      <c r="K127" s="216"/>
      <c r="L127" s="216"/>
      <c r="M127" s="216"/>
      <c r="N127" s="215" t="str">
        <f>IF(ROUND(CF!N17,0)=ROUND(SUM(CF!J17:M17),0),"OK","ERROR")</f>
        <v>ERROR</v>
      </c>
      <c r="O127" s="208"/>
      <c r="P127" s="216"/>
      <c r="Q127" s="216"/>
      <c r="R127" s="216"/>
      <c r="S127" s="216"/>
      <c r="T127" s="215" t="str">
        <f>IF(ROUND(CF!T17,0)=ROUND(SUM(CF!P17:S17),0),"OK","ERROR")</f>
        <v>OK</v>
      </c>
      <c r="U127" s="208"/>
      <c r="V127" s="216"/>
      <c r="W127" s="216"/>
      <c r="X127" s="216"/>
      <c r="Y127" s="216"/>
      <c r="Z127" s="215" t="str">
        <f>IF(ROUND(CF!Z17,0)=ROUND(SUM(CF!V17:Y17),0),"OK","ERROR")</f>
        <v>ERROR</v>
      </c>
      <c r="AA127" s="208"/>
      <c r="AB127" s="216"/>
      <c r="AC127" s="216"/>
      <c r="AD127" s="216"/>
      <c r="AE127" s="216"/>
      <c r="AF127" s="215" t="str">
        <f>IF(ROUND(CF!AF17,0)=ROUND(SUM(CF!AB17:AE17),0),"OK","ERROR")</f>
        <v>ERROR</v>
      </c>
      <c r="AG127" s="210"/>
      <c r="AH127" s="216"/>
      <c r="AI127" s="216"/>
      <c r="AJ127" s="211"/>
      <c r="AK127" s="211"/>
      <c r="AL127" s="215" t="str">
        <f>IF(ROUND(CF!AL17,0)=ROUND(SUM(CF!AH17:AK17),0),"OK","ERROR")</f>
        <v>OK</v>
      </c>
      <c r="AM127" s="214"/>
      <c r="AN127" s="211"/>
      <c r="AO127" s="211"/>
      <c r="AP127" s="211"/>
      <c r="AQ127" s="211"/>
      <c r="AR127" s="215" t="str">
        <f>IF(ROUND(CF!AR17,0)=ROUND(SUM(CF!AN17:AQ17),0),"OK","ERROR")</f>
        <v>OK</v>
      </c>
      <c r="AS127" s="214"/>
      <c r="AT127" s="215" t="str">
        <f>IF(ROUND(CF!AT17,0)=ROUND(SUM(CF!AP17:AS17),0),"OK","ERROR")</f>
        <v>OK</v>
      </c>
      <c r="AU127" s="214"/>
      <c r="AV127" s="215" t="str">
        <f>IF(ROUND(CF!AV17,0)=ROUND(SUM(CF!AR17:AU17),0),"OK","ERROR")</f>
        <v>OK</v>
      </c>
      <c r="AW127" s="245"/>
      <c r="AX127" s="215" t="str">
        <f>IF(ROUND(CF!AX17,0)=ROUND(SUM(CF!AT17:AW17),0),"OK","ERROR")</f>
        <v>OK</v>
      </c>
    </row>
    <row r="128" spans="1:50" s="54" customFormat="1" ht="15" customHeight="1">
      <c r="A128" s="43"/>
      <c r="B128" s="156" t="s">
        <v>662</v>
      </c>
      <c r="C128" s="17"/>
      <c r="D128" s="216"/>
      <c r="E128" s="216"/>
      <c r="F128" s="216"/>
      <c r="G128" s="216"/>
      <c r="H128" s="215" t="str">
        <f>IF(ROUND(CF!H18,0)=ROUND(SUM(CF!D18:G18),0),"OK","ERROR")</f>
        <v>OK</v>
      </c>
      <c r="I128" s="209"/>
      <c r="J128" s="216"/>
      <c r="K128" s="216"/>
      <c r="L128" s="216"/>
      <c r="M128" s="216"/>
      <c r="N128" s="215" t="str">
        <f>IF(ROUND(CF!N18,0)=ROUND(SUM(CF!J18:M18),0),"OK","ERROR")</f>
        <v>ERROR</v>
      </c>
      <c r="O128" s="208"/>
      <c r="P128" s="216"/>
      <c r="Q128" s="216"/>
      <c r="R128" s="216"/>
      <c r="S128" s="216"/>
      <c r="T128" s="215" t="str">
        <f>IF(ROUND(CF!T18,0)=ROUND(SUM(CF!P18:S18),0),"OK","ERROR")</f>
        <v>ERROR</v>
      </c>
      <c r="U128" s="208"/>
      <c r="V128" s="216"/>
      <c r="W128" s="216"/>
      <c r="X128" s="216"/>
      <c r="Y128" s="216"/>
      <c r="Z128" s="215" t="str">
        <f>IF(ROUND(CF!Z18,0)=ROUND(SUM(CF!V18:Y18),0),"OK","ERROR")</f>
        <v>OK</v>
      </c>
      <c r="AA128" s="208"/>
      <c r="AB128" s="216"/>
      <c r="AC128" s="216"/>
      <c r="AD128" s="216"/>
      <c r="AE128" s="216"/>
      <c r="AF128" s="215" t="str">
        <f>IF(ROUND(CF!AF18,0)=ROUND(SUM(CF!AB18:AE18),0),"OK","ERROR")</f>
        <v>OK</v>
      </c>
      <c r="AG128" s="210"/>
      <c r="AH128" s="216"/>
      <c r="AI128" s="216"/>
      <c r="AJ128" s="211"/>
      <c r="AK128" s="211"/>
      <c r="AL128" s="215" t="str">
        <f>IF(ROUND(CF!AL18,0)=ROUND(SUM(CF!AH18:AK18),0),"OK","ERROR")</f>
        <v>OK</v>
      </c>
      <c r="AM128" s="214"/>
      <c r="AN128" s="211"/>
      <c r="AO128" s="211"/>
      <c r="AP128" s="211"/>
      <c r="AQ128" s="211"/>
      <c r="AR128" s="215" t="str">
        <f>IF(ROUND(CF!AR18,0)=ROUND(SUM(CF!AN18:AQ18),0),"OK","ERROR")</f>
        <v>OK</v>
      </c>
      <c r="AS128" s="214"/>
      <c r="AT128" s="215" t="str">
        <f>IF(ROUND(CF!AT18,0)=ROUND(SUM(CF!AP18:AS18),0),"OK","ERROR")</f>
        <v>OK</v>
      </c>
      <c r="AU128" s="214"/>
      <c r="AV128" s="215" t="str">
        <f>IF(ROUND(CF!AV18,0)=ROUND(SUM(CF!AR18:AU18),0),"OK","ERROR")</f>
        <v>OK</v>
      </c>
      <c r="AW128" s="245"/>
      <c r="AX128" s="215" t="str">
        <f>IF(ROUND(CF!AX18,0)=ROUND(SUM(CF!AT18:AW18),0),"OK","ERROR")</f>
        <v>OK</v>
      </c>
    </row>
    <row r="129" spans="1:50" s="54" customFormat="1" ht="15" customHeight="1">
      <c r="A129" s="113"/>
      <c r="B129" s="156" t="s">
        <v>106</v>
      </c>
      <c r="C129" s="115"/>
      <c r="D129" s="216"/>
      <c r="E129" s="216"/>
      <c r="F129" s="216"/>
      <c r="G129" s="216"/>
      <c r="H129" s="215" t="str">
        <f>IF(ROUND(CF!H19,0)=ROUND(SUM(CF!D19:G19),0),"OK","ERROR")</f>
        <v>OK</v>
      </c>
      <c r="I129" s="209"/>
      <c r="J129" s="216"/>
      <c r="K129" s="216"/>
      <c r="L129" s="216"/>
      <c r="M129" s="216"/>
      <c r="N129" s="215" t="str">
        <f>IF(ROUND(CF!N19,0)=ROUND(SUM(CF!J19:M19),0),"OK","ERROR")</f>
        <v>ERROR</v>
      </c>
      <c r="O129" s="209"/>
      <c r="P129" s="216"/>
      <c r="Q129" s="216"/>
      <c r="R129" s="216"/>
      <c r="S129" s="216"/>
      <c r="T129" s="215" t="str">
        <f>IF(ROUND(CF!T19,0)=ROUND(SUM(CF!P19:S19),0),"OK","ERROR")</f>
        <v>OK</v>
      </c>
      <c r="U129" s="209"/>
      <c r="V129" s="216"/>
      <c r="W129" s="216"/>
      <c r="X129" s="216"/>
      <c r="Y129" s="216"/>
      <c r="Z129" s="215" t="str">
        <f>IF(ROUND(CF!Z19,0)=ROUND(SUM(CF!V19:Y19),0),"OK","ERROR")</f>
        <v>ERROR</v>
      </c>
      <c r="AA129" s="212"/>
      <c r="AB129" s="216"/>
      <c r="AC129" s="216"/>
      <c r="AD129" s="216"/>
      <c r="AE129" s="216"/>
      <c r="AF129" s="215" t="str">
        <f>IF(ROUND(CF!AF19,0)=ROUND(SUM(CF!AB19:AE19),0),"OK","ERROR")</f>
        <v>ERROR</v>
      </c>
      <c r="AG129" s="210"/>
      <c r="AH129" s="216"/>
      <c r="AI129" s="216"/>
      <c r="AJ129" s="211"/>
      <c r="AK129" s="211"/>
      <c r="AL129" s="215" t="str">
        <f>IF(ROUND(CF!AL19,0)=ROUND(SUM(CF!AH19:AK19),0),"OK","ERROR")</f>
        <v>ERROR</v>
      </c>
      <c r="AM129" s="222"/>
      <c r="AN129" s="211"/>
      <c r="AO129" s="211"/>
      <c r="AP129" s="211"/>
      <c r="AQ129" s="211"/>
      <c r="AR129" s="215" t="str">
        <f>IF(ROUND(CF!AR19,0)=ROUND(SUM(CF!AN19:AQ19),0),"OK","ERROR")</f>
        <v>OK</v>
      </c>
      <c r="AS129" s="222"/>
      <c r="AT129" s="215" t="str">
        <f>IF(ROUND(CF!AT19,0)=ROUND(SUM(CF!AP19:AS19),0),"OK","ERROR")</f>
        <v>OK</v>
      </c>
      <c r="AU129" s="222"/>
      <c r="AV129" s="215" t="str">
        <f>IF(ROUND(CF!AV19,0)=ROUND(SUM(CF!AR19:AU19),0),"OK","ERROR")</f>
        <v>OK</v>
      </c>
      <c r="AW129" s="245"/>
      <c r="AX129" s="215" t="str">
        <f>IF(ROUND(CF!AX19,0)=ROUND(SUM(CF!AT19:AW19),0),"OK","ERROR")</f>
        <v>OK</v>
      </c>
    </row>
    <row r="130" spans="1:50" s="54" customFormat="1" ht="15" customHeight="1">
      <c r="A130" s="43"/>
      <c r="B130" s="155" t="s">
        <v>633</v>
      </c>
      <c r="C130" s="17"/>
      <c r="D130" s="207"/>
      <c r="E130" s="207"/>
      <c r="F130" s="207"/>
      <c r="G130" s="207"/>
      <c r="H130" s="219"/>
      <c r="I130" s="209"/>
      <c r="J130" s="207"/>
      <c r="K130" s="207"/>
      <c r="L130" s="207"/>
      <c r="M130" s="207"/>
      <c r="N130" s="219"/>
      <c r="O130" s="209"/>
      <c r="P130" s="207"/>
      <c r="Q130" s="207"/>
      <c r="R130" s="207"/>
      <c r="S130" s="207"/>
      <c r="T130" s="219"/>
      <c r="U130" s="209"/>
      <c r="V130" s="207"/>
      <c r="W130" s="207"/>
      <c r="X130" s="207"/>
      <c r="Y130" s="207"/>
      <c r="Z130" s="219"/>
      <c r="AA130" s="212"/>
      <c r="AB130" s="207"/>
      <c r="AC130" s="207"/>
      <c r="AD130" s="207"/>
      <c r="AE130" s="207"/>
      <c r="AF130" s="219"/>
      <c r="AG130" s="210"/>
      <c r="AH130" s="207"/>
      <c r="AI130" s="207"/>
      <c r="AJ130" s="211"/>
      <c r="AK130" s="211"/>
      <c r="AL130" s="219"/>
      <c r="AM130" s="224"/>
      <c r="AN130" s="211"/>
      <c r="AO130" s="211"/>
      <c r="AP130" s="211"/>
      <c r="AQ130" s="211"/>
      <c r="AR130" s="219"/>
      <c r="AS130" s="224"/>
      <c r="AT130" s="219"/>
      <c r="AU130" s="224"/>
      <c r="AV130" s="219"/>
      <c r="AW130" s="245"/>
      <c r="AX130" s="219"/>
    </row>
    <row r="131" spans="1:50" s="54" customFormat="1" ht="15" customHeight="1">
      <c r="A131" s="113"/>
      <c r="B131" s="156" t="s">
        <v>599</v>
      </c>
      <c r="C131" s="115"/>
      <c r="D131" s="216"/>
      <c r="E131" s="216"/>
      <c r="F131" s="216"/>
      <c r="G131" s="216"/>
      <c r="H131" s="219" t="str">
        <f>IF(ROUND(CF!H21,0)=ROUND(SUM(CF!D21:G21),0),"OK","ERROR")</f>
        <v>OK</v>
      </c>
      <c r="I131" s="209"/>
      <c r="J131" s="216"/>
      <c r="K131" s="216"/>
      <c r="L131" s="216"/>
      <c r="M131" s="216"/>
      <c r="N131" s="219" t="str">
        <f>IF(ROUND(CF!N21,0)=ROUND(SUM(CF!J21:M21),0),"OK","ERROR")</f>
        <v>OK</v>
      </c>
      <c r="O131" s="209"/>
      <c r="P131" s="216"/>
      <c r="Q131" s="216"/>
      <c r="R131" s="216"/>
      <c r="S131" s="216"/>
      <c r="T131" s="219" t="str">
        <f>IF(ROUND(CF!T21,0)=ROUND(SUM(CF!P21:S21),0),"OK","ERROR")</f>
        <v>OK</v>
      </c>
      <c r="U131" s="209"/>
      <c r="V131" s="216"/>
      <c r="W131" s="216"/>
      <c r="X131" s="216"/>
      <c r="Y131" s="216"/>
      <c r="Z131" s="219" t="str">
        <f>IF(ROUND(CF!Z21,0)=ROUND(SUM(CF!V21:Y21),0),"OK","ERROR")</f>
        <v>OK</v>
      </c>
      <c r="AA131" s="212"/>
      <c r="AB131" s="216"/>
      <c r="AC131" s="216"/>
      <c r="AD131" s="216"/>
      <c r="AE131" s="216"/>
      <c r="AF131" s="219" t="str">
        <f>IF(ROUND(CF!AF21,0)=ROUND(SUM(CF!AB21:AE21),0),"OK","ERROR")</f>
        <v>OK</v>
      </c>
      <c r="AG131" s="210"/>
      <c r="AH131" s="216"/>
      <c r="AI131" s="216"/>
      <c r="AJ131" s="211"/>
      <c r="AK131" s="211"/>
      <c r="AL131" s="219" t="str">
        <f>IF(ROUND(CF!AL21,0)=ROUND(SUM(CF!AH21:AK21),0),"OK","ERROR")</f>
        <v>OK</v>
      </c>
      <c r="AM131" s="224"/>
      <c r="AN131" s="211"/>
      <c r="AO131" s="211"/>
      <c r="AP131" s="211"/>
      <c r="AQ131" s="211"/>
      <c r="AR131" s="219" t="str">
        <f>IF(ROUND(CF!AR21,0)=ROUND(SUM(CF!AN21:AQ21),0),"OK","ERROR")</f>
        <v>OK</v>
      </c>
      <c r="AS131" s="224"/>
      <c r="AT131" s="219" t="str">
        <f>IF(ROUND(CF!AT21,0)=ROUND(SUM(CF!AP21:AS21),0),"OK","ERROR")</f>
        <v>OK</v>
      </c>
      <c r="AU131" s="224"/>
      <c r="AV131" s="219" t="str">
        <f>IF(ROUND(CF!AV21,0)=ROUND(SUM(CF!AR21:AU21),0),"OK","ERROR")</f>
        <v>OK</v>
      </c>
      <c r="AW131" s="245"/>
      <c r="AX131" s="219" t="str">
        <f>IF(ROUND(CF!AX21,0)=ROUND(SUM(CF!AT21:AW21),0),"OK","ERROR")</f>
        <v>OK</v>
      </c>
    </row>
    <row r="132" spans="1:50" s="54" customFormat="1" ht="15" customHeight="1">
      <c r="A132" s="43"/>
      <c r="B132" s="156" t="s">
        <v>634</v>
      </c>
      <c r="C132" s="17"/>
      <c r="D132" s="216"/>
      <c r="E132" s="216"/>
      <c r="F132" s="216"/>
      <c r="G132" s="216"/>
      <c r="H132" s="219" t="str">
        <f>IF(ROUND(CF!H22,0)=ROUND(SUM(CF!D22:G22),0),"OK","ERROR")</f>
        <v>OK</v>
      </c>
      <c r="I132" s="209"/>
      <c r="J132" s="216"/>
      <c r="K132" s="216"/>
      <c r="L132" s="216"/>
      <c r="M132" s="216"/>
      <c r="N132" s="219" t="str">
        <f>IF(ROUND(CF!N22,0)=ROUND(SUM(CF!J22:M22),0),"OK","ERROR")</f>
        <v>OK</v>
      </c>
      <c r="O132" s="209"/>
      <c r="P132" s="216"/>
      <c r="Q132" s="216"/>
      <c r="R132" s="216"/>
      <c r="S132" s="216"/>
      <c r="T132" s="219" t="str">
        <f>IF(ROUND(CF!T22,0)=ROUND(SUM(CF!P22:S22),0),"OK","ERROR")</f>
        <v>OK</v>
      </c>
      <c r="U132" s="209"/>
      <c r="V132" s="216"/>
      <c r="W132" s="216"/>
      <c r="X132" s="216"/>
      <c r="Y132" s="216"/>
      <c r="Z132" s="219" t="str">
        <f>IF(ROUND(CF!Z22,0)=ROUND(SUM(CF!V22:Y22),0),"OK","ERROR")</f>
        <v>OK</v>
      </c>
      <c r="AA132" s="212"/>
      <c r="AB132" s="216"/>
      <c r="AC132" s="216"/>
      <c r="AD132" s="216"/>
      <c r="AE132" s="216"/>
      <c r="AF132" s="219" t="str">
        <f>IF(ROUND(CF!AF22,0)=ROUND(SUM(CF!AB22:AE22),0),"OK","ERROR")</f>
        <v>OK</v>
      </c>
      <c r="AG132" s="210"/>
      <c r="AH132" s="216"/>
      <c r="AI132" s="216"/>
      <c r="AJ132" s="211"/>
      <c r="AK132" s="211"/>
      <c r="AL132" s="219" t="str">
        <f>IF(ROUND(CF!AL22,0)=ROUND(SUM(CF!AH22:AK22),0),"OK","ERROR")</f>
        <v>OK</v>
      </c>
      <c r="AM132" s="224"/>
      <c r="AN132" s="211"/>
      <c r="AO132" s="211"/>
      <c r="AP132" s="211"/>
      <c r="AQ132" s="211"/>
      <c r="AR132" s="219" t="str">
        <f>IF(ROUND(CF!AR22,0)=ROUND(SUM(CF!AN22:AQ22),0),"OK","ERROR")</f>
        <v>OK</v>
      </c>
      <c r="AS132" s="224"/>
      <c r="AT132" s="219" t="str">
        <f>IF(ROUND(CF!AT22,0)=ROUND(SUM(CF!AP22:AS22),0),"OK","ERROR")</f>
        <v>OK</v>
      </c>
      <c r="AU132" s="224"/>
      <c r="AV132" s="219" t="str">
        <f>IF(ROUND(CF!AV22,0)=ROUND(SUM(CF!AR22:AU22),0),"OK","ERROR")</f>
        <v>OK</v>
      </c>
      <c r="AW132" s="245"/>
      <c r="AX132" s="219" t="str">
        <f>IF(ROUND(CF!AX22,0)=ROUND(SUM(CF!AT22:AW22),0),"OK","ERROR")</f>
        <v>OK</v>
      </c>
    </row>
    <row r="133" spans="1:50" s="54" customFormat="1" ht="15" customHeight="1">
      <c r="A133" s="113"/>
      <c r="B133" s="156" t="s">
        <v>611</v>
      </c>
      <c r="C133" s="115"/>
      <c r="D133" s="216"/>
      <c r="E133" s="216"/>
      <c r="F133" s="216"/>
      <c r="G133" s="216"/>
      <c r="H133" s="219" t="str">
        <f>IF(ROUND(CF!H23,0)=ROUND(SUM(CF!D23:G23),0),"OK","ERROR")</f>
        <v>OK</v>
      </c>
      <c r="I133" s="209"/>
      <c r="J133" s="216"/>
      <c r="K133" s="216"/>
      <c r="L133" s="216"/>
      <c r="M133" s="216"/>
      <c r="N133" s="219" t="str">
        <f>IF(ROUND(CF!N23,0)=ROUND(SUM(CF!J23:M23),0),"OK","ERROR")</f>
        <v>OK</v>
      </c>
      <c r="O133" s="209"/>
      <c r="P133" s="216"/>
      <c r="Q133" s="216"/>
      <c r="R133" s="216"/>
      <c r="S133" s="216"/>
      <c r="T133" s="219" t="str">
        <f>IF(ROUND(CF!T23,0)=ROUND(SUM(CF!P23:S23),0),"OK","ERROR")</f>
        <v>OK</v>
      </c>
      <c r="U133" s="209"/>
      <c r="V133" s="216"/>
      <c r="W133" s="216"/>
      <c r="X133" s="216"/>
      <c r="Y133" s="216"/>
      <c r="Z133" s="219" t="str">
        <f>IF(ROUND(CF!Z23,0)=ROUND(SUM(CF!V23:Y23),0),"OK","ERROR")</f>
        <v>OK</v>
      </c>
      <c r="AA133" s="212"/>
      <c r="AB133" s="216"/>
      <c r="AC133" s="216"/>
      <c r="AD133" s="216"/>
      <c r="AE133" s="216"/>
      <c r="AF133" s="219" t="str">
        <f>IF(ROUND(CF!AF23,0)=ROUND(SUM(CF!AB23:AE23),0),"OK","ERROR")</f>
        <v>OK</v>
      </c>
      <c r="AG133" s="210"/>
      <c r="AH133" s="216"/>
      <c r="AI133" s="216"/>
      <c r="AJ133" s="211"/>
      <c r="AK133" s="211"/>
      <c r="AL133" s="219" t="str">
        <f>IF(ROUND(CF!AL23,0)=ROUND(SUM(CF!AH23:AK23),0),"OK","ERROR")</f>
        <v>OK</v>
      </c>
      <c r="AM133" s="224"/>
      <c r="AN133" s="211"/>
      <c r="AO133" s="211"/>
      <c r="AP133" s="211"/>
      <c r="AQ133" s="211"/>
      <c r="AR133" s="219" t="str">
        <f>IF(ROUND(CF!AR23,0)=ROUND(SUM(CF!AN23:AQ23),0),"OK","ERROR")</f>
        <v>OK</v>
      </c>
      <c r="AS133" s="224"/>
      <c r="AT133" s="219" t="str">
        <f>IF(ROUND(CF!AT23,0)=ROUND(SUM(CF!AP23:AS23),0),"OK","ERROR")</f>
        <v>OK</v>
      </c>
      <c r="AU133" s="224"/>
      <c r="AV133" s="219" t="str">
        <f>IF(ROUND(CF!AV23,0)=ROUND(SUM(CF!AR23:AU23),0),"OK","ERROR")</f>
        <v>OK</v>
      </c>
      <c r="AW133" s="245"/>
      <c r="AX133" s="219" t="str">
        <f>IF(ROUND(CF!AX23,0)=ROUND(SUM(CF!AT23:AW23),0),"OK","ERROR")</f>
        <v>OK</v>
      </c>
    </row>
    <row r="134" spans="1:50" s="54" customFormat="1" ht="15" customHeight="1">
      <c r="A134" s="113"/>
      <c r="B134" s="156" t="s">
        <v>106</v>
      </c>
      <c r="C134" s="115"/>
      <c r="D134" s="216"/>
      <c r="E134" s="216"/>
      <c r="F134" s="216"/>
      <c r="G134" s="216"/>
      <c r="H134" s="225" t="str">
        <f>IF(ROUND(CF!H24,0)=ROUND(SUM(CF!D24:G24),0),"OK","ERROR")</f>
        <v>OK</v>
      </c>
      <c r="I134" s="209"/>
      <c r="J134" s="216"/>
      <c r="K134" s="216"/>
      <c r="L134" s="216"/>
      <c r="M134" s="216"/>
      <c r="N134" s="225" t="str">
        <f>IF(ROUND(CF!N24,0)=ROUND(SUM(CF!J24:M24),0),"OK","ERROR")</f>
        <v>OK</v>
      </c>
      <c r="O134" s="209"/>
      <c r="P134" s="216"/>
      <c r="Q134" s="216"/>
      <c r="R134" s="216"/>
      <c r="S134" s="216"/>
      <c r="T134" s="225" t="str">
        <f>IF(ROUND(CF!T24,0)=ROUND(SUM(CF!P24:S24),0),"OK","ERROR")</f>
        <v>OK</v>
      </c>
      <c r="U134" s="209"/>
      <c r="V134" s="216"/>
      <c r="W134" s="216"/>
      <c r="X134" s="216"/>
      <c r="Y134" s="216"/>
      <c r="Z134" s="225" t="str">
        <f>IF(ROUND(CF!Z24,0)=ROUND(SUM(CF!V24:Y24),0),"OK","ERROR")</f>
        <v>OK</v>
      </c>
      <c r="AA134" s="227"/>
      <c r="AB134" s="216"/>
      <c r="AC134" s="216"/>
      <c r="AD134" s="216"/>
      <c r="AE134" s="216"/>
      <c r="AF134" s="225" t="str">
        <f>IF(ROUND(CF!AF24,0)=ROUND(SUM(CF!AB24:AE24),0),"OK","ERROR")</f>
        <v>OK</v>
      </c>
      <c r="AG134" s="228"/>
      <c r="AH134" s="216"/>
      <c r="AI134" s="216"/>
      <c r="AJ134" s="211"/>
      <c r="AK134" s="211"/>
      <c r="AL134" s="225" t="str">
        <f>IF(ROUND(CF!AL24,0)=ROUND(SUM(CF!AH24:AK24),0),"OK","ERROR")</f>
        <v>OK</v>
      </c>
      <c r="AM134" s="229"/>
      <c r="AN134" s="211"/>
      <c r="AO134" s="211"/>
      <c r="AP134" s="211"/>
      <c r="AQ134" s="211"/>
      <c r="AR134" s="225" t="str">
        <f>IF(ROUND(CF!AR24,0)=ROUND(SUM(CF!AN24:AQ24),0),"OK","ERROR")</f>
        <v>OK</v>
      </c>
      <c r="AS134" s="229"/>
      <c r="AT134" s="225" t="str">
        <f>IF(ROUND(CF!AT24,0)=ROUND(SUM(CF!AP24:AS24),0),"OK","ERROR")</f>
        <v>OK</v>
      </c>
      <c r="AU134" s="229"/>
      <c r="AV134" s="225" t="str">
        <f>IF(ROUND(CF!AV24,0)=ROUND(SUM(CF!AR24:AU24),0),"OK","ERROR")</f>
        <v>OK</v>
      </c>
      <c r="AW134" s="245"/>
      <c r="AX134" s="225" t="str">
        <f>IF(ROUND(CF!AX24,0)=ROUND(SUM(CF!AT24:AW24),0),"OK","ERROR")</f>
        <v>OK</v>
      </c>
    </row>
    <row r="135" spans="1:50" s="54" customFormat="1" ht="15" customHeight="1" thickBot="1">
      <c r="A135" s="84"/>
      <c r="B135" s="157" t="s">
        <v>635</v>
      </c>
      <c r="C135" s="26"/>
      <c r="D135" s="216"/>
      <c r="E135" s="216"/>
      <c r="F135" s="216"/>
      <c r="G135" s="216"/>
      <c r="H135" s="236" t="str">
        <f>IF(ROUND(CF!H25,0)=ROUND(SUM(CF!D25:G25),0),"OK","ERROR")</f>
        <v>OK</v>
      </c>
      <c r="I135" s="209"/>
      <c r="J135" s="216"/>
      <c r="K135" s="216"/>
      <c r="L135" s="216"/>
      <c r="M135" s="216"/>
      <c r="N135" s="236" t="str">
        <f>IF(ROUND(CF!N25,0)=ROUND(SUM(CF!J25:M25),0),"OK","ERROR")</f>
        <v>OK</v>
      </c>
      <c r="O135" s="209"/>
      <c r="P135" s="216"/>
      <c r="Q135" s="216"/>
      <c r="R135" s="216"/>
      <c r="S135" s="216"/>
      <c r="T135" s="236" t="str">
        <f>IF(ROUND(CF!T25,0)=ROUND(SUM(CF!P25:S25),0),"OK","ERROR")</f>
        <v>OK</v>
      </c>
      <c r="U135" s="209"/>
      <c r="V135" s="216"/>
      <c r="W135" s="216"/>
      <c r="X135" s="216"/>
      <c r="Y135" s="216"/>
      <c r="Z135" s="236" t="str">
        <f>IF(ROUND(CF!Z25,0)=ROUND(SUM(CF!V25:Y25),0),"OK","ERROR")</f>
        <v>OK</v>
      </c>
      <c r="AA135" s="227"/>
      <c r="AB135" s="216"/>
      <c r="AC135" s="216"/>
      <c r="AD135" s="216"/>
      <c r="AE135" s="216"/>
      <c r="AF135" s="236" t="str">
        <f>IF(ROUND(CF!AF25,0)=ROUND(SUM(CF!AB25:AE25),0),"OK","ERROR")</f>
        <v>OK</v>
      </c>
      <c r="AG135" s="228"/>
      <c r="AH135" s="216"/>
      <c r="AI135" s="216"/>
      <c r="AJ135" s="211"/>
      <c r="AK135" s="211"/>
      <c r="AL135" s="236" t="str">
        <f>IF(ROUND(CF!AL25,0)=ROUND(SUM(CF!AH25:AK25),0),"OK","ERROR")</f>
        <v>ERROR</v>
      </c>
      <c r="AM135" s="229"/>
      <c r="AN135" s="211"/>
      <c r="AO135" s="211"/>
      <c r="AP135" s="211"/>
      <c r="AQ135" s="211"/>
      <c r="AR135" s="236" t="str">
        <f>IF(ROUND(CF!AR25,0)=ROUND(SUM(CF!AN25:AQ25),0),"OK","ERROR")</f>
        <v>OK</v>
      </c>
      <c r="AS135" s="229"/>
      <c r="AT135" s="236" t="str">
        <f>IF(ROUND(CF!AT25,0)=ROUND(SUM(CF!AP25:AS25),0),"OK","ERROR")</f>
        <v>OK</v>
      </c>
      <c r="AU135" s="229"/>
      <c r="AV135" s="236" t="str">
        <f>IF(ROUND(CF!AV25,0)=ROUND(SUM(CF!AR25:AU25),0),"OK","ERROR")</f>
        <v>OK</v>
      </c>
      <c r="AW135" s="245"/>
      <c r="AX135" s="236" t="str">
        <f>IF(ROUND(CF!AX25,0)=ROUND(SUM(CF!AT25:AW25),0),"OK","ERROR")</f>
        <v>OK</v>
      </c>
    </row>
    <row r="136" spans="1:50" s="54" customFormat="1" ht="15" customHeight="1" thickTop="1">
      <c r="A136" s="43"/>
      <c r="B136" s="154"/>
      <c r="C136" s="17"/>
      <c r="D136" s="207"/>
      <c r="E136" s="207"/>
      <c r="F136" s="207"/>
      <c r="G136" s="207"/>
      <c r="H136" s="219"/>
      <c r="I136" s="209"/>
      <c r="J136" s="207"/>
      <c r="K136" s="207"/>
      <c r="L136" s="207"/>
      <c r="M136" s="207"/>
      <c r="N136" s="219"/>
      <c r="O136" s="209"/>
      <c r="P136" s="207"/>
      <c r="Q136" s="207"/>
      <c r="R136" s="207"/>
      <c r="S136" s="207"/>
      <c r="T136" s="219"/>
      <c r="U136" s="209"/>
      <c r="V136" s="207"/>
      <c r="W136" s="207"/>
      <c r="X136" s="207"/>
      <c r="Y136" s="207"/>
      <c r="Z136" s="219"/>
      <c r="AA136" s="212"/>
      <c r="AB136" s="207"/>
      <c r="AC136" s="207"/>
      <c r="AD136" s="207"/>
      <c r="AE136" s="207"/>
      <c r="AF136" s="219"/>
      <c r="AG136" s="210"/>
      <c r="AH136" s="207"/>
      <c r="AI136" s="207"/>
      <c r="AJ136" s="211"/>
      <c r="AK136" s="211"/>
      <c r="AL136" s="219"/>
      <c r="AM136" s="224"/>
      <c r="AN136" s="211"/>
      <c r="AO136" s="211"/>
      <c r="AP136" s="211"/>
      <c r="AQ136" s="211"/>
      <c r="AR136" s="219"/>
      <c r="AS136" s="224"/>
      <c r="AT136" s="219"/>
      <c r="AU136" s="224"/>
      <c r="AV136" s="219"/>
      <c r="AW136" s="245"/>
      <c r="AX136" s="219"/>
    </row>
    <row r="137" spans="1:50" s="54" customFormat="1" ht="15" customHeight="1">
      <c r="A137" s="44" t="s">
        <v>39</v>
      </c>
      <c r="B137" s="158" t="s">
        <v>636</v>
      </c>
      <c r="C137" s="115"/>
      <c r="D137" s="207"/>
      <c r="E137" s="207"/>
      <c r="F137" s="207"/>
      <c r="G137" s="207"/>
      <c r="H137" s="219"/>
      <c r="I137" s="209"/>
      <c r="J137" s="207"/>
      <c r="K137" s="207"/>
      <c r="L137" s="207"/>
      <c r="M137" s="207"/>
      <c r="N137" s="219"/>
      <c r="O137" s="209"/>
      <c r="P137" s="207"/>
      <c r="Q137" s="207"/>
      <c r="R137" s="207"/>
      <c r="S137" s="207"/>
      <c r="T137" s="219"/>
      <c r="U137" s="209"/>
      <c r="V137" s="207"/>
      <c r="W137" s="207"/>
      <c r="X137" s="207"/>
      <c r="Y137" s="207"/>
      <c r="Z137" s="219"/>
      <c r="AA137" s="227"/>
      <c r="AB137" s="207"/>
      <c r="AC137" s="207"/>
      <c r="AD137" s="207"/>
      <c r="AE137" s="207"/>
      <c r="AF137" s="219"/>
      <c r="AG137" s="228"/>
      <c r="AH137" s="207"/>
      <c r="AI137" s="207"/>
      <c r="AJ137" s="211"/>
      <c r="AK137" s="211"/>
      <c r="AL137" s="219"/>
      <c r="AM137" s="229"/>
      <c r="AN137" s="211"/>
      <c r="AO137" s="211"/>
      <c r="AP137" s="211"/>
      <c r="AQ137" s="211"/>
      <c r="AR137" s="219"/>
      <c r="AS137" s="229"/>
      <c r="AT137" s="219"/>
      <c r="AU137" s="229"/>
      <c r="AV137" s="219"/>
      <c r="AW137" s="245"/>
      <c r="AX137" s="219"/>
    </row>
    <row r="138" spans="1:50" s="54" customFormat="1" ht="15" customHeight="1">
      <c r="A138" s="43"/>
      <c r="B138" s="159" t="s">
        <v>637</v>
      </c>
      <c r="C138" s="17"/>
      <c r="D138" s="216"/>
      <c r="E138" s="216"/>
      <c r="F138" s="216"/>
      <c r="G138" s="216"/>
      <c r="H138" s="219" t="str">
        <f>IF(ROUND(CF!H28,0)=ROUND(SUM(CF!D28:G28),0),"OK","ERROR")</f>
        <v>OK</v>
      </c>
      <c r="I138" s="209"/>
      <c r="J138" s="216"/>
      <c r="K138" s="216"/>
      <c r="L138" s="216"/>
      <c r="M138" s="216"/>
      <c r="N138" s="219" t="str">
        <f>IF(ROUND(CF!N28,0)=ROUND(SUM(CF!J28:M28),0),"OK","ERROR")</f>
        <v>OK</v>
      </c>
      <c r="O138" s="209"/>
      <c r="P138" s="216"/>
      <c r="Q138" s="216"/>
      <c r="R138" s="216"/>
      <c r="S138" s="216"/>
      <c r="T138" s="219" t="str">
        <f>IF(ROUND(CF!T28,0)=ROUND(SUM(CF!P28:S28),0),"OK","ERROR")</f>
        <v>OK</v>
      </c>
      <c r="U138" s="209"/>
      <c r="V138" s="216"/>
      <c r="W138" s="216"/>
      <c r="X138" s="216"/>
      <c r="Y138" s="216"/>
      <c r="Z138" s="219" t="str">
        <f>IF(ROUND(CF!Z28,0)=ROUND(SUM(CF!V28:Y28),0),"OK","ERROR")</f>
        <v>OK</v>
      </c>
      <c r="AA138" s="212"/>
      <c r="AB138" s="216"/>
      <c r="AC138" s="216"/>
      <c r="AD138" s="216"/>
      <c r="AE138" s="216"/>
      <c r="AF138" s="219" t="str">
        <f>IF(ROUND(CF!AF28,0)=ROUND(SUM(CF!AB28:AE28),0),"OK","ERROR")</f>
        <v>OK</v>
      </c>
      <c r="AG138" s="210"/>
      <c r="AH138" s="216"/>
      <c r="AI138" s="216"/>
      <c r="AJ138" s="211"/>
      <c r="AK138" s="211"/>
      <c r="AL138" s="219" t="str">
        <f>IF(ROUND(CF!AL28,0)=ROUND(SUM(CF!AH28:AK28),0),"OK","ERROR")</f>
        <v>OK</v>
      </c>
      <c r="AM138" s="224"/>
      <c r="AN138" s="211"/>
      <c r="AO138" s="211"/>
      <c r="AP138" s="211"/>
      <c r="AQ138" s="211"/>
      <c r="AR138" s="219" t="str">
        <f>IF(ROUND(CF!AR28,0)=ROUND(SUM(CF!AN28:AQ28),0),"OK","ERROR")</f>
        <v>OK</v>
      </c>
      <c r="AS138" s="224"/>
      <c r="AT138" s="219" t="str">
        <f>IF(ROUND(CF!AT28,0)=ROUND(SUM(CF!AP28:AS28),0),"OK","ERROR")</f>
        <v>ERROR</v>
      </c>
      <c r="AU138" s="224"/>
      <c r="AV138" s="219" t="str">
        <f>IF(ROUND(CF!AV28,0)=ROUND(SUM(CF!AR28:AU28),0),"OK","ERROR")</f>
        <v>ERROR</v>
      </c>
      <c r="AW138" s="245"/>
      <c r="AX138" s="219" t="str">
        <f>IF(ROUND(CF!AX28,0)=ROUND(SUM(CF!AT28:AW28),0),"OK","ERROR")</f>
        <v>ERROR</v>
      </c>
    </row>
    <row r="139" spans="1:50" s="54" customFormat="1" ht="15" customHeight="1">
      <c r="A139" s="113"/>
      <c r="B139" s="159" t="s">
        <v>638</v>
      </c>
      <c r="C139" s="115"/>
      <c r="D139" s="216"/>
      <c r="E139" s="216"/>
      <c r="F139" s="216"/>
      <c r="G139" s="216"/>
      <c r="H139" s="219" t="str">
        <f>IF(ROUND(CF!H29,0)=ROUND(SUM(CF!D29:G29),0),"OK","ERROR")</f>
        <v>OK</v>
      </c>
      <c r="I139" s="209"/>
      <c r="J139" s="216"/>
      <c r="K139" s="216"/>
      <c r="L139" s="216"/>
      <c r="M139" s="216"/>
      <c r="N139" s="219" t="str">
        <f>IF(ROUND(CF!N29,0)=ROUND(SUM(CF!J29:M29),0),"OK","ERROR")</f>
        <v>OK</v>
      </c>
      <c r="O139" s="209"/>
      <c r="P139" s="216"/>
      <c r="Q139" s="216"/>
      <c r="R139" s="216"/>
      <c r="S139" s="216"/>
      <c r="T139" s="219" t="str">
        <f>IF(ROUND(CF!T29,0)=ROUND(SUM(CF!P29:S29),0),"OK","ERROR")</f>
        <v>OK</v>
      </c>
      <c r="U139" s="209"/>
      <c r="V139" s="216"/>
      <c r="W139" s="216"/>
      <c r="X139" s="216"/>
      <c r="Y139" s="216"/>
      <c r="Z139" s="219" t="str">
        <f>IF(ROUND(CF!Z29,0)=ROUND(SUM(CF!V29:Y29),0),"OK","ERROR")</f>
        <v>OK</v>
      </c>
      <c r="AA139" s="227"/>
      <c r="AB139" s="216"/>
      <c r="AC139" s="216"/>
      <c r="AD139" s="216"/>
      <c r="AE139" s="216"/>
      <c r="AF139" s="219" t="str">
        <f>IF(ROUND(CF!AF29,0)=ROUND(SUM(CF!AB29:AE29),0),"OK","ERROR")</f>
        <v>OK</v>
      </c>
      <c r="AG139" s="228"/>
      <c r="AH139" s="216"/>
      <c r="AI139" s="216"/>
      <c r="AJ139" s="211"/>
      <c r="AK139" s="211"/>
      <c r="AL139" s="219" t="str">
        <f>IF(ROUND(CF!AL29,0)=ROUND(SUM(CF!AH29:AK29),0),"OK","ERROR")</f>
        <v>OK</v>
      </c>
      <c r="AM139" s="229"/>
      <c r="AN139" s="211"/>
      <c r="AO139" s="211"/>
      <c r="AP139" s="211"/>
      <c r="AQ139" s="211"/>
      <c r="AR139" s="219" t="str">
        <f>IF(ROUND(CF!AR29,0)=ROUND(SUM(CF!AN29:AQ29),0),"OK","ERROR")</f>
        <v>OK</v>
      </c>
      <c r="AS139" s="229"/>
      <c r="AT139" s="219" t="str">
        <f>IF(ROUND(CF!AT29,0)=ROUND(SUM(CF!AP29:AS29),0),"OK","ERROR")</f>
        <v>OK</v>
      </c>
      <c r="AU139" s="229"/>
      <c r="AV139" s="219" t="str">
        <f>IF(ROUND(CF!AV29,0)=ROUND(SUM(CF!AR29:AU29),0),"OK","ERROR")</f>
        <v>OK</v>
      </c>
      <c r="AW139" s="245"/>
      <c r="AX139" s="219" t="str">
        <f>IF(ROUND(CF!AX29,0)=ROUND(SUM(CF!AT29:AW29),0),"OK","ERROR")</f>
        <v>OK</v>
      </c>
    </row>
    <row r="140" spans="1:50" s="54" customFormat="1" ht="15" customHeight="1">
      <c r="A140" s="43"/>
      <c r="B140" s="159" t="s">
        <v>639</v>
      </c>
      <c r="C140" s="17"/>
      <c r="D140" s="216"/>
      <c r="E140" s="216"/>
      <c r="F140" s="216"/>
      <c r="G140" s="216"/>
      <c r="H140" s="219" t="str">
        <f>IF(ROUND(CF!H30,0)=ROUND(SUM(CF!D30:G30),0),"OK","ERROR")</f>
        <v>OK</v>
      </c>
      <c r="I140" s="209"/>
      <c r="J140" s="216"/>
      <c r="K140" s="216"/>
      <c r="L140" s="216"/>
      <c r="M140" s="216"/>
      <c r="N140" s="219" t="str">
        <f>IF(ROUND(CF!N30,0)=ROUND(SUM(CF!J30:M30),0),"OK","ERROR")</f>
        <v>OK</v>
      </c>
      <c r="O140" s="209"/>
      <c r="P140" s="216"/>
      <c r="Q140" s="216"/>
      <c r="R140" s="216"/>
      <c r="S140" s="216"/>
      <c r="T140" s="219" t="str">
        <f>IF(ROUND(CF!T30,0)=ROUND(SUM(CF!P30:S30),0),"OK","ERROR")</f>
        <v>OK</v>
      </c>
      <c r="U140" s="209"/>
      <c r="V140" s="216"/>
      <c r="W140" s="216"/>
      <c r="X140" s="216"/>
      <c r="Y140" s="216"/>
      <c r="Z140" s="219" t="str">
        <f>IF(ROUND(CF!Z30,0)=ROUND(SUM(CF!V30:Y30),0),"OK","ERROR")</f>
        <v>OK</v>
      </c>
      <c r="AA140" s="212"/>
      <c r="AB140" s="216"/>
      <c r="AC140" s="216"/>
      <c r="AD140" s="216"/>
      <c r="AE140" s="216"/>
      <c r="AF140" s="219" t="str">
        <f>IF(ROUND(CF!AF30,0)=ROUND(SUM(CF!AB30:AE30),0),"OK","ERROR")</f>
        <v>OK</v>
      </c>
      <c r="AG140" s="210"/>
      <c r="AH140" s="216"/>
      <c r="AI140" s="216"/>
      <c r="AJ140" s="211"/>
      <c r="AK140" s="211"/>
      <c r="AL140" s="219" t="str">
        <f>IF(ROUND(CF!AL30,0)=ROUND(SUM(CF!AH30:AK30),0),"OK","ERROR")</f>
        <v>OK</v>
      </c>
      <c r="AM140" s="224"/>
      <c r="AN140" s="211"/>
      <c r="AO140" s="211"/>
      <c r="AP140" s="211"/>
      <c r="AQ140" s="211"/>
      <c r="AR140" s="219" t="str">
        <f>IF(ROUND(CF!AR30,0)=ROUND(SUM(CF!AN30:AQ30),0),"OK","ERROR")</f>
        <v>OK</v>
      </c>
      <c r="AS140" s="224"/>
      <c r="AT140" s="219" t="str">
        <f>IF(ROUND(CF!AT30,0)=ROUND(SUM(CF!AP30:AS30),0),"OK","ERROR")</f>
        <v>OK</v>
      </c>
      <c r="AU140" s="224"/>
      <c r="AV140" s="219" t="str">
        <f>IF(ROUND(CF!AV30,0)=ROUND(SUM(CF!AR30:AU30),0),"OK","ERROR")</f>
        <v>OK</v>
      </c>
      <c r="AW140" s="245"/>
      <c r="AX140" s="219" t="str">
        <f>IF(ROUND(CF!AX30,0)=ROUND(SUM(CF!AT30:AW30),0),"OK","ERROR")</f>
        <v>OK</v>
      </c>
    </row>
    <row r="141" spans="1:50" s="54" customFormat="1" ht="15" customHeight="1">
      <c r="A141" s="113"/>
      <c r="B141" s="159" t="s">
        <v>640</v>
      </c>
      <c r="C141" s="115"/>
      <c r="D141" s="216"/>
      <c r="E141" s="216"/>
      <c r="F141" s="216"/>
      <c r="G141" s="216"/>
      <c r="H141" s="219" t="str">
        <f>IF(ROUND(CF!H31,0)=ROUND(SUM(CF!D31:G31),0),"OK","ERROR")</f>
        <v>OK</v>
      </c>
      <c r="I141" s="209"/>
      <c r="J141" s="216"/>
      <c r="K141" s="216"/>
      <c r="L141" s="216"/>
      <c r="M141" s="216"/>
      <c r="N141" s="219" t="str">
        <f>IF(ROUND(CF!N31,0)=ROUND(SUM(CF!J31:M31),0),"OK","ERROR")</f>
        <v>OK</v>
      </c>
      <c r="O141" s="209"/>
      <c r="P141" s="216"/>
      <c r="Q141" s="216"/>
      <c r="R141" s="216"/>
      <c r="S141" s="216"/>
      <c r="T141" s="219" t="str">
        <f>IF(ROUND(CF!T31,0)=ROUND(SUM(CF!P31:S31),0),"OK","ERROR")</f>
        <v>OK</v>
      </c>
      <c r="U141" s="209"/>
      <c r="V141" s="216"/>
      <c r="W141" s="216"/>
      <c r="X141" s="216"/>
      <c r="Y141" s="216"/>
      <c r="Z141" s="219" t="str">
        <f>IF(ROUND(CF!Z31,0)=ROUND(SUM(CF!V31:Y31),0),"OK","ERROR")</f>
        <v>OK</v>
      </c>
      <c r="AA141" s="227"/>
      <c r="AB141" s="216"/>
      <c r="AC141" s="216"/>
      <c r="AD141" s="216"/>
      <c r="AE141" s="216"/>
      <c r="AF141" s="219" t="str">
        <f>IF(ROUND(CF!AF31,0)=ROUND(SUM(CF!AB31:AE31),0),"OK","ERROR")</f>
        <v>OK</v>
      </c>
      <c r="AG141" s="228"/>
      <c r="AH141" s="216"/>
      <c r="AI141" s="216"/>
      <c r="AJ141" s="211"/>
      <c r="AK141" s="211"/>
      <c r="AL141" s="219" t="str">
        <f>IF(ROUND(CF!AL31,0)=ROUND(SUM(CF!AH31:AK31),0),"OK","ERROR")</f>
        <v>OK</v>
      </c>
      <c r="AM141" s="233"/>
      <c r="AN141" s="211"/>
      <c r="AO141" s="211"/>
      <c r="AP141" s="211"/>
      <c r="AQ141" s="211"/>
      <c r="AR141" s="219" t="str">
        <f>IF(ROUND(CF!AR31,0)=ROUND(SUM(CF!AN31:AQ31),0),"OK","ERROR")</f>
        <v>OK</v>
      </c>
      <c r="AS141" s="233"/>
      <c r="AT141" s="219" t="str">
        <f>IF(ROUND(CF!AT31,0)=ROUND(SUM(CF!AP31:AS31),0),"OK","ERROR")</f>
        <v>OK</v>
      </c>
      <c r="AU141" s="233"/>
      <c r="AV141" s="219" t="str">
        <f>IF(ROUND(CF!AV31,0)=ROUND(SUM(CF!AR31:AU31),0),"OK","ERROR")</f>
        <v>OK</v>
      </c>
      <c r="AW141" s="245"/>
      <c r="AX141" s="219" t="str">
        <f>IF(ROUND(CF!AX31,0)=ROUND(SUM(CF!AT31:AW31),0),"OK","ERROR")</f>
        <v>OK</v>
      </c>
    </row>
    <row r="142" spans="1:50" s="54" customFormat="1" ht="15" customHeight="1">
      <c r="A142" s="113"/>
      <c r="B142" s="159" t="s">
        <v>641</v>
      </c>
      <c r="C142" s="115"/>
      <c r="D142" s="216"/>
      <c r="E142" s="216"/>
      <c r="F142" s="216"/>
      <c r="G142" s="216"/>
      <c r="H142" s="219" t="str">
        <f>IF(ROUND(CF!H32,0)=ROUND(SUM(CF!D32:G32),0),"OK","ERROR")</f>
        <v>OK</v>
      </c>
      <c r="I142" s="209"/>
      <c r="J142" s="216"/>
      <c r="K142" s="216"/>
      <c r="L142" s="216"/>
      <c r="M142" s="216"/>
      <c r="N142" s="219" t="str">
        <f>IF(ROUND(CF!N32,0)=ROUND(SUM(CF!J32:M32),0),"OK","ERROR")</f>
        <v>OK</v>
      </c>
      <c r="O142" s="209"/>
      <c r="P142" s="216"/>
      <c r="Q142" s="216"/>
      <c r="R142" s="216"/>
      <c r="S142" s="216"/>
      <c r="T142" s="219" t="str">
        <f>IF(ROUND(CF!T32,0)=ROUND(SUM(CF!P32:S32),0),"OK","ERROR")</f>
        <v>OK</v>
      </c>
      <c r="U142" s="209"/>
      <c r="V142" s="216"/>
      <c r="W142" s="216"/>
      <c r="X142" s="216"/>
      <c r="Y142" s="216"/>
      <c r="Z142" s="219" t="str">
        <f>IF(ROUND(CF!Z32,0)=ROUND(SUM(CF!V32:Y32),0),"OK","ERROR")</f>
        <v>OK</v>
      </c>
      <c r="AA142" s="227"/>
      <c r="AB142" s="216"/>
      <c r="AC142" s="216"/>
      <c r="AD142" s="216"/>
      <c r="AE142" s="216"/>
      <c r="AF142" s="219" t="str">
        <f>IF(ROUND(CF!AF32,0)=ROUND(SUM(CF!AB32:AE32),0),"OK","ERROR")</f>
        <v>OK</v>
      </c>
      <c r="AG142" s="228"/>
      <c r="AH142" s="216"/>
      <c r="AI142" s="216"/>
      <c r="AJ142" s="211"/>
      <c r="AK142" s="211"/>
      <c r="AL142" s="219" t="str">
        <f>IF(ROUND(CF!AL32,0)=ROUND(SUM(CF!AH32:AK32),0),"OK","ERROR")</f>
        <v>OK</v>
      </c>
      <c r="AM142" s="233"/>
      <c r="AN142" s="211"/>
      <c r="AO142" s="211"/>
      <c r="AP142" s="211"/>
      <c r="AQ142" s="211"/>
      <c r="AR142" s="219" t="str">
        <f>IF(ROUND(CF!AR32,0)=ROUND(SUM(CF!AN32:AQ32),0),"OK","ERROR")</f>
        <v>OK</v>
      </c>
      <c r="AS142" s="233"/>
      <c r="AT142" s="219" t="str">
        <f>IF(ROUND(CF!AT32,0)=ROUND(SUM(CF!AP32:AS32),0),"OK","ERROR")</f>
        <v>OK</v>
      </c>
      <c r="AU142" s="233"/>
      <c r="AV142" s="219" t="str">
        <f>IF(ROUND(CF!AV32,0)=ROUND(SUM(CF!AR32:AU32),0),"OK","ERROR")</f>
        <v>OK</v>
      </c>
      <c r="AW142" s="245"/>
      <c r="AX142" s="219" t="str">
        <f>IF(ROUND(CF!AX32,0)=ROUND(SUM(CF!AT32:AW32),0),"OK","ERROR")</f>
        <v>OK</v>
      </c>
    </row>
    <row r="143" spans="1:50" s="54" customFormat="1" ht="15" customHeight="1">
      <c r="A143" s="113"/>
      <c r="B143" s="159" t="s">
        <v>642</v>
      </c>
      <c r="C143" s="17"/>
      <c r="D143" s="216"/>
      <c r="E143" s="216"/>
      <c r="F143" s="216"/>
      <c r="G143" s="216"/>
      <c r="H143" s="219" t="str">
        <f>IF(ROUND(CF!H33,0)=ROUND(SUM(CF!D33:G33),0),"OK","ERROR")</f>
        <v>OK</v>
      </c>
      <c r="I143" s="209"/>
      <c r="J143" s="216"/>
      <c r="K143" s="216"/>
      <c r="L143" s="216"/>
      <c r="M143" s="216"/>
      <c r="N143" s="219" t="str">
        <f>IF(ROUND(CF!N33,0)=ROUND(SUM(CF!J33:M33),0),"OK","ERROR")</f>
        <v>ERROR</v>
      </c>
      <c r="O143" s="209"/>
      <c r="P143" s="216"/>
      <c r="Q143" s="216"/>
      <c r="R143" s="216"/>
      <c r="S143" s="216"/>
      <c r="T143" s="219" t="str">
        <f>IF(ROUND(CF!T33,0)=ROUND(SUM(CF!P33:S33),0),"OK","ERROR")</f>
        <v>OK</v>
      </c>
      <c r="U143" s="209"/>
      <c r="V143" s="216"/>
      <c r="W143" s="216"/>
      <c r="X143" s="216"/>
      <c r="Y143" s="216"/>
      <c r="Z143" s="219" t="str">
        <f>IF(ROUND(CF!Z33,0)=ROUND(SUM(CF!V33:Y33),0),"OK","ERROR")</f>
        <v>OK</v>
      </c>
      <c r="AA143" s="212"/>
      <c r="AB143" s="216"/>
      <c r="AC143" s="216"/>
      <c r="AD143" s="216"/>
      <c r="AE143" s="216"/>
      <c r="AF143" s="219" t="str">
        <f>IF(ROUND(CF!AF33,0)=ROUND(SUM(CF!AB33:AE33),0),"OK","ERROR")</f>
        <v>OK</v>
      </c>
      <c r="AG143" s="210"/>
      <c r="AH143" s="216"/>
      <c r="AI143" s="216"/>
      <c r="AJ143" s="211"/>
      <c r="AK143" s="211"/>
      <c r="AL143" s="219" t="str">
        <f>IF(ROUND(CF!AL33,0)=ROUND(SUM(CF!AH33:AK33),0),"OK","ERROR")</f>
        <v>ERROR</v>
      </c>
      <c r="AM143" s="224"/>
      <c r="AN143" s="211"/>
      <c r="AO143" s="211"/>
      <c r="AP143" s="211"/>
      <c r="AQ143" s="211"/>
      <c r="AR143" s="219" t="str">
        <f>IF(ROUND(CF!AR33,0)=ROUND(SUM(CF!AN33:AQ33),0),"OK","ERROR")</f>
        <v>OK</v>
      </c>
      <c r="AS143" s="224"/>
      <c r="AT143" s="219" t="str">
        <f>IF(ROUND(CF!AT33,0)=ROUND(SUM(CF!AP33:AS33),0),"OK","ERROR")</f>
        <v>OK</v>
      </c>
      <c r="AU143" s="224"/>
      <c r="AV143" s="219" t="str">
        <f>IF(ROUND(CF!AV33,0)=ROUND(SUM(CF!AR33:AU33),0),"OK","ERROR")</f>
        <v>OK</v>
      </c>
      <c r="AW143" s="245"/>
      <c r="AX143" s="219" t="str">
        <f>IF(ROUND(CF!AX33,0)=ROUND(SUM(CF!AT33:AW33),0),"OK","ERROR")</f>
        <v>OK</v>
      </c>
    </row>
    <row r="144" spans="1:50" s="54" customFormat="1" ht="15" customHeight="1">
      <c r="A144" s="43"/>
      <c r="B144" s="159" t="s">
        <v>643</v>
      </c>
      <c r="C144" s="17"/>
      <c r="D144" s="216"/>
      <c r="E144" s="216"/>
      <c r="F144" s="216"/>
      <c r="G144" s="216"/>
      <c r="H144" s="219" t="str">
        <f>IF(ROUND(CF!H34,0)=ROUND(SUM(CF!D34:G34),0),"OK","ERROR")</f>
        <v>OK</v>
      </c>
      <c r="I144" s="209"/>
      <c r="J144" s="216"/>
      <c r="K144" s="216"/>
      <c r="L144" s="216"/>
      <c r="M144" s="216"/>
      <c r="N144" s="219" t="str">
        <f>IF(ROUND(CF!N34,0)=ROUND(SUM(CF!J34:M34),0),"OK","ERROR")</f>
        <v>OK</v>
      </c>
      <c r="O144" s="209"/>
      <c r="P144" s="216"/>
      <c r="Q144" s="216"/>
      <c r="R144" s="216"/>
      <c r="S144" s="216"/>
      <c r="T144" s="219" t="str">
        <f>IF(ROUND(CF!T34,0)=ROUND(SUM(CF!P34:S34),0),"OK","ERROR")</f>
        <v>OK</v>
      </c>
      <c r="U144" s="209"/>
      <c r="V144" s="216"/>
      <c r="W144" s="216"/>
      <c r="X144" s="216"/>
      <c r="Y144" s="216"/>
      <c r="Z144" s="219" t="str">
        <f>IF(ROUND(CF!Z34,0)=ROUND(SUM(CF!V34:Y34),0),"OK","ERROR")</f>
        <v>OK</v>
      </c>
      <c r="AA144" s="212"/>
      <c r="AB144" s="216"/>
      <c r="AC144" s="216"/>
      <c r="AD144" s="216"/>
      <c r="AE144" s="216"/>
      <c r="AF144" s="219" t="str">
        <f>IF(ROUND(CF!AF34,0)=ROUND(SUM(CF!AB34:AE34),0),"OK","ERROR")</f>
        <v>OK</v>
      </c>
      <c r="AG144" s="210"/>
      <c r="AH144" s="216"/>
      <c r="AI144" s="216"/>
      <c r="AJ144" s="211"/>
      <c r="AK144" s="211"/>
      <c r="AL144" s="219" t="str">
        <f>IF(ROUND(CF!AL34,0)=ROUND(SUM(CF!AH34:AK34),0),"OK","ERROR")</f>
        <v>OK</v>
      </c>
      <c r="AM144" s="224"/>
      <c r="AN144" s="211"/>
      <c r="AO144" s="211"/>
      <c r="AP144" s="211"/>
      <c r="AQ144" s="211"/>
      <c r="AR144" s="219" t="str">
        <f>IF(ROUND(CF!AR34,0)=ROUND(SUM(CF!AN34:AQ34),0),"OK","ERROR")</f>
        <v>OK</v>
      </c>
      <c r="AS144" s="224"/>
      <c r="AT144" s="219" t="str">
        <f>IF(ROUND(CF!AT34,0)=ROUND(SUM(CF!AP34:AS34),0),"OK","ERROR")</f>
        <v>OK</v>
      </c>
      <c r="AU144" s="224"/>
      <c r="AV144" s="219" t="str">
        <f>IF(ROUND(CF!AV34,0)=ROUND(SUM(CF!AR34:AU34),0),"OK","ERROR")</f>
        <v>OK</v>
      </c>
      <c r="AW144" s="245"/>
      <c r="AX144" s="219" t="str">
        <f>IF(ROUND(CF!AX34,0)=ROUND(SUM(CF!AT34:AW34),0),"OK","ERROR")</f>
        <v>OK</v>
      </c>
    </row>
    <row r="145" spans="1:50" s="54" customFormat="1" ht="15" customHeight="1">
      <c r="B145" s="159" t="s">
        <v>644</v>
      </c>
      <c r="C145" s="115"/>
      <c r="D145" s="216"/>
      <c r="E145" s="216"/>
      <c r="F145" s="216"/>
      <c r="G145" s="216"/>
      <c r="H145" s="225" t="str">
        <f>IF(ROUND(CF!H35,0)=ROUND(SUM(CF!D35:G35),0),"OK","ERROR")</f>
        <v>OK</v>
      </c>
      <c r="I145" s="209"/>
      <c r="J145" s="216"/>
      <c r="K145" s="216"/>
      <c r="L145" s="216"/>
      <c r="M145" s="216"/>
      <c r="N145" s="225" t="str">
        <f>IF(ROUND(CF!N35,0)=ROUND(SUM(CF!J35:M35),0),"OK","ERROR")</f>
        <v>ERROR</v>
      </c>
      <c r="O145" s="209"/>
      <c r="P145" s="216"/>
      <c r="Q145" s="216"/>
      <c r="R145" s="216"/>
      <c r="S145" s="216"/>
      <c r="T145" s="225" t="str">
        <f>IF(ROUND(CF!T35,0)=ROUND(SUM(CF!P35:S35),0),"OK","ERROR")</f>
        <v>OK</v>
      </c>
      <c r="U145" s="209"/>
      <c r="V145" s="216"/>
      <c r="W145" s="216"/>
      <c r="X145" s="216"/>
      <c r="Y145" s="216"/>
      <c r="Z145" s="225" t="str">
        <f>IF(ROUND(CF!Z35,0)=ROUND(SUM(CF!V35:Y35),0),"OK","ERROR")</f>
        <v>OK</v>
      </c>
      <c r="AA145" s="227"/>
      <c r="AB145" s="216"/>
      <c r="AC145" s="216"/>
      <c r="AD145" s="216"/>
      <c r="AE145" s="216"/>
      <c r="AF145" s="225" t="str">
        <f>IF(ROUND(CF!AF35,0)=ROUND(SUM(CF!AB35:AE35),0),"OK","ERROR")</f>
        <v>OK</v>
      </c>
      <c r="AG145" s="228"/>
      <c r="AH145" s="216"/>
      <c r="AI145" s="216"/>
      <c r="AJ145" s="211"/>
      <c r="AK145" s="211"/>
      <c r="AL145" s="225" t="str">
        <f>IF(ROUND(CF!AL35,0)=ROUND(SUM(CF!AH35:AK35),0),"OK","ERROR")</f>
        <v>ERROR</v>
      </c>
      <c r="AM145" s="229"/>
      <c r="AN145" s="211"/>
      <c r="AO145" s="211"/>
      <c r="AP145" s="211"/>
      <c r="AQ145" s="211"/>
      <c r="AR145" s="225" t="str">
        <f>IF(ROUND(CF!AR35,0)=ROUND(SUM(CF!AN35:AQ35),0),"OK","ERROR")</f>
        <v>OK</v>
      </c>
      <c r="AS145" s="229"/>
      <c r="AT145" s="225" t="str">
        <f>IF(ROUND(CF!AT35,0)=ROUND(SUM(CF!AP35:AS35),0),"OK","ERROR")</f>
        <v>OK</v>
      </c>
      <c r="AU145" s="229"/>
      <c r="AV145" s="225" t="str">
        <f>IF(ROUND(CF!AV35,0)=ROUND(SUM(CF!AR35:AU35),0),"OK","ERROR")</f>
        <v>OK</v>
      </c>
      <c r="AW145" s="245"/>
      <c r="AX145" s="225" t="str">
        <f>IF(ROUND(CF!AX35,0)=ROUND(SUM(CF!AT35:AW35),0),"OK","ERROR")</f>
        <v>OK</v>
      </c>
    </row>
    <row r="146" spans="1:50" s="54" customFormat="1" ht="15" customHeight="1" thickBot="1">
      <c r="A146" s="113"/>
      <c r="B146" s="160" t="s">
        <v>645</v>
      </c>
      <c r="C146" s="17"/>
      <c r="D146" s="216"/>
      <c r="E146" s="216"/>
      <c r="F146" s="216"/>
      <c r="G146" s="216"/>
      <c r="H146" s="236" t="str">
        <f>IF(ROUND(CF!H36,0)=ROUND(SUM(CF!D36:G36),0),"OK","ERROR")</f>
        <v>OK</v>
      </c>
      <c r="I146" s="209"/>
      <c r="J146" s="216"/>
      <c r="K146" s="216"/>
      <c r="L146" s="216"/>
      <c r="M146" s="216"/>
      <c r="N146" s="236" t="str">
        <f>IF(ROUND(CF!N36,0)=ROUND(SUM(CF!J36:M36),0),"OK","ERROR")</f>
        <v>OK</v>
      </c>
      <c r="O146" s="209"/>
      <c r="P146" s="216"/>
      <c r="Q146" s="216"/>
      <c r="R146" s="216"/>
      <c r="S146" s="216"/>
      <c r="T146" s="236" t="str">
        <f>IF(ROUND(CF!T36,0)=ROUND(SUM(CF!P36:S36),0),"OK","ERROR")</f>
        <v>OK</v>
      </c>
      <c r="U146" s="209"/>
      <c r="V146" s="216"/>
      <c r="W146" s="216"/>
      <c r="X146" s="216"/>
      <c r="Y146" s="216"/>
      <c r="Z146" s="236" t="str">
        <f>IF(ROUND(CF!Z36,0)=ROUND(SUM(CF!V36:Y36),0),"OK","ERROR")</f>
        <v>OK</v>
      </c>
      <c r="AA146" s="212"/>
      <c r="AB146" s="216"/>
      <c r="AC146" s="216"/>
      <c r="AD146" s="216"/>
      <c r="AE146" s="216"/>
      <c r="AF146" s="236" t="str">
        <f>IF(ROUND(CF!AF36,0)=ROUND(SUM(CF!AB36:AE36),0),"OK","ERROR")</f>
        <v>OK</v>
      </c>
      <c r="AG146" s="210"/>
      <c r="AH146" s="216"/>
      <c r="AI146" s="216"/>
      <c r="AJ146" s="211"/>
      <c r="AK146" s="211"/>
      <c r="AL146" s="236" t="str">
        <f>IF(ROUND(CF!AL36,0)=ROUND(SUM(CF!AH36:AK36),0),"OK","ERROR")</f>
        <v>ERROR</v>
      </c>
      <c r="AM146" s="214"/>
      <c r="AN146" s="211"/>
      <c r="AO146" s="211"/>
      <c r="AP146" s="211"/>
      <c r="AQ146" s="211"/>
      <c r="AR146" s="236" t="str">
        <f>IF(ROUND(CF!AR36,0)=ROUND(SUM(CF!AN36:AQ36),0),"OK","ERROR")</f>
        <v>OK</v>
      </c>
      <c r="AS146" s="214"/>
      <c r="AT146" s="236" t="str">
        <f>IF(ROUND(CF!AT36,0)=ROUND(SUM(CF!AP36:AS36),0),"OK","ERROR")</f>
        <v>OK</v>
      </c>
      <c r="AU146" s="214"/>
      <c r="AV146" s="236" t="str">
        <f>IF(ROUND(CF!AV36,0)=ROUND(SUM(CF!AR36:AU36),0),"OK","ERROR")</f>
        <v>OK</v>
      </c>
      <c r="AW146" s="245"/>
      <c r="AX146" s="236" t="str">
        <f>IF(ROUND(CF!AX36,0)=ROUND(SUM(CF!AT36:AW36),0),"OK","ERROR")</f>
        <v>OK</v>
      </c>
    </row>
    <row r="147" spans="1:50" s="54" customFormat="1" ht="15" customHeight="1" thickTop="1">
      <c r="A147" s="43"/>
      <c r="B147" s="154"/>
      <c r="C147" s="115"/>
      <c r="D147" s="207"/>
      <c r="E147" s="207"/>
      <c r="F147" s="207"/>
      <c r="G147" s="207"/>
      <c r="H147" s="219"/>
      <c r="I147" s="209"/>
      <c r="J147" s="207"/>
      <c r="K147" s="207"/>
      <c r="L147" s="207"/>
      <c r="M147" s="207"/>
      <c r="N147" s="219"/>
      <c r="O147" s="209"/>
      <c r="P147" s="207"/>
      <c r="Q147" s="207"/>
      <c r="R147" s="207"/>
      <c r="S147" s="207"/>
      <c r="T147" s="219"/>
      <c r="U147" s="209"/>
      <c r="V147" s="207"/>
      <c r="W147" s="207"/>
      <c r="X147" s="207"/>
      <c r="Y147" s="207"/>
      <c r="Z147" s="219"/>
      <c r="AA147" s="231"/>
      <c r="AB147" s="207"/>
      <c r="AC147" s="207"/>
      <c r="AD147" s="207"/>
      <c r="AE147" s="207"/>
      <c r="AF147" s="219"/>
      <c r="AG147" s="228"/>
      <c r="AH147" s="207"/>
      <c r="AI147" s="207"/>
      <c r="AJ147" s="211"/>
      <c r="AK147" s="211"/>
      <c r="AL147" s="219"/>
      <c r="AM147" s="229"/>
      <c r="AN147" s="211"/>
      <c r="AO147" s="211"/>
      <c r="AP147" s="211"/>
      <c r="AQ147" s="211"/>
      <c r="AR147" s="219"/>
      <c r="AS147" s="229"/>
      <c r="AT147" s="219"/>
      <c r="AU147" s="229"/>
      <c r="AV147" s="219"/>
      <c r="AW147" s="245"/>
      <c r="AX147" s="219"/>
    </row>
    <row r="148" spans="1:50" s="54" customFormat="1" ht="15" customHeight="1">
      <c r="A148" s="44" t="s">
        <v>39</v>
      </c>
      <c r="B148" s="158" t="s">
        <v>646</v>
      </c>
      <c r="C148" s="27"/>
      <c r="D148" s="207"/>
      <c r="E148" s="207"/>
      <c r="F148" s="207"/>
      <c r="G148" s="207"/>
      <c r="H148" s="219"/>
      <c r="I148" s="209"/>
      <c r="J148" s="207"/>
      <c r="K148" s="207"/>
      <c r="L148" s="207"/>
      <c r="M148" s="207"/>
      <c r="N148" s="219"/>
      <c r="O148" s="209"/>
      <c r="P148" s="207"/>
      <c r="Q148" s="207"/>
      <c r="R148" s="207"/>
      <c r="S148" s="207"/>
      <c r="T148" s="219"/>
      <c r="U148" s="209"/>
      <c r="V148" s="207"/>
      <c r="W148" s="207"/>
      <c r="X148" s="207"/>
      <c r="Y148" s="207"/>
      <c r="Z148" s="219"/>
      <c r="AA148" s="212"/>
      <c r="AB148" s="207"/>
      <c r="AC148" s="207"/>
      <c r="AD148" s="207"/>
      <c r="AE148" s="207"/>
      <c r="AF148" s="219"/>
      <c r="AG148" s="210"/>
      <c r="AH148" s="207"/>
      <c r="AI148" s="207"/>
      <c r="AJ148" s="211"/>
      <c r="AK148" s="211"/>
      <c r="AL148" s="219"/>
      <c r="AM148" s="214"/>
      <c r="AN148" s="211"/>
      <c r="AO148" s="211"/>
      <c r="AP148" s="211"/>
      <c r="AQ148" s="211"/>
      <c r="AR148" s="219"/>
      <c r="AS148" s="214"/>
      <c r="AT148" s="219"/>
      <c r="AU148" s="214"/>
      <c r="AV148" s="219"/>
      <c r="AW148" s="245"/>
      <c r="AX148" s="219"/>
    </row>
    <row r="149" spans="1:50" s="54" customFormat="1" ht="15" customHeight="1">
      <c r="A149" s="113"/>
      <c r="B149" s="159" t="s">
        <v>647</v>
      </c>
      <c r="C149" s="115"/>
      <c r="D149" s="216"/>
      <c r="E149" s="216"/>
      <c r="F149" s="216"/>
      <c r="G149" s="216"/>
      <c r="H149" s="219" t="str">
        <f>IF(ROUND(CF!H39,0)=ROUND(SUM(CF!D39:G39),0),"OK","ERROR")</f>
        <v>OK</v>
      </c>
      <c r="I149" s="209"/>
      <c r="J149" s="216"/>
      <c r="K149" s="216"/>
      <c r="L149" s="216"/>
      <c r="M149" s="216"/>
      <c r="N149" s="219" t="str">
        <f>IF(ROUND(CF!N39,0)=ROUND(SUM(CF!J39:M39),0),"OK","ERROR")</f>
        <v>OK</v>
      </c>
      <c r="O149" s="209"/>
      <c r="P149" s="216"/>
      <c r="Q149" s="216"/>
      <c r="R149" s="216"/>
      <c r="S149" s="216"/>
      <c r="T149" s="219" t="str">
        <f>IF(ROUND(CF!T39,0)=ROUND(SUM(CF!P39:S39),0),"OK","ERROR")</f>
        <v>OK</v>
      </c>
      <c r="U149" s="209"/>
      <c r="V149" s="216"/>
      <c r="W149" s="216"/>
      <c r="X149" s="216"/>
      <c r="Y149" s="216"/>
      <c r="Z149" s="219" t="str">
        <f>IF(ROUND(CF!Z39,0)=ROUND(SUM(CF!V39:Y39),0),"OK","ERROR")</f>
        <v>OK</v>
      </c>
      <c r="AA149" s="212"/>
      <c r="AB149" s="216"/>
      <c r="AC149" s="216"/>
      <c r="AD149" s="216"/>
      <c r="AE149" s="216"/>
      <c r="AF149" s="219" t="str">
        <f>IF(ROUND(CF!AF39,0)=ROUND(SUM(CF!AB39:AE39),0),"OK","ERROR")</f>
        <v>OK</v>
      </c>
      <c r="AG149" s="210"/>
      <c r="AH149" s="216"/>
      <c r="AI149" s="216"/>
      <c r="AJ149" s="211"/>
      <c r="AK149" s="211"/>
      <c r="AL149" s="219" t="str">
        <f>IF(ROUND(CF!AL39,0)=ROUND(SUM(CF!AH39:AK39),0),"OK","ERROR")</f>
        <v>ERROR</v>
      </c>
      <c r="AM149" s="214"/>
      <c r="AN149" s="211"/>
      <c r="AO149" s="211"/>
      <c r="AP149" s="211"/>
      <c r="AQ149" s="211"/>
      <c r="AR149" s="219" t="str">
        <f>IF(ROUND(CF!AR39,0)=ROUND(SUM(CF!AN39:AQ39),0),"OK","ERROR")</f>
        <v>OK</v>
      </c>
      <c r="AS149" s="214"/>
      <c r="AT149" s="219" t="str">
        <f>IF(ROUND(CF!AT39,0)=ROUND(SUM(CF!AP39:AS39),0),"OK","ERROR")</f>
        <v>OK</v>
      </c>
      <c r="AU149" s="214"/>
      <c r="AV149" s="219" t="str">
        <f>IF(ROUND(CF!AV39,0)=ROUND(SUM(CF!AR39:AU39),0),"OK","ERROR")</f>
        <v>OK</v>
      </c>
      <c r="AW149" s="245"/>
      <c r="AX149" s="219" t="str">
        <f>IF(ROUND(CF!AX39,0)=ROUND(SUM(CF!AT39:AW39),0),"OK","ERROR")</f>
        <v>OK</v>
      </c>
    </row>
    <row r="150" spans="1:50" s="54" customFormat="1" ht="15" customHeight="1">
      <c r="A150" s="113"/>
      <c r="B150" s="159" t="s">
        <v>648</v>
      </c>
      <c r="C150" s="115"/>
      <c r="D150" s="216"/>
      <c r="E150" s="216"/>
      <c r="F150" s="216"/>
      <c r="G150" s="216"/>
      <c r="H150" s="219" t="str">
        <f>IF(ROUND(CF!H40,0)=ROUND(SUM(CF!D40:G40),0),"OK","ERROR")</f>
        <v>OK</v>
      </c>
      <c r="I150" s="209"/>
      <c r="J150" s="216"/>
      <c r="K150" s="216"/>
      <c r="L150" s="216"/>
      <c r="M150" s="216"/>
      <c r="N150" s="219" t="str">
        <f>IF(ROUND(CF!N40,0)=ROUND(SUM(CF!J40:M40),0),"OK","ERROR")</f>
        <v>OK</v>
      </c>
      <c r="O150" s="209"/>
      <c r="P150" s="216"/>
      <c r="Q150" s="216"/>
      <c r="R150" s="216"/>
      <c r="S150" s="216"/>
      <c r="T150" s="219" t="str">
        <f>IF(ROUND(CF!T40,0)=ROUND(SUM(CF!P40:S40),0),"OK","ERROR")</f>
        <v>OK</v>
      </c>
      <c r="U150" s="209"/>
      <c r="V150" s="216"/>
      <c r="W150" s="216"/>
      <c r="X150" s="216"/>
      <c r="Y150" s="216"/>
      <c r="Z150" s="219" t="str">
        <f>IF(ROUND(CF!Z40,0)=ROUND(SUM(CF!V40:Y40),0),"OK","ERROR")</f>
        <v>OK</v>
      </c>
      <c r="AA150" s="212"/>
      <c r="AB150" s="216"/>
      <c r="AC150" s="216"/>
      <c r="AD150" s="216"/>
      <c r="AE150" s="216"/>
      <c r="AF150" s="219" t="str">
        <f>IF(ROUND(CF!AF40,0)=ROUND(SUM(CF!AB40:AE40),0),"OK","ERROR")</f>
        <v>OK</v>
      </c>
      <c r="AG150" s="210"/>
      <c r="AH150" s="216"/>
      <c r="AI150" s="216"/>
      <c r="AJ150" s="211"/>
      <c r="AK150" s="211"/>
      <c r="AL150" s="219" t="str">
        <f>IF(ROUND(CF!AL40,0)=ROUND(SUM(CF!AH40:AK40),0),"OK","ERROR")</f>
        <v>OK</v>
      </c>
      <c r="AM150" s="214"/>
      <c r="AN150" s="211"/>
      <c r="AO150" s="211"/>
      <c r="AP150" s="211"/>
      <c r="AQ150" s="211"/>
      <c r="AR150" s="219" t="str">
        <f>IF(ROUND(CF!AR40,0)=ROUND(SUM(CF!AN40:AQ40),0),"OK","ERROR")</f>
        <v>OK</v>
      </c>
      <c r="AS150" s="214"/>
      <c r="AT150" s="219" t="str">
        <f>IF(ROUND(CF!AT40,0)=ROUND(SUM(CF!AP40:AS40),0),"OK","ERROR")</f>
        <v>OK</v>
      </c>
      <c r="AU150" s="214"/>
      <c r="AV150" s="219" t="str">
        <f>IF(ROUND(CF!AV40,0)=ROUND(SUM(CF!AR40:AU40),0),"OK","ERROR")</f>
        <v>OK</v>
      </c>
      <c r="AW150" s="245"/>
      <c r="AX150" s="219" t="str">
        <f>IF(ROUND(CF!AX40,0)=ROUND(SUM(CF!AT40:AW40),0),"OK","ERROR")</f>
        <v>OK</v>
      </c>
    </row>
    <row r="151" spans="1:50" s="54" customFormat="1" ht="15" customHeight="1">
      <c r="A151" s="113"/>
      <c r="B151" s="159" t="s">
        <v>649</v>
      </c>
      <c r="C151" s="115"/>
      <c r="D151" s="216"/>
      <c r="E151" s="216"/>
      <c r="F151" s="216"/>
      <c r="G151" s="216"/>
      <c r="H151" s="219" t="str">
        <f>IF(ROUND(CF!H41,0)=ROUND(SUM(CF!D41:G41),0),"OK","ERROR")</f>
        <v>OK</v>
      </c>
      <c r="I151" s="209"/>
      <c r="J151" s="216"/>
      <c r="K151" s="216"/>
      <c r="L151" s="216"/>
      <c r="M151" s="216"/>
      <c r="N151" s="219" t="str">
        <f>IF(ROUND(CF!N41,0)=ROUND(SUM(CF!J41:M41),0),"OK","ERROR")</f>
        <v>OK</v>
      </c>
      <c r="O151" s="209"/>
      <c r="P151" s="216"/>
      <c r="Q151" s="216"/>
      <c r="R151" s="216"/>
      <c r="S151" s="216"/>
      <c r="T151" s="219" t="str">
        <f>IF(ROUND(CF!T41,0)=ROUND(SUM(CF!P41:S41),0),"OK","ERROR")</f>
        <v>OK</v>
      </c>
      <c r="U151" s="209"/>
      <c r="V151" s="216"/>
      <c r="W151" s="216"/>
      <c r="X151" s="216"/>
      <c r="Y151" s="216"/>
      <c r="Z151" s="219" t="str">
        <f>IF(ROUND(CF!Z41,0)=ROUND(SUM(CF!V41:Y41),0),"OK","ERROR")</f>
        <v>OK</v>
      </c>
      <c r="AA151" s="212"/>
      <c r="AB151" s="216"/>
      <c r="AC151" s="216"/>
      <c r="AD151" s="216"/>
      <c r="AE151" s="216"/>
      <c r="AF151" s="219" t="str">
        <f>IF(ROUND(CF!AF41,0)=ROUND(SUM(CF!AB41:AE41),0),"OK","ERROR")</f>
        <v>OK</v>
      </c>
      <c r="AG151" s="210"/>
      <c r="AH151" s="216"/>
      <c r="AI151" s="216"/>
      <c r="AJ151" s="211"/>
      <c r="AK151" s="211"/>
      <c r="AL151" s="219" t="str">
        <f>IF(ROUND(CF!AL41,0)=ROUND(SUM(CF!AH41:AK41),0),"OK","ERROR")</f>
        <v>OK</v>
      </c>
      <c r="AM151" s="214"/>
      <c r="AN151" s="211"/>
      <c r="AO151" s="211"/>
      <c r="AP151" s="211"/>
      <c r="AQ151" s="211"/>
      <c r="AR151" s="219" t="str">
        <f>IF(ROUND(CF!AR41,0)=ROUND(SUM(CF!AN41:AQ41),0),"OK","ERROR")</f>
        <v>OK</v>
      </c>
      <c r="AS151" s="214"/>
      <c r="AT151" s="219" t="str">
        <f>IF(ROUND(CF!AT41,0)=ROUND(SUM(CF!AP41:AS41),0),"OK","ERROR")</f>
        <v>OK</v>
      </c>
      <c r="AU151" s="214"/>
      <c r="AV151" s="219" t="str">
        <f>IF(ROUND(CF!AV41,0)=ROUND(SUM(CF!AR41:AU41),0),"OK","ERROR")</f>
        <v>OK</v>
      </c>
      <c r="AW151" s="245"/>
      <c r="AX151" s="219" t="str">
        <f>IF(ROUND(CF!AX41,0)=ROUND(SUM(CF!AT41:AW41),0),"OK","ERROR")</f>
        <v>OK</v>
      </c>
    </row>
    <row r="152" spans="1:50" s="54" customFormat="1" ht="15" customHeight="1">
      <c r="A152" s="142"/>
      <c r="B152" s="159" t="s">
        <v>650</v>
      </c>
      <c r="C152" s="27"/>
      <c r="D152" s="216"/>
      <c r="E152" s="216"/>
      <c r="F152" s="216"/>
      <c r="G152" s="216"/>
      <c r="H152" s="219" t="str">
        <f>IF(ROUND(CF!H42,0)=ROUND(SUM(CF!D42:G42),0),"OK","ERROR")</f>
        <v>OK</v>
      </c>
      <c r="I152" s="209"/>
      <c r="J152" s="216"/>
      <c r="K152" s="216"/>
      <c r="L152" s="216"/>
      <c r="M152" s="216"/>
      <c r="N152" s="219" t="str">
        <f>IF(ROUND(CF!N42,0)=ROUND(SUM(CF!J42:M42),0),"OK","ERROR")</f>
        <v>OK</v>
      </c>
      <c r="O152" s="209"/>
      <c r="P152" s="216"/>
      <c r="Q152" s="216"/>
      <c r="R152" s="216"/>
      <c r="S152" s="216"/>
      <c r="T152" s="219" t="str">
        <f>IF(ROUND(CF!T42,0)=ROUND(SUM(CF!P42:S42),0),"OK","ERROR")</f>
        <v>ERROR</v>
      </c>
      <c r="U152" s="209"/>
      <c r="V152" s="216"/>
      <c r="W152" s="216"/>
      <c r="X152" s="216"/>
      <c r="Y152" s="216"/>
      <c r="Z152" s="219" t="str">
        <f>IF(ROUND(CF!Z42,0)=ROUND(SUM(CF!V42:Y42),0),"OK","ERROR")</f>
        <v>OK</v>
      </c>
      <c r="AA152" s="212"/>
      <c r="AB152" s="216"/>
      <c r="AC152" s="216"/>
      <c r="AD152" s="216"/>
      <c r="AE152" s="216"/>
      <c r="AF152" s="219" t="str">
        <f>IF(ROUND(CF!AF42,0)=ROUND(SUM(CF!AB42:AE42),0),"OK","ERROR")</f>
        <v>OK</v>
      </c>
      <c r="AG152" s="210"/>
      <c r="AH152" s="216"/>
      <c r="AI152" s="216"/>
      <c r="AJ152" s="211"/>
      <c r="AK152" s="211"/>
      <c r="AL152" s="219" t="str">
        <f>IF(ROUND(CF!AL42,0)=ROUND(SUM(CF!AH42:AK42),0),"OK","ERROR")</f>
        <v>OK</v>
      </c>
      <c r="AM152" s="246"/>
      <c r="AN152" s="211"/>
      <c r="AO152" s="211"/>
      <c r="AP152" s="211"/>
      <c r="AQ152" s="211"/>
      <c r="AR152" s="219" t="str">
        <f>IF(ROUND(CF!AR42,0)=ROUND(SUM(CF!AN42:AQ42),0),"OK","ERROR")</f>
        <v>OK</v>
      </c>
      <c r="AS152" s="214"/>
      <c r="AT152" s="219" t="str">
        <f>IF(ROUND(CF!AT42,0)=ROUND(SUM(CF!AP42:AS42),0),"OK","ERROR")</f>
        <v>OK</v>
      </c>
      <c r="AU152" s="214"/>
      <c r="AV152" s="219" t="str">
        <f>IF(ROUND(CF!AV42,0)=ROUND(SUM(CF!AR42:AU42),0),"OK","ERROR")</f>
        <v>OK</v>
      </c>
      <c r="AW152" s="245"/>
      <c r="AX152" s="219" t="str">
        <f>IF(ROUND(CF!AX42,0)=ROUND(SUM(CF!AT42:AW42),0),"OK","ERROR")</f>
        <v>OK</v>
      </c>
    </row>
    <row r="153" spans="1:50" s="54" customFormat="1" ht="15" customHeight="1">
      <c r="A153" s="113"/>
      <c r="B153" s="159" t="s">
        <v>651</v>
      </c>
      <c r="C153" s="115"/>
      <c r="D153" s="216"/>
      <c r="E153" s="216"/>
      <c r="F153" s="216"/>
      <c r="G153" s="216"/>
      <c r="H153" s="219" t="str">
        <f>IF(ROUND(CF!H43,0)=ROUND(SUM(CF!D43:G43),0),"OK","ERROR")</f>
        <v>OK</v>
      </c>
      <c r="I153" s="209"/>
      <c r="J153" s="216"/>
      <c r="K153" s="216"/>
      <c r="L153" s="216"/>
      <c r="M153" s="216"/>
      <c r="N153" s="219" t="str">
        <f>IF(ROUND(CF!N43,0)=ROUND(SUM(CF!J43:M43),0),"OK","ERROR")</f>
        <v>OK</v>
      </c>
      <c r="O153" s="209"/>
      <c r="P153" s="216"/>
      <c r="Q153" s="216"/>
      <c r="R153" s="216"/>
      <c r="S153" s="216"/>
      <c r="T153" s="219" t="str">
        <f>IF(ROUND(CF!T43,0)=ROUND(SUM(CF!P43:S43),0),"OK","ERROR")</f>
        <v>OK</v>
      </c>
      <c r="U153" s="209"/>
      <c r="V153" s="216"/>
      <c r="W153" s="216"/>
      <c r="X153" s="216"/>
      <c r="Y153" s="216"/>
      <c r="Z153" s="219" t="str">
        <f>IF(ROUND(CF!Z43,0)=ROUND(SUM(CF!V43:Y43),0),"OK","ERROR")</f>
        <v>OK</v>
      </c>
      <c r="AA153" s="212"/>
      <c r="AB153" s="216"/>
      <c r="AC153" s="216"/>
      <c r="AD153" s="216"/>
      <c r="AE153" s="216"/>
      <c r="AF153" s="219" t="str">
        <f>IF(ROUND(CF!AF43,0)=ROUND(SUM(CF!AB43:AE43),0),"OK","ERROR")</f>
        <v>OK</v>
      </c>
      <c r="AG153" s="210"/>
      <c r="AH153" s="216"/>
      <c r="AI153" s="216"/>
      <c r="AJ153" s="211"/>
      <c r="AK153" s="211"/>
      <c r="AL153" s="219" t="str">
        <f>IF(ROUND(CF!AL43,0)=ROUND(SUM(CF!AH43:AK43),0),"OK","ERROR")</f>
        <v>OK</v>
      </c>
      <c r="AM153" s="246"/>
      <c r="AN153" s="211"/>
      <c r="AO153" s="211"/>
      <c r="AP153" s="211"/>
      <c r="AQ153" s="211"/>
      <c r="AR153" s="219" t="str">
        <f>IF(ROUND(CF!AR43,0)=ROUND(SUM(CF!AN43:AQ43),0),"OK","ERROR")</f>
        <v>OK</v>
      </c>
      <c r="AS153" s="214"/>
      <c r="AT153" s="219" t="str">
        <f>IF(ROUND(CF!AT43,0)=ROUND(SUM(CF!AP43:AS43),0),"OK","ERROR")</f>
        <v>OK</v>
      </c>
      <c r="AU153" s="214"/>
      <c r="AV153" s="219" t="str">
        <f>IF(ROUND(CF!AV43,0)=ROUND(SUM(CF!AR43:AU43),0),"OK","ERROR")</f>
        <v>OK</v>
      </c>
      <c r="AW153" s="245"/>
      <c r="AX153" s="219" t="str">
        <f>IF(ROUND(CF!AX43,0)=ROUND(SUM(CF!AT43:AW43),0),"OK","ERROR")</f>
        <v>OK</v>
      </c>
    </row>
    <row r="154" spans="1:50" s="54" customFormat="1" ht="15" customHeight="1">
      <c r="A154" s="113"/>
      <c r="B154" s="159" t="s">
        <v>652</v>
      </c>
      <c r="C154" s="115"/>
      <c r="D154" s="216"/>
      <c r="E154" s="216"/>
      <c r="F154" s="216"/>
      <c r="G154" s="216"/>
      <c r="H154" s="225" t="str">
        <f>IF(ROUND(CF!H44,0)=ROUND(SUM(CF!D44:G44),0),"OK","ERROR")</f>
        <v>OK</v>
      </c>
      <c r="I154" s="209"/>
      <c r="J154" s="216"/>
      <c r="K154" s="216"/>
      <c r="L154" s="216"/>
      <c r="M154" s="216"/>
      <c r="N154" s="225" t="str">
        <f>IF(ROUND(CF!N44,0)=ROUND(SUM(CF!J44:M44),0),"OK","ERROR")</f>
        <v>OK</v>
      </c>
      <c r="O154" s="209"/>
      <c r="P154" s="216"/>
      <c r="Q154" s="216"/>
      <c r="R154" s="216"/>
      <c r="S154" s="216"/>
      <c r="T154" s="225" t="str">
        <f>IF(ROUND(CF!T44,0)=ROUND(SUM(CF!P44:S44),0),"OK","ERROR")</f>
        <v>ERROR</v>
      </c>
      <c r="U154" s="209"/>
      <c r="V154" s="216"/>
      <c r="W154" s="216"/>
      <c r="X154" s="216"/>
      <c r="Y154" s="216"/>
      <c r="Z154" s="225" t="str">
        <f>IF(ROUND(CF!Z44,0)=ROUND(SUM(CF!V44:Y44),0),"OK","ERROR")</f>
        <v>OK</v>
      </c>
      <c r="AA154" s="227"/>
      <c r="AB154" s="216"/>
      <c r="AC154" s="216"/>
      <c r="AD154" s="216"/>
      <c r="AE154" s="216"/>
      <c r="AF154" s="225" t="str">
        <f>IF(ROUND(CF!AF44,0)=ROUND(SUM(CF!AB44:AE44),0),"OK","ERROR")</f>
        <v>OK</v>
      </c>
      <c r="AG154" s="228"/>
      <c r="AH154" s="216"/>
      <c r="AI154" s="216"/>
      <c r="AJ154" s="211"/>
      <c r="AK154" s="211"/>
      <c r="AL154" s="225" t="str">
        <f>IF(ROUND(CF!AL44,0)=ROUND(SUM(CF!AH44:AK44),0),"OK","ERROR")</f>
        <v>ERROR</v>
      </c>
      <c r="AM154" s="229"/>
      <c r="AN154" s="211"/>
      <c r="AO154" s="211"/>
      <c r="AP154" s="211"/>
      <c r="AQ154" s="211"/>
      <c r="AR154" s="225" t="str">
        <f>IF(ROUND(CF!AR44,0)=ROUND(SUM(CF!AN44:AQ44),0),"OK","ERROR")</f>
        <v>OK</v>
      </c>
      <c r="AS154" s="229"/>
      <c r="AT154" s="225" t="str">
        <f>IF(ROUND(CF!AT44,0)=ROUND(SUM(CF!AP44:AS44),0),"OK","ERROR")</f>
        <v>OK</v>
      </c>
      <c r="AU154" s="229"/>
      <c r="AV154" s="225" t="str">
        <f>IF(ROUND(CF!AV44,0)=ROUND(SUM(CF!AR44:AU44),0),"OK","ERROR")</f>
        <v>OK</v>
      </c>
      <c r="AW154" s="245"/>
      <c r="AX154" s="225" t="str">
        <f>IF(ROUND(CF!AX44,0)=ROUND(SUM(CF!AT44:AW44),0),"OK","ERROR")</f>
        <v>OK</v>
      </c>
    </row>
    <row r="155" spans="1:50" s="54" customFormat="1" ht="15" customHeight="1" thickBot="1">
      <c r="A155" s="113"/>
      <c r="B155" s="160" t="s">
        <v>653</v>
      </c>
      <c r="C155" s="17"/>
      <c r="D155" s="216"/>
      <c r="E155" s="216"/>
      <c r="F155" s="216"/>
      <c r="G155" s="216"/>
      <c r="H155" s="236" t="str">
        <f>IF(ROUND(CF!H45,0)=ROUND(SUM(CF!D45:G45),0),"OK","ERROR")</f>
        <v>OK</v>
      </c>
      <c r="I155" s="209"/>
      <c r="J155" s="216"/>
      <c r="K155" s="216"/>
      <c r="L155" s="216"/>
      <c r="M155" s="216"/>
      <c r="N155" s="236" t="str">
        <f>IF(ROUND(CF!N45,0)=ROUND(SUM(CF!J45:M45),0),"OK","ERROR")</f>
        <v>OK</v>
      </c>
      <c r="O155" s="209"/>
      <c r="P155" s="216"/>
      <c r="Q155" s="216"/>
      <c r="R155" s="216"/>
      <c r="S155" s="216"/>
      <c r="T155" s="236" t="str">
        <f>IF(ROUND(CF!T45,0)=ROUND(SUM(CF!P45:S45),0),"OK","ERROR")</f>
        <v>OK</v>
      </c>
      <c r="U155" s="209"/>
      <c r="V155" s="216"/>
      <c r="W155" s="216"/>
      <c r="X155" s="216"/>
      <c r="Y155" s="216"/>
      <c r="Z155" s="236" t="str">
        <f>IF(ROUND(CF!Z45,0)=ROUND(SUM(CF!V45:Y45),0),"OK","ERROR")</f>
        <v>OK</v>
      </c>
      <c r="AA155" s="209"/>
      <c r="AB155" s="216"/>
      <c r="AC155" s="216"/>
      <c r="AD155" s="216"/>
      <c r="AE155" s="216"/>
      <c r="AF155" s="236" t="str">
        <f>IF(ROUND(CF!AF45,0)=ROUND(SUM(CF!AB45:AE45),0),"OK","ERROR")</f>
        <v>OK</v>
      </c>
      <c r="AG155" s="237"/>
      <c r="AH155" s="216"/>
      <c r="AI155" s="216"/>
      <c r="AJ155" s="211"/>
      <c r="AK155" s="211"/>
      <c r="AL155" s="236" t="str">
        <f>IF(ROUND(CF!AL45,0)=ROUND(SUM(CF!AH45:AK45),0),"OK","ERROR")</f>
        <v>ERROR</v>
      </c>
      <c r="AM155" s="238"/>
      <c r="AN155" s="211"/>
      <c r="AO155" s="211"/>
      <c r="AP155" s="211"/>
      <c r="AQ155" s="211"/>
      <c r="AR155" s="236" t="str">
        <f>IF(ROUND(CF!AR45,0)=ROUND(SUM(CF!AN45:AQ45),0),"OK","ERROR")</f>
        <v>OK</v>
      </c>
      <c r="AS155" s="238"/>
      <c r="AT155" s="236" t="str">
        <f>IF(ROUND(CF!AT45,0)=ROUND(SUM(CF!AP45:AS45),0),"OK","ERROR")</f>
        <v>OK</v>
      </c>
      <c r="AU155" s="238"/>
      <c r="AV155" s="236" t="str">
        <f>IF(ROUND(CF!AV45,0)=ROUND(SUM(CF!AR45:AU45),0),"OK","ERROR")</f>
        <v>OK</v>
      </c>
      <c r="AW155" s="245"/>
      <c r="AX155" s="236" t="str">
        <f>IF(ROUND(CF!AX45,0)=ROUND(SUM(CF!AT45:AW45),0),"OK","ERROR")</f>
        <v>OK</v>
      </c>
    </row>
    <row r="156" spans="1:50" s="54" customFormat="1" ht="15" customHeight="1" thickTop="1">
      <c r="A156" s="113"/>
      <c r="B156" s="9"/>
      <c r="C156" s="115"/>
      <c r="D156" s="207"/>
      <c r="E156" s="207"/>
      <c r="F156" s="207"/>
      <c r="G156" s="207"/>
      <c r="H156" s="219"/>
      <c r="I156" s="209"/>
      <c r="J156" s="207"/>
      <c r="K156" s="207"/>
      <c r="L156" s="207"/>
      <c r="M156" s="207"/>
      <c r="N156" s="219"/>
      <c r="O156" s="209"/>
      <c r="P156" s="207"/>
      <c r="Q156" s="207"/>
      <c r="R156" s="207"/>
      <c r="S156" s="207"/>
      <c r="T156" s="219"/>
      <c r="U156" s="209"/>
      <c r="V156" s="207"/>
      <c r="W156" s="207"/>
      <c r="X156" s="207"/>
      <c r="Y156" s="207"/>
      <c r="Z156" s="219"/>
      <c r="AA156" s="227"/>
      <c r="AB156" s="207"/>
      <c r="AC156" s="207"/>
      <c r="AD156" s="207"/>
      <c r="AE156" s="207"/>
      <c r="AF156" s="219"/>
      <c r="AG156" s="228"/>
      <c r="AH156" s="207"/>
      <c r="AI156" s="207"/>
      <c r="AJ156" s="211"/>
      <c r="AK156" s="211"/>
      <c r="AL156" s="219"/>
      <c r="AM156" s="229"/>
      <c r="AN156" s="211"/>
      <c r="AO156" s="211"/>
      <c r="AP156" s="211"/>
      <c r="AQ156" s="211"/>
      <c r="AR156" s="219"/>
      <c r="AS156" s="229"/>
      <c r="AT156" s="219"/>
      <c r="AU156" s="229"/>
      <c r="AV156" s="219"/>
      <c r="AW156" s="245"/>
      <c r="AX156" s="219"/>
    </row>
    <row r="157" spans="1:50" s="54" customFormat="1" ht="15" customHeight="1">
      <c r="A157" s="44" t="s">
        <v>39</v>
      </c>
      <c r="B157" s="158" t="s">
        <v>654</v>
      </c>
      <c r="C157" s="17"/>
      <c r="D157" s="216"/>
      <c r="E157" s="216"/>
      <c r="F157" s="216"/>
      <c r="G157" s="216"/>
      <c r="H157" s="219" t="str">
        <f>IF(ROUND(CF!H47,0)=ROUND(SUM(CF!D47:G47),0),"OK","ERROR")</f>
        <v>OK</v>
      </c>
      <c r="I157" s="209"/>
      <c r="J157" s="216"/>
      <c r="K157" s="216"/>
      <c r="L157" s="216"/>
      <c r="M157" s="216"/>
      <c r="N157" s="219" t="str">
        <f>IF(ROUND(CF!N47,0)=ROUND(SUM(CF!J47:M47),0),"OK","ERROR")</f>
        <v>OK</v>
      </c>
      <c r="O157" s="209"/>
      <c r="P157" s="216"/>
      <c r="Q157" s="216"/>
      <c r="R157" s="216"/>
      <c r="S157" s="216"/>
      <c r="T157" s="219" t="str">
        <f>IF(ROUND(CF!T47,0)=ROUND(SUM(CF!P47:S47),0),"OK","ERROR")</f>
        <v>OK</v>
      </c>
      <c r="U157" s="209"/>
      <c r="V157" s="216"/>
      <c r="W157" s="216"/>
      <c r="X157" s="216"/>
      <c r="Y157" s="216"/>
      <c r="Z157" s="219" t="str">
        <f>IF(ROUND(CF!Z47,0)=ROUND(SUM(CF!V47:Y47),0),"OK","ERROR")</f>
        <v>OK</v>
      </c>
      <c r="AA157" s="209"/>
      <c r="AB157" s="216"/>
      <c r="AC157" s="216"/>
      <c r="AD157" s="216"/>
      <c r="AE157" s="216"/>
      <c r="AF157" s="219" t="str">
        <f>IF(ROUND(CF!AF47,0)=ROUND(SUM(CF!AB47:AE47),0),"OK","ERROR")</f>
        <v>OK</v>
      </c>
      <c r="AG157" s="237"/>
      <c r="AH157" s="216"/>
      <c r="AI157" s="216"/>
      <c r="AJ157" s="211"/>
      <c r="AK157" s="211"/>
      <c r="AL157" s="219" t="str">
        <f>IF(ROUND(CF!AL47,0)=ROUND(SUM(CF!AH47:AK47),0),"OK","ERROR")</f>
        <v>OK</v>
      </c>
      <c r="AM157" s="224"/>
      <c r="AN157" s="211"/>
      <c r="AO157" s="211"/>
      <c r="AP157" s="211"/>
      <c r="AQ157" s="211"/>
      <c r="AR157" s="219" t="str">
        <f>IF(ROUND(CF!AR47,0)=ROUND(SUM(CF!AN47:AQ47),0),"OK","ERROR")</f>
        <v>OK</v>
      </c>
      <c r="AS157" s="224"/>
      <c r="AT157" s="219" t="str">
        <f>IF(ROUND(CF!AT47,0)=ROUND(SUM(CF!AP47:AS47),0),"OK","ERROR")</f>
        <v>OK</v>
      </c>
      <c r="AU157" s="224"/>
      <c r="AV157" s="219" t="str">
        <f>IF(ROUND(CF!AV47,0)=ROUND(SUM(CF!AR47:AU47),0),"OK","ERROR")</f>
        <v>OK</v>
      </c>
      <c r="AW157" s="245"/>
      <c r="AX157" s="219" t="str">
        <f>IF(ROUND(CF!AX47,0)=ROUND(SUM(CF!AT47:AW47),0),"OK","ERROR")</f>
        <v>OK</v>
      </c>
    </row>
    <row r="158" spans="1:50" s="54" customFormat="1" ht="15" customHeight="1">
      <c r="A158" s="113"/>
      <c r="C158" s="115"/>
      <c r="D158" s="207"/>
      <c r="E158" s="207"/>
      <c r="F158" s="207"/>
      <c r="G158" s="207"/>
      <c r="H158" s="219"/>
      <c r="I158" s="209"/>
      <c r="J158" s="207"/>
      <c r="K158" s="207"/>
      <c r="L158" s="207"/>
      <c r="M158" s="207"/>
      <c r="N158" s="219"/>
      <c r="O158" s="209"/>
      <c r="P158" s="207"/>
      <c r="Q158" s="207"/>
      <c r="R158" s="207"/>
      <c r="S158" s="207"/>
      <c r="T158" s="219"/>
      <c r="U158" s="209"/>
      <c r="V158" s="207"/>
      <c r="W158" s="207"/>
      <c r="X158" s="207"/>
      <c r="Y158" s="207"/>
      <c r="Z158" s="219"/>
      <c r="AA158" s="209"/>
      <c r="AB158" s="207"/>
      <c r="AC158" s="207"/>
      <c r="AD158" s="207"/>
      <c r="AE158" s="207"/>
      <c r="AF158" s="219"/>
      <c r="AG158" s="237"/>
      <c r="AH158" s="207"/>
      <c r="AI158" s="207"/>
      <c r="AJ158" s="211"/>
      <c r="AK158" s="211"/>
      <c r="AL158" s="219"/>
      <c r="AM158" s="238"/>
      <c r="AN158" s="211"/>
      <c r="AO158" s="211"/>
      <c r="AP158" s="211"/>
      <c r="AQ158" s="211"/>
      <c r="AR158" s="219"/>
      <c r="AS158" s="238"/>
      <c r="AT158" s="219"/>
      <c r="AU158" s="238"/>
      <c r="AV158" s="219"/>
      <c r="AW158" s="245"/>
      <c r="AX158" s="219"/>
    </row>
    <row r="159" spans="1:50" s="54" customFormat="1" ht="15" customHeight="1">
      <c r="A159" s="44" t="s">
        <v>39</v>
      </c>
      <c r="B159" s="158" t="s">
        <v>655</v>
      </c>
      <c r="C159" s="17"/>
      <c r="D159" s="216"/>
      <c r="E159" s="216"/>
      <c r="F159" s="216"/>
      <c r="G159" s="216"/>
      <c r="H159" s="225" t="str">
        <f>IF(ROUND(CF!H49,0)=ROUND(SUM(CF!D49:G49),0),"OK","ERROR")</f>
        <v>OK</v>
      </c>
      <c r="I159" s="209"/>
      <c r="J159" s="216"/>
      <c r="K159" s="216"/>
      <c r="L159" s="216"/>
      <c r="M159" s="216"/>
      <c r="N159" s="225" t="str">
        <f>IF(ROUND(CF!N49,0)=ROUND(SUM(CF!J49:M49),0),"OK","ERROR")</f>
        <v>OK</v>
      </c>
      <c r="O159" s="209"/>
      <c r="P159" s="216"/>
      <c r="Q159" s="216"/>
      <c r="R159" s="216"/>
      <c r="S159" s="216"/>
      <c r="T159" s="225" t="str">
        <f>IF(ROUND(CF!T49,0)=ROUND(SUM(CF!P49:S49),0),"OK","ERROR")</f>
        <v>OK</v>
      </c>
      <c r="U159" s="209"/>
      <c r="V159" s="216"/>
      <c r="W159" s="216"/>
      <c r="X159" s="216"/>
      <c r="Y159" s="216"/>
      <c r="Z159" s="225" t="str">
        <f>IF(ROUND(CF!Z49,0)=ROUND(SUM(CF!V49:Y49),0),"OK","ERROR")</f>
        <v>OK</v>
      </c>
      <c r="AA159" s="209"/>
      <c r="AB159" s="216"/>
      <c r="AC159" s="216"/>
      <c r="AD159" s="216"/>
      <c r="AE159" s="216"/>
      <c r="AF159" s="225" t="str">
        <f>IF(ROUND(CF!AF49,0)=ROUND(SUM(CF!AB49:AE49),0),"OK","ERROR")</f>
        <v>OK</v>
      </c>
      <c r="AG159" s="237"/>
      <c r="AH159" s="216"/>
      <c r="AI159" s="216"/>
      <c r="AJ159" s="211"/>
      <c r="AK159" s="211"/>
      <c r="AL159" s="225" t="str">
        <f>IF(ROUND(CF!AL49,0)=ROUND(SUM(CF!AH49:AK49),0),"OK","ERROR")</f>
        <v>ERROR</v>
      </c>
      <c r="AM159" s="238"/>
      <c r="AN159" s="211"/>
      <c r="AO159" s="211"/>
      <c r="AP159" s="211"/>
      <c r="AQ159" s="211"/>
      <c r="AR159" s="225" t="str">
        <f>IF(ROUND(CF!AR49,0)=ROUND(SUM(CF!AN49:AQ49),0),"OK","ERROR")</f>
        <v>OK</v>
      </c>
      <c r="AS159" s="238"/>
      <c r="AT159" s="225" t="str">
        <f>IF(ROUND(CF!AT49,0)=ROUND(SUM(CF!AP49:AS49),0),"OK","ERROR")</f>
        <v>OK</v>
      </c>
      <c r="AU159" s="238"/>
      <c r="AV159" s="225" t="str">
        <f>IF(ROUND(CF!AV49,0)=ROUND(SUM(CF!AR49:AU49),0),"OK","ERROR")</f>
        <v>OK</v>
      </c>
      <c r="AW159" s="245"/>
      <c r="AX159" s="225" t="str">
        <f>IF(ROUND(CF!AX49,0)=ROUND(SUM(CF!AT49:AW49),0),"OK","ERROR")</f>
        <v>OK</v>
      </c>
    </row>
    <row r="161" spans="1:50" s="41" customFormat="1" ht="15" customHeight="1">
      <c r="A161" s="44" t="s">
        <v>39</v>
      </c>
      <c r="B161" s="161" t="s">
        <v>663</v>
      </c>
      <c r="C161" s="18"/>
      <c r="D161" s="201"/>
      <c r="E161" s="201">
        <f>F161</f>
        <v>2020</v>
      </c>
      <c r="F161" s="201">
        <v>2020</v>
      </c>
      <c r="G161" s="201">
        <f>F161</f>
        <v>2020</v>
      </c>
      <c r="H161" s="201">
        <f>F161</f>
        <v>2020</v>
      </c>
      <c r="I161" s="18"/>
      <c r="J161" s="201">
        <f>L161</f>
        <v>2021</v>
      </c>
      <c r="K161" s="201">
        <f>L161</f>
        <v>2021</v>
      </c>
      <c r="L161" s="201">
        <v>2021</v>
      </c>
      <c r="M161" s="201">
        <f>L161</f>
        <v>2021</v>
      </c>
      <c r="N161" s="201">
        <f>L161</f>
        <v>2021</v>
      </c>
      <c r="O161" s="169"/>
      <c r="P161" s="201">
        <f>R161</f>
        <v>2022</v>
      </c>
      <c r="Q161" s="201">
        <f>R161</f>
        <v>2022</v>
      </c>
      <c r="R161" s="201">
        <v>2022</v>
      </c>
      <c r="S161" s="201">
        <f>R161</f>
        <v>2022</v>
      </c>
      <c r="T161" s="201">
        <f>R161</f>
        <v>2022</v>
      </c>
      <c r="U161" s="169"/>
      <c r="V161" s="201">
        <f>X161</f>
        <v>2023</v>
      </c>
      <c r="W161" s="201">
        <f>X161</f>
        <v>2023</v>
      </c>
      <c r="X161" s="201">
        <v>2023</v>
      </c>
      <c r="Y161" s="201">
        <f>X161</f>
        <v>2023</v>
      </c>
      <c r="Z161" s="201">
        <f>X161</f>
        <v>2023</v>
      </c>
      <c r="AA161" s="170"/>
      <c r="AB161" s="201">
        <f>AD161</f>
        <v>2024</v>
      </c>
      <c r="AC161" s="201">
        <f>AD161</f>
        <v>2024</v>
      </c>
      <c r="AD161" s="201">
        <v>2024</v>
      </c>
      <c r="AE161" s="201">
        <f>AD161</f>
        <v>2024</v>
      </c>
      <c r="AF161" s="201">
        <f>AD161</f>
        <v>2024</v>
      </c>
      <c r="AG161" s="170"/>
      <c r="AH161" s="201">
        <f>AJ161</f>
        <v>2025</v>
      </c>
      <c r="AI161" s="201">
        <f>AJ161</f>
        <v>2025</v>
      </c>
      <c r="AJ161" s="202">
        <v>2025</v>
      </c>
      <c r="AK161" s="201">
        <f>AJ161</f>
        <v>2025</v>
      </c>
      <c r="AL161" s="201">
        <f>AJ161</f>
        <v>2025</v>
      </c>
      <c r="AM161" s="171"/>
      <c r="AN161" s="201">
        <f>AP161</f>
        <v>2025</v>
      </c>
      <c r="AO161" s="201">
        <f>AP161</f>
        <v>2025</v>
      </c>
      <c r="AP161" s="202">
        <v>2025</v>
      </c>
      <c r="AQ161" s="201">
        <f>AP161</f>
        <v>2025</v>
      </c>
      <c r="AR161" s="201">
        <f>AP161</f>
        <v>2025</v>
      </c>
      <c r="AS161" s="18"/>
      <c r="AT161" s="162"/>
      <c r="AU161" s="18"/>
      <c r="AV161" s="163"/>
      <c r="AW161" s="18"/>
      <c r="AX161" s="163"/>
    </row>
    <row r="162" spans="1:50" s="41" customFormat="1" ht="15" customHeight="1">
      <c r="B162" s="164"/>
      <c r="C162" s="18"/>
      <c r="D162" s="822">
        <v>2020</v>
      </c>
      <c r="E162" s="822"/>
      <c r="F162" s="822"/>
      <c r="G162" s="822"/>
      <c r="H162" s="822"/>
      <c r="I162" s="169"/>
      <c r="J162" s="822">
        <f>D162+1</f>
        <v>2021</v>
      </c>
      <c r="K162" s="822"/>
      <c r="L162" s="822"/>
      <c r="M162" s="822"/>
      <c r="N162" s="822"/>
      <c r="O162" s="169"/>
      <c r="P162" s="822">
        <f>J162+1</f>
        <v>2022</v>
      </c>
      <c r="Q162" s="822"/>
      <c r="R162" s="822"/>
      <c r="S162" s="822"/>
      <c r="T162" s="822"/>
      <c r="U162" s="169"/>
      <c r="V162" s="822">
        <f>P162+1</f>
        <v>2023</v>
      </c>
      <c r="W162" s="822"/>
      <c r="X162" s="822"/>
      <c r="Y162" s="822"/>
      <c r="Z162" s="822"/>
      <c r="AA162" s="169"/>
      <c r="AB162" s="822">
        <f>V162+1</f>
        <v>2024</v>
      </c>
      <c r="AC162" s="822"/>
      <c r="AD162" s="822"/>
      <c r="AE162" s="822"/>
      <c r="AF162" s="822"/>
      <c r="AG162" s="169"/>
      <c r="AH162" s="821">
        <f>AB162+1</f>
        <v>2025</v>
      </c>
      <c r="AI162" s="821"/>
      <c r="AJ162" s="821"/>
      <c r="AK162" s="821"/>
      <c r="AL162" s="821"/>
      <c r="AM162" s="169"/>
      <c r="AN162" s="821">
        <f>AH162+1</f>
        <v>2026</v>
      </c>
      <c r="AO162" s="821"/>
      <c r="AP162" s="821"/>
      <c r="AQ162" s="821"/>
      <c r="AR162" s="821"/>
      <c r="AS162" s="171"/>
      <c r="AT162" s="166">
        <f>AN162+1</f>
        <v>2027</v>
      </c>
      <c r="AU162" s="167"/>
      <c r="AV162" s="166">
        <f>+AT162+1</f>
        <v>2028</v>
      </c>
      <c r="AW162" s="167"/>
      <c r="AX162" s="166">
        <f>+AV162+1</f>
        <v>2029</v>
      </c>
    </row>
    <row r="163" spans="1:50" s="41" customFormat="1" ht="15" customHeight="1">
      <c r="B163" s="164"/>
      <c r="C163" s="18"/>
      <c r="D163" s="168" t="s">
        <v>173</v>
      </c>
      <c r="E163" s="168" t="s">
        <v>174</v>
      </c>
      <c r="F163" s="168" t="s">
        <v>175</v>
      </c>
      <c r="G163" s="168" t="s">
        <v>176</v>
      </c>
      <c r="H163" s="168" t="s">
        <v>177</v>
      </c>
      <c r="I163" s="18"/>
      <c r="J163" s="168" t="s">
        <v>173</v>
      </c>
      <c r="K163" s="168" t="s">
        <v>174</v>
      </c>
      <c r="L163" s="168" t="s">
        <v>175</v>
      </c>
      <c r="M163" s="168" t="s">
        <v>176</v>
      </c>
      <c r="N163" s="168" t="s">
        <v>177</v>
      </c>
      <c r="O163" s="165"/>
      <c r="P163" s="168" t="s">
        <v>173</v>
      </c>
      <c r="Q163" s="168" t="s">
        <v>174</v>
      </c>
      <c r="R163" s="168" t="s">
        <v>175</v>
      </c>
      <c r="S163" s="168" t="s">
        <v>176</v>
      </c>
      <c r="T163" s="168" t="s">
        <v>177</v>
      </c>
      <c r="U163" s="165"/>
      <c r="V163" s="168" t="s">
        <v>173</v>
      </c>
      <c r="W163" s="168" t="s">
        <v>174</v>
      </c>
      <c r="X163" s="168" t="s">
        <v>175</v>
      </c>
      <c r="Y163" s="168" t="s">
        <v>176</v>
      </c>
      <c r="Z163" s="168" t="s">
        <v>177</v>
      </c>
      <c r="AA163" s="165"/>
      <c r="AB163" s="168" t="s">
        <v>173</v>
      </c>
      <c r="AC163" s="168" t="s">
        <v>174</v>
      </c>
      <c r="AD163" s="168" t="s">
        <v>175</v>
      </c>
      <c r="AE163" s="168" t="s">
        <v>176</v>
      </c>
      <c r="AF163" s="168" t="s">
        <v>177</v>
      </c>
      <c r="AG163" s="165"/>
      <c r="AH163" s="168" t="s">
        <v>173</v>
      </c>
      <c r="AI163" s="168" t="s">
        <v>174</v>
      </c>
      <c r="AJ163" s="168" t="s">
        <v>175</v>
      </c>
      <c r="AK163" s="168" t="s">
        <v>176</v>
      </c>
      <c r="AL163" s="168" t="s">
        <v>177</v>
      </c>
      <c r="AM163" s="165"/>
      <c r="AN163" s="168" t="s">
        <v>173</v>
      </c>
      <c r="AO163" s="168" t="s">
        <v>174</v>
      </c>
      <c r="AP163" s="168" t="s">
        <v>175</v>
      </c>
      <c r="AQ163" s="168" t="s">
        <v>176</v>
      </c>
      <c r="AR163" s="168" t="s">
        <v>177</v>
      </c>
      <c r="AS163" s="165"/>
      <c r="AT163" s="168" t="s">
        <v>177</v>
      </c>
      <c r="AU163" s="165"/>
      <c r="AV163" s="168" t="s">
        <v>177</v>
      </c>
      <c r="AW163" s="165"/>
      <c r="AX163" s="168" t="s">
        <v>177</v>
      </c>
    </row>
    <row r="164" spans="1:50" s="41" customFormat="1" ht="4"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4"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3"/>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39</v>
      </c>
      <c r="B167" s="154" t="s">
        <v>630</v>
      </c>
      <c r="C167" s="17"/>
      <c r="D167" s="207"/>
      <c r="E167" s="207"/>
      <c r="F167" s="207"/>
      <c r="G167" s="207"/>
      <c r="H167" s="219"/>
      <c r="I167" s="209"/>
      <c r="J167" s="207"/>
      <c r="K167" s="207"/>
      <c r="L167" s="207"/>
      <c r="M167" s="207"/>
      <c r="N167" s="219"/>
      <c r="O167" s="208"/>
      <c r="P167" s="207"/>
      <c r="Q167" s="207"/>
      <c r="R167" s="207"/>
      <c r="S167" s="207"/>
      <c r="T167" s="219"/>
      <c r="U167" s="208"/>
      <c r="V167" s="207"/>
      <c r="W167" s="207"/>
      <c r="X167" s="207"/>
      <c r="Y167" s="207"/>
      <c r="Z167" s="219"/>
      <c r="AA167" s="208"/>
      <c r="AB167" s="207"/>
      <c r="AC167" s="207"/>
      <c r="AD167" s="207"/>
      <c r="AE167" s="207"/>
      <c r="AF167" s="219"/>
      <c r="AG167" s="210"/>
      <c r="AH167" s="207"/>
      <c r="AI167" s="207"/>
      <c r="AJ167" s="211"/>
      <c r="AK167" s="211"/>
      <c r="AL167" s="221"/>
      <c r="AM167" s="214"/>
      <c r="AN167" s="211"/>
      <c r="AO167" s="211"/>
      <c r="AP167" s="211"/>
      <c r="AQ167" s="211"/>
      <c r="AR167" s="221"/>
      <c r="AS167" s="214"/>
      <c r="AT167" s="221"/>
      <c r="AU167" s="214"/>
      <c r="AV167" s="221"/>
      <c r="AW167" s="245"/>
      <c r="AX167" s="221"/>
    </row>
    <row r="168" spans="1:50" s="54" customFormat="1" ht="15" customHeight="1" thickBot="1">
      <c r="A168" s="84"/>
      <c r="B168" s="157" t="s">
        <v>635</v>
      </c>
      <c r="C168" s="26"/>
      <c r="D168" s="216" t="str">
        <f>IF(ROUND(CF!D25,0)=ROUND(SUM(CF!D15,CF!D17:D19,CF!D21:D24),0),"OK","ERROR")</f>
        <v>OK</v>
      </c>
      <c r="E168" s="216" t="str">
        <f>IF(ROUND(CF!E25,0)=ROUND(SUM(CF!E15,CF!E17:E19,CF!E21:E24),0),"OK","ERROR")</f>
        <v>OK</v>
      </c>
      <c r="F168" s="216" t="str">
        <f>IF(ROUND(CF!F25,0)=ROUND(SUM(CF!F15,CF!F17:F19,CF!F21:F24),0),"OK","ERROR")</f>
        <v>OK</v>
      </c>
      <c r="G168" s="216" t="str">
        <f>IF(ROUND(CF!G25,0)=ROUND(SUM(CF!G15,CF!G17:G19,CF!G21:G24),0),"OK","ERROR")</f>
        <v>OK</v>
      </c>
      <c r="H168" s="236" t="str">
        <f>IF(ROUND(CF!H25,0)=ROUND(SUM(CF!H15,CF!H17:H19,CF!H21:H24),0),"OK","ERROR")</f>
        <v>OK</v>
      </c>
      <c r="I168" s="209"/>
      <c r="J168" s="216" t="str">
        <f>IF(ROUND(CF!J25,0)=ROUND(SUM(CF!J15,CF!J17:J19,CF!J21:J24),0),"OK","ERROR")</f>
        <v>OK</v>
      </c>
      <c r="K168" s="216" t="str">
        <f>IF(ROUND(CF!K25,0)=ROUND(SUM(CF!K15,CF!K17:K19,CF!K21:K24),0),"OK","ERROR")</f>
        <v>OK</v>
      </c>
      <c r="L168" s="216" t="str">
        <f>IF(ROUND(CF!L25,0)=ROUND(SUM(CF!L15,CF!L17:L19,CF!L21:L24),0),"OK","ERROR")</f>
        <v>ERROR</v>
      </c>
      <c r="M168" s="216" t="str">
        <f>IF(ROUND(CF!M25,0)=ROUND(SUM(CF!M15,CF!M17:M19,CF!M21:M24),0),"OK","ERROR")</f>
        <v>ERROR</v>
      </c>
      <c r="N168" s="236" t="str">
        <f>IF(ROUND(CF!N25,0)=ROUND(SUM(CF!N15,CF!N17:N19,CF!N21:N24),0),"OK","ERROR")</f>
        <v>ERROR</v>
      </c>
      <c r="O168" s="209"/>
      <c r="P168" s="216" t="str">
        <f>IF(ROUND(CF!P25,0)=ROUND(SUM(CF!P15,CF!P17:P19,CF!P21:P24),0),"OK","ERROR")</f>
        <v>OK</v>
      </c>
      <c r="Q168" s="216" t="str">
        <f>IF(ROUND(CF!Q25,0)=ROUND(SUM(CF!Q15,CF!Q17:Q19,CF!Q21:Q24),0),"OK","ERROR")</f>
        <v>OK</v>
      </c>
      <c r="R168" s="216" t="str">
        <f>IF(ROUND(CF!R25,0)=ROUND(SUM(CF!R15,CF!R17:R19,CF!R21:R24),0),"OK","ERROR")</f>
        <v>OK</v>
      </c>
      <c r="S168" s="216" t="str">
        <f>IF(ROUND(CF!S25,0)=ROUND(SUM(CF!S15,CF!S17:S19,CF!S21:S24),0),"OK","ERROR")</f>
        <v>OK</v>
      </c>
      <c r="T168" s="236" t="str">
        <f>IF(ROUND(CF!T25,0)=ROUND(SUM(CF!T15,CF!T17:T19,CF!T21:T24),0),"OK","ERROR")</f>
        <v>ERROR</v>
      </c>
      <c r="U168" s="209"/>
      <c r="V168" s="216" t="str">
        <f>IF(ROUND(CF!V25,0)=ROUND(SUM(CF!V15,CF!V17:V19,CF!V21:V24),0),"OK","ERROR")</f>
        <v>ERROR</v>
      </c>
      <c r="W168" s="216" t="str">
        <f>IF(ROUND(CF!W25,0)=ROUND(SUM(CF!W15,CF!W17:W19,CF!W21:W24),0),"OK","ERROR")</f>
        <v>ERROR</v>
      </c>
      <c r="X168" s="216" t="str">
        <f>IF(ROUND(CF!X25,0)=ROUND(SUM(CF!X15,CF!X17:X19,CF!X21:X24),0),"OK","ERROR")</f>
        <v>ERROR</v>
      </c>
      <c r="Y168" s="216" t="str">
        <f>IF(ROUND(CF!Y25,0)=ROUND(SUM(CF!Y15,CF!Y17:Y19,CF!Y21:Y24),0),"OK","ERROR")</f>
        <v>ERROR</v>
      </c>
      <c r="Z168" s="236" t="str">
        <f>IF(ROUND(CF!Z25,0)=ROUND(SUM(CF!Z15,CF!Z17:Z19,CF!Z21:Z24),0),"OK","ERROR")</f>
        <v>ERROR</v>
      </c>
      <c r="AA168" s="227"/>
      <c r="AB168" s="216" t="str">
        <f>IF(ROUND(CF!AB25,0)=ROUND(SUM(CF!AB15,CF!AB17:AB19,CF!AB21:AB24),0),"OK","ERROR")</f>
        <v>ERROR</v>
      </c>
      <c r="AC168" s="216" t="str">
        <f>IF(ROUND(CF!AC25,0)=ROUND(SUM(CF!AC15,CF!AC17:AC19,CF!AC21:AC24),0),"OK","ERROR")</f>
        <v>ERROR</v>
      </c>
      <c r="AD168" s="216" t="str">
        <f>IF(ROUND(CF!AD25,0)=ROUND(SUM(CF!AD15,CF!AD17:AD19,CF!AD21:AD24),0),"OK","ERROR")</f>
        <v>ERROR</v>
      </c>
      <c r="AE168" s="216" t="str">
        <f>IF(ROUND(CF!AE25,0)=ROUND(SUM(CF!AE15,CF!AE17:AE19,CF!AE21:AE24),0),"OK","ERROR")</f>
        <v>ERROR</v>
      </c>
      <c r="AF168" s="236" t="str">
        <f>IF(ROUND(CF!AF25,0)=ROUND(SUM(CF!AF15,CF!AF17:AF19,CF!AF21:AF24),0),"OK","ERROR")</f>
        <v>ERROR</v>
      </c>
      <c r="AG168" s="228"/>
      <c r="AH168" s="216" t="str">
        <f>IF(ROUND(CF!AH25,0)=ROUND(SUM(CF!AH15,CF!AH17:AH19,CF!AH21:AH24),0),"OK","ERROR")</f>
        <v>ERROR</v>
      </c>
      <c r="AI168" s="216" t="str">
        <f>IF(ROUND(CF!AI25,0)=ROUND(SUM(CF!AI15,CF!AI17:AI19,CF!AI21:AI24),0),"OK","ERROR")</f>
        <v>ERROR</v>
      </c>
      <c r="AJ168" s="216" t="str">
        <f>IF(ROUND(CF!AJ24,0)=ROUND(SUM(CF!AJ15,CF!AJ17:AJ19,CF!AJ21:AJ24),0),"OK","ERROR")</f>
        <v>ERROR</v>
      </c>
      <c r="AK168" s="216" t="str">
        <f>IF(ROUND(CF!AK25,0)=ROUND(SUM(CF!AK15,CF!AK17:AK19,CF!AK21:AK24),0),"OK","ERROR")</f>
        <v>OK</v>
      </c>
      <c r="AL168" s="236" t="str">
        <f>IF(ROUND(CF!AL25,0)=ROUND(SUM(CF!AL15,CF!AL17:AL19,CF!AL21:AL24),0),"OK","ERROR")</f>
        <v>OK</v>
      </c>
      <c r="AM168" s="229"/>
      <c r="AN168" s="216" t="str">
        <f>IF(ROUND(CF!AN25,0)=ROUND(SUM(CF!AN15,CF!AN17:AN19,CF!AN21:AN24),0),"OK","ERROR")</f>
        <v>OK</v>
      </c>
      <c r="AO168" s="216" t="str">
        <f>IF(ROUND(CF!AO25,0)=ROUND(SUM(CF!AO15,CF!AO17:AO19,CF!AO21:AO24),0),"OK","ERROR")</f>
        <v>OK</v>
      </c>
      <c r="AP168" s="216" t="str">
        <f>IF(ROUND(CF!AP25,0)=ROUND(SUM(CF!AP15,CF!AP17:AP19,CF!AP21:AP24),0),"OK","ERROR")</f>
        <v>OK</v>
      </c>
      <c r="AQ168" s="216" t="str">
        <f>IF(ROUND(CF!AQ25,0)=ROUND(SUM(CF!AQ15,CF!AQ17:AQ19,CF!AQ21:AQ24),0),"OK","ERROR")</f>
        <v>OK</v>
      </c>
      <c r="AR168" s="236" t="str">
        <f>IF(ROUND(CF!AR25,0)=ROUND(SUM(CF!AR15,CF!AR17:AR19,CF!AR21:AR24),0),"OK","ERROR")</f>
        <v>OK</v>
      </c>
      <c r="AS168" s="229"/>
      <c r="AT168" s="236" t="str">
        <f>IF(ROUND(CF!AT25,0)=ROUND(SUM(CF!AT15,CF!AT17:AT19,CF!AT21:AT24),0),"OK","ERROR")</f>
        <v>OK</v>
      </c>
      <c r="AU168" s="229"/>
      <c r="AV168" s="236" t="str">
        <f>IF(ROUND(CF!AV25,0)=ROUND(SUM(CF!AV15,CF!AV17:AV19,CF!AV21:AV24),0),"OK","ERROR")</f>
        <v>OK</v>
      </c>
      <c r="AW168" s="245"/>
      <c r="AX168" s="236" t="str">
        <f>IF(ROUND(CF!AX25,0)=ROUND(SUM(CF!AX15,CF!AX17:AX19,CF!AX21:AX24),0),"OK","ERROR")</f>
        <v>OK</v>
      </c>
    </row>
    <row r="169" spans="1:50" s="54" customFormat="1" ht="15" customHeight="1" thickTop="1">
      <c r="A169" s="43"/>
      <c r="B169" s="154"/>
      <c r="C169" s="17"/>
      <c r="D169" s="207"/>
      <c r="E169" s="207"/>
      <c r="F169" s="207"/>
      <c r="G169" s="207"/>
      <c r="H169" s="219"/>
      <c r="I169" s="209"/>
      <c r="J169" s="207"/>
      <c r="K169" s="207"/>
      <c r="L169" s="207"/>
      <c r="M169" s="207"/>
      <c r="N169" s="219"/>
      <c r="O169" s="209"/>
      <c r="P169" s="207"/>
      <c r="Q169" s="207"/>
      <c r="R169" s="207"/>
      <c r="S169" s="207"/>
      <c r="T169" s="219"/>
      <c r="U169" s="209"/>
      <c r="V169" s="207"/>
      <c r="W169" s="207"/>
      <c r="X169" s="207"/>
      <c r="Y169" s="207"/>
      <c r="Z169" s="219"/>
      <c r="AA169" s="212"/>
      <c r="AB169" s="207"/>
      <c r="AC169" s="207"/>
      <c r="AD169" s="207"/>
      <c r="AE169" s="207"/>
      <c r="AF169" s="219"/>
      <c r="AG169" s="210"/>
      <c r="AH169" s="207"/>
      <c r="AI169" s="207"/>
      <c r="AJ169" s="207"/>
      <c r="AK169" s="207"/>
      <c r="AL169" s="219"/>
      <c r="AM169" s="224"/>
      <c r="AN169" s="207"/>
      <c r="AO169" s="207"/>
      <c r="AP169" s="207"/>
      <c r="AQ169" s="207"/>
      <c r="AR169" s="219"/>
      <c r="AS169" s="224"/>
      <c r="AT169" s="219"/>
      <c r="AU169" s="224"/>
      <c r="AV169" s="219"/>
      <c r="AW169" s="245"/>
      <c r="AX169" s="219"/>
    </row>
    <row r="170" spans="1:50" s="54" customFormat="1" ht="15" customHeight="1">
      <c r="A170" s="44" t="s">
        <v>39</v>
      </c>
      <c r="B170" s="158" t="s">
        <v>636</v>
      </c>
      <c r="C170" s="115"/>
      <c r="D170" s="207"/>
      <c r="E170" s="207"/>
      <c r="F170" s="207"/>
      <c r="G170" s="207"/>
      <c r="H170" s="219"/>
      <c r="I170" s="209"/>
      <c r="J170" s="207"/>
      <c r="K170" s="207"/>
      <c r="L170" s="207"/>
      <c r="M170" s="207"/>
      <c r="N170" s="219"/>
      <c r="O170" s="209"/>
      <c r="P170" s="207"/>
      <c r="Q170" s="207"/>
      <c r="R170" s="207"/>
      <c r="S170" s="207"/>
      <c r="T170" s="219"/>
      <c r="U170" s="209"/>
      <c r="V170" s="207"/>
      <c r="W170" s="207"/>
      <c r="X170" s="207"/>
      <c r="Y170" s="207"/>
      <c r="Z170" s="219"/>
      <c r="AA170" s="227"/>
      <c r="AB170" s="207"/>
      <c r="AC170" s="207"/>
      <c r="AD170" s="207"/>
      <c r="AE170" s="207"/>
      <c r="AF170" s="219"/>
      <c r="AG170" s="228"/>
      <c r="AH170" s="207"/>
      <c r="AI170" s="207"/>
      <c r="AJ170" s="207"/>
      <c r="AK170" s="207"/>
      <c r="AL170" s="219"/>
      <c r="AM170" s="229"/>
      <c r="AN170" s="207"/>
      <c r="AO170" s="207"/>
      <c r="AP170" s="207"/>
      <c r="AQ170" s="207"/>
      <c r="AR170" s="219"/>
      <c r="AS170" s="229"/>
      <c r="AT170" s="219"/>
      <c r="AU170" s="229"/>
      <c r="AV170" s="219"/>
      <c r="AW170" s="245"/>
      <c r="AX170" s="219"/>
    </row>
    <row r="171" spans="1:50" s="54" customFormat="1" ht="15" customHeight="1" thickBot="1">
      <c r="A171" s="113"/>
      <c r="B171" s="160" t="s">
        <v>645</v>
      </c>
      <c r="C171" s="17"/>
      <c r="D171" s="216" t="str">
        <f>IF(ROUND(CF!D36,0)=ROUND(SUM(CF!D28:D35),0),"OK","ERROR")</f>
        <v>OK</v>
      </c>
      <c r="E171" s="216" t="str">
        <f>IF(ROUND(CF!E36,0)=ROUND(SUM(CF!E28:E35),0),"OK","ERROR")</f>
        <v>OK</v>
      </c>
      <c r="F171" s="216" t="str">
        <f>IF(ROUND(CF!F36,0)=ROUND(SUM(CF!F28:F35),0),"OK","ERROR")</f>
        <v>OK</v>
      </c>
      <c r="G171" s="216" t="str">
        <f>IF(ROUND(CF!G36,0)=ROUND(SUM(CF!G28:G35),0),"OK","ERROR")</f>
        <v>OK</v>
      </c>
      <c r="H171" s="236" t="str">
        <f>IF(ROUND(CF!H36,0)=ROUND(SUM(CF!H28:H35),0),"OK","ERROR")</f>
        <v>OK</v>
      </c>
      <c r="I171" s="209"/>
      <c r="J171" s="216" t="str">
        <f>IF(ROUND(CF!J36,0)=ROUND(SUM(CF!J28:J35),0),"OK","ERROR")</f>
        <v>OK</v>
      </c>
      <c r="K171" s="216" t="str">
        <f>IF(ROUND(CF!K36,0)=ROUND(SUM(CF!K28:K35),0),"OK","ERROR")</f>
        <v>OK</v>
      </c>
      <c r="L171" s="216" t="str">
        <f>IF(ROUND(CF!L36,0)=ROUND(SUM(CF!L28:L35),0),"OK","ERROR")</f>
        <v>OK</v>
      </c>
      <c r="M171" s="216" t="str">
        <f>IF(ROUND(CF!M36,0)=ROUND(SUM(CF!M28:M35),0),"OK","ERROR")</f>
        <v>OK</v>
      </c>
      <c r="N171" s="236" t="str">
        <f>IF(ROUND(CF!N36,0)=ROUND(SUM(CF!N28:N35),0),"OK","ERROR")</f>
        <v>OK</v>
      </c>
      <c r="O171" s="209"/>
      <c r="P171" s="216" t="str">
        <f>IF(ROUND(CF!P36,0)=ROUND(SUM(CF!P28:P35),0),"OK","ERROR")</f>
        <v>OK</v>
      </c>
      <c r="Q171" s="216" t="str">
        <f>IF(ROUND(CF!Q36,0)=ROUND(SUM(CF!Q28:Q35),0),"OK","ERROR")</f>
        <v>OK</v>
      </c>
      <c r="R171" s="216" t="str">
        <f>IF(ROUND(CF!R36,0)=ROUND(SUM(CF!R28:R35),0),"OK","ERROR")</f>
        <v>OK</v>
      </c>
      <c r="S171" s="216" t="str">
        <f>IF(ROUND(CF!S36,0)=ROUND(SUM(CF!S28:S35),0),"OK","ERROR")</f>
        <v>OK</v>
      </c>
      <c r="T171" s="236" t="str">
        <f>IF(ROUND(CF!T36,0)=ROUND(SUM(CF!T28:T35),0),"OK","ERROR")</f>
        <v>OK</v>
      </c>
      <c r="U171" s="209"/>
      <c r="V171" s="216" t="str">
        <f>IF(ROUND(CF!V36,0)=ROUND(SUM(CF!V28:V35),0),"OK","ERROR")</f>
        <v>OK</v>
      </c>
      <c r="W171" s="216" t="str">
        <f>IF(ROUND(CF!W36,0)=ROUND(SUM(CF!W28:W35),0),"OK","ERROR")</f>
        <v>OK</v>
      </c>
      <c r="X171" s="216" t="str">
        <f>IF(ROUND(CF!X36,0)=ROUND(SUM(CF!X28:X35),0),"OK","ERROR")</f>
        <v>OK</v>
      </c>
      <c r="Y171" s="216" t="str">
        <f>IF(ROUND(CF!Y36,0)=ROUND(SUM(CF!Y28:Y35),0),"OK","ERROR")</f>
        <v>OK</v>
      </c>
      <c r="Z171" s="236" t="str">
        <f>IF(ROUND(CF!Z36,0)=ROUND(SUM(CF!Z28:Z35),0),"OK","ERROR")</f>
        <v>OK</v>
      </c>
      <c r="AA171" s="212"/>
      <c r="AB171" s="216" t="str">
        <f>IF(ROUND(CF!AB36,0)=ROUND(SUM(CF!AB28:AB35),0),"OK","ERROR")</f>
        <v>OK</v>
      </c>
      <c r="AC171" s="216" t="str">
        <f>IF(ROUND(CF!AC36,0)=ROUND(SUM(CF!AC28:AC35),0),"OK","ERROR")</f>
        <v>OK</v>
      </c>
      <c r="AD171" s="216" t="str">
        <f>IF(ROUND(CF!AD36,0)=ROUND(SUM(CF!AD28:AD35),0),"OK","ERROR")</f>
        <v>OK</v>
      </c>
      <c r="AE171" s="216" t="str">
        <f>IF(ROUND(CF!AE36,0)=ROUND(SUM(CF!AE28:AE35),0),"OK","ERROR")</f>
        <v>OK</v>
      </c>
      <c r="AF171" s="236" t="str">
        <f>IF(ROUND(CF!AF36,0)=ROUND(SUM(CF!AF28:AF35),0),"OK","ERROR")</f>
        <v>OK</v>
      </c>
      <c r="AG171" s="210"/>
      <c r="AH171" s="216" t="str">
        <f>IF(ROUND(CF!AH36,0)=ROUND(SUM(CF!AH28:AH35),0),"OK","ERROR")</f>
        <v>OK</v>
      </c>
      <c r="AI171" s="216" t="str">
        <f>IF(ROUND(CF!AI36,0)=ROUND(SUM(CF!AI28:AI35),0),"OK","ERROR")</f>
        <v>OK</v>
      </c>
      <c r="AJ171" s="216" t="str">
        <f>IF(ROUND(CF!AJ36,0)=ROUND(SUM(CF!AJ28:AJ35),0),"OK","ERROR")</f>
        <v>OK</v>
      </c>
      <c r="AK171" s="216" t="str">
        <f>IF(ROUND(CF!AK36,0)=ROUND(SUM(CF!AK28:AK35),0),"OK","ERROR")</f>
        <v>OK</v>
      </c>
      <c r="AL171" s="236" t="str">
        <f>IF(ROUND(CF!AL36,0)=ROUND(SUM(CF!AL28:AL35),0),"OK","ERROR")</f>
        <v>ERROR</v>
      </c>
      <c r="AM171" s="214"/>
      <c r="AN171" s="216" t="str">
        <f>IF(ROUND(CF!AN36,0)=ROUND(SUM(CF!AN28:AN35),0),"OK","ERROR")</f>
        <v>OK</v>
      </c>
      <c r="AO171" s="216" t="str">
        <f>IF(ROUND(CF!AO36,0)=ROUND(SUM(CF!AO28:AO35),0),"OK","ERROR")</f>
        <v>OK</v>
      </c>
      <c r="AP171" s="216" t="str">
        <f>IF(ROUND(CF!AP36,0)=ROUND(SUM(CF!AP28:AP35),0),"OK","ERROR")</f>
        <v>OK</v>
      </c>
      <c r="AQ171" s="216" t="str">
        <f>IF(ROUND(CF!AQ36,0)=ROUND(SUM(CF!AQ28:AQ35),0),"OK","ERROR")</f>
        <v>OK</v>
      </c>
      <c r="AR171" s="236" t="str">
        <f>IF(ROUND(CF!AR36,0)=ROUND(SUM(CF!AR28:AR35),0),"OK","ERROR")</f>
        <v>OK</v>
      </c>
      <c r="AS171" s="214"/>
      <c r="AT171" s="236" t="str">
        <f>IF(ROUND(CF!AT36,0)=ROUND(SUM(CF!AT28:AT35),0),"OK","ERROR")</f>
        <v>ERROR</v>
      </c>
      <c r="AU171" s="214"/>
      <c r="AV171" s="236" t="str">
        <f>IF(ROUND(CF!AV36,0)=ROUND(SUM(CF!AV28:AV35),0),"OK","ERROR")</f>
        <v>ERROR</v>
      </c>
      <c r="AW171" s="245"/>
      <c r="AX171" s="236" t="str">
        <f>IF(ROUND(CF!AX36,0)=ROUND(SUM(CF!AX28:AX35),0),"OK","ERROR")</f>
        <v>ERROR</v>
      </c>
    </row>
    <row r="172" spans="1:50" s="54" customFormat="1" ht="15" customHeight="1" thickTop="1">
      <c r="A172" s="43"/>
      <c r="B172" s="154"/>
      <c r="C172" s="115"/>
      <c r="D172" s="207"/>
      <c r="E172" s="207"/>
      <c r="F172" s="207"/>
      <c r="G172" s="207"/>
      <c r="H172" s="219"/>
      <c r="I172" s="209"/>
      <c r="J172" s="207"/>
      <c r="K172" s="207"/>
      <c r="L172" s="207"/>
      <c r="M172" s="207"/>
      <c r="N172" s="219"/>
      <c r="O172" s="209"/>
      <c r="P172" s="207"/>
      <c r="Q172" s="207"/>
      <c r="R172" s="207"/>
      <c r="S172" s="207"/>
      <c r="T172" s="219"/>
      <c r="U172" s="209"/>
      <c r="V172" s="207"/>
      <c r="W172" s="207"/>
      <c r="X172" s="207"/>
      <c r="Y172" s="207"/>
      <c r="Z172" s="219"/>
      <c r="AA172" s="231"/>
      <c r="AB172" s="207"/>
      <c r="AC172" s="207"/>
      <c r="AD172" s="207"/>
      <c r="AE172" s="207"/>
      <c r="AF172" s="219"/>
      <c r="AG172" s="228"/>
      <c r="AH172" s="207"/>
      <c r="AI172" s="207"/>
      <c r="AJ172" s="207"/>
      <c r="AK172" s="207"/>
      <c r="AL172" s="219"/>
      <c r="AM172" s="229"/>
      <c r="AN172" s="207"/>
      <c r="AO172" s="207"/>
      <c r="AP172" s="207"/>
      <c r="AQ172" s="207"/>
      <c r="AR172" s="219"/>
      <c r="AS172" s="229"/>
      <c r="AT172" s="219"/>
      <c r="AU172" s="229"/>
      <c r="AV172" s="219"/>
      <c r="AW172" s="245"/>
      <c r="AX172" s="219"/>
    </row>
    <row r="173" spans="1:50" s="54" customFormat="1" ht="15" customHeight="1">
      <c r="A173" s="44" t="s">
        <v>39</v>
      </c>
      <c r="B173" s="158" t="s">
        <v>646</v>
      </c>
      <c r="C173" s="27"/>
      <c r="D173" s="207"/>
      <c r="E173" s="207"/>
      <c r="F173" s="207"/>
      <c r="G173" s="207"/>
      <c r="H173" s="219"/>
      <c r="I173" s="209"/>
      <c r="J173" s="207"/>
      <c r="K173" s="207"/>
      <c r="L173" s="207"/>
      <c r="M173" s="207"/>
      <c r="N173" s="219"/>
      <c r="O173" s="209"/>
      <c r="P173" s="207"/>
      <c r="Q173" s="207"/>
      <c r="R173" s="207"/>
      <c r="S173" s="207"/>
      <c r="T173" s="219"/>
      <c r="U173" s="209"/>
      <c r="V173" s="207"/>
      <c r="W173" s="207"/>
      <c r="X173" s="207"/>
      <c r="Y173" s="207"/>
      <c r="Z173" s="219"/>
      <c r="AA173" s="212"/>
      <c r="AB173" s="207"/>
      <c r="AC173" s="207"/>
      <c r="AD173" s="207"/>
      <c r="AE173" s="207"/>
      <c r="AF173" s="219"/>
      <c r="AG173" s="210"/>
      <c r="AH173" s="207"/>
      <c r="AI173" s="207"/>
      <c r="AJ173" s="207"/>
      <c r="AK173" s="207"/>
      <c r="AL173" s="219"/>
      <c r="AM173" s="214"/>
      <c r="AN173" s="207"/>
      <c r="AO173" s="207"/>
      <c r="AP173" s="207"/>
      <c r="AQ173" s="207"/>
      <c r="AR173" s="219"/>
      <c r="AS173" s="214"/>
      <c r="AT173" s="219"/>
      <c r="AU173" s="214"/>
      <c r="AV173" s="219"/>
      <c r="AW173" s="245"/>
      <c r="AX173" s="219"/>
    </row>
    <row r="174" spans="1:50" s="54" customFormat="1" ht="15" customHeight="1" thickBot="1">
      <c r="A174" s="113"/>
      <c r="B174" s="160" t="s">
        <v>653</v>
      </c>
      <c r="C174" s="17"/>
      <c r="D174" s="216" t="str">
        <f>IF(ROUND(CF!D45,0)=ROUND(SUM(CF!D39:D44),0),"OK","ERROR")</f>
        <v>OK</v>
      </c>
      <c r="E174" s="216" t="str">
        <f>IF(ROUND(CF!E45,0)=ROUND(SUM(CF!E39:E44),0),"OK","ERROR")</f>
        <v>OK</v>
      </c>
      <c r="F174" s="216" t="str">
        <f>IF(ROUND(CF!F45,0)=ROUND(SUM(CF!F39:F44),0),"OK","ERROR")</f>
        <v>OK</v>
      </c>
      <c r="G174" s="216" t="str">
        <f>IF(ROUND(CF!G45,0)=ROUND(SUM(CF!G39:G44),0),"OK","ERROR")</f>
        <v>OK</v>
      </c>
      <c r="H174" s="236" t="str">
        <f>IF(ROUND(CF!H45,0)=ROUND(SUM(CF!H39:H44),0),"OK","ERROR")</f>
        <v>OK</v>
      </c>
      <c r="I174" s="209"/>
      <c r="J174" s="216" t="str">
        <f>IF(ROUND(CF!J45,0)=ROUND(SUM(CF!J39:J44),0),"OK","ERROR")</f>
        <v>OK</v>
      </c>
      <c r="K174" s="216" t="str">
        <f>IF(ROUND(CF!K45,0)=ROUND(SUM(CF!K39:K44),0),"OK","ERROR")</f>
        <v>OK</v>
      </c>
      <c r="L174" s="216" t="str">
        <f>IF(ROUND(CF!L45,0)=ROUND(SUM(CF!L39:L44),0),"OK","ERROR")</f>
        <v>OK</v>
      </c>
      <c r="M174" s="216" t="str">
        <f>IF(ROUND(CF!M45,0)=ROUND(SUM(CF!M39:M44),0),"OK","ERROR")</f>
        <v>OK</v>
      </c>
      <c r="N174" s="236" t="str">
        <f>IF(ROUND(CF!N45,0)=ROUND(SUM(CF!N39:N44),0),"OK","ERROR")</f>
        <v>OK</v>
      </c>
      <c r="O174" s="209"/>
      <c r="P174" s="216" t="str">
        <f>IF(ROUND(CF!P45,0)=ROUND(SUM(CF!P39:P44),0),"OK","ERROR")</f>
        <v>OK</v>
      </c>
      <c r="Q174" s="216" t="str">
        <f>IF(ROUND(CF!Q45,0)=ROUND(SUM(CF!Q39:Q44),0),"OK","ERROR")</f>
        <v>OK</v>
      </c>
      <c r="R174" s="216" t="str">
        <f>IF(ROUND(CF!R45,0)=ROUND(SUM(CF!R39:R44),0),"OK","ERROR")</f>
        <v>OK</v>
      </c>
      <c r="S174" s="216" t="str">
        <f>IF(ROUND(CF!S45,0)=ROUND(SUM(CF!S39:S44),0),"OK","ERROR")</f>
        <v>OK</v>
      </c>
      <c r="T174" s="236" t="str">
        <f>IF(ROUND(CF!T45,0)=ROUND(SUM(CF!T39:T44),0),"OK","ERROR")</f>
        <v>OK</v>
      </c>
      <c r="U174" s="209"/>
      <c r="V174" s="216" t="str">
        <f>IF(ROUND(CF!V45,0)=ROUND(SUM(CF!V39:V44),0),"OK","ERROR")</f>
        <v>OK</v>
      </c>
      <c r="W174" s="216" t="str">
        <f>IF(ROUND(CF!W45,0)=ROUND(SUM(CF!W39:W44),0),"OK","ERROR")</f>
        <v>OK</v>
      </c>
      <c r="X174" s="216" t="str">
        <f>IF(ROUND(CF!X45,0)=ROUND(SUM(CF!X39:X44),0),"OK","ERROR")</f>
        <v>OK</v>
      </c>
      <c r="Y174" s="216" t="str">
        <f>IF(ROUND(CF!Y45,0)=ROUND(SUM(CF!Y39:Y44),0),"OK","ERROR")</f>
        <v>OK</v>
      </c>
      <c r="Z174" s="236" t="str">
        <f>IF(ROUND(CF!Z45,0)=ROUND(SUM(CF!Z39:Z44),0),"OK","ERROR")</f>
        <v>OK</v>
      </c>
      <c r="AA174" s="209"/>
      <c r="AB174" s="216" t="str">
        <f>IF(ROUND(CF!AB45,0)=ROUND(SUM(CF!AB39:AB44),0),"OK","ERROR")</f>
        <v>OK</v>
      </c>
      <c r="AC174" s="216" t="str">
        <f>IF(ROUND(CF!AC45,0)=ROUND(SUM(CF!AC39:AC44),0),"OK","ERROR")</f>
        <v>OK</v>
      </c>
      <c r="AD174" s="216" t="str">
        <f>IF(ROUND(CF!AD45,0)=ROUND(SUM(CF!AD39:AD44),0),"OK","ERROR")</f>
        <v>OK</v>
      </c>
      <c r="AE174" s="216" t="str">
        <f>IF(ROUND(CF!AE45,0)=ROUND(SUM(CF!AE39:AE44),0),"OK","ERROR")</f>
        <v>OK</v>
      </c>
      <c r="AF174" s="236" t="str">
        <f>IF(ROUND(CF!AF45,0)=ROUND(SUM(CF!AF39:AF44),0),"OK","ERROR")</f>
        <v>OK</v>
      </c>
      <c r="AG174" s="237"/>
      <c r="AH174" s="216" t="str">
        <f>IF(ROUND(CF!AH45,0)=ROUND(SUM(CF!AH39:AH44),0),"OK","ERROR")</f>
        <v>OK</v>
      </c>
      <c r="AI174" s="216" t="str">
        <f>IF(ROUND(CF!AI45,0)=ROUND(SUM(CF!AI39:AI44),0),"OK","ERROR")</f>
        <v>OK</v>
      </c>
      <c r="AJ174" s="216" t="str">
        <f>IF(ROUND(CF!AJ45,0)=ROUND(SUM(CF!AJ39:AJ44),0),"OK","ERROR")</f>
        <v>OK</v>
      </c>
      <c r="AK174" s="216" t="str">
        <f>IF(ROUND(CF!AK45,0)=ROUND(SUM(CF!AK39:AK44),0),"OK","ERROR")</f>
        <v>OK</v>
      </c>
      <c r="AL174" s="236" t="str">
        <f>IF(ROUND(CF!AL45,0)=ROUND(SUM(CF!AL39:AL44),0),"OK","ERROR")</f>
        <v>OK</v>
      </c>
      <c r="AM174" s="238"/>
      <c r="AN174" s="216" t="str">
        <f>IF(ROUND(CF!AN45,0)=ROUND(SUM(CF!AN39:AN44),0),"OK","ERROR")</f>
        <v>OK</v>
      </c>
      <c r="AO174" s="216" t="str">
        <f>IF(ROUND(CF!AO45,0)=ROUND(SUM(CF!AO39:AO44),0),"OK","ERROR")</f>
        <v>OK</v>
      </c>
      <c r="AP174" s="216" t="str">
        <f>IF(ROUND(CF!AP45,0)=ROUND(SUM(CF!AP39:AP44),0),"OK","ERROR")</f>
        <v>OK</v>
      </c>
      <c r="AQ174" s="216" t="str">
        <f>IF(ROUND(CF!AQ45,0)=ROUND(SUM(CF!AQ39:AQ44),0),"OK","ERROR")</f>
        <v>OK</v>
      </c>
      <c r="AR174" s="236" t="str">
        <f>IF(ROUND(CF!AR45,0)=ROUND(SUM(CF!AR39:AR44),0),"OK","ERROR")</f>
        <v>OK</v>
      </c>
      <c r="AS174" s="238"/>
      <c r="AT174" s="236" t="str">
        <f>IF(ROUND(CF!AT45,0)=ROUND(SUM(CF!AT39:AT44),0),"OK","ERROR")</f>
        <v>OK</v>
      </c>
      <c r="AU174" s="238"/>
      <c r="AV174" s="236" t="str">
        <f>IF(ROUND(CF!AV45,0)=ROUND(SUM(CF!AV39:AV44),0),"OK","ERROR")</f>
        <v>OK</v>
      </c>
      <c r="AW174" s="245"/>
      <c r="AX174" s="236" t="str">
        <f>IF(ROUND(CF!AX45,0)=ROUND(SUM(CF!AX39:AX44),0),"OK","ERROR")</f>
        <v>OK</v>
      </c>
    </row>
    <row r="175" spans="1:50" s="54" customFormat="1" ht="15" customHeight="1" thickTop="1">
      <c r="A175" s="113"/>
      <c r="B175" s="9"/>
      <c r="C175" s="115"/>
      <c r="D175" s="207"/>
      <c r="E175" s="207"/>
      <c r="F175" s="207"/>
      <c r="G175" s="207"/>
      <c r="H175" s="219"/>
      <c r="I175" s="209"/>
      <c r="J175" s="207"/>
      <c r="K175" s="207"/>
      <c r="L175" s="207"/>
      <c r="M175" s="207"/>
      <c r="N175" s="219"/>
      <c r="O175" s="209"/>
      <c r="P175" s="207"/>
      <c r="Q175" s="207"/>
      <c r="R175" s="207"/>
      <c r="S175" s="207"/>
      <c r="T175" s="219"/>
      <c r="U175" s="209"/>
      <c r="V175" s="207"/>
      <c r="W175" s="207"/>
      <c r="X175" s="207"/>
      <c r="Y175" s="207"/>
      <c r="Z175" s="219"/>
      <c r="AA175" s="227"/>
      <c r="AB175" s="207"/>
      <c r="AC175" s="207"/>
      <c r="AD175" s="207"/>
      <c r="AE175" s="207"/>
      <c r="AF175" s="219"/>
      <c r="AG175" s="228"/>
      <c r="AH175" s="207"/>
      <c r="AI175" s="207"/>
      <c r="AJ175" s="207"/>
      <c r="AK175" s="207"/>
      <c r="AL175" s="219"/>
      <c r="AM175" s="229"/>
      <c r="AN175" s="207"/>
      <c r="AO175" s="207"/>
      <c r="AP175" s="207"/>
      <c r="AQ175" s="207"/>
      <c r="AR175" s="219"/>
      <c r="AS175" s="229"/>
      <c r="AT175" s="219"/>
      <c r="AU175" s="229"/>
      <c r="AV175" s="219"/>
      <c r="AW175" s="245"/>
      <c r="AX175" s="219"/>
    </row>
    <row r="176" spans="1:50" s="54" customFormat="1" ht="15" customHeight="1">
      <c r="A176" s="44" t="s">
        <v>39</v>
      </c>
      <c r="B176" s="158" t="s">
        <v>655</v>
      </c>
      <c r="C176" s="17"/>
      <c r="D176" s="216" t="str">
        <f>IF(ROUND(CF!D49,0)=ROUND(SUM(CF!D25,CF!D36,CF!D45,CF!D47),0),"OK","ERROR")</f>
        <v>OK</v>
      </c>
      <c r="E176" s="216" t="str">
        <f>IF(ROUND(CF!E49,0)=ROUND(SUM(CF!E25,CF!E36,CF!E45,CF!E47),0),"OK","ERROR")</f>
        <v>OK</v>
      </c>
      <c r="F176" s="216" t="str">
        <f>IF(ROUND(CF!F49,0)=ROUND(SUM(CF!F25,CF!F36,CF!F45,CF!F47),0),"OK","ERROR")</f>
        <v>OK</v>
      </c>
      <c r="G176" s="216" t="str">
        <f>IF(ROUND(CF!G49,0)=ROUND(SUM(CF!G25,CF!G36,CF!G45,CF!G47),0),"OK","ERROR")</f>
        <v>OK</v>
      </c>
      <c r="H176" s="225" t="str">
        <f>IF(ROUND(CF!H49,0)=ROUND(SUM(CF!H25,CF!H36,CF!H45,CF!H47),0),"OK","ERROR")</f>
        <v>OK</v>
      </c>
      <c r="I176" s="209"/>
      <c r="J176" s="216" t="str">
        <f>IF(ROUND(CF!J49,0)=ROUND(SUM(CF!J25,CF!J36,CF!J45,CF!J47),0),"OK","ERROR")</f>
        <v>OK</v>
      </c>
      <c r="K176" s="216" t="str">
        <f>IF(ROUND(CF!K49,0)=ROUND(SUM(CF!K25,CF!K36,CF!K45,CF!K47),0),"OK","ERROR")</f>
        <v>OK</v>
      </c>
      <c r="L176" s="216" t="str">
        <f>IF(ROUND(CF!L49,0)=ROUND(SUM(CF!L25,CF!L36,CF!L45,CF!L47),0),"OK","ERROR")</f>
        <v>OK</v>
      </c>
      <c r="M176" s="216" t="str">
        <f>IF(ROUND(CF!M49,0)=ROUND(SUM(CF!M25,CF!M36,CF!M45,CF!M47),0),"OK","ERROR")</f>
        <v>OK</v>
      </c>
      <c r="N176" s="225" t="str">
        <f>IF(ROUND(CF!N49,0)=ROUND(SUM(CF!N25,CF!N36,CF!N45,CF!N47),0),"OK","ERROR")</f>
        <v>OK</v>
      </c>
      <c r="O176" s="209"/>
      <c r="P176" s="216" t="str">
        <f>IF(ROUND(CF!P49,0)=ROUND(SUM(CF!P25,CF!P36,CF!P45,CF!P47),0),"OK","ERROR")</f>
        <v>OK</v>
      </c>
      <c r="Q176" s="216" t="str">
        <f>IF(ROUND(CF!Q49,0)=ROUND(SUM(CF!Q25,CF!Q36,CF!Q45,CF!Q47),0),"OK","ERROR")</f>
        <v>OK</v>
      </c>
      <c r="R176" s="216" t="str">
        <f>IF(ROUND(CF!R49,0)=ROUND(SUM(CF!R25,CF!R36,CF!R45,CF!R47),0),"OK","ERROR")</f>
        <v>OK</v>
      </c>
      <c r="S176" s="216" t="str">
        <f>IF(ROUND(CF!S49,0)=ROUND(SUM(CF!S25,CF!S36,CF!S45,CF!S47),0),"OK","ERROR")</f>
        <v>OK</v>
      </c>
      <c r="T176" s="225" t="str">
        <f>IF(ROUND(CF!T49,0)=ROUND(SUM(CF!T25,CF!T36,CF!T45,CF!T47),0),"OK","ERROR")</f>
        <v>OK</v>
      </c>
      <c r="U176" s="209"/>
      <c r="V176" s="216" t="str">
        <f>IF(ROUND(CF!V49,0)=ROUND(SUM(CF!V25,CF!V36,CF!V45,CF!V47),0),"OK","ERROR")</f>
        <v>OK</v>
      </c>
      <c r="W176" s="216" t="str">
        <f>IF(ROUND(CF!W49,0)=ROUND(SUM(CF!W25,CF!W36,CF!W45,CF!W47),0),"OK","ERROR")</f>
        <v>OK</v>
      </c>
      <c r="X176" s="216" t="str">
        <f>IF(ROUND(CF!X49,0)=ROUND(SUM(CF!X25,CF!X36,CF!X45,CF!X47),0),"OK","ERROR")</f>
        <v>OK</v>
      </c>
      <c r="Y176" s="216" t="str">
        <f>IF(ROUND(CF!Y49,0)=ROUND(SUM(CF!Y25,CF!Y36,CF!Y45,CF!Y47),0),"OK","ERROR")</f>
        <v>OK</v>
      </c>
      <c r="Z176" s="225" t="str">
        <f>IF(ROUND(CF!Z49,0)=ROUND(SUM(CF!Z25,CF!Z36,CF!Z45,CF!Z47),0),"OK","ERROR")</f>
        <v>OK</v>
      </c>
      <c r="AA176" s="209"/>
      <c r="AB176" s="216" t="str">
        <f>IF(ROUND(CF!AB49,0)=ROUND(SUM(CF!AB25,CF!AB36,CF!AB45,CF!AB47),0),"OK","ERROR")</f>
        <v>OK</v>
      </c>
      <c r="AC176" s="216" t="str">
        <f>IF(ROUND(CF!AC49,0)=ROUND(SUM(CF!AC25,CF!AC36,CF!AC45,CF!AC47),0),"OK","ERROR")</f>
        <v>OK</v>
      </c>
      <c r="AD176" s="216" t="str">
        <f>IF(ROUND(CF!AD49,0)=ROUND(SUM(CF!AD25,CF!AD36,CF!AD45,CF!AD47),0),"OK","ERROR")</f>
        <v>OK</v>
      </c>
      <c r="AE176" s="216" t="str">
        <f>IF(ROUND(CF!AE49,0)=ROUND(SUM(CF!AE25,CF!AE36,CF!AE45,CF!AE47),0),"OK","ERROR")</f>
        <v>OK</v>
      </c>
      <c r="AF176" s="225" t="str">
        <f>IF(ROUND(CF!AF49,0)=ROUND(SUM(CF!AF25,CF!AF36,CF!AF45,CF!AF47),0),"OK","ERROR")</f>
        <v>OK</v>
      </c>
      <c r="AG176" s="237"/>
      <c r="AH176" s="216" t="str">
        <f>IF(ROUND(CF!AH49,0)=ROUND(SUM(CF!AH25,CF!AH36,CF!AH45,CF!AH47),0),"OK","ERROR")</f>
        <v>OK</v>
      </c>
      <c r="AI176" s="216" t="str">
        <f>IF(ROUND(CF!AI49,0)=ROUND(SUM(CF!AI25,CF!AI36,CF!AI45,CF!AI47),0),"OK","ERROR")</f>
        <v>OK</v>
      </c>
      <c r="AJ176" s="216" t="str">
        <f>IF(ROUND(CF!AJ49,0)=ROUND(SUM(CF!AJ24,CF!AJ36,CF!AJ45,CF!AJ47),0),"OK","ERROR")</f>
        <v>ERROR</v>
      </c>
      <c r="AK176" s="216" t="str">
        <f>IF(ROUND(CF!AK49,0)=ROUND(SUM(CF!AK25,CF!AK36,CF!AK45,CF!AK47),0),"OK","ERROR")</f>
        <v>OK</v>
      </c>
      <c r="AL176" s="225" t="str">
        <f>IF(ROUND(CF!AL49,0)=ROUND(SUM(CF!AL25,CF!AL36,CF!AL45,CF!AL47),0),"OK","ERROR")</f>
        <v>OK</v>
      </c>
      <c r="AM176" s="238"/>
      <c r="AN176" s="216" t="str">
        <f>IF(ROUND(CF!AN49,0)=ROUND(SUM(CF!AN25,CF!AN36,CF!AN45,CF!AN47),0),"OK","ERROR")</f>
        <v>OK</v>
      </c>
      <c r="AO176" s="216" t="str">
        <f>IF(ROUND(CF!AO49,0)=ROUND(SUM(CF!AO25,CF!AO36,CF!AO45,CF!AO47),0),"OK","ERROR")</f>
        <v>OK</v>
      </c>
      <c r="AP176" s="216" t="str">
        <f>IF(ROUND(CF!AP49,0)=ROUND(SUM(CF!AP25,CF!AP36,CF!AP45,CF!AP47),0),"OK","ERROR")</f>
        <v>OK</v>
      </c>
      <c r="AQ176" s="216" t="str">
        <f>IF(ROUND(CF!AQ49,0)=ROUND(SUM(CF!AQ25,CF!AQ36,CF!AQ45,CF!AQ47),0),"OK","ERROR")</f>
        <v>OK</v>
      </c>
      <c r="AR176" s="225" t="str">
        <f>IF(ROUND(CF!AR49,0)=ROUND(SUM(CF!AR25,CF!AR36,CF!AR45,CF!AR47),0),"OK","ERROR")</f>
        <v>OK</v>
      </c>
      <c r="AS176" s="238"/>
      <c r="AT176" s="225" t="str">
        <f>IF(ROUND(CF!AT49,0)=ROUND(SUM(CF!AT25,CF!AT36,CF!AT45,CF!AT47),0),"OK","ERROR")</f>
        <v>OK</v>
      </c>
      <c r="AU176" s="238"/>
      <c r="AV176" s="225" t="str">
        <f>IF(ROUND(CF!AV49,0)=ROUND(SUM(CF!AV25,CF!AV36,CF!AV45,CF!AV47),0),"OK","ERROR")</f>
        <v>OK</v>
      </c>
      <c r="AW176" s="245"/>
      <c r="AX176" s="225" t="str">
        <f>IF(ROUND(CF!AX49,0)=ROUND(SUM(CF!AX25,CF!AX36,CF!AX45,CF!AX47),0),"OK","ERROR")</f>
        <v>OK</v>
      </c>
    </row>
    <row r="177" spans="2:50" s="54" customFormat="1" ht="15" customHeight="1" thickBot="1">
      <c r="B177" s="158" t="s">
        <v>656</v>
      </c>
      <c r="C177" s="115"/>
      <c r="D177" s="207" t="str">
        <f>IF(ROUND(CF!D50,0)=ROUND(SUM(CF!D49,CF!D12),0),"OK","ERROR")</f>
        <v>OK</v>
      </c>
      <c r="E177" s="207" t="str">
        <f>IF(ROUND(CF!E50,0)=ROUND(SUM(CF!E49,CF!E12),0),"OK","ERROR")</f>
        <v>OK</v>
      </c>
      <c r="F177" s="207" t="str">
        <f>IF(ROUND(CF!F50,0)=ROUND(SUM(CF!F49,CF!F12),0),"OK","ERROR")</f>
        <v>OK</v>
      </c>
      <c r="G177" s="207" t="str">
        <f>IF(ROUND(CF!G50,0)=ROUND(SUM(CF!G49,CF!G12),0),"OK","ERROR")</f>
        <v>OK</v>
      </c>
      <c r="H177" s="236" t="str">
        <f>IF(ROUND(CF!H50,0)=ROUND(SUM(CF!H49,CF!H12),0),"OK","ERROR")</f>
        <v>ERROR</v>
      </c>
      <c r="I177" s="209"/>
      <c r="J177" s="207" t="str">
        <f>IF(ROUND(CF!J50,0)=ROUND(SUM(CF!J49,CF!J12),0),"OK","ERROR")</f>
        <v>ERROR</v>
      </c>
      <c r="K177" s="207" t="str">
        <f>IF(ROUND(CF!K50,0)=ROUND(SUM(CF!K49,CF!K12),0),"OK","ERROR")</f>
        <v>OK</v>
      </c>
      <c r="L177" s="207" t="str">
        <f>IF(ROUND(CF!L50,0)=ROUND(SUM(CF!L49,CF!L12),0),"OK","ERROR")</f>
        <v>ERROR</v>
      </c>
      <c r="M177" s="207" t="str">
        <f>IF(ROUND(CF!M50,0)=ROUND(SUM(CF!M49,CF!M12),0),"OK","ERROR")</f>
        <v>ERROR</v>
      </c>
      <c r="N177" s="236" t="str">
        <f>IF(ROUND(CF!N50,0)=ROUND(SUM(CF!N49,CF!N12),0),"OK","ERROR")</f>
        <v>ERROR</v>
      </c>
      <c r="O177" s="209"/>
      <c r="P177" s="207" t="str">
        <f>IF(ROUND(CF!P50,0)=ROUND(SUM(CF!P49,CF!P12),0),"OK","ERROR")</f>
        <v>ERROR</v>
      </c>
      <c r="Q177" s="207" t="str">
        <f>IF(ROUND(CF!Q50,0)=ROUND(SUM(CF!Q49,CF!Q12),0),"OK","ERROR")</f>
        <v>ERROR</v>
      </c>
      <c r="R177" s="207" t="str">
        <f>IF(ROUND(CF!R50,0)=ROUND(SUM(CF!R49,CF!R12),0),"OK","ERROR")</f>
        <v>ERROR</v>
      </c>
      <c r="S177" s="207" t="str">
        <f>IF(ROUND(CF!S50,0)=ROUND(SUM(CF!S49,CF!S12),0),"OK","ERROR")</f>
        <v>ERROR</v>
      </c>
      <c r="T177" s="236" t="str">
        <f>IF(ROUND(CF!T50,0)=ROUND(SUM(CF!T49,CF!T12),0),"OK","ERROR")</f>
        <v>ERROR</v>
      </c>
      <c r="U177" s="209"/>
      <c r="V177" s="207" t="str">
        <f>IF(ROUND(CF!V50,0)=ROUND(SUM(CF!V49,CF!V12),0),"OK","ERROR")</f>
        <v>ERROR</v>
      </c>
      <c r="W177" s="207" t="str">
        <f>IF(ROUND(CF!W50,0)=ROUND(SUM(CF!W49,CF!W12),0),"OK","ERROR")</f>
        <v>ERROR</v>
      </c>
      <c r="X177" s="207" t="str">
        <f>IF(ROUND(CF!X50,0)=ROUND(SUM(CF!X49,CF!X12),0),"OK","ERROR")</f>
        <v>OK</v>
      </c>
      <c r="Y177" s="207" t="str">
        <f>IF(ROUND(CF!Y50,0)=ROUND(SUM(CF!Y49,CF!Y12),0),"OK","ERROR")</f>
        <v>ERROR</v>
      </c>
      <c r="Z177" s="236" t="str">
        <f>IF(ROUND(CF!Z50,0)=ROUND(SUM(CF!Z49,CF!Z12),0),"OK","ERROR")</f>
        <v>ERROR</v>
      </c>
      <c r="AA177" s="209"/>
      <c r="AB177" s="207" t="str">
        <f>IF(ROUND(CF!AB50,0)=ROUND(SUM(CF!AB49,CF!AB12),0),"OK","ERROR")</f>
        <v>OK</v>
      </c>
      <c r="AC177" s="207" t="str">
        <f>IF(ROUND(CF!AC50,0)=ROUND(SUM(CF!AC49,CF!AC12),0),"OK","ERROR")</f>
        <v>ERROR</v>
      </c>
      <c r="AD177" s="207" t="str">
        <f>IF(ROUND(CF!AD50,0)=ROUND(SUM(CF!AD49,CF!AD12),0),"OK","ERROR")</f>
        <v>ERROR</v>
      </c>
      <c r="AE177" s="207" t="str">
        <f>IF(ROUND(CF!AE50,0)=ROUND(SUM(CF!AE49,CF!AE12),0),"OK","ERROR")</f>
        <v>ERROR</v>
      </c>
      <c r="AF177" s="236" t="str">
        <f>IF(ROUND(CF!AF50,0)=ROUND(SUM(CF!AF49,CF!AF12),0),"OK","ERROR")</f>
        <v>ERROR</v>
      </c>
      <c r="AG177" s="237"/>
      <c r="AH177" s="207" t="str">
        <f>IF(ROUND(CF!AH50,0)=ROUND(SUM(CF!AH49,CF!AH12),0),"OK","ERROR")</f>
        <v>ERROR</v>
      </c>
      <c r="AI177" s="207" t="str">
        <f>IF(ROUND(CF!AI50,0)=ROUND(SUM(CF!AI49,CF!AI12),0),"OK","ERROR")</f>
        <v>OK</v>
      </c>
      <c r="AJ177" s="207" t="str">
        <f>IF(ROUND(CF!AJ50,0)=ROUND(SUM(CF!AJ49,CF!AJ12),0),"OK","ERROR")</f>
        <v>OK</v>
      </c>
      <c r="AK177" s="207" t="str">
        <f>IF(ROUND(CF!AK50,0)=ROUND(SUM(CF!AK49,CF!AK12),0),"OK","ERROR")</f>
        <v>OK</v>
      </c>
      <c r="AL177" s="236" t="str">
        <f>IF(ROUND(CF!AL50,0)=ROUND(SUM(CF!AL49,CF!AL12),0),"OK","ERROR")</f>
        <v>OK</v>
      </c>
      <c r="AM177" s="238"/>
      <c r="AN177" s="207" t="str">
        <f>IF(ROUND(CF!AN50,0)=ROUND(SUM(CF!AN49,CF!AN12),0),"OK","ERROR")</f>
        <v>OK</v>
      </c>
      <c r="AO177" s="207" t="str">
        <f>IF(ROUND(CF!AO50,0)=ROUND(SUM(CF!AO49,CF!AO12),0),"OK","ERROR")</f>
        <v>OK</v>
      </c>
      <c r="AP177" s="207" t="str">
        <f>IF(ROUND(CF!AP50,0)=ROUND(SUM(CF!AP49,CF!AP12),0),"OK","ERROR")</f>
        <v>OK</v>
      </c>
      <c r="AQ177" s="207" t="str">
        <f>IF(ROUND(CF!AQ50,0)=ROUND(SUM(CF!AQ49,CF!AQ12),0),"OK","ERROR")</f>
        <v>OK</v>
      </c>
      <c r="AR177" s="236" t="str">
        <f>IF(ROUND(CF!AR50,0)=ROUND(SUM(CF!AR49,CF!AR12),0),"OK","ERROR")</f>
        <v>OK</v>
      </c>
      <c r="AS177" s="238"/>
      <c r="AT177" s="236" t="str">
        <f>IF(ROUND(CF!AT50,0)=ROUND(SUM(CF!AT49,CF!AT12),0),"OK","ERROR")</f>
        <v>OK</v>
      </c>
      <c r="AU177" s="238"/>
      <c r="AV177" s="236" t="str">
        <f>IF(ROUND(CF!AV50,0)=ROUND(SUM(CF!AV49,CF!AV12),0),"OK","ERROR")</f>
        <v>OK</v>
      </c>
      <c r="AW177" s="245"/>
      <c r="AX177" s="236"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zoomScale="75" zoomScaleNormal="75" workbookViewId="0">
      <selection activeCell="K18" sqref="K18"/>
    </sheetView>
  </sheetViews>
  <sheetFormatPr baseColWidth="10" defaultColWidth="9" defaultRowHeight="15" customHeight="1"/>
  <cols>
    <col min="1" max="1" width="2.1640625" customWidth="1"/>
    <col min="2" max="2" width="12.6640625" customWidth="1"/>
    <col min="3" max="3" width="9.5" bestFit="1" customWidth="1"/>
    <col min="4" max="4" width="18.1640625" customWidth="1"/>
    <col min="5" max="5" width="28.6640625" bestFit="1" customWidth="1"/>
    <col min="6" max="6" width="11.83203125" customWidth="1"/>
    <col min="7" max="9" width="9.33203125" bestFit="1" customWidth="1"/>
    <col min="10" max="10" width="10.33203125" customWidth="1"/>
    <col min="11" max="11" width="9.33203125" bestFit="1" customWidth="1"/>
    <col min="12" max="12" width="14" customWidth="1"/>
    <col min="13" max="14" width="9.33203125" bestFit="1" customWidth="1"/>
    <col min="15" max="15" width="8.83203125"/>
    <col min="16" max="16" width="10.1640625" customWidth="1"/>
    <col min="17" max="17" width="11" bestFit="1" customWidth="1"/>
    <col min="18" max="18" width="12.5" customWidth="1"/>
    <col min="20" max="20" width="8.83203125"/>
    <col min="21" max="21" width="12.33203125" customWidth="1"/>
    <col min="22" max="23" width="8.83203125" customWidth="1"/>
    <col min="24" max="16384" width="9" style="4"/>
  </cols>
  <sheetData>
    <row r="1" spans="1:23" s="546" customFormat="1" ht="15" customHeight="1"/>
    <row r="2" spans="1:23" s="546" customFormat="1" ht="15" customHeight="1"/>
    <row r="3" spans="1:23" s="546" customFormat="1" ht="15" customHeight="1"/>
    <row r="4" spans="1:23" s="546" customFormat="1" ht="15" customHeight="1"/>
    <row r="5" spans="1:23" s="545" customFormat="1" ht="4" customHeight="1">
      <c r="A5" s="38"/>
      <c r="B5" s="38"/>
      <c r="C5" s="38"/>
      <c r="D5" s="38"/>
      <c r="E5" s="38"/>
      <c r="F5" s="38"/>
      <c r="G5" s="38"/>
      <c r="H5" s="38"/>
      <c r="I5" s="38"/>
      <c r="J5" s="38"/>
      <c r="K5" s="38"/>
      <c r="L5" s="38"/>
      <c r="M5" s="38"/>
      <c r="N5" s="38"/>
      <c r="O5" s="38"/>
      <c r="P5" s="38"/>
      <c r="Q5" s="38"/>
      <c r="R5" s="38"/>
      <c r="S5" s="38"/>
      <c r="T5" s="38"/>
      <c r="U5" s="38"/>
      <c r="V5" s="38"/>
      <c r="W5" s="38"/>
    </row>
    <row r="7" spans="1:23" s="531" customFormat="1" ht="15" customHeight="1">
      <c r="B7" s="2" t="s">
        <v>664</v>
      </c>
      <c r="C7" s="2"/>
      <c r="D7" s="2"/>
      <c r="E7" s="2"/>
      <c r="F7" s="2"/>
      <c r="G7" s="2"/>
      <c r="H7" s="2"/>
      <c r="I7" s="2"/>
      <c r="J7" s="2"/>
      <c r="K7" s="2"/>
      <c r="L7" s="2"/>
      <c r="M7" s="2"/>
      <c r="N7" s="2"/>
      <c r="O7" s="2"/>
      <c r="P7" s="2"/>
      <c r="Q7" s="2"/>
      <c r="R7" s="2"/>
      <c r="S7" s="13" t="e">
        <f ca="1">+_xll.BDP(D15,"SHORT_NAME")</f>
        <v>#NAME?</v>
      </c>
    </row>
    <row r="8" spans="1:23" s="531" customFormat="1" ht="15" customHeight="1">
      <c r="B8" s="2"/>
      <c r="C8" s="2"/>
      <c r="D8" s="2"/>
      <c r="E8" s="2"/>
      <c r="F8" s="2"/>
      <c r="G8" s="2"/>
      <c r="H8" s="2"/>
      <c r="I8" s="2"/>
      <c r="J8" s="2"/>
      <c r="K8" s="2"/>
      <c r="L8" s="2"/>
      <c r="M8" s="2"/>
      <c r="N8" s="2"/>
      <c r="O8" s="2"/>
      <c r="P8" s="2"/>
      <c r="Q8" s="2"/>
      <c r="R8" s="2"/>
    </row>
    <row r="9" spans="1:23" s="531" customFormat="1" ht="15" customHeight="1">
      <c r="B9" s="2"/>
      <c r="C9" s="2"/>
      <c r="D9" s="2"/>
      <c r="E9" s="2"/>
      <c r="F9" s="2"/>
      <c r="G9" s="2"/>
      <c r="H9" s="2"/>
      <c r="I9" s="2"/>
      <c r="J9" s="2"/>
      <c r="K9" s="2"/>
      <c r="L9" s="2"/>
      <c r="M9" s="2"/>
      <c r="N9" s="2"/>
      <c r="O9" s="2"/>
      <c r="P9" s="2"/>
      <c r="Q9" s="2"/>
      <c r="R9" s="2"/>
    </row>
    <row r="10" spans="1:23" ht="4" customHeight="1">
      <c r="B10" s="38"/>
      <c r="C10" s="38"/>
      <c r="D10" s="38"/>
      <c r="E10" s="38"/>
      <c r="F10" s="38"/>
      <c r="G10" s="38"/>
      <c r="H10" s="38"/>
      <c r="I10" s="38"/>
      <c r="J10" s="38"/>
      <c r="K10" s="38"/>
      <c r="L10" s="38"/>
      <c r="M10" s="38"/>
      <c r="N10" s="38"/>
      <c r="O10" s="38"/>
      <c r="P10" s="38"/>
      <c r="Q10" s="38"/>
      <c r="R10" s="38"/>
    </row>
    <row r="11" spans="1:23" ht="4" customHeight="1"/>
    <row r="12" spans="1:23" ht="15" customHeight="1" thickBot="1">
      <c r="B12" s="375" t="s">
        <v>84</v>
      </c>
      <c r="C12" s="376"/>
      <c r="D12" s="376"/>
      <c r="F12" s="377" t="s">
        <v>665</v>
      </c>
      <c r="G12" s="376"/>
      <c r="H12" s="376"/>
      <c r="I12" s="376"/>
      <c r="J12" s="376"/>
      <c r="L12" s="377" t="s">
        <v>666</v>
      </c>
      <c r="M12" s="376"/>
      <c r="O12" s="377" t="s">
        <v>667</v>
      </c>
      <c r="P12" s="376"/>
      <c r="Q12" s="376"/>
      <c r="R12" s="376"/>
    </row>
    <row r="13" spans="1:23" ht="15" customHeight="1">
      <c r="B13" s="1" t="s">
        <v>668</v>
      </c>
      <c r="D13" s="374" t="s">
        <v>669</v>
      </c>
      <c r="F13" s="6" t="s">
        <v>670</v>
      </c>
      <c r="J13" s="331">
        <v>0.94639799999999996</v>
      </c>
      <c r="L13" s="1" t="s">
        <v>671</v>
      </c>
      <c r="M13" s="334">
        <f>J18/(IS!AI18+IS!AH18+IS!AE18+IS!AD18)</f>
        <v>0.86185608628048715</v>
      </c>
      <c r="O13" s="10" t="str">
        <f>+_xll.BDP(R13,"SHORT_NAME")</f>
        <v>NASDAQ 100 STOCK INDX</v>
      </c>
      <c r="R13" s="345" t="s">
        <v>672</v>
      </c>
    </row>
    <row r="14" spans="1:23" ht="15" customHeight="1">
      <c r="B14" s="1" t="s">
        <v>673</v>
      </c>
      <c r="D14" s="345" t="s">
        <v>674</v>
      </c>
      <c r="F14" s="6" t="s">
        <v>675</v>
      </c>
      <c r="J14" s="331">
        <v>0</v>
      </c>
      <c r="L14" s="1" t="s">
        <v>676</v>
      </c>
      <c r="M14" s="334">
        <f>J18/(IS!AI33+IS!AH33+IS!AE33+IS!AD33+IS!AI28+IS!AH28+IS!AE28+IS!AD28)</f>
        <v>2.8890261752911051</v>
      </c>
      <c r="O14" s="10" t="str">
        <f>+_xll.BDP(R14,"SHORT_NAME")</f>
        <v>S&amp;P 500 SOFTWARE INDEX</v>
      </c>
      <c r="R14" s="345" t="s">
        <v>677</v>
      </c>
    </row>
    <row r="15" spans="1:23" ht="15" customHeight="1">
      <c r="B15" s="1" t="s">
        <v>678</v>
      </c>
      <c r="D15" s="344" t="s">
        <v>679</v>
      </c>
      <c r="F15" s="6" t="s">
        <v>680</v>
      </c>
      <c r="J15" s="332">
        <v>204.35400000000001</v>
      </c>
      <c r="L15" s="1" t="s">
        <v>681</v>
      </c>
      <c r="M15" s="334">
        <f>J13/(IS!AI52+IS!AH52+IS!AE52+IS!AD52)</f>
        <v>-3.4210206693126861E-2</v>
      </c>
    </row>
    <row r="16" spans="1:23" ht="15" customHeight="1" thickBot="1">
      <c r="B16" s="350" t="s">
        <v>682</v>
      </c>
      <c r="D16" s="344"/>
      <c r="F16" s="6" t="s">
        <v>683</v>
      </c>
      <c r="J16" s="332">
        <v>318.27999999999997</v>
      </c>
      <c r="L16" s="1" t="s">
        <v>684</v>
      </c>
      <c r="M16" s="334">
        <f ca="1">W63</f>
        <v>0</v>
      </c>
      <c r="O16" s="377" t="s">
        <v>685</v>
      </c>
      <c r="P16" s="376"/>
      <c r="Q16" s="376"/>
      <c r="R16" s="376"/>
    </row>
    <row r="17" spans="1:23" ht="15" customHeight="1">
      <c r="B17" t="s">
        <v>686</v>
      </c>
      <c r="C17" s="10"/>
      <c r="D17" s="15">
        <v>46022</v>
      </c>
      <c r="F17" s="16" t="s">
        <v>687</v>
      </c>
      <c r="G17" s="7"/>
      <c r="H17" s="7"/>
      <c r="I17" s="7"/>
      <c r="J17" s="333">
        <v>45.226999999999997</v>
      </c>
      <c r="O17" s="1" t="s">
        <v>668</v>
      </c>
      <c r="R17" s="374" t="str">
        <f>D13</f>
        <v>usd</v>
      </c>
    </row>
    <row r="18" spans="1:23" ht="15" customHeight="1">
      <c r="B18" t="s">
        <v>688</v>
      </c>
      <c r="C18" s="10"/>
      <c r="D18" t="e">
        <f ca="1">_xll.BDP(D15,"EQY_RECENT_QT_END_DT")</f>
        <v>#NAME?</v>
      </c>
      <c r="F18" s="5" t="s">
        <v>478</v>
      </c>
      <c r="G18" s="1"/>
      <c r="H18" s="1"/>
      <c r="I18" s="1"/>
      <c r="J18" s="8">
        <f>J13+J14-J17+J16+J15</f>
        <v>478.35339799999997</v>
      </c>
      <c r="L18" s="1" t="s">
        <v>23</v>
      </c>
      <c r="M18" s="40">
        <v>1.73</v>
      </c>
      <c r="O18" s="1" t="s">
        <v>673</v>
      </c>
      <c r="Q18" s="4"/>
      <c r="R18" s="345" t="str">
        <f t="shared" ref="R18" si="0">D14</f>
        <v>mln</v>
      </c>
      <c r="S18" s="4"/>
    </row>
    <row r="19" spans="1:23" ht="15" customHeight="1">
      <c r="C19" s="10"/>
      <c r="F19" s="5"/>
      <c r="G19" s="1"/>
      <c r="H19" s="1"/>
      <c r="I19" s="1"/>
      <c r="J19" s="8"/>
      <c r="O19" s="10"/>
    </row>
    <row r="20" spans="1:23" ht="15" customHeight="1" thickBot="1">
      <c r="B20" s="377" t="s">
        <v>689</v>
      </c>
      <c r="C20" s="376"/>
      <c r="D20" s="376"/>
      <c r="E20" s="376"/>
      <c r="F20" s="376"/>
      <c r="G20" s="1"/>
      <c r="H20" s="377" t="s">
        <v>690</v>
      </c>
      <c r="I20" s="376"/>
      <c r="J20" s="376"/>
      <c r="K20" s="376"/>
      <c r="L20" s="376"/>
      <c r="N20" s="377" t="s">
        <v>691</v>
      </c>
      <c r="O20" s="376"/>
      <c r="P20" s="376"/>
      <c r="Q20" s="376"/>
      <c r="R20" s="376"/>
    </row>
    <row r="21" spans="1:23" ht="15" customHeight="1">
      <c r="B21" s="10" t="str">
        <f>+_xll.BDP(E21,"SHORT_NAME")</f>
        <v>ENOVA INTERNATIO</v>
      </c>
      <c r="C21" s="10"/>
      <c r="E21" s="351" t="s">
        <v>692</v>
      </c>
      <c r="F21" s="352"/>
      <c r="G21" s="1"/>
      <c r="H21" s="10" t="str">
        <f>+_xll.BDP(K21,"SHORT_NAME")</f>
        <v>LENDINGCLUB CORP</v>
      </c>
      <c r="I21" s="10"/>
      <c r="K21" s="351" t="s">
        <v>693</v>
      </c>
      <c r="L21" s="352"/>
      <c r="N21" s="10" t="str">
        <f>+_xll.BDP(Q21,"SHORT_NAME")</f>
        <v>SYNCHRONY FINANC</v>
      </c>
      <c r="O21" s="10"/>
      <c r="Q21" s="351" t="s">
        <v>694</v>
      </c>
      <c r="R21" s="352"/>
    </row>
    <row r="22" spans="1:23" ht="15" customHeight="1">
      <c r="B22" s="10" t="str">
        <f>+_xll.BDP(E22,"SHORT_NAME")</f>
        <v>REGIONAL MANAGEM</v>
      </c>
      <c r="C22" s="10"/>
      <c r="E22" s="353" t="s">
        <v>695</v>
      </c>
      <c r="F22" s="354"/>
      <c r="G22" s="1"/>
      <c r="H22" s="10" t="str">
        <f>+_xll.BDP(K22,"SHORT_NAME")</f>
        <v>UPSTART HOLDINGS</v>
      </c>
      <c r="I22" s="10"/>
      <c r="K22" s="353" t="s">
        <v>696</v>
      </c>
      <c r="L22" s="354"/>
      <c r="N22" s="10" t="str">
        <f>+_xll.BDP(Q22,"SHORT_NAME")</f>
        <v>DISCOVER FINANCI</v>
      </c>
      <c r="O22" s="10"/>
      <c r="Q22" s="353" t="s">
        <v>697</v>
      </c>
      <c r="R22" s="354"/>
    </row>
    <row r="23" spans="1:23" ht="15" customHeight="1">
      <c r="B23" s="10" t="str">
        <f>+_xll.BDP(E23,"SHORT_NAME")</f>
        <v>WORLD ACCEPTANCE</v>
      </c>
      <c r="C23" s="10"/>
      <c r="E23" s="353" t="s">
        <v>698</v>
      </c>
      <c r="F23" s="354"/>
      <c r="G23" s="1"/>
      <c r="H23" s="10" t="str">
        <f>+_xll.BDP(K23,"SHORT_NAME")</f>
        <v>SOFI TECHNOLOGIE</v>
      </c>
      <c r="I23" s="10"/>
      <c r="K23" s="353" t="s">
        <v>699</v>
      </c>
      <c r="L23" s="354"/>
      <c r="N23" s="10" t="str">
        <f>+_xll.BDP(Q23,"SHORT_NAME")</f>
        <v>CAPITAL ONE FINA</v>
      </c>
      <c r="O23" s="10"/>
      <c r="Q23" s="353" t="s">
        <v>700</v>
      </c>
      <c r="R23" s="354"/>
    </row>
    <row r="24" spans="1:23" ht="15" customHeight="1">
      <c r="B24" s="10" t="str">
        <f>+_xll.BDP(E24,"SHORT_NAME")</f>
        <v>EZCORP INC-A</v>
      </c>
      <c r="C24" s="10"/>
      <c r="E24" s="353" t="s">
        <v>701</v>
      </c>
      <c r="F24" s="354"/>
      <c r="G24" s="1"/>
      <c r="H24" s="10" t="str">
        <f>+_xll.BDP(K24,"SHORT_NAME")</f>
        <v>OPORTUN FINANCIA</v>
      </c>
      <c r="I24" s="10"/>
      <c r="K24" s="353" t="s">
        <v>702</v>
      </c>
      <c r="L24" s="354"/>
      <c r="N24" s="10" t="str">
        <f>+_xll.BDP(Q24,"SHORT_NAME")</f>
        <v>ALLY FINANCIAL I</v>
      </c>
      <c r="O24" s="10"/>
      <c r="Q24" s="353" t="s">
        <v>703</v>
      </c>
      <c r="R24" s="354"/>
    </row>
    <row r="25" spans="1:23" ht="15" customHeight="1">
      <c r="B25" s="10" t="str">
        <f>+_xll.BDP(E25,"SHORT_NAME")</f>
        <v>ONEMAIN HOLDINGS</v>
      </c>
      <c r="C25" s="10"/>
      <c r="E25" s="353" t="s">
        <v>704</v>
      </c>
      <c r="F25" s="352"/>
      <c r="G25" s="1"/>
      <c r="H25" s="10" t="str">
        <f>+_xll.BDP(K25,"SHORT_NAME")</f>
        <v>GREEN DOT CORP-A</v>
      </c>
      <c r="I25" s="10"/>
      <c r="K25" s="351" t="s">
        <v>705</v>
      </c>
      <c r="L25" s="352"/>
      <c r="N25" s="10" t="str">
        <f>+_xll.BDP(Q25,"SHORT_NAME")</f>
        <v>AFFIRM HOLDINGS</v>
      </c>
      <c r="O25" s="10"/>
      <c r="Q25" s="351" t="s">
        <v>706</v>
      </c>
      <c r="R25" s="352"/>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31" customFormat="1" ht="15" customHeight="1">
      <c r="B27" s="2" t="s">
        <v>3</v>
      </c>
      <c r="C27" s="2"/>
      <c r="D27" s="2"/>
      <c r="E27" s="2"/>
      <c r="F27" s="2"/>
      <c r="G27" s="2"/>
      <c r="H27" s="2"/>
      <c r="I27" s="2"/>
      <c r="J27" s="2"/>
      <c r="K27" s="2"/>
      <c r="L27" s="2"/>
      <c r="M27" s="2"/>
      <c r="N27" s="2"/>
      <c r="O27" s="2"/>
      <c r="P27" s="2"/>
      <c r="Q27" s="2"/>
      <c r="R27" s="2"/>
      <c r="S27" s="2"/>
      <c r="T27" s="2"/>
      <c r="U27" s="2"/>
    </row>
    <row r="28" spans="1:23" ht="4"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e">
        <f ca="1">S7&amp;" vs "&amp;R13</f>
        <v>#NAME?</v>
      </c>
      <c r="C30" s="2"/>
      <c r="D30" s="2"/>
      <c r="E30" s="2"/>
      <c r="F30" s="2"/>
      <c r="G30" s="2"/>
      <c r="H30" s="2"/>
      <c r="I30" s="2"/>
      <c r="J30" s="2"/>
      <c r="L30" s="2" t="s">
        <v>707</v>
      </c>
      <c r="M30" s="2"/>
      <c r="N30" s="2"/>
      <c r="O30" s="2"/>
      <c r="P30" s="2"/>
      <c r="Q30" s="2"/>
      <c r="R30" s="2"/>
      <c r="S30" s="2"/>
      <c r="T30" s="2"/>
      <c r="U30" s="2"/>
    </row>
    <row r="56" spans="1:23" s="531" customFormat="1" ht="15" customHeight="1">
      <c r="A56" s="12"/>
      <c r="B56" s="2" t="s">
        <v>664</v>
      </c>
      <c r="C56" s="2"/>
      <c r="D56" s="2"/>
      <c r="E56" s="2"/>
      <c r="F56" s="2"/>
      <c r="G56" s="2"/>
      <c r="H56" s="2"/>
      <c r="I56" s="2"/>
      <c r="J56" s="2"/>
      <c r="K56" s="2"/>
      <c r="L56" s="2"/>
      <c r="M56" s="2"/>
      <c r="N56" s="2"/>
      <c r="O56" s="2"/>
      <c r="P56" s="2"/>
      <c r="Q56" s="2"/>
      <c r="R56" s="2"/>
      <c r="S56" s="2"/>
      <c r="T56" s="2"/>
      <c r="U56" s="2"/>
      <c r="V56" s="2"/>
      <c r="W56" s="2"/>
    </row>
    <row r="57" spans="1:23" s="531"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531"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4"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4" customHeight="1"/>
    <row r="61" spans="1:23" ht="15" customHeight="1">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39</v>
      </c>
      <c r="B62" s="348" t="str">
        <f>$D$15</f>
        <v>OPFI US Equity</v>
      </c>
      <c r="C62" s="349"/>
      <c r="D62" s="349"/>
      <c r="E62" s="346">
        <v>2015</v>
      </c>
      <c r="F62" s="346">
        <f t="shared" ref="F62:N62" si="1">+E62+1</f>
        <v>2016</v>
      </c>
      <c r="G62" s="346">
        <f t="shared" si="1"/>
        <v>2017</v>
      </c>
      <c r="H62" s="346">
        <f t="shared" si="1"/>
        <v>2018</v>
      </c>
      <c r="I62" s="346">
        <f t="shared" si="1"/>
        <v>2019</v>
      </c>
      <c r="J62" s="346">
        <f t="shared" si="1"/>
        <v>2020</v>
      </c>
      <c r="K62" s="346">
        <f t="shared" si="1"/>
        <v>2021</v>
      </c>
      <c r="L62" s="346">
        <f t="shared" si="1"/>
        <v>2022</v>
      </c>
      <c r="M62" s="346">
        <f t="shared" si="1"/>
        <v>2023</v>
      </c>
      <c r="N62" s="346">
        <f t="shared" si="1"/>
        <v>2024</v>
      </c>
      <c r="O62" s="10"/>
      <c r="P62" s="3"/>
      <c r="Q62" s="3"/>
      <c r="R62" s="379" t="s">
        <v>298</v>
      </c>
      <c r="S62" s="532" t="s">
        <v>708</v>
      </c>
      <c r="T62" s="3"/>
      <c r="U62" s="379" t="s">
        <v>709</v>
      </c>
      <c r="V62" s="3"/>
      <c r="W62" s="379" t="s">
        <v>710</v>
      </c>
    </row>
    <row r="63" spans="1:23" ht="15" customHeight="1">
      <c r="A63" s="10"/>
      <c r="B63" s="10" t="s">
        <v>188</v>
      </c>
      <c r="C63" s="10"/>
      <c r="D63" s="10"/>
      <c r="E63" s="11" t="e">
        <f ca="1">_xll.BDH($B$62,"SALES_REV_TURN","FY "&amp;E$62,"FY "&amp;E$62,"Currency="&amp;$D$13,"Period=FY","BEST_FPERIOD_OVERRIDE=FY","FILING_STATUS=MR","SCALING_FORMAT="&amp;$D$14,"FA_ADJUSTED=Adjusted","Sort=A","Dates=H","DateFormat=P","Fill=0","Direction=H","UseDPDF=Y")</f>
        <v>#NAME?</v>
      </c>
      <c r="F63" s="11" t="e">
        <f ca="1">_xll.BDH($B$62,"SALES_REV_TURN","FY "&amp;F$62,"FY "&amp;F$62,"Currency="&amp;$D$13,"Period=FY","BEST_FPERIOD_OVERRIDE=FY","FILING_STATUS=MR","SCALING_FORMAT="&amp;$D$14,"FA_ADJUSTED=Adjusted","Sort=A","Dates=H","DateFormat=P","Fill=0","Direction=H","UseDPDF=Y")</f>
        <v>#NAME?</v>
      </c>
      <c r="G63" s="11" t="e">
        <f ca="1">_xll.BDH($B$62,"SALES_REV_TURN","FY "&amp;G$62,"FY "&amp;G$62,"Currency="&amp;$D$13,"Period=FY","BEST_FPERIOD_OVERRIDE=FY","FILING_STATUS=MR","SCALING_FORMAT="&amp;$D$14,"FA_ADJUSTED=Adjusted","Sort=A","Dates=H","DateFormat=P","Fill=0","Direction=H","UseDPDF=Y")</f>
        <v>#NAME?</v>
      </c>
      <c r="H63" s="11" t="e">
        <f ca="1">_xll.BDH($B$62,"SALES_REV_TURN","FY "&amp;H$62,"FY "&amp;H$62,"Currency="&amp;$D$13,"Period=FY","BEST_FPERIOD_OVERRIDE=FY","FILING_STATUS=MR","SCALING_FORMAT="&amp;$D$14,"FA_ADJUSTED=Adjusted","Sort=A","Dates=H","DateFormat=P","Fill=0","Direction=H","UseDPDF=Y")</f>
        <v>#NAME?</v>
      </c>
      <c r="I63" s="11" t="e">
        <f ca="1">_xll.BDH($B$62,"SALES_REV_TURN","FY "&amp;I$62,"FY "&amp;I$62,"Currency="&amp;$D$13,"Period=FY","BEST_FPERIOD_OVERRIDE=FY","FILING_STATUS=MR","SCALING_FORMAT="&amp;$D$14,"FA_ADJUSTED=Adjusted","Sort=A","Dates=H","DateFormat=P","Fill=0","Direction=H","UseDPDF=Y")</f>
        <v>#NAME?</v>
      </c>
      <c r="J63" s="11" t="e">
        <f ca="1">_xll.BDH($B$62,"SALES_REV_TURN","FY "&amp;J$62,"FY "&amp;J$62,"Currency="&amp;$D$13,"Period=FY","BEST_FPERIOD_OVERRIDE=FY","FILING_STATUS=MR","SCALING_FORMAT="&amp;$D$14,"FA_ADJUSTED=Adjusted","Sort=A","Dates=H","DateFormat=P","Fill=0","Direction=H","UseDPDF=Y")</f>
        <v>#NAME?</v>
      </c>
      <c r="K63" s="11" t="e">
        <f ca="1">_xll.BDH($B$62,"SALES_REV_TURN","FY "&amp;K$62,"FY "&amp;K$62,"Currency="&amp;$D$13,"Period=FY","BEST_FPERIOD_OVERRIDE=FY","FILING_STATUS=MR","SCALING_FORMAT="&amp;$D$14,"FA_ADJUSTED=Adjusted","Sort=A","Dates=H","DateFormat=P","Fill=0","Direction=H","UseDPDF=Y")</f>
        <v>#NAME?</v>
      </c>
      <c r="L63" s="11" t="e">
        <f ca="1">_xll.BDH($B$62,"SALES_REV_TURN","FY "&amp;L$62,"FY "&amp;L$62,"Currency="&amp;$D$13,"Period=FY","BEST_FPERIOD_OVERRIDE=FY","FILING_STATUS=MR","SCALING_FORMAT="&amp;$D$14,"FA_ADJUSTED=Adjusted","Sort=A","Dates=H","DateFormat=P","Fill=0","Direction=H","UseDPDF=Y")</f>
        <v>#NAME?</v>
      </c>
      <c r="M63" s="11" t="e">
        <f ca="1">_xll.BDH($B$62,"SALES_REV_TURN","FY "&amp;M$62,"FY "&amp;M$62,"Currency="&amp;$D$13,"Period=FY","BEST_FPERIOD_OVERRIDE=FY","FILING_STATUS=MR","SCALING_FORMAT="&amp;$D$14,"FA_ADJUSTED=Adjusted","Sort=A","Dates=H","DateFormat=P","Fill=0","Direction=H","UseDPDF=Y")</f>
        <v>#NAME?</v>
      </c>
      <c r="N63" s="11" t="e">
        <f ca="1">_xll.BDH($B$62,"SALES_REV_TURN","FY "&amp;N$62,"FY "&amp;N$62,"Currency="&amp;$D$13,"Period=FY","BEST_FPERIOD_OVERRIDE=FY","FILING_STATUS=MR","SCALING_FORMAT="&amp;$D$14,"FA_ADJUSTED=Adjusted","Sort=A","Dates=H","DateFormat=P","Fill=0","Direction=H","UseDPDF=Y")</f>
        <v>#NAME?</v>
      </c>
      <c r="O63" s="10"/>
      <c r="P63" s="10"/>
      <c r="Q63" s="15">
        <f ca="1">TODAY()</f>
        <v>45951</v>
      </c>
      <c r="R63" s="298">
        <f ca="1">IFERROR(VALUE(_xll.BDH(Inputs!$D$16, "PX_OFFICIAL_CLOSE", $Q63, $Q63)),R64)</f>
        <v>0</v>
      </c>
      <c r="S63" s="298">
        <f ca="1">IFERROR(VALUE(_xll.BDH(Inputs!$D$15, "EQY_SH_OUT", $Q63, $Q63,"SCALING_FORMAT="&amp;Inputs!$R$18)),S64)</f>
        <v>0</v>
      </c>
      <c r="U63" s="378">
        <f t="shared" ref="U63:U70" ca="1" si="2">R63*S63</f>
        <v>0</v>
      </c>
      <c r="W63" s="334">
        <f ca="1">IFERROR(VALUE(_xll.BDH(Inputs!$D$15, "PX_TO_SALES_RATIO", $Q63, $Q63)),W64)</f>
        <v>0</v>
      </c>
    </row>
    <row r="64" spans="1:23" ht="15" customHeight="1">
      <c r="A64" s="10"/>
      <c r="B64" s="10" t="s">
        <v>711</v>
      </c>
      <c r="C64" s="10"/>
      <c r="D64" s="10"/>
      <c r="E64" s="11" t="e">
        <f ca="1">_xll.BDH($B$62,"IS_OPER_INC","FY "&amp;E$62,"FY "&amp;E$62,"Currency="&amp;$D$13,"Period=FY","BEST_FPERIOD_OVERRIDE=FY","FILING_STATUS=MR","SCALING_FORMAT="&amp;$D$14,"FA_ADJUSTED=Adjusted","Sort=A","Dates=H","DateFormat=P","Fill=0","Direction=H","UseDPDF=Y")</f>
        <v>#NAME?</v>
      </c>
      <c r="F64" s="11" t="e">
        <f ca="1">_xll.BDH($B$62,"IS_OPER_INC","FY "&amp;F$62,"FY "&amp;F$62,"Currency="&amp;$D$13,"Period=FY","BEST_FPERIOD_OVERRIDE=FY","FILING_STATUS=MR","SCALING_FORMAT="&amp;$D$14,"FA_ADJUSTED=Adjusted","Sort=A","Dates=H","DateFormat=P","Fill=0","Direction=H","UseDPDF=Y")</f>
        <v>#NAME?</v>
      </c>
      <c r="G64" s="11" t="e">
        <f ca="1">_xll.BDH($B$62,"IS_OPER_INC","FY "&amp;G$62,"FY "&amp;G$62,"Currency="&amp;$D$13,"Period=FY","BEST_FPERIOD_OVERRIDE=FY","FILING_STATUS=MR","SCALING_FORMAT="&amp;$D$14,"FA_ADJUSTED=Adjusted","Sort=A","Dates=H","DateFormat=P","Fill=0","Direction=H","UseDPDF=Y")</f>
        <v>#NAME?</v>
      </c>
      <c r="H64" s="11" t="e">
        <f ca="1">_xll.BDH($B$62,"IS_OPER_INC","FY "&amp;H$62,"FY "&amp;H$62,"Currency="&amp;$D$13,"Period=FY","BEST_FPERIOD_OVERRIDE=FY","FILING_STATUS=MR","SCALING_FORMAT="&amp;$D$14,"FA_ADJUSTED=Adjusted","Sort=A","Dates=H","DateFormat=P","Fill=0","Direction=H","UseDPDF=Y")</f>
        <v>#NAME?</v>
      </c>
      <c r="I64" s="11" t="e">
        <f ca="1">_xll.BDH($B$62,"IS_OPER_INC","FY "&amp;I$62,"FY "&amp;I$62,"Currency="&amp;$D$13,"Period=FY","BEST_FPERIOD_OVERRIDE=FY","FILING_STATUS=MR","SCALING_FORMAT="&amp;$D$14,"FA_ADJUSTED=Adjusted","Sort=A","Dates=H","DateFormat=P","Fill=0","Direction=H","UseDPDF=Y")</f>
        <v>#NAME?</v>
      </c>
      <c r="J64" s="11" t="e">
        <f ca="1">_xll.BDH($B$62,"IS_OPER_INC","FY "&amp;J$62,"FY "&amp;J$62,"Currency="&amp;$D$13,"Period=FY","BEST_FPERIOD_OVERRIDE=FY","FILING_STATUS=MR","SCALING_FORMAT="&amp;$D$14,"FA_ADJUSTED=Adjusted","Sort=A","Dates=H","DateFormat=P","Fill=0","Direction=H","UseDPDF=Y")</f>
        <v>#NAME?</v>
      </c>
      <c r="K64" s="11" t="e">
        <f ca="1">_xll.BDH($B$62,"IS_OPER_INC","FY "&amp;K$62,"FY "&amp;K$62,"Currency="&amp;$D$13,"Period=FY","BEST_FPERIOD_OVERRIDE=FY","FILING_STATUS=MR","SCALING_FORMAT="&amp;$D$14,"FA_ADJUSTED=Adjusted","Sort=A","Dates=H","DateFormat=P","Fill=0","Direction=H","UseDPDF=Y")</f>
        <v>#NAME?</v>
      </c>
      <c r="L64" s="11" t="e">
        <f ca="1">_xll.BDH($B$62,"IS_OPER_INC","FY "&amp;L$62,"FY "&amp;L$62,"Currency="&amp;$D$13,"Period=FY","BEST_FPERIOD_OVERRIDE=FY","FILING_STATUS=MR","SCALING_FORMAT="&amp;$D$14,"FA_ADJUSTED=Adjusted","Sort=A","Dates=H","DateFormat=P","Fill=0","Direction=H","UseDPDF=Y")</f>
        <v>#NAME?</v>
      </c>
      <c r="M64" s="11" t="e">
        <f ca="1">_xll.BDH($B$62,"IS_OPER_INC","FY "&amp;M$62,"FY "&amp;M$62,"Currency="&amp;$D$13,"Period=FY","BEST_FPERIOD_OVERRIDE=FY","FILING_STATUS=MR","SCALING_FORMAT="&amp;$D$14,"FA_ADJUSTED=Adjusted","Sort=A","Dates=H","DateFormat=P","Fill=0","Direction=H","UseDPDF=Y")</f>
        <v>#NAME?</v>
      </c>
      <c r="N64" s="11" t="e">
        <f ca="1">_xll.BDH($B$62,"IS_OPER_INC","FY "&amp;N$62,"FY "&amp;N$62,"Currency="&amp;$D$13,"Period=FY","BEST_FPERIOD_OVERRIDE=FY","FILING_STATUS=MR","SCALING_FORMAT="&amp;$D$14,"FA_ADJUSTED=Adjusted","Sort=A","Dates=H","DateFormat=P","Fill=0","Direction=H","UseDPDF=Y")</f>
        <v>#NAME?</v>
      </c>
      <c r="O64" s="10"/>
      <c r="P64" s="10"/>
      <c r="Q64" s="297">
        <f t="shared" ref="Q64:Q70" ca="1" si="3">Q63-1</f>
        <v>45950</v>
      </c>
      <c r="R64" s="298">
        <f ca="1">IFERROR(VALUE(_xll.BDH(Inputs!$D$16, "PX_OFFICIAL_CLOSE", $Q64, $Q64)),R65)</f>
        <v>0</v>
      </c>
      <c r="S64" s="298">
        <f ca="1">IFERROR(VALUE(_xll.BDH(Inputs!$D$15, "EQY_SH_OUT", $Q64, $Q64,"SCALING_FORMAT="&amp;Inputs!$R$18)),S65)</f>
        <v>0</v>
      </c>
      <c r="U64" s="378">
        <f t="shared" ca="1" si="2"/>
        <v>0</v>
      </c>
      <c r="W64" s="334">
        <f ca="1">IFERROR(VALUE(_xll.BDH(Inputs!$D$15, "PX_TO_SALES_RATIO", $Q64, $Q64)),W65)</f>
        <v>0</v>
      </c>
    </row>
    <row r="65" spans="1:23" ht="15" customHeight="1">
      <c r="A65" s="10"/>
      <c r="B65" s="10" t="s">
        <v>234</v>
      </c>
      <c r="C65" s="10"/>
      <c r="D65" s="10"/>
      <c r="E65" s="14" t="e">
        <f ca="1">_xll.BDP($B$62,"RETURN_ON_INV_CAPITAL","EQY_FUND_YEAR="&amp;E$62)/100</f>
        <v>#NAME?</v>
      </c>
      <c r="F65" s="14" t="e">
        <f ca="1">_xll.BDP($B$62,"RETURN_ON_INV_CAPITAL","EQY_FUND_YEAR="&amp;F$62)/100</f>
        <v>#NAME?</v>
      </c>
      <c r="G65" s="14" t="e">
        <f ca="1">_xll.BDP($B$62,"RETURN_ON_INV_CAPITAL","EQY_FUND_YEAR="&amp;G$62)/100</f>
        <v>#NAME?</v>
      </c>
      <c r="H65" s="14" t="e">
        <f ca="1">_xll.BDP($B$62,"RETURN_ON_INV_CAPITAL","EQY_FUND_YEAR="&amp;H$62)/100</f>
        <v>#NAME?</v>
      </c>
      <c r="I65" s="14" t="e">
        <f ca="1">_xll.BDP($B$62,"RETURN_ON_INV_CAPITAL","EQY_FUND_YEAR="&amp;I$62)/100</f>
        <v>#NAME?</v>
      </c>
      <c r="J65" s="14" t="e">
        <f ca="1">_xll.BDP($B$62,"RETURN_ON_INV_CAPITAL","EQY_FUND_YEAR="&amp;J$62)/100</f>
        <v>#NAME?</v>
      </c>
      <c r="K65" s="14" t="e">
        <f ca="1">_xll.BDP($B$62,"RETURN_ON_INV_CAPITAL","EQY_FUND_YEAR="&amp;K$62)/100</f>
        <v>#NAME?</v>
      </c>
      <c r="L65" s="14" t="e">
        <f ca="1">_xll.BDP($B$62,"RETURN_ON_INV_CAPITAL","EQY_FUND_YEAR="&amp;L$62)/100</f>
        <v>#NAME?</v>
      </c>
      <c r="M65" s="14" t="e">
        <f ca="1">_xll.BDP($B$62,"RETURN_ON_INV_CAPITAL","EQY_FUND_YEAR="&amp;M$62)/100</f>
        <v>#NAME?</v>
      </c>
      <c r="N65" s="14" t="e">
        <f ca="1">_xll.BDP($B$62,"RETURN_ON_INV_CAPITAL","EQY_FUND_YEAR="&amp;N$62)/100</f>
        <v>#NAME?</v>
      </c>
      <c r="O65" s="10"/>
      <c r="P65" s="10"/>
      <c r="Q65" s="297">
        <f t="shared" ca="1" si="3"/>
        <v>45949</v>
      </c>
      <c r="R65" s="298">
        <f ca="1">IFERROR(VALUE(_xll.BDH(Inputs!$D$16, "PX_OFFICIAL_CLOSE", $Q65, $Q65)),R66)</f>
        <v>0</v>
      </c>
      <c r="S65" s="298">
        <f ca="1">IFERROR(VALUE(_xll.BDH(Inputs!$D$15, "EQY_SH_OUT", $Q65, $Q65,"SCALING_FORMAT="&amp;Inputs!$R$18)),S66)</f>
        <v>0</v>
      </c>
      <c r="U65" s="378">
        <f t="shared" ca="1" si="2"/>
        <v>0</v>
      </c>
      <c r="W65" s="334">
        <f ca="1">IFERROR(VALUE(_xll.BDH(Inputs!$D$15, "PX_TO_SALES_RATIO", $Q65, $Q65)),W66)</f>
        <v>0</v>
      </c>
    </row>
    <row r="66" spans="1:23" ht="15" customHeight="1">
      <c r="A66" s="10"/>
      <c r="B66" s="10" t="s">
        <v>339</v>
      </c>
      <c r="C66" s="10"/>
      <c r="D66" s="10"/>
      <c r="E66" s="14" t="e">
        <f ca="1">_xll.BDP($B$62,"wacc","EQY_FUND_YEAR="&amp;E$62)/100</f>
        <v>#NAME?</v>
      </c>
      <c r="F66" s="14" t="e">
        <f ca="1">_xll.BDP($B$62,"wacc","EQY_FUND_YEAR="&amp;F$62)/100</f>
        <v>#NAME?</v>
      </c>
      <c r="G66" s="14" t="e">
        <f ca="1">_xll.BDP($B$62,"wacc","EQY_FUND_YEAR="&amp;G$62)/100</f>
        <v>#NAME?</v>
      </c>
      <c r="H66" s="14" t="e">
        <f ca="1">_xll.BDP($B$62,"wacc","EQY_FUND_YEAR="&amp;H$62)/100</f>
        <v>#NAME?</v>
      </c>
      <c r="I66" s="14" t="e">
        <f ca="1">_xll.BDP($B$62,"wacc","EQY_FUND_YEAR="&amp;I$62)/100</f>
        <v>#NAME?</v>
      </c>
      <c r="J66" s="14" t="e">
        <f ca="1">_xll.BDP($B$62,"wacc","EQY_FUND_YEAR="&amp;J$62)/100</f>
        <v>#NAME?</v>
      </c>
      <c r="K66" s="14" t="e">
        <f ca="1">_xll.BDP($B$62,"wacc","EQY_FUND_YEAR="&amp;K$62)/100</f>
        <v>#NAME?</v>
      </c>
      <c r="L66" s="14" t="e">
        <f ca="1">_xll.BDP($B$62,"wacc","EQY_FUND_YEAR="&amp;L$62)/100</f>
        <v>#NAME?</v>
      </c>
      <c r="M66" s="14" t="e">
        <f ca="1">_xll.BDP($B$62,"wacc","EQY_FUND_YEAR="&amp;M$62)/100</f>
        <v>#NAME?</v>
      </c>
      <c r="N66" s="14" t="e">
        <f ca="1">_xll.BDP($B$62,"wacc","EQY_FUND_YEAR="&amp;N$62)/100</f>
        <v>#NAME?</v>
      </c>
      <c r="O66" s="10"/>
      <c r="P66" s="10"/>
      <c r="Q66" s="297">
        <f t="shared" ca="1" si="3"/>
        <v>45948</v>
      </c>
      <c r="R66" s="298">
        <f ca="1">IFERROR(VALUE(_xll.BDH(Inputs!$D$16, "PX_OFFICIAL_CLOSE", $Q66, $Q66)),R67)</f>
        <v>0</v>
      </c>
      <c r="S66" s="298">
        <f ca="1">IFERROR(VALUE(_xll.BDH(Inputs!$D$15, "EQY_SH_OUT", $Q66, $Q66,"SCALING_FORMAT="&amp;Inputs!$R$18)),S67)</f>
        <v>0</v>
      </c>
      <c r="U66" s="378">
        <f t="shared" ca="1" si="2"/>
        <v>0</v>
      </c>
      <c r="W66" s="334">
        <f ca="1">IFERROR(VALUE(_xll.BDH(Inputs!$D$15, "PX_TO_SALES_RATIO", $Q66, $Q66)),W67)</f>
        <v>0</v>
      </c>
    </row>
    <row r="67" spans="1:23" ht="15" customHeight="1">
      <c r="A67" s="10"/>
      <c r="B67" s="10" t="s">
        <v>712</v>
      </c>
      <c r="C67" s="10"/>
      <c r="D67" s="10"/>
      <c r="E67" s="11" t="e">
        <f ca="1">_xll.BDH($B$62,"ACQUIS_OF_FIXED_INTANG","FY "&amp;E$62,"FY "&amp;E$62,"Currency="&amp;$D$13,"Period=FY","BEST_FPERIOD_OVERRIDE=FY","FILING_STATUS=MR","SCALING_FORMAT="&amp;$D$14,"FA_ADJUSTED=Adjusted","Sort=A","Dates=H","DateFormat=P","Fill=0","Direction=H","UseDPDF=Y")</f>
        <v>#NAME?</v>
      </c>
      <c r="F67" s="11" t="e">
        <f ca="1">_xll.BDH($B$62,"ACQUIS_OF_FIXED_INTANG","FY "&amp;F$62,"FY "&amp;F$62,"Currency="&amp;$D$13,"Period=FY","BEST_FPERIOD_OVERRIDE=FY","FILING_STATUS=MR","SCALING_FORMAT="&amp;$D$14,"FA_ADJUSTED=Adjusted","Sort=A","Dates=H","DateFormat=P","Fill=0","Direction=H","UseDPDF=Y")</f>
        <v>#NAME?</v>
      </c>
      <c r="G67" s="11" t="e">
        <f ca="1">_xll.BDH($B$62,"ACQUIS_OF_FIXED_INTANG","FY "&amp;G$62,"FY "&amp;G$62,"Currency="&amp;$D$13,"Period=FY","BEST_FPERIOD_OVERRIDE=FY","FILING_STATUS=MR","SCALING_FORMAT="&amp;$D$14,"FA_ADJUSTED=Adjusted","Sort=A","Dates=H","DateFormat=P","Fill=0","Direction=H","UseDPDF=Y")</f>
        <v>#NAME?</v>
      </c>
      <c r="H67" s="11" t="e">
        <f ca="1">_xll.BDH($B$62,"ACQUIS_OF_FIXED_INTANG","FY "&amp;H$62,"FY "&amp;H$62,"Currency="&amp;$D$13,"Period=FY","BEST_FPERIOD_OVERRIDE=FY","FILING_STATUS=MR","SCALING_FORMAT="&amp;$D$14,"FA_ADJUSTED=Adjusted","Sort=A","Dates=H","DateFormat=P","Fill=0","Direction=H","UseDPDF=Y")</f>
        <v>#NAME?</v>
      </c>
      <c r="I67" s="11" t="e">
        <f ca="1">_xll.BDH($B$62,"ACQUIS_OF_FIXED_INTANG","FY "&amp;I$62,"FY "&amp;I$62,"Currency="&amp;$D$13,"Period=FY","BEST_FPERIOD_OVERRIDE=FY","FILING_STATUS=MR","SCALING_FORMAT="&amp;$D$14,"FA_ADJUSTED=Adjusted","Sort=A","Dates=H","DateFormat=P","Fill=0","Direction=H","UseDPDF=Y")</f>
        <v>#NAME?</v>
      </c>
      <c r="J67" s="11" t="e">
        <f ca="1">_xll.BDH($B$62,"ACQUIS_OF_FIXED_INTANG","FY "&amp;J$62,"FY "&amp;J$62,"Currency="&amp;$D$13,"Period=FY","BEST_FPERIOD_OVERRIDE=FY","FILING_STATUS=MR","SCALING_FORMAT="&amp;$D$14,"FA_ADJUSTED=Adjusted","Sort=A","Dates=H","DateFormat=P","Fill=0","Direction=H","UseDPDF=Y")</f>
        <v>#NAME?</v>
      </c>
      <c r="K67" s="11" t="e">
        <f ca="1">_xll.BDH($B$62,"ACQUIS_OF_FIXED_INTANG","FY "&amp;K$62,"FY "&amp;K$62,"Currency="&amp;$D$13,"Period=FY","BEST_FPERIOD_OVERRIDE=FY","FILING_STATUS=MR","SCALING_FORMAT="&amp;$D$14,"FA_ADJUSTED=Adjusted","Sort=A","Dates=H","DateFormat=P","Fill=0","Direction=H","UseDPDF=Y")</f>
        <v>#NAME?</v>
      </c>
      <c r="L67" s="11" t="e">
        <f ca="1">_xll.BDH($B$62,"ACQUIS_OF_FIXED_INTANG","FY "&amp;L$62,"FY "&amp;L$62,"Currency="&amp;$D$13,"Period=FY","BEST_FPERIOD_OVERRIDE=FY","FILING_STATUS=MR","SCALING_FORMAT="&amp;$D$14,"FA_ADJUSTED=Adjusted","Sort=A","Dates=H","DateFormat=P","Fill=0","Direction=H","UseDPDF=Y")</f>
        <v>#NAME?</v>
      </c>
      <c r="M67" s="11" t="e">
        <f ca="1">_xll.BDH($B$62,"ACQUIS_OF_FIXED_INTANG","FY "&amp;M$62,"FY "&amp;M$62,"Currency="&amp;$D$13,"Period=FY","BEST_FPERIOD_OVERRIDE=FY","FILING_STATUS=MR","SCALING_FORMAT="&amp;$D$14,"FA_ADJUSTED=Adjusted","Sort=A","Dates=H","DateFormat=P","Fill=0","Direction=H","UseDPDF=Y")</f>
        <v>#NAME?</v>
      </c>
      <c r="N67" s="11" t="e">
        <f ca="1">_xll.BDH($B$62,"ACQUIS_OF_FIXED_INTANG","FY "&amp;N$62,"FY "&amp;N$62,"Currency="&amp;$D$13,"Period=FY","BEST_FPERIOD_OVERRIDE=FY","FILING_STATUS=MR","SCALING_FORMAT="&amp;$D$14,"FA_ADJUSTED=Adjusted","Sort=A","Dates=H","DateFormat=P","Fill=0","Direction=H","UseDPDF=Y")</f>
        <v>#NAME?</v>
      </c>
      <c r="O67" s="10"/>
      <c r="P67" s="10"/>
      <c r="Q67" s="297">
        <f t="shared" ca="1" si="3"/>
        <v>45947</v>
      </c>
      <c r="R67" s="298">
        <f ca="1">IFERROR(VALUE(_xll.BDH(Inputs!$D$16, "PX_OFFICIAL_CLOSE", $Q67, $Q67)),R68)</f>
        <v>0</v>
      </c>
      <c r="S67" s="298">
        <f ca="1">IFERROR(VALUE(_xll.BDH(Inputs!$D$15, "EQY_SH_OUT", $Q67, $Q67,"SCALING_FORMAT="&amp;Inputs!$R$18)),S68)</f>
        <v>0</v>
      </c>
      <c r="U67" s="378">
        <f t="shared" ca="1" si="2"/>
        <v>0</v>
      </c>
      <c r="W67" s="334">
        <f ca="1">IFERROR(VALUE(_xll.BDH(Inputs!$D$15, "PX_TO_SALES_RATIO", $Q67, $Q67)),W68)</f>
        <v>0</v>
      </c>
    </row>
    <row r="68" spans="1:23" ht="15" customHeight="1">
      <c r="A68" s="10"/>
      <c r="B68" s="10" t="s">
        <v>713</v>
      </c>
      <c r="C68" s="10"/>
      <c r="D68" s="10"/>
      <c r="E68" s="14" t="e">
        <f ca="1">_xll.BDH($B$62,"TOT_DEBT_TO_TOT_EQY","FY "&amp;E$62,"FY "&amp;E$62,"Currency="&amp;$D$13,"Period=FY","BEST_FPERIOD_OVERRIDE=FY","FILING_STATUS=MR","SCALING_FORMAT="&amp;$D$14,"FA_ADJUSTED=Adjusted","Sort=A","Dates=H","DateFormat=P","Fill=0","Direction=H","UseDPDF=Y")/100</f>
        <v>#NAME?</v>
      </c>
      <c r="F68" s="14" t="e">
        <f ca="1">_xll.BDH($B$62,"TOT_DEBT_TO_TOT_EQY","FY "&amp;F$62,"FY "&amp;F$62,"Currency="&amp;$D$13,"Period=FY","BEST_FPERIOD_OVERRIDE=FY","FILING_STATUS=MR","SCALING_FORMAT="&amp;$D$14,"FA_ADJUSTED=Adjusted","Sort=A","Dates=H","DateFormat=P","Fill=0","Direction=H","UseDPDF=Y")/100</f>
        <v>#NAME?</v>
      </c>
      <c r="G68" s="14" t="e">
        <f ca="1">_xll.BDH($B$62,"TOT_DEBT_TO_TOT_EQY","FY "&amp;G$62,"FY "&amp;G$62,"Currency="&amp;$D$13,"Period=FY","BEST_FPERIOD_OVERRIDE=FY","FILING_STATUS=MR","SCALING_FORMAT="&amp;$D$14,"FA_ADJUSTED=Adjusted","Sort=A","Dates=H","DateFormat=P","Fill=0","Direction=H","UseDPDF=Y")/100</f>
        <v>#NAME?</v>
      </c>
      <c r="H68" s="14" t="e">
        <f ca="1">_xll.BDH($B$62,"TOT_DEBT_TO_TOT_EQY","FY "&amp;H$62,"FY "&amp;H$62,"Currency="&amp;$D$13,"Period=FY","BEST_FPERIOD_OVERRIDE=FY","FILING_STATUS=MR","SCALING_FORMAT="&amp;$D$14,"FA_ADJUSTED=Adjusted","Sort=A","Dates=H","DateFormat=P","Fill=0","Direction=H","UseDPDF=Y")/100</f>
        <v>#NAME?</v>
      </c>
      <c r="I68" s="14" t="e">
        <f ca="1">_xll.BDH($B$62,"TOT_DEBT_TO_TOT_EQY","FY "&amp;I$62,"FY "&amp;I$62,"Currency="&amp;$D$13,"Period=FY","BEST_FPERIOD_OVERRIDE=FY","FILING_STATUS=MR","SCALING_FORMAT="&amp;$D$14,"FA_ADJUSTED=Adjusted","Sort=A","Dates=H","DateFormat=P","Fill=0","Direction=H","UseDPDF=Y")/100</f>
        <v>#NAME?</v>
      </c>
      <c r="J68" s="14" t="e">
        <f ca="1">_xll.BDH($B$62,"TOT_DEBT_TO_TOT_EQY","FY "&amp;J$62,"FY "&amp;J$62,"Currency="&amp;$D$13,"Period=FY","BEST_FPERIOD_OVERRIDE=FY","FILING_STATUS=MR","SCALING_FORMAT="&amp;$D$14,"FA_ADJUSTED=Adjusted","Sort=A","Dates=H","DateFormat=P","Fill=0","Direction=H","UseDPDF=Y")/100</f>
        <v>#NAME?</v>
      </c>
      <c r="K68" s="14" t="e">
        <f ca="1">_xll.BDH($B$62,"TOT_DEBT_TO_TOT_EQY","FY "&amp;K$62,"FY "&amp;K$62,"Currency="&amp;$D$13,"Period=FY","BEST_FPERIOD_OVERRIDE=FY","FILING_STATUS=MR","SCALING_FORMAT="&amp;$D$14,"FA_ADJUSTED=Adjusted","Sort=A","Dates=H","DateFormat=P","Fill=0","Direction=H","UseDPDF=Y")/100</f>
        <v>#NAME?</v>
      </c>
      <c r="L68" s="14" t="e">
        <f ca="1">_xll.BDH($B$62,"TOT_DEBT_TO_TOT_EQY","FY "&amp;L$62,"FY "&amp;L$62,"Currency="&amp;$D$13,"Period=FY","BEST_FPERIOD_OVERRIDE=FY","FILING_STATUS=MR","SCALING_FORMAT="&amp;$D$14,"FA_ADJUSTED=Adjusted","Sort=A","Dates=H","DateFormat=P","Fill=0","Direction=H","UseDPDF=Y")/100</f>
        <v>#NAME?</v>
      </c>
      <c r="M68" s="14" t="e">
        <f ca="1">_xll.BDH($B$62,"TOT_DEBT_TO_TOT_EQY","FY "&amp;M$62,"FY "&amp;M$62,"Currency="&amp;$D$13,"Period=FY","BEST_FPERIOD_OVERRIDE=FY","FILING_STATUS=MR","SCALING_FORMAT="&amp;$D$14,"FA_ADJUSTED=Adjusted","Sort=A","Dates=H","DateFormat=P","Fill=0","Direction=H","UseDPDF=Y")/100</f>
        <v>#NAME?</v>
      </c>
      <c r="N68" s="14" t="e">
        <f ca="1">_xll.BDH($B$62,"TOT_DEBT_TO_TOT_EQY","FY "&amp;N$62,"FY "&amp;N$62,"Currency="&amp;$D$13,"Period=FY","BEST_FPERIOD_OVERRIDE=FY","FILING_STATUS=MR","SCALING_FORMAT="&amp;$D$14,"FA_ADJUSTED=Adjusted","Sort=A","Dates=H","DateFormat=P","Fill=0","Direction=H","UseDPDF=Y")/100</f>
        <v>#NAME?</v>
      </c>
      <c r="O68" s="10"/>
      <c r="P68" s="10"/>
      <c r="Q68" s="297">
        <f t="shared" ca="1" si="3"/>
        <v>45946</v>
      </c>
      <c r="R68" s="298">
        <f ca="1">IFERROR(VALUE(_xll.BDH(Inputs!$D$16, "PX_OFFICIAL_CLOSE", $Q68, $Q68)),R69)</f>
        <v>0</v>
      </c>
      <c r="S68" s="298">
        <f ca="1">IFERROR(VALUE(_xll.BDH(Inputs!$D$15, "EQY_SH_OUT", $Q68, $Q68,"SCALING_FORMAT="&amp;Inputs!$R$18)),S69)</f>
        <v>0</v>
      </c>
      <c r="U68" s="378">
        <f t="shared" ca="1" si="2"/>
        <v>0</v>
      </c>
      <c r="W68" s="334">
        <f ca="1">IFERROR(VALUE(_xll.BDH(Inputs!$D$15, "PX_TO_SALES_RATIO", $Q68, $Q68)),W69)</f>
        <v>0</v>
      </c>
    </row>
    <row r="69" spans="1:23" ht="15" customHeight="1">
      <c r="A69" s="10"/>
      <c r="B69" s="10" t="s">
        <v>714</v>
      </c>
      <c r="C69" s="10"/>
      <c r="D69" s="10"/>
      <c r="E69" s="14" t="e">
        <f t="shared" ref="E69:N69" ca="1" si="4">+E64/E63</f>
        <v>#NAME?</v>
      </c>
      <c r="F69" s="14" t="e">
        <f t="shared" ca="1" si="4"/>
        <v>#NAME?</v>
      </c>
      <c r="G69" s="14" t="e">
        <f t="shared" ca="1" si="4"/>
        <v>#NAME?</v>
      </c>
      <c r="H69" s="14" t="e">
        <f t="shared" ca="1" si="4"/>
        <v>#NAME?</v>
      </c>
      <c r="I69" s="14" t="e">
        <f t="shared" ca="1" si="4"/>
        <v>#NAME?</v>
      </c>
      <c r="J69" s="14" t="e">
        <f t="shared" ca="1" si="4"/>
        <v>#NAME?</v>
      </c>
      <c r="K69" s="14" t="e">
        <f t="shared" ca="1" si="4"/>
        <v>#NAME?</v>
      </c>
      <c r="L69" s="14" t="e">
        <f t="shared" ca="1" si="4"/>
        <v>#NAME?</v>
      </c>
      <c r="M69" s="14" t="e">
        <f t="shared" ca="1" si="4"/>
        <v>#NAME?</v>
      </c>
      <c r="N69" s="14" t="e">
        <f t="shared" ca="1" si="4"/>
        <v>#NAME?</v>
      </c>
      <c r="O69" s="10"/>
      <c r="P69" s="10"/>
      <c r="Q69" s="297">
        <f t="shared" ca="1" si="3"/>
        <v>45945</v>
      </c>
      <c r="R69" s="298">
        <f ca="1">IFERROR(VALUE(_xll.BDH(Inputs!$D$16, "PX_OFFICIAL_CLOSE", $Q69, $Q69)),R70)</f>
        <v>0</v>
      </c>
      <c r="S69" s="298">
        <f ca="1">IFERROR(VALUE(_xll.BDH(Inputs!$D$15, "EQY_SH_OUT", $Q69, $Q69,"SCALING_FORMAT="&amp;Inputs!$R$18)),S70)</f>
        <v>0</v>
      </c>
      <c r="U69" s="378">
        <f t="shared" ca="1" si="2"/>
        <v>0</v>
      </c>
      <c r="W69" s="334">
        <f ca="1">IFERROR(VALUE(_xll.BDH(Inputs!$D$15, "PX_TO_SALES_RATIO", $Q69, $Q69)),W70)</f>
        <v>0</v>
      </c>
    </row>
    <row r="70" spans="1:23" ht="15" customHeight="1">
      <c r="A70" s="10"/>
      <c r="B70" s="10" t="s">
        <v>715</v>
      </c>
      <c r="C70" s="10"/>
      <c r="D70" s="10"/>
      <c r="E70" s="347" t="e">
        <f t="shared" ref="E70:N70" ca="1" si="5">+E65/E66</f>
        <v>#NAME?</v>
      </c>
      <c r="F70" s="347" t="e">
        <f t="shared" ca="1" si="5"/>
        <v>#NAME?</v>
      </c>
      <c r="G70" s="347" t="e">
        <f t="shared" ca="1" si="5"/>
        <v>#NAME?</v>
      </c>
      <c r="H70" s="347" t="e">
        <f t="shared" ca="1" si="5"/>
        <v>#NAME?</v>
      </c>
      <c r="I70" s="347" t="e">
        <f t="shared" ca="1" si="5"/>
        <v>#NAME?</v>
      </c>
      <c r="J70" s="347" t="e">
        <f t="shared" ca="1" si="5"/>
        <v>#NAME?</v>
      </c>
      <c r="K70" s="347" t="e">
        <f t="shared" ca="1" si="5"/>
        <v>#NAME?</v>
      </c>
      <c r="L70" s="347" t="e">
        <f t="shared" ca="1" si="5"/>
        <v>#NAME?</v>
      </c>
      <c r="M70" s="347" t="e">
        <f t="shared" ca="1" si="5"/>
        <v>#NAME?</v>
      </c>
      <c r="N70" s="347" t="e">
        <f t="shared" ca="1" si="5"/>
        <v>#NAME?</v>
      </c>
      <c r="O70" s="10"/>
      <c r="P70" s="10"/>
      <c r="Q70" s="297">
        <f t="shared" ca="1" si="3"/>
        <v>45944</v>
      </c>
      <c r="R70" s="298">
        <f ca="1">IFERROR(VALUE(_xll.BDH(Inputs!$D$16, "PX_OFFICIAL_CLOSE", $Q70, $Q70)),R71)</f>
        <v>0</v>
      </c>
      <c r="S70" s="298">
        <f ca="1">IFERROR(VALUE(_xll.BDH(Inputs!$D$15, "EQY_SH_OUT", $Q70, $Q70,"SCALING_FORMAT="&amp;Inputs!$R$18)),S71)</f>
        <v>0</v>
      </c>
      <c r="U70" s="378">
        <f t="shared" ca="1" si="2"/>
        <v>0</v>
      </c>
      <c r="W70" s="334">
        <f ca="1">IFERROR(VALUE(_xll.BDH(Inputs!$D$15, "PX_TO_SALES_RATIO", $Q70, $Q70)),W71)</f>
        <v>0</v>
      </c>
    </row>
    <row r="71" spans="1:23" ht="15" customHeight="1">
      <c r="A71" s="10"/>
      <c r="B71" s="10" t="s">
        <v>716</v>
      </c>
      <c r="C71" s="10"/>
      <c r="D71" s="10"/>
      <c r="E71" s="14" t="e">
        <f t="shared" ref="E71:N71" ca="1" si="6">-E67/E63</f>
        <v>#NAME?</v>
      </c>
      <c r="F71" s="14" t="e">
        <f t="shared" ca="1" si="6"/>
        <v>#NAME?</v>
      </c>
      <c r="G71" s="14" t="e">
        <f t="shared" ca="1" si="6"/>
        <v>#NAME?</v>
      </c>
      <c r="H71" s="14" t="e">
        <f t="shared" ca="1" si="6"/>
        <v>#NAME?</v>
      </c>
      <c r="I71" s="14" t="e">
        <f t="shared" ca="1" si="6"/>
        <v>#NAME?</v>
      </c>
      <c r="J71" s="14" t="e">
        <f t="shared" ca="1" si="6"/>
        <v>#NAME?</v>
      </c>
      <c r="K71" s="14" t="e">
        <f t="shared" ca="1" si="6"/>
        <v>#NAME?</v>
      </c>
      <c r="L71" s="14" t="e">
        <f t="shared" ca="1" si="6"/>
        <v>#NAME?</v>
      </c>
      <c r="M71" s="14" t="e">
        <f t="shared" ca="1" si="6"/>
        <v>#NAME?</v>
      </c>
      <c r="N71" s="14" t="e">
        <f t="shared" ca="1" si="6"/>
        <v>#NAME?</v>
      </c>
      <c r="O71" s="10"/>
      <c r="P71" s="10"/>
      <c r="Q71" s="10"/>
      <c r="R71" s="298"/>
      <c r="S71" s="298"/>
      <c r="U71" s="378"/>
      <c r="W71" s="334"/>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39</v>
      </c>
      <c r="B73" s="348" t="str">
        <f>E21</f>
        <v>ENVA US Equity</v>
      </c>
      <c r="C73" s="349"/>
      <c r="D73" s="349"/>
      <c r="E73" s="346">
        <v>2015</v>
      </c>
      <c r="F73" s="346">
        <f t="shared" ref="F73:N73" si="7">+E73+1</f>
        <v>2016</v>
      </c>
      <c r="G73" s="346">
        <f t="shared" si="7"/>
        <v>2017</v>
      </c>
      <c r="H73" s="346">
        <f t="shared" si="7"/>
        <v>2018</v>
      </c>
      <c r="I73" s="346">
        <f t="shared" si="7"/>
        <v>2019</v>
      </c>
      <c r="J73" s="346">
        <f t="shared" si="7"/>
        <v>2020</v>
      </c>
      <c r="K73" s="346">
        <f t="shared" si="7"/>
        <v>2021</v>
      </c>
      <c r="L73" s="346">
        <f t="shared" si="7"/>
        <v>2022</v>
      </c>
      <c r="M73" s="346">
        <f t="shared" si="7"/>
        <v>2023</v>
      </c>
      <c r="N73" s="346">
        <f t="shared" si="7"/>
        <v>2024</v>
      </c>
      <c r="O73" s="10"/>
      <c r="P73" s="10"/>
      <c r="Q73" s="10"/>
      <c r="R73" s="10"/>
      <c r="S73" s="10"/>
      <c r="T73" s="10"/>
      <c r="U73" s="10"/>
      <c r="V73" s="10"/>
      <c r="W73" s="10"/>
    </row>
    <row r="74" spans="1:23" ht="15" customHeight="1">
      <c r="A74" s="10"/>
      <c r="B74" s="10" t="s">
        <v>188</v>
      </c>
      <c r="C74" s="10"/>
      <c r="D74" s="10"/>
      <c r="E74" s="11">
        <f>_xll.BDH($B$73,"SALES_REV_TURN","FY "&amp;E$62,"FY "&amp;E$62,"Currency="&amp;$D$13,"Period=FY","BEST_FPERIOD_OVERRIDE=FY","FILING_STATUS=MR","SCALING_FORMAT="&amp;$D$14,"FA_ADJUSTED=Adjusted","Sort=A","Dates=H","DateFormat=P","Fill=0","Direction=H","UseDPDF=Y")</f>
        <v>652.6</v>
      </c>
      <c r="F74" s="11">
        <f>_xll.BDH($B$73,"SALES_REV_TURN","FY "&amp;F$62,"FY "&amp;F$62,"Currency="&amp;$D$13,"Period=FY","BEST_FPERIOD_OVERRIDE=FY","FILING_STATUS=MR","SCALING_FORMAT="&amp;$D$14,"FA_ADJUSTED=Adjusted","Sort=A","Dates=H","DateFormat=P","Fill=0","Direction=H","UseDPDF=Y")</f>
        <v>745.56899999999996</v>
      </c>
      <c r="G74" s="11">
        <f>_xll.BDH($B$73,"SALES_REV_TURN","FY "&amp;G$62,"FY "&amp;G$62,"Currency="&amp;$D$13,"Period=FY","BEST_FPERIOD_OVERRIDE=FY","FILING_STATUS=MR","SCALING_FORMAT="&amp;$D$14,"FA_ADJUSTED=Adjusted","Sort=A","Dates=H","DateFormat=P","Fill=0","Direction=H","UseDPDF=Y")</f>
        <v>843.74099999999999</v>
      </c>
      <c r="H74" s="11">
        <f>_xll.BDH($B$73,"SALES_REV_TURN","FY "&amp;H$62,"FY "&amp;H$62,"Currency="&amp;$D$13,"Period=FY","BEST_FPERIOD_OVERRIDE=FY","FILING_STATUS=MR","SCALING_FORMAT="&amp;$D$14,"FA_ADJUSTED=Adjusted","Sort=A","Dates=H","DateFormat=P","Fill=0","Direction=H","UseDPDF=Y")</f>
        <v>972.62099999999998</v>
      </c>
      <c r="I74" s="11">
        <f>_xll.BDH($B$73,"SALES_REV_TURN","FY "&amp;I$62,"FY "&amp;I$62,"Currency="&amp;$D$13,"Period=FY","BEST_FPERIOD_OVERRIDE=FY","FILING_STATUS=MR","SCALING_FORMAT="&amp;$D$14,"FA_ADJUSTED=Adjusted","Sort=A","Dates=H","DateFormat=P","Fill=0","Direction=H","UseDPDF=Y")</f>
        <v>1174.7570000000001</v>
      </c>
      <c r="J74" s="11">
        <f>_xll.BDH($B$73,"SALES_REV_TURN","FY "&amp;J$62,"FY "&amp;J$62,"Currency="&amp;$D$13,"Period=FY","BEST_FPERIOD_OVERRIDE=FY","FILING_STATUS=MR","SCALING_FORMAT="&amp;$D$14,"FA_ADJUSTED=Adjusted","Sort=A","Dates=H","DateFormat=P","Fill=0","Direction=H","UseDPDF=Y")</f>
        <v>1083.71</v>
      </c>
      <c r="K74" s="11">
        <f>_xll.BDH($B$73,"SALES_REV_TURN","FY "&amp;K$62,"FY "&amp;K$62,"Currency="&amp;$D$13,"Period=FY","BEST_FPERIOD_OVERRIDE=FY","FILING_STATUS=MR","SCALING_FORMAT="&amp;$D$14,"FA_ADJUSTED=Adjusted","Sort=A","Dates=H","DateFormat=P","Fill=0","Direction=H","UseDPDF=Y")</f>
        <v>1207.932</v>
      </c>
      <c r="L74" s="11">
        <f>_xll.BDH($B$73,"SALES_REV_TURN","FY "&amp;L$62,"FY "&amp;L$62,"Currency="&amp;$D$13,"Period=FY","BEST_FPERIOD_OVERRIDE=FY","FILING_STATUS=MR","SCALING_FORMAT="&amp;$D$14,"FA_ADJUSTED=Adjusted","Sort=A","Dates=H","DateFormat=P","Fill=0","Direction=H","UseDPDF=Y")</f>
        <v>1736.085</v>
      </c>
      <c r="M74" s="11">
        <f>_xll.BDH($B$73,"SALES_REV_TURN","FY "&amp;M$62,"FY "&amp;M$62,"Currency="&amp;$D$13,"Period=FY","BEST_FPERIOD_OVERRIDE=FY","FILING_STATUS=MR","SCALING_FORMAT="&amp;$D$14,"FA_ADJUSTED=Adjusted","Sort=A","Dates=H","DateFormat=P","Fill=0","Direction=H","UseDPDF=Y")</f>
        <v>2117.6390000000001</v>
      </c>
      <c r="N74" s="11">
        <f>_xll.BDH($B$73,"SALES_REV_TURN","FY "&amp;N$62,"FY "&amp;N$62,"Currency="&amp;$D$13,"Period=FY","BEST_FPERIOD_OVERRIDE=FY","FILING_STATUS=MR","SCALING_FORMAT="&amp;$D$14,"FA_ADJUSTED=Adjusted","Sort=A","Dates=H","DateFormat=P","Fill=0","Direction=H","UseDPDF=Y")</f>
        <v>2657.8</v>
      </c>
      <c r="O74" s="10"/>
      <c r="S74" s="10"/>
      <c r="T74" s="10"/>
      <c r="U74" s="10"/>
      <c r="V74" s="10"/>
      <c r="W74" s="10"/>
    </row>
    <row r="75" spans="1:23" ht="15" customHeight="1">
      <c r="A75" s="10"/>
      <c r="B75" s="10" t="s">
        <v>711</v>
      </c>
      <c r="C75" s="10"/>
      <c r="D75" s="10"/>
      <c r="E75" s="11">
        <f>_xll.BDH($B$73,"IS_OPER_INC","FY "&amp;E$62,"FY "&amp;E$62,"Currency="&amp;$D$13,"Period=FY","BEST_FPERIOD_OVERRIDE=FY","FILING_STATUS=MR","SCALING_FORMAT="&amp;$D$14,"FA_ADJUSTED=Adjusted","Sort=A","Dates=H","DateFormat=P","Fill=0","Direction=H","UseDPDF=Y")</f>
        <v>127.657</v>
      </c>
      <c r="F75" s="11">
        <f>_xll.BDH($B$73,"IS_OPER_INC","FY "&amp;F$62,"FY "&amp;F$62,"Currency="&amp;$D$13,"Period=FY","BEST_FPERIOD_OVERRIDE=FY","FILING_STATUS=MR","SCALING_FORMAT="&amp;$D$14,"FA_ADJUSTED=Adjusted","Sort=A","Dates=H","DateFormat=P","Fill=0","Direction=H","UseDPDF=Y")</f>
        <v>118.17700000000001</v>
      </c>
      <c r="G75" s="11">
        <f>_xll.BDH($B$73,"IS_OPER_INC","FY "&amp;G$62,"FY "&amp;G$62,"Currency="&amp;$D$13,"Period=FY","BEST_FPERIOD_OVERRIDE=FY","FILING_STATUS=MR","SCALING_FORMAT="&amp;$D$14,"FA_ADJUSTED=Adjusted","Sort=A","Dates=H","DateFormat=P","Fill=0","Direction=H","UseDPDF=Y")</f>
        <v>132.05600000000001</v>
      </c>
      <c r="H75" s="11">
        <f>_xll.BDH($B$73,"IS_OPER_INC","FY "&amp;H$62,"FY "&amp;H$62,"Currency="&amp;$D$13,"Period=FY","BEST_FPERIOD_OVERRIDE=FY","FILING_STATUS=MR","SCALING_FORMAT="&amp;$D$14,"FA_ADJUSTED=Adjusted","Sort=A","Dates=H","DateFormat=P","Fill=0","Direction=H","UseDPDF=Y")</f>
        <v>176.179</v>
      </c>
      <c r="I75" s="11">
        <f>_xll.BDH($B$73,"IS_OPER_INC","FY "&amp;I$62,"FY "&amp;I$62,"Currency="&amp;$D$13,"Period=FY","BEST_FPERIOD_OVERRIDE=FY","FILING_STATUS=MR","SCALING_FORMAT="&amp;$D$14,"FA_ADJUSTED=Adjusted","Sort=A","Dates=H","DateFormat=P","Fill=0","Direction=H","UseDPDF=Y")</f>
        <v>248.93600000000001</v>
      </c>
      <c r="J75" s="11">
        <f>_xll.BDH($B$73,"IS_OPER_INC","FY "&amp;J$62,"FY "&amp;J$62,"Currency="&amp;$D$13,"Period=FY","BEST_FPERIOD_OVERRIDE=FY","FILING_STATUS=MR","SCALING_FORMAT="&amp;$D$14,"FA_ADJUSTED=Adjusted","Sort=A","Dates=H","DateFormat=P","Fill=0","Direction=H","UseDPDF=Y")</f>
        <v>377.82</v>
      </c>
      <c r="K75" s="11">
        <f>_xll.BDH($B$73,"IS_OPER_INC","FY "&amp;K$62,"FY "&amp;K$62,"Currency="&amp;$D$13,"Period=FY","BEST_FPERIOD_OVERRIDE=FY","FILING_STATUS=MR","SCALING_FORMAT="&amp;$D$14,"FA_ADJUSTED=Adjusted","Sort=A","Dates=H","DateFormat=P","Fill=0","Direction=H","UseDPDF=Y")</f>
        <v>422.02199999999999</v>
      </c>
      <c r="L75" s="11">
        <f>_xll.BDH($B$73,"IS_OPER_INC","FY "&amp;L$62,"FY "&amp;L$62,"Currency="&amp;$D$13,"Period=FY","BEST_FPERIOD_OVERRIDE=FY","FILING_STATUS=MR","SCALING_FORMAT="&amp;$D$14,"FA_ADJUSTED=Adjusted","Sort=A","Dates=H","DateFormat=P","Fill=0","Direction=H","UseDPDF=Y")</f>
        <v>383.99200000000002</v>
      </c>
      <c r="M75" s="11">
        <f>_xll.BDH($B$73,"IS_OPER_INC","FY "&amp;M$62,"FY "&amp;M$62,"Currency="&amp;$D$13,"Period=FY","BEST_FPERIOD_OVERRIDE=FY","FILING_STATUS=MR","SCALING_FORMAT="&amp;$D$14,"FA_ADJUSTED=Adjusted","Sort=A","Dates=H","DateFormat=P","Fill=0","Direction=H","UseDPDF=Y")</f>
        <v>443.82979999999998</v>
      </c>
      <c r="N75" s="11">
        <f>_xll.BDH($B$73,"IS_OPER_INC","FY "&amp;N$62,"FY "&amp;N$62,"Currency="&amp;$D$13,"Period=FY","BEST_FPERIOD_OVERRIDE=FY","FILING_STATUS=MR","SCALING_FORMAT="&amp;$D$14,"FA_ADJUSTED=Adjusted","Sort=A","Dates=H","DateFormat=P","Fill=0","Direction=H","UseDPDF=Y")</f>
        <v>585.08500000000004</v>
      </c>
      <c r="O75" s="10"/>
      <c r="S75" s="10"/>
      <c r="T75" s="10"/>
      <c r="U75" s="10"/>
      <c r="V75" s="10"/>
      <c r="W75" s="10"/>
    </row>
    <row r="76" spans="1:23" ht="15" customHeight="1">
      <c r="A76" s="10"/>
      <c r="B76" s="10" t="s">
        <v>234</v>
      </c>
      <c r="C76" s="10"/>
      <c r="D76" s="10"/>
      <c r="E76" s="14">
        <f>_xll.BDP($B$73,"RETURN_ON_INV_CAPITAL","EQY_FUND_YEAR="&amp;E$62)/100</f>
        <v>0.107354636579873</v>
      </c>
      <c r="F76" s="14">
        <f>_xll.BDP($B$73,"RETURN_ON_INV_CAPITAL","EQY_FUND_YEAR="&amp;F$62)/100</f>
        <v>8.9260311248444899E-2</v>
      </c>
      <c r="G76" s="14">
        <f>_xll.BDP($B$73,"RETURN_ON_INV_CAPITAL","EQY_FUND_YEAR="&amp;G$62)/100</f>
        <v>0.10570289292202706</v>
      </c>
      <c r="H76" s="14">
        <f>_xll.BDP($B$73,"RETURN_ON_INV_CAPITAL","EQY_FUND_YEAR="&amp;H$62)/100</f>
        <v>0.14133584336822247</v>
      </c>
      <c r="I76" s="14">
        <f>_xll.BDP($B$73,"RETURN_ON_INV_CAPITAL","EQY_FUND_YEAR="&amp;I$62)/100</f>
        <v>0.14095971730376264</v>
      </c>
      <c r="J76" s="14">
        <f>_xll.BDP($B$73,"RETURN_ON_INV_CAPITAL","EQY_FUND_YEAR="&amp;J$62)/100</f>
        <v>0.18294614148542834</v>
      </c>
      <c r="K76" s="14">
        <f>_xll.BDP($B$73,"RETURN_ON_INV_CAPITAL","EQY_FUND_YEAR="&amp;K$62)/100</f>
        <v>0.14001176904492862</v>
      </c>
      <c r="L76" s="14">
        <f>_xll.BDP($B$73,"RETURN_ON_INV_CAPITAL","EQY_FUND_YEAR="&amp;L$62)/100</f>
        <v>9.7124783880774779E-2</v>
      </c>
      <c r="M76" s="14">
        <f>_xll.BDP($B$73,"RETURN_ON_INV_CAPITAL","EQY_FUND_YEAR="&amp;M$62)/100</f>
        <v>8.4470476539594413E-2</v>
      </c>
      <c r="N76" s="14">
        <f>_xll.BDP($B$73,"RETURN_ON_INV_CAPITAL","EQY_FUND_YEAR="&amp;N$62)/100</f>
        <v>0.10027872676286002</v>
      </c>
      <c r="O76" s="10"/>
      <c r="S76" s="10"/>
      <c r="T76" s="10"/>
      <c r="U76" s="10"/>
      <c r="V76" s="10"/>
      <c r="W76" s="10"/>
    </row>
    <row r="77" spans="1:23" ht="15" customHeight="1">
      <c r="A77" s="10"/>
      <c r="B77" s="10" t="s">
        <v>339</v>
      </c>
      <c r="C77" s="10"/>
      <c r="D77" s="10"/>
      <c r="E77" s="14">
        <f>_xll.BDP($B$73,"wacc","EQY_FUND_YEAR="&amp;E$62)/100</f>
        <v>4.8614007899191423E-2</v>
      </c>
      <c r="F77" s="14">
        <f>_xll.BDP($B$73,"wacc","EQY_FUND_YEAR="&amp;F$62)/100</f>
        <v>6.5323078213826311E-2</v>
      </c>
      <c r="G77" s="14">
        <f>_xll.BDP($B$73,"wacc","EQY_FUND_YEAR="&amp;G$62)/100</f>
        <v>7.1561621809176773E-2</v>
      </c>
      <c r="H77" s="14">
        <f>_xll.BDP($B$73,"wacc","EQY_FUND_YEAR="&amp;H$62)/100</f>
        <v>6.603154048463146E-2</v>
      </c>
      <c r="I77" s="14">
        <f>_xll.BDP($B$73,"wacc","EQY_FUND_YEAR="&amp;I$62)/100</f>
        <v>4.9674704585537022E-2</v>
      </c>
      <c r="J77" s="14">
        <f>_xll.BDP($B$73,"wacc","EQY_FUND_YEAR="&amp;J$62)/100</f>
        <v>7.9409359329231904E-2</v>
      </c>
      <c r="K77" s="14">
        <f>_xll.BDP($B$73,"wacc","EQY_FUND_YEAR="&amp;K$62)/100</f>
        <v>9.5522512732114942E-2</v>
      </c>
      <c r="L77" s="14">
        <f>_xll.BDP($B$73,"wacc","EQY_FUND_YEAR="&amp;L$62)/100</f>
        <v>6.7752285305320945E-2</v>
      </c>
      <c r="M77" s="14">
        <f>_xll.BDP($B$73,"wacc","EQY_FUND_YEAR="&amp;M$62)/100</f>
        <v>7.9470910344909454E-2</v>
      </c>
      <c r="N77" s="14">
        <f>_xll.BDP($B$73,"wacc","EQY_FUND_YEAR="&amp;N$62)/100</f>
        <v>8.3591855702525641E-2</v>
      </c>
      <c r="O77" s="10"/>
      <c r="S77" s="10"/>
      <c r="T77" s="10"/>
      <c r="U77" s="10"/>
      <c r="V77" s="10"/>
      <c r="W77" s="10"/>
    </row>
    <row r="78" spans="1:23" ht="15" customHeight="1">
      <c r="A78" s="10"/>
      <c r="B78" s="10" t="s">
        <v>712</v>
      </c>
      <c r="C78" s="10"/>
      <c r="D78" s="10"/>
      <c r="E78" s="11">
        <f>_xll.BDH($B$73,"ACQUIS_OF_FIXED_INTANG","FY "&amp;E$62,"FY "&amp;E$62,"Currency="&amp;$D$13,"Period=FY","BEST_FPERIOD_OVERRIDE=FY","FILING_STATUS=MR","SCALING_FORMAT="&amp;$D$14,"FA_ADJUSTED=Adjusted","Sort=A","Dates=H","DateFormat=P","Fill=0","Direction=H","UseDPDF=Y")</f>
        <v>-32.241</v>
      </c>
      <c r="F78" s="11">
        <f>_xll.BDH($B$73,"ACQUIS_OF_FIXED_INTANG","FY "&amp;F$62,"FY "&amp;F$62,"Currency="&amp;$D$13,"Period=FY","BEST_FPERIOD_OVERRIDE=FY","FILING_STATUS=MR","SCALING_FORMAT="&amp;$D$14,"FA_ADJUSTED=Adjusted","Sort=A","Dates=H","DateFormat=P","Fill=0","Direction=H","UseDPDF=Y")</f>
        <v>-14.396000000000001</v>
      </c>
      <c r="G78" s="11">
        <f>_xll.BDH($B$73,"ACQUIS_OF_FIXED_INTANG","FY "&amp;G$62,"FY "&amp;G$62,"Currency="&amp;$D$13,"Period=FY","BEST_FPERIOD_OVERRIDE=FY","FILING_STATUS=MR","SCALING_FORMAT="&amp;$D$14,"FA_ADJUSTED=Adjusted","Sort=A","Dates=H","DateFormat=P","Fill=0","Direction=H","UseDPDF=Y")</f>
        <v>-16.527999999999999</v>
      </c>
      <c r="H78" s="11">
        <f>_xll.BDH($B$73,"ACQUIS_OF_FIXED_INTANG","FY "&amp;H$62,"FY "&amp;H$62,"Currency="&amp;$D$13,"Period=FY","BEST_FPERIOD_OVERRIDE=FY","FILING_STATUS=MR","SCALING_FORMAT="&amp;$D$14,"FA_ADJUSTED=Adjusted","Sort=A","Dates=H","DateFormat=P","Fill=0","Direction=H","UseDPDF=Y")</f>
        <v>-14.656000000000001</v>
      </c>
      <c r="I78" s="11">
        <f>_xll.BDH($B$73,"ACQUIS_OF_FIXED_INTANG","FY "&amp;I$62,"FY "&amp;I$62,"Currency="&amp;$D$13,"Period=FY","BEST_FPERIOD_OVERRIDE=FY","FILING_STATUS=MR","SCALING_FORMAT="&amp;$D$14,"FA_ADJUSTED=Adjusted","Sort=A","Dates=H","DateFormat=P","Fill=0","Direction=H","UseDPDF=Y")</f>
        <v>-20.062000000000001</v>
      </c>
      <c r="J78" s="11">
        <f>_xll.BDH($B$73,"ACQUIS_OF_FIXED_INTANG","FY "&amp;J$62,"FY "&amp;J$62,"Currency="&amp;$D$13,"Period=FY","BEST_FPERIOD_OVERRIDE=FY","FILING_STATUS=MR","SCALING_FORMAT="&amp;$D$14,"FA_ADJUSTED=Adjusted","Sort=A","Dates=H","DateFormat=P","Fill=0","Direction=H","UseDPDF=Y")</f>
        <v>-29.491</v>
      </c>
      <c r="K78" s="11">
        <f>_xll.BDH($B$73,"ACQUIS_OF_FIXED_INTANG","FY "&amp;K$62,"FY "&amp;K$62,"Currency="&amp;$D$13,"Period=FY","BEST_FPERIOD_OVERRIDE=FY","FILING_STATUS=MR","SCALING_FORMAT="&amp;$D$14,"FA_ADJUSTED=Adjusted","Sort=A","Dates=H","DateFormat=P","Fill=0","Direction=H","UseDPDF=Y")</f>
        <v>-29.673999999999999</v>
      </c>
      <c r="L78" s="11">
        <f>_xll.BDH($B$73,"ACQUIS_OF_FIXED_INTANG","FY "&amp;L$62,"FY "&amp;L$62,"Currency="&amp;$D$13,"Period=FY","BEST_FPERIOD_OVERRIDE=FY","FILING_STATUS=MR","SCALING_FORMAT="&amp;$D$14,"FA_ADJUSTED=Adjusted","Sort=A","Dates=H","DateFormat=P","Fill=0","Direction=H","UseDPDF=Y")</f>
        <v>-43.628999999999998</v>
      </c>
      <c r="M78" s="11">
        <f>_xll.BDH($B$73,"ACQUIS_OF_FIXED_INTANG","FY "&amp;M$62,"FY "&amp;M$62,"Currency="&amp;$D$13,"Period=FY","BEST_FPERIOD_OVERRIDE=FY","FILING_STATUS=MR","SCALING_FORMAT="&amp;$D$14,"FA_ADJUSTED=Adjusted","Sort=A","Dates=H","DateFormat=P","Fill=0","Direction=H","UseDPDF=Y")</f>
        <v>-45.241</v>
      </c>
      <c r="N78" s="11">
        <f>_xll.BDH($B$73,"ACQUIS_OF_FIXED_INTANG","FY "&amp;N$62,"FY "&amp;N$62,"Currency="&amp;$D$13,"Period=FY","BEST_FPERIOD_OVERRIDE=FY","FILING_STATUS=MR","SCALING_FORMAT="&amp;$D$14,"FA_ADJUSTED=Adjusted","Sort=A","Dates=H","DateFormat=P","Fill=0","Direction=H","UseDPDF=Y")</f>
        <v>-43.421999999999997</v>
      </c>
      <c r="O78" s="10"/>
      <c r="S78" s="10"/>
      <c r="T78" s="10"/>
      <c r="U78" s="10"/>
      <c r="V78" s="10"/>
      <c r="W78" s="10"/>
    </row>
    <row r="79" spans="1:23" ht="15" customHeight="1">
      <c r="A79" s="10"/>
      <c r="B79" s="10" t="s">
        <v>713</v>
      </c>
      <c r="C79" s="10"/>
      <c r="D79" s="10"/>
      <c r="E79" s="14">
        <f>_xll.BDH($B$73,"TOT_DEBT_TO_TOT_EQY","FY "&amp;E$62,"FY "&amp;E$62,"Currency="&amp;$D$13,"Period=FY","BEST_FPERIOD_OVERRIDE=FY","FILING_STATUS=MR","SCALING_FORMAT="&amp;$D$14,"FA_ADJUSTED=Adjusted","Sort=A","Dates=H","DateFormat=P","Fill=0","Direction=H","UseDPDF=Y")/100</f>
        <v>2.6310349999999998</v>
      </c>
      <c r="F79" s="14">
        <f>_xll.BDH($B$73,"TOT_DEBT_TO_TOT_EQY","FY "&amp;F$62,"FY "&amp;F$62,"Currency="&amp;$D$13,"Period=FY","BEST_FPERIOD_OVERRIDE=FY","FILING_STATUS=MR","SCALING_FORMAT="&amp;$D$14,"FA_ADJUSTED=Adjusted","Sort=A","Dates=H","DateFormat=P","Fill=0","Direction=H","UseDPDF=Y")/100</f>
        <v>2.6889270000000001</v>
      </c>
      <c r="G79" s="14">
        <f>_xll.BDH($B$73,"TOT_DEBT_TO_TOT_EQY","FY "&amp;G$62,"FY "&amp;G$62,"Currency="&amp;$D$13,"Period=FY","BEST_FPERIOD_OVERRIDE=FY","FILING_STATUS=MR","SCALING_FORMAT="&amp;$D$14,"FA_ADJUSTED=Adjusted","Sort=A","Dates=H","DateFormat=P","Fill=0","Direction=H","UseDPDF=Y")/100</f>
        <v>2.7993549999999998</v>
      </c>
      <c r="H79" s="14">
        <f>_xll.BDH($B$73,"TOT_DEBT_TO_TOT_EQY","FY "&amp;H$62,"FY "&amp;H$62,"Currency="&amp;$D$13,"Period=FY","BEST_FPERIOD_OVERRIDE=FY","FILING_STATUS=MR","SCALING_FORMAT="&amp;$D$14,"FA_ADJUSTED=Adjusted","Sort=A","Dates=H","DateFormat=P","Fill=0","Direction=H","UseDPDF=Y")/100</f>
        <v>2.466958</v>
      </c>
      <c r="I79" s="14">
        <f>_xll.BDH($B$73,"TOT_DEBT_TO_TOT_EQY","FY "&amp;I$62,"FY "&amp;I$62,"Currency="&amp;$D$13,"Period=FY","BEST_FPERIOD_OVERRIDE=FY","FILING_STATUS=MR","SCALING_FORMAT="&amp;$D$14,"FA_ADJUSTED=Adjusted","Sort=A","Dates=H","DateFormat=P","Fill=0","Direction=H","UseDPDF=Y")/100</f>
        <v>2.7458819999999999</v>
      </c>
      <c r="J79" s="14">
        <f>_xll.BDH($B$73,"TOT_DEBT_TO_TOT_EQY","FY "&amp;J$62,"FY "&amp;J$62,"Currency="&amp;$D$13,"Period=FY","BEST_FPERIOD_OVERRIDE=FY","FILING_STATUS=MR","SCALING_FORMAT="&amp;$D$14,"FA_ADJUSTED=Adjusted","Sort=A","Dates=H","DateFormat=P","Fill=0","Direction=H","UseDPDF=Y")/100</f>
        <v>1.120412</v>
      </c>
      <c r="K79" s="14">
        <f>_xll.BDH($B$73,"TOT_DEBT_TO_TOT_EQY","FY "&amp;K$62,"FY "&amp;K$62,"Currency="&amp;$D$13,"Period=FY","BEST_FPERIOD_OVERRIDE=FY","FILING_STATUS=MR","SCALING_FORMAT="&amp;$D$14,"FA_ADJUSTED=Adjusted","Sort=A","Dates=H","DateFormat=P","Fill=0","Direction=H","UseDPDF=Y")/100</f>
        <v>1.3140020000000001</v>
      </c>
      <c r="L79" s="14">
        <f>_xll.BDH($B$73,"TOT_DEBT_TO_TOT_EQY","FY "&amp;L$62,"FY "&amp;L$62,"Currency="&amp;$D$13,"Period=FY","BEST_FPERIOD_OVERRIDE=FY","FILING_STATUS=MR","SCALING_FORMAT="&amp;$D$14,"FA_ADJUSTED=Adjusted","Sort=A","Dates=H","DateFormat=P","Fill=0","Direction=H","UseDPDF=Y")/100</f>
        <v>1.940539</v>
      </c>
      <c r="M79" s="14">
        <f>_xll.BDH($B$73,"TOT_DEBT_TO_TOT_EQY","FY "&amp;M$62,"FY "&amp;M$62,"Currency="&amp;$D$13,"Period=FY","BEST_FPERIOD_OVERRIDE=FY","FILING_STATUS=MR","SCALING_FORMAT="&amp;$D$14,"FA_ADJUSTED=Adjusted","Sort=A","Dates=H","DateFormat=P","Fill=0","Direction=H","UseDPDF=Y")/100</f>
        <v>2.3981469999999998</v>
      </c>
      <c r="N79" s="14">
        <f>_xll.BDH($B$73,"TOT_DEBT_TO_TOT_EQY","FY "&amp;N$62,"FY "&amp;N$62,"Currency="&amp;$D$13,"Period=FY","BEST_FPERIOD_OVERRIDE=FY","FILING_STATUS=MR","SCALING_FORMAT="&amp;$D$14,"FA_ADJUSTED=Adjusted","Sort=A","Dates=H","DateFormat=P","Fill=0","Direction=H","UseDPDF=Y")/100</f>
        <v>3.0069720000000002</v>
      </c>
      <c r="O79" s="10"/>
      <c r="S79" s="10"/>
      <c r="T79" s="10"/>
      <c r="U79" s="10"/>
      <c r="V79" s="10"/>
      <c r="W79" s="10"/>
    </row>
    <row r="80" spans="1:23" ht="15" customHeight="1">
      <c r="A80" s="10"/>
      <c r="B80" s="10" t="s">
        <v>714</v>
      </c>
      <c r="C80" s="10"/>
      <c r="D80" s="10"/>
      <c r="E80" s="14">
        <f t="shared" ref="E80:N80" si="8">+E75/E74</f>
        <v>0.19561293288384921</v>
      </c>
      <c r="F80" s="14">
        <f t="shared" si="8"/>
        <v>0.15850578551415095</v>
      </c>
      <c r="G80" s="14">
        <f t="shared" si="8"/>
        <v>0.15651248428131384</v>
      </c>
      <c r="H80" s="14">
        <f t="shared" si="8"/>
        <v>0.18113838792294223</v>
      </c>
      <c r="I80" s="14">
        <f t="shared" si="8"/>
        <v>0.21190424913407624</v>
      </c>
      <c r="J80" s="14">
        <f t="shared" si="8"/>
        <v>0.34863570512406455</v>
      </c>
      <c r="K80" s="14">
        <f t="shared" si="8"/>
        <v>0.34937562710483699</v>
      </c>
      <c r="L80" s="14">
        <f t="shared" si="8"/>
        <v>0.22118271858808758</v>
      </c>
      <c r="M80" s="14">
        <f t="shared" si="8"/>
        <v>0.20958709203976691</v>
      </c>
      <c r="N80" s="14">
        <f t="shared" si="8"/>
        <v>0.22013883663180073</v>
      </c>
      <c r="O80" s="10"/>
      <c r="S80" s="10"/>
      <c r="T80" s="10"/>
      <c r="U80" s="10"/>
      <c r="V80" s="10"/>
      <c r="W80" s="10"/>
    </row>
    <row r="81" spans="1:23" ht="15" customHeight="1">
      <c r="A81" s="10"/>
      <c r="B81" s="10" t="s">
        <v>715</v>
      </c>
      <c r="C81" s="10"/>
      <c r="D81" s="10"/>
      <c r="E81" s="347">
        <f t="shared" ref="E81:N81" si="9">+E76/E77</f>
        <v>2.208306642860824</v>
      </c>
      <c r="F81" s="347">
        <f t="shared" si="9"/>
        <v>1.3664437391676993</v>
      </c>
      <c r="G81" s="347">
        <f t="shared" si="9"/>
        <v>1.4770891191355329</v>
      </c>
      <c r="H81" s="347">
        <f t="shared" si="9"/>
        <v>2.1404292907738194</v>
      </c>
      <c r="I81" s="347">
        <f t="shared" si="9"/>
        <v>2.8376558749541831</v>
      </c>
      <c r="J81" s="347">
        <f t="shared" si="9"/>
        <v>2.3038360091400816</v>
      </c>
      <c r="K81" s="347">
        <f t="shared" si="9"/>
        <v>1.4657462941493191</v>
      </c>
      <c r="L81" s="347">
        <f t="shared" si="9"/>
        <v>1.4335277908795063</v>
      </c>
      <c r="M81" s="347">
        <f t="shared" si="9"/>
        <v>1.0629106445740522</v>
      </c>
      <c r="N81" s="347">
        <f t="shared" si="9"/>
        <v>1.1996231680717455</v>
      </c>
      <c r="O81" s="10"/>
      <c r="S81" s="10"/>
      <c r="T81" s="10"/>
      <c r="U81" s="10"/>
      <c r="V81" s="10"/>
      <c r="W81" s="10"/>
    </row>
    <row r="82" spans="1:23" ht="15" customHeight="1">
      <c r="A82" s="10"/>
      <c r="B82" s="10" t="s">
        <v>716</v>
      </c>
      <c r="C82" s="10"/>
      <c r="D82" s="10"/>
      <c r="E82" s="14">
        <f t="shared" ref="E82:N82" si="10">-E78/E74</f>
        <v>4.9403922770456632E-2</v>
      </c>
      <c r="F82" s="14">
        <f t="shared" si="10"/>
        <v>1.9308742718648443E-2</v>
      </c>
      <c r="G82" s="14">
        <f t="shared" si="10"/>
        <v>1.9588949689537428E-2</v>
      </c>
      <c r="H82" s="14">
        <f t="shared" si="10"/>
        <v>1.5068562163473749E-2</v>
      </c>
      <c r="I82" s="14">
        <f t="shared" si="10"/>
        <v>1.7077574340906246E-2</v>
      </c>
      <c r="J82" s="14">
        <f t="shared" si="10"/>
        <v>2.7212999787766097E-2</v>
      </c>
      <c r="K82" s="14">
        <f t="shared" si="10"/>
        <v>2.4565952388048332E-2</v>
      </c>
      <c r="L82" s="14">
        <f t="shared" si="10"/>
        <v>2.5130681965456758E-2</v>
      </c>
      <c r="M82" s="14">
        <f t="shared" si="10"/>
        <v>2.1363886857013872E-2</v>
      </c>
      <c r="N82" s="14">
        <f t="shared" si="10"/>
        <v>1.6337572428324176E-2</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39</v>
      </c>
      <c r="B84" s="348" t="str">
        <f>+E22</f>
        <v>RM US Equity</v>
      </c>
      <c r="C84" s="349"/>
      <c r="D84" s="349"/>
      <c r="E84" s="346">
        <f>+E73</f>
        <v>2015</v>
      </c>
      <c r="F84" s="346">
        <f>+F73</f>
        <v>2016</v>
      </c>
      <c r="G84" s="346">
        <f>+G73</f>
        <v>2017</v>
      </c>
      <c r="H84" s="346">
        <f t="shared" ref="H84:N84" si="11">+G84+1</f>
        <v>2018</v>
      </c>
      <c r="I84" s="346">
        <f t="shared" si="11"/>
        <v>2019</v>
      </c>
      <c r="J84" s="346">
        <f t="shared" si="11"/>
        <v>2020</v>
      </c>
      <c r="K84" s="346">
        <f t="shared" si="11"/>
        <v>2021</v>
      </c>
      <c r="L84" s="346">
        <f t="shared" si="11"/>
        <v>2022</v>
      </c>
      <c r="M84" s="346">
        <f t="shared" si="11"/>
        <v>2023</v>
      </c>
      <c r="N84" s="346">
        <f t="shared" si="11"/>
        <v>2024</v>
      </c>
      <c r="O84" s="10"/>
      <c r="S84" s="10"/>
      <c r="T84" s="10"/>
      <c r="U84" s="10"/>
      <c r="V84" s="10"/>
      <c r="W84" s="10"/>
    </row>
    <row r="85" spans="1:23" ht="15" customHeight="1">
      <c r="A85" s="10"/>
      <c r="B85" s="10" t="s">
        <v>188</v>
      </c>
      <c r="C85" s="10"/>
      <c r="D85" s="10"/>
      <c r="E85" s="11">
        <f>_xll.BDH($B$84,"SALES_REV_TURN","FY "&amp;E$62,"FY "&amp;E$62,"Currency="&amp;$D$13,"Period=FY","BEST_FPERIOD_OVERRIDE=FY","FILING_STATUS=MR","SCALING_FORMAT="&amp;$D$14,"FA_ADJUSTED=Adjusted","Sort=A","Dates=H","DateFormat=P","Fill=0","Direction=H","UseDPDF=Y")</f>
        <v>217.30600000000001</v>
      </c>
      <c r="F85" s="11">
        <f>_xll.BDH($B$84,"SALES_REV_TURN","FY "&amp;F$62,"FY "&amp;F$62,"Currency="&amp;$D$13,"Period=FY","BEST_FPERIOD_OVERRIDE=FY","FILING_STATUS=MR","SCALING_FORMAT="&amp;$D$14,"FA_ADJUSTED=Adjusted","Sort=A","Dates=H","DateFormat=P","Fill=0","Direction=H","UseDPDF=Y")</f>
        <v>240.518</v>
      </c>
      <c r="G85" s="11">
        <f>_xll.BDH($B$84,"SALES_REV_TURN","FY "&amp;G$62,"FY "&amp;G$62,"Currency="&amp;$D$13,"Period=FY","BEST_FPERIOD_OVERRIDE=FY","FILING_STATUS=MR","SCALING_FORMAT="&amp;$D$14,"FA_ADJUSTED=Adjusted","Sort=A","Dates=H","DateFormat=P","Fill=0","Direction=H","UseDPDF=Y")</f>
        <v>272.459</v>
      </c>
      <c r="H85" s="11">
        <f>_xll.BDH($B$84,"SALES_REV_TURN","FY "&amp;H$62,"FY "&amp;H$62,"Currency="&amp;$D$13,"Period=FY","BEST_FPERIOD_OVERRIDE=FY","FILING_STATUS=MR","SCALING_FORMAT="&amp;$D$14,"FA_ADJUSTED=Adjusted","Sort=A","Dates=H","DateFormat=P","Fill=0","Direction=H","UseDPDF=Y")</f>
        <v>306.70600000000002</v>
      </c>
      <c r="I85" s="11">
        <f>_xll.BDH($B$84,"SALES_REV_TURN","FY "&amp;I$62,"FY "&amp;I$62,"Currency="&amp;$D$13,"Period=FY","BEST_FPERIOD_OVERRIDE=FY","FILING_STATUS=MR","SCALING_FORMAT="&amp;$D$14,"FA_ADJUSTED=Adjusted","Sort=A","Dates=H","DateFormat=P","Fill=0","Direction=H","UseDPDF=Y")</f>
        <v>355.71300000000002</v>
      </c>
      <c r="J85" s="11">
        <f>_xll.BDH($B$84,"SALES_REV_TURN","FY "&amp;J$62,"FY "&amp;J$62,"Currency="&amp;$D$13,"Period=FY","BEST_FPERIOD_OVERRIDE=FY","FILING_STATUS=MR","SCALING_FORMAT="&amp;$D$14,"FA_ADJUSTED=Adjusted","Sort=A","Dates=H","DateFormat=P","Fill=0","Direction=H","UseDPDF=Y")</f>
        <v>373.90600000000001</v>
      </c>
      <c r="K85" s="11">
        <f>_xll.BDH($B$84,"SALES_REV_TURN","FY "&amp;K$62,"FY "&amp;K$62,"Currency="&amp;$D$13,"Period=FY","BEST_FPERIOD_OVERRIDE=FY","FILING_STATUS=MR","SCALING_FORMAT="&amp;$D$14,"FA_ADJUSTED=Adjusted","Sort=A","Dates=H","DateFormat=P","Fill=0","Direction=H","UseDPDF=Y")</f>
        <v>428.351</v>
      </c>
      <c r="L85" s="11">
        <f>_xll.BDH($B$84,"SALES_REV_TURN","FY "&amp;L$62,"FY "&amp;L$62,"Currency="&amp;$D$13,"Period=FY","BEST_FPERIOD_OVERRIDE=FY","FILING_STATUS=MR","SCALING_FORMAT="&amp;$D$14,"FA_ADJUSTED=Adjusted","Sort=A","Dates=H","DateFormat=P","Fill=0","Direction=H","UseDPDF=Y")</f>
        <v>507.18700000000001</v>
      </c>
      <c r="M85" s="11">
        <f>_xll.BDH($B$84,"SALES_REV_TURN","FY "&amp;M$62,"FY "&amp;M$62,"Currency="&amp;$D$13,"Period=FY","BEST_FPERIOD_OVERRIDE=FY","FILING_STATUS=MR","SCALING_FORMAT="&amp;$D$14,"FA_ADJUSTED=Adjusted","Sort=A","Dates=H","DateFormat=P","Fill=0","Direction=H","UseDPDF=Y")</f>
        <v>551.399</v>
      </c>
      <c r="N85" s="11">
        <f>_xll.BDH($B$84,"SALES_REV_TURN","FY "&amp;N$62,"FY "&amp;N$62,"Currency="&amp;$D$13,"Period=FY","BEST_FPERIOD_OVERRIDE=FY","FILING_STATUS=MR","SCALING_FORMAT="&amp;$D$14,"FA_ADJUSTED=Adjusted","Sort=A","Dates=H","DateFormat=P","Fill=0","Direction=H","UseDPDF=Y")</f>
        <v>588.50300000000004</v>
      </c>
      <c r="O85" s="10"/>
      <c r="S85" s="10"/>
      <c r="T85" s="10"/>
      <c r="U85" s="10"/>
      <c r="V85" s="10"/>
      <c r="W85" s="10"/>
    </row>
    <row r="86" spans="1:23" ht="15" customHeight="1">
      <c r="A86" s="10"/>
      <c r="B86" s="10" t="s">
        <v>711</v>
      </c>
      <c r="C86" s="10"/>
      <c r="D86" s="10"/>
      <c r="E86" s="11">
        <f>_xll.BDH($B$84,"IS_OPER_INC","FY "&amp;E$62,"FY "&amp;E$62,"Currency="&amp;$D$13,"Period=FY","BEST_FPERIOD_OVERRIDE=FY","FILING_STATUS=MR","SCALING_FORMAT="&amp;$D$14,"FA_ADJUSTED=Adjusted","Sort=A","Dates=H","DateFormat=P","Fill=0","Direction=H","UseDPDF=Y")</f>
        <v>39.284999999999997</v>
      </c>
      <c r="F86" s="11">
        <f>_xll.BDH($B$84,"IS_OPER_INC","FY "&amp;F$62,"FY "&amp;F$62,"Currency="&amp;$D$13,"Period=FY","BEST_FPERIOD_OVERRIDE=FY","FILING_STATUS=MR","SCALING_FORMAT="&amp;$D$14,"FA_ADJUSTED=Adjusted","Sort=A","Dates=H","DateFormat=P","Fill=0","Direction=H","UseDPDF=Y")</f>
        <v>40.540999999999997</v>
      </c>
      <c r="G86" s="11">
        <f>_xll.BDH($B$84,"IS_OPER_INC","FY "&amp;G$62,"FY "&amp;G$62,"Currency="&amp;$D$13,"Period=FY","BEST_FPERIOD_OVERRIDE=FY","FILING_STATUS=MR","SCALING_FORMAT="&amp;$D$14,"FA_ADJUSTED=Adjusted","Sort=A","Dates=H","DateFormat=P","Fill=0","Direction=H","UseDPDF=Y")</f>
        <v>42.218499999999999</v>
      </c>
      <c r="H86" s="11">
        <f>_xll.BDH($B$84,"IS_OPER_INC","FY "&amp;H$62,"FY "&amp;H$62,"Currency="&amp;$D$13,"Period=FY","BEST_FPERIOD_OVERRIDE=FY","FILING_STATUS=MR","SCALING_FORMAT="&amp;$D$14,"FA_ADJUSTED=Adjusted","Sort=A","Dates=H","DateFormat=P","Fill=0","Direction=H","UseDPDF=Y")</f>
        <v>55.152000000000001</v>
      </c>
      <c r="I86" s="11">
        <f>_xll.BDH($B$84,"IS_OPER_INC","FY "&amp;I$62,"FY "&amp;I$62,"Currency="&amp;$D$13,"Period=FY","BEST_FPERIOD_OVERRIDE=FY","FILING_STATUS=MR","SCALING_FORMAT="&amp;$D$14,"FA_ADJUSTED=Adjusted","Sort=A","Dates=H","DateFormat=P","Fill=0","Direction=H","UseDPDF=Y")</f>
        <v>61.317999999999998</v>
      </c>
      <c r="J86" s="11">
        <f>_xll.BDH($B$84,"IS_OPER_INC","FY "&amp;J$62,"FY "&amp;J$62,"Currency="&amp;$D$13,"Period=FY","BEST_FPERIOD_OVERRIDE=FY","FILING_STATUS=MR","SCALING_FORMAT="&amp;$D$14,"FA_ADJUSTED=Adjusted","Sort=A","Dates=H","DateFormat=P","Fill=0","Direction=H","UseDPDF=Y")</f>
        <v>40.491999999999997</v>
      </c>
      <c r="K86" s="11">
        <f>_xll.BDH($B$84,"IS_OPER_INC","FY "&amp;K$62,"FY "&amp;K$62,"Currency="&amp;$D$13,"Period=FY","BEST_FPERIOD_OVERRIDE=FY","FILING_STATUS=MR","SCALING_FORMAT="&amp;$D$14,"FA_ADJUSTED=Adjusted","Sort=A","Dates=H","DateFormat=P","Fill=0","Direction=H","UseDPDF=Y")</f>
        <v>112.473</v>
      </c>
      <c r="L86" s="11">
        <f>_xll.BDH($B$84,"IS_OPER_INC","FY "&amp;L$62,"FY "&amp;L$62,"Currency="&amp;$D$13,"Period=FY","BEST_FPERIOD_OVERRIDE=FY","FILING_STATUS=MR","SCALING_FORMAT="&amp;$D$14,"FA_ADJUSTED=Adjusted","Sort=A","Dates=H","DateFormat=P","Fill=0","Direction=H","UseDPDF=Y")</f>
        <v>65.320999999999998</v>
      </c>
      <c r="M86" s="11">
        <f>_xll.BDH($B$84,"IS_OPER_INC","FY "&amp;M$62,"FY "&amp;M$62,"Currency="&amp;$D$13,"Period=FY","BEST_FPERIOD_OVERRIDE=FY","FILING_STATUS=MR","SCALING_FORMAT="&amp;$D$14,"FA_ADJUSTED=Adjusted","Sort=A","Dates=H","DateFormat=P","Fill=0","Direction=H","UseDPDF=Y")</f>
        <v>21.65</v>
      </c>
      <c r="N86" s="11">
        <f>_xll.BDH($B$84,"IS_OPER_INC","FY "&amp;N$62,"FY "&amp;N$62,"Currency="&amp;$D$13,"Period=FY","BEST_FPERIOD_OVERRIDE=FY","FILING_STATUS=MR","SCALING_FORMAT="&amp;$D$14,"FA_ADJUSTED=Adjusted","Sort=A","Dates=H","DateFormat=P","Fill=0","Direction=H","UseDPDF=Y")</f>
        <v>54.481999999999999</v>
      </c>
    </row>
    <row r="87" spans="1:23" ht="15" customHeight="1">
      <c r="A87" s="10"/>
      <c r="B87" s="10" t="s">
        <v>234</v>
      </c>
      <c r="C87" s="10"/>
      <c r="D87" s="10"/>
      <c r="E87" s="14">
        <f>_xll.BDP($B$84,"RETURN_ON_INV_CAPITAL","EQY_FUND_YEAR="&amp;E$62)/100</f>
        <v>0.11685617187093317</v>
      </c>
      <c r="F87" s="14">
        <f>_xll.BDP($B$84,"RETURN_ON_INV_CAPITAL","EQY_FUND_YEAR="&amp;F$62)/100</f>
        <v>0.12523631529423951</v>
      </c>
      <c r="G87" s="14">
        <f>_xll.BDP($B$84,"RETURN_ON_INV_CAPITAL","EQY_FUND_YEAR="&amp;G$62)/100</f>
        <v>0.13626827459386967</v>
      </c>
      <c r="H87" s="14">
        <f>_xll.BDP($B$84,"RETURN_ON_INV_CAPITAL","EQY_FUND_YEAR="&amp;H$62)/100</f>
        <v>0.13557623026947216</v>
      </c>
      <c r="I87" s="14">
        <f>_xll.BDP($B$84,"RETURN_ON_INV_CAPITAL","EQY_FUND_YEAR="&amp;I$62)/100</f>
        <v>0.13362370628205367</v>
      </c>
      <c r="J87" s="14">
        <f>_xll.BDP($B$84,"RETURN_ON_INV_CAPITAL","EQY_FUND_YEAR="&amp;J$62)/100</f>
        <v>0.12592768568770871</v>
      </c>
      <c r="K87" s="14">
        <f>_xll.BDP($B$84,"RETURN_ON_INV_CAPITAL","EQY_FUND_YEAR="&amp;K$62)/100</f>
        <v>0.12920445993943383</v>
      </c>
      <c r="L87" s="14">
        <f>_xll.BDP($B$84,"RETURN_ON_INV_CAPITAL","EQY_FUND_YEAR="&amp;L$62)/100</f>
        <v>0.13871934979945361</v>
      </c>
      <c r="M87" s="14">
        <f>_xll.BDP($B$84,"RETURN_ON_INV_CAPITAL","EQY_FUND_YEAR="&amp;M$62)/100</f>
        <v>0.1247306440283444</v>
      </c>
      <c r="N87" s="14">
        <f>_xll.BDP($B$84,"RETURN_ON_INV_CAPITAL","EQY_FUND_YEAR="&amp;N$62)/100</f>
        <v>0.12710393150159</v>
      </c>
    </row>
    <row r="88" spans="1:23" ht="15" customHeight="1">
      <c r="A88" s="10"/>
      <c r="B88" s="10" t="s">
        <v>339</v>
      </c>
      <c r="C88" s="10"/>
      <c r="D88" s="10"/>
      <c r="E88" s="14">
        <f>_xll.BDP($B$84,"wacc","EQY_FUND_YEAR="&amp;E$62)/100</f>
        <v>4.5056853847447398E-2</v>
      </c>
      <c r="F88" s="14">
        <f>_xll.BDP($B$84,"wacc","EQY_FUND_YEAR="&amp;F$62)/100</f>
        <v>5.843692459803336E-2</v>
      </c>
      <c r="G88" s="14">
        <f>_xll.BDP($B$84,"wacc","EQY_FUND_YEAR="&amp;G$62)/100</f>
        <v>6.2335655283796906E-2</v>
      </c>
      <c r="H88" s="14">
        <f>_xll.BDP($B$84,"wacc","EQY_FUND_YEAR="&amp;H$62)/100</f>
        <v>4.7932717951522007E-2</v>
      </c>
      <c r="I88" s="14">
        <f>_xll.BDP($B$84,"wacc","EQY_FUND_YEAR="&amp;I$62)/100</f>
        <v>3.322006884742558E-2</v>
      </c>
      <c r="J88" s="14">
        <f>_xll.BDP($B$84,"wacc","EQY_FUND_YEAR="&amp;J$62)/100</f>
        <v>4.5571907201037078E-2</v>
      </c>
      <c r="K88" s="14">
        <f>_xll.BDP($B$84,"wacc","EQY_FUND_YEAR="&amp;K$62)/100</f>
        <v>6.4036746857236204E-2</v>
      </c>
      <c r="L88" s="14">
        <f>_xll.BDP($B$84,"wacc","EQY_FUND_YEAR="&amp;L$62)/100</f>
        <v>5.0370623257732311E-2</v>
      </c>
      <c r="M88" s="14">
        <f>_xll.BDP($B$84,"wacc","EQY_FUND_YEAR="&amp;M$62)/100</f>
        <v>5.1877235784892228E-2</v>
      </c>
      <c r="N88" s="14">
        <f>_xll.BDP($B$84,"wacc","EQY_FUND_YEAR="&amp;N$62)/100</f>
        <v>5.8492279327362923E-2</v>
      </c>
    </row>
    <row r="89" spans="1:23" ht="15" customHeight="1">
      <c r="A89" s="10"/>
      <c r="B89" s="10" t="s">
        <v>712</v>
      </c>
      <c r="C89" s="10"/>
      <c r="D89" s="10"/>
      <c r="E89" s="11">
        <f>_xll.BDH($B$84,"ACQUIS_OF_FIXED_INTANG","FY "&amp;E$62,"FY "&amp;E$62,"Currency="&amp;$D$13,"Period=FY","BEST_FPERIOD_OVERRIDE=FY","FILING_STATUS=MR","SCALING_FORMAT="&amp;$D$14,"FA_ADJUSTED=Adjusted","Sort=A","Dates=H","DateFormat=P","Fill=0","Direction=H","UseDPDF=Y")</f>
        <v>0</v>
      </c>
      <c r="F89" s="11">
        <f>_xll.BDH($B$84,"ACQUIS_OF_FIXED_INTANG","FY "&amp;F$62,"FY "&amp;F$62,"Currency="&amp;$D$13,"Period=FY","BEST_FPERIOD_OVERRIDE=FY","FILING_STATUS=MR","SCALING_FORMAT="&amp;$D$14,"FA_ADJUSTED=Adjusted","Sort=A","Dates=H","DateFormat=P","Fill=0","Direction=H","UseDPDF=Y")</f>
        <v>0</v>
      </c>
      <c r="G89" s="11">
        <f>_xll.BDH($B$84,"ACQUIS_OF_FIXED_INTANG","FY "&amp;G$62,"FY "&amp;G$62,"Currency="&amp;$D$13,"Period=FY","BEST_FPERIOD_OVERRIDE=FY","FILING_STATUS=MR","SCALING_FORMAT="&amp;$D$14,"FA_ADJUSTED=Adjusted","Sort=A","Dates=H","DateFormat=P","Fill=0","Direction=H","UseDPDF=Y")</f>
        <v>0</v>
      </c>
      <c r="H89" s="11">
        <f>_xll.BDH($B$84,"ACQUIS_OF_FIXED_INTANG","FY "&amp;H$62,"FY "&amp;H$62,"Currency="&amp;$D$13,"Period=FY","BEST_FPERIOD_OVERRIDE=FY","FILING_STATUS=MR","SCALING_FORMAT="&amp;$D$14,"FA_ADJUSTED=Adjusted","Sort=A","Dates=H","DateFormat=P","Fill=0","Direction=H","UseDPDF=Y")</f>
        <v>0</v>
      </c>
      <c r="I89" s="11">
        <f>_xll.BDH($B$84,"ACQUIS_OF_FIXED_INTANG","FY "&amp;I$62,"FY "&amp;I$62,"Currency="&amp;$D$13,"Period=FY","BEST_FPERIOD_OVERRIDE=FY","FILING_STATUS=MR","SCALING_FORMAT="&amp;$D$14,"FA_ADJUSTED=Adjusted","Sort=A","Dates=H","DateFormat=P","Fill=0","Direction=H","UseDPDF=Y")</f>
        <v>0</v>
      </c>
      <c r="J89" s="11">
        <f>_xll.BDH($B$84,"ACQUIS_OF_FIXED_INTANG","FY "&amp;J$62,"FY "&amp;J$62,"Currency="&amp;$D$13,"Period=FY","BEST_FPERIOD_OVERRIDE=FY","FILING_STATUS=MR","SCALING_FORMAT="&amp;$D$14,"FA_ADJUSTED=Adjusted","Sort=A","Dates=H","DateFormat=P","Fill=0","Direction=H","UseDPDF=Y")</f>
        <v>0</v>
      </c>
      <c r="K89" s="11">
        <f>_xll.BDH($B$84,"ACQUIS_OF_FIXED_INTANG","FY "&amp;K$62,"FY "&amp;K$62,"Currency="&amp;$D$13,"Period=FY","BEST_FPERIOD_OVERRIDE=FY","FILING_STATUS=MR","SCALING_FORMAT="&amp;$D$14,"FA_ADJUSTED=Adjusted","Sort=A","Dates=H","DateFormat=P","Fill=0","Direction=H","UseDPDF=Y")</f>
        <v>0</v>
      </c>
      <c r="L89" s="11">
        <f>_xll.BDH($B$84,"ACQUIS_OF_FIXED_INTANG","FY "&amp;L$62,"FY "&amp;L$62,"Currency="&amp;$D$13,"Period=FY","BEST_FPERIOD_OVERRIDE=FY","FILING_STATUS=MR","SCALING_FORMAT="&amp;$D$14,"FA_ADJUSTED=Adjusted","Sort=A","Dates=H","DateFormat=P","Fill=0","Direction=H","UseDPDF=Y")</f>
        <v>0</v>
      </c>
      <c r="M89" s="11">
        <f>_xll.BDH($B$84,"ACQUIS_OF_FIXED_INTANG","FY "&amp;M$62,"FY "&amp;M$62,"Currency="&amp;$D$13,"Period=FY","BEST_FPERIOD_OVERRIDE=FY","FILING_STATUS=MR","SCALING_FORMAT="&amp;$D$14,"FA_ADJUSTED=Adjusted","Sort=A","Dates=H","DateFormat=P","Fill=0","Direction=H","UseDPDF=Y")</f>
        <v>0</v>
      </c>
      <c r="N89" s="11">
        <f>_xll.BDH($B$84,"ACQUIS_OF_FIXED_INTANG","FY "&amp;N$62,"FY "&amp;N$62,"Currency="&amp;$D$13,"Period=FY","BEST_FPERIOD_OVERRIDE=FY","FILING_STATUS=MR","SCALING_FORMAT="&amp;$D$14,"FA_ADJUSTED=Adjusted","Sort=A","Dates=H","DateFormat=P","Fill=0","Direction=H","UseDPDF=Y")</f>
        <v>0</v>
      </c>
    </row>
    <row r="90" spans="1:23" ht="15" customHeight="1">
      <c r="A90" s="10"/>
      <c r="B90" s="10" t="s">
        <v>713</v>
      </c>
      <c r="C90" s="10"/>
      <c r="D90" s="10"/>
      <c r="E90" s="14">
        <f>_xll.BDH($B$84,"TOT_DEBT_TO_TOT_EQY","FY "&amp;E$62,"FY "&amp;E$62,"Currency="&amp;$D$13,"Period=FY","BEST_FPERIOD_OVERRIDE=FY","FILING_STATUS=MR","SCALING_FORMAT="&amp;$D$14,"FA_ADJUSTED=Adjusted","Sort=A","Dates=H","DateFormat=P","Fill=0","Direction=H","UseDPDF=Y")/100</f>
        <v>2.0035229999999999</v>
      </c>
      <c r="F90" s="14">
        <f>_xll.BDH($B$84,"TOT_DEBT_TO_TOT_EQY","FY "&amp;F$62,"FY "&amp;F$62,"Currency="&amp;$D$13,"Period=FY","BEST_FPERIOD_OVERRIDE=FY","FILING_STATUS=MR","SCALING_FORMAT="&amp;$D$14,"FA_ADJUSTED=Adjusted","Sort=A","Dates=H","DateFormat=P","Fill=0","Direction=H","UseDPDF=Y")/100</f>
        <v>2.3594460000000002</v>
      </c>
      <c r="G90" s="14">
        <f>_xll.BDH($B$84,"TOT_DEBT_TO_TOT_EQY","FY "&amp;G$62,"FY "&amp;G$62,"Currency="&amp;$D$13,"Period=FY","BEST_FPERIOD_OVERRIDE=FY","FILING_STATUS=MR","SCALING_FORMAT="&amp;$D$14,"FA_ADJUSTED=Adjusted","Sort=A","Dates=H","DateFormat=P","Fill=0","Direction=H","UseDPDF=Y")/100</f>
        <v>2.3664160000000001</v>
      </c>
      <c r="H90" s="14">
        <f>_xll.BDH($B$84,"TOT_DEBT_TO_TOT_EQY","FY "&amp;H$62,"FY "&amp;H$62,"Currency="&amp;$D$13,"Period=FY","BEST_FPERIOD_OVERRIDE=FY","FILING_STATUS=MR","SCALING_FORMAT="&amp;$D$14,"FA_ADJUSTED=Adjusted","Sort=A","Dates=H","DateFormat=P","Fill=0","Direction=H","UseDPDF=Y")/100</f>
        <v>2.3332380000000001</v>
      </c>
      <c r="I90" s="14">
        <f>_xll.BDH($B$84,"TOT_DEBT_TO_TOT_EQY","FY "&amp;I$62,"FY "&amp;I$62,"Currency="&amp;$D$13,"Period=FY","BEST_FPERIOD_OVERRIDE=FY","FILING_STATUS=MR","SCALING_FORMAT="&amp;$D$14,"FA_ADJUSTED=Adjusted","Sort=A","Dates=H","DateFormat=P","Fill=0","Direction=H","UseDPDF=Y")/100</f>
        <v>2.7315969999999998</v>
      </c>
      <c r="J90" s="14">
        <f>_xll.BDH($B$84,"TOT_DEBT_TO_TOT_EQY","FY "&amp;J$62,"FY "&amp;J$62,"Currency="&amp;$D$13,"Period=FY","BEST_FPERIOD_OVERRIDE=FY","FILING_STATUS=MR","SCALING_FORMAT="&amp;$D$14,"FA_ADJUSTED=Adjusted","Sort=A","Dates=H","DateFormat=P","Fill=0","Direction=H","UseDPDF=Y")/100</f>
        <v>2.9084240000000001</v>
      </c>
      <c r="K90" s="14">
        <f>_xll.BDH($B$84,"TOT_DEBT_TO_TOT_EQY","FY "&amp;K$62,"FY "&amp;K$62,"Currency="&amp;$D$13,"Period=FY","BEST_FPERIOD_OVERRIDE=FY","FILING_STATUS=MR","SCALING_FORMAT="&amp;$D$14,"FA_ADJUSTED=Adjusted","Sort=A","Dates=H","DateFormat=P","Fill=0","Direction=H","UseDPDF=Y")/100</f>
        <v>3.9883249999999997</v>
      </c>
      <c r="L90" s="14">
        <f>_xll.BDH($B$84,"TOT_DEBT_TO_TOT_EQY","FY "&amp;L$62,"FY "&amp;L$62,"Currency="&amp;$D$13,"Period=FY","BEST_FPERIOD_OVERRIDE=FY","FILING_STATUS=MR","SCALING_FORMAT="&amp;$D$14,"FA_ADJUSTED=Adjusted","Sort=A","Dates=H","DateFormat=P","Fill=0","Direction=H","UseDPDF=Y")/100</f>
        <v>4.4796209999999999</v>
      </c>
      <c r="M90" s="14">
        <f>_xll.BDH($B$84,"TOT_DEBT_TO_TOT_EQY","FY "&amp;M$62,"FY "&amp;M$62,"Currency="&amp;$D$13,"Period=FY","BEST_FPERIOD_OVERRIDE=FY","FILING_STATUS=MR","SCALING_FORMAT="&amp;$D$14,"FA_ADJUSTED=Adjusted","Sort=A","Dates=H","DateFormat=P","Fill=0","Direction=H","UseDPDF=Y")/100</f>
        <v>4.4428539999999996</v>
      </c>
      <c r="N90" s="14">
        <f>_xll.BDH($B$84,"TOT_DEBT_TO_TOT_EQY","FY "&amp;N$62,"FY "&amp;N$62,"Currency="&amp;$D$13,"Period=FY","BEST_FPERIOD_OVERRIDE=FY","FILING_STATUS=MR","SCALING_FORMAT="&amp;$D$14,"FA_ADJUSTED=Adjusted","Sort=A","Dates=H","DateFormat=P","Fill=0","Direction=H","UseDPDF=Y")/100</f>
        <v>4.2359850000000003</v>
      </c>
    </row>
    <row r="91" spans="1:23" ht="15" customHeight="1">
      <c r="A91" s="10"/>
      <c r="B91" s="10" t="s">
        <v>714</v>
      </c>
      <c r="C91" s="10"/>
      <c r="D91" s="10"/>
      <c r="E91" s="14">
        <f t="shared" ref="E91:N91" si="12">+E86/E85</f>
        <v>0.18078193883279797</v>
      </c>
      <c r="F91" s="14">
        <f t="shared" si="12"/>
        <v>0.16855703107459732</v>
      </c>
      <c r="G91" s="14">
        <f t="shared" si="12"/>
        <v>0.15495358934738804</v>
      </c>
      <c r="H91" s="14">
        <f t="shared" si="12"/>
        <v>0.17982041433816096</v>
      </c>
      <c r="I91" s="14">
        <f t="shared" si="12"/>
        <v>0.17238054274091752</v>
      </c>
      <c r="J91" s="14">
        <f t="shared" si="12"/>
        <v>0.10829459810754574</v>
      </c>
      <c r="K91" s="14">
        <f t="shared" si="12"/>
        <v>0.26257204955748908</v>
      </c>
      <c r="L91" s="14">
        <f t="shared" si="12"/>
        <v>0.12879076159286415</v>
      </c>
      <c r="M91" s="14">
        <f t="shared" si="12"/>
        <v>3.926376362670226E-2</v>
      </c>
      <c r="N91" s="14">
        <f t="shared" si="12"/>
        <v>9.2577268085294373E-2</v>
      </c>
    </row>
    <row r="92" spans="1:23" ht="15" customHeight="1">
      <c r="A92" s="10"/>
      <c r="B92" s="10" t="s">
        <v>715</v>
      </c>
      <c r="C92" s="10"/>
      <c r="D92" s="10"/>
      <c r="E92" s="347">
        <f t="shared" ref="E92:N92" si="13">+E87/E88</f>
        <v>2.5935271083636349</v>
      </c>
      <c r="F92" s="347">
        <f t="shared" si="13"/>
        <v>2.1431024331909181</v>
      </c>
      <c r="G92" s="347">
        <f t="shared" si="13"/>
        <v>2.1860406211096701</v>
      </c>
      <c r="H92" s="347">
        <f t="shared" si="13"/>
        <v>2.8284694893911646</v>
      </c>
      <c r="I92" s="347">
        <f t="shared" si="13"/>
        <v>4.0223789690432552</v>
      </c>
      <c r="J92" s="347">
        <f t="shared" si="13"/>
        <v>2.7632744254522441</v>
      </c>
      <c r="K92" s="347">
        <f t="shared" si="13"/>
        <v>2.0176612067362325</v>
      </c>
      <c r="L92" s="347">
        <f t="shared" si="13"/>
        <v>2.7539732651245092</v>
      </c>
      <c r="M92" s="347">
        <f t="shared" si="13"/>
        <v>2.4043425240607879</v>
      </c>
      <c r="N92" s="347">
        <f t="shared" si="13"/>
        <v>2.1730035649701596</v>
      </c>
    </row>
    <row r="93" spans="1:23" ht="15" customHeight="1">
      <c r="A93" s="10"/>
      <c r="B93" s="10" t="s">
        <v>716</v>
      </c>
      <c r="C93" s="10"/>
      <c r="D93" s="10"/>
      <c r="E93" s="14">
        <f t="shared" ref="E93:N93" si="14">-E89/E85</f>
        <v>0</v>
      </c>
      <c r="F93" s="14">
        <f t="shared" si="14"/>
        <v>0</v>
      </c>
      <c r="G93" s="14">
        <f t="shared" si="14"/>
        <v>0</v>
      </c>
      <c r="H93" s="14">
        <f t="shared" si="14"/>
        <v>0</v>
      </c>
      <c r="I93" s="14">
        <f t="shared" si="14"/>
        <v>0</v>
      </c>
      <c r="J93" s="14">
        <f t="shared" si="14"/>
        <v>0</v>
      </c>
      <c r="K93" s="14">
        <f t="shared" si="14"/>
        <v>0</v>
      </c>
      <c r="L93" s="14">
        <f t="shared" si="14"/>
        <v>0</v>
      </c>
      <c r="M93" s="14">
        <f t="shared" si="14"/>
        <v>0</v>
      </c>
      <c r="N93" s="14">
        <f t="shared" si="14"/>
        <v>0</v>
      </c>
    </row>
    <row r="94" spans="1:23" ht="15" customHeight="1">
      <c r="A94" s="10"/>
      <c r="B94" s="10"/>
      <c r="C94" s="10"/>
      <c r="D94" s="10"/>
      <c r="E94" s="10"/>
      <c r="F94" s="10"/>
      <c r="G94" s="10"/>
      <c r="H94" s="10"/>
      <c r="I94" s="10"/>
      <c r="J94" s="10"/>
      <c r="K94" s="10"/>
      <c r="L94" s="10"/>
      <c r="M94" s="10"/>
      <c r="N94" s="10"/>
    </row>
    <row r="95" spans="1:23" ht="15" customHeight="1">
      <c r="A95" s="10" t="s">
        <v>39</v>
      </c>
      <c r="B95" s="348" t="str">
        <f>+E23</f>
        <v>WRLD US Equity</v>
      </c>
      <c r="C95" s="349"/>
      <c r="D95" s="349"/>
      <c r="E95" s="346">
        <f>+E84</f>
        <v>2015</v>
      </c>
      <c r="F95" s="346">
        <f>+F84</f>
        <v>2016</v>
      </c>
      <c r="G95" s="346">
        <f>+G84</f>
        <v>2017</v>
      </c>
      <c r="H95" s="346">
        <f t="shared" ref="H95:N95" si="15">+G95+1</f>
        <v>2018</v>
      </c>
      <c r="I95" s="346">
        <f t="shared" si="15"/>
        <v>2019</v>
      </c>
      <c r="J95" s="346">
        <f t="shared" si="15"/>
        <v>2020</v>
      </c>
      <c r="K95" s="346">
        <f t="shared" si="15"/>
        <v>2021</v>
      </c>
      <c r="L95" s="346">
        <f t="shared" si="15"/>
        <v>2022</v>
      </c>
      <c r="M95" s="346">
        <f t="shared" si="15"/>
        <v>2023</v>
      </c>
      <c r="N95" s="346">
        <f t="shared" si="15"/>
        <v>2024</v>
      </c>
    </row>
    <row r="96" spans="1:23" ht="15" customHeight="1">
      <c r="A96" s="10"/>
      <c r="B96" s="10" t="s">
        <v>188</v>
      </c>
      <c r="C96" s="10"/>
      <c r="D96" s="10"/>
      <c r="E96" s="11">
        <f>_xll.BDH($B$95,"SALES_REV_TURN","FY "&amp;E$62,"FY "&amp;E$62,"Currency="&amp;$D$13,"Period=FY","BEST_FPERIOD_OVERRIDE=FY","FILING_STATUS=MR","SCALING_FORMAT="&amp;$D$14,"FA_ADJUSTED=Adjusted","Sort=A","Dates=H","DateFormat=P","Fill=0","Direction=H","UseDPDF=Y")</f>
        <v>610.21289999999999</v>
      </c>
      <c r="F96" s="11">
        <f>_xll.BDH($B$95,"SALES_REV_TURN","FY "&amp;F$62,"FY "&amp;F$62,"Currency="&amp;$D$13,"Period=FY","BEST_FPERIOD_OVERRIDE=FY","FILING_STATUS=MR","SCALING_FORMAT="&amp;$D$14,"FA_ADJUSTED=Adjusted","Sort=A","Dates=H","DateFormat=P","Fill=0","Direction=H","UseDPDF=Y")</f>
        <v>557.47569999999996</v>
      </c>
      <c r="G96" s="11">
        <f>_xll.BDH($B$95,"SALES_REV_TURN","FY "&amp;G$62,"FY "&amp;G$62,"Currency="&amp;$D$13,"Period=FY","BEST_FPERIOD_OVERRIDE=FY","FILING_STATUS=MR","SCALING_FORMAT="&amp;$D$14,"FA_ADJUSTED=Adjusted","Sort=A","Dates=H","DateFormat=P","Fill=0","Direction=H","UseDPDF=Y")</f>
        <v>531.73469999999998</v>
      </c>
      <c r="H96" s="11">
        <f>_xll.BDH($B$95,"SALES_REV_TURN","FY "&amp;H$62,"FY "&amp;H$62,"Currency="&amp;$D$13,"Period=FY","BEST_FPERIOD_OVERRIDE=FY","FILING_STATUS=MR","SCALING_FORMAT="&amp;$D$14,"FA_ADJUSTED=Adjusted","Sort=A","Dates=H","DateFormat=P","Fill=0","Direction=H","UseDPDF=Y")</f>
        <v>502.66829999999999</v>
      </c>
      <c r="I96" s="11">
        <f>_xll.BDH($B$95,"SALES_REV_TURN","FY "&amp;I$62,"FY "&amp;I$62,"Currency="&amp;$D$13,"Period=FY","BEST_FPERIOD_OVERRIDE=FY","FILING_STATUS=MR","SCALING_FORMAT="&amp;$D$14,"FA_ADJUSTED=Adjusted","Sort=A","Dates=H","DateFormat=P","Fill=0","Direction=H","UseDPDF=Y")</f>
        <v>544.54290000000003</v>
      </c>
      <c r="J96" s="11">
        <f>_xll.BDH($B$95,"SALES_REV_TURN","FY "&amp;J$62,"FY "&amp;J$62,"Currency="&amp;$D$13,"Period=FY","BEST_FPERIOD_OVERRIDE=FY","FILING_STATUS=MR","SCALING_FORMAT="&amp;$D$14,"FA_ADJUSTED=Adjusted","Sort=A","Dates=H","DateFormat=P","Fill=0","Direction=H","UseDPDF=Y")</f>
        <v>590.029</v>
      </c>
      <c r="K96" s="11">
        <f>_xll.BDH($B$95,"SALES_REV_TURN","FY "&amp;K$62,"FY "&amp;K$62,"Currency="&amp;$D$13,"Period=FY","BEST_FPERIOD_OVERRIDE=FY","FILING_STATUS=MR","SCALING_FORMAT="&amp;$D$14,"FA_ADJUSTED=Adjusted","Sort=A","Dates=H","DateFormat=P","Fill=0","Direction=H","UseDPDF=Y")</f>
        <v>525.53330000000005</v>
      </c>
      <c r="L96" s="11">
        <f>_xll.BDH($B$95,"SALES_REV_TURN","FY "&amp;L$62,"FY "&amp;L$62,"Currency="&amp;$D$13,"Period=FY","BEST_FPERIOD_OVERRIDE=FY","FILING_STATUS=MR","SCALING_FORMAT="&amp;$D$14,"FA_ADJUSTED=Adjusted","Sort=A","Dates=H","DateFormat=P","Fill=0","Direction=H","UseDPDF=Y")</f>
        <v>582.38750000000005</v>
      </c>
      <c r="M96" s="11">
        <f>_xll.BDH($B$95,"SALES_REV_TURN","FY "&amp;M$62,"FY "&amp;M$62,"Currency="&amp;$D$13,"Period=FY","BEST_FPERIOD_OVERRIDE=FY","FILING_STATUS=MR","SCALING_FORMAT="&amp;$D$14,"FA_ADJUSTED=Adjusted","Sort=A","Dates=H","DateFormat=P","Fill=0","Direction=H","UseDPDF=Y")</f>
        <v>616.54539999999997</v>
      </c>
      <c r="N96" s="11">
        <f>_xll.BDH($B$95,"SALES_REV_TURN","FY "&amp;N$62,"FY "&amp;N$62,"Currency="&amp;$D$13,"Period=FY","BEST_FPERIOD_OVERRIDE=FY","FILING_STATUS=MR","SCALING_FORMAT="&amp;$D$14,"FA_ADJUSTED=Adjusted","Sort=A","Dates=H","DateFormat=P","Fill=0","Direction=H","UseDPDF=Y")</f>
        <v>573.21339999999998</v>
      </c>
    </row>
    <row r="97" spans="1:14" ht="15" customHeight="1">
      <c r="A97" s="10"/>
      <c r="B97" s="10" t="s">
        <v>711</v>
      </c>
      <c r="C97" s="10"/>
      <c r="D97" s="10"/>
      <c r="E97" s="11">
        <f>_xll.BDH($B$95,"IS_OPER_INC","FY "&amp;E$62,"FY "&amp;E$62,"Currency="&amp;$D$13,"Period=FY","BEST_FPERIOD_OVERRIDE=FY","FILING_STATUS=MR","SCALING_FORMAT="&amp;$D$14,"FA_ADJUSTED=Adjusted","Sort=A","Dates=H","DateFormat=P","Fill=0","Direction=H","UseDPDF=Y")</f>
        <v>176.03030000000001</v>
      </c>
      <c r="F97" s="11">
        <f>_xll.BDH($B$95,"IS_OPER_INC","FY "&amp;F$62,"FY "&amp;F$62,"Currency="&amp;$D$13,"Period=FY","BEST_FPERIOD_OVERRIDE=FY","FILING_STATUS=MR","SCALING_FORMAT="&amp;$D$14,"FA_ADJUSTED=Adjusted","Sort=A","Dates=H","DateFormat=P","Fill=0","Direction=H","UseDPDF=Y")</f>
        <v>137.88849999999999</v>
      </c>
      <c r="G97" s="11">
        <f>_xll.BDH($B$95,"IS_OPER_INC","FY "&amp;G$62,"FY "&amp;G$62,"Currency="&amp;$D$13,"Period=FY","BEST_FPERIOD_OVERRIDE=FY","FILING_STATUS=MR","SCALING_FORMAT="&amp;$D$14,"FA_ADJUSTED=Adjusted","Sort=A","Dates=H","DateFormat=P","Fill=0","Direction=H","UseDPDF=Y")</f>
        <v>113.9675</v>
      </c>
      <c r="H97" s="11">
        <f>_xll.BDH($B$95,"IS_OPER_INC","FY "&amp;H$62,"FY "&amp;H$62,"Currency="&amp;$D$13,"Period=FY","BEST_FPERIOD_OVERRIDE=FY","FILING_STATUS=MR","SCALING_FORMAT="&amp;$D$14,"FA_ADJUSTED=Adjusted","Sort=A","Dates=H","DateFormat=P","Fill=0","Direction=H","UseDPDF=Y")</f>
        <v>97.061000000000007</v>
      </c>
      <c r="I97" s="11">
        <f>_xll.BDH($B$95,"IS_OPER_INC","FY "&amp;I$62,"FY "&amp;I$62,"Currency="&amp;$D$13,"Period=FY","BEST_FPERIOD_OVERRIDE=FY","FILING_STATUS=MR","SCALING_FORMAT="&amp;$D$14,"FA_ADJUSTED=Adjusted","Sort=A","Dates=H","DateFormat=P","Fill=0","Direction=H","UseDPDF=Y")</f>
        <v>89.971800000000002</v>
      </c>
      <c r="J97" s="11">
        <f>_xll.BDH($B$95,"IS_OPER_INC","FY "&amp;J$62,"FY "&amp;J$62,"Currency="&amp;$D$13,"Period=FY","BEST_FPERIOD_OVERRIDE=FY","FILING_STATUS=MR","SCALING_FORMAT="&amp;$D$14,"FA_ADJUSTED=Adjusted","Sort=A","Dates=H","DateFormat=P","Fill=0","Direction=H","UseDPDF=Y")</f>
        <v>48.948700000000002</v>
      </c>
      <c r="K97" s="11">
        <f>_xll.BDH($B$95,"IS_OPER_INC","FY "&amp;K$62,"FY "&amp;K$62,"Currency="&amp;$D$13,"Period=FY","BEST_FPERIOD_OVERRIDE=FY","FILING_STATUS=MR","SCALING_FORMAT="&amp;$D$14,"FA_ADJUSTED=Adjusted","Sort=A","Dates=H","DateFormat=P","Fill=0","Direction=H","UseDPDF=Y")</f>
        <v>116.3158</v>
      </c>
      <c r="L97" s="11">
        <f>_xll.BDH($B$95,"IS_OPER_INC","FY "&amp;L$62,"FY "&amp;L$62,"Currency="&amp;$D$13,"Period=FY","BEST_FPERIOD_OVERRIDE=FY","FILING_STATUS=MR","SCALING_FORMAT="&amp;$D$14,"FA_ADJUSTED=Adjusted","Sort=A","Dates=H","DateFormat=P","Fill=0","Direction=H","UseDPDF=Y")</f>
        <v>65.999300000000005</v>
      </c>
      <c r="M97" s="11">
        <f>_xll.BDH($B$95,"IS_OPER_INC","FY "&amp;M$62,"FY "&amp;M$62,"Currency="&amp;$D$13,"Period=FY","BEST_FPERIOD_OVERRIDE=FY","FILING_STATUS=MR","SCALING_FORMAT="&amp;$D$14,"FA_ADJUSTED=Adjusted","Sort=A","Dates=H","DateFormat=P","Fill=0","Direction=H","UseDPDF=Y")</f>
        <v>27.157599999999999</v>
      </c>
      <c r="N97" s="11">
        <f>_xll.BDH($B$95,"IS_OPER_INC","FY "&amp;N$62,"FY "&amp;N$62,"Currency="&amp;$D$13,"Period=FY","BEST_FPERIOD_OVERRIDE=FY","FILING_STATUS=MR","SCALING_FORMAT="&amp;$D$14,"FA_ADJUSTED=Adjusted","Sort=A","Dates=H","DateFormat=P","Fill=0","Direction=H","UseDPDF=Y")</f>
        <v>99.3506</v>
      </c>
    </row>
    <row r="98" spans="1:14" ht="15" customHeight="1">
      <c r="A98" s="10"/>
      <c r="B98" s="10" t="s">
        <v>234</v>
      </c>
      <c r="C98" s="10"/>
      <c r="D98" s="10"/>
      <c r="E98" s="14">
        <f>_xll.BDP($B$95,"RETURN_ON_INV_CAPITAL","EQY_FUND_YEAR="&amp;E$62)/100</f>
        <v>0.26851622832449112</v>
      </c>
      <c r="F98" s="14">
        <f>_xll.BDP($B$95,"RETURN_ON_INV_CAPITAL","EQY_FUND_YEAR="&amp;F$62)/100</f>
        <v>0.25203916759598805</v>
      </c>
      <c r="G98" s="14">
        <f>_xll.BDP($B$95,"RETURN_ON_INV_CAPITAL","EQY_FUND_YEAR="&amp;G$62)/100</f>
        <v>0.25143184355078707</v>
      </c>
      <c r="H98" s="14">
        <f>_xll.BDP($B$95,"RETURN_ON_INV_CAPITAL","EQY_FUND_YEAR="&amp;H$62)/100</f>
        <v>0.20233325275578204</v>
      </c>
      <c r="I98" s="14">
        <f>_xll.BDP($B$95,"RETURN_ON_INV_CAPITAL","EQY_FUND_YEAR="&amp;I$62)/100</f>
        <v>0.25861956303289368</v>
      </c>
      <c r="J98" s="14">
        <f>_xll.BDP($B$95,"RETURN_ON_INV_CAPITAL","EQY_FUND_YEAR="&amp;J$62)/100</f>
        <v>0.21893936051311946</v>
      </c>
      <c r="K98" s="14">
        <f>_xll.BDP($B$95,"RETURN_ON_INV_CAPITAL","EQY_FUND_YEAR="&amp;K$62)/100</f>
        <v>0.1724600862606353</v>
      </c>
      <c r="L98" s="14">
        <f>_xll.BDP($B$95,"RETURN_ON_INV_CAPITAL","EQY_FUND_YEAR="&amp;L$62)/100</f>
        <v>0.21491215027222213</v>
      </c>
      <c r="M98" s="14">
        <f>_xll.BDP($B$95,"RETURN_ON_INV_CAPITAL","EQY_FUND_YEAR="&amp;M$62)/100</f>
        <v>0.23339874768940427</v>
      </c>
      <c r="N98" s="14">
        <f>_xll.BDP($B$95,"RETURN_ON_INV_CAPITAL","EQY_FUND_YEAR="&amp;N$62)/100</f>
        <v>0.21062470474946773</v>
      </c>
    </row>
    <row r="99" spans="1:14" ht="15" customHeight="1">
      <c r="A99" s="10"/>
      <c r="B99" s="10" t="s">
        <v>339</v>
      </c>
      <c r="C99" s="10"/>
      <c r="D99" s="10"/>
      <c r="E99" s="14">
        <f>_xll.BDP($B$95,"wacc","EQY_FUND_YEAR="&amp;E$62)/100</f>
        <v>5.5468260667999959E-2</v>
      </c>
      <c r="F99" s="14">
        <f>_xll.BDP($B$95,"wacc","EQY_FUND_YEAR="&amp;F$62)/100</f>
        <v>6.1373669277487296E-2</v>
      </c>
      <c r="G99" s="14">
        <f>_xll.BDP($B$95,"wacc","EQY_FUND_YEAR="&amp;G$62)/100</f>
        <v>9.6270797435992553E-2</v>
      </c>
      <c r="H99" s="14">
        <f>_xll.BDP($B$95,"wacc","EQY_FUND_YEAR="&amp;H$62)/100</f>
        <v>0.13493424389692085</v>
      </c>
      <c r="I99" s="14">
        <f>_xll.BDP($B$95,"wacc","EQY_FUND_YEAR="&amp;I$62)/100</f>
        <v>9.3340751208779119E-2</v>
      </c>
      <c r="J99" s="14">
        <f>_xll.BDP($B$95,"wacc","EQY_FUND_YEAR="&amp;J$62)/100</f>
        <v>3.9214324153043066E-2</v>
      </c>
      <c r="K99" s="14">
        <f>_xll.BDP($B$95,"wacc","EQY_FUND_YEAR="&amp;K$62)/100</f>
        <v>7.3793039974887592E-2</v>
      </c>
      <c r="L99" s="14">
        <f>_xll.BDP($B$95,"wacc","EQY_FUND_YEAR="&amp;L$62)/100</f>
        <v>9.0906183248831207E-2</v>
      </c>
      <c r="M99" s="14">
        <f>_xll.BDP($B$95,"wacc","EQY_FUND_YEAR="&amp;M$62)/100</f>
        <v>7.8255472478964735E-2</v>
      </c>
      <c r="N99" s="14">
        <f>_xll.BDP($B$95,"wacc","EQY_FUND_YEAR="&amp;N$62)/100</f>
        <v>9.8668933335013378E-2</v>
      </c>
    </row>
    <row r="100" spans="1:14" ht="15" customHeight="1">
      <c r="A100" s="10"/>
      <c r="B100" s="10" t="s">
        <v>712</v>
      </c>
      <c r="C100" s="10"/>
      <c r="D100" s="10"/>
      <c r="E100" s="11">
        <f>_xll.BDH($B$95,"ACQUIS_OF_FIXED_INTANG","FY "&amp;E$62,"FY "&amp;E$62,"Currency="&amp;$D$13,"Period=FY","BEST_FPERIOD_OVERRIDE=FY","FILING_STATUS=MR","SCALING_FORMAT="&amp;$D$14,"FA_ADJUSTED=Adjusted","Sort=A","Dates=H","DateFormat=P","Fill=0","Direction=H","UseDPDF=Y")</f>
        <v>0</v>
      </c>
      <c r="F100" s="11">
        <f>_xll.BDH($B$95,"ACQUIS_OF_FIXED_INTANG","FY "&amp;F$62,"FY "&amp;F$62,"Currency="&amp;$D$13,"Period=FY","BEST_FPERIOD_OVERRIDE=FY","FILING_STATUS=MR","SCALING_FORMAT="&amp;$D$14,"FA_ADJUSTED=Adjusted","Sort=A","Dates=H","DateFormat=P","Fill=0","Direction=H","UseDPDF=Y")</f>
        <v>0</v>
      </c>
      <c r="G100" s="11">
        <f>_xll.BDH($B$95,"ACQUIS_OF_FIXED_INTANG","FY "&amp;G$62,"FY "&amp;G$62,"Currency="&amp;$D$13,"Period=FY","BEST_FPERIOD_OVERRIDE=FY","FILING_STATUS=MR","SCALING_FORMAT="&amp;$D$14,"FA_ADJUSTED=Adjusted","Sort=A","Dates=H","DateFormat=P","Fill=0","Direction=H","UseDPDF=Y")</f>
        <v>0</v>
      </c>
      <c r="H100" s="11">
        <f>_xll.BDH($B$95,"ACQUIS_OF_FIXED_INTANG","FY "&amp;H$62,"FY "&amp;H$62,"Currency="&amp;$D$13,"Period=FY","BEST_FPERIOD_OVERRIDE=FY","FILING_STATUS=MR","SCALING_FORMAT="&amp;$D$14,"FA_ADJUSTED=Adjusted","Sort=A","Dates=H","DateFormat=P","Fill=0","Direction=H","UseDPDF=Y")</f>
        <v>0</v>
      </c>
      <c r="I100" s="11">
        <f>_xll.BDH($B$95,"ACQUIS_OF_FIXED_INTANG","FY "&amp;I$62,"FY "&amp;I$62,"Currency="&amp;$D$13,"Period=FY","BEST_FPERIOD_OVERRIDE=FY","FILING_STATUS=MR","SCALING_FORMAT="&amp;$D$14,"FA_ADJUSTED=Adjusted","Sort=A","Dates=H","DateFormat=P","Fill=0","Direction=H","UseDPDF=Y")</f>
        <v>0</v>
      </c>
      <c r="J100" s="11">
        <f>_xll.BDH($B$95,"ACQUIS_OF_FIXED_INTANG","FY "&amp;J$62,"FY "&amp;J$62,"Currency="&amp;$D$13,"Period=FY","BEST_FPERIOD_OVERRIDE=FY","FILING_STATUS=MR","SCALING_FORMAT="&amp;$D$14,"FA_ADJUSTED=Adjusted","Sort=A","Dates=H","DateFormat=P","Fill=0","Direction=H","UseDPDF=Y")</f>
        <v>0</v>
      </c>
      <c r="K100" s="11">
        <f>_xll.BDH($B$95,"ACQUIS_OF_FIXED_INTANG","FY "&amp;K$62,"FY "&amp;K$62,"Currency="&amp;$D$13,"Period=FY","BEST_FPERIOD_OVERRIDE=FY","FILING_STATUS=MR","SCALING_FORMAT="&amp;$D$14,"FA_ADJUSTED=Adjusted","Sort=A","Dates=H","DateFormat=P","Fill=0","Direction=H","UseDPDF=Y")</f>
        <v>0</v>
      </c>
      <c r="L100" s="11">
        <f>_xll.BDH($B$95,"ACQUIS_OF_FIXED_INTANG","FY "&amp;L$62,"FY "&amp;L$62,"Currency="&amp;$D$13,"Period=FY","BEST_FPERIOD_OVERRIDE=FY","FILING_STATUS=MR","SCALING_FORMAT="&amp;$D$14,"FA_ADJUSTED=Adjusted","Sort=A","Dates=H","DateFormat=P","Fill=0","Direction=H","UseDPDF=Y")</f>
        <v>0</v>
      </c>
      <c r="M100" s="11">
        <f>_xll.BDH($B$95,"ACQUIS_OF_FIXED_INTANG","FY "&amp;M$62,"FY "&amp;M$62,"Currency="&amp;$D$13,"Period=FY","BEST_FPERIOD_OVERRIDE=FY","FILING_STATUS=MR","SCALING_FORMAT="&amp;$D$14,"FA_ADJUSTED=Adjusted","Sort=A","Dates=H","DateFormat=P","Fill=0","Direction=H","UseDPDF=Y")</f>
        <v>0</v>
      </c>
      <c r="N100" s="11">
        <f>_xll.BDH($B$95,"ACQUIS_OF_FIXED_INTANG","FY "&amp;N$62,"FY "&amp;N$62,"Currency="&amp;$D$13,"Period=FY","BEST_FPERIOD_OVERRIDE=FY","FILING_STATUS=MR","SCALING_FORMAT="&amp;$D$14,"FA_ADJUSTED=Adjusted","Sort=A","Dates=H","DateFormat=P","Fill=0","Direction=H","UseDPDF=Y")</f>
        <v>0</v>
      </c>
    </row>
    <row r="101" spans="1:14" ht="15" customHeight="1">
      <c r="A101" s="10"/>
      <c r="B101" s="10" t="s">
        <v>713</v>
      </c>
      <c r="C101" s="10"/>
      <c r="D101" s="10"/>
      <c r="E101" s="14">
        <f>_xll.BDH($B$95,"TOT_DEBT_TO_TOT_EQY","FY "&amp;E$62,"FY "&amp;E$62,"Currency="&amp;$D$13,"Period=FY","BEST_FPERIOD_OVERRIDE=FY","FILING_STATUS=MR","SCALING_FORMAT="&amp;$D$14,"FA_ADJUSTED=Adjusted","Sort=A","Dates=H","DateFormat=P","Fill=0","Direction=H","UseDPDF=Y")/100</f>
        <v>1.58809</v>
      </c>
      <c r="F101" s="14">
        <f>_xll.BDH($B$95,"TOT_DEBT_TO_TOT_EQY","FY "&amp;F$62,"FY "&amp;F$62,"Currency="&amp;$D$13,"Period=FY","BEST_FPERIOD_OVERRIDE=FY","FILING_STATUS=MR","SCALING_FORMAT="&amp;$D$14,"FA_ADJUSTED=Adjusted","Sort=A","Dates=H","DateFormat=P","Fill=0","Direction=H","UseDPDF=Y")/100</f>
        <v>0.95606899999999995</v>
      </c>
      <c r="G101" s="14">
        <f>_xll.BDH($B$95,"TOT_DEBT_TO_TOT_EQY","FY "&amp;G$62,"FY "&amp;G$62,"Currency="&amp;$D$13,"Period=FY","BEST_FPERIOD_OVERRIDE=FY","FILING_STATUS=MR","SCALING_FORMAT="&amp;$D$14,"FA_ADJUSTED=Adjusted","Sort=A","Dates=H","DateFormat=P","Fill=0","Direction=H","UseDPDF=Y")/100</f>
        <v>0.64012000000000002</v>
      </c>
      <c r="H101" s="14">
        <f>_xll.BDH($B$95,"TOT_DEBT_TO_TOT_EQY","FY "&amp;H$62,"FY "&amp;H$62,"Currency="&amp;$D$13,"Period=FY","BEST_FPERIOD_OVERRIDE=FY","FILING_STATUS=MR","SCALING_FORMAT="&amp;$D$14,"FA_ADJUSTED=Adjusted","Sort=A","Dates=H","DateFormat=P","Fill=0","Direction=H","UseDPDF=Y")/100</f>
        <v>0.45258999999999999</v>
      </c>
      <c r="I101" s="14">
        <f>_xll.BDH($B$95,"TOT_DEBT_TO_TOT_EQY","FY "&amp;I$62,"FY "&amp;I$62,"Currency="&amp;$D$13,"Period=FY","BEST_FPERIOD_OVERRIDE=FY","FILING_STATUS=MR","SCALING_FORMAT="&amp;$D$14,"FA_ADJUSTED=Adjusted","Sort=A","Dates=H","DateFormat=P","Fill=0","Direction=H","UseDPDF=Y")/100</f>
        <v>0.45631700000000003</v>
      </c>
      <c r="J101" s="14">
        <f>_xll.BDH($B$95,"TOT_DEBT_TO_TOT_EQY","FY "&amp;J$62,"FY "&amp;J$62,"Currency="&amp;$D$13,"Period=FY","BEST_FPERIOD_OVERRIDE=FY","FILING_STATUS=MR","SCALING_FORMAT="&amp;$D$14,"FA_ADJUSTED=Adjusted","Sort=A","Dates=H","DateFormat=P","Fill=0","Direction=H","UseDPDF=Y")/100</f>
        <v>1.3444390000000002</v>
      </c>
      <c r="K101" s="14">
        <f>_xll.BDH($B$95,"TOT_DEBT_TO_TOT_EQY","FY "&amp;K$62,"FY "&amp;K$62,"Currency="&amp;$D$13,"Period=FY","BEST_FPERIOD_OVERRIDE=FY","FILING_STATUS=MR","SCALING_FORMAT="&amp;$D$14,"FA_ADJUSTED=Adjusted","Sort=A","Dates=H","DateFormat=P","Fill=0","Direction=H","UseDPDF=Y")/100</f>
        <v>1.2267029999999999</v>
      </c>
      <c r="L101" s="14">
        <f>_xll.BDH($B$95,"TOT_DEBT_TO_TOT_EQY","FY "&amp;L$62,"FY "&amp;L$62,"Currency="&amp;$D$13,"Period=FY","BEST_FPERIOD_OVERRIDE=FY","FILING_STATUS=MR","SCALING_FORMAT="&amp;$D$14,"FA_ADJUSTED=Adjusted","Sort=A","Dates=H","DateFormat=P","Fill=0","Direction=H","UseDPDF=Y")/100</f>
        <v>2.0906030000000002</v>
      </c>
      <c r="M101" s="14">
        <f>_xll.BDH($B$95,"TOT_DEBT_TO_TOT_EQY","FY "&amp;M$62,"FY "&amp;M$62,"Currency="&amp;$D$13,"Period=FY","BEST_FPERIOD_OVERRIDE=FY","FILING_STATUS=MR","SCALING_FORMAT="&amp;$D$14,"FA_ADJUSTED=Adjusted","Sort=A","Dates=H","DateFormat=P","Fill=0","Direction=H","UseDPDF=Y")/100</f>
        <v>1.7625950000000001</v>
      </c>
      <c r="N101" s="14">
        <f>_xll.BDH($B$95,"TOT_DEBT_TO_TOT_EQY","FY "&amp;N$62,"FY "&amp;N$62,"Currency="&amp;$D$13,"Period=FY","BEST_FPERIOD_OVERRIDE=FY","FILING_STATUS=MR","SCALING_FORMAT="&amp;$D$14,"FA_ADJUSTED=Adjusted","Sort=A","Dates=H","DateFormat=P","Fill=0","Direction=H","UseDPDF=Y")/100</f>
        <v>1.3617169999999998</v>
      </c>
    </row>
    <row r="102" spans="1:14" ht="15" customHeight="1">
      <c r="A102" s="10"/>
      <c r="B102" s="10" t="s">
        <v>714</v>
      </c>
      <c r="C102" s="10"/>
      <c r="D102" s="10"/>
      <c r="E102" s="14">
        <f t="shared" ref="E102:N102" si="16">+E97/E96</f>
        <v>0.2884735802864869</v>
      </c>
      <c r="F102" s="14">
        <f t="shared" si="16"/>
        <v>0.2473444133977499</v>
      </c>
      <c r="G102" s="14">
        <f t="shared" si="16"/>
        <v>0.214331507798908</v>
      </c>
      <c r="H102" s="14">
        <f t="shared" si="16"/>
        <v>0.19309154764682795</v>
      </c>
      <c r="I102" s="14">
        <f t="shared" si="16"/>
        <v>0.16522444788096585</v>
      </c>
      <c r="J102" s="14">
        <f t="shared" si="16"/>
        <v>8.2959820618986532E-2</v>
      </c>
      <c r="K102" s="14">
        <f t="shared" si="16"/>
        <v>0.22132907657802081</v>
      </c>
      <c r="L102" s="14">
        <f t="shared" si="16"/>
        <v>0.11332540619432938</v>
      </c>
      <c r="M102" s="14">
        <f t="shared" si="16"/>
        <v>4.4048013333649071E-2</v>
      </c>
      <c r="N102" s="14">
        <f t="shared" si="16"/>
        <v>0.17332218681559086</v>
      </c>
    </row>
    <row r="103" spans="1:14" ht="15" customHeight="1">
      <c r="A103" s="10"/>
      <c r="B103" s="10" t="s">
        <v>715</v>
      </c>
      <c r="C103" s="10"/>
      <c r="D103" s="10"/>
      <c r="E103" s="347">
        <f t="shared" ref="E103:N103" si="17">+E98/E99</f>
        <v>4.8408986525045314</v>
      </c>
      <c r="F103" s="347">
        <f t="shared" si="17"/>
        <v>4.1066335215587229</v>
      </c>
      <c r="G103" s="347">
        <f t="shared" si="17"/>
        <v>2.6117145619153748</v>
      </c>
      <c r="H103" s="347">
        <f t="shared" si="17"/>
        <v>1.4994952127226409</v>
      </c>
      <c r="I103" s="347">
        <f t="shared" si="17"/>
        <v>2.7707036817651982</v>
      </c>
      <c r="J103" s="347">
        <f t="shared" si="17"/>
        <v>5.5831476186777422</v>
      </c>
      <c r="K103" s="347">
        <f t="shared" si="17"/>
        <v>2.3370779455531978</v>
      </c>
      <c r="L103" s="347">
        <f t="shared" si="17"/>
        <v>2.3641092672866701</v>
      </c>
      <c r="M103" s="347">
        <f t="shared" si="17"/>
        <v>2.9825230146318833</v>
      </c>
      <c r="N103" s="347">
        <f t="shared" si="17"/>
        <v>2.1346608058924463</v>
      </c>
    </row>
    <row r="104" spans="1:14" ht="15" customHeight="1">
      <c r="A104" s="10"/>
      <c r="B104" s="10" t="s">
        <v>716</v>
      </c>
      <c r="C104" s="10"/>
      <c r="D104" s="10"/>
      <c r="E104" s="14">
        <f t="shared" ref="E104:N104" si="18">-E100/E96</f>
        <v>0</v>
      </c>
      <c r="F104" s="14">
        <f t="shared" si="18"/>
        <v>0</v>
      </c>
      <c r="G104" s="14">
        <f t="shared" si="18"/>
        <v>0</v>
      </c>
      <c r="H104" s="14">
        <f t="shared" si="18"/>
        <v>0</v>
      </c>
      <c r="I104" s="14">
        <f t="shared" si="18"/>
        <v>0</v>
      </c>
      <c r="J104" s="14">
        <f t="shared" si="18"/>
        <v>0</v>
      </c>
      <c r="K104" s="14">
        <f t="shared" si="18"/>
        <v>0</v>
      </c>
      <c r="L104" s="14">
        <f t="shared" si="18"/>
        <v>0</v>
      </c>
      <c r="M104" s="14">
        <f t="shared" si="18"/>
        <v>0</v>
      </c>
      <c r="N104" s="14">
        <f t="shared" si="18"/>
        <v>0</v>
      </c>
    </row>
    <row r="105" spans="1:14" ht="15" customHeight="1">
      <c r="A105" s="10"/>
      <c r="B105" s="10"/>
      <c r="C105" s="10"/>
      <c r="D105" s="10"/>
      <c r="E105" s="10"/>
      <c r="F105" s="10"/>
      <c r="G105" s="10"/>
      <c r="H105" s="10"/>
      <c r="I105" s="10"/>
      <c r="J105" s="10"/>
      <c r="K105" s="10"/>
      <c r="L105" s="10"/>
      <c r="M105" s="10"/>
      <c r="N105" s="10"/>
    </row>
    <row r="106" spans="1:14" ht="15" customHeight="1">
      <c r="A106" s="10" t="s">
        <v>39</v>
      </c>
      <c r="B106" s="348" t="str">
        <f>+E24</f>
        <v>EZPW US Equity</v>
      </c>
      <c r="C106" s="349"/>
      <c r="D106" s="349"/>
      <c r="E106" s="346">
        <f>+E95</f>
        <v>2015</v>
      </c>
      <c r="F106" s="346">
        <f>+F95</f>
        <v>2016</v>
      </c>
      <c r="G106" s="346">
        <f>+G95</f>
        <v>2017</v>
      </c>
      <c r="H106" s="346">
        <f t="shared" ref="H106:N106" si="19">+G106+1</f>
        <v>2018</v>
      </c>
      <c r="I106" s="346">
        <f t="shared" si="19"/>
        <v>2019</v>
      </c>
      <c r="J106" s="346">
        <f t="shared" si="19"/>
        <v>2020</v>
      </c>
      <c r="K106" s="346">
        <f t="shared" si="19"/>
        <v>2021</v>
      </c>
      <c r="L106" s="346">
        <f t="shared" si="19"/>
        <v>2022</v>
      </c>
      <c r="M106" s="346">
        <f t="shared" si="19"/>
        <v>2023</v>
      </c>
      <c r="N106" s="346">
        <f t="shared" si="19"/>
        <v>2024</v>
      </c>
    </row>
    <row r="107" spans="1:14" ht="15" customHeight="1">
      <c r="A107" s="10"/>
      <c r="B107" s="10" t="s">
        <v>188</v>
      </c>
      <c r="C107" s="10"/>
      <c r="D107" s="10"/>
      <c r="E107" s="11">
        <f>_xll.BDH($B$106,"SALES_REV_TURN","FY "&amp;E$62,"FY "&amp;E$62,"Currency="&amp;$D$13,"Period=FY","BEST_FPERIOD_OVERRIDE=FY","FILING_STATUS=MR","SCALING_FORMAT="&amp;$D$14,"FA_ADJUSTED=Adjusted","Sort=A","Dates=H","DateFormat=P","Fill=0","Direction=H","UseDPDF=Y")</f>
        <v>720</v>
      </c>
      <c r="F107" s="11">
        <f>_xll.BDH($B$106,"SALES_REV_TURN","FY "&amp;F$62,"FY "&amp;F$62,"Currency="&amp;$D$13,"Period=FY","BEST_FPERIOD_OVERRIDE=FY","FILING_STATUS=MR","SCALING_FORMAT="&amp;$D$14,"FA_ADJUSTED=Adjusted","Sort=A","Dates=H","DateFormat=P","Fill=0","Direction=H","UseDPDF=Y")</f>
        <v>730.505</v>
      </c>
      <c r="G107" s="11">
        <f>_xll.BDH($B$106,"SALES_REV_TURN","FY "&amp;G$62,"FY "&amp;G$62,"Currency="&amp;$D$13,"Period=FY","BEST_FPERIOD_OVERRIDE=FY","FILING_STATUS=MR","SCALING_FORMAT="&amp;$D$14,"FA_ADJUSTED=Adjusted","Sort=A","Dates=H","DateFormat=P","Fill=0","Direction=H","UseDPDF=Y")</f>
        <v>747.95399999999995</v>
      </c>
      <c r="H107" s="11">
        <f>_xll.BDH($B$106,"SALES_REV_TURN","FY "&amp;H$62,"FY "&amp;H$62,"Currency="&amp;$D$13,"Period=FY","BEST_FPERIOD_OVERRIDE=FY","FILING_STATUS=MR","SCALING_FORMAT="&amp;$D$14,"FA_ADJUSTED=Adjusted","Sort=A","Dates=H","DateFormat=P","Fill=0","Direction=H","UseDPDF=Y")</f>
        <v>812.15599999999995</v>
      </c>
      <c r="I107" s="11">
        <f>_xll.BDH($B$106,"SALES_REV_TURN","FY "&amp;I$62,"FY "&amp;I$62,"Currency="&amp;$D$13,"Period=FY","BEST_FPERIOD_OVERRIDE=FY","FILING_STATUS=MR","SCALING_FORMAT="&amp;$D$14,"FA_ADJUSTED=Adjusted","Sort=A","Dates=H","DateFormat=P","Fill=0","Direction=H","UseDPDF=Y")</f>
        <v>847.22900000000004</v>
      </c>
      <c r="J107" s="11">
        <f>_xll.BDH($B$106,"SALES_REV_TURN","FY "&amp;J$62,"FY "&amp;J$62,"Currency="&amp;$D$13,"Period=FY","BEST_FPERIOD_OVERRIDE=FY","FILING_STATUS=MR","SCALING_FORMAT="&amp;$D$14,"FA_ADJUSTED=Adjusted","Sort=A","Dates=H","DateFormat=P","Fill=0","Direction=H","UseDPDF=Y")</f>
        <v>822.81100000000004</v>
      </c>
      <c r="K107" s="11">
        <f>_xll.BDH($B$106,"SALES_REV_TURN","FY "&amp;K$62,"FY "&amp;K$62,"Currency="&amp;$D$13,"Period=FY","BEST_FPERIOD_OVERRIDE=FY","FILING_STATUS=MR","SCALING_FORMAT="&amp;$D$14,"FA_ADJUSTED=Adjusted","Sort=A","Dates=H","DateFormat=P","Fill=0","Direction=H","UseDPDF=Y")</f>
        <v>729.55100000000004</v>
      </c>
      <c r="L107" s="11">
        <f>_xll.BDH($B$106,"SALES_REV_TURN","FY "&amp;L$62,"FY "&amp;L$62,"Currency="&amp;$D$13,"Period=FY","BEST_FPERIOD_OVERRIDE=FY","FILING_STATUS=MR","SCALING_FORMAT="&amp;$D$14,"FA_ADJUSTED=Adjusted","Sort=A","Dates=H","DateFormat=P","Fill=0","Direction=H","UseDPDF=Y")</f>
        <v>886.22500000000002</v>
      </c>
      <c r="M107" s="11">
        <f>_xll.BDH($B$106,"SALES_REV_TURN","FY "&amp;M$62,"FY "&amp;M$62,"Currency="&amp;$D$13,"Period=FY","BEST_FPERIOD_OVERRIDE=FY","FILING_STATUS=MR","SCALING_FORMAT="&amp;$D$14,"FA_ADJUSTED=Adjusted","Sort=A","Dates=H","DateFormat=P","Fill=0","Direction=H","UseDPDF=Y")</f>
        <v>1049.0409999999999</v>
      </c>
      <c r="N107" s="11">
        <f>_xll.BDH($B$106,"SALES_REV_TURN","FY "&amp;N$62,"FY "&amp;N$62,"Currency="&amp;$D$13,"Period=FY","BEST_FPERIOD_OVERRIDE=FY","FILING_STATUS=MR","SCALING_FORMAT="&amp;$D$14,"FA_ADJUSTED=Adjusted","Sort=A","Dates=H","DateFormat=P","Fill=0","Direction=H","UseDPDF=Y")</f>
        <v>1161.6020000000001</v>
      </c>
    </row>
    <row r="108" spans="1:14" ht="15" customHeight="1">
      <c r="A108" s="10"/>
      <c r="B108" s="10" t="s">
        <v>711</v>
      </c>
      <c r="C108" s="10"/>
      <c r="D108" s="10"/>
      <c r="E108" s="11">
        <f>_xll.BDH($B$106,"IS_OPER_INC","FY "&amp;E$62,"FY "&amp;E$62,"Currency="&amp;$D$13,"Period=FY","BEST_FPERIOD_OVERRIDE=FY","FILING_STATUS=MR","SCALING_FORMAT="&amp;$D$14,"FA_ADJUSTED=Adjusted","Sort=A","Dates=H","DateFormat=P","Fill=0","Direction=H","UseDPDF=Y")</f>
        <v>2.0990000000000002</v>
      </c>
      <c r="F108" s="11">
        <f>_xll.BDH($B$106,"IS_OPER_INC","FY "&amp;F$62,"FY "&amp;F$62,"Currency="&amp;$D$13,"Period=FY","BEST_FPERIOD_OVERRIDE=FY","FILING_STATUS=MR","SCALING_FORMAT="&amp;$D$14,"FA_ADJUSTED=Adjusted","Sort=A","Dates=H","DateFormat=P","Fill=0","Direction=H","UseDPDF=Y")</f>
        <v>31.381</v>
      </c>
      <c r="G108" s="11">
        <f>_xll.BDH($B$106,"IS_OPER_INC","FY "&amp;G$62,"FY "&amp;G$62,"Currency="&amp;$D$13,"Period=FY","BEST_FPERIOD_OVERRIDE=FY","FILING_STATUS=MR","SCALING_FORMAT="&amp;$D$14,"FA_ADJUSTED=Adjusted","Sort=A","Dates=H","DateFormat=P","Fill=0","Direction=H","UseDPDF=Y")</f>
        <v>53.959000000000003</v>
      </c>
      <c r="H108" s="11">
        <f>_xll.BDH($B$106,"IS_OPER_INC","FY "&amp;H$62,"FY "&amp;H$62,"Currency="&amp;$D$13,"Period=FY","BEST_FPERIOD_OVERRIDE=FY","FILING_STATUS=MR","SCALING_FORMAT="&amp;$D$14,"FA_ADJUSTED=Adjusted","Sort=A","Dates=H","DateFormat=P","Fill=0","Direction=H","UseDPDF=Y")</f>
        <v>67.587000000000003</v>
      </c>
      <c r="I108" s="11">
        <f>_xll.BDH($B$106,"IS_OPER_INC","FY "&amp;I$62,"FY "&amp;I$62,"Currency="&amp;$D$13,"Period=FY","BEST_FPERIOD_OVERRIDE=FY","FILING_STATUS=MR","SCALING_FORMAT="&amp;$D$14,"FA_ADJUSTED=Adjusted","Sort=A","Dates=H","DateFormat=P","Fill=0","Direction=H","UseDPDF=Y")</f>
        <v>60.015599999999999</v>
      </c>
      <c r="J108" s="11">
        <f>_xll.BDH($B$106,"IS_OPER_INC","FY "&amp;J$62,"FY "&amp;J$62,"Currency="&amp;$D$13,"Period=FY","BEST_FPERIOD_OVERRIDE=FY","FILING_STATUS=MR","SCALING_FORMAT="&amp;$D$14,"FA_ADJUSTED=Adjusted","Sort=A","Dates=H","DateFormat=P","Fill=0","Direction=H","UseDPDF=Y")</f>
        <v>27.471</v>
      </c>
      <c r="K108" s="11">
        <f>_xll.BDH($B$106,"IS_OPER_INC","FY "&amp;K$62,"FY "&amp;K$62,"Currency="&amp;$D$13,"Period=FY","BEST_FPERIOD_OVERRIDE=FY","FILING_STATUS=MR","SCALING_FORMAT="&amp;$D$14,"FA_ADJUSTED=Adjusted","Sort=A","Dates=H","DateFormat=P","Fill=0","Direction=H","UseDPDF=Y")</f>
        <v>33.481000000000002</v>
      </c>
      <c r="L108" s="11">
        <f>_xll.BDH($B$106,"IS_OPER_INC","FY "&amp;L$62,"FY "&amp;L$62,"Currency="&amp;$D$13,"Period=FY","BEST_FPERIOD_OVERRIDE=FY","FILING_STATUS=MR","SCALING_FORMAT="&amp;$D$14,"FA_ADJUSTED=Adjusted","Sort=A","Dates=H","DateFormat=P","Fill=0","Direction=H","UseDPDF=Y")</f>
        <v>76.248000000000005</v>
      </c>
      <c r="M108" s="11">
        <f>_xll.BDH($B$106,"IS_OPER_INC","FY "&amp;M$62,"FY "&amp;M$62,"Currency="&amp;$D$13,"Period=FY","BEST_FPERIOD_OVERRIDE=FY","FILING_STATUS=MR","SCALING_FORMAT="&amp;$D$14,"FA_ADJUSTED=Adjusted","Sort=A","Dates=H","DateFormat=P","Fill=0","Direction=H","UseDPDF=Y")</f>
        <v>95.146000000000001</v>
      </c>
      <c r="N108" s="11">
        <f>_xll.BDH($B$106,"IS_OPER_INC","FY "&amp;N$62,"FY "&amp;N$62,"Currency="&amp;$D$13,"Period=FY","BEST_FPERIOD_OVERRIDE=FY","FILING_STATUS=MR","SCALING_FORMAT="&amp;$D$14,"FA_ADJUSTED=Adjusted","Sort=A","Dates=H","DateFormat=P","Fill=0","Direction=H","UseDPDF=Y")</f>
        <v>113.357</v>
      </c>
    </row>
    <row r="109" spans="1:14" ht="15" customHeight="1">
      <c r="A109" s="10"/>
      <c r="B109" s="10" t="s">
        <v>234</v>
      </c>
      <c r="C109" s="10"/>
      <c r="D109" s="10"/>
      <c r="E109" s="14">
        <f>_xll.BDP($B$106,"RETURN_ON_INV_CAPITAL","EQY_FUND_YEAR="&amp;E$62)/100</f>
        <v>-1.8026575306748675E-2</v>
      </c>
      <c r="F109" s="14">
        <f>_xll.BDP($B$106,"RETURN_ON_INV_CAPITAL","EQY_FUND_YEAR="&amp;F$62)/100</f>
        <v>-0.81763910705234455</v>
      </c>
      <c r="G109" s="14">
        <f>_xll.BDP($B$106,"RETURN_ON_INV_CAPITAL","EQY_FUND_YEAR="&amp;G$62)/100</f>
        <v>4.3387519211104245E-2</v>
      </c>
      <c r="H109" s="14">
        <f>_xll.BDP($B$106,"RETURN_ON_INV_CAPITAL","EQY_FUND_YEAR="&amp;H$62)/100</f>
        <v>4.256719741788921E-2</v>
      </c>
      <c r="I109" s="14">
        <f>_xll.BDP($B$106,"RETURN_ON_INV_CAPITAL","EQY_FUND_YEAR="&amp;I$62)/100</f>
        <v>1.8625708888458461E-2</v>
      </c>
      <c r="J109" s="14">
        <f>_xll.BDP($B$106,"RETURN_ON_INV_CAPITAL","EQY_FUND_YEAR="&amp;J$62)/100</f>
        <v>-4.9379081838132929E-2</v>
      </c>
      <c r="K109" s="14">
        <f>_xll.BDP($B$106,"RETURN_ON_INV_CAPITAL","EQY_FUND_YEAR="&amp;K$62)/100</f>
        <v>1.4930146901116902E-2</v>
      </c>
      <c r="L109" s="14">
        <f>_xll.BDP($B$106,"RETURN_ON_INV_CAPITAL","EQY_FUND_YEAR="&amp;L$62)/100</f>
        <v>4.6827600987316212E-2</v>
      </c>
      <c r="M109" s="14">
        <f>_xll.BDP($B$106,"RETURN_ON_INV_CAPITAL","EQY_FUND_YEAR="&amp;M$62)/100</f>
        <v>5.3682989910894291E-2</v>
      </c>
      <c r="N109" s="14">
        <f>_xll.BDP($B$106,"RETURN_ON_INV_CAPITAL","EQY_FUND_YEAR="&amp;N$62)/100</f>
        <v>6.0377910160337125E-2</v>
      </c>
    </row>
    <row r="110" spans="1:14" ht="15" customHeight="1">
      <c r="A110" s="10"/>
      <c r="B110" s="10" t="s">
        <v>339</v>
      </c>
      <c r="C110" s="10"/>
      <c r="D110" s="10"/>
      <c r="E110" s="14">
        <f>_xll.BDP($B$106,"wacc","EQY_FUND_YEAR="&amp;E$62)/100</f>
        <v>8.3988315718361684E-2</v>
      </c>
      <c r="F110" s="14">
        <f>_xll.BDP($B$106,"wacc","EQY_FUND_YEAR="&amp;F$62)/100</f>
        <v>9.2980675563229268E-2</v>
      </c>
      <c r="G110" s="14">
        <f>_xll.BDP($B$106,"wacc","EQY_FUND_YEAR="&amp;G$62)/100</f>
        <v>0.10357683456100714</v>
      </c>
      <c r="H110" s="14">
        <f>_xll.BDP($B$106,"wacc","EQY_FUND_YEAR="&amp;H$62)/100</f>
        <v>5.3252662161731121E-2</v>
      </c>
      <c r="I110" s="14">
        <f>_xll.BDP($B$106,"wacc","EQY_FUND_YEAR="&amp;I$62)/100</f>
        <v>4.6876733278860917E-2</v>
      </c>
      <c r="J110" s="14">
        <f>_xll.BDP($B$106,"wacc","EQY_FUND_YEAR="&amp;J$62)/100</f>
        <v>3.4854694450794248E-2</v>
      </c>
      <c r="K110" s="14">
        <f>_xll.BDP($B$106,"wacc","EQY_FUND_YEAR="&amp;K$62)/100</f>
        <v>5.1119210363733153E-2</v>
      </c>
      <c r="L110" s="14">
        <f>_xll.BDP($B$106,"wacc","EQY_FUND_YEAR="&amp;L$62)/100</f>
        <v>6.2575854701566916E-2</v>
      </c>
      <c r="M110" s="14">
        <f>_xll.BDP($B$106,"wacc","EQY_FUND_YEAR="&amp;M$62)/100</f>
        <v>6.9768576185815709E-2</v>
      </c>
      <c r="N110" s="14">
        <f>_xll.BDP($B$106,"wacc","EQY_FUND_YEAR="&amp;N$62)/100</f>
        <v>6.3259741119208956E-2</v>
      </c>
    </row>
    <row r="111" spans="1:14" ht="15" customHeight="1">
      <c r="A111" s="10"/>
      <c r="B111" s="10" t="s">
        <v>712</v>
      </c>
      <c r="C111" s="10"/>
      <c r="D111" s="10"/>
      <c r="E111" s="11">
        <f>_xll.BDH($B$106,"ACQUIS_OF_FIXED_INTANG","FY "&amp;E$62,"FY "&amp;E$62,"Currency="&amp;$D$13,"Period=FY","BEST_FPERIOD_OVERRIDE=FY","FILING_STATUS=MR","SCALING_FORMAT="&amp;$D$14,"FA_ADJUSTED=Adjusted","Sort=A","Dates=H","DateFormat=P","Fill=0","Direction=H","UseDPDF=Y")</f>
        <v>-24.286000000000001</v>
      </c>
      <c r="F111" s="11">
        <f>_xll.BDH($B$106,"ACQUIS_OF_FIXED_INTANG","FY "&amp;F$62,"FY "&amp;F$62,"Currency="&amp;$D$13,"Period=FY","BEST_FPERIOD_OVERRIDE=FY","FILING_STATUS=MR","SCALING_FORMAT="&amp;$D$14,"FA_ADJUSTED=Adjusted","Sort=A","Dates=H","DateFormat=P","Fill=0","Direction=H","UseDPDF=Y")</f>
        <v>-9.5500000000000007</v>
      </c>
      <c r="G111" s="11">
        <f>_xll.BDH($B$106,"ACQUIS_OF_FIXED_INTANG","FY "&amp;G$62,"FY "&amp;G$62,"Currency="&amp;$D$13,"Period=FY","BEST_FPERIOD_OVERRIDE=FY","FILING_STATUS=MR","SCALING_FORMAT="&amp;$D$14,"FA_ADJUSTED=Adjusted","Sort=A","Dates=H","DateFormat=P","Fill=0","Direction=H","UseDPDF=Y")</f>
        <v>-25.001000000000001</v>
      </c>
      <c r="H111" s="11">
        <f>_xll.BDH($B$106,"ACQUIS_OF_FIXED_INTANG","FY "&amp;H$62,"FY "&amp;H$62,"Currency="&amp;$D$13,"Period=FY","BEST_FPERIOD_OVERRIDE=FY","FILING_STATUS=MR","SCALING_FORMAT="&amp;$D$14,"FA_ADJUSTED=Adjusted","Sort=A","Dates=H","DateFormat=P","Fill=0","Direction=H","UseDPDF=Y")</f>
        <v>-40.473999999999997</v>
      </c>
      <c r="I111" s="11">
        <f>_xll.BDH($B$106,"ACQUIS_OF_FIXED_INTANG","FY "&amp;I$62,"FY "&amp;I$62,"Currency="&amp;$D$13,"Period=FY","BEST_FPERIOD_OVERRIDE=FY","FILING_STATUS=MR","SCALING_FORMAT="&amp;$D$14,"FA_ADJUSTED=Adjusted","Sort=A","Dates=H","DateFormat=P","Fill=0","Direction=H","UseDPDF=Y")</f>
        <v>-38.838999999999999</v>
      </c>
      <c r="J111" s="11">
        <f>_xll.BDH($B$106,"ACQUIS_OF_FIXED_INTANG","FY "&amp;J$62,"FY "&amp;J$62,"Currency="&amp;$D$13,"Period=FY","BEST_FPERIOD_OVERRIDE=FY","FILING_STATUS=MR","SCALING_FORMAT="&amp;$D$14,"FA_ADJUSTED=Adjusted","Sort=A","Dates=H","DateFormat=P","Fill=0","Direction=H","UseDPDF=Y")</f>
        <v>-28.526</v>
      </c>
      <c r="K111" s="11">
        <f>_xll.BDH($B$106,"ACQUIS_OF_FIXED_INTANG","FY "&amp;K$62,"FY "&amp;K$62,"Currency="&amp;$D$13,"Period=FY","BEST_FPERIOD_OVERRIDE=FY","FILING_STATUS=MR","SCALING_FORMAT="&amp;$D$14,"FA_ADJUSTED=Adjusted","Sort=A","Dates=H","DateFormat=P","Fill=0","Direction=H","UseDPDF=Y")</f>
        <v>-23.600999999999999</v>
      </c>
      <c r="L111" s="11">
        <f>_xll.BDH($B$106,"ACQUIS_OF_FIXED_INTANG","FY "&amp;L$62,"FY "&amp;L$62,"Currency="&amp;$D$13,"Period=FY","BEST_FPERIOD_OVERRIDE=FY","FILING_STATUS=MR","SCALING_FORMAT="&amp;$D$14,"FA_ADJUSTED=Adjusted","Sort=A","Dates=H","DateFormat=P","Fill=0","Direction=H","UseDPDF=Y")</f>
        <v>-31.895</v>
      </c>
      <c r="M111" s="11">
        <f>_xll.BDH($B$106,"ACQUIS_OF_FIXED_INTANG","FY "&amp;M$62,"FY "&amp;M$62,"Currency="&amp;$D$13,"Period=FY","BEST_FPERIOD_OVERRIDE=FY","FILING_STATUS=MR","SCALING_FORMAT="&amp;$D$14,"FA_ADJUSTED=Adjusted","Sort=A","Dates=H","DateFormat=P","Fill=0","Direction=H","UseDPDF=Y")</f>
        <v>-40.445999999999998</v>
      </c>
      <c r="N111" s="11">
        <f>_xll.BDH($B$106,"ACQUIS_OF_FIXED_INTANG","FY "&amp;N$62,"FY "&amp;N$62,"Currency="&amp;$D$13,"Period=FY","BEST_FPERIOD_OVERRIDE=FY","FILING_STATUS=MR","SCALING_FORMAT="&amp;$D$14,"FA_ADJUSTED=Adjusted","Sort=A","Dates=H","DateFormat=P","Fill=0","Direction=H","UseDPDF=Y")</f>
        <v>-35.764000000000003</v>
      </c>
    </row>
    <row r="112" spans="1:14" ht="15" customHeight="1">
      <c r="A112" s="10"/>
      <c r="B112" s="10" t="s">
        <v>713</v>
      </c>
      <c r="C112" s="10"/>
      <c r="D112" s="10"/>
      <c r="E112" s="14">
        <f>_xll.BDH($B$106,"TOT_DEBT_TO_TOT_EQY","FY "&amp;E$62,"FY "&amp;E$62,"Currency="&amp;$D$13,"Period=FY","BEST_FPERIOD_OVERRIDE=FY","FILING_STATUS=MR","SCALING_FORMAT="&amp;$D$14,"FA_ADJUSTED=Adjusted","Sort=A","Dates=H","DateFormat=P","Fill=0","Direction=H","UseDPDF=Y")/100</f>
        <v>0.27907100000000001</v>
      </c>
      <c r="F112" s="14">
        <f>_xll.BDH($B$106,"TOT_DEBT_TO_TOT_EQY","FY "&amp;F$62,"FY "&amp;F$62,"Currency="&amp;$D$13,"Period=FY","BEST_FPERIOD_OVERRIDE=FY","FILING_STATUS=MR","SCALING_FORMAT="&amp;$D$14,"FA_ADJUSTED=Adjusted","Sort=A","Dates=H","DateFormat=P","Fill=0","Direction=H","UseDPDF=Y")/100</f>
        <v>0.41386200000000001</v>
      </c>
      <c r="G112" s="14">
        <f>_xll.BDH($B$106,"TOT_DEBT_TO_TOT_EQY","FY "&amp;G$62,"FY "&amp;G$62,"Currency="&amp;$D$13,"Period=FY","BEST_FPERIOD_OVERRIDE=FY","FILING_STATUS=MR","SCALING_FORMAT="&amp;$D$14,"FA_ADJUSTED=Adjusted","Sort=A","Dates=H","DateFormat=P","Fill=0","Direction=H","UseDPDF=Y")/100</f>
        <v>0.42158700000000005</v>
      </c>
      <c r="H112" s="14">
        <f>_xll.BDH($B$106,"TOT_DEBT_TO_TOT_EQY","FY "&amp;H$62,"FY "&amp;H$62,"Currency="&amp;$D$13,"Period=FY","BEST_FPERIOD_OVERRIDE=FY","FILING_STATUS=MR","SCALING_FORMAT="&amp;$D$14,"FA_ADJUSTED=Adjusted","Sort=A","Dates=H","DateFormat=P","Fill=0","Direction=H","UseDPDF=Y")/100</f>
        <v>0.56035499999999994</v>
      </c>
      <c r="I112" s="14">
        <f>_xll.BDH($B$106,"TOT_DEBT_TO_TOT_EQY","FY "&amp;I$62,"FY "&amp;I$62,"Currency="&amp;$D$13,"Period=FY","BEST_FPERIOD_OVERRIDE=FY","FILING_STATUS=MR","SCALING_FORMAT="&amp;$D$14,"FA_ADJUSTED=Adjusted","Sort=A","Dates=H","DateFormat=P","Fill=0","Direction=H","UseDPDF=Y")/100</f>
        <v>0.32028199999999996</v>
      </c>
      <c r="J112" s="14">
        <f>_xll.BDH($B$106,"TOT_DEBT_TO_TOT_EQY","FY "&amp;J$62,"FY "&amp;J$62,"Currency="&amp;$D$13,"Period=FY","BEST_FPERIOD_OVERRIDE=FY","FILING_STATUS=MR","SCALING_FORMAT="&amp;$D$14,"FA_ADJUSTED=Adjusted","Sort=A","Dates=H","DateFormat=P","Fill=0","Direction=H","UseDPDF=Y")/100</f>
        <v>0.69941799999999998</v>
      </c>
      <c r="K112" s="14">
        <f>_xll.BDH($B$106,"TOT_DEBT_TO_TOT_EQY","FY "&amp;K$62,"FY "&amp;K$62,"Currency="&amp;$D$13,"Period=FY","BEST_FPERIOD_OVERRIDE=FY","FILING_STATUS=MR","SCALING_FORMAT="&amp;$D$14,"FA_ADJUSTED=Adjusted","Sort=A","Dates=H","DateFormat=P","Fill=0","Direction=H","UseDPDF=Y")/100</f>
        <v>0.71072900000000006</v>
      </c>
      <c r="L112" s="14">
        <f>_xll.BDH($B$106,"TOT_DEBT_TO_TOT_EQY","FY "&amp;L$62,"FY "&amp;L$62,"Currency="&amp;$D$13,"Period=FY","BEST_FPERIOD_OVERRIDE=FY","FILING_STATUS=MR","SCALING_FORMAT="&amp;$D$14,"FA_ADJUSTED=Adjusted","Sort=A","Dates=H","DateFormat=P","Fill=0","Direction=H","UseDPDF=Y")/100</f>
        <v>0.78874399999999989</v>
      </c>
      <c r="M112" s="14">
        <f>_xll.BDH($B$106,"TOT_DEBT_TO_TOT_EQY","FY "&amp;M$62,"FY "&amp;M$62,"Currency="&amp;$D$13,"Period=FY","BEST_FPERIOD_OVERRIDE=FY","FILING_STATUS=MR","SCALING_FORMAT="&amp;$D$14,"FA_ADJUSTED=Adjusted","Sort=A","Dates=H","DateFormat=P","Fill=0","Direction=H","UseDPDF=Y")/100</f>
        <v>0.81859399999999993</v>
      </c>
      <c r="N112" s="14">
        <f>_xll.BDH($B$106,"TOT_DEBT_TO_TOT_EQY","FY "&amp;N$62,"FY "&amp;N$62,"Currency="&amp;$D$13,"Period=FY","BEST_FPERIOD_OVERRIDE=FY","FILING_STATUS=MR","SCALING_FORMAT="&amp;$D$14,"FA_ADJUSTED=Adjusted","Sort=A","Dates=H","DateFormat=P","Fill=0","Direction=H","UseDPDF=Y")/100</f>
        <v>0.70465100000000003</v>
      </c>
    </row>
    <row r="113" spans="1:23" ht="15" customHeight="1">
      <c r="A113" s="10"/>
      <c r="B113" s="10" t="s">
        <v>714</v>
      </c>
      <c r="C113" s="10"/>
      <c r="D113" s="10"/>
      <c r="E113" s="14">
        <f t="shared" ref="E113:N113" si="20">+E108/E107</f>
        <v>2.9152777777777779E-3</v>
      </c>
      <c r="F113" s="14">
        <f t="shared" si="20"/>
        <v>4.2957953744327558E-2</v>
      </c>
      <c r="G113" s="14">
        <f t="shared" si="20"/>
        <v>7.2142137083296573E-2</v>
      </c>
      <c r="H113" s="14">
        <f t="shared" si="20"/>
        <v>8.3219233743271004E-2</v>
      </c>
      <c r="I113" s="14">
        <f t="shared" si="20"/>
        <v>7.0837518545753264E-2</v>
      </c>
      <c r="J113" s="14">
        <f t="shared" si="20"/>
        <v>3.3386768042721837E-2</v>
      </c>
      <c r="K113" s="14">
        <f t="shared" si="20"/>
        <v>4.5892610660529555E-2</v>
      </c>
      <c r="L113" s="14">
        <f t="shared" si="20"/>
        <v>8.6036841659849358E-2</v>
      </c>
      <c r="M113" s="14">
        <f t="shared" si="20"/>
        <v>9.0698075671017633E-2</v>
      </c>
      <c r="N113" s="14">
        <f t="shared" si="20"/>
        <v>9.7586781014495486E-2</v>
      </c>
    </row>
    <row r="114" spans="1:23" ht="15" customHeight="1">
      <c r="A114" s="10"/>
      <c r="B114" s="10" t="s">
        <v>715</v>
      </c>
      <c r="C114" s="10"/>
      <c r="D114" s="10"/>
      <c r="E114" s="347">
        <f t="shared" ref="E114:N114" si="21">+E109/E110</f>
        <v>-0.21463194198580257</v>
      </c>
      <c r="F114" s="347">
        <f t="shared" si="21"/>
        <v>-8.7936455838754242</v>
      </c>
      <c r="G114" s="347">
        <f t="shared" si="21"/>
        <v>0.41889211419710687</v>
      </c>
      <c r="H114" s="347">
        <f t="shared" si="21"/>
        <v>0.79934402694480144</v>
      </c>
      <c r="I114" s="347">
        <f t="shared" si="21"/>
        <v>0.39733376422920946</v>
      </c>
      <c r="J114" s="347">
        <f t="shared" si="21"/>
        <v>-1.4167125150915707</v>
      </c>
      <c r="K114" s="347">
        <f t="shared" si="21"/>
        <v>0.29206528807630389</v>
      </c>
      <c r="L114" s="347">
        <f t="shared" si="21"/>
        <v>0.74833338211109779</v>
      </c>
      <c r="M114" s="347">
        <f t="shared" si="21"/>
        <v>0.76944367859707452</v>
      </c>
      <c r="N114" s="347">
        <f t="shared" si="21"/>
        <v>0.95444447119312104</v>
      </c>
    </row>
    <row r="115" spans="1:23" ht="15" customHeight="1">
      <c r="A115" s="10"/>
      <c r="B115" s="10" t="s">
        <v>716</v>
      </c>
      <c r="C115" s="10"/>
      <c r="D115" s="10"/>
      <c r="E115" s="14">
        <f t="shared" ref="E115:N115" si="22">-E111/E107</f>
        <v>3.3730555555555555E-2</v>
      </c>
      <c r="F115" s="14">
        <f t="shared" si="22"/>
        <v>1.307314802773424E-2</v>
      </c>
      <c r="G115" s="14">
        <f t="shared" si="22"/>
        <v>3.3425852391992028E-2</v>
      </c>
      <c r="H115" s="14">
        <f t="shared" si="22"/>
        <v>4.9835253325715749E-2</v>
      </c>
      <c r="I115" s="14">
        <f t="shared" si="22"/>
        <v>4.5842387359261778E-2</v>
      </c>
      <c r="J115" s="14">
        <f t="shared" si="22"/>
        <v>3.4668957998860002E-2</v>
      </c>
      <c r="K115" s="14">
        <f t="shared" si="22"/>
        <v>3.2350034473258203E-2</v>
      </c>
      <c r="L115" s="14">
        <f t="shared" si="22"/>
        <v>3.5989731727270165E-2</v>
      </c>
      <c r="M115" s="14">
        <f t="shared" si="22"/>
        <v>3.8555213761902539E-2</v>
      </c>
      <c r="N115" s="14">
        <f t="shared" si="22"/>
        <v>3.0788514482585256E-2</v>
      </c>
    </row>
    <row r="116" spans="1:23" ht="15" customHeight="1">
      <c r="A116" s="10"/>
      <c r="B116" s="10"/>
      <c r="C116" s="10"/>
      <c r="D116" s="10"/>
      <c r="E116" s="10"/>
      <c r="F116" s="10"/>
      <c r="G116" s="10"/>
      <c r="H116" s="10"/>
      <c r="I116" s="10"/>
      <c r="J116" s="10"/>
      <c r="K116" s="10"/>
      <c r="L116" s="10"/>
      <c r="M116" s="10"/>
      <c r="N116" s="10"/>
    </row>
    <row r="117" spans="1:23" ht="15" customHeight="1">
      <c r="A117" s="10" t="s">
        <v>39</v>
      </c>
      <c r="B117" s="348" t="str">
        <f>+E25</f>
        <v>OMF US Equity</v>
      </c>
      <c r="C117" s="349"/>
      <c r="D117" s="349"/>
      <c r="E117" s="346">
        <f>+E106</f>
        <v>2015</v>
      </c>
      <c r="F117" s="346">
        <f>+F106</f>
        <v>2016</v>
      </c>
      <c r="G117" s="346">
        <f>+G106</f>
        <v>2017</v>
      </c>
      <c r="H117" s="346">
        <f t="shared" ref="H117:N117" si="23">+G117+1</f>
        <v>2018</v>
      </c>
      <c r="I117" s="346">
        <f t="shared" si="23"/>
        <v>2019</v>
      </c>
      <c r="J117" s="346">
        <f t="shared" si="23"/>
        <v>2020</v>
      </c>
      <c r="K117" s="346">
        <f t="shared" si="23"/>
        <v>2021</v>
      </c>
      <c r="L117" s="346">
        <f t="shared" si="23"/>
        <v>2022</v>
      </c>
      <c r="M117" s="346">
        <f t="shared" si="23"/>
        <v>2023</v>
      </c>
      <c r="N117" s="346">
        <f t="shared" si="23"/>
        <v>2024</v>
      </c>
    </row>
    <row r="118" spans="1:23" ht="15" customHeight="1">
      <c r="A118" s="10"/>
      <c r="B118" s="10" t="s">
        <v>188</v>
      </c>
      <c r="C118" s="10"/>
      <c r="D118" s="10"/>
      <c r="E118" s="11">
        <f>_xll.BDH($B$117,"SALES_REV_TURN","FY "&amp;E$62,"FY "&amp;E$62,"Currency="&amp;$D$13,"Period=FY","BEST_FPERIOD_OVERRIDE=FY","FILING_STATUS=MR","SCALING_FORMAT="&amp;$D$14,"FA_ADJUSTED=Adjusted","Sort=A","Dates=H","DateFormat=P","Fill=0","Direction=H","UseDPDF=Y")</f>
        <v>2192</v>
      </c>
      <c r="F118" s="11">
        <f>_xll.BDH($B$117,"SALES_REV_TURN","FY "&amp;F$62,"FY "&amp;F$62,"Currency="&amp;$D$13,"Period=FY","BEST_FPERIOD_OVERRIDE=FY","FILING_STATUS=MR","SCALING_FORMAT="&amp;$D$14,"FA_ADJUSTED=Adjusted","Sort=A","Dates=H","DateFormat=P","Fill=0","Direction=H","UseDPDF=Y")</f>
        <v>3883</v>
      </c>
      <c r="G118" s="11">
        <f>_xll.BDH($B$117,"SALES_REV_TURN","FY "&amp;G$62,"FY "&amp;G$62,"Currency="&amp;$D$13,"Period=FY","BEST_FPERIOD_OVERRIDE=FY","FILING_STATUS=MR","SCALING_FORMAT="&amp;$D$14,"FA_ADJUSTED=Adjusted","Sort=A","Dates=H","DateFormat=P","Fill=0","Direction=H","UseDPDF=Y")</f>
        <v>3756</v>
      </c>
      <c r="H118" s="11">
        <f>_xll.BDH($B$117,"SALES_REV_TURN","FY "&amp;H$62,"FY "&amp;H$62,"Currency="&amp;$D$13,"Period=FY","BEST_FPERIOD_OVERRIDE=FY","FILING_STATUS=MR","SCALING_FORMAT="&amp;$D$14,"FA_ADJUSTED=Adjusted","Sort=A","Dates=H","DateFormat=P","Fill=0","Direction=H","UseDPDF=Y")</f>
        <v>4232</v>
      </c>
      <c r="I118" s="11">
        <f>_xll.BDH($B$117,"SALES_REV_TURN","FY "&amp;I$62,"FY "&amp;I$62,"Currency="&amp;$D$13,"Period=FY","BEST_FPERIOD_OVERRIDE=FY","FILING_STATUS=MR","SCALING_FORMAT="&amp;$D$14,"FA_ADJUSTED=Adjusted","Sort=A","Dates=H","DateFormat=P","Fill=0","Direction=H","UseDPDF=Y")</f>
        <v>4784</v>
      </c>
      <c r="J118" s="11">
        <f>_xll.BDH($B$117,"SALES_REV_TURN","FY "&amp;J$62,"FY "&amp;J$62,"Currency="&amp;$D$13,"Period=FY","BEST_FPERIOD_OVERRIDE=FY","FILING_STATUS=MR","SCALING_FORMAT="&amp;$D$14,"FA_ADJUSTED=Adjusted","Sort=A","Dates=H","DateFormat=P","Fill=0","Direction=H","UseDPDF=Y")</f>
        <v>4894</v>
      </c>
      <c r="K118" s="11">
        <f>_xll.BDH($B$117,"SALES_REV_TURN","FY "&amp;K$62,"FY "&amp;K$62,"Currency="&amp;$D$13,"Period=FY","BEST_FPERIOD_OVERRIDE=FY","FILING_STATUS=MR","SCALING_FORMAT="&amp;$D$14,"FA_ADJUSTED=Adjusted","Sort=A","Dates=H","DateFormat=P","Fill=0","Direction=H","UseDPDF=Y")</f>
        <v>4895</v>
      </c>
      <c r="L118" s="11">
        <f>_xll.BDH($B$117,"SALES_REV_TURN","FY "&amp;L$62,"FY "&amp;L$62,"Currency="&amp;$D$13,"Period=FY","BEST_FPERIOD_OVERRIDE=FY","FILING_STATUS=MR","SCALING_FORMAT="&amp;$D$14,"FA_ADJUSTED=Adjusted","Sort=A","Dates=H","DateFormat=P","Fill=0","Direction=H","UseDPDF=Y")</f>
        <v>5064</v>
      </c>
      <c r="M118" s="11">
        <f>_xll.BDH($B$117,"SALES_REV_TURN","FY "&amp;M$62,"FY "&amp;M$62,"Currency="&amp;$D$13,"Period=FY","BEST_FPERIOD_OVERRIDE=FY","FILING_STATUS=MR","SCALING_FORMAT="&amp;$D$14,"FA_ADJUSTED=Adjusted","Sort=A","Dates=H","DateFormat=P","Fill=0","Direction=H","UseDPDF=Y")</f>
        <v>5299</v>
      </c>
      <c r="N118" s="11">
        <f>_xll.BDH($B$117,"SALES_REV_TURN","FY "&amp;N$62,"FY "&amp;N$62,"Currency="&amp;$D$13,"Period=FY","BEST_FPERIOD_OVERRIDE=FY","FILING_STATUS=MR","SCALING_FORMAT="&amp;$D$14,"FA_ADJUSTED=Adjusted","Sort=A","Dates=H","DateFormat=P","Fill=0","Direction=H","UseDPDF=Y")</f>
        <v>5722</v>
      </c>
      <c r="O118" s="10"/>
      <c r="P118" s="10"/>
      <c r="Q118" s="10"/>
      <c r="R118" s="10"/>
      <c r="S118" s="10"/>
      <c r="T118" s="10"/>
      <c r="U118" s="10"/>
      <c r="V118" s="10"/>
      <c r="W118" s="10"/>
    </row>
    <row r="119" spans="1:23" ht="15" customHeight="1">
      <c r="A119" s="10"/>
      <c r="B119" s="10" t="s">
        <v>711</v>
      </c>
      <c r="C119" s="10"/>
      <c r="D119" s="10"/>
      <c r="E119" s="11">
        <f>_xll.BDH($B$117,"IS_OPER_INC","FY "&amp;E$62,"FY "&amp;E$62,"Currency="&amp;$D$13,"Period=FY","BEST_FPERIOD_OVERRIDE=FY","FILING_STATUS=MR","SCALING_FORMAT="&amp;$D$14,"FA_ADJUSTED=Adjusted","Sort=A","Dates=H","DateFormat=P","Fill=0","Direction=H","UseDPDF=Y")</f>
        <v>-164</v>
      </c>
      <c r="F119" s="11">
        <f>_xll.BDH($B$117,"IS_OPER_INC","FY "&amp;F$62,"FY "&amp;F$62,"Currency="&amp;$D$13,"Period=FY","BEST_FPERIOD_OVERRIDE=FY","FILING_STATUS=MR","SCALING_FORMAT="&amp;$D$14,"FA_ADJUSTED=Adjusted","Sort=A","Dates=H","DateFormat=P","Fill=0","Direction=H","UseDPDF=Y")</f>
        <v>314</v>
      </c>
      <c r="G119" s="11">
        <f>_xll.BDH($B$117,"IS_OPER_INC","FY "&amp;G$62,"FY "&amp;G$62,"Currency="&amp;$D$13,"Period=FY","BEST_FPERIOD_OVERRIDE=FY","FILING_STATUS=MR","SCALING_FORMAT="&amp;$D$14,"FA_ADJUSTED=Adjusted","Sort=A","Dates=H","DateFormat=P","Fill=0","Direction=H","UseDPDF=Y")</f>
        <v>529</v>
      </c>
      <c r="H119" s="11">
        <f>_xll.BDH($B$117,"IS_OPER_INC","FY "&amp;H$62,"FY "&amp;H$62,"Currency="&amp;$D$13,"Period=FY","BEST_FPERIOD_OVERRIDE=FY","FILING_STATUS=MR","SCALING_FORMAT="&amp;$D$14,"FA_ADJUSTED=Adjusted","Sort=A","Dates=H","DateFormat=P","Fill=0","Direction=H","UseDPDF=Y")</f>
        <v>695</v>
      </c>
      <c r="I119" s="11">
        <f>_xll.BDH($B$117,"IS_OPER_INC","FY "&amp;I$62,"FY "&amp;I$62,"Currency="&amp;$D$13,"Period=FY","BEST_FPERIOD_OVERRIDE=FY","FILING_STATUS=MR","SCALING_FORMAT="&amp;$D$14,"FA_ADJUSTED=Adjusted","Sort=A","Dates=H","DateFormat=P","Fill=0","Direction=H","UseDPDF=Y")</f>
        <v>1152</v>
      </c>
      <c r="J119" s="11">
        <f>_xll.BDH($B$117,"IS_OPER_INC","FY "&amp;J$62,"FY "&amp;J$62,"Currency="&amp;$D$13,"Period=FY","BEST_FPERIOD_OVERRIDE=FY","FILING_STATUS=MR","SCALING_FORMAT="&amp;$D$14,"FA_ADJUSTED=Adjusted","Sort=A","Dates=H","DateFormat=P","Fill=0","Direction=H","UseDPDF=Y")</f>
        <v>1034</v>
      </c>
      <c r="K119" s="11">
        <f>_xll.BDH($B$117,"IS_OPER_INC","FY "&amp;K$62,"FY "&amp;K$62,"Currency="&amp;$D$13,"Period=FY","BEST_FPERIOD_OVERRIDE=FY","FILING_STATUS=MR","SCALING_FORMAT="&amp;$D$14,"FA_ADJUSTED=Adjusted","Sort=A","Dates=H","DateFormat=P","Fill=0","Direction=H","UseDPDF=Y")</f>
        <v>1819</v>
      </c>
      <c r="L119" s="11">
        <f>_xll.BDH($B$117,"IS_OPER_INC","FY "&amp;L$62,"FY "&amp;L$62,"Currency="&amp;$D$13,"Period=FY","BEST_FPERIOD_OVERRIDE=FY","FILING_STATUS=MR","SCALING_FORMAT="&amp;$D$14,"FA_ADJUSTED=Adjusted","Sort=A","Dates=H","DateFormat=P","Fill=0","Direction=H","UseDPDF=Y")</f>
        <v>1155</v>
      </c>
      <c r="M119" s="11">
        <f>_xll.BDH($B$117,"IS_OPER_INC","FY "&amp;M$62,"FY "&amp;M$62,"Currency="&amp;$D$13,"Period=FY","BEST_FPERIOD_OVERRIDE=FY","FILING_STATUS=MR","SCALING_FORMAT="&amp;$D$14,"FA_ADJUSTED=Adjusted","Sort=A","Dates=H","DateFormat=P","Fill=0","Direction=H","UseDPDF=Y")</f>
        <v>840</v>
      </c>
      <c r="N119" s="11">
        <f>_xll.BDH($B$117,"IS_OPER_INC","FY "&amp;N$62,"FY "&amp;N$62,"Currency="&amp;$D$13,"Period=FY","BEST_FPERIOD_OVERRIDE=FY","FILING_STATUS=MR","SCALING_FORMAT="&amp;$D$14,"FA_ADJUSTED=Adjusted","Sort=A","Dates=H","DateFormat=P","Fill=0","Direction=H","UseDPDF=Y")</f>
        <v>742</v>
      </c>
      <c r="O119" s="10"/>
      <c r="P119" s="10"/>
      <c r="Q119" s="10"/>
      <c r="R119" s="10"/>
      <c r="S119" s="10"/>
      <c r="T119" s="10"/>
      <c r="U119" s="10"/>
      <c r="V119" s="10"/>
      <c r="W119" s="10"/>
    </row>
    <row r="120" spans="1:23" ht="15" customHeight="1">
      <c r="A120" s="10"/>
      <c r="B120" s="10" t="s">
        <v>234</v>
      </c>
      <c r="C120" s="10"/>
      <c r="D120" s="10"/>
      <c r="E120" s="14">
        <f>_xll.BDP($B$117,"RETURN_ON_INV_CAPITAL","EQY_FUND_YEAR="&amp;E$62)/100</f>
        <v>3.8625939908271192E-2</v>
      </c>
      <c r="F120" s="14">
        <f>_xll.BDP($B$117,"RETURN_ON_INV_CAPITAL","EQY_FUND_YEAR="&amp;F$62)/100</f>
        <v>5.9260007066781084E-2</v>
      </c>
      <c r="G120" s="14">
        <f>_xll.BDP($B$117,"RETURN_ON_INV_CAPITAL","EQY_FUND_YEAR="&amp;G$62)/100</f>
        <v>6.0515262580593386E-2</v>
      </c>
      <c r="H120" s="14">
        <f>_xll.BDP($B$117,"RETURN_ON_INV_CAPITAL","EQY_FUND_YEAR="&amp;H$62)/100</f>
        <v>7.6655590758055794E-2</v>
      </c>
      <c r="I120" s="14">
        <f>_xll.BDP($B$117,"RETURN_ON_INV_CAPITAL","EQY_FUND_YEAR="&amp;I$62)/100</f>
        <v>9.3589077337364768E-2</v>
      </c>
      <c r="J120" s="14">
        <f>_xll.BDP($B$117,"RETURN_ON_INV_CAPITAL","EQY_FUND_YEAR="&amp;J$62)/100</f>
        <v>8.8291829550117704E-2</v>
      </c>
      <c r="K120" s="14">
        <f>_xll.BDP($B$117,"RETURN_ON_INV_CAPITAL","EQY_FUND_YEAR="&amp;K$62)/100</f>
        <v>8.1264687032685329E-2</v>
      </c>
      <c r="L120" s="14">
        <f>_xll.BDP($B$117,"RETURN_ON_INV_CAPITAL","EQY_FUND_YEAR="&amp;L$62)/100</f>
        <v>9.6835456543541809E-2</v>
      </c>
      <c r="M120" s="14">
        <f>_xll.BDP($B$117,"RETURN_ON_INV_CAPITAL","EQY_FUND_YEAR="&amp;M$62)/100</f>
        <v>9.5480843144394548E-2</v>
      </c>
      <c r="N120" s="14">
        <f>_xll.BDP($B$117,"RETURN_ON_INV_CAPITAL","EQY_FUND_YEAR="&amp;N$62)/100</f>
        <v>9.5530022378095797E-2</v>
      </c>
      <c r="O120" s="10"/>
      <c r="P120" s="10"/>
      <c r="Q120" s="10"/>
      <c r="R120" s="10"/>
      <c r="S120" s="10"/>
      <c r="T120" s="10"/>
      <c r="U120" s="10"/>
      <c r="V120" s="10"/>
      <c r="W120" s="10"/>
    </row>
    <row r="121" spans="1:23" ht="15" customHeight="1">
      <c r="A121" s="10"/>
      <c r="B121" s="10" t="s">
        <v>339</v>
      </c>
      <c r="C121" s="10"/>
      <c r="D121" s="10"/>
      <c r="E121" s="14">
        <f>_xll.BDP($B$117,"wacc","EQY_FUND_YEAR="&amp;E$62)/100</f>
        <v>5.5122216399189572E-2</v>
      </c>
      <c r="F121" s="14">
        <f>_xll.BDP($B$117,"wacc","EQY_FUND_YEAR="&amp;F$62)/100</f>
        <v>4.2776066772141998E-2</v>
      </c>
      <c r="G121" s="14">
        <f>_xll.BDP($B$117,"wacc","EQY_FUND_YEAR="&amp;G$62)/100</f>
        <v>4.1317723639034042E-2</v>
      </c>
      <c r="H121" s="14">
        <f>_xll.BDP($B$117,"wacc","EQY_FUND_YEAR="&amp;H$62)/100</f>
        <v>5.1775503740663288E-2</v>
      </c>
      <c r="I121" s="14">
        <f>_xll.BDP($B$117,"wacc","EQY_FUND_YEAR="&amp;I$62)/100</f>
        <v>4.2489558831054881E-2</v>
      </c>
      <c r="J121" s="14">
        <f>_xll.BDP($B$117,"wacc","EQY_FUND_YEAR="&amp;J$62)/100</f>
        <v>4.7647271603478029E-2</v>
      </c>
      <c r="K121" s="14">
        <f>_xll.BDP($B$117,"wacc","EQY_FUND_YEAR="&amp;K$62)/100</f>
        <v>5.8032278497267796E-2</v>
      </c>
      <c r="L121" s="14">
        <f>_xll.BDP($B$117,"wacc","EQY_FUND_YEAR="&amp;L$62)/100</f>
        <v>5.5028917538692823E-2</v>
      </c>
      <c r="M121" s="14">
        <f>_xll.BDP($B$117,"wacc","EQY_FUND_YEAR="&amp;M$62)/100</f>
        <v>6.4884808813037334E-2</v>
      </c>
      <c r="N121" s="14">
        <f>_xll.BDP($B$117,"wacc","EQY_FUND_YEAR="&amp;N$62)/100</f>
        <v>6.7498552035951065E-2</v>
      </c>
      <c r="O121" s="10"/>
      <c r="P121" s="10"/>
      <c r="Q121" s="10"/>
      <c r="R121" s="10"/>
      <c r="S121" s="10"/>
      <c r="T121" s="10"/>
      <c r="U121" s="10"/>
      <c r="V121" s="10"/>
      <c r="W121" s="10"/>
    </row>
    <row r="122" spans="1:23" ht="15" customHeight="1">
      <c r="A122" s="10"/>
      <c r="B122" s="10" t="s">
        <v>712</v>
      </c>
      <c r="C122" s="10"/>
      <c r="D122" s="10"/>
      <c r="E122" s="11">
        <f>_xll.BDH($B$117,"ACQUIS_OF_FIXED_INTANG","FY "&amp;E$62,"FY "&amp;E$62,"Currency="&amp;$D$13,"Period=FY","BEST_FPERIOD_OVERRIDE=FY","FILING_STATUS=MR","SCALING_FORMAT="&amp;$D$14,"FA_ADJUSTED=Adjusted","Sort=A","Dates=H","DateFormat=P","Fill=0","Direction=H","UseDPDF=Y")</f>
        <v>0</v>
      </c>
      <c r="F122" s="11">
        <f>_xll.BDH($B$117,"ACQUIS_OF_FIXED_INTANG","FY "&amp;F$62,"FY "&amp;F$62,"Currency="&amp;$D$13,"Period=FY","BEST_FPERIOD_OVERRIDE=FY","FILING_STATUS=MR","SCALING_FORMAT="&amp;$D$14,"FA_ADJUSTED=Adjusted","Sort=A","Dates=H","DateFormat=P","Fill=0","Direction=H","UseDPDF=Y")</f>
        <v>0</v>
      </c>
      <c r="G122" s="11">
        <f>_xll.BDH($B$117,"ACQUIS_OF_FIXED_INTANG","FY "&amp;G$62,"FY "&amp;G$62,"Currency="&amp;$D$13,"Period=FY","BEST_FPERIOD_OVERRIDE=FY","FILING_STATUS=MR","SCALING_FORMAT="&amp;$D$14,"FA_ADJUSTED=Adjusted","Sort=A","Dates=H","DateFormat=P","Fill=0","Direction=H","UseDPDF=Y")</f>
        <v>0</v>
      </c>
      <c r="H122" s="11">
        <f>_xll.BDH($B$117,"ACQUIS_OF_FIXED_INTANG","FY "&amp;H$62,"FY "&amp;H$62,"Currency="&amp;$D$13,"Period=FY","BEST_FPERIOD_OVERRIDE=FY","FILING_STATUS=MR","SCALING_FORMAT="&amp;$D$14,"FA_ADJUSTED=Adjusted","Sort=A","Dates=H","DateFormat=P","Fill=0","Direction=H","UseDPDF=Y")</f>
        <v>0</v>
      </c>
      <c r="I122" s="11">
        <f>_xll.BDH($B$117,"ACQUIS_OF_FIXED_INTANG","FY "&amp;I$62,"FY "&amp;I$62,"Currency="&amp;$D$13,"Period=FY","BEST_FPERIOD_OVERRIDE=FY","FILING_STATUS=MR","SCALING_FORMAT="&amp;$D$14,"FA_ADJUSTED=Adjusted","Sort=A","Dates=H","DateFormat=P","Fill=0","Direction=H","UseDPDF=Y")</f>
        <v>0</v>
      </c>
      <c r="J122" s="11">
        <f>_xll.BDH($B$117,"ACQUIS_OF_FIXED_INTANG","FY "&amp;J$62,"FY "&amp;J$62,"Currency="&amp;$D$13,"Period=FY","BEST_FPERIOD_OVERRIDE=FY","FILING_STATUS=MR","SCALING_FORMAT="&amp;$D$14,"FA_ADJUSTED=Adjusted","Sort=A","Dates=H","DateFormat=P","Fill=0","Direction=H","UseDPDF=Y")</f>
        <v>0</v>
      </c>
      <c r="K122" s="11">
        <f>_xll.BDH($B$117,"ACQUIS_OF_FIXED_INTANG","FY "&amp;K$62,"FY "&amp;K$62,"Currency="&amp;$D$13,"Period=FY","BEST_FPERIOD_OVERRIDE=FY","FILING_STATUS=MR","SCALING_FORMAT="&amp;$D$14,"FA_ADJUSTED=Adjusted","Sort=A","Dates=H","DateFormat=P","Fill=0","Direction=H","UseDPDF=Y")</f>
        <v>0</v>
      </c>
      <c r="L122" s="11">
        <f>_xll.BDH($B$117,"ACQUIS_OF_FIXED_INTANG","FY "&amp;L$62,"FY "&amp;L$62,"Currency="&amp;$D$13,"Period=FY","BEST_FPERIOD_OVERRIDE=FY","FILING_STATUS=MR","SCALING_FORMAT="&amp;$D$14,"FA_ADJUSTED=Adjusted","Sort=A","Dates=H","DateFormat=P","Fill=0","Direction=H","UseDPDF=Y")</f>
        <v>0</v>
      </c>
      <c r="M122" s="11">
        <f>_xll.BDH($B$117,"ACQUIS_OF_FIXED_INTANG","FY "&amp;M$62,"FY "&amp;M$62,"Currency="&amp;$D$13,"Period=FY","BEST_FPERIOD_OVERRIDE=FY","FILING_STATUS=MR","SCALING_FORMAT="&amp;$D$14,"FA_ADJUSTED=Adjusted","Sort=A","Dates=H","DateFormat=P","Fill=0","Direction=H","UseDPDF=Y")</f>
        <v>0</v>
      </c>
      <c r="N122" s="11">
        <f>_xll.BDH($B$117,"ACQUIS_OF_FIXED_INTANG","FY "&amp;N$62,"FY "&amp;N$62,"Currency="&amp;$D$13,"Period=FY","BEST_FPERIOD_OVERRIDE=FY","FILING_STATUS=MR","SCALING_FORMAT="&amp;$D$14,"FA_ADJUSTED=Adjusted","Sort=A","Dates=H","DateFormat=P","Fill=0","Direction=H","UseDPDF=Y")</f>
        <v>0</v>
      </c>
      <c r="O122" s="10"/>
      <c r="P122" s="10"/>
      <c r="Q122" s="10"/>
      <c r="R122" s="10"/>
      <c r="S122" s="10"/>
      <c r="T122" s="10"/>
      <c r="U122" s="10"/>
      <c r="V122" s="10"/>
      <c r="W122" s="10"/>
    </row>
    <row r="123" spans="1:23" ht="15" customHeight="1">
      <c r="A123" s="10"/>
      <c r="B123" s="10" t="s">
        <v>713</v>
      </c>
      <c r="C123" s="10"/>
      <c r="D123" s="10"/>
      <c r="E123" s="14">
        <f>_xll.BDH($B$117,"TOT_DEBT_TO_TOT_EQY","FY "&amp;E$62,"FY "&amp;E$62,"Currency="&amp;$D$13,"Period=FY","BEST_FPERIOD_OVERRIDE=FY","FILING_STATUS=MR","SCALING_FORMAT="&amp;$D$14,"FA_ADJUSTED=Adjusted","Sort=A","Dates=H","DateFormat=P","Fill=0","Direction=H","UseDPDF=Y")/100</f>
        <v>6.3369960000000001</v>
      </c>
      <c r="F123" s="14">
        <f>_xll.BDH($B$117,"TOT_DEBT_TO_TOT_EQY","FY "&amp;F$62,"FY "&amp;F$62,"Currency="&amp;$D$13,"Period=FY","BEST_FPERIOD_OVERRIDE=FY","FILING_STATUS=MR","SCALING_FORMAT="&amp;$D$14,"FA_ADJUSTED=Adjusted","Sort=A","Dates=H","DateFormat=P","Fill=0","Direction=H","UseDPDF=Y")/100</f>
        <v>4.5528379999999995</v>
      </c>
      <c r="G123" s="14">
        <f>_xll.BDH($B$117,"TOT_DEBT_TO_TOT_EQY","FY "&amp;G$62,"FY "&amp;G$62,"Currency="&amp;$D$13,"Period=FY","BEST_FPERIOD_OVERRIDE=FY","FILING_STATUS=MR","SCALING_FORMAT="&amp;$D$14,"FA_ADJUSTED=Adjusted","Sort=A","Dates=H","DateFormat=P","Fill=0","Direction=H","UseDPDF=Y")/100</f>
        <v>4.5912139999999999</v>
      </c>
      <c r="H123" s="14">
        <f>_xll.BDH($B$117,"TOT_DEBT_TO_TOT_EQY","FY "&amp;H$62,"FY "&amp;H$62,"Currency="&amp;$D$13,"Period=FY","BEST_FPERIOD_OVERRIDE=FY","FILING_STATUS=MR","SCALING_FORMAT="&amp;$D$14,"FA_ADJUSTED=Adjusted","Sort=A","Dates=H","DateFormat=P","Fill=0","Direction=H","UseDPDF=Y")/100</f>
        <v>3.9952620000000003</v>
      </c>
      <c r="I123" s="14">
        <f>_xll.BDH($B$117,"TOT_DEBT_TO_TOT_EQY","FY "&amp;I$62,"FY "&amp;I$62,"Currency="&amp;$D$13,"Period=FY","BEST_FPERIOD_OVERRIDE=FY","FILING_STATUS=MR","SCALING_FORMAT="&amp;$D$14,"FA_ADJUSTED=Adjusted","Sort=A","Dates=H","DateFormat=P","Fill=0","Direction=H","UseDPDF=Y")/100</f>
        <v>4.0157040000000004</v>
      </c>
      <c r="J123" s="14">
        <f>_xll.BDH($B$117,"TOT_DEBT_TO_TOT_EQY","FY "&amp;J$62,"FY "&amp;J$62,"Currency="&amp;$D$13,"Period=FY","BEST_FPERIOD_OVERRIDE=FY","FILING_STATUS=MR","SCALING_FORMAT="&amp;$D$14,"FA_ADJUSTED=Adjusted","Sort=A","Dates=H","DateFormat=P","Fill=0","Direction=H","UseDPDF=Y")/100</f>
        <v>5.220866</v>
      </c>
      <c r="K123" s="14">
        <f>_xll.BDH($B$117,"TOT_DEBT_TO_TOT_EQY","FY "&amp;K$62,"FY "&amp;K$62,"Currency="&amp;$D$13,"Period=FY","BEST_FPERIOD_OVERRIDE=FY","FILING_STATUS=MR","SCALING_FORMAT="&amp;$D$14,"FA_ADJUSTED=Adjusted","Sort=A","Dates=H","DateFormat=P","Fill=0","Direction=H","UseDPDF=Y")/100</f>
        <v>5.787585</v>
      </c>
      <c r="L123" s="14">
        <f>_xll.BDH($B$117,"TOT_DEBT_TO_TOT_EQY","FY "&amp;L$62,"FY "&amp;L$62,"Currency="&amp;$D$13,"Period=FY","BEST_FPERIOD_OVERRIDE=FY","FILING_STATUS=MR","SCALING_FORMAT="&amp;$D$14,"FA_ADJUSTED=Adjusted","Sort=A","Dates=H","DateFormat=P","Fill=0","Direction=H","UseDPDF=Y")/100</f>
        <v>6.1167499999999997</v>
      </c>
      <c r="M123" s="14">
        <f>_xll.BDH($B$117,"TOT_DEBT_TO_TOT_EQY","FY "&amp;M$62,"FY "&amp;M$62,"Currency="&amp;$D$13,"Period=FY","BEST_FPERIOD_OVERRIDE=FY","FILING_STATUS=MR","SCALING_FORMAT="&amp;$D$14,"FA_ADJUSTED=Adjusted","Sort=A","Dates=H","DateFormat=P","Fill=0","Direction=H","UseDPDF=Y")/100</f>
        <v>6.2730700000000006</v>
      </c>
      <c r="N123" s="14">
        <f>_xll.BDH($B$117,"TOT_DEBT_TO_TOT_EQY","FY "&amp;N$62,"FY "&amp;N$62,"Currency="&amp;$D$13,"Period=FY","BEST_FPERIOD_OVERRIDE=FY","FILING_STATUS=MR","SCALING_FORMAT="&amp;$D$14,"FA_ADJUSTED=Adjusted","Sort=A","Dates=H","DateFormat=P","Fill=0","Direction=H","UseDPDF=Y")/100</f>
        <v>6.7690380000000001</v>
      </c>
      <c r="O123" s="10"/>
      <c r="P123" s="10"/>
      <c r="Q123" s="10"/>
      <c r="R123" s="10"/>
      <c r="S123" s="10"/>
      <c r="T123" s="10"/>
      <c r="U123" s="10"/>
      <c r="V123" s="10"/>
      <c r="W123" s="10"/>
    </row>
    <row r="124" spans="1:23" ht="15" customHeight="1">
      <c r="A124" s="10"/>
      <c r="B124" s="10" t="s">
        <v>714</v>
      </c>
      <c r="C124" s="10"/>
      <c r="D124" s="10"/>
      <c r="E124" s="14">
        <f t="shared" ref="E124:N124" si="24">+E119/E118</f>
        <v>-7.4817518248175188E-2</v>
      </c>
      <c r="F124" s="14">
        <f t="shared" si="24"/>
        <v>8.0865310327066703E-2</v>
      </c>
      <c r="G124" s="14">
        <f t="shared" si="24"/>
        <v>0.14084132055378062</v>
      </c>
      <c r="H124" s="14">
        <f t="shared" si="24"/>
        <v>0.16422495274102081</v>
      </c>
      <c r="I124" s="14">
        <f t="shared" si="24"/>
        <v>0.24080267558528429</v>
      </c>
      <c r="J124" s="14">
        <f t="shared" si="24"/>
        <v>0.21127911728647322</v>
      </c>
      <c r="K124" s="14">
        <f t="shared" si="24"/>
        <v>0.37160367722165477</v>
      </c>
      <c r="L124" s="14">
        <f t="shared" si="24"/>
        <v>0.22808056872037916</v>
      </c>
      <c r="M124" s="14">
        <f t="shared" si="24"/>
        <v>0.15852047556142668</v>
      </c>
      <c r="N124" s="14">
        <f t="shared" si="24"/>
        <v>0.12967493883257603</v>
      </c>
      <c r="O124" s="10"/>
      <c r="P124" s="10"/>
      <c r="Q124" s="10"/>
      <c r="R124" s="10"/>
      <c r="S124" s="10"/>
      <c r="T124" s="10"/>
      <c r="U124" s="10"/>
      <c r="V124" s="10"/>
      <c r="W124" s="10"/>
    </row>
    <row r="125" spans="1:23" ht="15" customHeight="1">
      <c r="A125" s="10"/>
      <c r="B125" s="10" t="s">
        <v>715</v>
      </c>
      <c r="C125" s="10"/>
      <c r="D125" s="10"/>
      <c r="E125" s="347">
        <f t="shared" ref="E125:N125" si="25">+E120/E121</f>
        <v>0.70073270690978762</v>
      </c>
      <c r="F125" s="347">
        <f t="shared" si="25"/>
        <v>1.3853542772514627</v>
      </c>
      <c r="G125" s="347">
        <f t="shared" si="25"/>
        <v>1.4646320574017024</v>
      </c>
      <c r="H125" s="347">
        <f t="shared" si="25"/>
        <v>1.4805378068751123</v>
      </c>
      <c r="I125" s="347">
        <f t="shared" si="25"/>
        <v>2.202637069250108</v>
      </c>
      <c r="J125" s="347">
        <f t="shared" si="25"/>
        <v>1.8530301227924415</v>
      </c>
      <c r="K125" s="347">
        <f t="shared" si="25"/>
        <v>1.4003359705497576</v>
      </c>
      <c r="L125" s="347">
        <f t="shared" si="25"/>
        <v>1.7597194506952329</v>
      </c>
      <c r="M125" s="347">
        <f t="shared" si="25"/>
        <v>1.47154387738921</v>
      </c>
      <c r="N125" s="347">
        <f t="shared" si="25"/>
        <v>1.4152899506231573</v>
      </c>
      <c r="O125" s="10"/>
      <c r="P125" s="10"/>
      <c r="Q125" s="10"/>
      <c r="R125" s="10"/>
      <c r="S125" s="10"/>
      <c r="T125" s="10"/>
      <c r="U125" s="10"/>
      <c r="V125" s="10"/>
      <c r="W125" s="10"/>
    </row>
    <row r="126" spans="1:23" ht="15" customHeight="1">
      <c r="A126" s="10"/>
      <c r="B126" s="10" t="s">
        <v>716</v>
      </c>
      <c r="C126" s="10"/>
      <c r="D126" s="10"/>
      <c r="E126" s="14">
        <f t="shared" ref="E126:N126" si="26">-E122/E118</f>
        <v>0</v>
      </c>
      <c r="F126" s="14">
        <f t="shared" si="26"/>
        <v>0</v>
      </c>
      <c r="G126" s="14">
        <f t="shared" si="26"/>
        <v>0</v>
      </c>
      <c r="H126" s="14">
        <f t="shared" si="26"/>
        <v>0</v>
      </c>
      <c r="I126" s="14">
        <f t="shared" si="26"/>
        <v>0</v>
      </c>
      <c r="J126" s="14">
        <f t="shared" si="26"/>
        <v>0</v>
      </c>
      <c r="K126" s="14">
        <f t="shared" si="26"/>
        <v>0</v>
      </c>
      <c r="L126" s="14">
        <f t="shared" si="26"/>
        <v>0</v>
      </c>
      <c r="M126" s="14">
        <f t="shared" si="26"/>
        <v>0</v>
      </c>
      <c r="N126" s="14">
        <f t="shared" si="26"/>
        <v>0</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62" t="s">
        <v>717</v>
      </c>
      <c r="C128" s="362"/>
      <c r="D128" s="362"/>
      <c r="E128" s="32"/>
      <c r="F128" s="320"/>
      <c r="G128" s="320"/>
      <c r="H128" s="320"/>
      <c r="I128" s="320"/>
      <c r="J128" s="320"/>
      <c r="K128" s="32"/>
      <c r="L128" s="320"/>
      <c r="M128" s="320"/>
      <c r="N128" s="320"/>
      <c r="O128" s="320"/>
      <c r="P128" s="320"/>
      <c r="Q128" s="32"/>
      <c r="R128" s="320"/>
      <c r="S128" s="320"/>
      <c r="T128" s="320"/>
      <c r="U128" s="320"/>
      <c r="V128" s="32"/>
      <c r="W128" s="320"/>
    </row>
    <row r="129" spans="1:23" ht="15" customHeight="1">
      <c r="A129" s="10"/>
      <c r="B129" s="363"/>
      <c r="C129" s="363"/>
      <c r="D129" s="363"/>
      <c r="E129" s="32"/>
      <c r="F129" s="364"/>
      <c r="G129" s="364"/>
      <c r="H129" s="364"/>
      <c r="I129" s="364"/>
      <c r="J129" s="364"/>
      <c r="K129" s="365"/>
      <c r="L129" s="364"/>
      <c r="M129" s="364"/>
      <c r="N129" s="364"/>
      <c r="O129" s="364"/>
      <c r="P129" s="364"/>
      <c r="Q129" s="365"/>
      <c r="R129" s="364"/>
      <c r="S129" s="364"/>
      <c r="T129" s="364"/>
      <c r="U129" s="364"/>
      <c r="V129" s="365"/>
      <c r="W129" s="499"/>
    </row>
    <row r="130" spans="1:23" ht="15" customHeight="1">
      <c r="A130" s="10"/>
      <c r="B130" s="363"/>
      <c r="C130" s="363"/>
      <c r="D130" s="363"/>
      <c r="E130" s="32"/>
      <c r="F130" s="366"/>
      <c r="G130" s="366"/>
      <c r="H130" s="366"/>
      <c r="I130" s="366"/>
      <c r="J130" s="366"/>
      <c r="K130" s="364"/>
      <c r="L130" s="366"/>
      <c r="M130" s="366"/>
      <c r="N130" s="366"/>
      <c r="O130" s="366"/>
      <c r="P130" s="366"/>
      <c r="Q130" s="364"/>
      <c r="R130" s="366"/>
      <c r="S130" s="366"/>
      <c r="T130" s="366"/>
      <c r="U130" s="366"/>
      <c r="V130" s="364"/>
      <c r="W130" s="366"/>
    </row>
    <row r="131" spans="1:23" ht="4" customHeight="1">
      <c r="A131" s="10"/>
      <c r="B131" s="367"/>
      <c r="C131" s="367"/>
      <c r="D131" s="367"/>
      <c r="E131" s="368"/>
      <c r="F131" s="369"/>
      <c r="G131" s="369"/>
      <c r="H131" s="369"/>
      <c r="I131" s="369"/>
      <c r="J131" s="369"/>
      <c r="K131" s="370"/>
      <c r="L131" s="369"/>
      <c r="M131" s="369"/>
      <c r="N131" s="369"/>
      <c r="O131" s="369"/>
      <c r="P131" s="369"/>
      <c r="Q131" s="370"/>
      <c r="R131" s="369"/>
      <c r="S131" s="369"/>
      <c r="T131" s="369"/>
      <c r="U131" s="369"/>
      <c r="V131" s="370"/>
      <c r="W131" s="369"/>
    </row>
    <row r="132" spans="1:23" ht="4" customHeight="1">
      <c r="A132" s="10"/>
      <c r="B132" s="358"/>
      <c r="C132" s="358"/>
      <c r="D132" s="358"/>
      <c r="E132" s="359"/>
      <c r="F132" s="358"/>
      <c r="G132" s="358"/>
      <c r="H132" s="358"/>
      <c r="I132" s="358"/>
      <c r="J132" s="358"/>
      <c r="K132" s="358"/>
      <c r="L132" s="358"/>
      <c r="M132" s="358"/>
      <c r="N132" s="358"/>
      <c r="O132" s="358"/>
      <c r="P132" s="358"/>
      <c r="Q132" s="358"/>
      <c r="R132" s="358"/>
      <c r="S132" s="358"/>
      <c r="T132" s="358"/>
      <c r="U132" s="358"/>
      <c r="V132" s="358"/>
      <c r="W132" s="358"/>
    </row>
    <row r="133" spans="1:23" ht="15" customHeight="1">
      <c r="A133" s="10"/>
      <c r="B133" s="362" t="s">
        <v>92</v>
      </c>
      <c r="C133" s="502" t="s">
        <v>718</v>
      </c>
      <c r="D133" s="363"/>
      <c r="E133" s="32"/>
      <c r="F133" s="366"/>
      <c r="G133" s="366">
        <v>2017</v>
      </c>
      <c r="H133" s="366">
        <f t="shared" ref="H133:N133" si="27">+G133+1</f>
        <v>2018</v>
      </c>
      <c r="I133" s="366">
        <f t="shared" si="27"/>
        <v>2019</v>
      </c>
      <c r="J133" s="366">
        <f t="shared" si="27"/>
        <v>2020</v>
      </c>
      <c r="K133" s="366">
        <f t="shared" si="27"/>
        <v>2021</v>
      </c>
      <c r="L133" s="366">
        <f t="shared" si="27"/>
        <v>2022</v>
      </c>
      <c r="M133" s="366">
        <f t="shared" si="27"/>
        <v>2023</v>
      </c>
      <c r="N133" s="366">
        <f t="shared" si="27"/>
        <v>2024</v>
      </c>
      <c r="O133" s="358"/>
      <c r="P133" s="366">
        <v>2017</v>
      </c>
      <c r="Q133" s="366">
        <f t="shared" ref="Q133:W133" si="28">+P133+1</f>
        <v>2018</v>
      </c>
      <c r="R133" s="366">
        <f t="shared" si="28"/>
        <v>2019</v>
      </c>
      <c r="S133" s="366">
        <f t="shared" si="28"/>
        <v>2020</v>
      </c>
      <c r="T133" s="366">
        <f t="shared" si="28"/>
        <v>2021</v>
      </c>
      <c r="U133" s="366">
        <f t="shared" si="28"/>
        <v>2022</v>
      </c>
      <c r="V133" s="366">
        <f t="shared" si="28"/>
        <v>2023</v>
      </c>
      <c r="W133" s="366">
        <f t="shared" si="28"/>
        <v>2024</v>
      </c>
    </row>
    <row r="135" spans="1:23" ht="15" customHeight="1">
      <c r="B135" s="358" t="e">
        <f ca="1">+_xll.BDP(C135,"SHORT_NAME")</f>
        <v>#NAME?</v>
      </c>
      <c r="C135" s="501" t="str">
        <f>Inputs!$D$15</f>
        <v>OPFI US Equity</v>
      </c>
      <c r="D135" s="358"/>
      <c r="E135" s="359"/>
      <c r="F135" s="358"/>
      <c r="G135" s="358" t="e">
        <f ca="1">_xll.BDH($C$135,$C$133,"FY"&amp;G$133,"FY"&amp;G$133,"Period=FY","BEST_FPERIOD_OVERRIDE=FY","FILING_STATUS=MR","SCALING_FORMAT=K","FA_ADJUSTED=Adjusted","Sort=A","Dates=H","DateFormat=P","Fill=NA","Direction=H","UseDPDF=Y")</f>
        <v>#NAME?</v>
      </c>
      <c r="H135" s="358" t="e">
        <f ca="1">_xll.BDH($C$135,$C$133,"FY"&amp;H$133,"FY"&amp;H$133,"Period=FY","BEST_FPERIOD_OVERRIDE=FY","FILING_STATUS=MR","SCALING_FORMAT=K","FA_ADJUSTED=Adjusted","Sort=A","Dates=H","DateFormat=P","Fill=NA","Direction=H","UseDPDF=Y")</f>
        <v>#NAME?</v>
      </c>
      <c r="I135" s="358" t="e">
        <f ca="1">_xll.BDH($C$135,$C$133,"FY"&amp;I$133,"FY"&amp;I$133,"Period=FY","BEST_FPERIOD_OVERRIDE=FY","FILING_STATUS=MR","SCALING_FORMAT=K","FA_ADJUSTED=Adjusted","Sort=A","Dates=H","DateFormat=P","Fill=NA","Direction=H","UseDPDF=Y")</f>
        <v>#NAME?</v>
      </c>
      <c r="J135" s="358" t="e">
        <f ca="1">_xll.BDH($C$135,$C$133,"FY"&amp;J$133,"FY"&amp;J$133,"Period=FY","BEST_FPERIOD_OVERRIDE=FY","FILING_STATUS=MR","SCALING_FORMAT=K","FA_ADJUSTED=Adjusted","Sort=A","Dates=H","DateFormat=P","Fill=NA","Direction=H","UseDPDF=Y")</f>
        <v>#NAME?</v>
      </c>
      <c r="K135" s="358" t="e">
        <f ca="1">_xll.BDH($C$135,$C$133,"FY"&amp;K$133,"FY"&amp;K$133,"Period=FY","BEST_FPERIOD_OVERRIDE=FY","FILING_STATUS=MR","SCALING_FORMAT=K","FA_ADJUSTED=Adjusted","Sort=A","Dates=H","DateFormat=P","Fill=NA","Direction=H","UseDPDF=Y")</f>
        <v>#NAME?</v>
      </c>
      <c r="L135" s="358" t="e">
        <f ca="1">_xll.BDH($C$135,$C$133,"FY"&amp;L$133,"FY"&amp;L$133,"Period=FY","BEST_FPERIOD_OVERRIDE=FY","FILING_STATUS=MR","SCALING_FORMAT=K","FA_ADJUSTED=Adjusted","Sort=A","Dates=H","DateFormat=P","Fill=NA","Direction=H","UseDPDF=Y")</f>
        <v>#NAME?</v>
      </c>
      <c r="M135" s="358" t="e">
        <f ca="1">_xll.BDH($C$135,$C$133,"FY"&amp;M$133,"FY"&amp;M$133,"Period=FY","BEST_FPERIOD_OVERRIDE=FY","FILING_STATUS=MR","SCALING_FORMAT=K","FA_ADJUSTED=Adjusted","Sort=A","Dates=H","DateFormat=P","Fill=NA","Direction=H","UseDPDF=Y")</f>
        <v>#NAME?</v>
      </c>
      <c r="N135" s="358" t="e">
        <f ca="1">_xll.BDH($C$135,$C$133,"FY"&amp;N$133,"FY"&amp;N$133,"Period=FY","BEST_FPERIOD_OVERRIDE=FY","FILING_STATUS=MR","SCALING_FORMAT=K","FA_ADJUSTED=Adjusted","Sort=A","Dates=H","DateFormat=P","Fill=NA","Direction=H","UseDPDF=Y")</f>
        <v>#NAME?</v>
      </c>
      <c r="O135" s="358"/>
      <c r="P135" s="358" t="e">
        <f t="shared" ref="P135:W140" ca="1" si="29">+G135/G171</f>
        <v>#NAME?</v>
      </c>
      <c r="Q135" s="358" t="e">
        <f t="shared" ca="1" si="29"/>
        <v>#NAME?</v>
      </c>
      <c r="R135" s="358" t="e">
        <f t="shared" ca="1" si="29"/>
        <v>#NAME?</v>
      </c>
      <c r="S135" s="358" t="e">
        <f t="shared" ca="1" si="29"/>
        <v>#NAME?</v>
      </c>
      <c r="T135" s="358" t="e">
        <f t="shared" ca="1" si="29"/>
        <v>#NAME?</v>
      </c>
      <c r="U135" s="358" t="e">
        <f t="shared" ca="1" si="29"/>
        <v>#NAME?</v>
      </c>
      <c r="V135" s="358" t="e">
        <f t="shared" ca="1" si="29"/>
        <v>#NAME?</v>
      </c>
      <c r="W135" s="358" t="e">
        <f t="shared" ca="1" si="29"/>
        <v>#NAME?</v>
      </c>
    </row>
    <row r="136" spans="1:23" ht="15" customHeight="1">
      <c r="B136" s="358" t="str">
        <f>+_xll.BDP(C136,"SHORT_NAME")</f>
        <v>ENOVA INTERNATIO</v>
      </c>
      <c r="C136" s="501" t="str">
        <f>+Inputs!$E$21</f>
        <v>ENVA US Equity</v>
      </c>
      <c r="D136" s="358"/>
      <c r="E136" s="359"/>
      <c r="F136" s="358"/>
      <c r="G136" s="358" t="str">
        <f>_xll.BDH($C$136,$C$133,"FY"&amp;G$133,"FY"&amp;G$133,"Period=FY","BEST_FPERIOD_OVERRIDE=FY","FILING_STATUS=MR","SCALING_FORMAT=K","FA_ADJUSTED=Adjusted","Sort=A","Dates=H","DateFormat=P","Fill=NA","Direction=H","UseDPDF=Y")</f>
        <v>#N/A</v>
      </c>
      <c r="H136" s="358" t="str">
        <f>_xll.BDH($C$136,$C$133,"FY"&amp;H$133,"FY"&amp;H$133,"Period=FY","BEST_FPERIOD_OVERRIDE=FY","FILING_STATUS=MR","SCALING_FORMAT=K","FA_ADJUSTED=Adjusted","Sort=A","Dates=H","DateFormat=P","Fill=NA","Direction=H","UseDPDF=Y")</f>
        <v>#N/A</v>
      </c>
      <c r="I136" s="358" t="str">
        <f>_xll.BDH($C$136,$C$133,"FY"&amp;I$133,"FY"&amp;I$133,"Period=FY","BEST_FPERIOD_OVERRIDE=FY","FILING_STATUS=MR","SCALING_FORMAT=K","FA_ADJUSTED=Adjusted","Sort=A","Dates=H","DateFormat=P","Fill=NA","Direction=H","UseDPDF=Y")</f>
        <v>#N/A</v>
      </c>
      <c r="J136" s="358" t="str">
        <f>_xll.BDH($C$136,$C$133,"FY"&amp;J$133,"FY"&amp;J$133,"Period=FY","BEST_FPERIOD_OVERRIDE=FY","FILING_STATUS=MR","SCALING_FORMAT=K","FA_ADJUSTED=Adjusted","Sort=A","Dates=H","DateFormat=P","Fill=NA","Direction=H","UseDPDF=Y")</f>
        <v>#N/A</v>
      </c>
      <c r="K136" s="358" t="str">
        <f>_xll.BDH($C$136,$C$133,"FY"&amp;K$133,"FY"&amp;K$133,"Period=FY","BEST_FPERIOD_OVERRIDE=FY","FILING_STATUS=MR","SCALING_FORMAT=K","FA_ADJUSTED=Adjusted","Sort=A","Dates=H","DateFormat=P","Fill=NA","Direction=H","UseDPDF=Y")</f>
        <v>#N/A</v>
      </c>
      <c r="L136" s="358" t="str">
        <f>_xll.BDH($C$136,$C$133,"FY"&amp;L$133,"FY"&amp;L$133,"Period=FY","BEST_FPERIOD_OVERRIDE=FY","FILING_STATUS=MR","SCALING_FORMAT=K","FA_ADJUSTED=Adjusted","Sort=A","Dates=H","DateFormat=P","Fill=NA","Direction=H","UseDPDF=Y")</f>
        <v>#N/A</v>
      </c>
      <c r="M136" s="358" t="str">
        <f>_xll.BDH($C$136,$C$133,"FY"&amp;M$133,"FY"&amp;M$133,"Period=FY","BEST_FPERIOD_OVERRIDE=FY","FILING_STATUS=MR","SCALING_FORMAT=K","FA_ADJUSTED=Adjusted","Sort=A","Dates=H","DateFormat=P","Fill=NA","Direction=H","UseDPDF=Y")</f>
        <v>#N/A</v>
      </c>
      <c r="N136" s="358" t="str">
        <f>_xll.BDH($C$136,$C$133,"FY"&amp;N$133,"FY"&amp;N$133,"Period=FY","BEST_FPERIOD_OVERRIDE=FY","FILING_STATUS=MR","SCALING_FORMAT=K","FA_ADJUSTED=Adjusted","Sort=A","Dates=H","DateFormat=P","Fill=NA","Direction=H","UseDPDF=Y")</f>
        <v>#N/A</v>
      </c>
      <c r="O136" s="358"/>
      <c r="P136" s="358" t="e">
        <f t="shared" si="29"/>
        <v>#VALUE!</v>
      </c>
      <c r="Q136" s="358" t="e">
        <f t="shared" si="29"/>
        <v>#VALUE!</v>
      </c>
      <c r="R136" s="358" t="e">
        <f t="shared" si="29"/>
        <v>#VALUE!</v>
      </c>
      <c r="S136" s="358" t="e">
        <f t="shared" si="29"/>
        <v>#VALUE!</v>
      </c>
      <c r="T136" s="358" t="e">
        <f t="shared" si="29"/>
        <v>#VALUE!</v>
      </c>
      <c r="U136" s="358" t="e">
        <f t="shared" si="29"/>
        <v>#VALUE!</v>
      </c>
      <c r="V136" s="358" t="e">
        <f t="shared" si="29"/>
        <v>#VALUE!</v>
      </c>
      <c r="W136" s="358" t="e">
        <f t="shared" si="29"/>
        <v>#VALUE!</v>
      </c>
    </row>
    <row r="137" spans="1:23" ht="15" customHeight="1">
      <c r="B137" s="358" t="str">
        <f>+_xll.BDP(C137,"SHORT_NAME")</f>
        <v>REGIONAL MANAGEM</v>
      </c>
      <c r="C137" s="501" t="str">
        <f>+Inputs!$E$22</f>
        <v>RM US Equity</v>
      </c>
      <c r="D137" s="358"/>
      <c r="E137" s="359"/>
      <c r="F137" s="358"/>
      <c r="G137" s="358" t="str">
        <f>_xll.BDH($C$137,$C$133,"FY"&amp;G$133,"FY"&amp;G$133,"Period=FY","BEST_FPERIOD_OVERRIDE=FY","FILING_STATUS=MR","SCALING_FORMAT=K","FA_ADJUSTED=Adjusted","Sort=A","Dates=H","DateFormat=P","Fill=NA","Direction=H","UseDPDF=Y")</f>
        <v>#N/A</v>
      </c>
      <c r="H137" s="358" t="str">
        <f>_xll.BDH($C$137,$C$133,"FY"&amp;H$133,"FY"&amp;H$133,"Period=FY","BEST_FPERIOD_OVERRIDE=FY","FILING_STATUS=MR","SCALING_FORMAT=K","FA_ADJUSTED=Adjusted","Sort=A","Dates=H","DateFormat=P","Fill=NA","Direction=H","UseDPDF=Y")</f>
        <v>#N/A</v>
      </c>
      <c r="I137" s="358" t="str">
        <f>_xll.BDH($C$137,$C$133,"FY"&amp;I$133,"FY"&amp;I$133,"Period=FY","BEST_FPERIOD_OVERRIDE=FY","FILING_STATUS=MR","SCALING_FORMAT=K","FA_ADJUSTED=Adjusted","Sort=A","Dates=H","DateFormat=P","Fill=NA","Direction=H","UseDPDF=Y")</f>
        <v>#N/A</v>
      </c>
      <c r="J137" s="358" t="str">
        <f>_xll.BDH($C$137,$C$133,"FY"&amp;J$133,"FY"&amp;J$133,"Period=FY","BEST_FPERIOD_OVERRIDE=FY","FILING_STATUS=MR","SCALING_FORMAT=K","FA_ADJUSTED=Adjusted","Sort=A","Dates=H","DateFormat=P","Fill=NA","Direction=H","UseDPDF=Y")</f>
        <v>#N/A</v>
      </c>
      <c r="K137" s="358" t="str">
        <f>_xll.BDH($C$137,$C$133,"FY"&amp;K$133,"FY"&amp;K$133,"Period=FY","BEST_FPERIOD_OVERRIDE=FY","FILING_STATUS=MR","SCALING_FORMAT=K","FA_ADJUSTED=Adjusted","Sort=A","Dates=H","DateFormat=P","Fill=NA","Direction=H","UseDPDF=Y")</f>
        <v>#N/A</v>
      </c>
      <c r="L137" s="358" t="str">
        <f>_xll.BDH($C$137,$C$133,"FY"&amp;L$133,"FY"&amp;L$133,"Period=FY","BEST_FPERIOD_OVERRIDE=FY","FILING_STATUS=MR","SCALING_FORMAT=K","FA_ADJUSTED=Adjusted","Sort=A","Dates=H","DateFormat=P","Fill=NA","Direction=H","UseDPDF=Y")</f>
        <v>#N/A</v>
      </c>
      <c r="M137" s="358" t="str">
        <f>_xll.BDH($C$137,$C$133,"FY"&amp;M$133,"FY"&amp;M$133,"Period=FY","BEST_FPERIOD_OVERRIDE=FY","FILING_STATUS=MR","SCALING_FORMAT=K","FA_ADJUSTED=Adjusted","Sort=A","Dates=H","DateFormat=P","Fill=NA","Direction=H","UseDPDF=Y")</f>
        <v>#N/A</v>
      </c>
      <c r="N137" s="358" t="str">
        <f>_xll.BDH($C$137,$C$133,"FY"&amp;N$133,"FY"&amp;N$133,"Period=FY","BEST_FPERIOD_OVERRIDE=FY","FILING_STATUS=MR","SCALING_FORMAT=K","FA_ADJUSTED=Adjusted","Sort=A","Dates=H","DateFormat=P","Fill=NA","Direction=H","UseDPDF=Y")</f>
        <v>#N/A</v>
      </c>
      <c r="O137" s="358"/>
      <c r="P137" s="358" t="e">
        <f t="shared" si="29"/>
        <v>#VALUE!</v>
      </c>
      <c r="Q137" s="358" t="e">
        <f t="shared" si="29"/>
        <v>#VALUE!</v>
      </c>
      <c r="R137" s="358" t="e">
        <f t="shared" si="29"/>
        <v>#VALUE!</v>
      </c>
      <c r="S137" s="358" t="e">
        <f t="shared" si="29"/>
        <v>#VALUE!</v>
      </c>
      <c r="T137" s="358" t="e">
        <f t="shared" si="29"/>
        <v>#VALUE!</v>
      </c>
      <c r="U137" s="358" t="e">
        <f t="shared" si="29"/>
        <v>#VALUE!</v>
      </c>
      <c r="V137" s="358" t="e">
        <f t="shared" si="29"/>
        <v>#VALUE!</v>
      </c>
      <c r="W137" s="358" t="e">
        <f t="shared" si="29"/>
        <v>#VALUE!</v>
      </c>
    </row>
    <row r="138" spans="1:23" ht="15" customHeight="1">
      <c r="B138" s="358" t="str">
        <f>+_xll.BDP(C138,"SHORT_NAME")</f>
        <v>WORLD ACCEPTANCE</v>
      </c>
      <c r="C138" s="501" t="str">
        <f>+Inputs!$E$23</f>
        <v>WRLD US Equity</v>
      </c>
      <c r="D138" s="358"/>
      <c r="E138" s="359"/>
      <c r="F138" s="358"/>
      <c r="G138" s="358" t="str">
        <f>_xll.BDH($C$138,$C$133,"FY"&amp;G$133,"FY"&amp;G$133,"Period=FY","BEST_FPERIOD_OVERRIDE=FY","FILING_STATUS=MR","SCALING_FORMAT=K","FA_ADJUSTED=Adjusted","Sort=A","Dates=H","DateFormat=P","Fill=NA","Direction=H","UseDPDF=Y")</f>
        <v>#N/A</v>
      </c>
      <c r="H138" s="358" t="str">
        <f>_xll.BDH($C$138,$C$133,"FY"&amp;H$133,"FY"&amp;H$133,"Period=FY","BEST_FPERIOD_OVERRIDE=FY","FILING_STATUS=MR","SCALING_FORMAT=K","FA_ADJUSTED=Adjusted","Sort=A","Dates=H","DateFormat=P","Fill=NA","Direction=H","UseDPDF=Y")</f>
        <v>#N/A</v>
      </c>
      <c r="I138" s="358" t="str">
        <f>_xll.BDH($C$138,$C$133,"FY"&amp;I$133,"FY"&amp;I$133,"Period=FY","BEST_FPERIOD_OVERRIDE=FY","FILING_STATUS=MR","SCALING_FORMAT=K","FA_ADJUSTED=Adjusted","Sort=A","Dates=H","DateFormat=P","Fill=NA","Direction=H","UseDPDF=Y")</f>
        <v>#N/A</v>
      </c>
      <c r="J138" s="358" t="str">
        <f>_xll.BDH($C$138,$C$133,"FY"&amp;J$133,"FY"&amp;J$133,"Period=FY","BEST_FPERIOD_OVERRIDE=FY","FILING_STATUS=MR","SCALING_FORMAT=K","FA_ADJUSTED=Adjusted","Sort=A","Dates=H","DateFormat=P","Fill=NA","Direction=H","UseDPDF=Y")</f>
        <v>#N/A</v>
      </c>
      <c r="K138" s="358" t="str">
        <f>_xll.BDH($C$138,$C$133,"FY"&amp;K$133,"FY"&amp;K$133,"Period=FY","BEST_FPERIOD_OVERRIDE=FY","FILING_STATUS=MR","SCALING_FORMAT=K","FA_ADJUSTED=Adjusted","Sort=A","Dates=H","DateFormat=P","Fill=NA","Direction=H","UseDPDF=Y")</f>
        <v>#N/A</v>
      </c>
      <c r="L138" s="358" t="str">
        <f>_xll.BDH($C$138,$C$133,"FY"&amp;L$133,"FY"&amp;L$133,"Period=FY","BEST_FPERIOD_OVERRIDE=FY","FILING_STATUS=MR","SCALING_FORMAT=K","FA_ADJUSTED=Adjusted","Sort=A","Dates=H","DateFormat=P","Fill=NA","Direction=H","UseDPDF=Y")</f>
        <v>#N/A</v>
      </c>
      <c r="M138" s="358" t="str">
        <f>_xll.BDH($C$138,$C$133,"FY"&amp;M$133,"FY"&amp;M$133,"Period=FY","BEST_FPERIOD_OVERRIDE=FY","FILING_STATUS=MR","SCALING_FORMAT=K","FA_ADJUSTED=Adjusted","Sort=A","Dates=H","DateFormat=P","Fill=NA","Direction=H","UseDPDF=Y")</f>
        <v>#N/A</v>
      </c>
      <c r="N138" s="358" t="str">
        <f>_xll.BDH($C$138,$C$133,"FY"&amp;N$133,"FY"&amp;N$133,"Period=FY","BEST_FPERIOD_OVERRIDE=FY","FILING_STATUS=MR","SCALING_FORMAT=K","FA_ADJUSTED=Adjusted","Sort=A","Dates=H","DateFormat=P","Fill=NA","Direction=H","UseDPDF=Y")</f>
        <v>#N/A</v>
      </c>
      <c r="O138" s="358"/>
      <c r="P138" s="358" t="e">
        <f t="shared" si="29"/>
        <v>#VALUE!</v>
      </c>
      <c r="Q138" s="358" t="e">
        <f t="shared" si="29"/>
        <v>#VALUE!</v>
      </c>
      <c r="R138" s="358" t="e">
        <f t="shared" si="29"/>
        <v>#VALUE!</v>
      </c>
      <c r="S138" s="358" t="e">
        <f t="shared" si="29"/>
        <v>#VALUE!</v>
      </c>
      <c r="T138" s="358" t="e">
        <f t="shared" si="29"/>
        <v>#VALUE!</v>
      </c>
      <c r="U138" s="358" t="e">
        <f t="shared" si="29"/>
        <v>#VALUE!</v>
      </c>
      <c r="V138" s="358" t="e">
        <f t="shared" si="29"/>
        <v>#VALUE!</v>
      </c>
      <c r="W138" s="358" t="e">
        <f t="shared" si="29"/>
        <v>#VALUE!</v>
      </c>
    </row>
    <row r="139" spans="1:23" ht="15" customHeight="1">
      <c r="B139" s="358" t="str">
        <f>+_xll.BDP(C139,"SHORT_NAME")</f>
        <v>EZCORP INC-A</v>
      </c>
      <c r="C139" s="501" t="str">
        <f>+Inputs!$E$24</f>
        <v>EZPW US Equity</v>
      </c>
      <c r="D139" s="358"/>
      <c r="E139" s="359"/>
      <c r="F139" s="358"/>
      <c r="G139" s="358" t="str">
        <f>_xll.BDH($C$139,$C$133,"FY"&amp;G$133,"FY"&amp;G$133,"Period=FY","BEST_FPERIOD_OVERRIDE=FY","FILING_STATUS=MR","SCALING_FORMAT=K","FA_ADJUSTED=Adjusted","Sort=A","Dates=H","DateFormat=P","Fill=NA","Direction=H","UseDPDF=Y")</f>
        <v>#N/A</v>
      </c>
      <c r="H139" s="358" t="str">
        <f>_xll.BDH($C$139,$C$133,"FY"&amp;H$133,"FY"&amp;H$133,"Period=FY","BEST_FPERIOD_OVERRIDE=FY","FILING_STATUS=MR","SCALING_FORMAT=K","FA_ADJUSTED=Adjusted","Sort=A","Dates=H","DateFormat=P","Fill=NA","Direction=H","UseDPDF=Y")</f>
        <v>#N/A</v>
      </c>
      <c r="I139" s="358" t="str">
        <f>_xll.BDH($C$139,$C$133,"FY"&amp;I$133,"FY"&amp;I$133,"Period=FY","BEST_FPERIOD_OVERRIDE=FY","FILING_STATUS=MR","SCALING_FORMAT=K","FA_ADJUSTED=Adjusted","Sort=A","Dates=H","DateFormat=P","Fill=NA","Direction=H","UseDPDF=Y")</f>
        <v>#N/A</v>
      </c>
      <c r="J139" s="358" t="str">
        <f>_xll.BDH($C$139,$C$133,"FY"&amp;J$133,"FY"&amp;J$133,"Period=FY","BEST_FPERIOD_OVERRIDE=FY","FILING_STATUS=MR","SCALING_FORMAT=K","FA_ADJUSTED=Adjusted","Sort=A","Dates=H","DateFormat=P","Fill=NA","Direction=H","UseDPDF=Y")</f>
        <v>#N/A</v>
      </c>
      <c r="K139" s="358" t="str">
        <f>_xll.BDH($C$139,$C$133,"FY"&amp;K$133,"FY"&amp;K$133,"Period=FY","BEST_FPERIOD_OVERRIDE=FY","FILING_STATUS=MR","SCALING_FORMAT=K","FA_ADJUSTED=Adjusted","Sort=A","Dates=H","DateFormat=P","Fill=NA","Direction=H","UseDPDF=Y")</f>
        <v>#N/A</v>
      </c>
      <c r="L139" s="358" t="str">
        <f>_xll.BDH($C$139,$C$133,"FY"&amp;L$133,"FY"&amp;L$133,"Period=FY","BEST_FPERIOD_OVERRIDE=FY","FILING_STATUS=MR","SCALING_FORMAT=K","FA_ADJUSTED=Adjusted","Sort=A","Dates=H","DateFormat=P","Fill=NA","Direction=H","UseDPDF=Y")</f>
        <v>#N/A</v>
      </c>
      <c r="M139" s="358" t="str">
        <f>_xll.BDH($C$139,$C$133,"FY"&amp;M$133,"FY"&amp;M$133,"Period=FY","BEST_FPERIOD_OVERRIDE=FY","FILING_STATUS=MR","SCALING_FORMAT=K","FA_ADJUSTED=Adjusted","Sort=A","Dates=H","DateFormat=P","Fill=NA","Direction=H","UseDPDF=Y")</f>
        <v>#N/A</v>
      </c>
      <c r="N139" s="358" t="str">
        <f>_xll.BDH($C$139,$C$133,"FY"&amp;N$133,"FY"&amp;N$133,"Period=FY","BEST_FPERIOD_OVERRIDE=FY","FILING_STATUS=MR","SCALING_FORMAT=K","FA_ADJUSTED=Adjusted","Sort=A","Dates=H","DateFormat=P","Fill=NA","Direction=H","UseDPDF=Y")</f>
        <v>#N/A</v>
      </c>
      <c r="O139" s="358"/>
      <c r="P139" s="358" t="e">
        <f t="shared" si="29"/>
        <v>#VALUE!</v>
      </c>
      <c r="Q139" s="358" t="e">
        <f t="shared" si="29"/>
        <v>#VALUE!</v>
      </c>
      <c r="R139" s="358" t="e">
        <f t="shared" si="29"/>
        <v>#VALUE!</v>
      </c>
      <c r="S139" s="358" t="e">
        <f t="shared" si="29"/>
        <v>#VALUE!</v>
      </c>
      <c r="T139" s="358" t="e">
        <f t="shared" si="29"/>
        <v>#VALUE!</v>
      </c>
      <c r="U139" s="358" t="e">
        <f t="shared" si="29"/>
        <v>#VALUE!</v>
      </c>
      <c r="V139" s="358" t="e">
        <f t="shared" si="29"/>
        <v>#VALUE!</v>
      </c>
      <c r="W139" s="358" t="e">
        <f t="shared" si="29"/>
        <v>#VALUE!</v>
      </c>
    </row>
    <row r="140" spans="1:23" ht="15" customHeight="1">
      <c r="B140" s="358" t="str">
        <f>+_xll.BDP(C140,"SHORT_NAME")</f>
        <v>ONEMAIN HOLDINGS</v>
      </c>
      <c r="C140" s="501" t="str">
        <f>+Inputs!$E$25</f>
        <v>OMF US Equity</v>
      </c>
      <c r="D140" s="358"/>
      <c r="E140" s="359"/>
      <c r="F140" s="358"/>
      <c r="G140" s="358" t="str">
        <f>_xll.BDH($C$140,$C$133,"FY"&amp;G$133,"FY"&amp;G$133,"Period=FY","BEST_FPERIOD_OVERRIDE=FY","FILING_STATUS=MR","SCALING_FORMAT=K","FA_ADJUSTED=Adjusted","Sort=A","Dates=H","DateFormat=P","Fill=NA","Direction=H","UseDPDF=Y")</f>
        <v>#N/A</v>
      </c>
      <c r="H140" s="358" t="str">
        <f>_xll.BDH($C$140,$C$133,"FY"&amp;H$133,"FY"&amp;H$133,"Period=FY","BEST_FPERIOD_OVERRIDE=FY","FILING_STATUS=MR","SCALING_FORMAT=K","FA_ADJUSTED=Adjusted","Sort=A","Dates=H","DateFormat=P","Fill=NA","Direction=H","UseDPDF=Y")</f>
        <v>#N/A</v>
      </c>
      <c r="I140" s="358" t="str">
        <f>_xll.BDH($C$140,$C$133,"FY"&amp;I$133,"FY"&amp;I$133,"Period=FY","BEST_FPERIOD_OVERRIDE=FY","FILING_STATUS=MR","SCALING_FORMAT=K","FA_ADJUSTED=Adjusted","Sort=A","Dates=H","DateFormat=P","Fill=NA","Direction=H","UseDPDF=Y")</f>
        <v>#N/A</v>
      </c>
      <c r="J140" s="358" t="str">
        <f>_xll.BDH($C$140,$C$133,"FY"&amp;J$133,"FY"&amp;J$133,"Period=FY","BEST_FPERIOD_OVERRIDE=FY","FILING_STATUS=MR","SCALING_FORMAT=K","FA_ADJUSTED=Adjusted","Sort=A","Dates=H","DateFormat=P","Fill=NA","Direction=H","UseDPDF=Y")</f>
        <v>#N/A</v>
      </c>
      <c r="K140" s="358" t="str">
        <f>_xll.BDH($C$140,$C$133,"FY"&amp;K$133,"FY"&amp;K$133,"Period=FY","BEST_FPERIOD_OVERRIDE=FY","FILING_STATUS=MR","SCALING_FORMAT=K","FA_ADJUSTED=Adjusted","Sort=A","Dates=H","DateFormat=P","Fill=NA","Direction=H","UseDPDF=Y")</f>
        <v>#N/A</v>
      </c>
      <c r="L140" s="358" t="str">
        <f>_xll.BDH($C$140,$C$133,"FY"&amp;L$133,"FY"&amp;L$133,"Period=FY","BEST_FPERIOD_OVERRIDE=FY","FILING_STATUS=MR","SCALING_FORMAT=K","FA_ADJUSTED=Adjusted","Sort=A","Dates=H","DateFormat=P","Fill=NA","Direction=H","UseDPDF=Y")</f>
        <v>#N/A</v>
      </c>
      <c r="M140" s="358" t="str">
        <f>_xll.BDH($C$140,$C$133,"FY"&amp;M$133,"FY"&amp;M$133,"Period=FY","BEST_FPERIOD_OVERRIDE=FY","FILING_STATUS=MR","SCALING_FORMAT=K","FA_ADJUSTED=Adjusted","Sort=A","Dates=H","DateFormat=P","Fill=NA","Direction=H","UseDPDF=Y")</f>
        <v>#N/A</v>
      </c>
      <c r="N140" s="358" t="str">
        <f>_xll.BDH($C$140,$C$133,"FY"&amp;N$133,"FY"&amp;N$133,"Period=FY","BEST_FPERIOD_OVERRIDE=FY","FILING_STATUS=MR","SCALING_FORMAT=K","FA_ADJUSTED=Adjusted","Sort=A","Dates=H","DateFormat=P","Fill=NA","Direction=H","UseDPDF=Y")</f>
        <v>#N/A</v>
      </c>
      <c r="O140" s="358"/>
      <c r="P140" s="358" t="e">
        <f t="shared" si="29"/>
        <v>#VALUE!</v>
      </c>
      <c r="Q140" s="358" t="e">
        <f t="shared" si="29"/>
        <v>#VALUE!</v>
      </c>
      <c r="R140" s="358" t="e">
        <f t="shared" si="29"/>
        <v>#VALUE!</v>
      </c>
      <c r="S140" s="358" t="e">
        <f t="shared" si="29"/>
        <v>#VALUE!</v>
      </c>
      <c r="T140" s="358" t="e">
        <f t="shared" si="29"/>
        <v>#VALUE!</v>
      </c>
      <c r="U140" s="358" t="e">
        <f t="shared" si="29"/>
        <v>#VALUE!</v>
      </c>
      <c r="V140" s="358" t="e">
        <f t="shared" si="29"/>
        <v>#VALUE!</v>
      </c>
      <c r="W140" s="358" t="e">
        <f t="shared" si="29"/>
        <v>#VALUE!</v>
      </c>
    </row>
    <row r="141" spans="1:23" ht="15" customHeight="1">
      <c r="B141" s="358"/>
      <c r="C141" s="358"/>
      <c r="D141" s="358"/>
      <c r="E141" s="359"/>
      <c r="F141" s="358"/>
      <c r="G141" s="358"/>
      <c r="H141" s="358"/>
      <c r="I141" s="358"/>
      <c r="J141" s="358"/>
      <c r="K141" s="358"/>
      <c r="L141" s="358"/>
      <c r="M141" s="358"/>
      <c r="N141" s="358"/>
      <c r="O141" s="358"/>
      <c r="P141" s="358"/>
      <c r="Q141" s="358"/>
      <c r="R141" s="358"/>
      <c r="S141" s="358"/>
      <c r="T141" s="358"/>
      <c r="U141" s="358"/>
      <c r="V141" s="358"/>
      <c r="W141" s="358"/>
    </row>
    <row r="142" spans="1:23" ht="15" customHeight="1">
      <c r="B142" s="362" t="s">
        <v>100</v>
      </c>
      <c r="C142" s="502" t="s">
        <v>719</v>
      </c>
      <c r="D142" s="363"/>
      <c r="E142" s="32"/>
      <c r="F142" s="366"/>
      <c r="G142" s="366">
        <v>2017</v>
      </c>
      <c r="H142" s="366">
        <f t="shared" ref="H142:N142" si="30">+G142+1</f>
        <v>2018</v>
      </c>
      <c r="I142" s="366">
        <f t="shared" si="30"/>
        <v>2019</v>
      </c>
      <c r="J142" s="366">
        <f t="shared" si="30"/>
        <v>2020</v>
      </c>
      <c r="K142" s="366">
        <f t="shared" si="30"/>
        <v>2021</v>
      </c>
      <c r="L142" s="366">
        <f t="shared" si="30"/>
        <v>2022</v>
      </c>
      <c r="M142" s="366">
        <f t="shared" si="30"/>
        <v>2023</v>
      </c>
      <c r="N142" s="366">
        <f t="shared" si="30"/>
        <v>2024</v>
      </c>
      <c r="O142" s="358"/>
      <c r="P142" s="366">
        <v>2017</v>
      </c>
      <c r="Q142" s="366">
        <f t="shared" ref="Q142:W142" si="31">+P142+1</f>
        <v>2018</v>
      </c>
      <c r="R142" s="366">
        <f t="shared" si="31"/>
        <v>2019</v>
      </c>
      <c r="S142" s="366">
        <f t="shared" si="31"/>
        <v>2020</v>
      </c>
      <c r="T142" s="366">
        <f t="shared" si="31"/>
        <v>2021</v>
      </c>
      <c r="U142" s="366">
        <f t="shared" si="31"/>
        <v>2022</v>
      </c>
      <c r="V142" s="366">
        <f t="shared" si="31"/>
        <v>2023</v>
      </c>
      <c r="W142" s="366">
        <f t="shared" si="31"/>
        <v>2024</v>
      </c>
    </row>
    <row r="143" spans="1:23" ht="4" customHeight="1">
      <c r="B143" s="367"/>
      <c r="C143" s="367"/>
      <c r="D143" s="367"/>
      <c r="E143" s="368"/>
      <c r="F143" s="369"/>
      <c r="G143" s="369"/>
      <c r="H143" s="369"/>
      <c r="I143" s="369"/>
      <c r="J143" s="369"/>
      <c r="K143" s="369"/>
      <c r="L143" s="369"/>
      <c r="M143" s="369"/>
      <c r="N143" s="369"/>
      <c r="O143" s="358"/>
      <c r="P143" s="369"/>
      <c r="Q143" s="369"/>
      <c r="R143" s="369"/>
      <c r="S143" s="369"/>
      <c r="T143" s="369"/>
      <c r="U143" s="369"/>
      <c r="V143" s="369"/>
      <c r="W143" s="369"/>
    </row>
    <row r="144" spans="1:23" ht="15" customHeight="1">
      <c r="B144" s="358" t="e">
        <f ca="1">+_xll.BDP(C144,"SHORT_NAME")</f>
        <v>#NAME?</v>
      </c>
      <c r="C144" s="501" t="str">
        <f>Inputs!$D$15</f>
        <v>OPFI US Equity</v>
      </c>
      <c r="D144" s="358"/>
      <c r="E144" s="359"/>
      <c r="F144" s="358"/>
      <c r="G144" s="358" t="e">
        <f ca="1">_xll.BDH($C$135,$C$142,"FY"&amp;G$133,"FY"&amp;G$133,"Period=FY","BEST_FPERIOD_OVERRIDE=FY","FILING_STATUS=MR","SCALING_FORMAT=K","FA_ADJUSTED=Adjusted","Sort=A","Dates=H","DateFormat=P","Fill=NA","Direction=H","UseDPDF=Y")</f>
        <v>#NAME?</v>
      </c>
      <c r="H144" s="358" t="e">
        <f ca="1">_xll.BDH($C$135,$C$142,"FY"&amp;H$133,"FY"&amp;H$133,"Period=FY","BEST_FPERIOD_OVERRIDE=FY","FILING_STATUS=MR","SCALING_FORMAT=K","FA_ADJUSTED=Adjusted","Sort=A","Dates=H","DateFormat=P","Fill=NA","Direction=H","UseDPDF=Y")</f>
        <v>#NAME?</v>
      </c>
      <c r="I144" s="358" t="e">
        <f ca="1">_xll.BDH($C$135,$C$142,"FY"&amp;I$133,"FY"&amp;I$133,"Period=FY","BEST_FPERIOD_OVERRIDE=FY","FILING_STATUS=MR","SCALING_FORMAT=K","FA_ADJUSTED=Adjusted","Sort=A","Dates=H","DateFormat=P","Fill=NA","Direction=H","UseDPDF=Y")</f>
        <v>#NAME?</v>
      </c>
      <c r="J144" s="358" t="e">
        <f ca="1">_xll.BDH($C$135,$C$142,"FY"&amp;J$133,"FY"&amp;J$133,"Period=FY","BEST_FPERIOD_OVERRIDE=FY","FILING_STATUS=MR","SCALING_FORMAT=K","FA_ADJUSTED=Adjusted","Sort=A","Dates=H","DateFormat=P","Fill=NA","Direction=H","UseDPDF=Y")</f>
        <v>#NAME?</v>
      </c>
      <c r="K144" s="358" t="e">
        <f ca="1">_xll.BDH($C$135,$C$142,"FY"&amp;K$133,"FY"&amp;K$133,"Period=FY","BEST_FPERIOD_OVERRIDE=FY","FILING_STATUS=MR","SCALING_FORMAT=K","FA_ADJUSTED=Adjusted","Sort=A","Dates=H","DateFormat=P","Fill=NA","Direction=H","UseDPDF=Y")</f>
        <v>#NAME?</v>
      </c>
      <c r="L144" s="358" t="e">
        <f ca="1">_xll.BDH($C$135,$C$142,"FY"&amp;L$133,"FY"&amp;L$133,"Period=FY","BEST_FPERIOD_OVERRIDE=FY","FILING_STATUS=MR","SCALING_FORMAT=K","FA_ADJUSTED=Adjusted","Sort=A","Dates=H","DateFormat=P","Fill=NA","Direction=H","UseDPDF=Y")</f>
        <v>#NAME?</v>
      </c>
      <c r="M144" s="358" t="e">
        <f ca="1">_xll.BDH($C$135,$C$142,"FY"&amp;M$133,"FY"&amp;M$133,"Period=FY","BEST_FPERIOD_OVERRIDE=FY","FILING_STATUS=MR","SCALING_FORMAT=K","FA_ADJUSTED=Adjusted","Sort=A","Dates=H","DateFormat=P","Fill=NA","Direction=H","UseDPDF=Y")</f>
        <v>#NAME?</v>
      </c>
      <c r="N144" s="358" t="e">
        <f ca="1">_xll.BDH($C$135,$C$142,"FY"&amp;N$133,"FY"&amp;N$133,"Period=FY","BEST_FPERIOD_OVERRIDE=FY","FILING_STATUS=MR","SCALING_FORMAT=K","FA_ADJUSTED=Adjusted","Sort=A","Dates=H","DateFormat=P","Fill=NA","Direction=H","UseDPDF=Y")</f>
        <v>#NAME?</v>
      </c>
      <c r="O144" s="358"/>
      <c r="P144" s="358" t="e">
        <f t="shared" ref="P144:W149" ca="1" si="32">+G144/G171</f>
        <v>#NAME?</v>
      </c>
      <c r="Q144" s="358" t="e">
        <f t="shared" ca="1" si="32"/>
        <v>#NAME?</v>
      </c>
      <c r="R144" s="358" t="e">
        <f t="shared" ca="1" si="32"/>
        <v>#NAME?</v>
      </c>
      <c r="S144" s="358" t="e">
        <f t="shared" ca="1" si="32"/>
        <v>#NAME?</v>
      </c>
      <c r="T144" s="358" t="e">
        <f t="shared" ca="1" si="32"/>
        <v>#NAME?</v>
      </c>
      <c r="U144" s="358" t="e">
        <f t="shared" ca="1" si="32"/>
        <v>#NAME?</v>
      </c>
      <c r="V144" s="358" t="e">
        <f t="shared" ca="1" si="32"/>
        <v>#NAME?</v>
      </c>
      <c r="W144" s="358" t="e">
        <f t="shared" ca="1" si="32"/>
        <v>#NAME?</v>
      </c>
    </row>
    <row r="145" spans="2:23" ht="15" customHeight="1">
      <c r="B145" s="358" t="str">
        <f>+_xll.BDP(C145,"SHORT_NAME")</f>
        <v>ENOVA INTERNATIO</v>
      </c>
      <c r="C145" s="501" t="str">
        <f>+Inputs!$E$21</f>
        <v>ENVA US Equity</v>
      </c>
      <c r="D145" s="358"/>
      <c r="E145" s="359"/>
      <c r="F145" s="358"/>
      <c r="G145" s="358" t="str">
        <f>_xll.BDH($C$136,$C$142,"FY"&amp;G$133,"FY"&amp;G$133,"Period=FY","BEST_FPERIOD_OVERRIDE=FY","FILING_STATUS=MR","SCALING_FORMAT=K","FA_ADJUSTED=Adjusted","Sort=A","Dates=H","DateFormat=P","Fill=NA","Direction=H","UseDPDF=Y")</f>
        <v>#N/A</v>
      </c>
      <c r="H145" s="358" t="str">
        <f>_xll.BDH($C$136,$C$142,"FY"&amp;H$133,"FY"&amp;H$133,"Period=FY","BEST_FPERIOD_OVERRIDE=FY","FILING_STATUS=MR","SCALING_FORMAT=K","FA_ADJUSTED=Adjusted","Sort=A","Dates=H","DateFormat=P","Fill=NA","Direction=H","UseDPDF=Y")</f>
        <v>#N/A</v>
      </c>
      <c r="I145" s="358" t="str">
        <f>_xll.BDH($C$136,$C$142,"FY"&amp;I$133,"FY"&amp;I$133,"Period=FY","BEST_FPERIOD_OVERRIDE=FY","FILING_STATUS=MR","SCALING_FORMAT=K","FA_ADJUSTED=Adjusted","Sort=A","Dates=H","DateFormat=P","Fill=NA","Direction=H","UseDPDF=Y")</f>
        <v>#N/A</v>
      </c>
      <c r="J145" s="358" t="str">
        <f>_xll.BDH($C$136,$C$142,"FY"&amp;J$133,"FY"&amp;J$133,"Period=FY","BEST_FPERIOD_OVERRIDE=FY","FILING_STATUS=MR","SCALING_FORMAT=K","FA_ADJUSTED=Adjusted","Sort=A","Dates=H","DateFormat=P","Fill=NA","Direction=H","UseDPDF=Y")</f>
        <v>#N/A</v>
      </c>
      <c r="K145" s="358" t="str">
        <f>_xll.BDH($C$136,$C$142,"FY"&amp;K$133,"FY"&amp;K$133,"Period=FY","BEST_FPERIOD_OVERRIDE=FY","FILING_STATUS=MR","SCALING_FORMAT=K","FA_ADJUSTED=Adjusted","Sort=A","Dates=H","DateFormat=P","Fill=NA","Direction=H","UseDPDF=Y")</f>
        <v>#N/A</v>
      </c>
      <c r="L145" s="358" t="str">
        <f>_xll.BDH($C$136,$C$142,"FY"&amp;L$133,"FY"&amp;L$133,"Period=FY","BEST_FPERIOD_OVERRIDE=FY","FILING_STATUS=MR","SCALING_FORMAT=K","FA_ADJUSTED=Adjusted","Sort=A","Dates=H","DateFormat=P","Fill=NA","Direction=H","UseDPDF=Y")</f>
        <v>#N/A</v>
      </c>
      <c r="M145" s="358" t="str">
        <f>_xll.BDH($C$136,$C$142,"FY"&amp;M$133,"FY"&amp;M$133,"Period=FY","BEST_FPERIOD_OVERRIDE=FY","FILING_STATUS=MR","SCALING_FORMAT=K","FA_ADJUSTED=Adjusted","Sort=A","Dates=H","DateFormat=P","Fill=NA","Direction=H","UseDPDF=Y")</f>
        <v>#N/A</v>
      </c>
      <c r="N145" s="358" t="str">
        <f>_xll.BDH($C$136,$C$142,"FY"&amp;N$133,"FY"&amp;N$133,"Period=FY","BEST_FPERIOD_OVERRIDE=FY","FILING_STATUS=MR","SCALING_FORMAT=K","FA_ADJUSTED=Adjusted","Sort=A","Dates=H","DateFormat=P","Fill=NA","Direction=H","UseDPDF=Y")</f>
        <v>#N/A</v>
      </c>
      <c r="O145" s="358"/>
      <c r="P145" s="358" t="e">
        <f t="shared" si="32"/>
        <v>#VALUE!</v>
      </c>
      <c r="Q145" s="358" t="e">
        <f t="shared" si="32"/>
        <v>#VALUE!</v>
      </c>
      <c r="R145" s="358" t="e">
        <f t="shared" si="32"/>
        <v>#VALUE!</v>
      </c>
      <c r="S145" s="358" t="e">
        <f t="shared" si="32"/>
        <v>#VALUE!</v>
      </c>
      <c r="T145" s="358" t="e">
        <f t="shared" si="32"/>
        <v>#VALUE!</v>
      </c>
      <c r="U145" s="358" t="e">
        <f t="shared" si="32"/>
        <v>#VALUE!</v>
      </c>
      <c r="V145" s="358" t="e">
        <f t="shared" si="32"/>
        <v>#VALUE!</v>
      </c>
      <c r="W145" s="358" t="e">
        <f t="shared" si="32"/>
        <v>#VALUE!</v>
      </c>
    </row>
    <row r="146" spans="2:23" ht="15" customHeight="1">
      <c r="B146" s="358" t="str">
        <f>+_xll.BDP(C146,"SHORT_NAME")</f>
        <v>REGIONAL MANAGEM</v>
      </c>
      <c r="C146" s="501" t="str">
        <f>+Inputs!$E$22</f>
        <v>RM US Equity</v>
      </c>
      <c r="D146" s="358"/>
      <c r="E146" s="359"/>
      <c r="F146" s="358"/>
      <c r="G146" s="358" t="str">
        <f>_xll.BDH($C$137,$C$142,"FY"&amp;G$133,"FY"&amp;G$133,"Period=FY","BEST_FPERIOD_OVERRIDE=FY","FILING_STATUS=MR","SCALING_FORMAT=K","FA_ADJUSTED=Adjusted","Sort=A","Dates=H","DateFormat=P","Fill=NA","Direction=H","UseDPDF=Y")</f>
        <v>#N/A</v>
      </c>
      <c r="H146" s="358" t="str">
        <f>_xll.BDH($C$137,$C$142,"FY"&amp;H$133,"FY"&amp;H$133,"Period=FY","BEST_FPERIOD_OVERRIDE=FY","FILING_STATUS=MR","SCALING_FORMAT=K","FA_ADJUSTED=Adjusted","Sort=A","Dates=H","DateFormat=P","Fill=NA","Direction=H","UseDPDF=Y")</f>
        <v>#N/A</v>
      </c>
      <c r="I146" s="358" t="str">
        <f>_xll.BDH($C$137,$C$142,"FY"&amp;I$133,"FY"&amp;I$133,"Period=FY","BEST_FPERIOD_OVERRIDE=FY","FILING_STATUS=MR","SCALING_FORMAT=K","FA_ADJUSTED=Adjusted","Sort=A","Dates=H","DateFormat=P","Fill=NA","Direction=H","UseDPDF=Y")</f>
        <v>#N/A</v>
      </c>
      <c r="J146" s="358" t="str">
        <f>_xll.BDH($C$137,$C$142,"FY"&amp;J$133,"FY"&amp;J$133,"Period=FY","BEST_FPERIOD_OVERRIDE=FY","FILING_STATUS=MR","SCALING_FORMAT=K","FA_ADJUSTED=Adjusted","Sort=A","Dates=H","DateFormat=P","Fill=NA","Direction=H","UseDPDF=Y")</f>
        <v>#N/A</v>
      </c>
      <c r="K146" s="358" t="str">
        <f>_xll.BDH($C$137,$C$142,"FY"&amp;K$133,"FY"&amp;K$133,"Period=FY","BEST_FPERIOD_OVERRIDE=FY","FILING_STATUS=MR","SCALING_FORMAT=K","FA_ADJUSTED=Adjusted","Sort=A","Dates=H","DateFormat=P","Fill=NA","Direction=H","UseDPDF=Y")</f>
        <v>#N/A</v>
      </c>
      <c r="L146" s="358" t="str">
        <f>_xll.BDH($C$137,$C$142,"FY"&amp;L$133,"FY"&amp;L$133,"Period=FY","BEST_FPERIOD_OVERRIDE=FY","FILING_STATUS=MR","SCALING_FORMAT=K","FA_ADJUSTED=Adjusted","Sort=A","Dates=H","DateFormat=P","Fill=NA","Direction=H","UseDPDF=Y")</f>
        <v>#N/A</v>
      </c>
      <c r="M146" s="358" t="str">
        <f>_xll.BDH($C$137,$C$142,"FY"&amp;M$133,"FY"&amp;M$133,"Period=FY","BEST_FPERIOD_OVERRIDE=FY","FILING_STATUS=MR","SCALING_FORMAT=K","FA_ADJUSTED=Adjusted","Sort=A","Dates=H","DateFormat=P","Fill=NA","Direction=H","UseDPDF=Y")</f>
        <v>#N/A</v>
      </c>
      <c r="N146" s="358" t="str">
        <f>_xll.BDH($C$137,$C$142,"FY"&amp;N$133,"FY"&amp;N$133,"Period=FY","BEST_FPERIOD_OVERRIDE=FY","FILING_STATUS=MR","SCALING_FORMAT=K","FA_ADJUSTED=Adjusted","Sort=A","Dates=H","DateFormat=P","Fill=NA","Direction=H","UseDPDF=Y")</f>
        <v>#N/A</v>
      </c>
      <c r="O146" s="358"/>
      <c r="P146" s="358" t="e">
        <f t="shared" si="32"/>
        <v>#VALUE!</v>
      </c>
      <c r="Q146" s="358" t="e">
        <f t="shared" si="32"/>
        <v>#VALUE!</v>
      </c>
      <c r="R146" s="358" t="e">
        <f t="shared" si="32"/>
        <v>#VALUE!</v>
      </c>
      <c r="S146" s="358" t="e">
        <f t="shared" si="32"/>
        <v>#VALUE!</v>
      </c>
      <c r="T146" s="358" t="e">
        <f t="shared" si="32"/>
        <v>#VALUE!</v>
      </c>
      <c r="U146" s="358" t="e">
        <f t="shared" si="32"/>
        <v>#VALUE!</v>
      </c>
      <c r="V146" s="358" t="e">
        <f t="shared" si="32"/>
        <v>#VALUE!</v>
      </c>
      <c r="W146" s="358" t="e">
        <f t="shared" si="32"/>
        <v>#VALUE!</v>
      </c>
    </row>
    <row r="147" spans="2:23" ht="15" customHeight="1">
      <c r="B147" s="358" t="str">
        <f>+_xll.BDP(C147,"SHORT_NAME")</f>
        <v>WORLD ACCEPTANCE</v>
      </c>
      <c r="C147" s="501" t="str">
        <f>+Inputs!$E$23</f>
        <v>WRLD US Equity</v>
      </c>
      <c r="D147" s="358"/>
      <c r="E147" s="359"/>
      <c r="F147" s="358"/>
      <c r="G147" s="358" t="str">
        <f>_xll.BDH($C$138,$C$142,"FY"&amp;G$133,"FY"&amp;G$133,"Period=FY","BEST_FPERIOD_OVERRIDE=FY","FILING_STATUS=MR","SCALING_FORMAT=K","FA_ADJUSTED=Adjusted","Sort=A","Dates=H","DateFormat=P","Fill=NA","Direction=H","UseDPDF=Y")</f>
        <v>#N/A</v>
      </c>
      <c r="H147" s="358" t="str">
        <f>_xll.BDH($C$138,$C$142,"FY"&amp;H$133,"FY"&amp;H$133,"Period=FY","BEST_FPERIOD_OVERRIDE=FY","FILING_STATUS=MR","SCALING_FORMAT=K","FA_ADJUSTED=Adjusted","Sort=A","Dates=H","DateFormat=P","Fill=NA","Direction=H","UseDPDF=Y")</f>
        <v>#N/A</v>
      </c>
      <c r="I147" s="358" t="str">
        <f>_xll.BDH($C$138,$C$142,"FY"&amp;I$133,"FY"&amp;I$133,"Period=FY","BEST_FPERIOD_OVERRIDE=FY","FILING_STATUS=MR","SCALING_FORMAT=K","FA_ADJUSTED=Adjusted","Sort=A","Dates=H","DateFormat=P","Fill=NA","Direction=H","UseDPDF=Y")</f>
        <v>#N/A</v>
      </c>
      <c r="J147" s="358" t="str">
        <f>_xll.BDH($C$138,$C$142,"FY"&amp;J$133,"FY"&amp;J$133,"Period=FY","BEST_FPERIOD_OVERRIDE=FY","FILING_STATUS=MR","SCALING_FORMAT=K","FA_ADJUSTED=Adjusted","Sort=A","Dates=H","DateFormat=P","Fill=NA","Direction=H","UseDPDF=Y")</f>
        <v>#N/A</v>
      </c>
      <c r="K147" s="358" t="str">
        <f>_xll.BDH($C$138,$C$142,"FY"&amp;K$133,"FY"&amp;K$133,"Period=FY","BEST_FPERIOD_OVERRIDE=FY","FILING_STATUS=MR","SCALING_FORMAT=K","FA_ADJUSTED=Adjusted","Sort=A","Dates=H","DateFormat=P","Fill=NA","Direction=H","UseDPDF=Y")</f>
        <v>#N/A</v>
      </c>
      <c r="L147" s="358" t="str">
        <f>_xll.BDH($C$138,$C$142,"FY"&amp;L$133,"FY"&amp;L$133,"Period=FY","BEST_FPERIOD_OVERRIDE=FY","FILING_STATUS=MR","SCALING_FORMAT=K","FA_ADJUSTED=Adjusted","Sort=A","Dates=H","DateFormat=P","Fill=NA","Direction=H","UseDPDF=Y")</f>
        <v>#N/A</v>
      </c>
      <c r="M147" s="358" t="str">
        <f>_xll.BDH($C$138,$C$142,"FY"&amp;M$133,"FY"&amp;M$133,"Period=FY","BEST_FPERIOD_OVERRIDE=FY","FILING_STATUS=MR","SCALING_FORMAT=K","FA_ADJUSTED=Adjusted","Sort=A","Dates=H","DateFormat=P","Fill=NA","Direction=H","UseDPDF=Y")</f>
        <v>#N/A</v>
      </c>
      <c r="N147" s="358" t="str">
        <f>_xll.BDH($C$138,$C$142,"FY"&amp;N$133,"FY"&amp;N$133,"Period=FY","BEST_FPERIOD_OVERRIDE=FY","FILING_STATUS=MR","SCALING_FORMAT=K","FA_ADJUSTED=Adjusted","Sort=A","Dates=H","DateFormat=P","Fill=NA","Direction=H","UseDPDF=Y")</f>
        <v>#N/A</v>
      </c>
      <c r="O147" s="358"/>
      <c r="P147" s="358" t="e">
        <f t="shared" si="32"/>
        <v>#VALUE!</v>
      </c>
      <c r="Q147" s="358" t="e">
        <f t="shared" si="32"/>
        <v>#VALUE!</v>
      </c>
      <c r="R147" s="358" t="e">
        <f t="shared" si="32"/>
        <v>#VALUE!</v>
      </c>
      <c r="S147" s="358" t="e">
        <f t="shared" si="32"/>
        <v>#VALUE!</v>
      </c>
      <c r="T147" s="358" t="e">
        <f t="shared" si="32"/>
        <v>#VALUE!</v>
      </c>
      <c r="U147" s="358" t="e">
        <f t="shared" si="32"/>
        <v>#VALUE!</v>
      </c>
      <c r="V147" s="358" t="e">
        <f t="shared" si="32"/>
        <v>#VALUE!</v>
      </c>
      <c r="W147" s="358" t="e">
        <f t="shared" si="32"/>
        <v>#VALUE!</v>
      </c>
    </row>
    <row r="148" spans="2:23" ht="15" customHeight="1">
      <c r="B148" s="358" t="str">
        <f>+_xll.BDP(C148,"SHORT_NAME")</f>
        <v>EZCORP INC-A</v>
      </c>
      <c r="C148" s="501" t="str">
        <f>+Inputs!$E$24</f>
        <v>EZPW US Equity</v>
      </c>
      <c r="D148" s="358"/>
      <c r="E148" s="359"/>
      <c r="F148" s="358"/>
      <c r="G148" s="358" t="str">
        <f>_xll.BDH($C$139,$C$142,"FY"&amp;G$133,"FY"&amp;G$133,"Period=FY","BEST_FPERIOD_OVERRIDE=FY","FILING_STATUS=MR","SCALING_FORMAT=K","FA_ADJUSTED=Adjusted","Sort=A","Dates=H","DateFormat=P","Fill=NA","Direction=H","UseDPDF=Y")</f>
        <v>#N/A</v>
      </c>
      <c r="H148" s="358" t="str">
        <f>_xll.BDH($C$139,$C$142,"FY"&amp;H$133,"FY"&amp;H$133,"Period=FY","BEST_FPERIOD_OVERRIDE=FY","FILING_STATUS=MR","SCALING_FORMAT=K","FA_ADJUSTED=Adjusted","Sort=A","Dates=H","DateFormat=P","Fill=NA","Direction=H","UseDPDF=Y")</f>
        <v>#N/A</v>
      </c>
      <c r="I148" s="358" t="str">
        <f>_xll.BDH($C$139,$C$142,"FY"&amp;I$133,"FY"&amp;I$133,"Period=FY","BEST_FPERIOD_OVERRIDE=FY","FILING_STATUS=MR","SCALING_FORMAT=K","FA_ADJUSTED=Adjusted","Sort=A","Dates=H","DateFormat=P","Fill=NA","Direction=H","UseDPDF=Y")</f>
        <v>#N/A</v>
      </c>
      <c r="J148" s="358" t="str">
        <f>_xll.BDH($C$139,$C$142,"FY"&amp;J$133,"FY"&amp;J$133,"Period=FY","BEST_FPERIOD_OVERRIDE=FY","FILING_STATUS=MR","SCALING_FORMAT=K","FA_ADJUSTED=Adjusted","Sort=A","Dates=H","DateFormat=P","Fill=NA","Direction=H","UseDPDF=Y")</f>
        <v>#N/A</v>
      </c>
      <c r="K148" s="358" t="str">
        <f>_xll.BDH($C$139,$C$142,"FY"&amp;K$133,"FY"&amp;K$133,"Period=FY","BEST_FPERIOD_OVERRIDE=FY","FILING_STATUS=MR","SCALING_FORMAT=K","FA_ADJUSTED=Adjusted","Sort=A","Dates=H","DateFormat=P","Fill=NA","Direction=H","UseDPDF=Y")</f>
        <v>#N/A</v>
      </c>
      <c r="L148" s="358" t="str">
        <f>_xll.BDH($C$139,$C$142,"FY"&amp;L$133,"FY"&amp;L$133,"Period=FY","BEST_FPERIOD_OVERRIDE=FY","FILING_STATUS=MR","SCALING_FORMAT=K","FA_ADJUSTED=Adjusted","Sort=A","Dates=H","DateFormat=P","Fill=NA","Direction=H","UseDPDF=Y")</f>
        <v>#N/A</v>
      </c>
      <c r="M148" s="358" t="str">
        <f>_xll.BDH($C$139,$C$142,"FY"&amp;M$133,"FY"&amp;M$133,"Period=FY","BEST_FPERIOD_OVERRIDE=FY","FILING_STATUS=MR","SCALING_FORMAT=K","FA_ADJUSTED=Adjusted","Sort=A","Dates=H","DateFormat=P","Fill=NA","Direction=H","UseDPDF=Y")</f>
        <v>#N/A</v>
      </c>
      <c r="N148" s="358" t="str">
        <f>_xll.BDH($C$139,$C$142,"FY"&amp;N$133,"FY"&amp;N$133,"Period=FY","BEST_FPERIOD_OVERRIDE=FY","FILING_STATUS=MR","SCALING_FORMAT=K","FA_ADJUSTED=Adjusted","Sort=A","Dates=H","DateFormat=P","Fill=NA","Direction=H","UseDPDF=Y")</f>
        <v>#N/A</v>
      </c>
      <c r="O148" s="358"/>
      <c r="P148" s="358" t="e">
        <f t="shared" si="32"/>
        <v>#VALUE!</v>
      </c>
      <c r="Q148" s="358" t="e">
        <f t="shared" si="32"/>
        <v>#VALUE!</v>
      </c>
      <c r="R148" s="358" t="e">
        <f t="shared" si="32"/>
        <v>#VALUE!</v>
      </c>
      <c r="S148" s="358" t="e">
        <f t="shared" si="32"/>
        <v>#VALUE!</v>
      </c>
      <c r="T148" s="358" t="e">
        <f t="shared" si="32"/>
        <v>#VALUE!</v>
      </c>
      <c r="U148" s="358" t="e">
        <f t="shared" si="32"/>
        <v>#VALUE!</v>
      </c>
      <c r="V148" s="358" t="e">
        <f t="shared" si="32"/>
        <v>#VALUE!</v>
      </c>
      <c r="W148" s="358" t="e">
        <f t="shared" si="32"/>
        <v>#VALUE!</v>
      </c>
    </row>
    <row r="149" spans="2:23" ht="15" customHeight="1">
      <c r="B149" s="358" t="str">
        <f>+_xll.BDP(C149,"SHORT_NAME")</f>
        <v>ONEMAIN HOLDINGS</v>
      </c>
      <c r="C149" s="501" t="str">
        <f>+Inputs!$E$25</f>
        <v>OMF US Equity</v>
      </c>
      <c r="D149" s="358"/>
      <c r="E149" s="359"/>
      <c r="F149" s="358"/>
      <c r="G149" s="358" t="str">
        <f>_xll.BDH($C$140,$C$142,"FY"&amp;G$133,"FY"&amp;G$133,"Period=FY","BEST_FPERIOD_OVERRIDE=FY","FILING_STATUS=MR","SCALING_FORMAT=K","FA_ADJUSTED=Adjusted","Sort=A","Dates=H","DateFormat=P","Fill=NA","Direction=H","UseDPDF=Y")</f>
        <v>#N/A</v>
      </c>
      <c r="H149" s="358" t="str">
        <f>_xll.BDH($C$140,$C$142,"FY"&amp;H$133,"FY"&amp;H$133,"Period=FY","BEST_FPERIOD_OVERRIDE=FY","FILING_STATUS=MR","SCALING_FORMAT=K","FA_ADJUSTED=Adjusted","Sort=A","Dates=H","DateFormat=P","Fill=NA","Direction=H","UseDPDF=Y")</f>
        <v>#N/A</v>
      </c>
      <c r="I149" s="358" t="str">
        <f>_xll.BDH($C$140,$C$142,"FY"&amp;I$133,"FY"&amp;I$133,"Period=FY","BEST_FPERIOD_OVERRIDE=FY","FILING_STATUS=MR","SCALING_FORMAT=K","FA_ADJUSTED=Adjusted","Sort=A","Dates=H","DateFormat=P","Fill=NA","Direction=H","UseDPDF=Y")</f>
        <v>#N/A</v>
      </c>
      <c r="J149" s="358" t="str">
        <f>_xll.BDH($C$140,$C$142,"FY"&amp;J$133,"FY"&amp;J$133,"Period=FY","BEST_FPERIOD_OVERRIDE=FY","FILING_STATUS=MR","SCALING_FORMAT=K","FA_ADJUSTED=Adjusted","Sort=A","Dates=H","DateFormat=P","Fill=NA","Direction=H","UseDPDF=Y")</f>
        <v>#N/A</v>
      </c>
      <c r="K149" s="358" t="str">
        <f>_xll.BDH($C$140,$C$142,"FY"&amp;K$133,"FY"&amp;K$133,"Period=FY","BEST_FPERIOD_OVERRIDE=FY","FILING_STATUS=MR","SCALING_FORMAT=K","FA_ADJUSTED=Adjusted","Sort=A","Dates=H","DateFormat=P","Fill=NA","Direction=H","UseDPDF=Y")</f>
        <v>#N/A</v>
      </c>
      <c r="L149" s="358" t="str">
        <f>_xll.BDH($C$140,$C$142,"FY"&amp;L$133,"FY"&amp;L$133,"Period=FY","BEST_FPERIOD_OVERRIDE=FY","FILING_STATUS=MR","SCALING_FORMAT=K","FA_ADJUSTED=Adjusted","Sort=A","Dates=H","DateFormat=P","Fill=NA","Direction=H","UseDPDF=Y")</f>
        <v>#N/A</v>
      </c>
      <c r="M149" s="358" t="str">
        <f>_xll.BDH($C$140,$C$142,"FY"&amp;M$133,"FY"&amp;M$133,"Period=FY","BEST_FPERIOD_OVERRIDE=FY","FILING_STATUS=MR","SCALING_FORMAT=K","FA_ADJUSTED=Adjusted","Sort=A","Dates=H","DateFormat=P","Fill=NA","Direction=H","UseDPDF=Y")</f>
        <v>#N/A</v>
      </c>
      <c r="N149" s="358" t="str">
        <f>_xll.BDH($C$140,$C$142,"FY"&amp;N$133,"FY"&amp;N$133,"Period=FY","BEST_FPERIOD_OVERRIDE=FY","FILING_STATUS=MR","SCALING_FORMAT=K","FA_ADJUSTED=Adjusted","Sort=A","Dates=H","DateFormat=P","Fill=NA","Direction=H","UseDPDF=Y")</f>
        <v>#N/A</v>
      </c>
      <c r="O149" s="358"/>
      <c r="P149" s="358" t="e">
        <f t="shared" si="32"/>
        <v>#VALUE!</v>
      </c>
      <c r="Q149" s="358" t="e">
        <f t="shared" si="32"/>
        <v>#VALUE!</v>
      </c>
      <c r="R149" s="358" t="e">
        <f t="shared" si="32"/>
        <v>#VALUE!</v>
      </c>
      <c r="S149" s="358" t="e">
        <f t="shared" si="32"/>
        <v>#VALUE!</v>
      </c>
      <c r="T149" s="358" t="e">
        <f t="shared" si="32"/>
        <v>#VALUE!</v>
      </c>
      <c r="U149" s="358" t="e">
        <f t="shared" si="32"/>
        <v>#VALUE!</v>
      </c>
      <c r="V149" s="358" t="e">
        <f t="shared" si="32"/>
        <v>#VALUE!</v>
      </c>
      <c r="W149" s="358" t="e">
        <f t="shared" si="32"/>
        <v>#VALUE!</v>
      </c>
    </row>
    <row r="151" spans="2:23" ht="15" customHeight="1">
      <c r="B151" s="362" t="s">
        <v>98</v>
      </c>
      <c r="C151" s="502" t="s">
        <v>720</v>
      </c>
      <c r="D151" s="363"/>
      <c r="E151" s="32"/>
      <c r="F151" s="366"/>
      <c r="G151" s="366">
        <v>2017</v>
      </c>
      <c r="H151" s="366">
        <f t="shared" ref="H151:N151" si="33">+G151+1</f>
        <v>2018</v>
      </c>
      <c r="I151" s="366">
        <f t="shared" si="33"/>
        <v>2019</v>
      </c>
      <c r="J151" s="366">
        <f t="shared" si="33"/>
        <v>2020</v>
      </c>
      <c r="K151" s="366">
        <f t="shared" si="33"/>
        <v>2021</v>
      </c>
      <c r="L151" s="366">
        <f t="shared" si="33"/>
        <v>2022</v>
      </c>
      <c r="M151" s="366">
        <f t="shared" si="33"/>
        <v>2023</v>
      </c>
      <c r="N151" s="366">
        <f t="shared" si="33"/>
        <v>2024</v>
      </c>
      <c r="O151" s="358"/>
      <c r="P151" s="366">
        <v>2017</v>
      </c>
      <c r="Q151" s="366">
        <f t="shared" ref="Q151:W151" si="34">+P151+1</f>
        <v>2018</v>
      </c>
      <c r="R151" s="366">
        <f t="shared" si="34"/>
        <v>2019</v>
      </c>
      <c r="S151" s="366">
        <f t="shared" si="34"/>
        <v>2020</v>
      </c>
      <c r="T151" s="366">
        <f t="shared" si="34"/>
        <v>2021</v>
      </c>
      <c r="U151" s="366">
        <f t="shared" si="34"/>
        <v>2022</v>
      </c>
      <c r="V151" s="366">
        <f t="shared" si="34"/>
        <v>2023</v>
      </c>
      <c r="W151" s="366">
        <f t="shared" si="34"/>
        <v>2024</v>
      </c>
    </row>
    <row r="152" spans="2:23" ht="4" customHeight="1">
      <c r="B152" s="367"/>
      <c r="C152" s="367"/>
      <c r="D152" s="367"/>
      <c r="E152" s="368"/>
      <c r="F152" s="369"/>
      <c r="G152" s="369"/>
      <c r="H152" s="369"/>
      <c r="I152" s="369"/>
      <c r="J152" s="369"/>
      <c r="K152" s="369"/>
      <c r="L152" s="369"/>
      <c r="M152" s="369"/>
      <c r="N152" s="369"/>
      <c r="O152" s="358"/>
      <c r="P152" s="369"/>
      <c r="Q152" s="369"/>
      <c r="R152" s="369"/>
      <c r="S152" s="369"/>
      <c r="T152" s="369"/>
      <c r="U152" s="369"/>
      <c r="V152" s="369"/>
      <c r="W152" s="369"/>
    </row>
    <row r="153" spans="2:23" ht="15" customHeight="1">
      <c r="B153" s="358" t="e">
        <f ca="1">+_xll.BDP(C153,"SHORT_NAME")</f>
        <v>#NAME?</v>
      </c>
      <c r="C153" s="501" t="str">
        <f>Inputs!$D$15</f>
        <v>OPFI US Equity</v>
      </c>
      <c r="D153" s="358"/>
      <c r="E153" s="359"/>
      <c r="F153" s="358"/>
      <c r="G153" s="358" t="e">
        <f ca="1">_xll.BDH($C$135,$C$151,"FY"&amp;G$133,"FY"&amp;G$133,"Period=FY","BEST_FPERIOD_OVERRIDE=FY","FILING_STATUS=MR","SCALING_FORMAT=K","FA_ADJUSTED=Adjusted","Sort=A","Dates=H","DateFormat=P","Fill=NA","Direction=H","UseDPDF=Y")</f>
        <v>#NAME?</v>
      </c>
      <c r="H153" s="358" t="e">
        <f ca="1">_xll.BDH($C$135,$C$151,"FY"&amp;H$133,"FY"&amp;H$133,"Period=FY","BEST_FPERIOD_OVERRIDE=FY","FILING_STATUS=MR","SCALING_FORMAT=K","FA_ADJUSTED=Adjusted","Sort=A","Dates=H","DateFormat=P","Fill=NA","Direction=H","UseDPDF=Y")</f>
        <v>#NAME?</v>
      </c>
      <c r="I153" s="358" t="e">
        <f ca="1">_xll.BDH($C$135,$C$151,"FY"&amp;I$133,"FY"&amp;I$133,"Period=FY","BEST_FPERIOD_OVERRIDE=FY","FILING_STATUS=MR","SCALING_FORMAT=K","FA_ADJUSTED=Adjusted","Sort=A","Dates=H","DateFormat=P","Fill=NA","Direction=H","UseDPDF=Y")</f>
        <v>#NAME?</v>
      </c>
      <c r="J153" s="358" t="e">
        <f ca="1">_xll.BDH($C$135,$C$151,"FY"&amp;J$133,"FY"&amp;J$133,"Period=FY","BEST_FPERIOD_OVERRIDE=FY","FILING_STATUS=MR","SCALING_FORMAT=K","FA_ADJUSTED=Adjusted","Sort=A","Dates=H","DateFormat=P","Fill=NA","Direction=H","UseDPDF=Y")</f>
        <v>#NAME?</v>
      </c>
      <c r="K153" s="358" t="e">
        <f ca="1">_xll.BDH($C$135,$C$151,"FY"&amp;K$133,"FY"&amp;K$133,"Period=FY","BEST_FPERIOD_OVERRIDE=FY","FILING_STATUS=MR","SCALING_FORMAT=K","FA_ADJUSTED=Adjusted","Sort=A","Dates=H","DateFormat=P","Fill=NA","Direction=H","UseDPDF=Y")</f>
        <v>#NAME?</v>
      </c>
      <c r="L153" s="358" t="e">
        <f ca="1">_xll.BDH($C$135,$C$151,"FY"&amp;L$133,"FY"&amp;L$133,"Period=FY","BEST_FPERIOD_OVERRIDE=FY","FILING_STATUS=MR","SCALING_FORMAT=K","FA_ADJUSTED=Adjusted","Sort=A","Dates=H","DateFormat=P","Fill=NA","Direction=H","UseDPDF=Y")</f>
        <v>#NAME?</v>
      </c>
      <c r="M153" s="358" t="e">
        <f ca="1">_xll.BDH($C$135,$C$151,"FY"&amp;M$133,"FY"&amp;M$133,"Period=FY","BEST_FPERIOD_OVERRIDE=FY","FILING_STATUS=MR","SCALING_FORMAT=K","FA_ADJUSTED=Adjusted","Sort=A","Dates=H","DateFormat=P","Fill=NA","Direction=H","UseDPDF=Y")</f>
        <v>#NAME?</v>
      </c>
      <c r="N153" s="358" t="e">
        <f ca="1">_xll.BDH($C$135,$C$151,"FY"&amp;N$133,"FY"&amp;N$133,"Period=FY","BEST_FPERIOD_OVERRIDE=FY","FILING_STATUS=MR","SCALING_FORMAT=K","FA_ADJUSTED=Adjusted","Sort=A","Dates=H","DateFormat=P","Fill=NA","Direction=H","UseDPDF=Y")</f>
        <v>#NAME?</v>
      </c>
      <c r="O153" s="358"/>
      <c r="P153" s="358" t="e">
        <f t="shared" ref="P153:W158" ca="1" si="35">+G153/G171</f>
        <v>#NAME?</v>
      </c>
      <c r="Q153" s="358" t="e">
        <f t="shared" ca="1" si="35"/>
        <v>#NAME?</v>
      </c>
      <c r="R153" s="358" t="e">
        <f t="shared" ca="1" si="35"/>
        <v>#NAME?</v>
      </c>
      <c r="S153" s="358" t="e">
        <f t="shared" ca="1" si="35"/>
        <v>#NAME?</v>
      </c>
      <c r="T153" s="358" t="e">
        <f t="shared" ca="1" si="35"/>
        <v>#NAME?</v>
      </c>
      <c r="U153" s="358" t="e">
        <f t="shared" ca="1" si="35"/>
        <v>#NAME?</v>
      </c>
      <c r="V153" s="358" t="e">
        <f t="shared" ca="1" si="35"/>
        <v>#NAME?</v>
      </c>
      <c r="W153" s="358" t="e">
        <f t="shared" ca="1" si="35"/>
        <v>#NAME?</v>
      </c>
    </row>
    <row r="154" spans="2:23" ht="15" customHeight="1">
      <c r="B154" s="358" t="str">
        <f>+_xll.BDP(C154,"SHORT_NAME")</f>
        <v>ENOVA INTERNATIO</v>
      </c>
      <c r="C154" s="501" t="str">
        <f>+Inputs!$E$21</f>
        <v>ENVA US Equity</v>
      </c>
      <c r="D154" s="358"/>
      <c r="E154" s="359"/>
      <c r="F154" s="358"/>
      <c r="G154" s="358" t="str">
        <f>_xll.BDH($C$136,$C$151,"FY"&amp;G$133,"FY"&amp;G$133,"Period=FY","BEST_FPERIOD_OVERRIDE=FY","FILING_STATUS=MR","SCALING_FORMAT=K","FA_ADJUSTED=Adjusted","Sort=A","Dates=H","DateFormat=P","Fill=NA","Direction=H","UseDPDF=Y")</f>
        <v>#N/A</v>
      </c>
      <c r="H154" s="358" t="str">
        <f>_xll.BDH($C$136,$C$151,"FY"&amp;H$133,"FY"&amp;H$133,"Period=FY","BEST_FPERIOD_OVERRIDE=FY","FILING_STATUS=MR","SCALING_FORMAT=K","FA_ADJUSTED=Adjusted","Sort=A","Dates=H","DateFormat=P","Fill=NA","Direction=H","UseDPDF=Y")</f>
        <v>#N/A</v>
      </c>
      <c r="I154" s="358" t="str">
        <f>_xll.BDH($C$136,$C$151,"FY"&amp;I$133,"FY"&amp;I$133,"Period=FY","BEST_FPERIOD_OVERRIDE=FY","FILING_STATUS=MR","SCALING_FORMAT=K","FA_ADJUSTED=Adjusted","Sort=A","Dates=H","DateFormat=P","Fill=NA","Direction=H","UseDPDF=Y")</f>
        <v>#N/A</v>
      </c>
      <c r="J154" s="358" t="str">
        <f>_xll.BDH($C$136,$C$151,"FY"&amp;J$133,"FY"&amp;J$133,"Period=FY","BEST_FPERIOD_OVERRIDE=FY","FILING_STATUS=MR","SCALING_FORMAT=K","FA_ADJUSTED=Adjusted","Sort=A","Dates=H","DateFormat=P","Fill=NA","Direction=H","UseDPDF=Y")</f>
        <v>#N/A</v>
      </c>
      <c r="K154" s="358" t="str">
        <f>_xll.BDH($C$136,$C$151,"FY"&amp;K$133,"FY"&amp;K$133,"Period=FY","BEST_FPERIOD_OVERRIDE=FY","FILING_STATUS=MR","SCALING_FORMAT=K","FA_ADJUSTED=Adjusted","Sort=A","Dates=H","DateFormat=P","Fill=NA","Direction=H","UseDPDF=Y")</f>
        <v>#N/A</v>
      </c>
      <c r="L154" s="358" t="str">
        <f>_xll.BDH($C$136,$C$151,"FY"&amp;L$133,"FY"&amp;L$133,"Period=FY","BEST_FPERIOD_OVERRIDE=FY","FILING_STATUS=MR","SCALING_FORMAT=K","FA_ADJUSTED=Adjusted","Sort=A","Dates=H","DateFormat=P","Fill=NA","Direction=H","UseDPDF=Y")</f>
        <v>#N/A</v>
      </c>
      <c r="M154" s="358" t="str">
        <f>_xll.BDH($C$136,$C$151,"FY"&amp;M$133,"FY"&amp;M$133,"Period=FY","BEST_FPERIOD_OVERRIDE=FY","FILING_STATUS=MR","SCALING_FORMAT=K","FA_ADJUSTED=Adjusted","Sort=A","Dates=H","DateFormat=P","Fill=NA","Direction=H","UseDPDF=Y")</f>
        <v>#N/A</v>
      </c>
      <c r="N154" s="358" t="str">
        <f>_xll.BDH($C$136,$C$151,"FY"&amp;N$133,"FY"&amp;N$133,"Period=FY","BEST_FPERIOD_OVERRIDE=FY","FILING_STATUS=MR","SCALING_FORMAT=K","FA_ADJUSTED=Adjusted","Sort=A","Dates=H","DateFormat=P","Fill=NA","Direction=H","UseDPDF=Y")</f>
        <v>#N/A</v>
      </c>
      <c r="O154" s="358"/>
      <c r="P154" s="358" t="e">
        <f t="shared" si="35"/>
        <v>#VALUE!</v>
      </c>
      <c r="Q154" s="358" t="e">
        <f t="shared" si="35"/>
        <v>#VALUE!</v>
      </c>
      <c r="R154" s="358" t="e">
        <f t="shared" si="35"/>
        <v>#VALUE!</v>
      </c>
      <c r="S154" s="358" t="e">
        <f t="shared" si="35"/>
        <v>#VALUE!</v>
      </c>
      <c r="T154" s="358" t="e">
        <f t="shared" si="35"/>
        <v>#VALUE!</v>
      </c>
      <c r="U154" s="358" t="e">
        <f t="shared" si="35"/>
        <v>#VALUE!</v>
      </c>
      <c r="V154" s="358" t="e">
        <f t="shared" si="35"/>
        <v>#VALUE!</v>
      </c>
      <c r="W154" s="358" t="e">
        <f t="shared" si="35"/>
        <v>#VALUE!</v>
      </c>
    </row>
    <row r="155" spans="2:23" ht="15" customHeight="1">
      <c r="B155" s="358" t="str">
        <f>+_xll.BDP(C155,"SHORT_NAME")</f>
        <v>REGIONAL MANAGEM</v>
      </c>
      <c r="C155" s="501" t="str">
        <f>+Inputs!$E$22</f>
        <v>RM US Equity</v>
      </c>
      <c r="D155" s="358"/>
      <c r="E155" s="359"/>
      <c r="F155" s="358"/>
      <c r="G155" s="358" t="str">
        <f>_xll.BDH($C$137,$C$151,"FY"&amp;G$133,"FY"&amp;G$133,"Period=FY","BEST_FPERIOD_OVERRIDE=FY","FILING_STATUS=MR","SCALING_FORMAT=K","FA_ADJUSTED=Adjusted","Sort=A","Dates=H","DateFormat=P","Fill=NA","Direction=H","UseDPDF=Y")</f>
        <v>#N/A</v>
      </c>
      <c r="H155" s="358" t="str">
        <f>_xll.BDH($C$137,$C$151,"FY"&amp;H$133,"FY"&amp;H$133,"Period=FY","BEST_FPERIOD_OVERRIDE=FY","FILING_STATUS=MR","SCALING_FORMAT=K","FA_ADJUSTED=Adjusted","Sort=A","Dates=H","DateFormat=P","Fill=NA","Direction=H","UseDPDF=Y")</f>
        <v>#N/A</v>
      </c>
      <c r="I155" s="358" t="str">
        <f>_xll.BDH($C$137,$C$151,"FY"&amp;I$133,"FY"&amp;I$133,"Period=FY","BEST_FPERIOD_OVERRIDE=FY","FILING_STATUS=MR","SCALING_FORMAT=K","FA_ADJUSTED=Adjusted","Sort=A","Dates=H","DateFormat=P","Fill=NA","Direction=H","UseDPDF=Y")</f>
        <v>#N/A</v>
      </c>
      <c r="J155" s="358" t="str">
        <f>_xll.BDH($C$137,$C$151,"FY"&amp;J$133,"FY"&amp;J$133,"Period=FY","BEST_FPERIOD_OVERRIDE=FY","FILING_STATUS=MR","SCALING_FORMAT=K","FA_ADJUSTED=Adjusted","Sort=A","Dates=H","DateFormat=P","Fill=NA","Direction=H","UseDPDF=Y")</f>
        <v>#N/A</v>
      </c>
      <c r="K155" s="358" t="str">
        <f>_xll.BDH($C$137,$C$151,"FY"&amp;K$133,"FY"&amp;K$133,"Period=FY","BEST_FPERIOD_OVERRIDE=FY","FILING_STATUS=MR","SCALING_FORMAT=K","FA_ADJUSTED=Adjusted","Sort=A","Dates=H","DateFormat=P","Fill=NA","Direction=H","UseDPDF=Y")</f>
        <v>#N/A</v>
      </c>
      <c r="L155" s="358" t="str">
        <f>_xll.BDH($C$137,$C$151,"FY"&amp;L$133,"FY"&amp;L$133,"Period=FY","BEST_FPERIOD_OVERRIDE=FY","FILING_STATUS=MR","SCALING_FORMAT=K","FA_ADJUSTED=Adjusted","Sort=A","Dates=H","DateFormat=P","Fill=NA","Direction=H","UseDPDF=Y")</f>
        <v>#N/A</v>
      </c>
      <c r="M155" s="358" t="str">
        <f>_xll.BDH($C$137,$C$151,"FY"&amp;M$133,"FY"&amp;M$133,"Period=FY","BEST_FPERIOD_OVERRIDE=FY","FILING_STATUS=MR","SCALING_FORMAT=K","FA_ADJUSTED=Adjusted","Sort=A","Dates=H","DateFormat=P","Fill=NA","Direction=H","UseDPDF=Y")</f>
        <v>#N/A</v>
      </c>
      <c r="N155" s="358" t="str">
        <f>_xll.BDH($C$137,$C$151,"FY"&amp;N$133,"FY"&amp;N$133,"Period=FY","BEST_FPERIOD_OVERRIDE=FY","FILING_STATUS=MR","SCALING_FORMAT=K","FA_ADJUSTED=Adjusted","Sort=A","Dates=H","DateFormat=P","Fill=NA","Direction=H","UseDPDF=Y")</f>
        <v>#N/A</v>
      </c>
      <c r="O155" s="358"/>
      <c r="P155" s="358" t="e">
        <f t="shared" si="35"/>
        <v>#VALUE!</v>
      </c>
      <c r="Q155" s="358" t="e">
        <f t="shared" si="35"/>
        <v>#VALUE!</v>
      </c>
      <c r="R155" s="358" t="e">
        <f t="shared" si="35"/>
        <v>#VALUE!</v>
      </c>
      <c r="S155" s="358" t="e">
        <f t="shared" si="35"/>
        <v>#VALUE!</v>
      </c>
      <c r="T155" s="358" t="e">
        <f t="shared" si="35"/>
        <v>#VALUE!</v>
      </c>
      <c r="U155" s="358" t="e">
        <f t="shared" si="35"/>
        <v>#VALUE!</v>
      </c>
      <c r="V155" s="358" t="e">
        <f t="shared" si="35"/>
        <v>#VALUE!</v>
      </c>
      <c r="W155" s="358" t="e">
        <f t="shared" si="35"/>
        <v>#VALUE!</v>
      </c>
    </row>
    <row r="156" spans="2:23" ht="15" customHeight="1">
      <c r="B156" s="358" t="str">
        <f>+_xll.BDP(C156,"SHORT_NAME")</f>
        <v>WORLD ACCEPTANCE</v>
      </c>
      <c r="C156" s="501" t="str">
        <f>+Inputs!$E$23</f>
        <v>WRLD US Equity</v>
      </c>
      <c r="D156" s="358"/>
      <c r="E156" s="359"/>
      <c r="F156" s="358"/>
      <c r="G156" s="358" t="str">
        <f>_xll.BDH($C$138,$C$151,"FY"&amp;G$133,"FY"&amp;G$133,"Period=FY","BEST_FPERIOD_OVERRIDE=FY","FILING_STATUS=MR","SCALING_FORMAT=K","FA_ADJUSTED=Adjusted","Sort=A","Dates=H","DateFormat=P","Fill=NA","Direction=H","UseDPDF=Y")</f>
        <v>#N/A</v>
      </c>
      <c r="H156" s="358" t="str">
        <f>_xll.BDH($C$138,$C$151,"FY"&amp;H$133,"FY"&amp;H$133,"Period=FY","BEST_FPERIOD_OVERRIDE=FY","FILING_STATUS=MR","SCALING_FORMAT=K","FA_ADJUSTED=Adjusted","Sort=A","Dates=H","DateFormat=P","Fill=NA","Direction=H","UseDPDF=Y")</f>
        <v>#N/A</v>
      </c>
      <c r="I156" s="358" t="str">
        <f>_xll.BDH($C$138,$C$151,"FY"&amp;I$133,"FY"&amp;I$133,"Period=FY","BEST_FPERIOD_OVERRIDE=FY","FILING_STATUS=MR","SCALING_FORMAT=K","FA_ADJUSTED=Adjusted","Sort=A","Dates=H","DateFormat=P","Fill=NA","Direction=H","UseDPDF=Y")</f>
        <v>#N/A</v>
      </c>
      <c r="J156" s="358" t="str">
        <f>_xll.BDH($C$138,$C$151,"FY"&amp;J$133,"FY"&amp;J$133,"Period=FY","BEST_FPERIOD_OVERRIDE=FY","FILING_STATUS=MR","SCALING_FORMAT=K","FA_ADJUSTED=Adjusted","Sort=A","Dates=H","DateFormat=P","Fill=NA","Direction=H","UseDPDF=Y")</f>
        <v>#N/A</v>
      </c>
      <c r="K156" s="358" t="str">
        <f>_xll.BDH($C$138,$C$151,"FY"&amp;K$133,"FY"&amp;K$133,"Period=FY","BEST_FPERIOD_OVERRIDE=FY","FILING_STATUS=MR","SCALING_FORMAT=K","FA_ADJUSTED=Adjusted","Sort=A","Dates=H","DateFormat=P","Fill=NA","Direction=H","UseDPDF=Y")</f>
        <v>#N/A</v>
      </c>
      <c r="L156" s="358" t="str">
        <f>_xll.BDH($C$138,$C$151,"FY"&amp;L$133,"FY"&amp;L$133,"Period=FY","BEST_FPERIOD_OVERRIDE=FY","FILING_STATUS=MR","SCALING_FORMAT=K","FA_ADJUSTED=Adjusted","Sort=A","Dates=H","DateFormat=P","Fill=NA","Direction=H","UseDPDF=Y")</f>
        <v>#N/A</v>
      </c>
      <c r="M156" s="358" t="str">
        <f>_xll.BDH($C$138,$C$151,"FY"&amp;M$133,"FY"&amp;M$133,"Period=FY","BEST_FPERIOD_OVERRIDE=FY","FILING_STATUS=MR","SCALING_FORMAT=K","FA_ADJUSTED=Adjusted","Sort=A","Dates=H","DateFormat=P","Fill=NA","Direction=H","UseDPDF=Y")</f>
        <v>#N/A</v>
      </c>
      <c r="N156" s="358" t="str">
        <f>_xll.BDH($C$138,$C$151,"FY"&amp;N$133,"FY"&amp;N$133,"Period=FY","BEST_FPERIOD_OVERRIDE=FY","FILING_STATUS=MR","SCALING_FORMAT=K","FA_ADJUSTED=Adjusted","Sort=A","Dates=H","DateFormat=P","Fill=NA","Direction=H","UseDPDF=Y")</f>
        <v>#N/A</v>
      </c>
      <c r="O156" s="358"/>
      <c r="P156" s="358" t="e">
        <f t="shared" si="35"/>
        <v>#VALUE!</v>
      </c>
      <c r="Q156" s="358" t="e">
        <f t="shared" si="35"/>
        <v>#VALUE!</v>
      </c>
      <c r="R156" s="358" t="e">
        <f t="shared" si="35"/>
        <v>#VALUE!</v>
      </c>
      <c r="S156" s="358" t="e">
        <f t="shared" si="35"/>
        <v>#VALUE!</v>
      </c>
      <c r="T156" s="358" t="e">
        <f t="shared" si="35"/>
        <v>#VALUE!</v>
      </c>
      <c r="U156" s="358" t="e">
        <f t="shared" si="35"/>
        <v>#VALUE!</v>
      </c>
      <c r="V156" s="358" t="e">
        <f t="shared" si="35"/>
        <v>#VALUE!</v>
      </c>
      <c r="W156" s="358" t="e">
        <f t="shared" si="35"/>
        <v>#VALUE!</v>
      </c>
    </row>
    <row r="157" spans="2:23" ht="15" customHeight="1">
      <c r="B157" s="358" t="str">
        <f>+_xll.BDP(C157,"SHORT_NAME")</f>
        <v>EZCORP INC-A</v>
      </c>
      <c r="C157" s="501" t="str">
        <f>+Inputs!$E$24</f>
        <v>EZPW US Equity</v>
      </c>
      <c r="D157" s="358"/>
      <c r="E157" s="359"/>
      <c r="F157" s="358"/>
      <c r="G157" s="358" t="str">
        <f>_xll.BDH($C$139,$C$151,"FY"&amp;G$133,"FY"&amp;G$133,"Period=FY","BEST_FPERIOD_OVERRIDE=FY","FILING_STATUS=MR","SCALING_FORMAT=K","FA_ADJUSTED=Adjusted","Sort=A","Dates=H","DateFormat=P","Fill=NA","Direction=H","UseDPDF=Y")</f>
        <v>#N/A</v>
      </c>
      <c r="H157" s="358" t="str">
        <f>_xll.BDH($C$139,$C$151,"FY"&amp;H$133,"FY"&amp;H$133,"Period=FY","BEST_FPERIOD_OVERRIDE=FY","FILING_STATUS=MR","SCALING_FORMAT=K","FA_ADJUSTED=Adjusted","Sort=A","Dates=H","DateFormat=P","Fill=NA","Direction=H","UseDPDF=Y")</f>
        <v>#N/A</v>
      </c>
      <c r="I157" s="358" t="str">
        <f>_xll.BDH($C$139,$C$151,"FY"&amp;I$133,"FY"&amp;I$133,"Period=FY","BEST_FPERIOD_OVERRIDE=FY","FILING_STATUS=MR","SCALING_FORMAT=K","FA_ADJUSTED=Adjusted","Sort=A","Dates=H","DateFormat=P","Fill=NA","Direction=H","UseDPDF=Y")</f>
        <v>#N/A</v>
      </c>
      <c r="J157" s="358" t="str">
        <f>_xll.BDH($C$139,$C$151,"FY"&amp;J$133,"FY"&amp;J$133,"Period=FY","BEST_FPERIOD_OVERRIDE=FY","FILING_STATUS=MR","SCALING_FORMAT=K","FA_ADJUSTED=Adjusted","Sort=A","Dates=H","DateFormat=P","Fill=NA","Direction=H","UseDPDF=Y")</f>
        <v>#N/A</v>
      </c>
      <c r="K157" s="358" t="str">
        <f>_xll.BDH($C$139,$C$151,"FY"&amp;K$133,"FY"&amp;K$133,"Period=FY","BEST_FPERIOD_OVERRIDE=FY","FILING_STATUS=MR","SCALING_FORMAT=K","FA_ADJUSTED=Adjusted","Sort=A","Dates=H","DateFormat=P","Fill=NA","Direction=H","UseDPDF=Y")</f>
        <v>#N/A</v>
      </c>
      <c r="L157" s="358" t="str">
        <f>_xll.BDH($C$139,$C$151,"FY"&amp;L$133,"FY"&amp;L$133,"Period=FY","BEST_FPERIOD_OVERRIDE=FY","FILING_STATUS=MR","SCALING_FORMAT=K","FA_ADJUSTED=Adjusted","Sort=A","Dates=H","DateFormat=P","Fill=NA","Direction=H","UseDPDF=Y")</f>
        <v>#N/A</v>
      </c>
      <c r="M157" s="358" t="str">
        <f>_xll.BDH($C$139,$C$151,"FY"&amp;M$133,"FY"&amp;M$133,"Period=FY","BEST_FPERIOD_OVERRIDE=FY","FILING_STATUS=MR","SCALING_FORMAT=K","FA_ADJUSTED=Adjusted","Sort=A","Dates=H","DateFormat=P","Fill=NA","Direction=H","UseDPDF=Y")</f>
        <v>#N/A</v>
      </c>
      <c r="N157" s="358" t="str">
        <f>_xll.BDH($C$139,$C$151,"FY"&amp;N$133,"FY"&amp;N$133,"Period=FY","BEST_FPERIOD_OVERRIDE=FY","FILING_STATUS=MR","SCALING_FORMAT=K","FA_ADJUSTED=Adjusted","Sort=A","Dates=H","DateFormat=P","Fill=NA","Direction=H","UseDPDF=Y")</f>
        <v>#N/A</v>
      </c>
      <c r="O157" s="358"/>
      <c r="P157" s="358" t="e">
        <f t="shared" si="35"/>
        <v>#VALUE!</v>
      </c>
      <c r="Q157" s="358" t="e">
        <f t="shared" si="35"/>
        <v>#VALUE!</v>
      </c>
      <c r="R157" s="358" t="e">
        <f t="shared" si="35"/>
        <v>#VALUE!</v>
      </c>
      <c r="S157" s="358" t="e">
        <f t="shared" si="35"/>
        <v>#VALUE!</v>
      </c>
      <c r="T157" s="358" t="e">
        <f t="shared" si="35"/>
        <v>#VALUE!</v>
      </c>
      <c r="U157" s="358" t="e">
        <f t="shared" si="35"/>
        <v>#VALUE!</v>
      </c>
      <c r="V157" s="358" t="e">
        <f t="shared" si="35"/>
        <v>#VALUE!</v>
      </c>
      <c r="W157" s="358" t="e">
        <f t="shared" si="35"/>
        <v>#VALUE!</v>
      </c>
    </row>
    <row r="158" spans="2:23" ht="15" customHeight="1">
      <c r="B158" s="358" t="str">
        <f>+_xll.BDP(C158,"SHORT_NAME")</f>
        <v>ONEMAIN HOLDINGS</v>
      </c>
      <c r="C158" s="501" t="str">
        <f>+Inputs!$E$25</f>
        <v>OMF US Equity</v>
      </c>
      <c r="D158" s="358"/>
      <c r="E158" s="359"/>
      <c r="F158" s="358"/>
      <c r="G158" s="358" t="str">
        <f>_xll.BDH($C$140,$C$151,"FY"&amp;G$133,"FY"&amp;G$133,"Period=FY","BEST_FPERIOD_OVERRIDE=FY","FILING_STATUS=MR","SCALING_FORMAT=K","FA_ADJUSTED=Adjusted","Sort=A","Dates=H","DateFormat=P","Fill=NA","Direction=H","UseDPDF=Y")</f>
        <v>#N/A</v>
      </c>
      <c r="H158" s="358" t="str">
        <f>_xll.BDH($C$140,$C$151,"FY"&amp;H$133,"FY"&amp;H$133,"Period=FY","BEST_FPERIOD_OVERRIDE=FY","FILING_STATUS=MR","SCALING_FORMAT=K","FA_ADJUSTED=Adjusted","Sort=A","Dates=H","DateFormat=P","Fill=NA","Direction=H","UseDPDF=Y")</f>
        <v>#N/A</v>
      </c>
      <c r="I158" s="358" t="str">
        <f>_xll.BDH($C$140,$C$151,"FY"&amp;I$133,"FY"&amp;I$133,"Period=FY","BEST_FPERIOD_OVERRIDE=FY","FILING_STATUS=MR","SCALING_FORMAT=K","FA_ADJUSTED=Adjusted","Sort=A","Dates=H","DateFormat=P","Fill=NA","Direction=H","UseDPDF=Y")</f>
        <v>#N/A</v>
      </c>
      <c r="J158" s="358" t="str">
        <f>_xll.BDH($C$140,$C$151,"FY"&amp;J$133,"FY"&amp;J$133,"Period=FY","BEST_FPERIOD_OVERRIDE=FY","FILING_STATUS=MR","SCALING_FORMAT=K","FA_ADJUSTED=Adjusted","Sort=A","Dates=H","DateFormat=P","Fill=NA","Direction=H","UseDPDF=Y")</f>
        <v>#N/A</v>
      </c>
      <c r="K158" s="358" t="str">
        <f>_xll.BDH($C$140,$C$151,"FY"&amp;K$133,"FY"&amp;K$133,"Period=FY","BEST_FPERIOD_OVERRIDE=FY","FILING_STATUS=MR","SCALING_FORMAT=K","FA_ADJUSTED=Adjusted","Sort=A","Dates=H","DateFormat=P","Fill=NA","Direction=H","UseDPDF=Y")</f>
        <v>#N/A</v>
      </c>
      <c r="L158" s="358" t="str">
        <f>_xll.BDH($C$140,$C$151,"FY"&amp;L$133,"FY"&amp;L$133,"Period=FY","BEST_FPERIOD_OVERRIDE=FY","FILING_STATUS=MR","SCALING_FORMAT=K","FA_ADJUSTED=Adjusted","Sort=A","Dates=H","DateFormat=P","Fill=NA","Direction=H","UseDPDF=Y")</f>
        <v>#N/A</v>
      </c>
      <c r="M158" s="358" t="str">
        <f>_xll.BDH($C$140,$C$151,"FY"&amp;M$133,"FY"&amp;M$133,"Period=FY","BEST_FPERIOD_OVERRIDE=FY","FILING_STATUS=MR","SCALING_FORMAT=K","FA_ADJUSTED=Adjusted","Sort=A","Dates=H","DateFormat=P","Fill=NA","Direction=H","UseDPDF=Y")</f>
        <v>#N/A</v>
      </c>
      <c r="N158" s="358" t="str">
        <f>_xll.BDH($C$140,$C$151,"FY"&amp;N$133,"FY"&amp;N$133,"Period=FY","BEST_FPERIOD_OVERRIDE=FY","FILING_STATUS=MR","SCALING_FORMAT=K","FA_ADJUSTED=Adjusted","Sort=A","Dates=H","DateFormat=P","Fill=NA","Direction=H","UseDPDF=Y")</f>
        <v>#N/A</v>
      </c>
      <c r="O158" s="358"/>
      <c r="P158" s="358" t="e">
        <f t="shared" si="35"/>
        <v>#VALUE!</v>
      </c>
      <c r="Q158" s="358" t="e">
        <f t="shared" si="35"/>
        <v>#VALUE!</v>
      </c>
      <c r="R158" s="358" t="e">
        <f t="shared" si="35"/>
        <v>#VALUE!</v>
      </c>
      <c r="S158" s="358" t="e">
        <f t="shared" si="35"/>
        <v>#VALUE!</v>
      </c>
      <c r="T158" s="358" t="e">
        <f t="shared" si="35"/>
        <v>#VALUE!</v>
      </c>
      <c r="U158" s="358" t="e">
        <f t="shared" si="35"/>
        <v>#VALUE!</v>
      </c>
      <c r="V158" s="358" t="e">
        <f t="shared" si="35"/>
        <v>#VALUE!</v>
      </c>
      <c r="W158" s="358" t="e">
        <f t="shared" si="35"/>
        <v>#VALUE!</v>
      </c>
    </row>
    <row r="159" spans="2:23" ht="15" customHeight="1">
      <c r="B159" s="358"/>
      <c r="C159" s="358"/>
      <c r="D159" s="358"/>
      <c r="E159" s="359"/>
      <c r="F159" s="358"/>
      <c r="G159" s="358"/>
      <c r="H159" s="358"/>
      <c r="I159" s="358"/>
      <c r="J159" s="358"/>
      <c r="K159" s="358"/>
      <c r="L159" s="358"/>
      <c r="M159" s="358"/>
      <c r="N159" s="358"/>
      <c r="O159" s="358"/>
      <c r="P159" s="358"/>
      <c r="Q159" s="358"/>
      <c r="R159" s="358"/>
      <c r="S159" s="358"/>
      <c r="T159" s="358"/>
      <c r="U159" s="358"/>
      <c r="V159" s="358"/>
      <c r="W159" s="358"/>
    </row>
    <row r="160" spans="2:23" ht="15" customHeight="1">
      <c r="B160" s="362" t="s">
        <v>721</v>
      </c>
      <c r="C160" s="502" t="s">
        <v>722</v>
      </c>
      <c r="D160" s="363"/>
      <c r="E160" s="32"/>
      <c r="F160" s="366"/>
      <c r="G160" s="366">
        <v>2017</v>
      </c>
      <c r="H160" s="366">
        <f t="shared" ref="H160:N160" si="36">+G160+1</f>
        <v>2018</v>
      </c>
      <c r="I160" s="366">
        <f t="shared" si="36"/>
        <v>2019</v>
      </c>
      <c r="J160" s="366">
        <f t="shared" si="36"/>
        <v>2020</v>
      </c>
      <c r="K160" s="366">
        <f t="shared" si="36"/>
        <v>2021</v>
      </c>
      <c r="L160" s="366">
        <f t="shared" si="36"/>
        <v>2022</v>
      </c>
      <c r="M160" s="366">
        <f t="shared" si="36"/>
        <v>2023</v>
      </c>
      <c r="N160" s="366">
        <f t="shared" si="36"/>
        <v>2024</v>
      </c>
      <c r="O160" s="358"/>
      <c r="P160" s="366">
        <v>2017</v>
      </c>
      <c r="Q160" s="366">
        <f t="shared" ref="Q160:W160" si="37">+P160+1</f>
        <v>2018</v>
      </c>
      <c r="R160" s="366">
        <f t="shared" si="37"/>
        <v>2019</v>
      </c>
      <c r="S160" s="366">
        <f t="shared" si="37"/>
        <v>2020</v>
      </c>
      <c r="T160" s="366">
        <f t="shared" si="37"/>
        <v>2021</v>
      </c>
      <c r="U160" s="366">
        <f t="shared" si="37"/>
        <v>2022</v>
      </c>
      <c r="V160" s="366">
        <f t="shared" si="37"/>
        <v>2023</v>
      </c>
      <c r="W160" s="366">
        <f t="shared" si="37"/>
        <v>2024</v>
      </c>
    </row>
    <row r="161" spans="2:23" ht="4" customHeight="1">
      <c r="B161" s="367"/>
      <c r="C161" s="367"/>
      <c r="D161" s="367"/>
      <c r="E161" s="368"/>
      <c r="F161" s="369"/>
      <c r="G161" s="369"/>
      <c r="H161" s="369"/>
      <c r="I161" s="369"/>
      <c r="J161" s="369"/>
      <c r="K161" s="369"/>
      <c r="L161" s="369"/>
      <c r="M161" s="369"/>
      <c r="N161" s="369"/>
      <c r="O161" s="358"/>
      <c r="P161" s="369"/>
      <c r="Q161" s="369"/>
      <c r="R161" s="369"/>
      <c r="S161" s="369"/>
      <c r="T161" s="369"/>
      <c r="U161" s="369"/>
      <c r="V161" s="369"/>
      <c r="W161" s="369"/>
    </row>
    <row r="162" spans="2:23" ht="15" customHeight="1">
      <c r="B162" s="358" t="e">
        <f ca="1">+_xll.BDP(C162,"SHORT_NAME")</f>
        <v>#NAME?</v>
      </c>
      <c r="C162" s="501" t="str">
        <f>Inputs!$D$15</f>
        <v>OPFI US Equity</v>
      </c>
      <c r="D162" s="358"/>
      <c r="E162" s="359"/>
      <c r="F162" s="358"/>
      <c r="G162" s="358" t="e">
        <f ca="1">_xll.BDH($C$135,$C$160,"FY"&amp;G$133,"FY"&amp;G$133,"Period=FY","BEST_FPERIOD_OVERRIDE=FY","FILING_STATUS=MR","SCALING_FORMAT=K","FA_ADJUSTED=Adjusted","Sort=A","Dates=H","DateFormat=P","Fill=NA","Direction=H","UseDPDF=Y")</f>
        <v>#NAME?</v>
      </c>
      <c r="H162" s="358" t="e">
        <f ca="1">_xll.BDH($C$135,$C$160,"FY"&amp;H$133,"FY"&amp;H$133,"Period=FY","BEST_FPERIOD_OVERRIDE=FY","FILING_STATUS=MR","SCALING_FORMAT=K","FA_ADJUSTED=Adjusted","Sort=A","Dates=H","DateFormat=P","Fill=NA","Direction=H","UseDPDF=Y")</f>
        <v>#NAME?</v>
      </c>
      <c r="I162" s="358" t="e">
        <f ca="1">_xll.BDH($C$135,$C$160,"FY"&amp;I$133,"FY"&amp;I$133,"Period=FY","BEST_FPERIOD_OVERRIDE=FY","FILING_STATUS=MR","SCALING_FORMAT=K","FA_ADJUSTED=Adjusted","Sort=A","Dates=H","DateFormat=P","Fill=NA","Direction=H","UseDPDF=Y")</f>
        <v>#NAME?</v>
      </c>
      <c r="J162" s="358" t="e">
        <f ca="1">_xll.BDH($C$135,$C$160,"FY"&amp;J$133,"FY"&amp;J$133,"Period=FY","BEST_FPERIOD_OVERRIDE=FY","FILING_STATUS=MR","SCALING_FORMAT=K","FA_ADJUSTED=Adjusted","Sort=A","Dates=H","DateFormat=P","Fill=NA","Direction=H","UseDPDF=Y")</f>
        <v>#NAME?</v>
      </c>
      <c r="K162" s="358" t="e">
        <f ca="1">_xll.BDH($C$135,$C$160,"FY"&amp;K$133,"FY"&amp;K$133,"Period=FY","BEST_FPERIOD_OVERRIDE=FY","FILING_STATUS=MR","SCALING_FORMAT=K","FA_ADJUSTED=Adjusted","Sort=A","Dates=H","DateFormat=P","Fill=NA","Direction=H","UseDPDF=Y")</f>
        <v>#NAME?</v>
      </c>
      <c r="L162" s="358" t="e">
        <f ca="1">_xll.BDH($C$135,$C$160,"FY"&amp;L$133,"FY"&amp;L$133,"Period=FY","BEST_FPERIOD_OVERRIDE=FY","FILING_STATUS=MR","SCALING_FORMAT=K","FA_ADJUSTED=Adjusted","Sort=A","Dates=H","DateFormat=P","Fill=NA","Direction=H","UseDPDF=Y")</f>
        <v>#NAME?</v>
      </c>
      <c r="M162" s="358" t="e">
        <f ca="1">_xll.BDH($C$135,$C$160,"FY"&amp;M$133,"FY"&amp;M$133,"Period=FY","BEST_FPERIOD_OVERRIDE=FY","FILING_STATUS=MR","SCALING_FORMAT=K","FA_ADJUSTED=Adjusted","Sort=A","Dates=H","DateFormat=P","Fill=NA","Direction=H","UseDPDF=Y")</f>
        <v>#NAME?</v>
      </c>
      <c r="N162" s="358" t="e">
        <f ca="1">_xll.BDH($C$135,$C$160,"FY"&amp;N$133,"FY"&amp;N$133,"Period=FY","BEST_FPERIOD_OVERRIDE=FY","FILING_STATUS=MR","SCALING_FORMAT=K","FA_ADJUSTED=Adjusted","Sort=A","Dates=H","DateFormat=P","Fill=NA","Direction=H","UseDPDF=Y")</f>
        <v>#NAME?</v>
      </c>
      <c r="O162" s="358"/>
      <c r="P162" s="358" t="e">
        <f t="shared" ref="P162:W167" ca="1" si="38">+G162/G171</f>
        <v>#NAME?</v>
      </c>
      <c r="Q162" s="358" t="e">
        <f t="shared" ca="1" si="38"/>
        <v>#NAME?</v>
      </c>
      <c r="R162" s="358" t="e">
        <f t="shared" ca="1" si="38"/>
        <v>#NAME?</v>
      </c>
      <c r="S162" s="358" t="e">
        <f t="shared" ca="1" si="38"/>
        <v>#NAME?</v>
      </c>
      <c r="T162" s="358" t="e">
        <f t="shared" ca="1" si="38"/>
        <v>#NAME?</v>
      </c>
      <c r="U162" s="358" t="e">
        <f t="shared" ca="1" si="38"/>
        <v>#NAME?</v>
      </c>
      <c r="V162" s="358" t="e">
        <f t="shared" ca="1" si="38"/>
        <v>#NAME?</v>
      </c>
      <c r="W162" s="358" t="e">
        <f t="shared" ca="1" si="38"/>
        <v>#NAME?</v>
      </c>
    </row>
    <row r="163" spans="2:23" ht="15" customHeight="1">
      <c r="B163" s="358" t="str">
        <f>+_xll.BDP(C163,"SHORT_NAME")</f>
        <v>ENOVA INTERNATIO</v>
      </c>
      <c r="C163" s="501" t="str">
        <f>+Inputs!$E$21</f>
        <v>ENVA US Equity</v>
      </c>
      <c r="D163" s="358"/>
      <c r="E163" s="359"/>
      <c r="F163" s="358"/>
      <c r="G163" s="358" t="str">
        <f>_xll.BDH($C$136,$C$160,"FY"&amp;G$133,"FY"&amp;G$133,"Period=FY","BEST_FPERIOD_OVERRIDE=FY","FILING_STATUS=MR","SCALING_FORMAT=K","FA_ADJUSTED=Adjusted","Sort=A","Dates=H","DateFormat=P","Fill=NA","Direction=H","UseDPDF=Y")</f>
        <v>#N/A</v>
      </c>
      <c r="H163" s="358" t="str">
        <f>_xll.BDH($C$136,$C$160,"FY"&amp;H$133,"FY"&amp;H$133,"Period=FY","BEST_FPERIOD_OVERRIDE=FY","FILING_STATUS=MR","SCALING_FORMAT=K","FA_ADJUSTED=Adjusted","Sort=A","Dates=H","DateFormat=P","Fill=NA","Direction=H","UseDPDF=Y")</f>
        <v>#N/A</v>
      </c>
      <c r="I163" s="358" t="str">
        <f>_xll.BDH($C$136,$C$160,"FY"&amp;I$133,"FY"&amp;I$133,"Period=FY","BEST_FPERIOD_OVERRIDE=FY","FILING_STATUS=MR","SCALING_FORMAT=K","FA_ADJUSTED=Adjusted","Sort=A","Dates=H","DateFormat=P","Fill=NA","Direction=H","UseDPDF=Y")</f>
        <v>#N/A</v>
      </c>
      <c r="J163" s="358" t="str">
        <f>_xll.BDH($C$136,$C$160,"FY"&amp;J$133,"FY"&amp;J$133,"Period=FY","BEST_FPERIOD_OVERRIDE=FY","FILING_STATUS=MR","SCALING_FORMAT=K","FA_ADJUSTED=Adjusted","Sort=A","Dates=H","DateFormat=P","Fill=NA","Direction=H","UseDPDF=Y")</f>
        <v>#N/A</v>
      </c>
      <c r="K163" s="358" t="str">
        <f>_xll.BDH($C$136,$C$160,"FY"&amp;K$133,"FY"&amp;K$133,"Period=FY","BEST_FPERIOD_OVERRIDE=FY","FILING_STATUS=MR","SCALING_FORMAT=K","FA_ADJUSTED=Adjusted","Sort=A","Dates=H","DateFormat=P","Fill=NA","Direction=H","UseDPDF=Y")</f>
        <v>#N/A</v>
      </c>
      <c r="L163" s="358" t="str">
        <f>_xll.BDH($C$136,$C$160,"FY"&amp;L$133,"FY"&amp;L$133,"Period=FY","BEST_FPERIOD_OVERRIDE=FY","FILING_STATUS=MR","SCALING_FORMAT=K","FA_ADJUSTED=Adjusted","Sort=A","Dates=H","DateFormat=P","Fill=NA","Direction=H","UseDPDF=Y")</f>
        <v>#N/A</v>
      </c>
      <c r="M163" s="358" t="str">
        <f>_xll.BDH($C$136,$C$160,"FY"&amp;M$133,"FY"&amp;M$133,"Period=FY","BEST_FPERIOD_OVERRIDE=FY","FILING_STATUS=MR","SCALING_FORMAT=K","FA_ADJUSTED=Adjusted","Sort=A","Dates=H","DateFormat=P","Fill=NA","Direction=H","UseDPDF=Y")</f>
        <v>#N/A</v>
      </c>
      <c r="N163" s="358" t="str">
        <f>_xll.BDH($C$136,$C$160,"FY"&amp;N$133,"FY"&amp;N$133,"Period=FY","BEST_FPERIOD_OVERRIDE=FY","FILING_STATUS=MR","SCALING_FORMAT=K","FA_ADJUSTED=Adjusted","Sort=A","Dates=H","DateFormat=P","Fill=NA","Direction=H","UseDPDF=Y")</f>
        <v>#N/A</v>
      </c>
      <c r="O163" s="358"/>
      <c r="P163" s="358" t="e">
        <f t="shared" si="38"/>
        <v>#VALUE!</v>
      </c>
      <c r="Q163" s="358" t="e">
        <f t="shared" si="38"/>
        <v>#VALUE!</v>
      </c>
      <c r="R163" s="358" t="e">
        <f t="shared" si="38"/>
        <v>#VALUE!</v>
      </c>
      <c r="S163" s="358" t="e">
        <f t="shared" si="38"/>
        <v>#VALUE!</v>
      </c>
      <c r="T163" s="358" t="e">
        <f t="shared" si="38"/>
        <v>#VALUE!</v>
      </c>
      <c r="U163" s="358" t="e">
        <f t="shared" si="38"/>
        <v>#VALUE!</v>
      </c>
      <c r="V163" s="358" t="e">
        <f t="shared" si="38"/>
        <v>#VALUE!</v>
      </c>
      <c r="W163" s="358" t="e">
        <f t="shared" si="38"/>
        <v>#VALUE!</v>
      </c>
    </row>
    <row r="164" spans="2:23" ht="15" customHeight="1">
      <c r="B164" s="358" t="str">
        <f>+_xll.BDP(C164,"SHORT_NAME")</f>
        <v>REGIONAL MANAGEM</v>
      </c>
      <c r="C164" s="501" t="str">
        <f>+Inputs!$E$22</f>
        <v>RM US Equity</v>
      </c>
      <c r="D164" s="358"/>
      <c r="E164" s="359"/>
      <c r="F164" s="358"/>
      <c r="G164" s="358" t="str">
        <f>_xll.BDH($C$137,$C$160,"FY"&amp;G$133,"FY"&amp;G$133,"Period=FY","BEST_FPERIOD_OVERRIDE=FY","FILING_STATUS=MR","SCALING_FORMAT=K","FA_ADJUSTED=Adjusted","Sort=A","Dates=H","DateFormat=P","Fill=NA","Direction=H","UseDPDF=Y")</f>
        <v>#N/A</v>
      </c>
      <c r="H164" s="358" t="str">
        <f>_xll.BDH($C$137,$C$160,"FY"&amp;H$133,"FY"&amp;H$133,"Period=FY","BEST_FPERIOD_OVERRIDE=FY","FILING_STATUS=MR","SCALING_FORMAT=K","FA_ADJUSTED=Adjusted","Sort=A","Dates=H","DateFormat=P","Fill=NA","Direction=H","UseDPDF=Y")</f>
        <v>#N/A</v>
      </c>
      <c r="I164" s="358" t="str">
        <f>_xll.BDH($C$137,$C$160,"FY"&amp;I$133,"FY"&amp;I$133,"Period=FY","BEST_FPERIOD_OVERRIDE=FY","FILING_STATUS=MR","SCALING_FORMAT=K","FA_ADJUSTED=Adjusted","Sort=A","Dates=H","DateFormat=P","Fill=NA","Direction=H","UseDPDF=Y")</f>
        <v>#N/A</v>
      </c>
      <c r="J164" s="358" t="str">
        <f>_xll.BDH($C$137,$C$160,"FY"&amp;J$133,"FY"&amp;J$133,"Period=FY","BEST_FPERIOD_OVERRIDE=FY","FILING_STATUS=MR","SCALING_FORMAT=K","FA_ADJUSTED=Adjusted","Sort=A","Dates=H","DateFormat=P","Fill=NA","Direction=H","UseDPDF=Y")</f>
        <v>#N/A</v>
      </c>
      <c r="K164" s="358" t="str">
        <f>_xll.BDH($C$137,$C$160,"FY"&amp;K$133,"FY"&amp;K$133,"Period=FY","BEST_FPERIOD_OVERRIDE=FY","FILING_STATUS=MR","SCALING_FORMAT=K","FA_ADJUSTED=Adjusted","Sort=A","Dates=H","DateFormat=P","Fill=NA","Direction=H","UseDPDF=Y")</f>
        <v>#N/A</v>
      </c>
      <c r="L164" s="358" t="str">
        <f>_xll.BDH($C$137,$C$160,"FY"&amp;L$133,"FY"&amp;L$133,"Period=FY","BEST_FPERIOD_OVERRIDE=FY","FILING_STATUS=MR","SCALING_FORMAT=K","FA_ADJUSTED=Adjusted","Sort=A","Dates=H","DateFormat=P","Fill=NA","Direction=H","UseDPDF=Y")</f>
        <v>#N/A</v>
      </c>
      <c r="M164" s="358" t="str">
        <f>_xll.BDH($C$137,$C$160,"FY"&amp;M$133,"FY"&amp;M$133,"Period=FY","BEST_FPERIOD_OVERRIDE=FY","FILING_STATUS=MR","SCALING_FORMAT=K","FA_ADJUSTED=Adjusted","Sort=A","Dates=H","DateFormat=P","Fill=NA","Direction=H","UseDPDF=Y")</f>
        <v>#N/A</v>
      </c>
      <c r="N164" s="358" t="str">
        <f>_xll.BDH($C$137,$C$160,"FY"&amp;N$133,"FY"&amp;N$133,"Period=FY","BEST_FPERIOD_OVERRIDE=FY","FILING_STATUS=MR","SCALING_FORMAT=K","FA_ADJUSTED=Adjusted","Sort=A","Dates=H","DateFormat=P","Fill=NA","Direction=H","UseDPDF=Y")</f>
        <v>#N/A</v>
      </c>
      <c r="O164" s="358"/>
      <c r="P164" s="358" t="e">
        <f t="shared" si="38"/>
        <v>#VALUE!</v>
      </c>
      <c r="Q164" s="358" t="e">
        <f t="shared" si="38"/>
        <v>#VALUE!</v>
      </c>
      <c r="R164" s="358" t="e">
        <f t="shared" si="38"/>
        <v>#VALUE!</v>
      </c>
      <c r="S164" s="358" t="e">
        <f t="shared" si="38"/>
        <v>#VALUE!</v>
      </c>
      <c r="T164" s="358" t="e">
        <f t="shared" si="38"/>
        <v>#VALUE!</v>
      </c>
      <c r="U164" s="358" t="e">
        <f t="shared" si="38"/>
        <v>#VALUE!</v>
      </c>
      <c r="V164" s="358" t="e">
        <f t="shared" si="38"/>
        <v>#VALUE!</v>
      </c>
      <c r="W164" s="358" t="e">
        <f t="shared" si="38"/>
        <v>#VALUE!</v>
      </c>
    </row>
    <row r="165" spans="2:23" ht="15" customHeight="1">
      <c r="B165" s="358" t="str">
        <f>+_xll.BDP(C165,"SHORT_NAME")</f>
        <v>WORLD ACCEPTANCE</v>
      </c>
      <c r="C165" s="501" t="str">
        <f>+Inputs!$E$23</f>
        <v>WRLD US Equity</v>
      </c>
      <c r="D165" s="358"/>
      <c r="E165" s="359"/>
      <c r="F165" s="358"/>
      <c r="G165" s="358" t="str">
        <f>_xll.BDH($C$138,$C$160,"FY"&amp;G$133,"FY"&amp;G$133,"Period=FY","BEST_FPERIOD_OVERRIDE=FY","FILING_STATUS=MR","SCALING_FORMAT=K","FA_ADJUSTED=Adjusted","Sort=A","Dates=H","DateFormat=P","Fill=NA","Direction=H","UseDPDF=Y")</f>
        <v>#N/A</v>
      </c>
      <c r="H165" s="358" t="str">
        <f>_xll.BDH($C$138,$C$160,"FY"&amp;H$133,"FY"&amp;H$133,"Period=FY","BEST_FPERIOD_OVERRIDE=FY","FILING_STATUS=MR","SCALING_FORMAT=K","FA_ADJUSTED=Adjusted","Sort=A","Dates=H","DateFormat=P","Fill=NA","Direction=H","UseDPDF=Y")</f>
        <v>#N/A</v>
      </c>
      <c r="I165" s="358" t="str">
        <f>_xll.BDH($C$138,$C$160,"FY"&amp;I$133,"FY"&amp;I$133,"Period=FY","BEST_FPERIOD_OVERRIDE=FY","FILING_STATUS=MR","SCALING_FORMAT=K","FA_ADJUSTED=Adjusted","Sort=A","Dates=H","DateFormat=P","Fill=NA","Direction=H","UseDPDF=Y")</f>
        <v>#N/A</v>
      </c>
      <c r="J165" s="358" t="str">
        <f>_xll.BDH($C$138,$C$160,"FY"&amp;J$133,"FY"&amp;J$133,"Period=FY","BEST_FPERIOD_OVERRIDE=FY","FILING_STATUS=MR","SCALING_FORMAT=K","FA_ADJUSTED=Adjusted","Sort=A","Dates=H","DateFormat=P","Fill=NA","Direction=H","UseDPDF=Y")</f>
        <v>#N/A</v>
      </c>
      <c r="K165" s="358" t="str">
        <f>_xll.BDH($C$138,$C$160,"FY"&amp;K$133,"FY"&amp;K$133,"Period=FY","BEST_FPERIOD_OVERRIDE=FY","FILING_STATUS=MR","SCALING_FORMAT=K","FA_ADJUSTED=Adjusted","Sort=A","Dates=H","DateFormat=P","Fill=NA","Direction=H","UseDPDF=Y")</f>
        <v>#N/A</v>
      </c>
      <c r="L165" s="358" t="str">
        <f>_xll.BDH($C$138,$C$160,"FY"&amp;L$133,"FY"&amp;L$133,"Period=FY","BEST_FPERIOD_OVERRIDE=FY","FILING_STATUS=MR","SCALING_FORMAT=K","FA_ADJUSTED=Adjusted","Sort=A","Dates=H","DateFormat=P","Fill=NA","Direction=H","UseDPDF=Y")</f>
        <v>#N/A</v>
      </c>
      <c r="M165" s="358" t="str">
        <f>_xll.BDH($C$138,$C$160,"FY"&amp;M$133,"FY"&amp;M$133,"Period=FY","BEST_FPERIOD_OVERRIDE=FY","FILING_STATUS=MR","SCALING_FORMAT=K","FA_ADJUSTED=Adjusted","Sort=A","Dates=H","DateFormat=P","Fill=NA","Direction=H","UseDPDF=Y")</f>
        <v>#N/A</v>
      </c>
      <c r="N165" s="358" t="str">
        <f>_xll.BDH($C$138,$C$160,"FY"&amp;N$133,"FY"&amp;N$133,"Period=FY","BEST_FPERIOD_OVERRIDE=FY","FILING_STATUS=MR","SCALING_FORMAT=K","FA_ADJUSTED=Adjusted","Sort=A","Dates=H","DateFormat=P","Fill=NA","Direction=H","UseDPDF=Y")</f>
        <v>#N/A</v>
      </c>
      <c r="O165" s="358"/>
      <c r="P165" s="358" t="e">
        <f t="shared" si="38"/>
        <v>#VALUE!</v>
      </c>
      <c r="Q165" s="358" t="e">
        <f t="shared" si="38"/>
        <v>#VALUE!</v>
      </c>
      <c r="R165" s="358" t="e">
        <f t="shared" si="38"/>
        <v>#VALUE!</v>
      </c>
      <c r="S165" s="358" t="e">
        <f t="shared" si="38"/>
        <v>#VALUE!</v>
      </c>
      <c r="T165" s="358" t="e">
        <f t="shared" si="38"/>
        <v>#VALUE!</v>
      </c>
      <c r="U165" s="358" t="e">
        <f t="shared" si="38"/>
        <v>#VALUE!</v>
      </c>
      <c r="V165" s="358" t="e">
        <f t="shared" si="38"/>
        <v>#VALUE!</v>
      </c>
      <c r="W165" s="358" t="e">
        <f t="shared" si="38"/>
        <v>#VALUE!</v>
      </c>
    </row>
    <row r="166" spans="2:23" ht="15" customHeight="1">
      <c r="B166" s="358" t="str">
        <f>+_xll.BDP(C166,"SHORT_NAME")</f>
        <v>EZCORP INC-A</v>
      </c>
      <c r="C166" s="501" t="str">
        <f>+Inputs!$E$24</f>
        <v>EZPW US Equity</v>
      </c>
      <c r="D166" s="358"/>
      <c r="E166" s="359"/>
      <c r="F166" s="358"/>
      <c r="G166" s="358" t="str">
        <f>_xll.BDH($C$139,$C$160,"FY"&amp;G$133,"FY"&amp;G$133,"Period=FY","BEST_FPERIOD_OVERRIDE=FY","FILING_STATUS=MR","SCALING_FORMAT=K","FA_ADJUSTED=Adjusted","Sort=A","Dates=H","DateFormat=P","Fill=NA","Direction=H","UseDPDF=Y")</f>
        <v>#N/A</v>
      </c>
      <c r="H166" s="358" t="str">
        <f>_xll.BDH($C$139,$C$160,"FY"&amp;H$133,"FY"&amp;H$133,"Period=FY","BEST_FPERIOD_OVERRIDE=FY","FILING_STATUS=MR","SCALING_FORMAT=K","FA_ADJUSTED=Adjusted","Sort=A","Dates=H","DateFormat=P","Fill=NA","Direction=H","UseDPDF=Y")</f>
        <v>#N/A</v>
      </c>
      <c r="I166" s="358" t="str">
        <f>_xll.BDH($C$139,$C$160,"FY"&amp;I$133,"FY"&amp;I$133,"Period=FY","BEST_FPERIOD_OVERRIDE=FY","FILING_STATUS=MR","SCALING_FORMAT=K","FA_ADJUSTED=Adjusted","Sort=A","Dates=H","DateFormat=P","Fill=NA","Direction=H","UseDPDF=Y")</f>
        <v>#N/A</v>
      </c>
      <c r="J166" s="358" t="str">
        <f>_xll.BDH($C$139,$C$160,"FY"&amp;J$133,"FY"&amp;J$133,"Period=FY","BEST_FPERIOD_OVERRIDE=FY","FILING_STATUS=MR","SCALING_FORMAT=K","FA_ADJUSTED=Adjusted","Sort=A","Dates=H","DateFormat=P","Fill=NA","Direction=H","UseDPDF=Y")</f>
        <v>#N/A</v>
      </c>
      <c r="K166" s="358" t="str">
        <f>_xll.BDH($C$139,$C$160,"FY"&amp;K$133,"FY"&amp;K$133,"Period=FY","BEST_FPERIOD_OVERRIDE=FY","FILING_STATUS=MR","SCALING_FORMAT=K","FA_ADJUSTED=Adjusted","Sort=A","Dates=H","DateFormat=P","Fill=NA","Direction=H","UseDPDF=Y")</f>
        <v>#N/A</v>
      </c>
      <c r="L166" s="358" t="str">
        <f>_xll.BDH($C$139,$C$160,"FY"&amp;L$133,"FY"&amp;L$133,"Period=FY","BEST_FPERIOD_OVERRIDE=FY","FILING_STATUS=MR","SCALING_FORMAT=K","FA_ADJUSTED=Adjusted","Sort=A","Dates=H","DateFormat=P","Fill=NA","Direction=H","UseDPDF=Y")</f>
        <v>#N/A</v>
      </c>
      <c r="M166" s="358" t="str">
        <f>_xll.BDH($C$139,$C$160,"FY"&amp;M$133,"FY"&amp;M$133,"Period=FY","BEST_FPERIOD_OVERRIDE=FY","FILING_STATUS=MR","SCALING_FORMAT=K","FA_ADJUSTED=Adjusted","Sort=A","Dates=H","DateFormat=P","Fill=NA","Direction=H","UseDPDF=Y")</f>
        <v>#N/A</v>
      </c>
      <c r="N166" s="358" t="str">
        <f>_xll.BDH($C$139,$C$160,"FY"&amp;N$133,"FY"&amp;N$133,"Period=FY","BEST_FPERIOD_OVERRIDE=FY","FILING_STATUS=MR","SCALING_FORMAT=K","FA_ADJUSTED=Adjusted","Sort=A","Dates=H","DateFormat=P","Fill=NA","Direction=H","UseDPDF=Y")</f>
        <v>#N/A</v>
      </c>
      <c r="O166" s="358"/>
      <c r="P166" s="358" t="e">
        <f t="shared" si="38"/>
        <v>#VALUE!</v>
      </c>
      <c r="Q166" s="358" t="e">
        <f t="shared" si="38"/>
        <v>#VALUE!</v>
      </c>
      <c r="R166" s="358" t="e">
        <f t="shared" si="38"/>
        <v>#VALUE!</v>
      </c>
      <c r="S166" s="358" t="e">
        <f t="shared" si="38"/>
        <v>#VALUE!</v>
      </c>
      <c r="T166" s="358" t="e">
        <f t="shared" si="38"/>
        <v>#VALUE!</v>
      </c>
      <c r="U166" s="358" t="e">
        <f t="shared" si="38"/>
        <v>#VALUE!</v>
      </c>
      <c r="V166" s="358" t="e">
        <f t="shared" si="38"/>
        <v>#VALUE!</v>
      </c>
      <c r="W166" s="358" t="e">
        <f t="shared" si="38"/>
        <v>#VALUE!</v>
      </c>
    </row>
    <row r="167" spans="2:23" ht="15" customHeight="1">
      <c r="B167" s="358" t="str">
        <f>+_xll.BDP(C167,"SHORT_NAME")</f>
        <v>ONEMAIN HOLDINGS</v>
      </c>
      <c r="C167" s="501" t="str">
        <f>+Inputs!$E$25</f>
        <v>OMF US Equity</v>
      </c>
      <c r="D167" s="358"/>
      <c r="E167" s="359"/>
      <c r="F167" s="358"/>
      <c r="G167" s="358" t="str">
        <f>_xll.BDH($C$140,$C$160,"FY"&amp;G$133,"FY"&amp;G$133,"Period=FY","BEST_FPERIOD_OVERRIDE=FY","FILING_STATUS=MR","SCALING_FORMAT=K","FA_ADJUSTED=Adjusted","Sort=A","Dates=H","DateFormat=P","Fill=NA","Direction=H","UseDPDF=Y")</f>
        <v>#N/A</v>
      </c>
      <c r="H167" s="358" t="str">
        <f>_xll.BDH($C$140,$C$160,"FY"&amp;H$133,"FY"&amp;H$133,"Period=FY","BEST_FPERIOD_OVERRIDE=FY","FILING_STATUS=MR","SCALING_FORMAT=K","FA_ADJUSTED=Adjusted","Sort=A","Dates=H","DateFormat=P","Fill=NA","Direction=H","UseDPDF=Y")</f>
        <v>#N/A</v>
      </c>
      <c r="I167" s="358" t="str">
        <f>_xll.BDH($C$140,$C$160,"FY"&amp;I$133,"FY"&amp;I$133,"Period=FY","BEST_FPERIOD_OVERRIDE=FY","FILING_STATUS=MR","SCALING_FORMAT=K","FA_ADJUSTED=Adjusted","Sort=A","Dates=H","DateFormat=P","Fill=NA","Direction=H","UseDPDF=Y")</f>
        <v>#N/A</v>
      </c>
      <c r="J167" s="358" t="str">
        <f>_xll.BDH($C$140,$C$160,"FY"&amp;J$133,"FY"&amp;J$133,"Period=FY","BEST_FPERIOD_OVERRIDE=FY","FILING_STATUS=MR","SCALING_FORMAT=K","FA_ADJUSTED=Adjusted","Sort=A","Dates=H","DateFormat=P","Fill=NA","Direction=H","UseDPDF=Y")</f>
        <v>#N/A</v>
      </c>
      <c r="K167" s="358" t="str">
        <f>_xll.BDH($C$140,$C$160,"FY"&amp;K$133,"FY"&amp;K$133,"Period=FY","BEST_FPERIOD_OVERRIDE=FY","FILING_STATUS=MR","SCALING_FORMAT=K","FA_ADJUSTED=Adjusted","Sort=A","Dates=H","DateFormat=P","Fill=NA","Direction=H","UseDPDF=Y")</f>
        <v>#N/A</v>
      </c>
      <c r="L167" s="358" t="str">
        <f>_xll.BDH($C$140,$C$160,"FY"&amp;L$133,"FY"&amp;L$133,"Period=FY","BEST_FPERIOD_OVERRIDE=FY","FILING_STATUS=MR","SCALING_FORMAT=K","FA_ADJUSTED=Adjusted","Sort=A","Dates=H","DateFormat=P","Fill=NA","Direction=H","UseDPDF=Y")</f>
        <v>#N/A</v>
      </c>
      <c r="M167" s="358" t="str">
        <f>_xll.BDH($C$140,$C$160,"FY"&amp;M$133,"FY"&amp;M$133,"Period=FY","BEST_FPERIOD_OVERRIDE=FY","FILING_STATUS=MR","SCALING_FORMAT=K","FA_ADJUSTED=Adjusted","Sort=A","Dates=H","DateFormat=P","Fill=NA","Direction=H","UseDPDF=Y")</f>
        <v>#N/A</v>
      </c>
      <c r="N167" s="358" t="str">
        <f>_xll.BDH($C$140,$C$160,"FY"&amp;N$133,"FY"&amp;N$133,"Period=FY","BEST_FPERIOD_OVERRIDE=FY","FILING_STATUS=MR","SCALING_FORMAT=K","FA_ADJUSTED=Adjusted","Sort=A","Dates=H","DateFormat=P","Fill=NA","Direction=H","UseDPDF=Y")</f>
        <v>#N/A</v>
      </c>
      <c r="O167" s="358"/>
      <c r="P167" s="358" t="e">
        <f t="shared" si="38"/>
        <v>#VALUE!</v>
      </c>
      <c r="Q167" s="358" t="e">
        <f t="shared" si="38"/>
        <v>#VALUE!</v>
      </c>
      <c r="R167" s="358" t="e">
        <f t="shared" si="38"/>
        <v>#VALUE!</v>
      </c>
      <c r="S167" s="358" t="e">
        <f t="shared" si="38"/>
        <v>#VALUE!</v>
      </c>
      <c r="T167" s="358" t="e">
        <f t="shared" si="38"/>
        <v>#VALUE!</v>
      </c>
      <c r="U167" s="358" t="e">
        <f t="shared" si="38"/>
        <v>#VALUE!</v>
      </c>
      <c r="V167" s="358" t="e">
        <f t="shared" si="38"/>
        <v>#VALUE!</v>
      </c>
      <c r="W167" s="358" t="e">
        <f t="shared" si="38"/>
        <v>#VALUE!</v>
      </c>
    </row>
    <row r="168" spans="2:23" ht="15" customHeight="1">
      <c r="B168" s="358"/>
      <c r="C168" s="358"/>
      <c r="D168" s="358"/>
      <c r="E168" s="359"/>
      <c r="F168" s="358"/>
      <c r="G168" s="358"/>
      <c r="H168" s="358"/>
      <c r="I168" s="358"/>
      <c r="J168" s="358"/>
      <c r="K168" s="358"/>
      <c r="L168" s="358"/>
      <c r="M168" s="358"/>
      <c r="N168" s="358"/>
      <c r="O168" s="358"/>
      <c r="P168" s="358"/>
      <c r="Q168" s="358"/>
      <c r="R168" s="358"/>
      <c r="S168" s="358"/>
      <c r="T168" s="358"/>
      <c r="U168" s="358"/>
      <c r="V168" s="358"/>
      <c r="W168" s="358"/>
    </row>
    <row r="169" spans="2:23" ht="15" customHeight="1">
      <c r="B169" s="362" t="s">
        <v>301</v>
      </c>
      <c r="C169" s="502" t="s">
        <v>723</v>
      </c>
      <c r="D169" s="363"/>
      <c r="E169" s="32"/>
      <c r="F169" s="366"/>
      <c r="G169" s="366">
        <v>2017</v>
      </c>
      <c r="H169" s="366">
        <f t="shared" ref="H169:N169" si="39">+G169+1</f>
        <v>2018</v>
      </c>
      <c r="I169" s="366">
        <f t="shared" si="39"/>
        <v>2019</v>
      </c>
      <c r="J169" s="366">
        <f t="shared" si="39"/>
        <v>2020</v>
      </c>
      <c r="K169" s="366">
        <f t="shared" si="39"/>
        <v>2021</v>
      </c>
      <c r="L169" s="366">
        <f t="shared" si="39"/>
        <v>2022</v>
      </c>
      <c r="M169" s="366">
        <f t="shared" si="39"/>
        <v>2023</v>
      </c>
      <c r="N169" s="366">
        <f t="shared" si="39"/>
        <v>2024</v>
      </c>
      <c r="O169" s="358"/>
      <c r="P169" s="358"/>
      <c r="Q169" s="358"/>
      <c r="R169" s="358"/>
      <c r="S169" s="358"/>
      <c r="T169" s="358"/>
      <c r="U169" s="358"/>
      <c r="V169" s="358"/>
      <c r="W169" s="358"/>
    </row>
    <row r="170" spans="2:23" ht="4" customHeight="1">
      <c r="B170" s="367"/>
      <c r="C170" s="367"/>
      <c r="D170" s="367"/>
      <c r="E170" s="368"/>
      <c r="F170" s="369"/>
      <c r="G170" s="369"/>
      <c r="H170" s="369"/>
      <c r="I170" s="369"/>
      <c r="J170" s="369"/>
      <c r="K170" s="369"/>
      <c r="L170" s="369"/>
      <c r="M170" s="369"/>
      <c r="N170" s="369"/>
      <c r="O170" s="358"/>
      <c r="P170" s="358"/>
      <c r="Q170" s="358"/>
      <c r="R170" s="358"/>
      <c r="S170" s="358"/>
      <c r="T170" s="358"/>
      <c r="U170" s="358"/>
      <c r="V170" s="358"/>
      <c r="W170" s="358"/>
    </row>
    <row r="171" spans="2:23" ht="15" customHeight="1">
      <c r="B171" s="358" t="e">
        <f ca="1">+_xll.BDP(C171,"SHORT_NAME")</f>
        <v>#NAME?</v>
      </c>
      <c r="C171" s="501" t="str">
        <f>Inputs!$D$15</f>
        <v>OPFI US Equity</v>
      </c>
      <c r="D171" s="358"/>
      <c r="E171" s="359"/>
      <c r="F171" s="358"/>
      <c r="G171" s="358" t="e">
        <f ca="1">_xll.BDH($C$135,$C$169,"FY"&amp;G$133,"FY"&amp;G$133,"Period=FY","CURRENCY= "&amp;Inputs!$D$13,"BEST_FPERIOD_OVERRIDE=FY","FILING_STATUS=MR","SCALING_FORMAT= " &amp;Inputs!$R$18,"FA_ADJUSTED=Adjusted","Sort=A","Dates=H","DateFormat=P","Fill=NA","Direction=H","UseDPDF=Y")</f>
        <v>#NAME?</v>
      </c>
      <c r="H171" s="358" t="e">
        <f ca="1">_xll.BDH($C$135,$C$169,"FY"&amp;H$133,"FY"&amp;H$133,"Period=FY","CURRENCY= "&amp;Inputs!$D$13,"BEST_FPERIOD_OVERRIDE=FY","FILING_STATUS=MR","SCALING_FORMAT= " &amp;Inputs!$R$18,"FA_ADJUSTED=Adjusted","Sort=A","Dates=H","DateFormat=P","Fill=NA","Direction=H","UseDPDF=Y")</f>
        <v>#NAME?</v>
      </c>
      <c r="I171" s="358" t="e">
        <f ca="1">_xll.BDH($C$135,$C$169,"FY"&amp;I$133,"FY"&amp;I$133,"Period=FY","CURRENCY= "&amp;Inputs!$D$13,"BEST_FPERIOD_OVERRIDE=FY","FILING_STATUS=MR","SCALING_FORMAT= " &amp;Inputs!$R$18,"FA_ADJUSTED=Adjusted","Sort=A","Dates=H","DateFormat=P","Fill=NA","Direction=H","UseDPDF=Y")</f>
        <v>#NAME?</v>
      </c>
      <c r="J171" s="358" t="e">
        <f ca="1">_xll.BDH($C$135,$C$169,"FY"&amp;J$133,"FY"&amp;J$133,"Period=FY","CURRENCY= "&amp;Inputs!$D$13,"BEST_FPERIOD_OVERRIDE=FY","FILING_STATUS=MR","SCALING_FORMAT= " &amp;Inputs!$R$18,"FA_ADJUSTED=Adjusted","Sort=A","Dates=H","DateFormat=P","Fill=NA","Direction=H","UseDPDF=Y")</f>
        <v>#NAME?</v>
      </c>
      <c r="K171" s="358" t="e">
        <f ca="1">_xll.BDH($C$135,$C$169,"FY"&amp;K$133,"FY"&amp;K$133,"Period=FY","CURRENCY= "&amp;Inputs!$D$13,"BEST_FPERIOD_OVERRIDE=FY","FILING_STATUS=MR","SCALING_FORMAT= " &amp;Inputs!$R$18,"FA_ADJUSTED=Adjusted","Sort=A","Dates=H","DateFormat=P","Fill=NA","Direction=H","UseDPDF=Y")</f>
        <v>#NAME?</v>
      </c>
      <c r="L171" s="358" t="e">
        <f ca="1">_xll.BDH($C$135,$C$169,"FY"&amp;L$133,"FY"&amp;L$133,"Period=FY","CURRENCY= "&amp;Inputs!$D$13,"BEST_FPERIOD_OVERRIDE=FY","FILING_STATUS=MR","SCALING_FORMAT= " &amp;Inputs!$R$18,"FA_ADJUSTED=Adjusted","Sort=A","Dates=H","DateFormat=P","Fill=NA","Direction=H","UseDPDF=Y")</f>
        <v>#NAME?</v>
      </c>
      <c r="M171" s="358" t="e">
        <f ca="1">_xll.BDH($C$135,$C$169,"FY"&amp;M$133,"FY"&amp;M$133,"Period=FY","CURRENCY= "&amp;Inputs!$D$13,"BEST_FPERIOD_OVERRIDE=FY","FILING_STATUS=MR","SCALING_FORMAT= " &amp;Inputs!$R$18,"FA_ADJUSTED=Adjusted","Sort=A","Dates=H","DateFormat=P","Fill=NA","Direction=H","UseDPDF=Y")</f>
        <v>#NAME?</v>
      </c>
      <c r="N171" s="358" t="e">
        <f ca="1">_xll.BDH($C$135,$C$169,"FY"&amp;N$133,"FY"&amp;N$133,"Period=FY","CURRENCY= "&amp;Inputs!$D$13,"BEST_FPERIOD_OVERRIDE=FY","FILING_STATUS=MR","SCALING_FORMAT= " &amp;Inputs!$R$18,"FA_ADJUSTED=Adjusted","Sort=A","Dates=H","DateFormat=P","Fill=NA","Direction=H","UseDPDF=Y")</f>
        <v>#NAME?</v>
      </c>
      <c r="O171" s="358"/>
      <c r="P171" s="358"/>
      <c r="Q171" s="358"/>
      <c r="R171" s="358"/>
      <c r="S171" s="358"/>
      <c r="T171" s="358"/>
      <c r="U171" s="358"/>
      <c r="V171" s="358"/>
      <c r="W171" s="358"/>
    </row>
    <row r="172" spans="2:23" ht="15" customHeight="1">
      <c r="B172" s="358" t="str">
        <f>+_xll.BDP(C172,"SHORT_NAME")</f>
        <v>ENOVA INTERNATIO</v>
      </c>
      <c r="C172" s="501" t="str">
        <f>+Inputs!$E$21</f>
        <v>ENVA US Equity</v>
      </c>
      <c r="D172" s="358"/>
      <c r="E172" s="359"/>
      <c r="F172" s="358"/>
      <c r="G172" s="358">
        <f>_xll.BDH($C$136,$C$169,"FY"&amp;G$133,"FY"&amp;G$133,"Period=FY","CURRENCY= "&amp;Inputs!$D$13,"BEST_FPERIOD_OVERRIDE=FY","FILING_STATUS=MR","SCALING_FORMAT= " &amp;Inputs!$R$18,"FA_ADJUSTED=Adjusted","Sort=A","Dates=H","DateFormat=P","Fill=NA","Direction=H","UseDPDF=Y")</f>
        <v>843.74099999999999</v>
      </c>
      <c r="H172" s="358">
        <f>_xll.BDH($C$136,$C$169,"FY"&amp;H$133,"FY"&amp;H$133,"Period=FY","CURRENCY= "&amp;Inputs!$D$13,"BEST_FPERIOD_OVERRIDE=FY","FILING_STATUS=MR","SCALING_FORMAT= " &amp;Inputs!$R$18,"FA_ADJUSTED=Adjusted","Sort=A","Dates=H","DateFormat=P","Fill=NA","Direction=H","UseDPDF=Y")</f>
        <v>972.62099999999998</v>
      </c>
      <c r="I172" s="358">
        <f>_xll.BDH($C$136,$C$169,"FY"&amp;I$133,"FY"&amp;I$133,"Period=FY","CURRENCY= "&amp;Inputs!$D$13,"BEST_FPERIOD_OVERRIDE=FY","FILING_STATUS=MR","SCALING_FORMAT= " &amp;Inputs!$R$18,"FA_ADJUSTED=Adjusted","Sort=A","Dates=H","DateFormat=P","Fill=NA","Direction=H","UseDPDF=Y")</f>
        <v>1174.7570000000001</v>
      </c>
      <c r="J172" s="358">
        <f>_xll.BDH($C$136,$C$169,"FY"&amp;J$133,"FY"&amp;J$133,"Period=FY","CURRENCY= "&amp;Inputs!$D$13,"BEST_FPERIOD_OVERRIDE=FY","FILING_STATUS=MR","SCALING_FORMAT= " &amp;Inputs!$R$18,"FA_ADJUSTED=Adjusted","Sort=A","Dates=H","DateFormat=P","Fill=NA","Direction=H","UseDPDF=Y")</f>
        <v>1083.71</v>
      </c>
      <c r="K172" s="358">
        <f>_xll.BDH($C$136,$C$169,"FY"&amp;K$133,"FY"&amp;K$133,"Period=FY","CURRENCY= "&amp;Inputs!$D$13,"BEST_FPERIOD_OVERRIDE=FY","FILING_STATUS=MR","SCALING_FORMAT= " &amp;Inputs!$R$18,"FA_ADJUSTED=Adjusted","Sort=A","Dates=H","DateFormat=P","Fill=NA","Direction=H","UseDPDF=Y")</f>
        <v>1207.932</v>
      </c>
      <c r="L172" s="358">
        <f>_xll.BDH($C$136,$C$169,"FY"&amp;L$133,"FY"&amp;L$133,"Period=FY","CURRENCY= "&amp;Inputs!$D$13,"BEST_FPERIOD_OVERRIDE=FY","FILING_STATUS=MR","SCALING_FORMAT= " &amp;Inputs!$R$18,"FA_ADJUSTED=Adjusted","Sort=A","Dates=H","DateFormat=P","Fill=NA","Direction=H","UseDPDF=Y")</f>
        <v>1736.085</v>
      </c>
      <c r="M172" s="358">
        <f>_xll.BDH($C$136,$C$169,"FY"&amp;M$133,"FY"&amp;M$133,"Period=FY","CURRENCY= "&amp;Inputs!$D$13,"BEST_FPERIOD_OVERRIDE=FY","FILING_STATUS=MR","SCALING_FORMAT= " &amp;Inputs!$R$18,"FA_ADJUSTED=Adjusted","Sort=A","Dates=H","DateFormat=P","Fill=NA","Direction=H","UseDPDF=Y")</f>
        <v>2117.6390000000001</v>
      </c>
      <c r="N172" s="358">
        <f>_xll.BDH($C$136,$C$169,"FY"&amp;N$133,"FY"&amp;N$133,"Period=FY","CURRENCY= "&amp;Inputs!$D$13,"BEST_FPERIOD_OVERRIDE=FY","FILING_STATUS=MR","SCALING_FORMAT= " &amp;Inputs!$R$18,"FA_ADJUSTED=Adjusted","Sort=A","Dates=H","DateFormat=P","Fill=NA","Direction=H","UseDPDF=Y")</f>
        <v>2657.8</v>
      </c>
      <c r="O172" s="358"/>
      <c r="P172" s="358"/>
      <c r="Q172" s="358"/>
      <c r="R172" s="358"/>
      <c r="S172" s="358"/>
      <c r="T172" s="358"/>
      <c r="U172" s="358"/>
      <c r="V172" s="358"/>
      <c r="W172" s="358"/>
    </row>
    <row r="173" spans="2:23" ht="15" customHeight="1">
      <c r="B173" s="358" t="str">
        <f>+_xll.BDP(C173,"SHORT_NAME")</f>
        <v>REGIONAL MANAGEM</v>
      </c>
      <c r="C173" s="501" t="str">
        <f>+Inputs!$E$22</f>
        <v>RM US Equity</v>
      </c>
      <c r="D173" s="358"/>
      <c r="E173" s="359"/>
      <c r="F173" s="358"/>
      <c r="G173" s="358">
        <f>_xll.BDH($C$137,$C$169,"FY"&amp;G$133,"FY"&amp;G$133,"Period=FY","CURRENCY= "&amp;Inputs!$D$13,"BEST_FPERIOD_OVERRIDE=FY","FILING_STATUS=MR","SCALING_FORMAT= " &amp;Inputs!$R$18,"FA_ADJUSTED=Adjusted","Sort=A","Dates=H","DateFormat=P","Fill=NA","Direction=H","UseDPDF=Y")</f>
        <v>272.459</v>
      </c>
      <c r="H173" s="358">
        <f>_xll.BDH($C$137,$C$169,"FY"&amp;H$133,"FY"&amp;H$133,"Period=FY","CURRENCY= "&amp;Inputs!$D$13,"BEST_FPERIOD_OVERRIDE=FY","FILING_STATUS=MR","SCALING_FORMAT= " &amp;Inputs!$R$18,"FA_ADJUSTED=Adjusted","Sort=A","Dates=H","DateFormat=P","Fill=NA","Direction=H","UseDPDF=Y")</f>
        <v>306.70600000000002</v>
      </c>
      <c r="I173" s="358">
        <f>_xll.BDH($C$137,$C$169,"FY"&amp;I$133,"FY"&amp;I$133,"Period=FY","CURRENCY= "&amp;Inputs!$D$13,"BEST_FPERIOD_OVERRIDE=FY","FILING_STATUS=MR","SCALING_FORMAT= " &amp;Inputs!$R$18,"FA_ADJUSTED=Adjusted","Sort=A","Dates=H","DateFormat=P","Fill=NA","Direction=H","UseDPDF=Y")</f>
        <v>355.71300000000002</v>
      </c>
      <c r="J173" s="358">
        <f>_xll.BDH($C$137,$C$169,"FY"&amp;J$133,"FY"&amp;J$133,"Period=FY","CURRENCY= "&amp;Inputs!$D$13,"BEST_FPERIOD_OVERRIDE=FY","FILING_STATUS=MR","SCALING_FORMAT= " &amp;Inputs!$R$18,"FA_ADJUSTED=Adjusted","Sort=A","Dates=H","DateFormat=P","Fill=NA","Direction=H","UseDPDF=Y")</f>
        <v>373.90600000000001</v>
      </c>
      <c r="K173" s="358">
        <f>_xll.BDH($C$137,$C$169,"FY"&amp;K$133,"FY"&amp;K$133,"Period=FY","CURRENCY= "&amp;Inputs!$D$13,"BEST_FPERIOD_OVERRIDE=FY","FILING_STATUS=MR","SCALING_FORMAT= " &amp;Inputs!$R$18,"FA_ADJUSTED=Adjusted","Sort=A","Dates=H","DateFormat=P","Fill=NA","Direction=H","UseDPDF=Y")</f>
        <v>428.351</v>
      </c>
      <c r="L173" s="358">
        <f>_xll.BDH($C$137,$C$169,"FY"&amp;L$133,"FY"&amp;L$133,"Period=FY","CURRENCY= "&amp;Inputs!$D$13,"BEST_FPERIOD_OVERRIDE=FY","FILING_STATUS=MR","SCALING_FORMAT= " &amp;Inputs!$R$18,"FA_ADJUSTED=Adjusted","Sort=A","Dates=H","DateFormat=P","Fill=NA","Direction=H","UseDPDF=Y")</f>
        <v>507.18700000000001</v>
      </c>
      <c r="M173" s="358">
        <f>_xll.BDH($C$137,$C$169,"FY"&amp;M$133,"FY"&amp;M$133,"Period=FY","CURRENCY= "&amp;Inputs!$D$13,"BEST_FPERIOD_OVERRIDE=FY","FILING_STATUS=MR","SCALING_FORMAT= " &amp;Inputs!$R$18,"FA_ADJUSTED=Adjusted","Sort=A","Dates=H","DateFormat=P","Fill=NA","Direction=H","UseDPDF=Y")</f>
        <v>551.399</v>
      </c>
      <c r="N173" s="358">
        <f>_xll.BDH($C$137,$C$169,"FY"&amp;N$133,"FY"&amp;N$133,"Period=FY","CURRENCY= "&amp;Inputs!$D$13,"BEST_FPERIOD_OVERRIDE=FY","FILING_STATUS=MR","SCALING_FORMAT= " &amp;Inputs!$R$18,"FA_ADJUSTED=Adjusted","Sort=A","Dates=H","DateFormat=P","Fill=NA","Direction=H","UseDPDF=Y")</f>
        <v>588.50300000000004</v>
      </c>
      <c r="O173" s="358"/>
      <c r="P173" s="358"/>
      <c r="Q173" s="358"/>
      <c r="R173" s="358"/>
      <c r="S173" s="358"/>
      <c r="T173" s="358"/>
      <c r="U173" s="358"/>
      <c r="V173" s="358"/>
      <c r="W173" s="358"/>
    </row>
    <row r="174" spans="2:23" ht="15" customHeight="1">
      <c r="B174" s="358" t="str">
        <f>+_xll.BDP(C174,"SHORT_NAME")</f>
        <v>WORLD ACCEPTANCE</v>
      </c>
      <c r="C174" s="501" t="str">
        <f>+Inputs!$E$23</f>
        <v>WRLD US Equity</v>
      </c>
      <c r="D174" s="358"/>
      <c r="E174" s="359"/>
      <c r="F174" s="358"/>
      <c r="G174" s="358">
        <f>_xll.BDH($C$138,$C$169,"FY"&amp;G$133,"FY"&amp;G$133,"Period=FY","CURRENCY= "&amp;Inputs!$D$13,"BEST_FPERIOD_OVERRIDE=FY","FILING_STATUS=MR","SCALING_FORMAT= " &amp;Inputs!$R$18,"FA_ADJUSTED=Adjusted","Sort=A","Dates=H","DateFormat=P","Fill=NA","Direction=H","UseDPDF=Y")</f>
        <v>531.73469999999998</v>
      </c>
      <c r="H174" s="358">
        <f>_xll.BDH($C$138,$C$169,"FY"&amp;H$133,"FY"&amp;H$133,"Period=FY","CURRENCY= "&amp;Inputs!$D$13,"BEST_FPERIOD_OVERRIDE=FY","FILING_STATUS=MR","SCALING_FORMAT= " &amp;Inputs!$R$18,"FA_ADJUSTED=Adjusted","Sort=A","Dates=H","DateFormat=P","Fill=NA","Direction=H","UseDPDF=Y")</f>
        <v>502.66829999999999</v>
      </c>
      <c r="I174" s="358">
        <f>_xll.BDH($C$138,$C$169,"FY"&amp;I$133,"FY"&amp;I$133,"Period=FY","CURRENCY= "&amp;Inputs!$D$13,"BEST_FPERIOD_OVERRIDE=FY","FILING_STATUS=MR","SCALING_FORMAT= " &amp;Inputs!$R$18,"FA_ADJUSTED=Adjusted","Sort=A","Dates=H","DateFormat=P","Fill=NA","Direction=H","UseDPDF=Y")</f>
        <v>544.54290000000003</v>
      </c>
      <c r="J174" s="358">
        <f>_xll.BDH($C$138,$C$169,"FY"&amp;J$133,"FY"&amp;J$133,"Period=FY","CURRENCY= "&amp;Inputs!$D$13,"BEST_FPERIOD_OVERRIDE=FY","FILING_STATUS=MR","SCALING_FORMAT= " &amp;Inputs!$R$18,"FA_ADJUSTED=Adjusted","Sort=A","Dates=H","DateFormat=P","Fill=NA","Direction=H","UseDPDF=Y")</f>
        <v>590.029</v>
      </c>
      <c r="K174" s="358">
        <f>_xll.BDH($C$138,$C$169,"FY"&amp;K$133,"FY"&amp;K$133,"Period=FY","CURRENCY= "&amp;Inputs!$D$13,"BEST_FPERIOD_OVERRIDE=FY","FILING_STATUS=MR","SCALING_FORMAT= " &amp;Inputs!$R$18,"FA_ADJUSTED=Adjusted","Sort=A","Dates=H","DateFormat=P","Fill=NA","Direction=H","UseDPDF=Y")</f>
        <v>525.53330000000005</v>
      </c>
      <c r="L174" s="358">
        <f>_xll.BDH($C$138,$C$169,"FY"&amp;L$133,"FY"&amp;L$133,"Period=FY","CURRENCY= "&amp;Inputs!$D$13,"BEST_FPERIOD_OVERRIDE=FY","FILING_STATUS=MR","SCALING_FORMAT= " &amp;Inputs!$R$18,"FA_ADJUSTED=Adjusted","Sort=A","Dates=H","DateFormat=P","Fill=NA","Direction=H","UseDPDF=Y")</f>
        <v>582.38750000000005</v>
      </c>
      <c r="M174" s="358">
        <f>_xll.BDH($C$138,$C$169,"FY"&amp;M$133,"FY"&amp;M$133,"Period=FY","CURRENCY= "&amp;Inputs!$D$13,"BEST_FPERIOD_OVERRIDE=FY","FILING_STATUS=MR","SCALING_FORMAT= " &amp;Inputs!$R$18,"FA_ADJUSTED=Adjusted","Sort=A","Dates=H","DateFormat=P","Fill=NA","Direction=H","UseDPDF=Y")</f>
        <v>616.54539999999997</v>
      </c>
      <c r="N174" s="358">
        <f>_xll.BDH($C$138,$C$169,"FY"&amp;N$133,"FY"&amp;N$133,"Period=FY","CURRENCY= "&amp;Inputs!$D$13,"BEST_FPERIOD_OVERRIDE=FY","FILING_STATUS=MR","SCALING_FORMAT= " &amp;Inputs!$R$18,"FA_ADJUSTED=Adjusted","Sort=A","Dates=H","DateFormat=P","Fill=NA","Direction=H","UseDPDF=Y")</f>
        <v>573.21339999999998</v>
      </c>
      <c r="O174" s="358"/>
      <c r="P174" s="358"/>
      <c r="Q174" s="358"/>
      <c r="R174" s="358"/>
      <c r="S174" s="358"/>
      <c r="T174" s="358"/>
      <c r="U174" s="358"/>
      <c r="V174" s="358"/>
      <c r="W174" s="358"/>
    </row>
    <row r="175" spans="2:23" ht="15" customHeight="1">
      <c r="B175" s="358" t="str">
        <f>+_xll.BDP(C175,"SHORT_NAME")</f>
        <v>EZCORP INC-A</v>
      </c>
      <c r="C175" s="501" t="str">
        <f>+Inputs!$E$24</f>
        <v>EZPW US Equity</v>
      </c>
      <c r="D175" s="358"/>
      <c r="E175" s="359"/>
      <c r="F175" s="358"/>
      <c r="G175" s="358">
        <f>_xll.BDH($C$139,$C$169,"FY"&amp;G$133,"FY"&amp;G$133,"Period=FY","CURRENCY= "&amp;Inputs!$D$13,"BEST_FPERIOD_OVERRIDE=FY","FILING_STATUS=MR","SCALING_FORMAT= " &amp;Inputs!$R$18,"FA_ADJUSTED=Adjusted","Sort=A","Dates=H","DateFormat=P","Fill=NA","Direction=H","UseDPDF=Y")</f>
        <v>747.95399999999995</v>
      </c>
      <c r="H175" s="358">
        <f>_xll.BDH($C$139,$C$169,"FY"&amp;H$133,"FY"&amp;H$133,"Period=FY","CURRENCY= "&amp;Inputs!$D$13,"BEST_FPERIOD_OVERRIDE=FY","FILING_STATUS=MR","SCALING_FORMAT= " &amp;Inputs!$R$18,"FA_ADJUSTED=Adjusted","Sort=A","Dates=H","DateFormat=P","Fill=NA","Direction=H","UseDPDF=Y")</f>
        <v>812.15599999999995</v>
      </c>
      <c r="I175" s="358">
        <f>_xll.BDH($C$139,$C$169,"FY"&amp;I$133,"FY"&amp;I$133,"Period=FY","CURRENCY= "&amp;Inputs!$D$13,"BEST_FPERIOD_OVERRIDE=FY","FILING_STATUS=MR","SCALING_FORMAT= " &amp;Inputs!$R$18,"FA_ADJUSTED=Adjusted","Sort=A","Dates=H","DateFormat=P","Fill=NA","Direction=H","UseDPDF=Y")</f>
        <v>847.22900000000004</v>
      </c>
      <c r="J175" s="358">
        <f>_xll.BDH($C$139,$C$169,"FY"&amp;J$133,"FY"&amp;J$133,"Period=FY","CURRENCY= "&amp;Inputs!$D$13,"BEST_FPERIOD_OVERRIDE=FY","FILING_STATUS=MR","SCALING_FORMAT= " &amp;Inputs!$R$18,"FA_ADJUSTED=Adjusted","Sort=A","Dates=H","DateFormat=P","Fill=NA","Direction=H","UseDPDF=Y")</f>
        <v>822.81100000000004</v>
      </c>
      <c r="K175" s="358">
        <f>_xll.BDH($C$139,$C$169,"FY"&amp;K$133,"FY"&amp;K$133,"Period=FY","CURRENCY= "&amp;Inputs!$D$13,"BEST_FPERIOD_OVERRIDE=FY","FILING_STATUS=MR","SCALING_FORMAT= " &amp;Inputs!$R$18,"FA_ADJUSTED=Adjusted","Sort=A","Dates=H","DateFormat=P","Fill=NA","Direction=H","UseDPDF=Y")</f>
        <v>729.55100000000004</v>
      </c>
      <c r="L175" s="358">
        <f>_xll.BDH($C$139,$C$169,"FY"&amp;L$133,"FY"&amp;L$133,"Period=FY","CURRENCY= "&amp;Inputs!$D$13,"BEST_FPERIOD_OVERRIDE=FY","FILING_STATUS=MR","SCALING_FORMAT= " &amp;Inputs!$R$18,"FA_ADJUSTED=Adjusted","Sort=A","Dates=H","DateFormat=P","Fill=NA","Direction=H","UseDPDF=Y")</f>
        <v>886.22500000000002</v>
      </c>
      <c r="M175" s="358">
        <f>_xll.BDH($C$139,$C$169,"FY"&amp;M$133,"FY"&amp;M$133,"Period=FY","CURRENCY= "&amp;Inputs!$D$13,"BEST_FPERIOD_OVERRIDE=FY","FILING_STATUS=MR","SCALING_FORMAT= " &amp;Inputs!$R$18,"FA_ADJUSTED=Adjusted","Sort=A","Dates=H","DateFormat=P","Fill=NA","Direction=H","UseDPDF=Y")</f>
        <v>1049.0409999999999</v>
      </c>
      <c r="N175" s="358">
        <f>_xll.BDH($C$139,$C$169,"FY"&amp;N$133,"FY"&amp;N$133,"Period=FY","CURRENCY= "&amp;Inputs!$D$13,"BEST_FPERIOD_OVERRIDE=FY","FILING_STATUS=MR","SCALING_FORMAT= " &amp;Inputs!$R$18,"FA_ADJUSTED=Adjusted","Sort=A","Dates=H","DateFormat=P","Fill=NA","Direction=H","UseDPDF=Y")</f>
        <v>1161.6020000000001</v>
      </c>
      <c r="O175" s="358"/>
      <c r="P175" s="358"/>
      <c r="Q175" s="358"/>
      <c r="R175" s="358"/>
      <c r="S175" s="358"/>
      <c r="T175" s="358"/>
      <c r="U175" s="358"/>
      <c r="V175" s="358"/>
      <c r="W175" s="358"/>
    </row>
    <row r="176" spans="2:23" ht="15" customHeight="1">
      <c r="B176" s="358" t="str">
        <f>+_xll.BDP(C176,"SHORT_NAME")</f>
        <v>ONEMAIN HOLDINGS</v>
      </c>
      <c r="C176" s="501" t="str">
        <f>+Inputs!$E$25</f>
        <v>OMF US Equity</v>
      </c>
      <c r="D176" s="358"/>
      <c r="E176" s="359"/>
      <c r="F176" s="358"/>
      <c r="G176" s="358">
        <f>_xll.BDH($C$140,$C$169,"FY"&amp;G$133,"FY"&amp;G$133,"Period=FY","CURRENCY= "&amp;Inputs!$D$13,"BEST_FPERIOD_OVERRIDE=FY","FILING_STATUS=MR","SCALING_FORMAT= " &amp;Inputs!$R$18,"FA_ADJUSTED=Adjusted","Sort=A","Dates=H","DateFormat=P","Fill=NA","Direction=H","UseDPDF=Y")</f>
        <v>3756</v>
      </c>
      <c r="H176" s="358">
        <f>_xll.BDH($C$140,$C$169,"FY"&amp;H$133,"FY"&amp;H$133,"Period=FY","CURRENCY= "&amp;Inputs!$D$13,"BEST_FPERIOD_OVERRIDE=FY","FILING_STATUS=MR","SCALING_FORMAT= " &amp;Inputs!$R$18,"FA_ADJUSTED=Adjusted","Sort=A","Dates=H","DateFormat=P","Fill=NA","Direction=H","UseDPDF=Y")</f>
        <v>4232</v>
      </c>
      <c r="I176" s="358">
        <f>_xll.BDH($C$140,$C$169,"FY"&amp;I$133,"FY"&amp;I$133,"Period=FY","CURRENCY= "&amp;Inputs!$D$13,"BEST_FPERIOD_OVERRIDE=FY","FILING_STATUS=MR","SCALING_FORMAT= " &amp;Inputs!$R$18,"FA_ADJUSTED=Adjusted","Sort=A","Dates=H","DateFormat=P","Fill=NA","Direction=H","UseDPDF=Y")</f>
        <v>4784</v>
      </c>
      <c r="J176" s="358">
        <f>_xll.BDH($C$140,$C$169,"FY"&amp;J$133,"FY"&amp;J$133,"Period=FY","CURRENCY= "&amp;Inputs!$D$13,"BEST_FPERIOD_OVERRIDE=FY","FILING_STATUS=MR","SCALING_FORMAT= " &amp;Inputs!$R$18,"FA_ADJUSTED=Adjusted","Sort=A","Dates=H","DateFormat=P","Fill=NA","Direction=H","UseDPDF=Y")</f>
        <v>4894</v>
      </c>
      <c r="K176" s="358">
        <f>_xll.BDH($C$140,$C$169,"FY"&amp;K$133,"FY"&amp;K$133,"Period=FY","CURRENCY= "&amp;Inputs!$D$13,"BEST_FPERIOD_OVERRIDE=FY","FILING_STATUS=MR","SCALING_FORMAT= " &amp;Inputs!$R$18,"FA_ADJUSTED=Adjusted","Sort=A","Dates=H","DateFormat=P","Fill=NA","Direction=H","UseDPDF=Y")</f>
        <v>4895</v>
      </c>
      <c r="L176" s="358">
        <f>_xll.BDH($C$140,$C$169,"FY"&amp;L$133,"FY"&amp;L$133,"Period=FY","CURRENCY= "&amp;Inputs!$D$13,"BEST_FPERIOD_OVERRIDE=FY","FILING_STATUS=MR","SCALING_FORMAT= " &amp;Inputs!$R$18,"FA_ADJUSTED=Adjusted","Sort=A","Dates=H","DateFormat=P","Fill=NA","Direction=H","UseDPDF=Y")</f>
        <v>5064</v>
      </c>
      <c r="M176" s="358">
        <f>_xll.BDH($C$140,$C$169,"FY"&amp;M$133,"FY"&amp;M$133,"Period=FY","CURRENCY= "&amp;Inputs!$D$13,"BEST_FPERIOD_OVERRIDE=FY","FILING_STATUS=MR","SCALING_FORMAT= " &amp;Inputs!$R$18,"FA_ADJUSTED=Adjusted","Sort=A","Dates=H","DateFormat=P","Fill=NA","Direction=H","UseDPDF=Y")</f>
        <v>5299</v>
      </c>
      <c r="N176" s="358">
        <f>_xll.BDH($C$140,$C$169,"FY"&amp;N$133,"FY"&amp;N$133,"Period=FY","CURRENCY= "&amp;Inputs!$D$13,"BEST_FPERIOD_OVERRIDE=FY","FILING_STATUS=MR","SCALING_FORMAT= " &amp;Inputs!$R$18,"FA_ADJUSTED=Adjusted","Sort=A","Dates=H","DateFormat=P","Fill=NA","Direction=H","UseDPDF=Y")</f>
        <v>5722</v>
      </c>
      <c r="O176" s="358"/>
      <c r="P176" s="358"/>
      <c r="Q176" s="358"/>
      <c r="R176" s="358"/>
      <c r="S176" s="358"/>
      <c r="T176" s="358"/>
      <c r="U176" s="358"/>
      <c r="V176" s="358"/>
      <c r="W176" s="358"/>
    </row>
  </sheetData>
  <pageMargins left="0.7" right="0.7" top="0.75" bottom="0.75" header="0.3" footer="0.3"/>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A8FC0-88C7-4D42-A532-F3F4B893DF85}">
  <sheetPr>
    <tabColor theme="4" tint="-0.499984740745262"/>
  </sheetPr>
  <dimension ref="A1"/>
  <sheetViews>
    <sheetView workbookViewId="0"/>
  </sheetViews>
  <sheetFormatPr baseColWidth="10" defaultColWidth="11" defaultRowHeight="14"/>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AB3" zoomScaleNormal="100" workbookViewId="0">
      <selection activeCell="V46" sqref="V46"/>
    </sheetView>
  </sheetViews>
  <sheetFormatPr baseColWidth="10" defaultColWidth="9" defaultRowHeight="14"/>
  <cols>
    <col min="1" max="1" width="9" style="4"/>
    <col min="2" max="2" width="10.5" style="4" bestFit="1" customWidth="1"/>
    <col min="3" max="8" width="9.1640625" style="4" bestFit="1" customWidth="1"/>
    <col min="9" max="9" width="10.5" style="4" bestFit="1" customWidth="1"/>
    <col min="10" max="15" width="9.1640625" style="4" bestFit="1" customWidth="1"/>
    <col min="16" max="16" width="9" style="4"/>
    <col min="17" max="17" width="11.5" style="4" bestFit="1" customWidth="1"/>
    <col min="18" max="23" width="9.1640625" style="4" bestFit="1" customWidth="1"/>
    <col min="24" max="24" width="9" style="4"/>
    <col min="25" max="30" width="9.1640625" style="4" bestFit="1" customWidth="1"/>
    <col min="31" max="31" width="9" style="4"/>
    <col min="32" max="37" width="9.1640625" style="4" bestFit="1" customWidth="1"/>
    <col min="38" max="38" width="9" style="4"/>
    <col min="39" max="39" width="9.1640625" style="4" bestFit="1" customWidth="1"/>
    <col min="40" max="40" width="11" style="4" bestFit="1" customWidth="1"/>
    <col min="41" max="41" width="12.1640625" style="4" bestFit="1" customWidth="1"/>
    <col min="42" max="42" width="13.33203125" style="4" bestFit="1" customWidth="1"/>
    <col min="43" max="43" width="12.6640625" style="4" bestFit="1" customWidth="1"/>
    <col min="44" max="44" width="9.1640625" style="4" bestFit="1" customWidth="1"/>
    <col min="45" max="16384" width="9" style="4"/>
  </cols>
  <sheetData>
    <row r="3" spans="2:44">
      <c r="B3" s="526"/>
      <c r="C3" s="825" t="s">
        <v>676</v>
      </c>
      <c r="D3" s="825"/>
      <c r="E3" s="825"/>
      <c r="F3" s="825"/>
      <c r="G3" s="825"/>
      <c r="H3" s="825"/>
      <c r="I3" s="526"/>
      <c r="J3" s="825" t="s">
        <v>681</v>
      </c>
      <c r="K3" s="825"/>
      <c r="L3" s="825"/>
      <c r="M3" s="825"/>
      <c r="N3" s="825"/>
      <c r="O3" s="825"/>
      <c r="P3" s="526"/>
      <c r="R3" s="826" t="s">
        <v>724</v>
      </c>
      <c r="S3" s="826"/>
      <c r="T3" s="826"/>
      <c r="U3" s="826"/>
      <c r="V3" s="826"/>
      <c r="W3" s="826"/>
      <c r="Y3" s="825" t="s">
        <v>725</v>
      </c>
      <c r="Z3" s="825"/>
      <c r="AA3" s="825"/>
      <c r="AB3" s="825"/>
      <c r="AC3" s="825"/>
      <c r="AD3" s="825"/>
      <c r="AF3" s="825" t="s">
        <v>726</v>
      </c>
      <c r="AG3" s="825"/>
      <c r="AH3" s="825"/>
      <c r="AI3" s="825"/>
      <c r="AJ3" s="825"/>
      <c r="AK3" s="825"/>
      <c r="AN3" s="527" t="s">
        <v>298</v>
      </c>
      <c r="AO3" s="527" t="s">
        <v>727</v>
      </c>
      <c r="AP3" s="527" t="s">
        <v>708</v>
      </c>
      <c r="AQ3" s="527" t="s">
        <v>709</v>
      </c>
      <c r="AR3" s="527" t="s">
        <v>710</v>
      </c>
    </row>
    <row r="4" spans="2:44">
      <c r="B4" s="526"/>
      <c r="C4" s="4" t="str">
        <f>+Inputs!B62</f>
        <v>OPFI US Equity</v>
      </c>
      <c r="D4" s="4" t="str">
        <f>+Inputs!B73</f>
        <v>ENVA US Equity</v>
      </c>
      <c r="E4" s="4" t="str">
        <f>+Inputs!B84</f>
        <v>RM US Equity</v>
      </c>
      <c r="F4" s="4" t="str">
        <f>+Inputs!B95</f>
        <v>WRLD US Equity</v>
      </c>
      <c r="G4" s="4" t="str">
        <f>+Inputs!B106</f>
        <v>EZPW US Equity</v>
      </c>
      <c r="H4" s="4" t="str">
        <f>+Inputs!B117</f>
        <v>OMF US Equity</v>
      </c>
      <c r="I4" s="526"/>
      <c r="J4" s="4" t="str">
        <f t="shared" ref="J4:O4" si="0">+C4</f>
        <v>OPFI US Equity</v>
      </c>
      <c r="K4" s="4" t="str">
        <f t="shared" si="0"/>
        <v>ENVA US Equity</v>
      </c>
      <c r="L4" s="4" t="str">
        <f t="shared" si="0"/>
        <v>RM US Equity</v>
      </c>
      <c r="M4" s="4" t="str">
        <f t="shared" si="0"/>
        <v>WRLD US Equity</v>
      </c>
      <c r="N4" s="4" t="str">
        <f t="shared" si="0"/>
        <v>EZPW US Equity</v>
      </c>
      <c r="O4" s="4" t="str">
        <f t="shared" si="0"/>
        <v>OMF US Equity</v>
      </c>
      <c r="P4" s="526"/>
      <c r="R4" s="4" t="s">
        <v>679</v>
      </c>
      <c r="S4" s="4" t="s">
        <v>672</v>
      </c>
      <c r="T4" s="4" t="s">
        <v>677</v>
      </c>
      <c r="U4" s="4" t="s">
        <v>679</v>
      </c>
      <c r="V4" s="4" t="s">
        <v>672</v>
      </c>
      <c r="W4" s="4" t="s">
        <v>677</v>
      </c>
      <c r="Y4" s="4" t="str">
        <f t="shared" ref="Y4:AD4" si="1">+J4</f>
        <v>OPFI US Equity</v>
      </c>
      <c r="Z4" s="4" t="str">
        <f t="shared" si="1"/>
        <v>ENVA US Equity</v>
      </c>
      <c r="AA4" s="4" t="str">
        <f t="shared" si="1"/>
        <v>RM US Equity</v>
      </c>
      <c r="AB4" s="4" t="str">
        <f t="shared" si="1"/>
        <v>WRLD US Equity</v>
      </c>
      <c r="AC4" s="4" t="str">
        <f t="shared" si="1"/>
        <v>EZPW US Equity</v>
      </c>
      <c r="AD4" s="4" t="str">
        <f t="shared" si="1"/>
        <v>OMF US Equity</v>
      </c>
      <c r="AF4" s="4" t="str">
        <f t="shared" ref="AF4:AK4" si="2">+Y4</f>
        <v>OPFI US Equity</v>
      </c>
      <c r="AG4" s="4" t="str">
        <f t="shared" si="2"/>
        <v>ENVA US Equity</v>
      </c>
      <c r="AH4" s="4" t="str">
        <f t="shared" si="2"/>
        <v>RM US Equity</v>
      </c>
      <c r="AI4" s="4" t="str">
        <f t="shared" si="2"/>
        <v>WRLD US Equity</v>
      </c>
      <c r="AJ4" s="4" t="str">
        <f t="shared" si="2"/>
        <v>EZPW US Equity</v>
      </c>
      <c r="AK4" s="4" t="str">
        <f t="shared" si="2"/>
        <v>OMF US Equity</v>
      </c>
      <c r="AM4" s="528">
        <v>45908</v>
      </c>
      <c r="AN4" s="529">
        <v>10.345000000000001</v>
      </c>
      <c r="AO4" s="529">
        <v>0</v>
      </c>
      <c r="AP4" s="529">
        <v>0</v>
      </c>
      <c r="AQ4" s="529">
        <v>-296.62352940000005</v>
      </c>
      <c r="AR4" s="529">
        <v>0</v>
      </c>
    </row>
    <row r="5" spans="2:44">
      <c r="B5" s="530">
        <f ca="1">+TODAY()</f>
        <v>45951</v>
      </c>
      <c r="C5" s="526">
        <f ca="1">(IFERROR(IFERROR(VALUE(_xll.BDH(C$4,"CURRENT_EV_TO_T12M_EBITDA",$B5,$B5)),VALUE(_xll.BDH(C$4,"CURRENT_EV_TO_T12M_EBITDA",$B5+1,$B5+1))),C6))</f>
        <v>0</v>
      </c>
      <c r="D5" s="526">
        <f ca="1">(IFERROR(IFERROR(VALUE(_xll.BDH(D$4,"CURRENT_EV_TO_T12M_EBITDA",$B5,$B5)),VALUE(_xll.BDH(D$4,"CURRENT_EV_TO_T12M_EBITDA",$B5+1,$B5+1))),D6))</f>
        <v>0</v>
      </c>
      <c r="E5" s="526">
        <f ca="1">(IFERROR(IFERROR(VALUE(_xll.BDH(E$4,"CURRENT_EV_TO_T12M_EBITDA",$B5,$B5)),VALUE(_xll.BDH(E$4,"CURRENT_EV_TO_T12M_EBITDA",$B5+1,$B5+1))),E6))</f>
        <v>0</v>
      </c>
      <c r="F5" s="526">
        <f ca="1">(IFERROR(IFERROR(VALUE(_xll.BDH(F$4,"CURRENT_EV_TO_T12M_EBITDA",$B5,$B5)),VALUE(_xll.BDH(F$4,"CURRENT_EV_TO_T12M_EBITDA",$B5+1,$B5+1))),F6))</f>
        <v>0</v>
      </c>
      <c r="G5" s="526">
        <f ca="1">(IFERROR(IFERROR(VALUE(_xll.BDH(G$4,"CURRENT_EV_TO_T12M_EBITDA",$B5,$B5)),VALUE(_xll.BDH(G$4,"CURRENT_EV_TO_T12M_EBITDA",$B5+1,$B5+1))),G6))</f>
        <v>0</v>
      </c>
      <c r="H5" s="526">
        <f ca="1">(IFERROR(IFERROR(VALUE(_xll.BDH(H$4,"CURRENT_EV_TO_T12M_EBITDA",$B5,$B5)),VALUE(_xll.BDH(H$4,"CURRENT_EV_TO_T12M_EBITDA",$B5+1,$B5+1))),H6))</f>
        <v>0</v>
      </c>
      <c r="I5" s="530">
        <f t="shared" ref="I5:I36" ca="1" si="3">+B5</f>
        <v>45951</v>
      </c>
      <c r="J5" s="526">
        <f ca="1">(IFERROR(IFERROR(VALUE(_xll.BDH(J$4,"PE_RATIO",$B5,$B5)),VALUE(_xll.BDH(J$4,"PE_RATIO",$B5+1,$B5+1))),J6))</f>
        <v>0</v>
      </c>
      <c r="K5" s="526">
        <f ca="1">(IFERROR(IFERROR(VALUE(_xll.BDH(K$4,"PE_RATIO",$B5,$B5)),VALUE(_xll.BDH(K$4,"PE_RATIO",$B5+1,$B5+1))),K6))</f>
        <v>0</v>
      </c>
      <c r="L5" s="526">
        <f ca="1">(IFERROR(IFERROR(VALUE(_xll.BDH(L$4,"PE_RATIO",$B5,$B5)),VALUE(_xll.BDH(L$4,"PE_RATIO",$B5+1,$B5+1))),L6))</f>
        <v>0</v>
      </c>
      <c r="M5" s="526">
        <f ca="1">(IFERROR(IFERROR(VALUE(_xll.BDH(M$4,"PE_RATIO",$B5,$B5)),VALUE(_xll.BDH(M$4,"PE_RATIO",$B5+1,$B5+1))),M6))</f>
        <v>0</v>
      </c>
      <c r="N5" s="526">
        <f ca="1">(IFERROR(IFERROR(VALUE(_xll.BDH(N$4,"PE_RATIO",$B5,$B5)),VALUE(_xll.BDH(N$4,"PE_RATIO",$B5+1,$B5+1))),N6))</f>
        <v>0</v>
      </c>
      <c r="O5" s="526">
        <f ca="1">(IFERROR(IFERROR(VALUE(_xll.BDH(O$4,"PE_RATIO",$B5,$B5)),VALUE(_xll.BDH(O$4,"PE_RATIO",$B5+1,$B5+1))),O6))</f>
        <v>0</v>
      </c>
      <c r="P5" s="526"/>
      <c r="Q5" s="530">
        <v>45908</v>
      </c>
      <c r="R5" s="4">
        <v>10.4</v>
      </c>
      <c r="S5" s="4">
        <v>23425.61</v>
      </c>
      <c r="T5" s="4">
        <v>8191.57</v>
      </c>
      <c r="U5" s="4">
        <v>4.5414847161572052</v>
      </c>
      <c r="V5" s="4">
        <v>2.0815159972667763</v>
      </c>
      <c r="W5" s="4">
        <v>2.1543553557949995</v>
      </c>
      <c r="Y5" s="526">
        <f t="shared" ref="Y5:Y36" si="4">+R5</f>
        <v>10.4</v>
      </c>
      <c r="Z5" s="4">
        <f>IFERROR(VALUE(_xll.BDH(Z$4,"PX_LAST",$Q5,$Q5)),Z6)</f>
        <v>118.38</v>
      </c>
      <c r="AA5" s="4">
        <f>IFERROR(VALUE(_xll.BDH(AA$4,"PX_LAST",$Q5,$Q5)),AA6)</f>
        <v>43.22</v>
      </c>
      <c r="AB5" s="4">
        <f>IFERROR(VALUE(_xll.BDH(AB$4,"PX_LAST",$Q5,$Q5)),AB6)</f>
        <v>172.14</v>
      </c>
      <c r="AC5" s="4">
        <f>IFERROR(VALUE(_xll.BDH(AC$4,"PX_LAST",$Q5,$Q5)),AC6)</f>
        <v>17.079999999999998</v>
      </c>
      <c r="AD5" s="4">
        <f>IFERROR(VALUE(_xll.BDH(AD$4,"PX_LAST",$Q5,$Q5)),AD6)</f>
        <v>61.13</v>
      </c>
      <c r="AF5" s="4">
        <f t="shared" ref="AF5:AF36" si="5">+Y5/Y$159</f>
        <v>4.5414847161572052</v>
      </c>
      <c r="AG5" s="4">
        <f t="shared" ref="AG5:AG36" si="6">+Z5/Z$159</f>
        <v>4.0088046054859463</v>
      </c>
      <c r="AH5" s="4">
        <f t="shared" ref="AH5:AH36" si="7">+AA5/AA$159</f>
        <v>1.5207600281491906</v>
      </c>
      <c r="AI5" s="4">
        <f t="shared" ref="AI5:AI36" si="8">+AB5/AB$159</f>
        <v>1.8454116638078901</v>
      </c>
      <c r="AJ5" s="4">
        <f t="shared" ref="AJ5:AJ36" si="9">+AC5/AC$159</f>
        <v>2.1270236612702367</v>
      </c>
      <c r="AK5" s="4">
        <f t="shared" ref="AK5:AK36" si="10">+AD5/AD$159</f>
        <v>2.0927764464224583</v>
      </c>
      <c r="AM5" s="528">
        <v>45907</v>
      </c>
      <c r="AN5" s="529">
        <v>10.46</v>
      </c>
      <c r="AO5" s="529">
        <v>-1118932</v>
      </c>
      <c r="AP5" s="529">
        <v>-56.715780000000002</v>
      </c>
      <c r="AQ5" s="529">
        <v>-889.87058820000016</v>
      </c>
      <c r="AR5" s="529">
        <v>-0.85919999999999996</v>
      </c>
    </row>
    <row r="6" spans="2:44">
      <c r="B6" s="530">
        <f t="shared" ref="B6:B37" ca="1" si="11">+B5-7</f>
        <v>45944</v>
      </c>
      <c r="C6" s="526">
        <f ca="1">(IFERROR(IFERROR(VALUE(_xll.BDH(C$4,"CURRENT_EV_TO_T12M_EBITDA",$B6,$B6)),VALUE(_xll.BDH(C$4,"CURRENT_EV_TO_T12M_EBITDA",$B6+1,$B6+1))),C7))</f>
        <v>0</v>
      </c>
      <c r="D6" s="526">
        <f ca="1">(IFERROR(IFERROR(VALUE(_xll.BDH(D$4,"CURRENT_EV_TO_T12M_EBITDA",$B6,$B6)),VALUE(_xll.BDH(D$4,"CURRENT_EV_TO_T12M_EBITDA",$B6+1,$B6+1))),D7))</f>
        <v>0</v>
      </c>
      <c r="E6" s="526">
        <f ca="1">(IFERROR(IFERROR(VALUE(_xll.BDH(E$4,"CURRENT_EV_TO_T12M_EBITDA",$B6,$B6)),VALUE(_xll.BDH(E$4,"CURRENT_EV_TO_T12M_EBITDA",$B6+1,$B6+1))),E7))</f>
        <v>0</v>
      </c>
      <c r="F6" s="526">
        <f ca="1">(IFERROR(IFERROR(VALUE(_xll.BDH(F$4,"CURRENT_EV_TO_T12M_EBITDA",$B6,$B6)),VALUE(_xll.BDH(F$4,"CURRENT_EV_TO_T12M_EBITDA",$B6+1,$B6+1))),F7))</f>
        <v>0</v>
      </c>
      <c r="G6" s="526">
        <f ca="1">(IFERROR(IFERROR(VALUE(_xll.BDH(G$4,"CURRENT_EV_TO_T12M_EBITDA",$B6,$B6)),VALUE(_xll.BDH(G$4,"CURRENT_EV_TO_T12M_EBITDA",$B6+1,$B6+1))),G7))</f>
        <v>0</v>
      </c>
      <c r="H6" s="526">
        <f ca="1">(IFERROR(IFERROR(VALUE(_xll.BDH(H$4,"CURRENT_EV_TO_T12M_EBITDA",$B6,$B6)),VALUE(_xll.BDH(H$4,"CURRENT_EV_TO_T12M_EBITDA",$B6+1,$B6+1))),H7))</f>
        <v>0</v>
      </c>
      <c r="I6" s="530">
        <f t="shared" ca="1" si="3"/>
        <v>45944</v>
      </c>
      <c r="J6" s="526">
        <f ca="1">(IFERROR(IFERROR(VALUE(_xll.BDH(J$4,"PE_RATIO",$B6,$B6)),VALUE(_xll.BDH(J$4,"PE_RATIO",$B6+1,$B6+1))),J7))</f>
        <v>0</v>
      </c>
      <c r="K6" s="526">
        <f ca="1">(IFERROR(IFERROR(VALUE(_xll.BDH(K$4,"PE_RATIO",$B6,$B6)),VALUE(_xll.BDH(K$4,"PE_RATIO",$B6+1,$B6+1))),K7))</f>
        <v>0</v>
      </c>
      <c r="L6" s="526">
        <f ca="1">(IFERROR(IFERROR(VALUE(_xll.BDH(L$4,"PE_RATIO",$B6,$B6)),VALUE(_xll.BDH(L$4,"PE_RATIO",$B6+1,$B6+1))),L7))</f>
        <v>0</v>
      </c>
      <c r="M6" s="526">
        <f ca="1">(IFERROR(IFERROR(VALUE(_xll.BDH(M$4,"PE_RATIO",$B6,$B6)),VALUE(_xll.BDH(M$4,"PE_RATIO",$B6+1,$B6+1))),M7))</f>
        <v>0</v>
      </c>
      <c r="N6" s="526">
        <f ca="1">(IFERROR(IFERROR(VALUE(_xll.BDH(N$4,"PE_RATIO",$B6,$B6)),VALUE(_xll.BDH(N$4,"PE_RATIO",$B6+1,$B6+1))),N7))</f>
        <v>0</v>
      </c>
      <c r="O6" s="526">
        <f ca="1">(IFERROR(IFERROR(VALUE(_xll.BDH(O$4,"PE_RATIO",$B6,$B6)),VALUE(_xll.BDH(O$4,"PE_RATIO",$B6+1,$B6+1))),O7))</f>
        <v>0</v>
      </c>
      <c r="P6" s="526"/>
      <c r="Q6" s="530">
        <v>45901</v>
      </c>
      <c r="R6" s="4">
        <v>9.9700000000000006</v>
      </c>
      <c r="S6" s="4">
        <v>23425.61</v>
      </c>
      <c r="T6" s="4">
        <v>8183.88</v>
      </c>
      <c r="U6" s="4">
        <v>4.3537117903930129</v>
      </c>
      <c r="V6" s="4">
        <v>2.0815159972667763</v>
      </c>
      <c r="W6" s="4">
        <v>2.15233291166206</v>
      </c>
      <c r="Y6" s="526">
        <f t="shared" si="4"/>
        <v>9.9700000000000006</v>
      </c>
      <c r="Z6" s="4">
        <f>IFERROR(VALUE(_xll.BDH(Z$4,"PX_LAST",$Q6,$Q6)),Z7)</f>
        <v>114.61</v>
      </c>
      <c r="AA6" s="4">
        <f>IFERROR(VALUE(_xll.BDH(AA$4,"PX_LAST",$Q6,$Q6)),AA7)</f>
        <v>40.98</v>
      </c>
      <c r="AB6" s="4">
        <f>IFERROR(VALUE(_xll.BDH(AB$4,"PX_LAST",$Q6,$Q6)),AB7)</f>
        <v>170.46</v>
      </c>
      <c r="AC6" s="4">
        <f>IFERROR(VALUE(_xll.BDH(AC$4,"PX_LAST",$Q6,$Q6)),AC7)</f>
        <v>16.22</v>
      </c>
      <c r="AD6" s="4">
        <f>IFERROR(VALUE(_xll.BDH(AD$4,"PX_LAST",$Q6,$Q6)),AD7)</f>
        <v>60.18</v>
      </c>
      <c r="AF6" s="4">
        <f t="shared" si="5"/>
        <v>4.3537117903930129</v>
      </c>
      <c r="AG6" s="4">
        <f t="shared" si="6"/>
        <v>3.8811378259397222</v>
      </c>
      <c r="AH6" s="4">
        <f t="shared" si="7"/>
        <v>1.4419422941590427</v>
      </c>
      <c r="AI6" s="4">
        <f t="shared" si="8"/>
        <v>1.8274013722126929</v>
      </c>
      <c r="AJ6" s="4">
        <f t="shared" si="9"/>
        <v>2.0199252801992529</v>
      </c>
      <c r="AK6" s="4">
        <f t="shared" si="10"/>
        <v>2.0602533378979802</v>
      </c>
      <c r="AM6" s="528">
        <v>45906</v>
      </c>
      <c r="AN6" s="529">
        <v>10.46</v>
      </c>
      <c r="AO6" s="529">
        <v>-559466</v>
      </c>
      <c r="AP6" s="529">
        <v>-28.357890000000001</v>
      </c>
      <c r="AQ6" s="529">
        <v>-593.2470588000001</v>
      </c>
      <c r="AR6" s="529">
        <v>-0.42959999999999998</v>
      </c>
    </row>
    <row r="7" spans="2:44">
      <c r="B7" s="530">
        <f t="shared" ca="1" si="11"/>
        <v>45937</v>
      </c>
      <c r="C7" s="526">
        <f ca="1">(IFERROR(IFERROR(VALUE(_xll.BDH(C$4,"CURRENT_EV_TO_T12M_EBITDA",$B7,$B7)),VALUE(_xll.BDH(C$4,"CURRENT_EV_TO_T12M_EBITDA",$B7+1,$B7+1))),C8))</f>
        <v>0</v>
      </c>
      <c r="D7" s="526">
        <f ca="1">(IFERROR(IFERROR(VALUE(_xll.BDH(D$4,"CURRENT_EV_TO_T12M_EBITDA",$B7,$B7)),VALUE(_xll.BDH(D$4,"CURRENT_EV_TO_T12M_EBITDA",$B7+1,$B7+1))),D8))</f>
        <v>0</v>
      </c>
      <c r="E7" s="526">
        <f ca="1">(IFERROR(IFERROR(VALUE(_xll.BDH(E$4,"CURRENT_EV_TO_T12M_EBITDA",$B7,$B7)),VALUE(_xll.BDH(E$4,"CURRENT_EV_TO_T12M_EBITDA",$B7+1,$B7+1))),E8))</f>
        <v>0</v>
      </c>
      <c r="F7" s="526">
        <f ca="1">(IFERROR(IFERROR(VALUE(_xll.BDH(F$4,"CURRENT_EV_TO_T12M_EBITDA",$B7,$B7)),VALUE(_xll.BDH(F$4,"CURRENT_EV_TO_T12M_EBITDA",$B7+1,$B7+1))),F8))</f>
        <v>0</v>
      </c>
      <c r="G7" s="526">
        <f ca="1">(IFERROR(IFERROR(VALUE(_xll.BDH(G$4,"CURRENT_EV_TO_T12M_EBITDA",$B7,$B7)),VALUE(_xll.BDH(G$4,"CURRENT_EV_TO_T12M_EBITDA",$B7+1,$B7+1))),G8))</f>
        <v>0</v>
      </c>
      <c r="H7" s="526">
        <f ca="1">(IFERROR(IFERROR(VALUE(_xll.BDH(H$4,"CURRENT_EV_TO_T12M_EBITDA",$B7,$B7)),VALUE(_xll.BDH(H$4,"CURRENT_EV_TO_T12M_EBITDA",$B7+1,$B7+1))),H8))</f>
        <v>0</v>
      </c>
      <c r="I7" s="530">
        <f t="shared" ca="1" si="3"/>
        <v>45937</v>
      </c>
      <c r="J7" s="526">
        <f ca="1">(IFERROR(IFERROR(VALUE(_xll.BDH(J$4,"PE_RATIO",$B7,$B7)),VALUE(_xll.BDH(J$4,"PE_RATIO",$B7+1,$B7+1))),J8))</f>
        <v>0</v>
      </c>
      <c r="K7" s="526">
        <f ca="1">(IFERROR(IFERROR(VALUE(_xll.BDH(K$4,"PE_RATIO",$B7,$B7)),VALUE(_xll.BDH(K$4,"PE_RATIO",$B7+1,$B7+1))),K8))</f>
        <v>0</v>
      </c>
      <c r="L7" s="526">
        <f ca="1">(IFERROR(IFERROR(VALUE(_xll.BDH(L$4,"PE_RATIO",$B7,$B7)),VALUE(_xll.BDH(L$4,"PE_RATIO",$B7+1,$B7+1))),L8))</f>
        <v>0</v>
      </c>
      <c r="M7" s="526">
        <f ca="1">(IFERROR(IFERROR(VALUE(_xll.BDH(M$4,"PE_RATIO",$B7,$B7)),VALUE(_xll.BDH(M$4,"PE_RATIO",$B7+1,$B7+1))),M8))</f>
        <v>0</v>
      </c>
      <c r="N7" s="526">
        <f ca="1">(IFERROR(IFERROR(VALUE(_xll.BDH(N$4,"PE_RATIO",$B7,$B7)),VALUE(_xll.BDH(N$4,"PE_RATIO",$B7+1,$B7+1))),N8))</f>
        <v>0</v>
      </c>
      <c r="O7" s="526">
        <f ca="1">(IFERROR(IFERROR(VALUE(_xll.BDH(O$4,"PE_RATIO",$B7,$B7)),VALUE(_xll.BDH(O$4,"PE_RATIO",$B7+1,$B7+1))),O8))</f>
        <v>0</v>
      </c>
      <c r="P7" s="526"/>
      <c r="Q7" s="530">
        <v>45894</v>
      </c>
      <c r="R7" s="4">
        <v>9.9700000000000006</v>
      </c>
      <c r="S7" s="4">
        <v>23425.61</v>
      </c>
      <c r="T7" s="4">
        <v>8183.88</v>
      </c>
      <c r="U7" s="4">
        <v>4.3537117903930129</v>
      </c>
      <c r="V7" s="4">
        <v>2.0815159972667763</v>
      </c>
      <c r="W7" s="4">
        <v>2.15233291166206</v>
      </c>
      <c r="Y7" s="526">
        <f t="shared" si="4"/>
        <v>9.9700000000000006</v>
      </c>
      <c r="Z7" s="4">
        <f>IFERROR(VALUE(_xll.BDH(Z$4,"PX_LAST",$Q7,$Q7)),Z8)</f>
        <v>114.61</v>
      </c>
      <c r="AA7" s="4">
        <f>IFERROR(VALUE(_xll.BDH(AA$4,"PX_LAST",$Q7,$Q7)),AA8)</f>
        <v>40.98</v>
      </c>
      <c r="AB7" s="4">
        <f>IFERROR(VALUE(_xll.BDH(AB$4,"PX_LAST",$Q7,$Q7)),AB8)</f>
        <v>170.46</v>
      </c>
      <c r="AC7" s="4">
        <f>IFERROR(VALUE(_xll.BDH(AC$4,"PX_LAST",$Q7,$Q7)),AC8)</f>
        <v>16.22</v>
      </c>
      <c r="AD7" s="4">
        <f>IFERROR(VALUE(_xll.BDH(AD$4,"PX_LAST",$Q7,$Q7)),AD8)</f>
        <v>60.18</v>
      </c>
      <c r="AF7" s="4">
        <f t="shared" si="5"/>
        <v>4.3537117903930129</v>
      </c>
      <c r="AG7" s="4">
        <f t="shared" si="6"/>
        <v>3.8811378259397222</v>
      </c>
      <c r="AH7" s="4">
        <f t="shared" si="7"/>
        <v>1.4419422941590427</v>
      </c>
      <c r="AI7" s="4">
        <f t="shared" si="8"/>
        <v>1.8274013722126929</v>
      </c>
      <c r="AJ7" s="4">
        <f t="shared" si="9"/>
        <v>2.0199252801992529</v>
      </c>
      <c r="AK7" s="4">
        <f t="shared" si="10"/>
        <v>2.0602533378979802</v>
      </c>
      <c r="AM7" s="528">
        <v>45905</v>
      </c>
      <c r="AN7" s="529">
        <v>10.46</v>
      </c>
      <c r="AO7" s="529">
        <v>0</v>
      </c>
      <c r="AP7" s="529">
        <v>0</v>
      </c>
      <c r="AQ7" s="529">
        <v>-296.62352940000005</v>
      </c>
      <c r="AR7" s="529">
        <v>0</v>
      </c>
    </row>
    <row r="8" spans="2:44">
      <c r="B8" s="530">
        <f t="shared" ca="1" si="11"/>
        <v>45930</v>
      </c>
      <c r="C8" s="526">
        <f ca="1">(IFERROR(IFERROR(VALUE(_xll.BDH(C$4,"CURRENT_EV_TO_T12M_EBITDA",$B8,$B8)),VALUE(_xll.BDH(C$4,"CURRENT_EV_TO_T12M_EBITDA",$B8+1,$B8+1))),C9))</f>
        <v>0</v>
      </c>
      <c r="D8" s="526">
        <f ca="1">(IFERROR(IFERROR(VALUE(_xll.BDH(D$4,"CURRENT_EV_TO_T12M_EBITDA",$B8,$B8)),VALUE(_xll.BDH(D$4,"CURRENT_EV_TO_T12M_EBITDA",$B8+1,$B8+1))),D9))</f>
        <v>0</v>
      </c>
      <c r="E8" s="526">
        <f ca="1">(IFERROR(IFERROR(VALUE(_xll.BDH(E$4,"CURRENT_EV_TO_T12M_EBITDA",$B8,$B8)),VALUE(_xll.BDH(E$4,"CURRENT_EV_TO_T12M_EBITDA",$B8+1,$B8+1))),E9))</f>
        <v>0</v>
      </c>
      <c r="F8" s="526">
        <f ca="1">(IFERROR(IFERROR(VALUE(_xll.BDH(F$4,"CURRENT_EV_TO_T12M_EBITDA",$B8,$B8)),VALUE(_xll.BDH(F$4,"CURRENT_EV_TO_T12M_EBITDA",$B8+1,$B8+1))),F9))</f>
        <v>0</v>
      </c>
      <c r="G8" s="526">
        <f ca="1">(IFERROR(IFERROR(VALUE(_xll.BDH(G$4,"CURRENT_EV_TO_T12M_EBITDA",$B8,$B8)),VALUE(_xll.BDH(G$4,"CURRENT_EV_TO_T12M_EBITDA",$B8+1,$B8+1))),G9))</f>
        <v>0</v>
      </c>
      <c r="H8" s="526">
        <f ca="1">(IFERROR(IFERROR(VALUE(_xll.BDH(H$4,"CURRENT_EV_TO_T12M_EBITDA",$B8,$B8)),VALUE(_xll.BDH(H$4,"CURRENT_EV_TO_T12M_EBITDA",$B8+1,$B8+1))),H9))</f>
        <v>0</v>
      </c>
      <c r="I8" s="530">
        <f t="shared" ca="1" si="3"/>
        <v>45930</v>
      </c>
      <c r="J8" s="526">
        <f ca="1">(IFERROR(IFERROR(VALUE(_xll.BDH(J$4,"PE_RATIO",$B8,$B8)),VALUE(_xll.BDH(J$4,"PE_RATIO",$B8+1,$B8+1))),J9))</f>
        <v>0</v>
      </c>
      <c r="K8" s="526">
        <f ca="1">(IFERROR(IFERROR(VALUE(_xll.BDH(K$4,"PE_RATIO",$B8,$B8)),VALUE(_xll.BDH(K$4,"PE_RATIO",$B8+1,$B8+1))),K9))</f>
        <v>0</v>
      </c>
      <c r="L8" s="526">
        <f ca="1">(IFERROR(IFERROR(VALUE(_xll.BDH(L$4,"PE_RATIO",$B8,$B8)),VALUE(_xll.BDH(L$4,"PE_RATIO",$B8+1,$B8+1))),L9))</f>
        <v>0</v>
      </c>
      <c r="M8" s="526">
        <f ca="1">(IFERROR(IFERROR(VALUE(_xll.BDH(M$4,"PE_RATIO",$B8,$B8)),VALUE(_xll.BDH(M$4,"PE_RATIO",$B8+1,$B8+1))),M9))</f>
        <v>0</v>
      </c>
      <c r="N8" s="526">
        <f ca="1">(IFERROR(IFERROR(VALUE(_xll.BDH(N$4,"PE_RATIO",$B8,$B8)),VALUE(_xll.BDH(N$4,"PE_RATIO",$B8+1,$B8+1))),N9))</f>
        <v>0</v>
      </c>
      <c r="O8" s="526">
        <f ca="1">(IFERROR(IFERROR(VALUE(_xll.BDH(O$4,"PE_RATIO",$B8,$B8)),VALUE(_xll.BDH(O$4,"PE_RATIO",$B8+1,$B8+1))),O9))</f>
        <v>0</v>
      </c>
      <c r="P8" s="526"/>
      <c r="Q8" s="530">
        <v>45887</v>
      </c>
      <c r="R8" s="4">
        <v>10.6</v>
      </c>
      <c r="S8" s="4">
        <v>23713.759999999998</v>
      </c>
      <c r="T8" s="4">
        <v>8421.3799999999992</v>
      </c>
      <c r="U8" s="4">
        <v>4.6288209606986896</v>
      </c>
      <c r="V8" s="4">
        <v>2.1071199766129882</v>
      </c>
      <c r="W8" s="4">
        <v>2.2147946127769025</v>
      </c>
      <c r="Y8" s="526">
        <f t="shared" si="4"/>
        <v>10.6</v>
      </c>
      <c r="Z8" s="4">
        <f>IFERROR(VALUE(_xll.BDH(Z$4,"PX_LAST",$Q8,$Q8)),Z9)</f>
        <v>107.87</v>
      </c>
      <c r="AA8" s="4">
        <f>IFERROR(VALUE(_xll.BDH(AA$4,"PX_LAST",$Q8,$Q8)),AA9)</f>
        <v>37.770000000000003</v>
      </c>
      <c r="AB8" s="4">
        <f>IFERROR(VALUE(_xll.BDH(AB$4,"PX_LAST",$Q8,$Q8)),AB9)</f>
        <v>165.3</v>
      </c>
      <c r="AC8" s="4">
        <f>IFERROR(VALUE(_xll.BDH(AC$4,"PX_LAST",$Q8,$Q8)),AC9)</f>
        <v>15.97</v>
      </c>
      <c r="AD8" s="4">
        <f>IFERROR(VALUE(_xll.BDH(AD$4,"PX_LAST",$Q8,$Q8)),AD9)</f>
        <v>58.17</v>
      </c>
      <c r="AF8" s="4">
        <f t="shared" si="5"/>
        <v>4.6288209606986896</v>
      </c>
      <c r="AG8" s="4">
        <f t="shared" si="6"/>
        <v>3.6528953606501862</v>
      </c>
      <c r="AH8" s="4">
        <f t="shared" si="7"/>
        <v>1.32899366643209</v>
      </c>
      <c r="AI8" s="4">
        <f t="shared" si="8"/>
        <v>1.7720840480274445</v>
      </c>
      <c r="AJ8" s="4">
        <f t="shared" si="9"/>
        <v>1.9887920298879205</v>
      </c>
      <c r="AK8" s="4">
        <f t="shared" si="10"/>
        <v>1.9914412872304006</v>
      </c>
      <c r="AM8" s="528">
        <v>45904</v>
      </c>
      <c r="AN8" s="529">
        <v>10.45</v>
      </c>
      <c r="AO8" s="529">
        <v>0</v>
      </c>
      <c r="AP8" s="529">
        <v>0</v>
      </c>
      <c r="AQ8" s="529">
        <v>-296.33995049999999</v>
      </c>
      <c r="AR8" s="529">
        <v>0</v>
      </c>
    </row>
    <row r="9" spans="2:44">
      <c r="B9" s="530">
        <f t="shared" ca="1" si="11"/>
        <v>45923</v>
      </c>
      <c r="C9" s="526">
        <f ca="1">(IFERROR(IFERROR(VALUE(_xll.BDH(C$4,"CURRENT_EV_TO_T12M_EBITDA",$B9,$B9)),VALUE(_xll.BDH(C$4,"CURRENT_EV_TO_T12M_EBITDA",$B9+1,$B9+1))),C10))</f>
        <v>0</v>
      </c>
      <c r="D9" s="526">
        <f ca="1">(IFERROR(IFERROR(VALUE(_xll.BDH(D$4,"CURRENT_EV_TO_T12M_EBITDA",$B9,$B9)),VALUE(_xll.BDH(D$4,"CURRENT_EV_TO_T12M_EBITDA",$B9+1,$B9+1))),D10))</f>
        <v>0</v>
      </c>
      <c r="E9" s="526">
        <f ca="1">(IFERROR(IFERROR(VALUE(_xll.BDH(E$4,"CURRENT_EV_TO_T12M_EBITDA",$B9,$B9)),VALUE(_xll.BDH(E$4,"CURRENT_EV_TO_T12M_EBITDA",$B9+1,$B9+1))),E10))</f>
        <v>0</v>
      </c>
      <c r="F9" s="526">
        <f ca="1">(IFERROR(IFERROR(VALUE(_xll.BDH(F$4,"CURRENT_EV_TO_T12M_EBITDA",$B9,$B9)),VALUE(_xll.BDH(F$4,"CURRENT_EV_TO_T12M_EBITDA",$B9+1,$B9+1))),F10))</f>
        <v>0</v>
      </c>
      <c r="G9" s="526">
        <f ca="1">(IFERROR(IFERROR(VALUE(_xll.BDH(G$4,"CURRENT_EV_TO_T12M_EBITDA",$B9,$B9)),VALUE(_xll.BDH(G$4,"CURRENT_EV_TO_T12M_EBITDA",$B9+1,$B9+1))),G10))</f>
        <v>0</v>
      </c>
      <c r="H9" s="526">
        <f ca="1">(IFERROR(IFERROR(VALUE(_xll.BDH(H$4,"CURRENT_EV_TO_T12M_EBITDA",$B9,$B9)),VALUE(_xll.BDH(H$4,"CURRENT_EV_TO_T12M_EBITDA",$B9+1,$B9+1))),H10))</f>
        <v>0</v>
      </c>
      <c r="I9" s="530">
        <f t="shared" ca="1" si="3"/>
        <v>45923</v>
      </c>
      <c r="J9" s="526">
        <f ca="1">(IFERROR(IFERROR(VALUE(_xll.BDH(J$4,"PE_RATIO",$B9,$B9)),VALUE(_xll.BDH(J$4,"PE_RATIO",$B9+1,$B9+1))),J10))</f>
        <v>0</v>
      </c>
      <c r="K9" s="526">
        <f ca="1">(IFERROR(IFERROR(VALUE(_xll.BDH(K$4,"PE_RATIO",$B9,$B9)),VALUE(_xll.BDH(K$4,"PE_RATIO",$B9+1,$B9+1))),K10))</f>
        <v>0</v>
      </c>
      <c r="L9" s="526">
        <f ca="1">(IFERROR(IFERROR(VALUE(_xll.BDH(L$4,"PE_RATIO",$B9,$B9)),VALUE(_xll.BDH(L$4,"PE_RATIO",$B9+1,$B9+1))),L10))</f>
        <v>0</v>
      </c>
      <c r="M9" s="526">
        <f ca="1">(IFERROR(IFERROR(VALUE(_xll.BDH(M$4,"PE_RATIO",$B9,$B9)),VALUE(_xll.BDH(M$4,"PE_RATIO",$B9+1,$B9+1))),M10))</f>
        <v>0</v>
      </c>
      <c r="N9" s="526">
        <f ca="1">(IFERROR(IFERROR(VALUE(_xll.BDH(N$4,"PE_RATIO",$B9,$B9)),VALUE(_xll.BDH(N$4,"PE_RATIO",$B9+1,$B9+1))),N10))</f>
        <v>0</v>
      </c>
      <c r="O9" s="526">
        <f ca="1">(IFERROR(IFERROR(VALUE(_xll.BDH(O$4,"PE_RATIO",$B9,$B9)),VALUE(_xll.BDH(O$4,"PE_RATIO",$B9+1,$B9+1))),O10))</f>
        <v>0</v>
      </c>
      <c r="P9" s="526"/>
      <c r="Q9" s="530">
        <v>45880</v>
      </c>
      <c r="R9" s="4">
        <v>10.9</v>
      </c>
      <c r="S9" s="4">
        <v>23526.63</v>
      </c>
      <c r="T9" s="4">
        <v>8432.2199999999993</v>
      </c>
      <c r="U9" s="4">
        <v>4.7598253275109172</v>
      </c>
      <c r="V9" s="4">
        <v>2.0904922734894185</v>
      </c>
      <c r="W9" s="4">
        <v>2.2176454963141019</v>
      </c>
      <c r="Y9" s="526">
        <f t="shared" si="4"/>
        <v>10.9</v>
      </c>
      <c r="Z9" s="4">
        <f>IFERROR(VALUE(_xll.BDH(Z$4,"PX_LAST",$Q9,$Q9)),Z10)</f>
        <v>104.27</v>
      </c>
      <c r="AA9" s="4">
        <f>IFERROR(VALUE(_xll.BDH(AA$4,"PX_LAST",$Q9,$Q9)),AA10)</f>
        <v>36.01</v>
      </c>
      <c r="AB9" s="4">
        <f>IFERROR(VALUE(_xll.BDH(AB$4,"PX_LAST",$Q9,$Q9)),AB10)</f>
        <v>161.31</v>
      </c>
      <c r="AC9" s="4">
        <f>IFERROR(VALUE(_xll.BDH(AC$4,"PX_LAST",$Q9,$Q9)),AC10)</f>
        <v>15.6</v>
      </c>
      <c r="AD9" s="4">
        <f>IFERROR(VALUE(_xll.BDH(AD$4,"PX_LAST",$Q9,$Q9)),AD10)</f>
        <v>55.64</v>
      </c>
      <c r="AF9" s="4">
        <f t="shared" si="5"/>
        <v>4.7598253275109172</v>
      </c>
      <c r="AG9" s="4">
        <f t="shared" si="6"/>
        <v>3.5309854385370807</v>
      </c>
      <c r="AH9" s="4">
        <f t="shared" si="7"/>
        <v>1.2670654468684024</v>
      </c>
      <c r="AI9" s="4">
        <f t="shared" si="8"/>
        <v>1.7293096054888508</v>
      </c>
      <c r="AJ9" s="4">
        <f t="shared" si="9"/>
        <v>1.9427148194271484</v>
      </c>
      <c r="AK9" s="4">
        <f t="shared" si="10"/>
        <v>1.9048271140020541</v>
      </c>
      <c r="AM9" s="528">
        <v>45903</v>
      </c>
      <c r="AN9" s="529">
        <v>10.11</v>
      </c>
      <c r="AO9" s="529">
        <v>0</v>
      </c>
      <c r="AP9" s="529">
        <v>0</v>
      </c>
      <c r="AQ9" s="529">
        <v>-286.69826790000002</v>
      </c>
      <c r="AR9" s="529">
        <v>0</v>
      </c>
    </row>
    <row r="10" spans="2:44">
      <c r="B10" s="530">
        <f t="shared" ca="1" si="11"/>
        <v>45916</v>
      </c>
      <c r="C10" s="526">
        <f ca="1">(IFERROR(IFERROR(VALUE(_xll.BDH(C$4,"CURRENT_EV_TO_T12M_EBITDA",$B10,$B10)),VALUE(_xll.BDH(C$4,"CURRENT_EV_TO_T12M_EBITDA",$B10+1,$B10+1))),C11))</f>
        <v>0</v>
      </c>
      <c r="D10" s="526">
        <f ca="1">(IFERROR(IFERROR(VALUE(_xll.BDH(D$4,"CURRENT_EV_TO_T12M_EBITDA",$B10,$B10)),VALUE(_xll.BDH(D$4,"CURRENT_EV_TO_T12M_EBITDA",$B10+1,$B10+1))),D11))</f>
        <v>0</v>
      </c>
      <c r="E10" s="526">
        <f ca="1">(IFERROR(IFERROR(VALUE(_xll.BDH(E$4,"CURRENT_EV_TO_T12M_EBITDA",$B10,$B10)),VALUE(_xll.BDH(E$4,"CURRENT_EV_TO_T12M_EBITDA",$B10+1,$B10+1))),E11))</f>
        <v>0</v>
      </c>
      <c r="F10" s="526">
        <f ca="1">(IFERROR(IFERROR(VALUE(_xll.BDH(F$4,"CURRENT_EV_TO_T12M_EBITDA",$B10,$B10)),VALUE(_xll.BDH(F$4,"CURRENT_EV_TO_T12M_EBITDA",$B10+1,$B10+1))),F11))</f>
        <v>0</v>
      </c>
      <c r="G10" s="526">
        <f ca="1">(IFERROR(IFERROR(VALUE(_xll.BDH(G$4,"CURRENT_EV_TO_T12M_EBITDA",$B10,$B10)),VALUE(_xll.BDH(G$4,"CURRENT_EV_TO_T12M_EBITDA",$B10+1,$B10+1))),G11))</f>
        <v>0</v>
      </c>
      <c r="H10" s="526">
        <f ca="1">(IFERROR(IFERROR(VALUE(_xll.BDH(H$4,"CURRENT_EV_TO_T12M_EBITDA",$B10,$B10)),VALUE(_xll.BDH(H$4,"CURRENT_EV_TO_T12M_EBITDA",$B10+1,$B10+1))),H11))</f>
        <v>0</v>
      </c>
      <c r="I10" s="530">
        <f t="shared" ca="1" si="3"/>
        <v>45916</v>
      </c>
      <c r="J10" s="526">
        <f ca="1">(IFERROR(IFERROR(VALUE(_xll.BDH(J$4,"PE_RATIO",$B10,$B10)),VALUE(_xll.BDH(J$4,"PE_RATIO",$B10+1,$B10+1))),J11))</f>
        <v>0</v>
      </c>
      <c r="K10" s="526">
        <f ca="1">(IFERROR(IFERROR(VALUE(_xll.BDH(K$4,"PE_RATIO",$B10,$B10)),VALUE(_xll.BDH(K$4,"PE_RATIO",$B10+1,$B10+1))),K11))</f>
        <v>0</v>
      </c>
      <c r="L10" s="526">
        <f ca="1">(IFERROR(IFERROR(VALUE(_xll.BDH(L$4,"PE_RATIO",$B10,$B10)),VALUE(_xll.BDH(L$4,"PE_RATIO",$B10+1,$B10+1))),L11))</f>
        <v>0</v>
      </c>
      <c r="M10" s="526">
        <f ca="1">(IFERROR(IFERROR(VALUE(_xll.BDH(M$4,"PE_RATIO",$B10,$B10)),VALUE(_xll.BDH(M$4,"PE_RATIO",$B10+1,$B10+1))),M11))</f>
        <v>0</v>
      </c>
      <c r="N10" s="526">
        <f ca="1">(IFERROR(IFERROR(VALUE(_xll.BDH(N$4,"PE_RATIO",$B10,$B10)),VALUE(_xll.BDH(N$4,"PE_RATIO",$B10+1,$B10+1))),N11))</f>
        <v>0</v>
      </c>
      <c r="O10" s="526">
        <f ca="1">(IFERROR(IFERROR(VALUE(_xll.BDH(O$4,"PE_RATIO",$B10,$B10)),VALUE(_xll.BDH(O$4,"PE_RATIO",$B10+1,$B10+1))),O11))</f>
        <v>0</v>
      </c>
      <c r="P10" s="526"/>
      <c r="Q10" s="530">
        <v>45873</v>
      </c>
      <c r="R10" s="4">
        <v>10.25</v>
      </c>
      <c r="S10" s="4">
        <v>23188.61</v>
      </c>
      <c r="T10" s="4">
        <v>8649.0499999999993</v>
      </c>
      <c r="U10" s="4">
        <v>4.4759825327510914</v>
      </c>
      <c r="V10" s="4">
        <v>2.0604570241449567</v>
      </c>
      <c r="W10" s="4">
        <v>2.2746710569571813</v>
      </c>
      <c r="Y10" s="526">
        <f t="shared" si="4"/>
        <v>10.25</v>
      </c>
      <c r="Z10" s="4">
        <f>IFERROR(VALUE(_xll.BDH(Z$4,"PX_LAST",$Q10,$Q10)),Z11)</f>
        <v>102.6</v>
      </c>
      <c r="AA10" s="4">
        <f>IFERROR(VALUE(_xll.BDH(AA$4,"PX_LAST",$Q10,$Q10)),AA11)</f>
        <v>33.869999999999997</v>
      </c>
      <c r="AB10" s="4">
        <f>IFERROR(VALUE(_xll.BDH(AB$4,"PX_LAST",$Q10,$Q10)),AB11)</f>
        <v>158.5</v>
      </c>
      <c r="AC10" s="4">
        <f>IFERROR(VALUE(_xll.BDH(AC$4,"PX_LAST",$Q10,$Q10)),AC11)</f>
        <v>14.74</v>
      </c>
      <c r="AD10" s="4">
        <f>IFERROR(VALUE(_xll.BDH(AD$4,"PX_LAST",$Q10,$Q10)),AD11)</f>
        <v>55.84</v>
      </c>
      <c r="AF10" s="4">
        <f t="shared" si="5"/>
        <v>4.4759825327510914</v>
      </c>
      <c r="AG10" s="4">
        <f t="shared" si="6"/>
        <v>3.4744327802235011</v>
      </c>
      <c r="AH10" s="4">
        <f t="shared" si="7"/>
        <v>1.1917663617171004</v>
      </c>
      <c r="AI10" s="4">
        <f t="shared" si="8"/>
        <v>1.6991852487135506</v>
      </c>
      <c r="AJ10" s="4">
        <f t="shared" si="9"/>
        <v>1.8356164383561646</v>
      </c>
      <c r="AK10" s="4">
        <f t="shared" si="10"/>
        <v>1.9116740842177338</v>
      </c>
      <c r="AM10" s="528">
        <v>45902</v>
      </c>
      <c r="AN10" s="529">
        <v>10.29</v>
      </c>
      <c r="AO10" s="529">
        <v>0</v>
      </c>
      <c r="AP10" s="529">
        <v>0</v>
      </c>
      <c r="AQ10" s="529">
        <v>-291.80268810000001</v>
      </c>
      <c r="AR10" s="529">
        <v>0</v>
      </c>
    </row>
    <row r="11" spans="2:44">
      <c r="B11" s="530">
        <f t="shared" ca="1" si="11"/>
        <v>45909</v>
      </c>
      <c r="C11" s="526">
        <f ca="1">(IFERROR(IFERROR(VALUE(_xll.BDH(C$4,"CURRENT_EV_TO_T12M_EBITDA",$B11,$B11)),VALUE(_xll.BDH(C$4,"CURRENT_EV_TO_T12M_EBITDA",$B11+1,$B11+1))),C12))</f>
        <v>0</v>
      </c>
      <c r="D11" s="526">
        <f ca="1">(IFERROR(IFERROR(VALUE(_xll.BDH(D$4,"CURRENT_EV_TO_T12M_EBITDA",$B11,$B11)),VALUE(_xll.BDH(D$4,"CURRENT_EV_TO_T12M_EBITDA",$B11+1,$B11+1))),D12))</f>
        <v>0</v>
      </c>
      <c r="E11" s="526">
        <f ca="1">(IFERROR(IFERROR(VALUE(_xll.BDH(E$4,"CURRENT_EV_TO_T12M_EBITDA",$B11,$B11)),VALUE(_xll.BDH(E$4,"CURRENT_EV_TO_T12M_EBITDA",$B11+1,$B11+1))),E12))</f>
        <v>0</v>
      </c>
      <c r="F11" s="526">
        <f ca="1">(IFERROR(IFERROR(VALUE(_xll.BDH(F$4,"CURRENT_EV_TO_T12M_EBITDA",$B11,$B11)),VALUE(_xll.BDH(F$4,"CURRENT_EV_TO_T12M_EBITDA",$B11+1,$B11+1))),F12))</f>
        <v>0</v>
      </c>
      <c r="G11" s="526">
        <f ca="1">(IFERROR(IFERROR(VALUE(_xll.BDH(G$4,"CURRENT_EV_TO_T12M_EBITDA",$B11,$B11)),VALUE(_xll.BDH(G$4,"CURRENT_EV_TO_T12M_EBITDA",$B11+1,$B11+1))),G12))</f>
        <v>0</v>
      </c>
      <c r="H11" s="526">
        <f ca="1">(IFERROR(IFERROR(VALUE(_xll.BDH(H$4,"CURRENT_EV_TO_T12M_EBITDA",$B11,$B11)),VALUE(_xll.BDH(H$4,"CURRENT_EV_TO_T12M_EBITDA",$B11+1,$B11+1))),H12))</f>
        <v>0</v>
      </c>
      <c r="I11" s="530">
        <f t="shared" ca="1" si="3"/>
        <v>45909</v>
      </c>
      <c r="J11" s="526">
        <f ca="1">(IFERROR(IFERROR(VALUE(_xll.BDH(J$4,"PE_RATIO",$B11,$B11)),VALUE(_xll.BDH(J$4,"PE_RATIO",$B11+1,$B11+1))),J12))</f>
        <v>0</v>
      </c>
      <c r="K11" s="526">
        <f ca="1">(IFERROR(IFERROR(VALUE(_xll.BDH(K$4,"PE_RATIO",$B11,$B11)),VALUE(_xll.BDH(K$4,"PE_RATIO",$B11+1,$B11+1))),K12))</f>
        <v>0</v>
      </c>
      <c r="L11" s="526">
        <f ca="1">(IFERROR(IFERROR(VALUE(_xll.BDH(L$4,"PE_RATIO",$B11,$B11)),VALUE(_xll.BDH(L$4,"PE_RATIO",$B11+1,$B11+1))),L12))</f>
        <v>0</v>
      </c>
      <c r="M11" s="526">
        <f ca="1">(IFERROR(IFERROR(VALUE(_xll.BDH(M$4,"PE_RATIO",$B11,$B11)),VALUE(_xll.BDH(M$4,"PE_RATIO",$B11+1,$B11+1))),M12))</f>
        <v>0</v>
      </c>
      <c r="N11" s="526">
        <f ca="1">(IFERROR(IFERROR(VALUE(_xll.BDH(N$4,"PE_RATIO",$B11,$B11)),VALUE(_xll.BDH(N$4,"PE_RATIO",$B11+1,$B11+1))),N12))</f>
        <v>0</v>
      </c>
      <c r="O11" s="526">
        <f ca="1">(IFERROR(IFERROR(VALUE(_xll.BDH(O$4,"PE_RATIO",$B11,$B11)),VALUE(_xll.BDH(O$4,"PE_RATIO",$B11+1,$B11+1))),O12))</f>
        <v>0</v>
      </c>
      <c r="P11" s="526"/>
      <c r="Q11" s="530">
        <v>45866</v>
      </c>
      <c r="R11" s="4">
        <v>10.92</v>
      </c>
      <c r="S11" s="4">
        <v>23356.27</v>
      </c>
      <c r="T11" s="4">
        <v>8492.16</v>
      </c>
      <c r="U11" s="4">
        <v>4.7685589519650655</v>
      </c>
      <c r="V11" s="4">
        <v>2.0753546926411772</v>
      </c>
      <c r="W11" s="4">
        <v>2.233409514692307</v>
      </c>
      <c r="Y11" s="526">
        <f t="shared" si="4"/>
        <v>10.92</v>
      </c>
      <c r="Z11" s="4">
        <f>IFERROR(VALUE(_xll.BDH(Z$4,"PX_LAST",$Q11,$Q11)),Z12)</f>
        <v>104.62</v>
      </c>
      <c r="AA11" s="4">
        <f>IFERROR(VALUE(_xll.BDH(AA$4,"PX_LAST",$Q11,$Q11)),AA12)</f>
        <v>31.74</v>
      </c>
      <c r="AB11" s="4">
        <f>IFERROR(VALUE(_xll.BDH(AB$4,"PX_LAST",$Q11,$Q11)),AB12)</f>
        <v>162.31</v>
      </c>
      <c r="AC11" s="4">
        <f>IFERROR(VALUE(_xll.BDH(AC$4,"PX_LAST",$Q11,$Q11)),AC12)</f>
        <v>13.31</v>
      </c>
      <c r="AD11" s="4">
        <f>IFERROR(VALUE(_xll.BDH(AD$4,"PX_LAST",$Q11,$Q11)),AD12)</f>
        <v>59.19</v>
      </c>
      <c r="AF11" s="4">
        <f t="shared" si="5"/>
        <v>4.7685589519650655</v>
      </c>
      <c r="AG11" s="4">
        <f t="shared" si="6"/>
        <v>3.5428377920758551</v>
      </c>
      <c r="AH11" s="4">
        <f t="shared" si="7"/>
        <v>1.1168191414496833</v>
      </c>
      <c r="AI11" s="4">
        <f t="shared" si="8"/>
        <v>1.7400300171526586</v>
      </c>
      <c r="AJ11" s="4">
        <f t="shared" si="9"/>
        <v>1.6575342465753427</v>
      </c>
      <c r="AK11" s="4">
        <f t="shared" si="10"/>
        <v>2.0263608353303662</v>
      </c>
      <c r="AM11" s="528">
        <v>45901</v>
      </c>
      <c r="AN11" s="529">
        <v>10.210000000000001</v>
      </c>
      <c r="AO11" s="529">
        <v>-2114085</v>
      </c>
      <c r="AP11" s="529">
        <v>-85.073670000000007</v>
      </c>
      <c r="AQ11" s="529">
        <v>-1158.1362276000002</v>
      </c>
      <c r="AR11" s="529">
        <v>-1.2579</v>
      </c>
    </row>
    <row r="12" spans="2:44">
      <c r="B12" s="530">
        <f t="shared" ca="1" si="11"/>
        <v>45902</v>
      </c>
      <c r="C12" s="526">
        <f ca="1">(IFERROR(IFERROR(VALUE(_xll.BDH(C$4,"CURRENT_EV_TO_T12M_EBITDA",$B12,$B12)),VALUE(_xll.BDH(C$4,"CURRENT_EV_TO_T12M_EBITDA",$B12+1,$B12+1))),C13))</f>
        <v>0</v>
      </c>
      <c r="D12" s="526">
        <f ca="1">(IFERROR(IFERROR(VALUE(_xll.BDH(D$4,"CURRENT_EV_TO_T12M_EBITDA",$B12,$B12)),VALUE(_xll.BDH(D$4,"CURRENT_EV_TO_T12M_EBITDA",$B12+1,$B12+1))),D13))</f>
        <v>0</v>
      </c>
      <c r="E12" s="526">
        <f ca="1">(IFERROR(IFERROR(VALUE(_xll.BDH(E$4,"CURRENT_EV_TO_T12M_EBITDA",$B12,$B12)),VALUE(_xll.BDH(E$4,"CURRENT_EV_TO_T12M_EBITDA",$B12+1,$B12+1))),E13))</f>
        <v>0</v>
      </c>
      <c r="F12" s="526">
        <f ca="1">(IFERROR(IFERROR(VALUE(_xll.BDH(F$4,"CURRENT_EV_TO_T12M_EBITDA",$B12,$B12)),VALUE(_xll.BDH(F$4,"CURRENT_EV_TO_T12M_EBITDA",$B12+1,$B12+1))),F13))</f>
        <v>0</v>
      </c>
      <c r="G12" s="526">
        <f ca="1">(IFERROR(IFERROR(VALUE(_xll.BDH(G$4,"CURRENT_EV_TO_T12M_EBITDA",$B12,$B12)),VALUE(_xll.BDH(G$4,"CURRENT_EV_TO_T12M_EBITDA",$B12+1,$B12+1))),G13))</f>
        <v>0</v>
      </c>
      <c r="H12" s="526">
        <f ca="1">(IFERROR(IFERROR(VALUE(_xll.BDH(H$4,"CURRENT_EV_TO_T12M_EBITDA",$B12,$B12)),VALUE(_xll.BDH(H$4,"CURRENT_EV_TO_T12M_EBITDA",$B12+1,$B12+1))),H13))</f>
        <v>0</v>
      </c>
      <c r="I12" s="530">
        <f t="shared" ca="1" si="3"/>
        <v>45902</v>
      </c>
      <c r="J12" s="526">
        <f ca="1">(IFERROR(IFERROR(VALUE(_xll.BDH(J$4,"PE_RATIO",$B12,$B12)),VALUE(_xll.BDH(J$4,"PE_RATIO",$B12+1,$B12+1))),J13))</f>
        <v>0</v>
      </c>
      <c r="K12" s="526">
        <f ca="1">(IFERROR(IFERROR(VALUE(_xll.BDH(K$4,"PE_RATIO",$B12,$B12)),VALUE(_xll.BDH(K$4,"PE_RATIO",$B12+1,$B12+1))),K13))</f>
        <v>0</v>
      </c>
      <c r="L12" s="526">
        <f ca="1">(IFERROR(IFERROR(VALUE(_xll.BDH(L$4,"PE_RATIO",$B12,$B12)),VALUE(_xll.BDH(L$4,"PE_RATIO",$B12+1,$B12+1))),L13))</f>
        <v>0</v>
      </c>
      <c r="M12" s="526">
        <f ca="1">(IFERROR(IFERROR(VALUE(_xll.BDH(M$4,"PE_RATIO",$B12,$B12)),VALUE(_xll.BDH(M$4,"PE_RATIO",$B12+1,$B12+1))),M13))</f>
        <v>0</v>
      </c>
      <c r="N12" s="526">
        <f ca="1">(IFERROR(IFERROR(VALUE(_xll.BDH(N$4,"PE_RATIO",$B12,$B12)),VALUE(_xll.BDH(N$4,"PE_RATIO",$B12+1,$B12+1))),N13))</f>
        <v>0</v>
      </c>
      <c r="O12" s="526">
        <f ca="1">(IFERROR(IFERROR(VALUE(_xll.BDH(O$4,"PE_RATIO",$B12,$B12)),VALUE(_xll.BDH(O$4,"PE_RATIO",$B12+1,$B12+1))),O13))</f>
        <v>0</v>
      </c>
      <c r="P12" s="526"/>
      <c r="Q12" s="530">
        <v>45859</v>
      </c>
      <c r="R12" s="4">
        <v>11.44</v>
      </c>
      <c r="S12" s="4">
        <v>23180.06</v>
      </c>
      <c r="T12" s="4">
        <v>8394.92</v>
      </c>
      <c r="U12" s="4">
        <v>4.9956331877729259</v>
      </c>
      <c r="V12" s="4">
        <v>2.0596973016968914</v>
      </c>
      <c r="W12" s="4">
        <v>2.2078357217811186</v>
      </c>
      <c r="Y12" s="526">
        <f t="shared" si="4"/>
        <v>11.44</v>
      </c>
      <c r="Z12" s="4">
        <f>IFERROR(VALUE(_xll.BDH(Z$4,"PX_LAST",$Q12,$Q12)),Z13)</f>
        <v>113.04</v>
      </c>
      <c r="AA12" s="4">
        <f>IFERROR(VALUE(_xll.BDH(AA$4,"PX_LAST",$Q12,$Q12)),AA13)</f>
        <v>32.18</v>
      </c>
      <c r="AB12" s="4">
        <f>IFERROR(VALUE(_xll.BDH(AB$4,"PX_LAST",$Q12,$Q12)),AB13)</f>
        <v>162.65</v>
      </c>
      <c r="AC12" s="4">
        <f>IFERROR(VALUE(_xll.BDH(AC$4,"PX_LAST",$Q12,$Q12)),AC13)</f>
        <v>13.9</v>
      </c>
      <c r="AD12" s="4">
        <f>IFERROR(VALUE(_xll.BDH(AD$4,"PX_LAST",$Q12,$Q12)),AD13)</f>
        <v>57.15</v>
      </c>
      <c r="AF12" s="4">
        <f t="shared" si="5"/>
        <v>4.9956331877729259</v>
      </c>
      <c r="AG12" s="4">
        <f t="shared" si="6"/>
        <v>3.8279715543515072</v>
      </c>
      <c r="AH12" s="4">
        <f t="shared" si="7"/>
        <v>1.1323011963406051</v>
      </c>
      <c r="AI12" s="4">
        <f t="shared" si="8"/>
        <v>1.7436749571183534</v>
      </c>
      <c r="AJ12" s="4">
        <f t="shared" si="9"/>
        <v>1.7310087173100874</v>
      </c>
      <c r="AK12" s="4">
        <f t="shared" si="10"/>
        <v>1.9565217391304346</v>
      </c>
      <c r="AM12" s="528">
        <v>45900</v>
      </c>
      <c r="AN12" s="529">
        <v>10.210000000000001</v>
      </c>
      <c r="AO12" s="529">
        <v>-1409390</v>
      </c>
      <c r="AP12" s="529">
        <v>-56.715780000000002</v>
      </c>
      <c r="AQ12" s="529">
        <v>-868.60217070000022</v>
      </c>
      <c r="AR12" s="529">
        <v>-0.83860000000000001</v>
      </c>
    </row>
    <row r="13" spans="2:44">
      <c r="B13" s="530">
        <f t="shared" ca="1" si="11"/>
        <v>45895</v>
      </c>
      <c r="C13" s="526">
        <f ca="1">(IFERROR(IFERROR(VALUE(_xll.BDH(C$4,"CURRENT_EV_TO_T12M_EBITDA",$B13,$B13)),VALUE(_xll.BDH(C$4,"CURRENT_EV_TO_T12M_EBITDA",$B13+1,$B13+1))),C14))</f>
        <v>0</v>
      </c>
      <c r="D13" s="526">
        <f ca="1">(IFERROR(IFERROR(VALUE(_xll.BDH(D$4,"CURRENT_EV_TO_T12M_EBITDA",$B13,$B13)),VALUE(_xll.BDH(D$4,"CURRENT_EV_TO_T12M_EBITDA",$B13+1,$B13+1))),D14))</f>
        <v>0</v>
      </c>
      <c r="E13" s="526">
        <f ca="1">(IFERROR(IFERROR(VALUE(_xll.BDH(E$4,"CURRENT_EV_TO_T12M_EBITDA",$B13,$B13)),VALUE(_xll.BDH(E$4,"CURRENT_EV_TO_T12M_EBITDA",$B13+1,$B13+1))),E14))</f>
        <v>0</v>
      </c>
      <c r="F13" s="526">
        <f ca="1">(IFERROR(IFERROR(VALUE(_xll.BDH(F$4,"CURRENT_EV_TO_T12M_EBITDA",$B13,$B13)),VALUE(_xll.BDH(F$4,"CURRENT_EV_TO_T12M_EBITDA",$B13+1,$B13+1))),F14))</f>
        <v>0</v>
      </c>
      <c r="G13" s="526">
        <f ca="1">(IFERROR(IFERROR(VALUE(_xll.BDH(G$4,"CURRENT_EV_TO_T12M_EBITDA",$B13,$B13)),VALUE(_xll.BDH(G$4,"CURRENT_EV_TO_T12M_EBITDA",$B13+1,$B13+1))),G14))</f>
        <v>0</v>
      </c>
      <c r="H13" s="526">
        <f ca="1">(IFERROR(IFERROR(VALUE(_xll.BDH(H$4,"CURRENT_EV_TO_T12M_EBITDA",$B13,$B13)),VALUE(_xll.BDH(H$4,"CURRENT_EV_TO_T12M_EBITDA",$B13+1,$B13+1))),H14))</f>
        <v>0</v>
      </c>
      <c r="I13" s="530">
        <f t="shared" ca="1" si="3"/>
        <v>45895</v>
      </c>
      <c r="J13" s="526">
        <f ca="1">(IFERROR(IFERROR(VALUE(_xll.BDH(J$4,"PE_RATIO",$B13,$B13)),VALUE(_xll.BDH(J$4,"PE_RATIO",$B13+1,$B13+1))),J14))</f>
        <v>0</v>
      </c>
      <c r="K13" s="526">
        <f ca="1">(IFERROR(IFERROR(VALUE(_xll.BDH(K$4,"PE_RATIO",$B13,$B13)),VALUE(_xll.BDH(K$4,"PE_RATIO",$B13+1,$B13+1))),K14))</f>
        <v>0</v>
      </c>
      <c r="L13" s="526">
        <f ca="1">(IFERROR(IFERROR(VALUE(_xll.BDH(L$4,"PE_RATIO",$B13,$B13)),VALUE(_xll.BDH(L$4,"PE_RATIO",$B13+1,$B13+1))),L14))</f>
        <v>0</v>
      </c>
      <c r="M13" s="526">
        <f ca="1">(IFERROR(IFERROR(VALUE(_xll.BDH(M$4,"PE_RATIO",$B13,$B13)),VALUE(_xll.BDH(M$4,"PE_RATIO",$B13+1,$B13+1))),M14))</f>
        <v>0</v>
      </c>
      <c r="N13" s="526">
        <f ca="1">(IFERROR(IFERROR(VALUE(_xll.BDH(N$4,"PE_RATIO",$B13,$B13)),VALUE(_xll.BDH(N$4,"PE_RATIO",$B13+1,$B13+1))),N14))</f>
        <v>0</v>
      </c>
      <c r="O13" s="526">
        <f ca="1">(IFERROR(IFERROR(VALUE(_xll.BDH(O$4,"PE_RATIO",$B13,$B13)),VALUE(_xll.BDH(O$4,"PE_RATIO",$B13+1,$B13+1))),O14))</f>
        <v>0</v>
      </c>
      <c r="P13" s="526"/>
      <c r="Q13" s="530">
        <v>45852</v>
      </c>
      <c r="R13" s="4">
        <v>11.97</v>
      </c>
      <c r="S13" s="4">
        <v>22855.63</v>
      </c>
      <c r="T13" s="4">
        <v>8246.69</v>
      </c>
      <c r="U13" s="4">
        <v>5.2270742358078603</v>
      </c>
      <c r="V13" s="4">
        <v>2.0308696111909339</v>
      </c>
      <c r="W13" s="4">
        <v>2.1688517303863684</v>
      </c>
      <c r="Y13" s="526">
        <f t="shared" si="4"/>
        <v>11.97</v>
      </c>
      <c r="Z13" s="4">
        <f>IFERROR(VALUE(_xll.BDH(Z$4,"PX_LAST",$Q13,$Q13)),Z14)</f>
        <v>115.73</v>
      </c>
      <c r="AA13" s="4">
        <f>IFERROR(VALUE(_xll.BDH(AA$4,"PX_LAST",$Q13,$Q13)),AA14)</f>
        <v>32.6</v>
      </c>
      <c r="AB13" s="4">
        <f>IFERROR(VALUE(_xll.BDH(AB$4,"PX_LAST",$Q13,$Q13)),AB14)</f>
        <v>170.43</v>
      </c>
      <c r="AC13" s="4">
        <f>IFERROR(VALUE(_xll.BDH(AC$4,"PX_LAST",$Q13,$Q13)),AC14)</f>
        <v>14.2</v>
      </c>
      <c r="AD13" s="4">
        <f>IFERROR(VALUE(_xll.BDH(AD$4,"PX_LAST",$Q13,$Q13)),AD14)</f>
        <v>58.84</v>
      </c>
      <c r="AF13" s="4">
        <f t="shared" si="5"/>
        <v>5.2270742358078603</v>
      </c>
      <c r="AG13" s="4">
        <f t="shared" si="6"/>
        <v>3.9190653572637997</v>
      </c>
      <c r="AH13" s="4">
        <f t="shared" si="7"/>
        <v>1.1470795214637579</v>
      </c>
      <c r="AI13" s="4">
        <f t="shared" si="8"/>
        <v>1.8270797598627788</v>
      </c>
      <c r="AJ13" s="4">
        <f t="shared" si="9"/>
        <v>1.7683686176836861</v>
      </c>
      <c r="AK13" s="4">
        <f t="shared" si="10"/>
        <v>2.0143786374529271</v>
      </c>
      <c r="AM13" s="528">
        <v>45899</v>
      </c>
      <c r="AN13" s="529">
        <v>10.210000000000001</v>
      </c>
      <c r="AO13" s="529">
        <v>-704695</v>
      </c>
      <c r="AP13" s="529">
        <v>-28.357890000000001</v>
      </c>
      <c r="AQ13" s="529">
        <v>-579.06811380000011</v>
      </c>
      <c r="AR13" s="529">
        <v>-0.41930000000000001</v>
      </c>
    </row>
    <row r="14" spans="2:44">
      <c r="B14" s="530">
        <f t="shared" ca="1" si="11"/>
        <v>45888</v>
      </c>
      <c r="C14" s="526">
        <f ca="1">(IFERROR(IFERROR(VALUE(_xll.BDH(C$4,"CURRENT_EV_TO_T12M_EBITDA",$B14,$B14)),VALUE(_xll.BDH(C$4,"CURRENT_EV_TO_T12M_EBITDA",$B14+1,$B14+1))),C15))</f>
        <v>0</v>
      </c>
      <c r="D14" s="526">
        <f ca="1">(IFERROR(IFERROR(VALUE(_xll.BDH(D$4,"CURRENT_EV_TO_T12M_EBITDA",$B14,$B14)),VALUE(_xll.BDH(D$4,"CURRENT_EV_TO_T12M_EBITDA",$B14+1,$B14+1))),D15))</f>
        <v>0</v>
      </c>
      <c r="E14" s="526">
        <f ca="1">(IFERROR(IFERROR(VALUE(_xll.BDH(E$4,"CURRENT_EV_TO_T12M_EBITDA",$B14,$B14)),VALUE(_xll.BDH(E$4,"CURRENT_EV_TO_T12M_EBITDA",$B14+1,$B14+1))),E15))</f>
        <v>0</v>
      </c>
      <c r="F14" s="526">
        <f ca="1">(IFERROR(IFERROR(VALUE(_xll.BDH(F$4,"CURRENT_EV_TO_T12M_EBITDA",$B14,$B14)),VALUE(_xll.BDH(F$4,"CURRENT_EV_TO_T12M_EBITDA",$B14+1,$B14+1))),F15))</f>
        <v>0</v>
      </c>
      <c r="G14" s="526">
        <f ca="1">(IFERROR(IFERROR(VALUE(_xll.BDH(G$4,"CURRENT_EV_TO_T12M_EBITDA",$B14,$B14)),VALUE(_xll.BDH(G$4,"CURRENT_EV_TO_T12M_EBITDA",$B14+1,$B14+1))),G15))</f>
        <v>0</v>
      </c>
      <c r="H14" s="526">
        <f ca="1">(IFERROR(IFERROR(VALUE(_xll.BDH(H$4,"CURRENT_EV_TO_T12M_EBITDA",$B14,$B14)),VALUE(_xll.BDH(H$4,"CURRENT_EV_TO_T12M_EBITDA",$B14+1,$B14+1))),H15))</f>
        <v>0</v>
      </c>
      <c r="I14" s="530">
        <f t="shared" ca="1" si="3"/>
        <v>45888</v>
      </c>
      <c r="J14" s="526">
        <f ca="1">(IFERROR(IFERROR(VALUE(_xll.BDH(J$4,"PE_RATIO",$B14,$B14)),VALUE(_xll.BDH(J$4,"PE_RATIO",$B14+1,$B14+1))),J15))</f>
        <v>0</v>
      </c>
      <c r="K14" s="526">
        <f ca="1">(IFERROR(IFERROR(VALUE(_xll.BDH(K$4,"PE_RATIO",$B14,$B14)),VALUE(_xll.BDH(K$4,"PE_RATIO",$B14+1,$B14+1))),K15))</f>
        <v>0</v>
      </c>
      <c r="L14" s="526">
        <f ca="1">(IFERROR(IFERROR(VALUE(_xll.BDH(L$4,"PE_RATIO",$B14,$B14)),VALUE(_xll.BDH(L$4,"PE_RATIO",$B14+1,$B14+1))),L15))</f>
        <v>0</v>
      </c>
      <c r="M14" s="526">
        <f ca="1">(IFERROR(IFERROR(VALUE(_xll.BDH(M$4,"PE_RATIO",$B14,$B14)),VALUE(_xll.BDH(M$4,"PE_RATIO",$B14+1,$B14+1))),M15))</f>
        <v>0</v>
      </c>
      <c r="N14" s="526">
        <f ca="1">(IFERROR(IFERROR(VALUE(_xll.BDH(N$4,"PE_RATIO",$B14,$B14)),VALUE(_xll.BDH(N$4,"PE_RATIO",$B14+1,$B14+1))),N15))</f>
        <v>0</v>
      </c>
      <c r="O14" s="526">
        <f ca="1">(IFERROR(IFERROR(VALUE(_xll.BDH(O$4,"PE_RATIO",$B14,$B14)),VALUE(_xll.BDH(O$4,"PE_RATIO",$B14+1,$B14+1))),O15))</f>
        <v>0</v>
      </c>
      <c r="P14" s="526"/>
      <c r="Q14" s="530">
        <v>45845</v>
      </c>
      <c r="R14" s="4">
        <v>14.23</v>
      </c>
      <c r="S14" s="4">
        <v>22685.57</v>
      </c>
      <c r="T14" s="4">
        <v>8266.69</v>
      </c>
      <c r="U14" s="4">
        <v>6.2139737991266379</v>
      </c>
      <c r="V14" s="4">
        <v>2.015758687270695</v>
      </c>
      <c r="W14" s="4">
        <v>2.1741116631118289</v>
      </c>
      <c r="Y14" s="526">
        <f t="shared" si="4"/>
        <v>14.23</v>
      </c>
      <c r="Z14" s="4">
        <f>IFERROR(VALUE(_xll.BDH(Z$4,"PX_LAST",$Q14,$Q14)),Z15)</f>
        <v>116.14</v>
      </c>
      <c r="AA14" s="4">
        <f>IFERROR(VALUE(_xll.BDH(AA$4,"PX_LAST",$Q14,$Q14)),AA15)</f>
        <v>33.1</v>
      </c>
      <c r="AB14" s="4">
        <f>IFERROR(VALUE(_xll.BDH(AB$4,"PX_LAST",$Q14,$Q14)),AB15)</f>
        <v>173.28</v>
      </c>
      <c r="AC14" s="4">
        <f>IFERROR(VALUE(_xll.BDH(AC$4,"PX_LAST",$Q14,$Q14)),AC15)</f>
        <v>14.04</v>
      </c>
      <c r="AD14" s="4">
        <f>IFERROR(VALUE(_xll.BDH(AD$4,"PX_LAST",$Q14,$Q14)),AD15)</f>
        <v>59.37</v>
      </c>
      <c r="AF14" s="4">
        <f t="shared" si="5"/>
        <v>6.2139737991266379</v>
      </c>
      <c r="AG14" s="4">
        <f t="shared" si="6"/>
        <v>3.9329495428377919</v>
      </c>
      <c r="AH14" s="4">
        <f t="shared" si="7"/>
        <v>1.1646727656579874</v>
      </c>
      <c r="AI14" s="4">
        <f t="shared" si="8"/>
        <v>1.8576329331046313</v>
      </c>
      <c r="AJ14" s="4">
        <f t="shared" si="9"/>
        <v>1.7484433374844335</v>
      </c>
      <c r="AK14" s="4">
        <f t="shared" si="10"/>
        <v>2.0325231085244777</v>
      </c>
      <c r="AM14" s="528">
        <v>45898</v>
      </c>
      <c r="AN14" s="529">
        <v>10.210000000000001</v>
      </c>
      <c r="AO14" s="529">
        <v>0</v>
      </c>
      <c r="AP14" s="529">
        <v>0</v>
      </c>
      <c r="AQ14" s="529">
        <v>-289.53405690000005</v>
      </c>
      <c r="AR14" s="529">
        <v>0</v>
      </c>
    </row>
    <row r="15" spans="2:44">
      <c r="B15" s="530">
        <f t="shared" ca="1" si="11"/>
        <v>45881</v>
      </c>
      <c r="C15" s="526">
        <f ca="1">(IFERROR(IFERROR(VALUE(_xll.BDH(C$4,"CURRENT_EV_TO_T12M_EBITDA",$B15,$B15)),VALUE(_xll.BDH(C$4,"CURRENT_EV_TO_T12M_EBITDA",$B15+1,$B15+1))),C16))</f>
        <v>0</v>
      </c>
      <c r="D15" s="526">
        <f ca="1">(IFERROR(IFERROR(VALUE(_xll.BDH(D$4,"CURRENT_EV_TO_T12M_EBITDA",$B15,$B15)),VALUE(_xll.BDH(D$4,"CURRENT_EV_TO_T12M_EBITDA",$B15+1,$B15+1))),D16))</f>
        <v>0</v>
      </c>
      <c r="E15" s="526">
        <f ca="1">(IFERROR(IFERROR(VALUE(_xll.BDH(E$4,"CURRENT_EV_TO_T12M_EBITDA",$B15,$B15)),VALUE(_xll.BDH(E$4,"CURRENT_EV_TO_T12M_EBITDA",$B15+1,$B15+1))),E16))</f>
        <v>0</v>
      </c>
      <c r="F15" s="526">
        <f ca="1">(IFERROR(IFERROR(VALUE(_xll.BDH(F$4,"CURRENT_EV_TO_T12M_EBITDA",$B15,$B15)),VALUE(_xll.BDH(F$4,"CURRENT_EV_TO_T12M_EBITDA",$B15+1,$B15+1))),F16))</f>
        <v>0</v>
      </c>
      <c r="G15" s="526">
        <f ca="1">(IFERROR(IFERROR(VALUE(_xll.BDH(G$4,"CURRENT_EV_TO_T12M_EBITDA",$B15,$B15)),VALUE(_xll.BDH(G$4,"CURRENT_EV_TO_T12M_EBITDA",$B15+1,$B15+1))),G16))</f>
        <v>0</v>
      </c>
      <c r="H15" s="526">
        <f ca="1">(IFERROR(IFERROR(VALUE(_xll.BDH(H$4,"CURRENT_EV_TO_T12M_EBITDA",$B15,$B15)),VALUE(_xll.BDH(H$4,"CURRENT_EV_TO_T12M_EBITDA",$B15+1,$B15+1))),H16))</f>
        <v>0</v>
      </c>
      <c r="I15" s="530">
        <f t="shared" ca="1" si="3"/>
        <v>45881</v>
      </c>
      <c r="J15" s="526">
        <f ca="1">(IFERROR(IFERROR(VALUE(_xll.BDH(J$4,"PE_RATIO",$B15,$B15)),VALUE(_xll.BDH(J$4,"PE_RATIO",$B15+1,$B15+1))),J16))</f>
        <v>0</v>
      </c>
      <c r="K15" s="526">
        <f ca="1">(IFERROR(IFERROR(VALUE(_xll.BDH(K$4,"PE_RATIO",$B15,$B15)),VALUE(_xll.BDH(K$4,"PE_RATIO",$B15+1,$B15+1))),K16))</f>
        <v>0</v>
      </c>
      <c r="L15" s="526">
        <f ca="1">(IFERROR(IFERROR(VALUE(_xll.BDH(L$4,"PE_RATIO",$B15,$B15)),VALUE(_xll.BDH(L$4,"PE_RATIO",$B15+1,$B15+1))),L16))</f>
        <v>0</v>
      </c>
      <c r="M15" s="526">
        <f ca="1">(IFERROR(IFERROR(VALUE(_xll.BDH(M$4,"PE_RATIO",$B15,$B15)),VALUE(_xll.BDH(M$4,"PE_RATIO",$B15+1,$B15+1))),M16))</f>
        <v>0</v>
      </c>
      <c r="N15" s="526">
        <f ca="1">(IFERROR(IFERROR(VALUE(_xll.BDH(N$4,"PE_RATIO",$B15,$B15)),VALUE(_xll.BDH(N$4,"PE_RATIO",$B15+1,$B15+1))),N16))</f>
        <v>0</v>
      </c>
      <c r="O15" s="526">
        <f ca="1">(IFERROR(IFERROR(VALUE(_xll.BDH(O$4,"PE_RATIO",$B15,$B15)),VALUE(_xll.BDH(O$4,"PE_RATIO",$B15+1,$B15+1))),O16))</f>
        <v>0</v>
      </c>
      <c r="P15" s="526"/>
      <c r="Q15" s="530">
        <v>45838</v>
      </c>
      <c r="R15" s="4">
        <v>13.99</v>
      </c>
      <c r="S15" s="4">
        <v>22679.01</v>
      </c>
      <c r="T15" s="4">
        <v>8222.6</v>
      </c>
      <c r="U15" s="4">
        <v>6.109170305676856</v>
      </c>
      <c r="V15" s="4">
        <v>2.0151757891117108</v>
      </c>
      <c r="W15" s="4">
        <v>2.1625161414185512</v>
      </c>
      <c r="Y15" s="526">
        <f t="shared" si="4"/>
        <v>13.99</v>
      </c>
      <c r="Z15" s="4">
        <f>IFERROR(VALUE(_xll.BDH(Z$4,"PX_LAST",$Q15,$Q15)),Z16)</f>
        <v>111.52</v>
      </c>
      <c r="AA15" s="4">
        <f>IFERROR(VALUE(_xll.BDH(AA$4,"PX_LAST",$Q15,$Q15)),AA16)</f>
        <v>29.21</v>
      </c>
      <c r="AB15" s="4">
        <f>IFERROR(VALUE(_xll.BDH(AB$4,"PX_LAST",$Q15,$Q15)),AB16)</f>
        <v>165.12</v>
      </c>
      <c r="AC15" s="4">
        <f>IFERROR(VALUE(_xll.BDH(AC$4,"PX_LAST",$Q15,$Q15)),AC16)</f>
        <v>13.88</v>
      </c>
      <c r="AD15" s="4">
        <f>IFERROR(VALUE(_xll.BDH(AD$4,"PX_LAST",$Q15,$Q15)),AD16)</f>
        <v>57</v>
      </c>
      <c r="AF15" s="4">
        <f t="shared" si="5"/>
        <v>6.109170305676856</v>
      </c>
      <c r="AG15" s="4">
        <f t="shared" si="6"/>
        <v>3.7764984761259734</v>
      </c>
      <c r="AH15" s="4">
        <f t="shared" si="7"/>
        <v>1.0277973258268824</v>
      </c>
      <c r="AI15" s="4">
        <f t="shared" si="8"/>
        <v>1.7701543739279588</v>
      </c>
      <c r="AJ15" s="4">
        <f t="shared" si="9"/>
        <v>1.7285180572851808</v>
      </c>
      <c r="AK15" s="4">
        <f t="shared" si="10"/>
        <v>1.951386511468675</v>
      </c>
      <c r="AM15" s="528">
        <v>45897</v>
      </c>
      <c r="AN15" s="529">
        <v>10.16</v>
      </c>
      <c r="AO15" s="529">
        <v>0</v>
      </c>
      <c r="AP15" s="529">
        <v>0</v>
      </c>
      <c r="AQ15" s="529">
        <v>-288.11616240000001</v>
      </c>
      <c r="AR15" s="529">
        <v>0</v>
      </c>
    </row>
    <row r="16" spans="2:44">
      <c r="B16" s="530">
        <f t="shared" ca="1" si="11"/>
        <v>45874</v>
      </c>
      <c r="C16" s="526">
        <f ca="1">(IFERROR(IFERROR(VALUE(_xll.BDH(C$4,"CURRENT_EV_TO_T12M_EBITDA",$B16,$B16)),VALUE(_xll.BDH(C$4,"CURRENT_EV_TO_T12M_EBITDA",$B16+1,$B16+1))),C17))</f>
        <v>0</v>
      </c>
      <c r="D16" s="526">
        <f ca="1">(IFERROR(IFERROR(VALUE(_xll.BDH(D$4,"CURRENT_EV_TO_T12M_EBITDA",$B16,$B16)),VALUE(_xll.BDH(D$4,"CURRENT_EV_TO_T12M_EBITDA",$B16+1,$B16+1))),D17))</f>
        <v>0</v>
      </c>
      <c r="E16" s="526">
        <f ca="1">(IFERROR(IFERROR(VALUE(_xll.BDH(E$4,"CURRENT_EV_TO_T12M_EBITDA",$B16,$B16)),VALUE(_xll.BDH(E$4,"CURRENT_EV_TO_T12M_EBITDA",$B16+1,$B16+1))),E17))</f>
        <v>0</v>
      </c>
      <c r="F16" s="526">
        <f ca="1">(IFERROR(IFERROR(VALUE(_xll.BDH(F$4,"CURRENT_EV_TO_T12M_EBITDA",$B16,$B16)),VALUE(_xll.BDH(F$4,"CURRENT_EV_TO_T12M_EBITDA",$B16+1,$B16+1))),F17))</f>
        <v>0</v>
      </c>
      <c r="G16" s="526">
        <f ca="1">(IFERROR(IFERROR(VALUE(_xll.BDH(G$4,"CURRENT_EV_TO_T12M_EBITDA",$B16,$B16)),VALUE(_xll.BDH(G$4,"CURRENT_EV_TO_T12M_EBITDA",$B16+1,$B16+1))),G17))</f>
        <v>0</v>
      </c>
      <c r="H16" s="526">
        <f ca="1">(IFERROR(IFERROR(VALUE(_xll.BDH(H$4,"CURRENT_EV_TO_T12M_EBITDA",$B16,$B16)),VALUE(_xll.BDH(H$4,"CURRENT_EV_TO_T12M_EBITDA",$B16+1,$B16+1))),H17))</f>
        <v>0</v>
      </c>
      <c r="I16" s="530">
        <f t="shared" ca="1" si="3"/>
        <v>45874</v>
      </c>
      <c r="J16" s="526">
        <f ca="1">(IFERROR(IFERROR(VALUE(_xll.BDH(J$4,"PE_RATIO",$B16,$B16)),VALUE(_xll.BDH(J$4,"PE_RATIO",$B16+1,$B16+1))),J17))</f>
        <v>0</v>
      </c>
      <c r="K16" s="526">
        <f ca="1">(IFERROR(IFERROR(VALUE(_xll.BDH(K$4,"PE_RATIO",$B16,$B16)),VALUE(_xll.BDH(K$4,"PE_RATIO",$B16+1,$B16+1))),K17))</f>
        <v>0</v>
      </c>
      <c r="L16" s="526">
        <f ca="1">(IFERROR(IFERROR(VALUE(_xll.BDH(L$4,"PE_RATIO",$B16,$B16)),VALUE(_xll.BDH(L$4,"PE_RATIO",$B16+1,$B16+1))),L17))</f>
        <v>0</v>
      </c>
      <c r="M16" s="526">
        <f ca="1">(IFERROR(IFERROR(VALUE(_xll.BDH(M$4,"PE_RATIO",$B16,$B16)),VALUE(_xll.BDH(M$4,"PE_RATIO",$B16+1,$B16+1))),M17))</f>
        <v>0</v>
      </c>
      <c r="N16" s="526">
        <f ca="1">(IFERROR(IFERROR(VALUE(_xll.BDH(N$4,"PE_RATIO",$B16,$B16)),VALUE(_xll.BDH(N$4,"PE_RATIO",$B16+1,$B16+1))),N17))</f>
        <v>0</v>
      </c>
      <c r="O16" s="526">
        <f ca="1">(IFERROR(IFERROR(VALUE(_xll.BDH(O$4,"PE_RATIO",$B16,$B16)),VALUE(_xll.BDH(O$4,"PE_RATIO",$B16+1,$B16+1))),O17))</f>
        <v>0</v>
      </c>
      <c r="P16" s="526"/>
      <c r="Q16" s="530">
        <v>45831</v>
      </c>
      <c r="R16" s="4">
        <v>13.4</v>
      </c>
      <c r="S16" s="4">
        <v>21856.33</v>
      </c>
      <c r="T16" s="4">
        <v>8022.47</v>
      </c>
      <c r="U16" s="4">
        <v>5.8515283842794759</v>
      </c>
      <c r="V16" s="4">
        <v>1.942075384015262</v>
      </c>
      <c r="W16" s="4">
        <v>2.1098826246012314</v>
      </c>
      <c r="Y16" s="526">
        <f t="shared" si="4"/>
        <v>13.4</v>
      </c>
      <c r="Z16" s="4">
        <f>IFERROR(VALUE(_xll.BDH(Z$4,"PX_LAST",$Q16,$Q16)),Z17)</f>
        <v>99.78</v>
      </c>
      <c r="AA16" s="4">
        <f>IFERROR(VALUE(_xll.BDH(AA$4,"PX_LAST",$Q16,$Q16)),AA17)</f>
        <v>27.84</v>
      </c>
      <c r="AB16" s="4">
        <f>IFERROR(VALUE(_xll.BDH(AB$4,"PX_LAST",$Q16,$Q16)),AB17)</f>
        <v>156.33000000000001</v>
      </c>
      <c r="AC16" s="4">
        <f>IFERROR(VALUE(_xll.BDH(AC$4,"PX_LAST",$Q16,$Q16)),AC17)</f>
        <v>13.18</v>
      </c>
      <c r="AD16" s="4">
        <f>IFERROR(VALUE(_xll.BDH(AD$4,"PX_LAST",$Q16,$Q16)),AD17)</f>
        <v>54.03</v>
      </c>
      <c r="AF16" s="4">
        <f t="shared" si="5"/>
        <v>5.8515283842794759</v>
      </c>
      <c r="AG16" s="4">
        <f t="shared" si="6"/>
        <v>3.3789366745682354</v>
      </c>
      <c r="AH16" s="4">
        <f t="shared" si="7"/>
        <v>0.97959183673469385</v>
      </c>
      <c r="AI16" s="4">
        <f t="shared" si="8"/>
        <v>1.6759219554030875</v>
      </c>
      <c r="AJ16" s="4">
        <f t="shared" si="9"/>
        <v>1.6413449564134497</v>
      </c>
      <c r="AK16" s="4">
        <f t="shared" si="10"/>
        <v>1.8497090037658337</v>
      </c>
      <c r="AM16" s="528">
        <v>45896</v>
      </c>
      <c r="AN16" s="529">
        <v>10.15</v>
      </c>
      <c r="AO16" s="529">
        <v>0</v>
      </c>
      <c r="AP16" s="529">
        <v>0</v>
      </c>
      <c r="AQ16" s="529">
        <v>-287.8325835</v>
      </c>
      <c r="AR16" s="529">
        <v>0</v>
      </c>
    </row>
    <row r="17" spans="2:44">
      <c r="B17" s="530">
        <f t="shared" ca="1" si="11"/>
        <v>45867</v>
      </c>
      <c r="C17" s="526">
        <f ca="1">(IFERROR(IFERROR(VALUE(_xll.BDH(C$4,"CURRENT_EV_TO_T12M_EBITDA",$B17,$B17)),VALUE(_xll.BDH(C$4,"CURRENT_EV_TO_T12M_EBITDA",$B17+1,$B17+1))),C18))</f>
        <v>0</v>
      </c>
      <c r="D17" s="526">
        <f ca="1">(IFERROR(IFERROR(VALUE(_xll.BDH(D$4,"CURRENT_EV_TO_T12M_EBITDA",$B17,$B17)),VALUE(_xll.BDH(D$4,"CURRENT_EV_TO_T12M_EBITDA",$B17+1,$B17+1))),D18))</f>
        <v>0</v>
      </c>
      <c r="E17" s="526">
        <f ca="1">(IFERROR(IFERROR(VALUE(_xll.BDH(E$4,"CURRENT_EV_TO_T12M_EBITDA",$B17,$B17)),VALUE(_xll.BDH(E$4,"CURRENT_EV_TO_T12M_EBITDA",$B17+1,$B17+1))),E18))</f>
        <v>0</v>
      </c>
      <c r="F17" s="526">
        <f ca="1">(IFERROR(IFERROR(VALUE(_xll.BDH(F$4,"CURRENT_EV_TO_T12M_EBITDA",$B17,$B17)),VALUE(_xll.BDH(F$4,"CURRENT_EV_TO_T12M_EBITDA",$B17+1,$B17+1))),F18))</f>
        <v>0</v>
      </c>
      <c r="G17" s="526">
        <f ca="1">(IFERROR(IFERROR(VALUE(_xll.BDH(G$4,"CURRENT_EV_TO_T12M_EBITDA",$B17,$B17)),VALUE(_xll.BDH(G$4,"CURRENT_EV_TO_T12M_EBITDA",$B17+1,$B17+1))),G18))</f>
        <v>0</v>
      </c>
      <c r="H17" s="526">
        <f ca="1">(IFERROR(IFERROR(VALUE(_xll.BDH(H$4,"CURRENT_EV_TO_T12M_EBITDA",$B17,$B17)),VALUE(_xll.BDH(H$4,"CURRENT_EV_TO_T12M_EBITDA",$B17+1,$B17+1))),H18))</f>
        <v>0</v>
      </c>
      <c r="I17" s="530">
        <f t="shared" ca="1" si="3"/>
        <v>45867</v>
      </c>
      <c r="J17" s="526">
        <f ca="1">(IFERROR(IFERROR(VALUE(_xll.BDH(J$4,"PE_RATIO",$B17,$B17)),VALUE(_xll.BDH(J$4,"PE_RATIO",$B17+1,$B17+1))),J18))</f>
        <v>0</v>
      </c>
      <c r="K17" s="526">
        <f ca="1">(IFERROR(IFERROR(VALUE(_xll.BDH(K$4,"PE_RATIO",$B17,$B17)),VALUE(_xll.BDH(K$4,"PE_RATIO",$B17+1,$B17+1))),K18))</f>
        <v>0</v>
      </c>
      <c r="L17" s="526">
        <f ca="1">(IFERROR(IFERROR(VALUE(_xll.BDH(L$4,"PE_RATIO",$B17,$B17)),VALUE(_xll.BDH(L$4,"PE_RATIO",$B17+1,$B17+1))),L18))</f>
        <v>0</v>
      </c>
      <c r="M17" s="526">
        <f ca="1">(IFERROR(IFERROR(VALUE(_xll.BDH(M$4,"PE_RATIO",$B17,$B17)),VALUE(_xll.BDH(M$4,"PE_RATIO",$B17+1,$B17+1))),M18))</f>
        <v>0</v>
      </c>
      <c r="N17" s="526">
        <f ca="1">(IFERROR(IFERROR(VALUE(_xll.BDH(N$4,"PE_RATIO",$B17,$B17)),VALUE(_xll.BDH(N$4,"PE_RATIO",$B17+1,$B17+1))),N18))</f>
        <v>0</v>
      </c>
      <c r="O17" s="526">
        <f ca="1">(IFERROR(IFERROR(VALUE(_xll.BDH(O$4,"PE_RATIO",$B17,$B17)),VALUE(_xll.BDH(O$4,"PE_RATIO",$B17+1,$B17+1))),O18))</f>
        <v>0</v>
      </c>
      <c r="P17" s="526"/>
      <c r="Q17" s="530">
        <v>45824</v>
      </c>
      <c r="R17" s="4">
        <v>12.3</v>
      </c>
      <c r="S17" s="4">
        <v>21937.57</v>
      </c>
      <c r="T17" s="4">
        <v>7985.66</v>
      </c>
      <c r="U17" s="4">
        <v>5.3711790393013104</v>
      </c>
      <c r="V17" s="4">
        <v>1.9492940801182856</v>
      </c>
      <c r="W17" s="4">
        <v>2.1002017184200215</v>
      </c>
      <c r="Y17" s="526">
        <f t="shared" si="4"/>
        <v>12.3</v>
      </c>
      <c r="Z17" s="4">
        <f>IFERROR(VALUE(_xll.BDH(Z$4,"PX_LAST",$Q17,$Q17)),Z18)</f>
        <v>96.02</v>
      </c>
      <c r="AA17" s="4">
        <f>IFERROR(VALUE(_xll.BDH(AA$4,"PX_LAST",$Q17,$Q17)),AA18)</f>
        <v>28.16</v>
      </c>
      <c r="AB17" s="4">
        <f>IFERROR(VALUE(_xll.BDH(AB$4,"PX_LAST",$Q17,$Q17)),AB18)</f>
        <v>153.37</v>
      </c>
      <c r="AC17" s="4">
        <f>IFERROR(VALUE(_xll.BDH(AC$4,"PX_LAST",$Q17,$Q17)),AC18)</f>
        <v>13.32</v>
      </c>
      <c r="AD17" s="4">
        <f>IFERROR(VALUE(_xll.BDH(AD$4,"PX_LAST",$Q17,$Q17)),AD18)</f>
        <v>52.88</v>
      </c>
      <c r="AF17" s="4">
        <f t="shared" si="5"/>
        <v>5.3711790393013104</v>
      </c>
      <c r="AG17" s="4">
        <f t="shared" si="6"/>
        <v>3.2516085336945477</v>
      </c>
      <c r="AH17" s="4">
        <f t="shared" si="7"/>
        <v>0.99085151301900065</v>
      </c>
      <c r="AI17" s="4">
        <f t="shared" si="8"/>
        <v>1.6441895368782162</v>
      </c>
      <c r="AJ17" s="4">
        <f t="shared" si="9"/>
        <v>1.658779576587796</v>
      </c>
      <c r="AK17" s="4">
        <f t="shared" si="10"/>
        <v>1.8103389250256763</v>
      </c>
      <c r="AM17" s="528">
        <v>45895</v>
      </c>
      <c r="AN17" s="529">
        <v>10.73</v>
      </c>
      <c r="AO17" s="529">
        <v>0</v>
      </c>
      <c r="AP17" s="529">
        <v>0</v>
      </c>
      <c r="AQ17" s="529">
        <v>-304.28015970000001</v>
      </c>
      <c r="AR17" s="529">
        <v>0</v>
      </c>
    </row>
    <row r="18" spans="2:44">
      <c r="B18" s="530">
        <f t="shared" ca="1" si="11"/>
        <v>45860</v>
      </c>
      <c r="C18" s="526">
        <f ca="1">(IFERROR(IFERROR(VALUE(_xll.BDH(C$4,"CURRENT_EV_TO_T12M_EBITDA",$B18,$B18)),VALUE(_xll.BDH(C$4,"CURRENT_EV_TO_T12M_EBITDA",$B18+1,$B18+1))),C19))</f>
        <v>0</v>
      </c>
      <c r="D18" s="526">
        <f ca="1">(IFERROR(IFERROR(VALUE(_xll.BDH(D$4,"CURRENT_EV_TO_T12M_EBITDA",$B18,$B18)),VALUE(_xll.BDH(D$4,"CURRENT_EV_TO_T12M_EBITDA",$B18+1,$B18+1))),D19))</f>
        <v>0</v>
      </c>
      <c r="E18" s="526">
        <f ca="1">(IFERROR(IFERROR(VALUE(_xll.BDH(E$4,"CURRENT_EV_TO_T12M_EBITDA",$B18,$B18)),VALUE(_xll.BDH(E$4,"CURRENT_EV_TO_T12M_EBITDA",$B18+1,$B18+1))),E19))</f>
        <v>0</v>
      </c>
      <c r="F18" s="526">
        <f ca="1">(IFERROR(IFERROR(VALUE(_xll.BDH(F$4,"CURRENT_EV_TO_T12M_EBITDA",$B18,$B18)),VALUE(_xll.BDH(F$4,"CURRENT_EV_TO_T12M_EBITDA",$B18+1,$B18+1))),F19))</f>
        <v>0</v>
      </c>
      <c r="G18" s="526">
        <f ca="1">(IFERROR(IFERROR(VALUE(_xll.BDH(G$4,"CURRENT_EV_TO_T12M_EBITDA",$B18,$B18)),VALUE(_xll.BDH(G$4,"CURRENT_EV_TO_T12M_EBITDA",$B18+1,$B18+1))),G19))</f>
        <v>0</v>
      </c>
      <c r="H18" s="526">
        <f ca="1">(IFERROR(IFERROR(VALUE(_xll.BDH(H$4,"CURRENT_EV_TO_T12M_EBITDA",$B18,$B18)),VALUE(_xll.BDH(H$4,"CURRENT_EV_TO_T12M_EBITDA",$B18+1,$B18+1))),H19))</f>
        <v>0</v>
      </c>
      <c r="I18" s="530">
        <f t="shared" ca="1" si="3"/>
        <v>45860</v>
      </c>
      <c r="J18" s="526">
        <f ca="1">(IFERROR(IFERROR(VALUE(_xll.BDH(J$4,"PE_RATIO",$B18,$B18)),VALUE(_xll.BDH(J$4,"PE_RATIO",$B18+1,$B18+1))),J19))</f>
        <v>0</v>
      </c>
      <c r="K18" s="526">
        <f ca="1">(IFERROR(IFERROR(VALUE(_xll.BDH(K$4,"PE_RATIO",$B18,$B18)),VALUE(_xll.BDH(K$4,"PE_RATIO",$B18+1,$B18+1))),K19))</f>
        <v>0</v>
      </c>
      <c r="L18" s="526">
        <f ca="1">(IFERROR(IFERROR(VALUE(_xll.BDH(L$4,"PE_RATIO",$B18,$B18)),VALUE(_xll.BDH(L$4,"PE_RATIO",$B18+1,$B18+1))),L19))</f>
        <v>0</v>
      </c>
      <c r="M18" s="526">
        <f ca="1">(IFERROR(IFERROR(VALUE(_xll.BDH(M$4,"PE_RATIO",$B18,$B18)),VALUE(_xll.BDH(M$4,"PE_RATIO",$B18+1,$B18+1))),M19))</f>
        <v>0</v>
      </c>
      <c r="N18" s="526">
        <f ca="1">(IFERROR(IFERROR(VALUE(_xll.BDH(N$4,"PE_RATIO",$B18,$B18)),VALUE(_xll.BDH(N$4,"PE_RATIO",$B18+1,$B18+1))),N19))</f>
        <v>0</v>
      </c>
      <c r="O18" s="526">
        <f ca="1">(IFERROR(IFERROR(VALUE(_xll.BDH(O$4,"PE_RATIO",$B18,$B18)),VALUE(_xll.BDH(O$4,"PE_RATIO",$B18+1,$B18+1))),O19))</f>
        <v>0</v>
      </c>
      <c r="P18" s="526"/>
      <c r="Q18" s="530">
        <v>45817</v>
      </c>
      <c r="R18" s="4">
        <v>13.89</v>
      </c>
      <c r="S18" s="4">
        <v>21797.87</v>
      </c>
      <c r="T18" s="4">
        <v>7839.8</v>
      </c>
      <c r="U18" s="4">
        <v>6.0655021834061138</v>
      </c>
      <c r="V18" s="4">
        <v>1.9368808373118795</v>
      </c>
      <c r="W18" s="4">
        <v>2.0618410290532383</v>
      </c>
      <c r="Y18" s="526">
        <f t="shared" si="4"/>
        <v>13.89</v>
      </c>
      <c r="Z18" s="4">
        <f>IFERROR(VALUE(_xll.BDH(Z$4,"PX_LAST",$Q18,$Q18)),Z19)</f>
        <v>97.08</v>
      </c>
      <c r="AA18" s="4">
        <f>IFERROR(VALUE(_xll.BDH(AA$4,"PX_LAST",$Q18,$Q18)),AA19)</f>
        <v>27.84</v>
      </c>
      <c r="AB18" s="4">
        <f>IFERROR(VALUE(_xll.BDH(AB$4,"PX_LAST",$Q18,$Q18)),AB19)</f>
        <v>157.61000000000001</v>
      </c>
      <c r="AC18" s="4">
        <f>IFERROR(VALUE(_xll.BDH(AC$4,"PX_LAST",$Q18,$Q18)),AC19)</f>
        <v>13.71</v>
      </c>
      <c r="AD18" s="4">
        <f>IFERROR(VALUE(_xll.BDH(AD$4,"PX_LAST",$Q18,$Q18)),AD19)</f>
        <v>52.87</v>
      </c>
      <c r="AF18" s="4">
        <f t="shared" si="5"/>
        <v>6.0655021834061138</v>
      </c>
      <c r="AG18" s="4">
        <f t="shared" si="6"/>
        <v>3.2875042329834065</v>
      </c>
      <c r="AH18" s="4">
        <f t="shared" si="7"/>
        <v>0.97959183673469385</v>
      </c>
      <c r="AI18" s="4">
        <f t="shared" si="8"/>
        <v>1.6896440823327616</v>
      </c>
      <c r="AJ18" s="4">
        <f t="shared" si="9"/>
        <v>1.7073474470734746</v>
      </c>
      <c r="AK18" s="4">
        <f t="shared" si="10"/>
        <v>1.809996576514892</v>
      </c>
      <c r="AM18" s="528">
        <v>45894</v>
      </c>
      <c r="AN18" s="529">
        <v>9.9700000000000006</v>
      </c>
      <c r="AO18" s="529">
        <v>0</v>
      </c>
      <c r="AP18" s="529">
        <v>0</v>
      </c>
      <c r="AQ18" s="529">
        <v>-282.72816330000001</v>
      </c>
      <c r="AR18" s="529">
        <v>0</v>
      </c>
    </row>
    <row r="19" spans="2:44">
      <c r="B19" s="530">
        <f t="shared" ca="1" si="11"/>
        <v>45853</v>
      </c>
      <c r="C19" s="526">
        <f ca="1">(IFERROR(IFERROR(VALUE(_xll.BDH(C$4,"CURRENT_EV_TO_T12M_EBITDA",$B19,$B19)),VALUE(_xll.BDH(C$4,"CURRENT_EV_TO_T12M_EBITDA",$B19+1,$B19+1))),C20))</f>
        <v>0</v>
      </c>
      <c r="D19" s="526">
        <f ca="1">(IFERROR(IFERROR(VALUE(_xll.BDH(D$4,"CURRENT_EV_TO_T12M_EBITDA",$B19,$B19)),VALUE(_xll.BDH(D$4,"CURRENT_EV_TO_T12M_EBITDA",$B19+1,$B19+1))),D20))</f>
        <v>0</v>
      </c>
      <c r="E19" s="526">
        <f ca="1">(IFERROR(IFERROR(VALUE(_xll.BDH(E$4,"CURRENT_EV_TO_T12M_EBITDA",$B19,$B19)),VALUE(_xll.BDH(E$4,"CURRENT_EV_TO_T12M_EBITDA",$B19+1,$B19+1))),E20))</f>
        <v>0</v>
      </c>
      <c r="F19" s="526">
        <f ca="1">(IFERROR(IFERROR(VALUE(_xll.BDH(F$4,"CURRENT_EV_TO_T12M_EBITDA",$B19,$B19)),VALUE(_xll.BDH(F$4,"CURRENT_EV_TO_T12M_EBITDA",$B19+1,$B19+1))),F20))</f>
        <v>0</v>
      </c>
      <c r="G19" s="526">
        <f ca="1">(IFERROR(IFERROR(VALUE(_xll.BDH(G$4,"CURRENT_EV_TO_T12M_EBITDA",$B19,$B19)),VALUE(_xll.BDH(G$4,"CURRENT_EV_TO_T12M_EBITDA",$B19+1,$B19+1))),G20))</f>
        <v>0</v>
      </c>
      <c r="H19" s="526">
        <f ca="1">(IFERROR(IFERROR(VALUE(_xll.BDH(H$4,"CURRENT_EV_TO_T12M_EBITDA",$B19,$B19)),VALUE(_xll.BDH(H$4,"CURRENT_EV_TO_T12M_EBITDA",$B19+1,$B19+1))),H20))</f>
        <v>0</v>
      </c>
      <c r="I19" s="530">
        <f t="shared" ca="1" si="3"/>
        <v>45853</v>
      </c>
      <c r="J19" s="526">
        <f ca="1">(IFERROR(IFERROR(VALUE(_xll.BDH(J$4,"PE_RATIO",$B19,$B19)),VALUE(_xll.BDH(J$4,"PE_RATIO",$B19+1,$B19+1))),J20))</f>
        <v>0</v>
      </c>
      <c r="K19" s="526">
        <f ca="1">(IFERROR(IFERROR(VALUE(_xll.BDH(K$4,"PE_RATIO",$B19,$B19)),VALUE(_xll.BDH(K$4,"PE_RATIO",$B19+1,$B19+1))),K20))</f>
        <v>0</v>
      </c>
      <c r="L19" s="526">
        <f ca="1">(IFERROR(IFERROR(VALUE(_xll.BDH(L$4,"PE_RATIO",$B19,$B19)),VALUE(_xll.BDH(L$4,"PE_RATIO",$B19+1,$B19+1))),L20))</f>
        <v>0</v>
      </c>
      <c r="M19" s="526">
        <f ca="1">(IFERROR(IFERROR(VALUE(_xll.BDH(M$4,"PE_RATIO",$B19,$B19)),VALUE(_xll.BDH(M$4,"PE_RATIO",$B19+1,$B19+1))),M20))</f>
        <v>0</v>
      </c>
      <c r="N19" s="526">
        <f ca="1">(IFERROR(IFERROR(VALUE(_xll.BDH(N$4,"PE_RATIO",$B19,$B19)),VALUE(_xll.BDH(N$4,"PE_RATIO",$B19+1,$B19+1))),N20))</f>
        <v>0</v>
      </c>
      <c r="O19" s="526">
        <f ca="1">(IFERROR(IFERROR(VALUE(_xll.BDH(O$4,"PE_RATIO",$B19,$B19)),VALUE(_xll.BDH(O$4,"PE_RATIO",$B19+1,$B19+1))),O20))</f>
        <v>0</v>
      </c>
      <c r="P19" s="526"/>
      <c r="Q19" s="530">
        <v>45810</v>
      </c>
      <c r="R19" s="4">
        <v>13.2</v>
      </c>
      <c r="S19" s="4">
        <v>21491.75</v>
      </c>
      <c r="T19" s="4">
        <v>7668.77</v>
      </c>
      <c r="U19" s="4">
        <v>5.7641921397379905</v>
      </c>
      <c r="V19" s="4">
        <v>1.9096801079783297</v>
      </c>
      <c r="W19" s="4">
        <v>2.0168607143514636</v>
      </c>
      <c r="Y19" s="526">
        <f t="shared" si="4"/>
        <v>13.2</v>
      </c>
      <c r="Z19" s="4">
        <f>IFERROR(VALUE(_xll.BDH(Z$4,"PX_LAST",$Q19,$Q19)),Z20)</f>
        <v>92.91</v>
      </c>
      <c r="AA19" s="4">
        <f>IFERROR(VALUE(_xll.BDH(AA$4,"PX_LAST",$Q19,$Q19)),AA20)</f>
        <v>26.34</v>
      </c>
      <c r="AB19" s="4">
        <f>IFERROR(VALUE(_xll.BDH(AB$4,"PX_LAST",$Q19,$Q19)),AB20)</f>
        <v>155.54</v>
      </c>
      <c r="AC19" s="4">
        <f>IFERROR(VALUE(_xll.BDH(AC$4,"PX_LAST",$Q19,$Q19)),AC20)</f>
        <v>13.25</v>
      </c>
      <c r="AD19" s="4">
        <f>IFERROR(VALUE(_xll.BDH(AD$4,"PX_LAST",$Q19,$Q19)),AD20)</f>
        <v>51.54</v>
      </c>
      <c r="AF19" s="4">
        <f t="shared" si="5"/>
        <v>5.7641921397379905</v>
      </c>
      <c r="AG19" s="4">
        <f t="shared" si="6"/>
        <v>3.1462919065357262</v>
      </c>
      <c r="AH19" s="4">
        <f t="shared" si="7"/>
        <v>0.92681210415200554</v>
      </c>
      <c r="AI19" s="4">
        <f t="shared" si="8"/>
        <v>1.6674528301886791</v>
      </c>
      <c r="AJ19" s="4">
        <f t="shared" si="9"/>
        <v>1.6500622665006228</v>
      </c>
      <c r="AK19" s="4">
        <f t="shared" si="10"/>
        <v>1.764464224580623</v>
      </c>
      <c r="AM19" s="528">
        <v>45893</v>
      </c>
      <c r="AN19" s="529">
        <v>9.7799999999999994</v>
      </c>
      <c r="AO19" s="529">
        <v>-1935790</v>
      </c>
      <c r="AP19" s="529">
        <v>-56.715780000000002</v>
      </c>
      <c r="AQ19" s="529">
        <v>-832.02049260000001</v>
      </c>
      <c r="AR19" s="529">
        <v>-0.8034</v>
      </c>
    </row>
    <row r="20" spans="2:44">
      <c r="B20" s="530">
        <f t="shared" ca="1" si="11"/>
        <v>45846</v>
      </c>
      <c r="C20" s="526">
        <f ca="1">(IFERROR(IFERROR(VALUE(_xll.BDH(C$4,"CURRENT_EV_TO_T12M_EBITDA",$B20,$B20)),VALUE(_xll.BDH(C$4,"CURRENT_EV_TO_T12M_EBITDA",$B20+1,$B20+1))),C21))</f>
        <v>0</v>
      </c>
      <c r="D20" s="526">
        <f ca="1">(IFERROR(IFERROR(VALUE(_xll.BDH(D$4,"CURRENT_EV_TO_T12M_EBITDA",$B20,$B20)),VALUE(_xll.BDH(D$4,"CURRENT_EV_TO_T12M_EBITDA",$B20+1,$B20+1))),D21))</f>
        <v>0</v>
      </c>
      <c r="E20" s="526">
        <f ca="1">(IFERROR(IFERROR(VALUE(_xll.BDH(E$4,"CURRENT_EV_TO_T12M_EBITDA",$B20,$B20)),VALUE(_xll.BDH(E$4,"CURRENT_EV_TO_T12M_EBITDA",$B20+1,$B20+1))),E21))</f>
        <v>0</v>
      </c>
      <c r="F20" s="526">
        <f ca="1">(IFERROR(IFERROR(VALUE(_xll.BDH(F$4,"CURRENT_EV_TO_T12M_EBITDA",$B20,$B20)),VALUE(_xll.BDH(F$4,"CURRENT_EV_TO_T12M_EBITDA",$B20+1,$B20+1))),F21))</f>
        <v>0</v>
      </c>
      <c r="G20" s="526">
        <f ca="1">(IFERROR(IFERROR(VALUE(_xll.BDH(G$4,"CURRENT_EV_TO_T12M_EBITDA",$B20,$B20)),VALUE(_xll.BDH(G$4,"CURRENT_EV_TO_T12M_EBITDA",$B20+1,$B20+1))),G21))</f>
        <v>0</v>
      </c>
      <c r="H20" s="526">
        <f ca="1">(IFERROR(IFERROR(VALUE(_xll.BDH(H$4,"CURRENT_EV_TO_T12M_EBITDA",$B20,$B20)),VALUE(_xll.BDH(H$4,"CURRENT_EV_TO_T12M_EBITDA",$B20+1,$B20+1))),H21))</f>
        <v>0</v>
      </c>
      <c r="I20" s="530">
        <f t="shared" ca="1" si="3"/>
        <v>45846</v>
      </c>
      <c r="J20" s="526">
        <f ca="1">(IFERROR(IFERROR(VALUE(_xll.BDH(J$4,"PE_RATIO",$B20,$B20)),VALUE(_xll.BDH(J$4,"PE_RATIO",$B20+1,$B20+1))),J21))</f>
        <v>0</v>
      </c>
      <c r="K20" s="526">
        <f ca="1">(IFERROR(IFERROR(VALUE(_xll.BDH(K$4,"PE_RATIO",$B20,$B20)),VALUE(_xll.BDH(K$4,"PE_RATIO",$B20+1,$B20+1))),K21))</f>
        <v>0</v>
      </c>
      <c r="L20" s="526">
        <f ca="1">(IFERROR(IFERROR(VALUE(_xll.BDH(L$4,"PE_RATIO",$B20,$B20)),VALUE(_xll.BDH(L$4,"PE_RATIO",$B20+1,$B20+1))),L21))</f>
        <v>0</v>
      </c>
      <c r="M20" s="526">
        <f ca="1">(IFERROR(IFERROR(VALUE(_xll.BDH(M$4,"PE_RATIO",$B20,$B20)),VALUE(_xll.BDH(M$4,"PE_RATIO",$B20+1,$B20+1))),M21))</f>
        <v>0</v>
      </c>
      <c r="N20" s="526">
        <f ca="1">(IFERROR(IFERROR(VALUE(_xll.BDH(N$4,"PE_RATIO",$B20,$B20)),VALUE(_xll.BDH(N$4,"PE_RATIO",$B20+1,$B20+1))),N21))</f>
        <v>0</v>
      </c>
      <c r="O20" s="526">
        <f ca="1">(IFERROR(IFERROR(VALUE(_xll.BDH(O$4,"PE_RATIO",$B20,$B20)),VALUE(_xll.BDH(O$4,"PE_RATIO",$B20+1,$B20+1))),O21))</f>
        <v>0</v>
      </c>
      <c r="P20" s="526"/>
      <c r="Q20" s="530">
        <v>45803</v>
      </c>
      <c r="R20" s="4">
        <v>11.89</v>
      </c>
      <c r="S20" s="4">
        <v>21447.05</v>
      </c>
      <c r="T20" s="4">
        <v>7656.6</v>
      </c>
      <c r="U20" s="4">
        <v>5.1921397379912664</v>
      </c>
      <c r="V20" s="4">
        <v>1.9057082257059863</v>
      </c>
      <c r="W20" s="4">
        <v>2.0136600452880211</v>
      </c>
      <c r="Y20" s="526">
        <f t="shared" si="4"/>
        <v>11.89</v>
      </c>
      <c r="Z20" s="4">
        <f>IFERROR(VALUE(_xll.BDH(Z$4,"PX_LAST",$Q20,$Q20)),Z21)</f>
        <v>97.3</v>
      </c>
      <c r="AA20" s="4">
        <f>IFERROR(VALUE(_xll.BDH(AA$4,"PX_LAST",$Q20,$Q20)),AA21)</f>
        <v>28.95</v>
      </c>
      <c r="AB20" s="4">
        <f>IFERROR(VALUE(_xll.BDH(AB$4,"PX_LAST",$Q20,$Q20)),AB21)</f>
        <v>148.46</v>
      </c>
      <c r="AC20" s="4">
        <f>IFERROR(VALUE(_xll.BDH(AC$4,"PX_LAST",$Q20,$Q20)),AC21)</f>
        <v>13.9</v>
      </c>
      <c r="AD20" s="4">
        <f>IFERROR(VALUE(_xll.BDH(AD$4,"PX_LAST",$Q20,$Q20)),AD21)</f>
        <v>51.74</v>
      </c>
      <c r="AF20" s="4">
        <f t="shared" si="5"/>
        <v>5.1921397379912664</v>
      </c>
      <c r="AG20" s="4">
        <f t="shared" si="6"/>
        <v>3.2949542837792074</v>
      </c>
      <c r="AH20" s="4">
        <f t="shared" si="7"/>
        <v>1.0186488388458832</v>
      </c>
      <c r="AI20" s="4">
        <f t="shared" si="8"/>
        <v>1.5915523156089195</v>
      </c>
      <c r="AJ20" s="4">
        <f t="shared" si="9"/>
        <v>1.7310087173100874</v>
      </c>
      <c r="AK20" s="4">
        <f t="shared" si="10"/>
        <v>1.7713111947963027</v>
      </c>
      <c r="AM20" s="528">
        <v>45892</v>
      </c>
      <c r="AN20" s="529">
        <v>9.7799999999999994</v>
      </c>
      <c r="AO20" s="529">
        <v>-967895</v>
      </c>
      <c r="AP20" s="529">
        <v>-28.357890000000001</v>
      </c>
      <c r="AQ20" s="529">
        <v>-554.68032840000001</v>
      </c>
      <c r="AR20" s="529">
        <v>-0.4017</v>
      </c>
    </row>
    <row r="21" spans="2:44">
      <c r="B21" s="530">
        <f t="shared" ca="1" si="11"/>
        <v>45839</v>
      </c>
      <c r="C21" s="526">
        <f ca="1">(IFERROR(IFERROR(VALUE(_xll.BDH(C$4,"CURRENT_EV_TO_T12M_EBITDA",$B21,$B21)),VALUE(_xll.BDH(C$4,"CURRENT_EV_TO_T12M_EBITDA",$B21+1,$B21+1))),C22))</f>
        <v>0</v>
      </c>
      <c r="D21" s="526">
        <f ca="1">(IFERROR(IFERROR(VALUE(_xll.BDH(D$4,"CURRENT_EV_TO_T12M_EBITDA",$B21,$B21)),VALUE(_xll.BDH(D$4,"CURRENT_EV_TO_T12M_EBITDA",$B21+1,$B21+1))),D22))</f>
        <v>0</v>
      </c>
      <c r="E21" s="526">
        <f ca="1">(IFERROR(IFERROR(VALUE(_xll.BDH(E$4,"CURRENT_EV_TO_T12M_EBITDA",$B21,$B21)),VALUE(_xll.BDH(E$4,"CURRENT_EV_TO_T12M_EBITDA",$B21+1,$B21+1))),E22))</f>
        <v>0</v>
      </c>
      <c r="F21" s="526">
        <f ca="1">(IFERROR(IFERROR(VALUE(_xll.BDH(F$4,"CURRENT_EV_TO_T12M_EBITDA",$B21,$B21)),VALUE(_xll.BDH(F$4,"CURRENT_EV_TO_T12M_EBITDA",$B21+1,$B21+1))),F22))</f>
        <v>0</v>
      </c>
      <c r="G21" s="526">
        <f ca="1">(IFERROR(IFERROR(VALUE(_xll.BDH(G$4,"CURRENT_EV_TO_T12M_EBITDA",$B21,$B21)),VALUE(_xll.BDH(G$4,"CURRENT_EV_TO_T12M_EBITDA",$B21+1,$B21+1))),G22))</f>
        <v>0</v>
      </c>
      <c r="H21" s="526">
        <f ca="1">(IFERROR(IFERROR(VALUE(_xll.BDH(H$4,"CURRENT_EV_TO_T12M_EBITDA",$B21,$B21)),VALUE(_xll.BDH(H$4,"CURRENT_EV_TO_T12M_EBITDA",$B21+1,$B21+1))),H22))</f>
        <v>0</v>
      </c>
      <c r="I21" s="530">
        <f t="shared" ca="1" si="3"/>
        <v>45839</v>
      </c>
      <c r="J21" s="526">
        <f ca="1">(IFERROR(IFERROR(VALUE(_xll.BDH(J$4,"PE_RATIO",$B21,$B21)),VALUE(_xll.BDH(J$4,"PE_RATIO",$B21+1,$B21+1))),J22))</f>
        <v>0</v>
      </c>
      <c r="K21" s="526">
        <f ca="1">(IFERROR(IFERROR(VALUE(_xll.BDH(K$4,"PE_RATIO",$B21,$B21)),VALUE(_xll.BDH(K$4,"PE_RATIO",$B21+1,$B21+1))),K22))</f>
        <v>0</v>
      </c>
      <c r="L21" s="526">
        <f ca="1">(IFERROR(IFERROR(VALUE(_xll.BDH(L$4,"PE_RATIO",$B21,$B21)),VALUE(_xll.BDH(L$4,"PE_RATIO",$B21+1,$B21+1))),L22))</f>
        <v>0</v>
      </c>
      <c r="M21" s="526">
        <f ca="1">(IFERROR(IFERROR(VALUE(_xll.BDH(M$4,"PE_RATIO",$B21,$B21)),VALUE(_xll.BDH(M$4,"PE_RATIO",$B21+1,$B21+1))),M22))</f>
        <v>0</v>
      </c>
      <c r="N21" s="526">
        <f ca="1">(IFERROR(IFERROR(VALUE(_xll.BDH(N$4,"PE_RATIO",$B21,$B21)),VALUE(_xll.BDH(N$4,"PE_RATIO",$B21+1,$B21+1))),N22))</f>
        <v>0</v>
      </c>
      <c r="O21" s="526">
        <f ca="1">(IFERROR(IFERROR(VALUE(_xll.BDH(O$4,"PE_RATIO",$B21,$B21)),VALUE(_xll.BDH(O$4,"PE_RATIO",$B21+1,$B21+1))),O22))</f>
        <v>0</v>
      </c>
      <c r="P21" s="526"/>
      <c r="Q21" s="530">
        <v>45796</v>
      </c>
      <c r="R21" s="4">
        <v>11.89</v>
      </c>
      <c r="S21" s="4">
        <v>21447.05</v>
      </c>
      <c r="T21" s="4">
        <v>7656.6</v>
      </c>
      <c r="U21" s="4">
        <v>5.1921397379912664</v>
      </c>
      <c r="V21" s="4">
        <v>1.9057082257059863</v>
      </c>
      <c r="W21" s="4">
        <v>2.0136600452880211</v>
      </c>
      <c r="Y21" s="526">
        <f t="shared" si="4"/>
        <v>11.89</v>
      </c>
      <c r="Z21" s="4">
        <f>IFERROR(VALUE(_xll.BDH(Z$4,"PX_LAST",$Q21,$Q21)),Z22)</f>
        <v>97.3</v>
      </c>
      <c r="AA21" s="4">
        <f>IFERROR(VALUE(_xll.BDH(AA$4,"PX_LAST",$Q21,$Q21)),AA22)</f>
        <v>28.95</v>
      </c>
      <c r="AB21" s="4">
        <f>IFERROR(VALUE(_xll.BDH(AB$4,"PX_LAST",$Q21,$Q21)),AB22)</f>
        <v>148.46</v>
      </c>
      <c r="AC21" s="4">
        <f>IFERROR(VALUE(_xll.BDH(AC$4,"PX_LAST",$Q21,$Q21)),AC22)</f>
        <v>13.9</v>
      </c>
      <c r="AD21" s="4">
        <f>IFERROR(VALUE(_xll.BDH(AD$4,"PX_LAST",$Q21,$Q21)),AD22)</f>
        <v>51.74</v>
      </c>
      <c r="AF21" s="4">
        <f t="shared" si="5"/>
        <v>5.1921397379912664</v>
      </c>
      <c r="AG21" s="4">
        <f t="shared" si="6"/>
        <v>3.2949542837792074</v>
      </c>
      <c r="AH21" s="4">
        <f t="shared" si="7"/>
        <v>1.0186488388458832</v>
      </c>
      <c r="AI21" s="4">
        <f t="shared" si="8"/>
        <v>1.5915523156089195</v>
      </c>
      <c r="AJ21" s="4">
        <f t="shared" si="9"/>
        <v>1.7310087173100874</v>
      </c>
      <c r="AK21" s="4">
        <f t="shared" si="10"/>
        <v>1.7713111947963027</v>
      </c>
      <c r="AM21" s="528">
        <v>45891</v>
      </c>
      <c r="AN21" s="529">
        <v>9.7799999999999994</v>
      </c>
      <c r="AO21" s="529">
        <v>0</v>
      </c>
      <c r="AP21" s="529">
        <v>0</v>
      </c>
      <c r="AQ21" s="529">
        <v>-277.3401642</v>
      </c>
      <c r="AR21" s="529">
        <v>0</v>
      </c>
    </row>
    <row r="22" spans="2:44">
      <c r="B22" s="530">
        <f t="shared" ca="1" si="11"/>
        <v>45832</v>
      </c>
      <c r="C22" s="526">
        <f ca="1">(IFERROR(IFERROR(VALUE(_xll.BDH(C$4,"CURRENT_EV_TO_T12M_EBITDA",$B22,$B22)),VALUE(_xll.BDH(C$4,"CURRENT_EV_TO_T12M_EBITDA",$B22+1,$B22+1))),C23))</f>
        <v>0</v>
      </c>
      <c r="D22" s="526">
        <f ca="1">(IFERROR(IFERROR(VALUE(_xll.BDH(D$4,"CURRENT_EV_TO_T12M_EBITDA",$B22,$B22)),VALUE(_xll.BDH(D$4,"CURRENT_EV_TO_T12M_EBITDA",$B22+1,$B22+1))),D23))</f>
        <v>0</v>
      </c>
      <c r="E22" s="526">
        <f ca="1">(IFERROR(IFERROR(VALUE(_xll.BDH(E$4,"CURRENT_EV_TO_T12M_EBITDA",$B22,$B22)),VALUE(_xll.BDH(E$4,"CURRENT_EV_TO_T12M_EBITDA",$B22+1,$B22+1))),E23))</f>
        <v>0</v>
      </c>
      <c r="F22" s="526">
        <f ca="1">(IFERROR(IFERROR(VALUE(_xll.BDH(F$4,"CURRENT_EV_TO_T12M_EBITDA",$B22,$B22)),VALUE(_xll.BDH(F$4,"CURRENT_EV_TO_T12M_EBITDA",$B22+1,$B22+1))),F23))</f>
        <v>0</v>
      </c>
      <c r="G22" s="526">
        <f ca="1">(IFERROR(IFERROR(VALUE(_xll.BDH(G$4,"CURRENT_EV_TO_T12M_EBITDA",$B22,$B22)),VALUE(_xll.BDH(G$4,"CURRENT_EV_TO_T12M_EBITDA",$B22+1,$B22+1))),G23))</f>
        <v>0</v>
      </c>
      <c r="H22" s="526">
        <f ca="1">(IFERROR(IFERROR(VALUE(_xll.BDH(H$4,"CURRENT_EV_TO_T12M_EBITDA",$B22,$B22)),VALUE(_xll.BDH(H$4,"CURRENT_EV_TO_T12M_EBITDA",$B22+1,$B22+1))),H23))</f>
        <v>0</v>
      </c>
      <c r="I22" s="530">
        <f t="shared" ca="1" si="3"/>
        <v>45832</v>
      </c>
      <c r="J22" s="526">
        <f ca="1">(IFERROR(IFERROR(VALUE(_xll.BDH(J$4,"PE_RATIO",$B22,$B22)),VALUE(_xll.BDH(J$4,"PE_RATIO",$B22+1,$B22+1))),J23))</f>
        <v>0</v>
      </c>
      <c r="K22" s="526">
        <f ca="1">(IFERROR(IFERROR(VALUE(_xll.BDH(K$4,"PE_RATIO",$B22,$B22)),VALUE(_xll.BDH(K$4,"PE_RATIO",$B22+1,$B22+1))),K23))</f>
        <v>0</v>
      </c>
      <c r="L22" s="526">
        <f ca="1">(IFERROR(IFERROR(VALUE(_xll.BDH(L$4,"PE_RATIO",$B22,$B22)),VALUE(_xll.BDH(L$4,"PE_RATIO",$B22+1,$B22+1))),L23))</f>
        <v>0</v>
      </c>
      <c r="M22" s="526">
        <f ca="1">(IFERROR(IFERROR(VALUE(_xll.BDH(M$4,"PE_RATIO",$B22,$B22)),VALUE(_xll.BDH(M$4,"PE_RATIO",$B22+1,$B22+1))),M23))</f>
        <v>0</v>
      </c>
      <c r="N22" s="526">
        <f ca="1">(IFERROR(IFERROR(VALUE(_xll.BDH(N$4,"PE_RATIO",$B22,$B22)),VALUE(_xll.BDH(N$4,"PE_RATIO",$B22+1,$B22+1))),N23))</f>
        <v>0</v>
      </c>
      <c r="O22" s="526">
        <f ca="1">(IFERROR(IFERROR(VALUE(_xll.BDH(O$4,"PE_RATIO",$B22,$B22)),VALUE(_xll.BDH(O$4,"PE_RATIO",$B22+1,$B22+1))),O23))</f>
        <v>0</v>
      </c>
      <c r="P22" s="526"/>
      <c r="Q22" s="530">
        <v>45789</v>
      </c>
      <c r="R22" s="4">
        <v>12.16</v>
      </c>
      <c r="S22" s="4">
        <v>20868.150000000001</v>
      </c>
      <c r="T22" s="4">
        <v>7492.13</v>
      </c>
      <c r="U22" s="4">
        <v>5.3100436681222707</v>
      </c>
      <c r="V22" s="4">
        <v>1.8542692403042089</v>
      </c>
      <c r="W22" s="4">
        <v>1.9704049885201969</v>
      </c>
      <c r="Y22" s="526">
        <f t="shared" si="4"/>
        <v>12.16</v>
      </c>
      <c r="Z22" s="4">
        <f>IFERROR(VALUE(_xll.BDH(Z$4,"PX_LAST",$Q22,$Q22)),Z23)</f>
        <v>97.67</v>
      </c>
      <c r="AA22" s="4">
        <f>IFERROR(VALUE(_xll.BDH(AA$4,"PX_LAST",$Q22,$Q22)),AA23)</f>
        <v>29.66</v>
      </c>
      <c r="AB22" s="4">
        <f>IFERROR(VALUE(_xll.BDH(AB$4,"PX_LAST",$Q22,$Q22)),AB23)</f>
        <v>147.38</v>
      </c>
      <c r="AC22" s="4">
        <f>IFERROR(VALUE(_xll.BDH(AC$4,"PX_LAST",$Q22,$Q22)),AC23)</f>
        <v>14.59</v>
      </c>
      <c r="AD22" s="4">
        <f>IFERROR(VALUE(_xll.BDH(AD$4,"PX_LAST",$Q22,$Q22)),AD23)</f>
        <v>51.8</v>
      </c>
      <c r="AF22" s="4">
        <f t="shared" si="5"/>
        <v>5.3100436681222707</v>
      </c>
      <c r="AG22" s="4">
        <f t="shared" si="6"/>
        <v>3.3074839146630546</v>
      </c>
      <c r="AH22" s="4">
        <f t="shared" si="7"/>
        <v>1.043631245601689</v>
      </c>
      <c r="AI22" s="4">
        <f t="shared" si="8"/>
        <v>1.5799742710120068</v>
      </c>
      <c r="AJ22" s="4">
        <f t="shared" si="9"/>
        <v>1.816936488169365</v>
      </c>
      <c r="AK22" s="4">
        <f t="shared" si="10"/>
        <v>1.7733652858610063</v>
      </c>
      <c r="AM22" s="528">
        <v>45890</v>
      </c>
      <c r="AN22" s="529">
        <v>9.65</v>
      </c>
      <c r="AO22" s="529">
        <v>0</v>
      </c>
      <c r="AP22" s="529">
        <v>0</v>
      </c>
      <c r="AQ22" s="529">
        <v>-273.6536385</v>
      </c>
      <c r="AR22" s="529">
        <v>0</v>
      </c>
    </row>
    <row r="23" spans="2:44">
      <c r="B23" s="530">
        <f t="shared" ca="1" si="11"/>
        <v>45825</v>
      </c>
      <c r="C23" s="526">
        <f ca="1">(IFERROR(IFERROR(VALUE(_xll.BDH(C$4,"CURRENT_EV_TO_T12M_EBITDA",$B23,$B23)),VALUE(_xll.BDH(C$4,"CURRENT_EV_TO_T12M_EBITDA",$B23+1,$B23+1))),C24))</f>
        <v>0</v>
      </c>
      <c r="D23" s="526">
        <f ca="1">(IFERROR(IFERROR(VALUE(_xll.BDH(D$4,"CURRENT_EV_TO_T12M_EBITDA",$B23,$B23)),VALUE(_xll.BDH(D$4,"CURRENT_EV_TO_T12M_EBITDA",$B23+1,$B23+1))),D24))</f>
        <v>0</v>
      </c>
      <c r="E23" s="526">
        <f ca="1">(IFERROR(IFERROR(VALUE(_xll.BDH(E$4,"CURRENT_EV_TO_T12M_EBITDA",$B23,$B23)),VALUE(_xll.BDH(E$4,"CURRENT_EV_TO_T12M_EBITDA",$B23+1,$B23+1))),E24))</f>
        <v>0</v>
      </c>
      <c r="F23" s="526">
        <f ca="1">(IFERROR(IFERROR(VALUE(_xll.BDH(F$4,"CURRENT_EV_TO_T12M_EBITDA",$B23,$B23)),VALUE(_xll.BDH(F$4,"CURRENT_EV_TO_T12M_EBITDA",$B23+1,$B23+1))),F24))</f>
        <v>0</v>
      </c>
      <c r="G23" s="526">
        <f ca="1">(IFERROR(IFERROR(VALUE(_xll.BDH(G$4,"CURRENT_EV_TO_T12M_EBITDA",$B23,$B23)),VALUE(_xll.BDH(G$4,"CURRENT_EV_TO_T12M_EBITDA",$B23+1,$B23+1))),G24))</f>
        <v>0</v>
      </c>
      <c r="H23" s="526">
        <f ca="1">(IFERROR(IFERROR(VALUE(_xll.BDH(H$4,"CURRENT_EV_TO_T12M_EBITDA",$B23,$B23)),VALUE(_xll.BDH(H$4,"CURRENT_EV_TO_T12M_EBITDA",$B23+1,$B23+1))),H24))</f>
        <v>0</v>
      </c>
      <c r="I23" s="530">
        <f t="shared" ca="1" si="3"/>
        <v>45825</v>
      </c>
      <c r="J23" s="526">
        <f ca="1">(IFERROR(IFERROR(VALUE(_xll.BDH(J$4,"PE_RATIO",$B23,$B23)),VALUE(_xll.BDH(J$4,"PE_RATIO",$B23+1,$B23+1))),J24))</f>
        <v>0</v>
      </c>
      <c r="K23" s="526">
        <f ca="1">(IFERROR(IFERROR(VALUE(_xll.BDH(K$4,"PE_RATIO",$B23,$B23)),VALUE(_xll.BDH(K$4,"PE_RATIO",$B23+1,$B23+1))),K24))</f>
        <v>0</v>
      </c>
      <c r="L23" s="526">
        <f ca="1">(IFERROR(IFERROR(VALUE(_xll.BDH(L$4,"PE_RATIO",$B23,$B23)),VALUE(_xll.BDH(L$4,"PE_RATIO",$B23+1,$B23+1))),L24))</f>
        <v>0</v>
      </c>
      <c r="M23" s="526">
        <f ca="1">(IFERROR(IFERROR(VALUE(_xll.BDH(M$4,"PE_RATIO",$B23,$B23)),VALUE(_xll.BDH(M$4,"PE_RATIO",$B23+1,$B23+1))),M24))</f>
        <v>0</v>
      </c>
      <c r="N23" s="526">
        <f ca="1">(IFERROR(IFERROR(VALUE(_xll.BDH(N$4,"PE_RATIO",$B23,$B23)),VALUE(_xll.BDH(N$4,"PE_RATIO",$B23+1,$B23+1))),N24))</f>
        <v>0</v>
      </c>
      <c r="O23" s="526">
        <f ca="1">(IFERROR(IFERROR(VALUE(_xll.BDH(O$4,"PE_RATIO",$B23,$B23)),VALUE(_xll.BDH(O$4,"PE_RATIO",$B23+1,$B23+1))),O24))</f>
        <v>0</v>
      </c>
      <c r="P23" s="526"/>
      <c r="Q23" s="530">
        <v>45782</v>
      </c>
      <c r="R23" s="4">
        <v>9.86</v>
      </c>
      <c r="S23" s="4">
        <v>19967.939999999999</v>
      </c>
      <c r="T23" s="4">
        <v>7283.5</v>
      </c>
      <c r="U23" s="4">
        <v>4.3056768558951966</v>
      </c>
      <c r="V23" s="4">
        <v>1.7742797964476975</v>
      </c>
      <c r="W23" s="4">
        <v>1.9155360002945563</v>
      </c>
      <c r="Y23" s="526">
        <f t="shared" si="4"/>
        <v>9.86</v>
      </c>
      <c r="Z23" s="4">
        <f>IFERROR(VALUE(_xll.BDH(Z$4,"PX_LAST",$Q23,$Q23)),Z24)</f>
        <v>93.59</v>
      </c>
      <c r="AA23" s="4">
        <f>IFERROR(VALUE(_xll.BDH(AA$4,"PX_LAST",$Q23,$Q23)),AA24)</f>
        <v>27.46</v>
      </c>
      <c r="AB23" s="4">
        <f>IFERROR(VALUE(_xll.BDH(AB$4,"PX_LAST",$Q23,$Q23)),AB24)</f>
        <v>133.97999999999999</v>
      </c>
      <c r="AC23" s="4">
        <f>IFERROR(VALUE(_xll.BDH(AC$4,"PX_LAST",$Q23,$Q23)),AC24)</f>
        <v>15.5</v>
      </c>
      <c r="AD23" s="4">
        <f>IFERROR(VALUE(_xll.BDH(AD$4,"PX_LAST",$Q23,$Q23)),AD24)</f>
        <v>48.92</v>
      </c>
      <c r="AF23" s="4">
        <f t="shared" si="5"/>
        <v>4.3056768558951966</v>
      </c>
      <c r="AG23" s="4">
        <f t="shared" si="6"/>
        <v>3.1693193362682019</v>
      </c>
      <c r="AH23" s="4">
        <f t="shared" si="7"/>
        <v>0.9662209711470795</v>
      </c>
      <c r="AI23" s="4">
        <f t="shared" si="8"/>
        <v>1.436320754716981</v>
      </c>
      <c r="AJ23" s="4">
        <f t="shared" si="9"/>
        <v>1.9302615193026154</v>
      </c>
      <c r="AK23" s="4">
        <f t="shared" si="10"/>
        <v>1.6747689147552207</v>
      </c>
      <c r="AM23" s="528">
        <v>45889</v>
      </c>
      <c r="AN23" s="529">
        <v>9.58</v>
      </c>
      <c r="AO23" s="529">
        <v>0</v>
      </c>
      <c r="AP23" s="529">
        <v>0</v>
      </c>
      <c r="AQ23" s="529">
        <v>-271.66858619999999</v>
      </c>
      <c r="AR23" s="529">
        <v>0</v>
      </c>
    </row>
    <row r="24" spans="2:44">
      <c r="B24" s="530">
        <f t="shared" ca="1" si="11"/>
        <v>45818</v>
      </c>
      <c r="C24" s="526">
        <f ca="1">(IFERROR(IFERROR(VALUE(_xll.BDH(C$4,"CURRENT_EV_TO_T12M_EBITDA",$B24,$B24)),VALUE(_xll.BDH(C$4,"CURRENT_EV_TO_T12M_EBITDA",$B24+1,$B24+1))),C25))</f>
        <v>0</v>
      </c>
      <c r="D24" s="526">
        <f ca="1">(IFERROR(IFERROR(VALUE(_xll.BDH(D$4,"CURRENT_EV_TO_T12M_EBITDA",$B24,$B24)),VALUE(_xll.BDH(D$4,"CURRENT_EV_TO_T12M_EBITDA",$B24+1,$B24+1))),D25))</f>
        <v>0</v>
      </c>
      <c r="E24" s="526">
        <f ca="1">(IFERROR(IFERROR(VALUE(_xll.BDH(E$4,"CURRENT_EV_TO_T12M_EBITDA",$B24,$B24)),VALUE(_xll.BDH(E$4,"CURRENT_EV_TO_T12M_EBITDA",$B24+1,$B24+1))),E25))</f>
        <v>0</v>
      </c>
      <c r="F24" s="526">
        <f ca="1">(IFERROR(IFERROR(VALUE(_xll.BDH(F$4,"CURRENT_EV_TO_T12M_EBITDA",$B24,$B24)),VALUE(_xll.BDH(F$4,"CURRENT_EV_TO_T12M_EBITDA",$B24+1,$B24+1))),F25))</f>
        <v>0</v>
      </c>
      <c r="G24" s="526">
        <f ca="1">(IFERROR(IFERROR(VALUE(_xll.BDH(G$4,"CURRENT_EV_TO_T12M_EBITDA",$B24,$B24)),VALUE(_xll.BDH(G$4,"CURRENT_EV_TO_T12M_EBITDA",$B24+1,$B24+1))),G25))</f>
        <v>0</v>
      </c>
      <c r="H24" s="526">
        <f ca="1">(IFERROR(IFERROR(VALUE(_xll.BDH(H$4,"CURRENT_EV_TO_T12M_EBITDA",$B24,$B24)),VALUE(_xll.BDH(H$4,"CURRENT_EV_TO_T12M_EBITDA",$B24+1,$B24+1))),H25))</f>
        <v>0</v>
      </c>
      <c r="I24" s="530">
        <f t="shared" ca="1" si="3"/>
        <v>45818</v>
      </c>
      <c r="J24" s="526">
        <f ca="1">(IFERROR(IFERROR(VALUE(_xll.BDH(J$4,"PE_RATIO",$B24,$B24)),VALUE(_xll.BDH(J$4,"PE_RATIO",$B24+1,$B24+1))),J25))</f>
        <v>0</v>
      </c>
      <c r="K24" s="526">
        <f ca="1">(IFERROR(IFERROR(VALUE(_xll.BDH(K$4,"PE_RATIO",$B24,$B24)),VALUE(_xll.BDH(K$4,"PE_RATIO",$B24+1,$B24+1))),K25))</f>
        <v>0</v>
      </c>
      <c r="L24" s="526">
        <f ca="1">(IFERROR(IFERROR(VALUE(_xll.BDH(L$4,"PE_RATIO",$B24,$B24)),VALUE(_xll.BDH(L$4,"PE_RATIO",$B24+1,$B24+1))),L25))</f>
        <v>0</v>
      </c>
      <c r="M24" s="526">
        <f ca="1">(IFERROR(IFERROR(VALUE(_xll.BDH(M$4,"PE_RATIO",$B24,$B24)),VALUE(_xll.BDH(M$4,"PE_RATIO",$B24+1,$B24+1))),M25))</f>
        <v>0</v>
      </c>
      <c r="N24" s="526">
        <f ca="1">(IFERROR(IFERROR(VALUE(_xll.BDH(N$4,"PE_RATIO",$B24,$B24)),VALUE(_xll.BDH(N$4,"PE_RATIO",$B24+1,$B24+1))),N25))</f>
        <v>0</v>
      </c>
      <c r="O24" s="526">
        <f ca="1">(IFERROR(IFERROR(VALUE(_xll.BDH(O$4,"PE_RATIO",$B24,$B24)),VALUE(_xll.BDH(O$4,"PE_RATIO",$B24+1,$B24+1))),O25))</f>
        <v>0</v>
      </c>
      <c r="P24" s="526"/>
      <c r="Q24" s="530">
        <v>45775</v>
      </c>
      <c r="R24" s="4">
        <v>9.5</v>
      </c>
      <c r="S24" s="4">
        <v>19427.29</v>
      </c>
      <c r="T24" s="4">
        <v>6695.15</v>
      </c>
      <c r="U24" s="4">
        <v>4.1484716157205241</v>
      </c>
      <c r="V24" s="4">
        <v>1.7262395693662138</v>
      </c>
      <c r="W24" s="4">
        <v>1.7608019293433237</v>
      </c>
      <c r="Y24" s="526">
        <f t="shared" si="4"/>
        <v>9.5</v>
      </c>
      <c r="Z24" s="4">
        <f>IFERROR(VALUE(_xll.BDH(Z$4,"PX_LAST",$Q24,$Q24)),Z25)</f>
        <v>99.27</v>
      </c>
      <c r="AA24" s="4">
        <f>IFERROR(VALUE(_xll.BDH(AA$4,"PX_LAST",$Q24,$Q24)),AA25)</f>
        <v>33.61</v>
      </c>
      <c r="AB24" s="4">
        <f>IFERROR(VALUE(_xll.BDH(AB$4,"PX_LAST",$Q24,$Q24)),AB25)</f>
        <v>137.30000000000001</v>
      </c>
      <c r="AC24" s="4">
        <f>IFERROR(VALUE(_xll.BDH(AC$4,"PX_LAST",$Q24,$Q24)),AC25)</f>
        <v>16.3</v>
      </c>
      <c r="AD24" s="4">
        <f>IFERROR(VALUE(_xll.BDH(AD$4,"PX_LAST",$Q24,$Q24)),AD25)</f>
        <v>49.15</v>
      </c>
      <c r="AF24" s="4">
        <f t="shared" si="5"/>
        <v>4.1484716157205241</v>
      </c>
      <c r="AG24" s="4">
        <f t="shared" si="6"/>
        <v>3.3616661022688787</v>
      </c>
      <c r="AH24" s="4">
        <f t="shared" si="7"/>
        <v>1.1826178747361011</v>
      </c>
      <c r="AI24" s="4">
        <f t="shared" si="8"/>
        <v>1.4719125214408235</v>
      </c>
      <c r="AJ24" s="4">
        <f t="shared" si="9"/>
        <v>2.0298879202988793</v>
      </c>
      <c r="AK24" s="4">
        <f t="shared" si="10"/>
        <v>1.6826429305032522</v>
      </c>
      <c r="AM24" s="528">
        <v>45888</v>
      </c>
      <c r="AN24" s="529">
        <v>9.89</v>
      </c>
      <c r="AO24" s="529">
        <v>0</v>
      </c>
      <c r="AP24" s="529">
        <v>0</v>
      </c>
      <c r="AQ24" s="529">
        <v>-280.45953210000005</v>
      </c>
      <c r="AR24" s="529">
        <v>0</v>
      </c>
    </row>
    <row r="25" spans="2:44">
      <c r="B25" s="530">
        <f t="shared" ca="1" si="11"/>
        <v>45811</v>
      </c>
      <c r="C25" s="526">
        <f ca="1">(IFERROR(IFERROR(VALUE(_xll.BDH(C$4,"CURRENT_EV_TO_T12M_EBITDA",$B25,$B25)),VALUE(_xll.BDH(C$4,"CURRENT_EV_TO_T12M_EBITDA",$B25+1,$B25+1))),C26))</f>
        <v>0</v>
      </c>
      <c r="D25" s="526">
        <f ca="1">(IFERROR(IFERROR(VALUE(_xll.BDH(D$4,"CURRENT_EV_TO_T12M_EBITDA",$B25,$B25)),VALUE(_xll.BDH(D$4,"CURRENT_EV_TO_T12M_EBITDA",$B25+1,$B25+1))),D26))</f>
        <v>0</v>
      </c>
      <c r="E25" s="526">
        <f ca="1">(IFERROR(IFERROR(VALUE(_xll.BDH(E$4,"CURRENT_EV_TO_T12M_EBITDA",$B25,$B25)),VALUE(_xll.BDH(E$4,"CURRENT_EV_TO_T12M_EBITDA",$B25+1,$B25+1))),E26))</f>
        <v>0</v>
      </c>
      <c r="F25" s="526">
        <f ca="1">(IFERROR(IFERROR(VALUE(_xll.BDH(F$4,"CURRENT_EV_TO_T12M_EBITDA",$B25,$B25)),VALUE(_xll.BDH(F$4,"CURRENT_EV_TO_T12M_EBITDA",$B25+1,$B25+1))),F26))</f>
        <v>0</v>
      </c>
      <c r="G25" s="526">
        <f ca="1">(IFERROR(IFERROR(VALUE(_xll.BDH(G$4,"CURRENT_EV_TO_T12M_EBITDA",$B25,$B25)),VALUE(_xll.BDH(G$4,"CURRENT_EV_TO_T12M_EBITDA",$B25+1,$B25+1))),G26))</f>
        <v>0</v>
      </c>
      <c r="H25" s="526">
        <f ca="1">(IFERROR(IFERROR(VALUE(_xll.BDH(H$4,"CURRENT_EV_TO_T12M_EBITDA",$B25,$B25)),VALUE(_xll.BDH(H$4,"CURRENT_EV_TO_T12M_EBITDA",$B25+1,$B25+1))),H26))</f>
        <v>0</v>
      </c>
      <c r="I25" s="530">
        <f t="shared" ca="1" si="3"/>
        <v>45811</v>
      </c>
      <c r="J25" s="526">
        <f ca="1">(IFERROR(IFERROR(VALUE(_xll.BDH(J$4,"PE_RATIO",$B25,$B25)),VALUE(_xll.BDH(J$4,"PE_RATIO",$B25+1,$B25+1))),J26))</f>
        <v>0</v>
      </c>
      <c r="K25" s="526">
        <f ca="1">(IFERROR(IFERROR(VALUE(_xll.BDH(K$4,"PE_RATIO",$B25,$B25)),VALUE(_xll.BDH(K$4,"PE_RATIO",$B25+1,$B25+1))),K26))</f>
        <v>0</v>
      </c>
      <c r="L25" s="526">
        <f ca="1">(IFERROR(IFERROR(VALUE(_xll.BDH(L$4,"PE_RATIO",$B25,$B25)),VALUE(_xll.BDH(L$4,"PE_RATIO",$B25+1,$B25+1))),L26))</f>
        <v>0</v>
      </c>
      <c r="M25" s="526">
        <f ca="1">(IFERROR(IFERROR(VALUE(_xll.BDH(M$4,"PE_RATIO",$B25,$B25)),VALUE(_xll.BDH(M$4,"PE_RATIO",$B25+1,$B25+1))),M26))</f>
        <v>0</v>
      </c>
      <c r="N25" s="526">
        <f ca="1">(IFERROR(IFERROR(VALUE(_xll.BDH(N$4,"PE_RATIO",$B25,$B25)),VALUE(_xll.BDH(N$4,"PE_RATIO",$B25+1,$B25+1))),N26))</f>
        <v>0</v>
      </c>
      <c r="O25" s="526">
        <f ca="1">(IFERROR(IFERROR(VALUE(_xll.BDH(O$4,"PE_RATIO",$B25,$B25)),VALUE(_xll.BDH(O$4,"PE_RATIO",$B25+1,$B25+1))),O26))</f>
        <v>0</v>
      </c>
      <c r="P25" s="526"/>
      <c r="Q25" s="530">
        <v>45768</v>
      </c>
      <c r="R25" s="4">
        <v>7.98</v>
      </c>
      <c r="S25" s="4">
        <v>17808.3</v>
      </c>
      <c r="T25" s="4">
        <v>6046.69</v>
      </c>
      <c r="U25" s="4">
        <v>3.4847161572052405</v>
      </c>
      <c r="V25" s="4">
        <v>1.5823819031447177</v>
      </c>
      <c r="W25" s="4">
        <v>1.5902591305857197</v>
      </c>
      <c r="Y25" s="526">
        <f t="shared" si="4"/>
        <v>7.98</v>
      </c>
      <c r="Z25" s="4">
        <f>IFERROR(VALUE(_xll.BDH(Z$4,"PX_LAST",$Q25,$Q25)),Z26)</f>
        <v>89.04</v>
      </c>
      <c r="AA25" s="4">
        <f>IFERROR(VALUE(_xll.BDH(AA$4,"PX_LAST",$Q25,$Q25)),AA26)</f>
        <v>31.39</v>
      </c>
      <c r="AB25" s="4">
        <f>IFERROR(VALUE(_xll.BDH(AB$4,"PX_LAST",$Q25,$Q25)),AB26)</f>
        <v>123.4</v>
      </c>
      <c r="AC25" s="4">
        <f>IFERROR(VALUE(_xll.BDH(AC$4,"PX_LAST",$Q25,$Q25)),AC26)</f>
        <v>15.76</v>
      </c>
      <c r="AD25" s="4">
        <f>IFERROR(VALUE(_xll.BDH(AD$4,"PX_LAST",$Q25,$Q25)),AD26)</f>
        <v>43.65</v>
      </c>
      <c r="AF25" s="4">
        <f t="shared" si="5"/>
        <v>3.4847161572052405</v>
      </c>
      <c r="AG25" s="4">
        <f t="shared" si="6"/>
        <v>3.0152387402641381</v>
      </c>
      <c r="AH25" s="4">
        <f t="shared" si="7"/>
        <v>1.1045038705137227</v>
      </c>
      <c r="AI25" s="4">
        <f t="shared" si="8"/>
        <v>1.3228987993138936</v>
      </c>
      <c r="AJ25" s="4">
        <f t="shared" si="9"/>
        <v>1.9626400996264011</v>
      </c>
      <c r="AK25" s="4">
        <f t="shared" si="10"/>
        <v>1.4943512495720643</v>
      </c>
      <c r="AM25" s="528">
        <v>45887</v>
      </c>
      <c r="AN25" s="529">
        <v>10.6</v>
      </c>
      <c r="AO25" s="529">
        <v>0</v>
      </c>
      <c r="AP25" s="529">
        <v>0</v>
      </c>
      <c r="AQ25" s="529">
        <v>-300.59363400000001</v>
      </c>
      <c r="AR25" s="529">
        <v>0</v>
      </c>
    </row>
    <row r="26" spans="2:44">
      <c r="B26" s="530">
        <f t="shared" ca="1" si="11"/>
        <v>45804</v>
      </c>
      <c r="C26" s="526">
        <f ca="1">(IFERROR(IFERROR(VALUE(_xll.BDH(C$4,"CURRENT_EV_TO_T12M_EBITDA",$B26,$B26)),VALUE(_xll.BDH(C$4,"CURRENT_EV_TO_T12M_EBITDA",$B26+1,$B26+1))),C27))</f>
        <v>0</v>
      </c>
      <c r="D26" s="526">
        <f ca="1">(IFERROR(IFERROR(VALUE(_xll.BDH(D$4,"CURRENT_EV_TO_T12M_EBITDA",$B26,$B26)),VALUE(_xll.BDH(D$4,"CURRENT_EV_TO_T12M_EBITDA",$B26+1,$B26+1))),D27))</f>
        <v>0</v>
      </c>
      <c r="E26" s="526">
        <f ca="1">(IFERROR(IFERROR(VALUE(_xll.BDH(E$4,"CURRENT_EV_TO_T12M_EBITDA",$B26,$B26)),VALUE(_xll.BDH(E$4,"CURRENT_EV_TO_T12M_EBITDA",$B26+1,$B26+1))),E27))</f>
        <v>0</v>
      </c>
      <c r="F26" s="526">
        <f ca="1">(IFERROR(IFERROR(VALUE(_xll.BDH(F$4,"CURRENT_EV_TO_T12M_EBITDA",$B26,$B26)),VALUE(_xll.BDH(F$4,"CURRENT_EV_TO_T12M_EBITDA",$B26+1,$B26+1))),F27))</f>
        <v>0</v>
      </c>
      <c r="G26" s="526">
        <f ca="1">(IFERROR(IFERROR(VALUE(_xll.BDH(G$4,"CURRENT_EV_TO_T12M_EBITDA",$B26,$B26)),VALUE(_xll.BDH(G$4,"CURRENT_EV_TO_T12M_EBITDA",$B26+1,$B26+1))),G27))</f>
        <v>0</v>
      </c>
      <c r="H26" s="526">
        <f ca="1">(IFERROR(IFERROR(VALUE(_xll.BDH(H$4,"CURRENT_EV_TO_T12M_EBITDA",$B26,$B26)),VALUE(_xll.BDH(H$4,"CURRENT_EV_TO_T12M_EBITDA",$B26+1,$B26+1))),H27))</f>
        <v>0</v>
      </c>
      <c r="I26" s="530">
        <f t="shared" ca="1" si="3"/>
        <v>45804</v>
      </c>
      <c r="J26" s="526">
        <f ca="1">(IFERROR(IFERROR(VALUE(_xll.BDH(J$4,"PE_RATIO",$B26,$B26)),VALUE(_xll.BDH(J$4,"PE_RATIO",$B26+1,$B26+1))),J27))</f>
        <v>0</v>
      </c>
      <c r="K26" s="526">
        <f ca="1">(IFERROR(IFERROR(VALUE(_xll.BDH(K$4,"PE_RATIO",$B26,$B26)),VALUE(_xll.BDH(K$4,"PE_RATIO",$B26+1,$B26+1))),K27))</f>
        <v>0</v>
      </c>
      <c r="L26" s="526">
        <f ca="1">(IFERROR(IFERROR(VALUE(_xll.BDH(L$4,"PE_RATIO",$B26,$B26)),VALUE(_xll.BDH(L$4,"PE_RATIO",$B26+1,$B26+1))),L27))</f>
        <v>0</v>
      </c>
      <c r="M26" s="526">
        <f ca="1">(IFERROR(IFERROR(VALUE(_xll.BDH(M$4,"PE_RATIO",$B26,$B26)),VALUE(_xll.BDH(M$4,"PE_RATIO",$B26+1,$B26+1))),M27))</f>
        <v>0</v>
      </c>
      <c r="N26" s="526">
        <f ca="1">(IFERROR(IFERROR(VALUE(_xll.BDH(N$4,"PE_RATIO",$B26,$B26)),VALUE(_xll.BDH(N$4,"PE_RATIO",$B26+1,$B26+1))),N27))</f>
        <v>0</v>
      </c>
      <c r="O26" s="526">
        <f ca="1">(IFERROR(IFERROR(VALUE(_xll.BDH(O$4,"PE_RATIO",$B26,$B26)),VALUE(_xll.BDH(O$4,"PE_RATIO",$B26+1,$B26+1))),O27))</f>
        <v>0</v>
      </c>
      <c r="P26" s="526"/>
      <c r="Q26" s="530">
        <v>45761</v>
      </c>
      <c r="R26" s="4">
        <v>8.27</v>
      </c>
      <c r="S26" s="4">
        <v>18796.02</v>
      </c>
      <c r="T26" s="4">
        <v>6464.72</v>
      </c>
      <c r="U26" s="4">
        <v>3.6113537117903927</v>
      </c>
      <c r="V26" s="4">
        <v>1.6701471728995008</v>
      </c>
      <c r="W26" s="4">
        <v>1.7001996144469314</v>
      </c>
      <c r="Y26" s="526">
        <f t="shared" si="4"/>
        <v>8.27</v>
      </c>
      <c r="Z26" s="4">
        <f>IFERROR(VALUE(_xll.BDH(Z$4,"PX_LAST",$Q26,$Q26)),Z27)</f>
        <v>90.72</v>
      </c>
      <c r="AA26" s="4">
        <f>IFERROR(VALUE(_xll.BDH(AA$4,"PX_LAST",$Q26,$Q26)),AA27)</f>
        <v>30.71</v>
      </c>
      <c r="AB26" s="4">
        <f>IFERROR(VALUE(_xll.BDH(AB$4,"PX_LAST",$Q26,$Q26)),AB27)</f>
        <v>122.09</v>
      </c>
      <c r="AC26" s="4">
        <f>IFERROR(VALUE(_xll.BDH(AC$4,"PX_LAST",$Q26,$Q26)),AC27)</f>
        <v>15.59</v>
      </c>
      <c r="AD26" s="4">
        <f>IFERROR(VALUE(_xll.BDH(AD$4,"PX_LAST",$Q26,$Q26)),AD27)</f>
        <v>44.14</v>
      </c>
      <c r="AF26" s="4">
        <f t="shared" si="5"/>
        <v>3.6113537117903927</v>
      </c>
      <c r="AG26" s="4">
        <f t="shared" si="6"/>
        <v>3.072130037250254</v>
      </c>
      <c r="AH26" s="4">
        <f t="shared" si="7"/>
        <v>1.0805770584095706</v>
      </c>
      <c r="AI26" s="4">
        <f t="shared" si="8"/>
        <v>1.3088550600343054</v>
      </c>
      <c r="AJ26" s="4">
        <f t="shared" si="9"/>
        <v>1.9414694894146951</v>
      </c>
      <c r="AK26" s="4">
        <f t="shared" si="10"/>
        <v>1.5111263266004793</v>
      </c>
      <c r="AM26" s="528">
        <v>45886</v>
      </c>
      <c r="AN26" s="529">
        <v>10.42</v>
      </c>
      <c r="AO26" s="529">
        <v>-1777668</v>
      </c>
      <c r="AP26" s="529">
        <v>-56.715780000000002</v>
      </c>
      <c r="AQ26" s="529">
        <v>-886.46764140000005</v>
      </c>
      <c r="AR26" s="529">
        <v>-0.85580000000000001</v>
      </c>
    </row>
    <row r="27" spans="2:44">
      <c r="B27" s="530">
        <f t="shared" ca="1" si="11"/>
        <v>45797</v>
      </c>
      <c r="C27" s="526">
        <f ca="1">(IFERROR(IFERROR(VALUE(_xll.BDH(C$4,"CURRENT_EV_TO_T12M_EBITDA",$B27,$B27)),VALUE(_xll.BDH(C$4,"CURRENT_EV_TO_T12M_EBITDA",$B27+1,$B27+1))),C28))</f>
        <v>0</v>
      </c>
      <c r="D27" s="526">
        <f ca="1">(IFERROR(IFERROR(VALUE(_xll.BDH(D$4,"CURRENT_EV_TO_T12M_EBITDA",$B27,$B27)),VALUE(_xll.BDH(D$4,"CURRENT_EV_TO_T12M_EBITDA",$B27+1,$B27+1))),D28))</f>
        <v>0</v>
      </c>
      <c r="E27" s="526">
        <f ca="1">(IFERROR(IFERROR(VALUE(_xll.BDH(E$4,"CURRENT_EV_TO_T12M_EBITDA",$B27,$B27)),VALUE(_xll.BDH(E$4,"CURRENT_EV_TO_T12M_EBITDA",$B27+1,$B27+1))),E28))</f>
        <v>0</v>
      </c>
      <c r="F27" s="526">
        <f ca="1">(IFERROR(IFERROR(VALUE(_xll.BDH(F$4,"CURRENT_EV_TO_T12M_EBITDA",$B27,$B27)),VALUE(_xll.BDH(F$4,"CURRENT_EV_TO_T12M_EBITDA",$B27+1,$B27+1))),F28))</f>
        <v>0</v>
      </c>
      <c r="G27" s="526">
        <f ca="1">(IFERROR(IFERROR(VALUE(_xll.BDH(G$4,"CURRENT_EV_TO_T12M_EBITDA",$B27,$B27)),VALUE(_xll.BDH(G$4,"CURRENT_EV_TO_T12M_EBITDA",$B27+1,$B27+1))),G28))</f>
        <v>0</v>
      </c>
      <c r="H27" s="526">
        <f ca="1">(IFERROR(IFERROR(VALUE(_xll.BDH(H$4,"CURRENT_EV_TO_T12M_EBITDA",$B27,$B27)),VALUE(_xll.BDH(H$4,"CURRENT_EV_TO_T12M_EBITDA",$B27+1,$B27+1))),H28))</f>
        <v>0</v>
      </c>
      <c r="I27" s="530">
        <f t="shared" ca="1" si="3"/>
        <v>45797</v>
      </c>
      <c r="J27" s="526">
        <f ca="1">(IFERROR(IFERROR(VALUE(_xll.BDH(J$4,"PE_RATIO",$B27,$B27)),VALUE(_xll.BDH(J$4,"PE_RATIO",$B27+1,$B27+1))),J28))</f>
        <v>0</v>
      </c>
      <c r="K27" s="526">
        <f ca="1">(IFERROR(IFERROR(VALUE(_xll.BDH(K$4,"PE_RATIO",$B27,$B27)),VALUE(_xll.BDH(K$4,"PE_RATIO",$B27+1,$B27+1))),K28))</f>
        <v>0</v>
      </c>
      <c r="L27" s="526">
        <f ca="1">(IFERROR(IFERROR(VALUE(_xll.BDH(L$4,"PE_RATIO",$B27,$B27)),VALUE(_xll.BDH(L$4,"PE_RATIO",$B27+1,$B27+1))),L28))</f>
        <v>0</v>
      </c>
      <c r="M27" s="526">
        <f ca="1">(IFERROR(IFERROR(VALUE(_xll.BDH(M$4,"PE_RATIO",$B27,$B27)),VALUE(_xll.BDH(M$4,"PE_RATIO",$B27+1,$B27+1))),M28))</f>
        <v>0</v>
      </c>
      <c r="N27" s="526">
        <f ca="1">(IFERROR(IFERROR(VALUE(_xll.BDH(N$4,"PE_RATIO",$B27,$B27)),VALUE(_xll.BDH(N$4,"PE_RATIO",$B27+1,$B27+1))),N28))</f>
        <v>0</v>
      </c>
      <c r="O27" s="526">
        <f ca="1">(IFERROR(IFERROR(VALUE(_xll.BDH(O$4,"PE_RATIO",$B27,$B27)),VALUE(_xll.BDH(O$4,"PE_RATIO",$B27+1,$B27+1))),O28))</f>
        <v>0</v>
      </c>
      <c r="P27" s="526"/>
      <c r="Q27" s="530">
        <v>45754</v>
      </c>
      <c r="R27" s="4">
        <v>8.16</v>
      </c>
      <c r="S27" s="4">
        <v>17430.68</v>
      </c>
      <c r="T27" s="4">
        <v>5960.3</v>
      </c>
      <c r="U27" s="4">
        <v>3.5633187772925763</v>
      </c>
      <c r="V27" s="4">
        <v>1.5488279393039519</v>
      </c>
      <c r="W27" s="4">
        <v>1.5675388511780934</v>
      </c>
      <c r="Y27" s="526">
        <f t="shared" si="4"/>
        <v>8.16</v>
      </c>
      <c r="Z27" s="4">
        <f>IFERROR(VALUE(_xll.BDH(Z$4,"PX_LAST",$Q27,$Q27)),Z28)</f>
        <v>87.16</v>
      </c>
      <c r="AA27" s="4">
        <f>IFERROR(VALUE(_xll.BDH(AA$4,"PX_LAST",$Q27,$Q27)),AA28)</f>
        <v>28.19</v>
      </c>
      <c r="AB27" s="4">
        <f>IFERROR(VALUE(_xll.BDH(AB$4,"PX_LAST",$Q27,$Q27)),AB28)</f>
        <v>116.42</v>
      </c>
      <c r="AC27" s="4">
        <f>IFERROR(VALUE(_xll.BDH(AC$4,"PX_LAST",$Q27,$Q27)),AC28)</f>
        <v>15.5</v>
      </c>
      <c r="AD27" s="4">
        <f>IFERROR(VALUE(_xll.BDH(AD$4,"PX_LAST",$Q27,$Q27)),AD28)</f>
        <v>41.54</v>
      </c>
      <c r="AF27" s="4">
        <f t="shared" si="5"/>
        <v>3.5633187772925763</v>
      </c>
      <c r="AG27" s="4">
        <f t="shared" si="6"/>
        <v>2.951574669827294</v>
      </c>
      <c r="AH27" s="4">
        <f t="shared" si="7"/>
        <v>0.99190710767065449</v>
      </c>
      <c r="AI27" s="4">
        <f t="shared" si="8"/>
        <v>1.2480703259005146</v>
      </c>
      <c r="AJ27" s="4">
        <f t="shared" si="9"/>
        <v>1.9302615193026154</v>
      </c>
      <c r="AK27" s="4">
        <f t="shared" si="10"/>
        <v>1.4221157137966449</v>
      </c>
      <c r="AM27" s="528">
        <v>45885</v>
      </c>
      <c r="AN27" s="529">
        <v>10.42</v>
      </c>
      <c r="AO27" s="529">
        <v>-888834</v>
      </c>
      <c r="AP27" s="529">
        <v>-28.357890000000001</v>
      </c>
      <c r="AQ27" s="529">
        <v>-590.97842760000003</v>
      </c>
      <c r="AR27" s="529">
        <v>-0.4279</v>
      </c>
    </row>
    <row r="28" spans="2:44">
      <c r="B28" s="530">
        <f t="shared" ca="1" si="11"/>
        <v>45790</v>
      </c>
      <c r="C28" s="526">
        <f ca="1">(IFERROR(IFERROR(VALUE(_xll.BDH(C$4,"CURRENT_EV_TO_T12M_EBITDA",$B28,$B28)),VALUE(_xll.BDH(C$4,"CURRENT_EV_TO_T12M_EBITDA",$B28+1,$B28+1))),C29))</f>
        <v>0</v>
      </c>
      <c r="D28" s="526">
        <f ca="1">(IFERROR(IFERROR(VALUE(_xll.BDH(D$4,"CURRENT_EV_TO_T12M_EBITDA",$B28,$B28)),VALUE(_xll.BDH(D$4,"CURRENT_EV_TO_T12M_EBITDA",$B28+1,$B28+1))),D29))</f>
        <v>0</v>
      </c>
      <c r="E28" s="526">
        <f ca="1">(IFERROR(IFERROR(VALUE(_xll.BDH(E$4,"CURRENT_EV_TO_T12M_EBITDA",$B28,$B28)),VALUE(_xll.BDH(E$4,"CURRENT_EV_TO_T12M_EBITDA",$B28+1,$B28+1))),E29))</f>
        <v>0</v>
      </c>
      <c r="F28" s="526">
        <f ca="1">(IFERROR(IFERROR(VALUE(_xll.BDH(F$4,"CURRENT_EV_TO_T12M_EBITDA",$B28,$B28)),VALUE(_xll.BDH(F$4,"CURRENT_EV_TO_T12M_EBITDA",$B28+1,$B28+1))),F29))</f>
        <v>0</v>
      </c>
      <c r="G28" s="526">
        <f ca="1">(IFERROR(IFERROR(VALUE(_xll.BDH(G$4,"CURRENT_EV_TO_T12M_EBITDA",$B28,$B28)),VALUE(_xll.BDH(G$4,"CURRENT_EV_TO_T12M_EBITDA",$B28+1,$B28+1))),G29))</f>
        <v>0</v>
      </c>
      <c r="H28" s="526">
        <f ca="1">(IFERROR(IFERROR(VALUE(_xll.BDH(H$4,"CURRENT_EV_TO_T12M_EBITDA",$B28,$B28)),VALUE(_xll.BDH(H$4,"CURRENT_EV_TO_T12M_EBITDA",$B28+1,$B28+1))),H29))</f>
        <v>0</v>
      </c>
      <c r="I28" s="530">
        <f t="shared" ca="1" si="3"/>
        <v>45790</v>
      </c>
      <c r="J28" s="526">
        <f ca="1">(IFERROR(IFERROR(VALUE(_xll.BDH(J$4,"PE_RATIO",$B28,$B28)),VALUE(_xll.BDH(J$4,"PE_RATIO",$B28+1,$B28+1))),J29))</f>
        <v>0</v>
      </c>
      <c r="K28" s="526">
        <f ca="1">(IFERROR(IFERROR(VALUE(_xll.BDH(K$4,"PE_RATIO",$B28,$B28)),VALUE(_xll.BDH(K$4,"PE_RATIO",$B28+1,$B28+1))),K29))</f>
        <v>0</v>
      </c>
      <c r="L28" s="526">
        <f ca="1">(IFERROR(IFERROR(VALUE(_xll.BDH(L$4,"PE_RATIO",$B28,$B28)),VALUE(_xll.BDH(L$4,"PE_RATIO",$B28+1,$B28+1))),L29))</f>
        <v>0</v>
      </c>
      <c r="M28" s="526">
        <f ca="1">(IFERROR(IFERROR(VALUE(_xll.BDH(M$4,"PE_RATIO",$B28,$B28)),VALUE(_xll.BDH(M$4,"PE_RATIO",$B28+1,$B28+1))),M29))</f>
        <v>0</v>
      </c>
      <c r="N28" s="526">
        <f ca="1">(IFERROR(IFERROR(VALUE(_xll.BDH(N$4,"PE_RATIO",$B28,$B28)),VALUE(_xll.BDH(N$4,"PE_RATIO",$B28+1,$B28+1))),N29))</f>
        <v>0</v>
      </c>
      <c r="O28" s="526">
        <f ca="1">(IFERROR(IFERROR(VALUE(_xll.BDH(O$4,"PE_RATIO",$B28,$B28)),VALUE(_xll.BDH(O$4,"PE_RATIO",$B28+1,$B28+1))),O29))</f>
        <v>0</v>
      </c>
      <c r="P28" s="526"/>
      <c r="Q28" s="530">
        <v>45747</v>
      </c>
      <c r="R28" s="4">
        <v>9.3000000000000007</v>
      </c>
      <c r="S28" s="4">
        <v>19278.45</v>
      </c>
      <c r="T28" s="4">
        <v>6367.65</v>
      </c>
      <c r="U28" s="4">
        <v>4.0611353711790397</v>
      </c>
      <c r="V28" s="4">
        <v>1.7130141788200044</v>
      </c>
      <c r="W28" s="4">
        <v>1.6746705309639089</v>
      </c>
      <c r="Y28" s="526">
        <f t="shared" si="4"/>
        <v>9.3000000000000007</v>
      </c>
      <c r="Z28" s="4">
        <f>IFERROR(VALUE(_xll.BDH(Z$4,"PX_LAST",$Q28,$Q28)),Z29)</f>
        <v>96.56</v>
      </c>
      <c r="AA28" s="4">
        <f>IFERROR(VALUE(_xll.BDH(AA$4,"PX_LAST",$Q28,$Q28)),AA29)</f>
        <v>30.11</v>
      </c>
      <c r="AB28" s="4">
        <f>IFERROR(VALUE(_xll.BDH(AB$4,"PX_LAST",$Q28,$Q28)),AB29)</f>
        <v>126.55</v>
      </c>
      <c r="AC28" s="4">
        <f>IFERROR(VALUE(_xll.BDH(AC$4,"PX_LAST",$Q28,$Q28)),AC29)</f>
        <v>14.72</v>
      </c>
      <c r="AD28" s="4">
        <f>IFERROR(VALUE(_xll.BDH(AD$4,"PX_LAST",$Q28,$Q28)),AD29)</f>
        <v>48.88</v>
      </c>
      <c r="AF28" s="4">
        <f t="shared" si="5"/>
        <v>4.0611353711790397</v>
      </c>
      <c r="AG28" s="4">
        <f t="shared" si="6"/>
        <v>3.2698950220115135</v>
      </c>
      <c r="AH28" s="4">
        <f t="shared" si="7"/>
        <v>1.0594651653764953</v>
      </c>
      <c r="AI28" s="4">
        <f t="shared" si="8"/>
        <v>1.3566680960548885</v>
      </c>
      <c r="AJ28" s="4">
        <f t="shared" si="9"/>
        <v>1.833125778331258</v>
      </c>
      <c r="AK28" s="4">
        <f t="shared" si="10"/>
        <v>1.6733995207120849</v>
      </c>
      <c r="AM28" s="528">
        <v>45884</v>
      </c>
      <c r="AN28" s="529">
        <v>10.42</v>
      </c>
      <c r="AO28" s="529">
        <v>0</v>
      </c>
      <c r="AP28" s="529">
        <v>0</v>
      </c>
      <c r="AQ28" s="529">
        <v>-295.48921380000002</v>
      </c>
      <c r="AR28" s="529">
        <v>0</v>
      </c>
    </row>
    <row r="29" spans="2:44">
      <c r="B29" s="530">
        <f t="shared" ca="1" si="11"/>
        <v>45783</v>
      </c>
      <c r="C29" s="526">
        <f ca="1">(IFERROR(IFERROR(VALUE(_xll.BDH(C$4,"CURRENT_EV_TO_T12M_EBITDA",$B29,$B29)),VALUE(_xll.BDH(C$4,"CURRENT_EV_TO_T12M_EBITDA",$B29+1,$B29+1))),C30))</f>
        <v>0</v>
      </c>
      <c r="D29" s="526">
        <f ca="1">(IFERROR(IFERROR(VALUE(_xll.BDH(D$4,"CURRENT_EV_TO_T12M_EBITDA",$B29,$B29)),VALUE(_xll.BDH(D$4,"CURRENT_EV_TO_T12M_EBITDA",$B29+1,$B29+1))),D30))</f>
        <v>0</v>
      </c>
      <c r="E29" s="526">
        <f ca="1">(IFERROR(IFERROR(VALUE(_xll.BDH(E$4,"CURRENT_EV_TO_T12M_EBITDA",$B29,$B29)),VALUE(_xll.BDH(E$4,"CURRENT_EV_TO_T12M_EBITDA",$B29+1,$B29+1))),E30))</f>
        <v>0</v>
      </c>
      <c r="F29" s="526">
        <f ca="1">(IFERROR(IFERROR(VALUE(_xll.BDH(F$4,"CURRENT_EV_TO_T12M_EBITDA",$B29,$B29)),VALUE(_xll.BDH(F$4,"CURRENT_EV_TO_T12M_EBITDA",$B29+1,$B29+1))),F30))</f>
        <v>0</v>
      </c>
      <c r="G29" s="526">
        <f ca="1">(IFERROR(IFERROR(VALUE(_xll.BDH(G$4,"CURRENT_EV_TO_T12M_EBITDA",$B29,$B29)),VALUE(_xll.BDH(G$4,"CURRENT_EV_TO_T12M_EBITDA",$B29+1,$B29+1))),G30))</f>
        <v>0</v>
      </c>
      <c r="H29" s="526">
        <f ca="1">(IFERROR(IFERROR(VALUE(_xll.BDH(H$4,"CURRENT_EV_TO_T12M_EBITDA",$B29,$B29)),VALUE(_xll.BDH(H$4,"CURRENT_EV_TO_T12M_EBITDA",$B29+1,$B29+1))),H30))</f>
        <v>0</v>
      </c>
      <c r="I29" s="530">
        <f t="shared" ca="1" si="3"/>
        <v>45783</v>
      </c>
      <c r="J29" s="526">
        <f ca="1">(IFERROR(IFERROR(VALUE(_xll.BDH(J$4,"PE_RATIO",$B29,$B29)),VALUE(_xll.BDH(J$4,"PE_RATIO",$B29+1,$B29+1))),J30))</f>
        <v>0</v>
      </c>
      <c r="K29" s="526">
        <f ca="1">(IFERROR(IFERROR(VALUE(_xll.BDH(K$4,"PE_RATIO",$B29,$B29)),VALUE(_xll.BDH(K$4,"PE_RATIO",$B29+1,$B29+1))),K30))</f>
        <v>0</v>
      </c>
      <c r="L29" s="526">
        <f ca="1">(IFERROR(IFERROR(VALUE(_xll.BDH(L$4,"PE_RATIO",$B29,$B29)),VALUE(_xll.BDH(L$4,"PE_RATIO",$B29+1,$B29+1))),L30))</f>
        <v>0</v>
      </c>
      <c r="M29" s="526">
        <f ca="1">(IFERROR(IFERROR(VALUE(_xll.BDH(M$4,"PE_RATIO",$B29,$B29)),VALUE(_xll.BDH(M$4,"PE_RATIO",$B29+1,$B29+1))),M30))</f>
        <v>0</v>
      </c>
      <c r="N29" s="526">
        <f ca="1">(IFERROR(IFERROR(VALUE(_xll.BDH(N$4,"PE_RATIO",$B29,$B29)),VALUE(_xll.BDH(N$4,"PE_RATIO",$B29+1,$B29+1))),N30))</f>
        <v>0</v>
      </c>
      <c r="O29" s="526">
        <f ca="1">(IFERROR(IFERROR(VALUE(_xll.BDH(O$4,"PE_RATIO",$B29,$B29)),VALUE(_xll.BDH(O$4,"PE_RATIO",$B29+1,$B29+1))),O30))</f>
        <v>0</v>
      </c>
      <c r="P29" s="526"/>
      <c r="Q29" s="530">
        <v>45740</v>
      </c>
      <c r="R29" s="4">
        <v>10.93</v>
      </c>
      <c r="S29" s="4">
        <v>20180.45</v>
      </c>
      <c r="T29" s="4">
        <v>6703.44</v>
      </c>
      <c r="U29" s="4">
        <v>4.7729257641921397</v>
      </c>
      <c r="V29" s="4">
        <v>1.7931626756802626</v>
      </c>
      <c r="W29" s="4">
        <v>1.7629821714580269</v>
      </c>
      <c r="Y29" s="526">
        <f t="shared" si="4"/>
        <v>10.93</v>
      </c>
      <c r="Z29" s="4">
        <f>IFERROR(VALUE(_xll.BDH(Z$4,"PX_LAST",$Q29,$Q29)),Z30)</f>
        <v>101.94</v>
      </c>
      <c r="AA29" s="4">
        <f>IFERROR(VALUE(_xll.BDH(AA$4,"PX_LAST",$Q29,$Q29)),AA30)</f>
        <v>31.79</v>
      </c>
      <c r="AB29" s="4">
        <f>IFERROR(VALUE(_xll.BDH(AB$4,"PX_LAST",$Q29,$Q29)),AB30)</f>
        <v>131.02000000000001</v>
      </c>
      <c r="AC29" s="4">
        <f>IFERROR(VALUE(_xll.BDH(AC$4,"PX_LAST",$Q29,$Q29)),AC30)</f>
        <v>14.89</v>
      </c>
      <c r="AD29" s="4">
        <f>IFERROR(VALUE(_xll.BDH(AD$4,"PX_LAST",$Q29,$Q29)),AD30)</f>
        <v>52.87</v>
      </c>
      <c r="AF29" s="4">
        <f t="shared" si="5"/>
        <v>4.7729257641921397</v>
      </c>
      <c r="AG29" s="4">
        <f t="shared" si="6"/>
        <v>3.4520826278360985</v>
      </c>
      <c r="AH29" s="4">
        <f t="shared" si="7"/>
        <v>1.1185784658691063</v>
      </c>
      <c r="AI29" s="4">
        <f t="shared" si="8"/>
        <v>1.4045883361921099</v>
      </c>
      <c r="AJ29" s="4">
        <f t="shared" si="9"/>
        <v>1.8542963885429642</v>
      </c>
      <c r="AK29" s="4">
        <f t="shared" si="10"/>
        <v>1.809996576514892</v>
      </c>
      <c r="AM29" s="528">
        <v>45883</v>
      </c>
      <c r="AN29" s="529">
        <v>10.57</v>
      </c>
      <c r="AO29" s="529">
        <v>0</v>
      </c>
      <c r="AP29" s="529">
        <v>0</v>
      </c>
      <c r="AQ29" s="529">
        <v>-299.74289730000004</v>
      </c>
      <c r="AR29" s="529">
        <v>0</v>
      </c>
    </row>
    <row r="30" spans="2:44">
      <c r="B30" s="530">
        <f t="shared" ca="1" si="11"/>
        <v>45776</v>
      </c>
      <c r="C30" s="526">
        <f ca="1">(IFERROR(IFERROR(VALUE(_xll.BDH(C$4,"CURRENT_EV_TO_T12M_EBITDA",$B30,$B30)),VALUE(_xll.BDH(C$4,"CURRENT_EV_TO_T12M_EBITDA",$B30+1,$B30+1))),C31))</f>
        <v>0</v>
      </c>
      <c r="D30" s="526">
        <f ca="1">(IFERROR(IFERROR(VALUE(_xll.BDH(D$4,"CURRENT_EV_TO_T12M_EBITDA",$B30,$B30)),VALUE(_xll.BDH(D$4,"CURRENT_EV_TO_T12M_EBITDA",$B30+1,$B30+1))),D31))</f>
        <v>0</v>
      </c>
      <c r="E30" s="526">
        <f ca="1">(IFERROR(IFERROR(VALUE(_xll.BDH(E$4,"CURRENT_EV_TO_T12M_EBITDA",$B30,$B30)),VALUE(_xll.BDH(E$4,"CURRENT_EV_TO_T12M_EBITDA",$B30+1,$B30+1))),E31))</f>
        <v>0</v>
      </c>
      <c r="F30" s="526">
        <f ca="1">(IFERROR(IFERROR(VALUE(_xll.BDH(F$4,"CURRENT_EV_TO_T12M_EBITDA",$B30,$B30)),VALUE(_xll.BDH(F$4,"CURRENT_EV_TO_T12M_EBITDA",$B30+1,$B30+1))),F31))</f>
        <v>0</v>
      </c>
      <c r="G30" s="526">
        <f ca="1">(IFERROR(IFERROR(VALUE(_xll.BDH(G$4,"CURRENT_EV_TO_T12M_EBITDA",$B30,$B30)),VALUE(_xll.BDH(G$4,"CURRENT_EV_TO_T12M_EBITDA",$B30+1,$B30+1))),G31))</f>
        <v>0</v>
      </c>
      <c r="H30" s="526">
        <f ca="1">(IFERROR(IFERROR(VALUE(_xll.BDH(H$4,"CURRENT_EV_TO_T12M_EBITDA",$B30,$B30)),VALUE(_xll.BDH(H$4,"CURRENT_EV_TO_T12M_EBITDA",$B30+1,$B30+1))),H31))</f>
        <v>0</v>
      </c>
      <c r="I30" s="530">
        <f t="shared" ca="1" si="3"/>
        <v>45776</v>
      </c>
      <c r="J30" s="526">
        <f ca="1">(IFERROR(IFERROR(VALUE(_xll.BDH(J$4,"PE_RATIO",$B30,$B30)),VALUE(_xll.BDH(J$4,"PE_RATIO",$B30+1,$B30+1))),J31))</f>
        <v>0</v>
      </c>
      <c r="K30" s="526">
        <f ca="1">(IFERROR(IFERROR(VALUE(_xll.BDH(K$4,"PE_RATIO",$B30,$B30)),VALUE(_xll.BDH(K$4,"PE_RATIO",$B30+1,$B30+1))),K31))</f>
        <v>0</v>
      </c>
      <c r="L30" s="526">
        <f ca="1">(IFERROR(IFERROR(VALUE(_xll.BDH(L$4,"PE_RATIO",$B30,$B30)),VALUE(_xll.BDH(L$4,"PE_RATIO",$B30+1,$B30+1))),L31))</f>
        <v>0</v>
      </c>
      <c r="M30" s="526">
        <f ca="1">(IFERROR(IFERROR(VALUE(_xll.BDH(M$4,"PE_RATIO",$B30,$B30)),VALUE(_xll.BDH(M$4,"PE_RATIO",$B30+1,$B30+1))),M31))</f>
        <v>0</v>
      </c>
      <c r="N30" s="526">
        <f ca="1">(IFERROR(IFERROR(VALUE(_xll.BDH(N$4,"PE_RATIO",$B30,$B30)),VALUE(_xll.BDH(N$4,"PE_RATIO",$B30+1,$B30+1))),N31))</f>
        <v>0</v>
      </c>
      <c r="O30" s="526">
        <f ca="1">(IFERROR(IFERROR(VALUE(_xll.BDH(O$4,"PE_RATIO",$B30,$B30)),VALUE(_xll.BDH(O$4,"PE_RATIO",$B30+1,$B30+1))),O31))</f>
        <v>0</v>
      </c>
      <c r="P30" s="526"/>
      <c r="Q30" s="530">
        <v>45733</v>
      </c>
      <c r="R30" s="4">
        <v>9.25</v>
      </c>
      <c r="S30" s="4">
        <v>19812.240000000002</v>
      </c>
      <c r="T30" s="4">
        <v>6605.23</v>
      </c>
      <c r="U30" s="4">
        <v>4.0393013100436681</v>
      </c>
      <c r="V30" s="4">
        <v>1.7604448508145025</v>
      </c>
      <c r="W30" s="4">
        <v>1.7371532718096534</v>
      </c>
      <c r="Y30" s="526">
        <f t="shared" si="4"/>
        <v>9.25</v>
      </c>
      <c r="Z30" s="4">
        <f>IFERROR(VALUE(_xll.BDH(Z$4,"PX_LAST",$Q30,$Q30)),Z31)</f>
        <v>93.17</v>
      </c>
      <c r="AA30" s="4">
        <f>IFERROR(VALUE(_xll.BDH(AA$4,"PX_LAST",$Q30,$Q30)),AA31)</f>
        <v>29.74</v>
      </c>
      <c r="AB30" s="4">
        <f>IFERROR(VALUE(_xll.BDH(AB$4,"PX_LAST",$Q30,$Q30)),AB31)</f>
        <v>123.52</v>
      </c>
      <c r="AC30" s="4">
        <f>IFERROR(VALUE(_xll.BDH(AC$4,"PX_LAST",$Q30,$Q30)),AC31)</f>
        <v>13.81</v>
      </c>
      <c r="AD30" s="4">
        <f>IFERROR(VALUE(_xll.BDH(AD$4,"PX_LAST",$Q30,$Q30)),AD31)</f>
        <v>48.59</v>
      </c>
      <c r="AF30" s="4">
        <f t="shared" si="5"/>
        <v>4.0393013100436681</v>
      </c>
      <c r="AG30" s="4">
        <f t="shared" si="6"/>
        <v>3.155096512021673</v>
      </c>
      <c r="AH30" s="4">
        <f t="shared" si="7"/>
        <v>1.0464461646727656</v>
      </c>
      <c r="AI30" s="4">
        <f t="shared" si="8"/>
        <v>1.3241852487135506</v>
      </c>
      <c r="AJ30" s="4">
        <f t="shared" si="9"/>
        <v>1.7198007471980077</v>
      </c>
      <c r="AK30" s="4">
        <f t="shared" si="10"/>
        <v>1.6634714138993496</v>
      </c>
      <c r="AM30" s="528">
        <v>45882</v>
      </c>
      <c r="AN30" s="529">
        <v>10.76</v>
      </c>
      <c r="AO30" s="529">
        <v>0</v>
      </c>
      <c r="AP30" s="529">
        <v>0</v>
      </c>
      <c r="AQ30" s="529">
        <v>-305.13089639999998</v>
      </c>
      <c r="AR30" s="529">
        <v>0</v>
      </c>
    </row>
    <row r="31" spans="2:44">
      <c r="B31" s="530">
        <f t="shared" ca="1" si="11"/>
        <v>45769</v>
      </c>
      <c r="C31" s="526">
        <f ca="1">(IFERROR(IFERROR(VALUE(_xll.BDH(C$4,"CURRENT_EV_TO_T12M_EBITDA",$B31,$B31)),VALUE(_xll.BDH(C$4,"CURRENT_EV_TO_T12M_EBITDA",$B31+1,$B31+1))),C32))</f>
        <v>0</v>
      </c>
      <c r="D31" s="526">
        <f ca="1">(IFERROR(IFERROR(VALUE(_xll.BDH(D$4,"CURRENT_EV_TO_T12M_EBITDA",$B31,$B31)),VALUE(_xll.BDH(D$4,"CURRENT_EV_TO_T12M_EBITDA",$B31+1,$B31+1))),D32))</f>
        <v>0</v>
      </c>
      <c r="E31" s="526">
        <f ca="1">(IFERROR(IFERROR(VALUE(_xll.BDH(E$4,"CURRENT_EV_TO_T12M_EBITDA",$B31,$B31)),VALUE(_xll.BDH(E$4,"CURRENT_EV_TO_T12M_EBITDA",$B31+1,$B31+1))),E32))</f>
        <v>0</v>
      </c>
      <c r="F31" s="526">
        <f ca="1">(IFERROR(IFERROR(VALUE(_xll.BDH(F$4,"CURRENT_EV_TO_T12M_EBITDA",$B31,$B31)),VALUE(_xll.BDH(F$4,"CURRENT_EV_TO_T12M_EBITDA",$B31+1,$B31+1))),F32))</f>
        <v>0</v>
      </c>
      <c r="G31" s="526">
        <f ca="1">(IFERROR(IFERROR(VALUE(_xll.BDH(G$4,"CURRENT_EV_TO_T12M_EBITDA",$B31,$B31)),VALUE(_xll.BDH(G$4,"CURRENT_EV_TO_T12M_EBITDA",$B31+1,$B31+1))),G32))</f>
        <v>0</v>
      </c>
      <c r="H31" s="526">
        <f ca="1">(IFERROR(IFERROR(VALUE(_xll.BDH(H$4,"CURRENT_EV_TO_T12M_EBITDA",$B31,$B31)),VALUE(_xll.BDH(H$4,"CURRENT_EV_TO_T12M_EBITDA",$B31+1,$B31+1))),H32))</f>
        <v>0</v>
      </c>
      <c r="I31" s="530">
        <f t="shared" ca="1" si="3"/>
        <v>45769</v>
      </c>
      <c r="J31" s="526">
        <f ca="1">(IFERROR(IFERROR(VALUE(_xll.BDH(J$4,"PE_RATIO",$B31,$B31)),VALUE(_xll.BDH(J$4,"PE_RATIO",$B31+1,$B31+1))),J32))</f>
        <v>0</v>
      </c>
      <c r="K31" s="526">
        <f ca="1">(IFERROR(IFERROR(VALUE(_xll.BDH(K$4,"PE_RATIO",$B31,$B31)),VALUE(_xll.BDH(K$4,"PE_RATIO",$B31+1,$B31+1))),K32))</f>
        <v>0</v>
      </c>
      <c r="L31" s="526">
        <f ca="1">(IFERROR(IFERROR(VALUE(_xll.BDH(L$4,"PE_RATIO",$B31,$B31)),VALUE(_xll.BDH(L$4,"PE_RATIO",$B31+1,$B31+1))),L32))</f>
        <v>0</v>
      </c>
      <c r="M31" s="526">
        <f ca="1">(IFERROR(IFERROR(VALUE(_xll.BDH(M$4,"PE_RATIO",$B31,$B31)),VALUE(_xll.BDH(M$4,"PE_RATIO",$B31+1,$B31+1))),M32))</f>
        <v>0</v>
      </c>
      <c r="N31" s="526">
        <f ca="1">(IFERROR(IFERROR(VALUE(_xll.BDH(N$4,"PE_RATIO",$B31,$B31)),VALUE(_xll.BDH(N$4,"PE_RATIO",$B31+1,$B31+1))),N32))</f>
        <v>0</v>
      </c>
      <c r="O31" s="526">
        <f ca="1">(IFERROR(IFERROR(VALUE(_xll.BDH(O$4,"PE_RATIO",$B31,$B31)),VALUE(_xll.BDH(O$4,"PE_RATIO",$B31+1,$B31+1))),O32))</f>
        <v>0</v>
      </c>
      <c r="P31" s="526"/>
      <c r="Q31" s="530">
        <v>45726</v>
      </c>
      <c r="R31" s="4">
        <v>9.0500000000000007</v>
      </c>
      <c r="S31" s="4">
        <v>19430.95</v>
      </c>
      <c r="T31" s="4">
        <v>6408.9</v>
      </c>
      <c r="U31" s="4">
        <v>3.9519650655021836</v>
      </c>
      <c r="V31" s="4">
        <v>1.7265647838878417</v>
      </c>
      <c r="W31" s="4">
        <v>1.685519142210171</v>
      </c>
      <c r="Y31" s="526">
        <f t="shared" si="4"/>
        <v>9.0500000000000007</v>
      </c>
      <c r="Z31" s="4">
        <f>IFERROR(VALUE(_xll.BDH(Z$4,"PX_LAST",$Q31,$Q31)),Z32)</f>
        <v>87.18</v>
      </c>
      <c r="AA31" s="4">
        <f>IFERROR(VALUE(_xll.BDH(AA$4,"PX_LAST",$Q31,$Q31)),AA32)</f>
        <v>29.67</v>
      </c>
      <c r="AB31" s="4">
        <f>IFERROR(VALUE(_xll.BDH(AB$4,"PX_LAST",$Q31,$Q31)),AB32)</f>
        <v>118.63</v>
      </c>
      <c r="AC31" s="4">
        <f>IFERROR(VALUE(_xll.BDH(AC$4,"PX_LAST",$Q31,$Q31)),AC32)</f>
        <v>13.18</v>
      </c>
      <c r="AD31" s="4">
        <f>IFERROR(VALUE(_xll.BDH(AD$4,"PX_LAST",$Q31,$Q31)),AD32)</f>
        <v>46.6</v>
      </c>
      <c r="AF31" s="4">
        <f t="shared" si="5"/>
        <v>3.9519650655021836</v>
      </c>
      <c r="AG31" s="4">
        <f t="shared" si="6"/>
        <v>2.9522519471723672</v>
      </c>
      <c r="AH31" s="4">
        <f t="shared" si="7"/>
        <v>1.0439831104855735</v>
      </c>
      <c r="AI31" s="4">
        <f t="shared" si="8"/>
        <v>1.2717624356775299</v>
      </c>
      <c r="AJ31" s="4">
        <f t="shared" si="9"/>
        <v>1.6413449564134497</v>
      </c>
      <c r="AK31" s="4">
        <f t="shared" si="10"/>
        <v>1.595344060253338</v>
      </c>
      <c r="AM31" s="528">
        <v>45881</v>
      </c>
      <c r="AN31" s="529">
        <v>10.79</v>
      </c>
      <c r="AO31" s="529">
        <v>0</v>
      </c>
      <c r="AP31" s="529">
        <v>0</v>
      </c>
      <c r="AQ31" s="529">
        <v>-305.98163310000001</v>
      </c>
      <c r="AR31" s="529">
        <v>0</v>
      </c>
    </row>
    <row r="32" spans="2:44">
      <c r="B32" s="530">
        <f t="shared" ca="1" si="11"/>
        <v>45762</v>
      </c>
      <c r="C32" s="526">
        <f ca="1">(IFERROR(IFERROR(VALUE(_xll.BDH(C$4,"CURRENT_EV_TO_T12M_EBITDA",$B32,$B32)),VALUE(_xll.BDH(C$4,"CURRENT_EV_TO_T12M_EBITDA",$B32+1,$B32+1))),C33))</f>
        <v>0</v>
      </c>
      <c r="D32" s="526">
        <f ca="1">(IFERROR(IFERROR(VALUE(_xll.BDH(D$4,"CURRENT_EV_TO_T12M_EBITDA",$B32,$B32)),VALUE(_xll.BDH(D$4,"CURRENT_EV_TO_T12M_EBITDA",$B32+1,$B32+1))),D33))</f>
        <v>0</v>
      </c>
      <c r="E32" s="526">
        <f ca="1">(IFERROR(IFERROR(VALUE(_xll.BDH(E$4,"CURRENT_EV_TO_T12M_EBITDA",$B32,$B32)),VALUE(_xll.BDH(E$4,"CURRENT_EV_TO_T12M_EBITDA",$B32+1,$B32+1))),E33))</f>
        <v>0</v>
      </c>
      <c r="F32" s="526">
        <f ca="1">(IFERROR(IFERROR(VALUE(_xll.BDH(F$4,"CURRENT_EV_TO_T12M_EBITDA",$B32,$B32)),VALUE(_xll.BDH(F$4,"CURRENT_EV_TO_T12M_EBITDA",$B32+1,$B32+1))),F33))</f>
        <v>0</v>
      </c>
      <c r="G32" s="526">
        <f ca="1">(IFERROR(IFERROR(VALUE(_xll.BDH(G$4,"CURRENT_EV_TO_T12M_EBITDA",$B32,$B32)),VALUE(_xll.BDH(G$4,"CURRENT_EV_TO_T12M_EBITDA",$B32+1,$B32+1))),G33))</f>
        <v>0</v>
      </c>
      <c r="H32" s="526">
        <f ca="1">(IFERROR(IFERROR(VALUE(_xll.BDH(H$4,"CURRENT_EV_TO_T12M_EBITDA",$B32,$B32)),VALUE(_xll.BDH(H$4,"CURRENT_EV_TO_T12M_EBITDA",$B32+1,$B32+1))),H33))</f>
        <v>0</v>
      </c>
      <c r="I32" s="530">
        <f t="shared" ca="1" si="3"/>
        <v>45762</v>
      </c>
      <c r="J32" s="526">
        <f ca="1">(IFERROR(IFERROR(VALUE(_xll.BDH(J$4,"PE_RATIO",$B32,$B32)),VALUE(_xll.BDH(J$4,"PE_RATIO",$B32+1,$B32+1))),J33))</f>
        <v>0</v>
      </c>
      <c r="K32" s="526">
        <f ca="1">(IFERROR(IFERROR(VALUE(_xll.BDH(K$4,"PE_RATIO",$B32,$B32)),VALUE(_xll.BDH(K$4,"PE_RATIO",$B32+1,$B32+1))),K33))</f>
        <v>0</v>
      </c>
      <c r="L32" s="526">
        <f ca="1">(IFERROR(IFERROR(VALUE(_xll.BDH(L$4,"PE_RATIO",$B32,$B32)),VALUE(_xll.BDH(L$4,"PE_RATIO",$B32+1,$B32+1))),L33))</f>
        <v>0</v>
      </c>
      <c r="M32" s="526">
        <f ca="1">(IFERROR(IFERROR(VALUE(_xll.BDH(M$4,"PE_RATIO",$B32,$B32)),VALUE(_xll.BDH(M$4,"PE_RATIO",$B32+1,$B32+1))),M33))</f>
        <v>0</v>
      </c>
      <c r="N32" s="526">
        <f ca="1">(IFERROR(IFERROR(VALUE(_xll.BDH(N$4,"PE_RATIO",$B32,$B32)),VALUE(_xll.BDH(N$4,"PE_RATIO",$B32+1,$B32+1))),N33))</f>
        <v>0</v>
      </c>
      <c r="O32" s="526">
        <f ca="1">(IFERROR(IFERROR(VALUE(_xll.BDH(O$4,"PE_RATIO",$B32,$B32)),VALUE(_xll.BDH(O$4,"PE_RATIO",$B32+1,$B32+1))),O33))</f>
        <v>0</v>
      </c>
      <c r="P32" s="526"/>
      <c r="Q32" s="530">
        <v>45719</v>
      </c>
      <c r="R32" s="4">
        <v>9.59</v>
      </c>
      <c r="S32" s="4">
        <v>20425.580000000002</v>
      </c>
      <c r="T32" s="4">
        <v>6684.18</v>
      </c>
      <c r="U32" s="4">
        <v>4.1877729257641922</v>
      </c>
      <c r="V32" s="4">
        <v>1.8149440515509445</v>
      </c>
      <c r="W32" s="4">
        <v>1.7579168562434087</v>
      </c>
      <c r="Y32" s="526">
        <f t="shared" si="4"/>
        <v>9.59</v>
      </c>
      <c r="Z32" s="4">
        <f>IFERROR(VALUE(_xll.BDH(Z$4,"PX_LAST",$Q32,$Q32)),Z33)</f>
        <v>100.05</v>
      </c>
      <c r="AA32" s="4">
        <f>IFERROR(VALUE(_xll.BDH(AA$4,"PX_LAST",$Q32,$Q32)),AA33)</f>
        <v>32.01</v>
      </c>
      <c r="AB32" s="4">
        <f>IFERROR(VALUE(_xll.BDH(AB$4,"PX_LAST",$Q32,$Q32)),AB33)</f>
        <v>130.87</v>
      </c>
      <c r="AC32" s="4">
        <f>IFERROR(VALUE(_xll.BDH(AC$4,"PX_LAST",$Q32,$Q32)),AC33)</f>
        <v>13.54</v>
      </c>
      <c r="AD32" s="4">
        <f>IFERROR(VALUE(_xll.BDH(AD$4,"PX_LAST",$Q32,$Q32)),AD33)</f>
        <v>51.96</v>
      </c>
      <c r="AF32" s="4">
        <f t="shared" si="5"/>
        <v>4.1877729257641922</v>
      </c>
      <c r="AG32" s="4">
        <f t="shared" si="6"/>
        <v>3.3880799187267185</v>
      </c>
      <c r="AH32" s="4">
        <f t="shared" si="7"/>
        <v>1.126319493314567</v>
      </c>
      <c r="AI32" s="4">
        <f t="shared" si="8"/>
        <v>1.4029802744425386</v>
      </c>
      <c r="AJ32" s="4">
        <f t="shared" si="9"/>
        <v>1.6861768368617684</v>
      </c>
      <c r="AK32" s="4">
        <f t="shared" si="10"/>
        <v>1.7788428620335501</v>
      </c>
      <c r="AM32" s="528">
        <v>45880</v>
      </c>
      <c r="AN32" s="529">
        <v>10.9</v>
      </c>
      <c r="AO32" s="529">
        <v>0</v>
      </c>
      <c r="AP32" s="529">
        <v>0</v>
      </c>
      <c r="AQ32" s="529">
        <v>-309.101001</v>
      </c>
      <c r="AR32" s="529">
        <v>0</v>
      </c>
    </row>
    <row r="33" spans="2:44">
      <c r="B33" s="530">
        <f t="shared" ca="1" si="11"/>
        <v>45755</v>
      </c>
      <c r="C33" s="526">
        <f ca="1">(IFERROR(IFERROR(VALUE(_xll.BDH(C$4,"CURRENT_EV_TO_T12M_EBITDA",$B33,$B33)),VALUE(_xll.BDH(C$4,"CURRENT_EV_TO_T12M_EBITDA",$B33+1,$B33+1))),C34))</f>
        <v>0</v>
      </c>
      <c r="D33" s="526">
        <f ca="1">(IFERROR(IFERROR(VALUE(_xll.BDH(D$4,"CURRENT_EV_TO_T12M_EBITDA",$B33,$B33)),VALUE(_xll.BDH(D$4,"CURRENT_EV_TO_T12M_EBITDA",$B33+1,$B33+1))),D34))</f>
        <v>0</v>
      </c>
      <c r="E33" s="526">
        <f ca="1">(IFERROR(IFERROR(VALUE(_xll.BDH(E$4,"CURRENT_EV_TO_T12M_EBITDA",$B33,$B33)),VALUE(_xll.BDH(E$4,"CURRENT_EV_TO_T12M_EBITDA",$B33+1,$B33+1))),E34))</f>
        <v>0</v>
      </c>
      <c r="F33" s="526">
        <f ca="1">(IFERROR(IFERROR(VALUE(_xll.BDH(F$4,"CURRENT_EV_TO_T12M_EBITDA",$B33,$B33)),VALUE(_xll.BDH(F$4,"CURRENT_EV_TO_T12M_EBITDA",$B33+1,$B33+1))),F34))</f>
        <v>0</v>
      </c>
      <c r="G33" s="526">
        <f ca="1">(IFERROR(IFERROR(VALUE(_xll.BDH(G$4,"CURRENT_EV_TO_T12M_EBITDA",$B33,$B33)),VALUE(_xll.BDH(G$4,"CURRENT_EV_TO_T12M_EBITDA",$B33+1,$B33+1))),G34))</f>
        <v>0</v>
      </c>
      <c r="H33" s="526">
        <f ca="1">(IFERROR(IFERROR(VALUE(_xll.BDH(H$4,"CURRENT_EV_TO_T12M_EBITDA",$B33,$B33)),VALUE(_xll.BDH(H$4,"CURRENT_EV_TO_T12M_EBITDA",$B33+1,$B33+1))),H34))</f>
        <v>0</v>
      </c>
      <c r="I33" s="530">
        <f t="shared" ca="1" si="3"/>
        <v>45755</v>
      </c>
      <c r="J33" s="526">
        <f ca="1">(IFERROR(IFERROR(VALUE(_xll.BDH(J$4,"PE_RATIO",$B33,$B33)),VALUE(_xll.BDH(J$4,"PE_RATIO",$B33+1,$B33+1))),J34))</f>
        <v>0</v>
      </c>
      <c r="K33" s="526">
        <f ca="1">(IFERROR(IFERROR(VALUE(_xll.BDH(K$4,"PE_RATIO",$B33,$B33)),VALUE(_xll.BDH(K$4,"PE_RATIO",$B33+1,$B33+1))),K34))</f>
        <v>0</v>
      </c>
      <c r="L33" s="526">
        <f ca="1">(IFERROR(IFERROR(VALUE(_xll.BDH(L$4,"PE_RATIO",$B33,$B33)),VALUE(_xll.BDH(L$4,"PE_RATIO",$B33+1,$B33+1))),L34))</f>
        <v>0</v>
      </c>
      <c r="M33" s="526">
        <f ca="1">(IFERROR(IFERROR(VALUE(_xll.BDH(M$4,"PE_RATIO",$B33,$B33)),VALUE(_xll.BDH(M$4,"PE_RATIO",$B33+1,$B33+1))),M34))</f>
        <v>0</v>
      </c>
      <c r="N33" s="526">
        <f ca="1">(IFERROR(IFERROR(VALUE(_xll.BDH(N$4,"PE_RATIO",$B33,$B33)),VALUE(_xll.BDH(N$4,"PE_RATIO",$B33+1,$B33+1))),N34))</f>
        <v>0</v>
      </c>
      <c r="O33" s="526">
        <f ca="1">(IFERROR(IFERROR(VALUE(_xll.BDH(O$4,"PE_RATIO",$B33,$B33)),VALUE(_xll.BDH(O$4,"PE_RATIO",$B33+1,$B33+1))),O34))</f>
        <v>0</v>
      </c>
      <c r="P33" s="526"/>
      <c r="Q33" s="530">
        <v>45712</v>
      </c>
      <c r="R33" s="4">
        <v>10.93</v>
      </c>
      <c r="S33" s="4">
        <v>21352.080000000002</v>
      </c>
      <c r="T33" s="4">
        <v>6916.87</v>
      </c>
      <c r="U33" s="4">
        <v>4.7729257641921397</v>
      </c>
      <c r="V33" s="4">
        <v>1.8972695308647241</v>
      </c>
      <c r="W33" s="4">
        <v>1.8191135435377781</v>
      </c>
      <c r="Y33" s="526">
        <f t="shared" si="4"/>
        <v>10.93</v>
      </c>
      <c r="Z33" s="4">
        <f>IFERROR(VALUE(_xll.BDH(Z$4,"PX_LAST",$Q33,$Q33)),Z34)</f>
        <v>101.9</v>
      </c>
      <c r="AA33" s="4">
        <f>IFERROR(VALUE(_xll.BDH(AA$4,"PX_LAST",$Q33,$Q33)),AA34)</f>
        <v>32.86</v>
      </c>
      <c r="AB33" s="4">
        <f>IFERROR(VALUE(_xll.BDH(AB$4,"PX_LAST",$Q33,$Q33)),AB34)</f>
        <v>136.24</v>
      </c>
      <c r="AC33" s="4">
        <f>IFERROR(VALUE(_xll.BDH(AC$4,"PX_LAST",$Q33,$Q33)),AC34)</f>
        <v>13.4</v>
      </c>
      <c r="AD33" s="4">
        <f>IFERROR(VALUE(_xll.BDH(AD$4,"PX_LAST",$Q33,$Q33)),AD34)</f>
        <v>53.04</v>
      </c>
      <c r="AF33" s="4">
        <f t="shared" si="5"/>
        <v>4.7729257641921397</v>
      </c>
      <c r="AG33" s="4">
        <f t="shared" si="6"/>
        <v>3.4507280731459535</v>
      </c>
      <c r="AH33" s="4">
        <f t="shared" si="7"/>
        <v>1.1562280084447571</v>
      </c>
      <c r="AI33" s="4">
        <f t="shared" si="8"/>
        <v>1.4605488850771871</v>
      </c>
      <c r="AJ33" s="4">
        <f t="shared" si="9"/>
        <v>1.6687422166874224</v>
      </c>
      <c r="AK33" s="4">
        <f t="shared" si="10"/>
        <v>1.8158165011982197</v>
      </c>
      <c r="AM33" s="528">
        <v>45879</v>
      </c>
      <c r="AN33" s="529">
        <v>10.76</v>
      </c>
      <c r="AO33" s="529">
        <v>-2799786</v>
      </c>
      <c r="AP33" s="529">
        <v>-56.715780000000002</v>
      </c>
      <c r="AQ33" s="529">
        <v>-915.39268919999995</v>
      </c>
      <c r="AR33" s="529">
        <v>-0.88380000000000003</v>
      </c>
    </row>
    <row r="34" spans="2:44">
      <c r="B34" s="530">
        <f t="shared" ca="1" si="11"/>
        <v>45748</v>
      </c>
      <c r="C34" s="526">
        <f ca="1">(IFERROR(IFERROR(VALUE(_xll.BDH(C$4,"CURRENT_EV_TO_T12M_EBITDA",$B34,$B34)),VALUE(_xll.BDH(C$4,"CURRENT_EV_TO_T12M_EBITDA",$B34+1,$B34+1))),C35))</f>
        <v>0</v>
      </c>
      <c r="D34" s="526">
        <f ca="1">(IFERROR(IFERROR(VALUE(_xll.BDH(D$4,"CURRENT_EV_TO_T12M_EBITDA",$B34,$B34)),VALUE(_xll.BDH(D$4,"CURRENT_EV_TO_T12M_EBITDA",$B34+1,$B34+1))),D35))</f>
        <v>0</v>
      </c>
      <c r="E34" s="526">
        <f ca="1">(IFERROR(IFERROR(VALUE(_xll.BDH(E$4,"CURRENT_EV_TO_T12M_EBITDA",$B34,$B34)),VALUE(_xll.BDH(E$4,"CURRENT_EV_TO_T12M_EBITDA",$B34+1,$B34+1))),E35))</f>
        <v>0</v>
      </c>
      <c r="F34" s="526">
        <f ca="1">(IFERROR(IFERROR(VALUE(_xll.BDH(F$4,"CURRENT_EV_TO_T12M_EBITDA",$B34,$B34)),VALUE(_xll.BDH(F$4,"CURRENT_EV_TO_T12M_EBITDA",$B34+1,$B34+1))),F35))</f>
        <v>0</v>
      </c>
      <c r="G34" s="526">
        <f ca="1">(IFERROR(IFERROR(VALUE(_xll.BDH(G$4,"CURRENT_EV_TO_T12M_EBITDA",$B34,$B34)),VALUE(_xll.BDH(G$4,"CURRENT_EV_TO_T12M_EBITDA",$B34+1,$B34+1))),G35))</f>
        <v>0</v>
      </c>
      <c r="H34" s="526">
        <f ca="1">(IFERROR(IFERROR(VALUE(_xll.BDH(H$4,"CURRENT_EV_TO_T12M_EBITDA",$B34,$B34)),VALUE(_xll.BDH(H$4,"CURRENT_EV_TO_T12M_EBITDA",$B34+1,$B34+1))),H35))</f>
        <v>0</v>
      </c>
      <c r="I34" s="530">
        <f t="shared" ca="1" si="3"/>
        <v>45748</v>
      </c>
      <c r="J34" s="526">
        <f ca="1">(IFERROR(IFERROR(VALUE(_xll.BDH(J$4,"PE_RATIO",$B34,$B34)),VALUE(_xll.BDH(J$4,"PE_RATIO",$B34+1,$B34+1))),J35))</f>
        <v>0</v>
      </c>
      <c r="K34" s="526">
        <f ca="1">(IFERROR(IFERROR(VALUE(_xll.BDH(K$4,"PE_RATIO",$B34,$B34)),VALUE(_xll.BDH(K$4,"PE_RATIO",$B34+1,$B34+1))),K35))</f>
        <v>0</v>
      </c>
      <c r="L34" s="526">
        <f ca="1">(IFERROR(IFERROR(VALUE(_xll.BDH(L$4,"PE_RATIO",$B34,$B34)),VALUE(_xll.BDH(L$4,"PE_RATIO",$B34+1,$B34+1))),L35))</f>
        <v>0</v>
      </c>
      <c r="M34" s="526">
        <f ca="1">(IFERROR(IFERROR(VALUE(_xll.BDH(M$4,"PE_RATIO",$B34,$B34)),VALUE(_xll.BDH(M$4,"PE_RATIO",$B34+1,$B34+1))),M35))</f>
        <v>0</v>
      </c>
      <c r="N34" s="526">
        <f ca="1">(IFERROR(IFERROR(VALUE(_xll.BDH(N$4,"PE_RATIO",$B34,$B34)),VALUE(_xll.BDH(N$4,"PE_RATIO",$B34+1,$B34+1))),N35))</f>
        <v>0</v>
      </c>
      <c r="O34" s="526">
        <f ca="1">(IFERROR(IFERROR(VALUE(_xll.BDH(O$4,"PE_RATIO",$B34,$B34)),VALUE(_xll.BDH(O$4,"PE_RATIO",$B34+1,$B34+1))),O35))</f>
        <v>0</v>
      </c>
      <c r="P34" s="526"/>
      <c r="Q34" s="530">
        <v>45705</v>
      </c>
      <c r="R34" s="4">
        <v>15.42</v>
      </c>
      <c r="S34" s="4">
        <v>21756.73</v>
      </c>
      <c r="T34" s="4">
        <v>7221.78</v>
      </c>
      <c r="U34" s="4">
        <v>6.7336244541484715</v>
      </c>
      <c r="V34" s="4">
        <v>1.9332252839184971</v>
      </c>
      <c r="W34" s="4">
        <v>1.8993038479037854</v>
      </c>
      <c r="Y34" s="526">
        <f t="shared" si="4"/>
        <v>15.42</v>
      </c>
      <c r="Z34" s="4">
        <f>IFERROR(VALUE(_xll.BDH(Z$4,"PX_LAST",$Q34,$Q34)),Z35)</f>
        <v>113.74</v>
      </c>
      <c r="AA34" s="4">
        <f>IFERROR(VALUE(_xll.BDH(AA$4,"PX_LAST",$Q34,$Q34)),AA35)</f>
        <v>36.22</v>
      </c>
      <c r="AB34" s="4">
        <f>IFERROR(VALUE(_xll.BDH(AB$4,"PX_LAST",$Q34,$Q34)),AB35)</f>
        <v>144.53</v>
      </c>
      <c r="AC34" s="4">
        <f>IFERROR(VALUE(_xll.BDH(AC$4,"PX_LAST",$Q34,$Q34)),AC35)</f>
        <v>13.41</v>
      </c>
      <c r="AD34" s="4">
        <f>IFERROR(VALUE(_xll.BDH(AD$4,"PX_LAST",$Q34,$Q34)),AD35)</f>
        <v>55.78</v>
      </c>
      <c r="AF34" s="4">
        <f t="shared" si="5"/>
        <v>6.7336244541484715</v>
      </c>
      <c r="AG34" s="4">
        <f t="shared" si="6"/>
        <v>3.8516762614290547</v>
      </c>
      <c r="AH34" s="4">
        <f t="shared" si="7"/>
        <v>1.2744546094299787</v>
      </c>
      <c r="AI34" s="4">
        <f t="shared" si="8"/>
        <v>1.5494210977701544</v>
      </c>
      <c r="AJ34" s="4">
        <f t="shared" si="9"/>
        <v>1.6699875466998757</v>
      </c>
      <c r="AK34" s="4">
        <f t="shared" si="10"/>
        <v>1.9096199931530298</v>
      </c>
      <c r="AM34" s="528">
        <v>45878</v>
      </c>
      <c r="AN34" s="529">
        <v>10.76</v>
      </c>
      <c r="AO34" s="529">
        <v>-1399893</v>
      </c>
      <c r="AP34" s="529">
        <v>-28.357890000000001</v>
      </c>
      <c r="AQ34" s="529">
        <v>-610.26179279999997</v>
      </c>
      <c r="AR34" s="529">
        <v>-0.44190000000000002</v>
      </c>
    </row>
    <row r="35" spans="2:44">
      <c r="B35" s="530">
        <f t="shared" ca="1" si="11"/>
        <v>45741</v>
      </c>
      <c r="C35" s="526">
        <f ca="1">(IFERROR(IFERROR(VALUE(_xll.BDH(C$4,"CURRENT_EV_TO_T12M_EBITDA",$B35,$B35)),VALUE(_xll.BDH(C$4,"CURRENT_EV_TO_T12M_EBITDA",$B35+1,$B35+1))),C36))</f>
        <v>0</v>
      </c>
      <c r="D35" s="526">
        <f ca="1">(IFERROR(IFERROR(VALUE(_xll.BDH(D$4,"CURRENT_EV_TO_T12M_EBITDA",$B35,$B35)),VALUE(_xll.BDH(D$4,"CURRENT_EV_TO_T12M_EBITDA",$B35+1,$B35+1))),D36))</f>
        <v>0</v>
      </c>
      <c r="E35" s="526">
        <f ca="1">(IFERROR(IFERROR(VALUE(_xll.BDH(E$4,"CURRENT_EV_TO_T12M_EBITDA",$B35,$B35)),VALUE(_xll.BDH(E$4,"CURRENT_EV_TO_T12M_EBITDA",$B35+1,$B35+1))),E36))</f>
        <v>0</v>
      </c>
      <c r="F35" s="526">
        <f ca="1">(IFERROR(IFERROR(VALUE(_xll.BDH(F$4,"CURRENT_EV_TO_T12M_EBITDA",$B35,$B35)),VALUE(_xll.BDH(F$4,"CURRENT_EV_TO_T12M_EBITDA",$B35+1,$B35+1))),F36))</f>
        <v>0</v>
      </c>
      <c r="G35" s="526">
        <f ca="1">(IFERROR(IFERROR(VALUE(_xll.BDH(G$4,"CURRENT_EV_TO_T12M_EBITDA",$B35,$B35)),VALUE(_xll.BDH(G$4,"CURRENT_EV_TO_T12M_EBITDA",$B35+1,$B35+1))),G36))</f>
        <v>0</v>
      </c>
      <c r="H35" s="526">
        <f ca="1">(IFERROR(IFERROR(VALUE(_xll.BDH(H$4,"CURRENT_EV_TO_T12M_EBITDA",$B35,$B35)),VALUE(_xll.BDH(H$4,"CURRENT_EV_TO_T12M_EBITDA",$B35+1,$B35+1))),H36))</f>
        <v>0</v>
      </c>
      <c r="I35" s="530">
        <f t="shared" ca="1" si="3"/>
        <v>45741</v>
      </c>
      <c r="J35" s="526">
        <f ca="1">(IFERROR(IFERROR(VALUE(_xll.BDH(J$4,"PE_RATIO",$B35,$B35)),VALUE(_xll.BDH(J$4,"PE_RATIO",$B35+1,$B35+1))),J36))</f>
        <v>0</v>
      </c>
      <c r="K35" s="526">
        <f ca="1">(IFERROR(IFERROR(VALUE(_xll.BDH(K$4,"PE_RATIO",$B35,$B35)),VALUE(_xll.BDH(K$4,"PE_RATIO",$B35+1,$B35+1))),K36))</f>
        <v>0</v>
      </c>
      <c r="L35" s="526">
        <f ca="1">(IFERROR(IFERROR(VALUE(_xll.BDH(L$4,"PE_RATIO",$B35,$B35)),VALUE(_xll.BDH(L$4,"PE_RATIO",$B35+1,$B35+1))),L36))</f>
        <v>0</v>
      </c>
      <c r="M35" s="526">
        <f ca="1">(IFERROR(IFERROR(VALUE(_xll.BDH(M$4,"PE_RATIO",$B35,$B35)),VALUE(_xll.BDH(M$4,"PE_RATIO",$B35+1,$B35+1))),M36))</f>
        <v>0</v>
      </c>
      <c r="N35" s="526">
        <f ca="1">(IFERROR(IFERROR(VALUE(_xll.BDH(N$4,"PE_RATIO",$B35,$B35)),VALUE(_xll.BDH(N$4,"PE_RATIO",$B35+1,$B35+1))),N36))</f>
        <v>0</v>
      </c>
      <c r="O35" s="526">
        <f ca="1">(IFERROR(IFERROR(VALUE(_xll.BDH(O$4,"PE_RATIO",$B35,$B35)),VALUE(_xll.BDH(O$4,"PE_RATIO",$B35+1,$B35+1))),O36))</f>
        <v>0</v>
      </c>
      <c r="P35" s="526"/>
      <c r="Q35" s="530">
        <v>45698</v>
      </c>
      <c r="R35" s="4">
        <v>15.42</v>
      </c>
      <c r="S35" s="4">
        <v>21756.73</v>
      </c>
      <c r="T35" s="4">
        <v>7221.78</v>
      </c>
      <c r="U35" s="4">
        <v>6.7336244541484715</v>
      </c>
      <c r="V35" s="4">
        <v>1.9332252839184971</v>
      </c>
      <c r="W35" s="4">
        <v>1.8993038479037854</v>
      </c>
      <c r="Y35" s="526">
        <f t="shared" si="4"/>
        <v>15.42</v>
      </c>
      <c r="Z35" s="4">
        <f>IFERROR(VALUE(_xll.BDH(Z$4,"PX_LAST",$Q35,$Q35)),Z36)</f>
        <v>113.74</v>
      </c>
      <c r="AA35" s="4">
        <f>IFERROR(VALUE(_xll.BDH(AA$4,"PX_LAST",$Q35,$Q35)),AA36)</f>
        <v>36.22</v>
      </c>
      <c r="AB35" s="4">
        <f>IFERROR(VALUE(_xll.BDH(AB$4,"PX_LAST",$Q35,$Q35)),AB36)</f>
        <v>144.53</v>
      </c>
      <c r="AC35" s="4">
        <f>IFERROR(VALUE(_xll.BDH(AC$4,"PX_LAST",$Q35,$Q35)),AC36)</f>
        <v>13.41</v>
      </c>
      <c r="AD35" s="4">
        <f>IFERROR(VALUE(_xll.BDH(AD$4,"PX_LAST",$Q35,$Q35)),AD36)</f>
        <v>55.78</v>
      </c>
      <c r="AF35" s="4">
        <f t="shared" si="5"/>
        <v>6.7336244541484715</v>
      </c>
      <c r="AG35" s="4">
        <f t="shared" si="6"/>
        <v>3.8516762614290547</v>
      </c>
      <c r="AH35" s="4">
        <f t="shared" si="7"/>
        <v>1.2744546094299787</v>
      </c>
      <c r="AI35" s="4">
        <f t="shared" si="8"/>
        <v>1.5494210977701544</v>
      </c>
      <c r="AJ35" s="4">
        <f t="shared" si="9"/>
        <v>1.6699875466998757</v>
      </c>
      <c r="AK35" s="4">
        <f t="shared" si="10"/>
        <v>1.9096199931530298</v>
      </c>
      <c r="AM35" s="528">
        <v>45877</v>
      </c>
      <c r="AN35" s="529">
        <v>10.76</v>
      </c>
      <c r="AO35" s="529">
        <v>0</v>
      </c>
      <c r="AP35" s="529">
        <v>0</v>
      </c>
      <c r="AQ35" s="529">
        <v>-305.13089639999998</v>
      </c>
      <c r="AR35" s="529">
        <v>0</v>
      </c>
    </row>
    <row r="36" spans="2:44">
      <c r="B36" s="530">
        <f t="shared" ca="1" si="11"/>
        <v>45734</v>
      </c>
      <c r="C36" s="526">
        <f ca="1">(IFERROR(IFERROR(VALUE(_xll.BDH(C$4,"CURRENT_EV_TO_T12M_EBITDA",$B36,$B36)),VALUE(_xll.BDH(C$4,"CURRENT_EV_TO_T12M_EBITDA",$B36+1,$B36+1))),C37))</f>
        <v>0</v>
      </c>
      <c r="D36" s="526">
        <f ca="1">(IFERROR(IFERROR(VALUE(_xll.BDH(D$4,"CURRENT_EV_TO_T12M_EBITDA",$B36,$B36)),VALUE(_xll.BDH(D$4,"CURRENT_EV_TO_T12M_EBITDA",$B36+1,$B36+1))),D37))</f>
        <v>0</v>
      </c>
      <c r="E36" s="526">
        <f ca="1">(IFERROR(IFERROR(VALUE(_xll.BDH(E$4,"CURRENT_EV_TO_T12M_EBITDA",$B36,$B36)),VALUE(_xll.BDH(E$4,"CURRENT_EV_TO_T12M_EBITDA",$B36+1,$B36+1))),E37))</f>
        <v>0</v>
      </c>
      <c r="F36" s="526">
        <f ca="1">(IFERROR(IFERROR(VALUE(_xll.BDH(F$4,"CURRENT_EV_TO_T12M_EBITDA",$B36,$B36)),VALUE(_xll.BDH(F$4,"CURRENT_EV_TO_T12M_EBITDA",$B36+1,$B36+1))),F37))</f>
        <v>0</v>
      </c>
      <c r="G36" s="526">
        <f ca="1">(IFERROR(IFERROR(VALUE(_xll.BDH(G$4,"CURRENT_EV_TO_T12M_EBITDA",$B36,$B36)),VALUE(_xll.BDH(G$4,"CURRENT_EV_TO_T12M_EBITDA",$B36+1,$B36+1))),G37))</f>
        <v>0</v>
      </c>
      <c r="H36" s="526">
        <f ca="1">(IFERROR(IFERROR(VALUE(_xll.BDH(H$4,"CURRENT_EV_TO_T12M_EBITDA",$B36,$B36)),VALUE(_xll.BDH(H$4,"CURRENT_EV_TO_T12M_EBITDA",$B36+1,$B36+1))),H37))</f>
        <v>0</v>
      </c>
      <c r="I36" s="530">
        <f t="shared" ca="1" si="3"/>
        <v>45734</v>
      </c>
      <c r="J36" s="526">
        <f ca="1">(IFERROR(IFERROR(VALUE(_xll.BDH(J$4,"PE_RATIO",$B36,$B36)),VALUE(_xll.BDH(J$4,"PE_RATIO",$B36+1,$B36+1))),J37))</f>
        <v>0</v>
      </c>
      <c r="K36" s="526">
        <f ca="1">(IFERROR(IFERROR(VALUE(_xll.BDH(K$4,"PE_RATIO",$B36,$B36)),VALUE(_xll.BDH(K$4,"PE_RATIO",$B36+1,$B36+1))),K37))</f>
        <v>0</v>
      </c>
      <c r="L36" s="526">
        <f ca="1">(IFERROR(IFERROR(VALUE(_xll.BDH(L$4,"PE_RATIO",$B36,$B36)),VALUE(_xll.BDH(L$4,"PE_RATIO",$B36+1,$B36+1))),L37))</f>
        <v>0</v>
      </c>
      <c r="M36" s="526">
        <f ca="1">(IFERROR(IFERROR(VALUE(_xll.BDH(M$4,"PE_RATIO",$B36,$B36)),VALUE(_xll.BDH(M$4,"PE_RATIO",$B36+1,$B36+1))),M37))</f>
        <v>0</v>
      </c>
      <c r="N36" s="526">
        <f ca="1">(IFERROR(IFERROR(VALUE(_xll.BDH(N$4,"PE_RATIO",$B36,$B36)),VALUE(_xll.BDH(N$4,"PE_RATIO",$B36+1,$B36+1))),N37))</f>
        <v>0</v>
      </c>
      <c r="O36" s="526">
        <f ca="1">(IFERROR(IFERROR(VALUE(_xll.BDH(O$4,"PE_RATIO",$B36,$B36)),VALUE(_xll.BDH(O$4,"PE_RATIO",$B36+1,$B36+1))),O37))</f>
        <v>0</v>
      </c>
      <c r="P36" s="526"/>
      <c r="Q36" s="530">
        <v>45691</v>
      </c>
      <c r="R36" s="4">
        <v>13.77</v>
      </c>
      <c r="S36" s="4">
        <v>21297.58</v>
      </c>
      <c r="T36" s="4">
        <v>7071.22</v>
      </c>
      <c r="U36" s="4">
        <v>6.0131004366812224</v>
      </c>
      <c r="V36" s="4">
        <v>1.8924268556109725</v>
      </c>
      <c r="W36" s="4">
        <v>1.8597070743465192</v>
      </c>
      <c r="Y36" s="526">
        <f t="shared" si="4"/>
        <v>13.77</v>
      </c>
      <c r="Z36" s="4">
        <f>IFERROR(VALUE(_xll.BDH(Z$4,"PX_LAST",$Q36,$Q36)),Z37)</f>
        <v>110.84</v>
      </c>
      <c r="AA36" s="4">
        <f>IFERROR(VALUE(_xll.BDH(AA$4,"PX_LAST",$Q36,$Q36)),AA37)</f>
        <v>36.020000000000003</v>
      </c>
      <c r="AB36" s="4">
        <f>IFERROR(VALUE(_xll.BDH(AB$4,"PX_LAST",$Q36,$Q36)),AB37)</f>
        <v>139.59</v>
      </c>
      <c r="AC36" s="4">
        <f>IFERROR(VALUE(_xll.BDH(AC$4,"PX_LAST",$Q36,$Q36)),AC37)</f>
        <v>11.93</v>
      </c>
      <c r="AD36" s="4">
        <f>IFERROR(VALUE(_xll.BDH(AD$4,"PX_LAST",$Q36,$Q36)),AD37)</f>
        <v>54.55</v>
      </c>
      <c r="AF36" s="4">
        <f t="shared" si="5"/>
        <v>6.0131004366812224</v>
      </c>
      <c r="AG36" s="4">
        <f t="shared" si="6"/>
        <v>3.7534710463934982</v>
      </c>
      <c r="AH36" s="4">
        <f t="shared" si="7"/>
        <v>1.2674173117522871</v>
      </c>
      <c r="AI36" s="4">
        <f t="shared" si="8"/>
        <v>1.4964622641509435</v>
      </c>
      <c r="AJ36" s="4">
        <f t="shared" si="9"/>
        <v>1.4856787048567872</v>
      </c>
      <c r="AK36" s="4">
        <f t="shared" si="10"/>
        <v>1.8675111263266004</v>
      </c>
      <c r="AM36" s="528">
        <v>45876</v>
      </c>
      <c r="AN36" s="529">
        <v>10.35</v>
      </c>
      <c r="AO36" s="529">
        <v>0</v>
      </c>
      <c r="AP36" s="529">
        <v>0</v>
      </c>
      <c r="AQ36" s="529">
        <v>-270.88951499999996</v>
      </c>
      <c r="AR36" s="529">
        <v>0</v>
      </c>
    </row>
    <row r="37" spans="2:44">
      <c r="B37" s="530">
        <f t="shared" ca="1" si="11"/>
        <v>45727</v>
      </c>
      <c r="C37" s="526">
        <f ca="1">(IFERROR(IFERROR(VALUE(_xll.BDH(C$4,"CURRENT_EV_TO_T12M_EBITDA",$B37,$B37)),VALUE(_xll.BDH(C$4,"CURRENT_EV_TO_T12M_EBITDA",$B37+1,$B37+1))),C38))</f>
        <v>0</v>
      </c>
      <c r="D37" s="526">
        <f ca="1">(IFERROR(IFERROR(VALUE(_xll.BDH(D$4,"CURRENT_EV_TO_T12M_EBITDA",$B37,$B37)),VALUE(_xll.BDH(D$4,"CURRENT_EV_TO_T12M_EBITDA",$B37+1,$B37+1))),D38))</f>
        <v>0</v>
      </c>
      <c r="E37" s="526">
        <f ca="1">(IFERROR(IFERROR(VALUE(_xll.BDH(E$4,"CURRENT_EV_TO_T12M_EBITDA",$B37,$B37)),VALUE(_xll.BDH(E$4,"CURRENT_EV_TO_T12M_EBITDA",$B37+1,$B37+1))),E38))</f>
        <v>0</v>
      </c>
      <c r="F37" s="526">
        <f ca="1">(IFERROR(IFERROR(VALUE(_xll.BDH(F$4,"CURRENT_EV_TO_T12M_EBITDA",$B37,$B37)),VALUE(_xll.BDH(F$4,"CURRENT_EV_TO_T12M_EBITDA",$B37+1,$B37+1))),F38))</f>
        <v>0</v>
      </c>
      <c r="G37" s="526">
        <f ca="1">(IFERROR(IFERROR(VALUE(_xll.BDH(G$4,"CURRENT_EV_TO_T12M_EBITDA",$B37,$B37)),VALUE(_xll.BDH(G$4,"CURRENT_EV_TO_T12M_EBITDA",$B37+1,$B37+1))),G38))</f>
        <v>0</v>
      </c>
      <c r="H37" s="526">
        <f ca="1">(IFERROR(IFERROR(VALUE(_xll.BDH(H$4,"CURRENT_EV_TO_T12M_EBITDA",$B37,$B37)),VALUE(_xll.BDH(H$4,"CURRENT_EV_TO_T12M_EBITDA",$B37+1,$B37+1))),H38))</f>
        <v>0</v>
      </c>
      <c r="I37" s="530">
        <f t="shared" ref="I37:I68" ca="1" si="12">+B37</f>
        <v>45727</v>
      </c>
      <c r="J37" s="526">
        <f ca="1">(IFERROR(IFERROR(VALUE(_xll.BDH(J$4,"PE_RATIO",$B37,$B37)),VALUE(_xll.BDH(J$4,"PE_RATIO",$B37+1,$B37+1))),J38))</f>
        <v>0</v>
      </c>
      <c r="K37" s="526">
        <f ca="1">(IFERROR(IFERROR(VALUE(_xll.BDH(K$4,"PE_RATIO",$B37,$B37)),VALUE(_xll.BDH(K$4,"PE_RATIO",$B37+1,$B37+1))),K38))</f>
        <v>0</v>
      </c>
      <c r="L37" s="526">
        <f ca="1">(IFERROR(IFERROR(VALUE(_xll.BDH(L$4,"PE_RATIO",$B37,$B37)),VALUE(_xll.BDH(L$4,"PE_RATIO",$B37+1,$B37+1))),L38))</f>
        <v>0</v>
      </c>
      <c r="M37" s="526">
        <f ca="1">(IFERROR(IFERROR(VALUE(_xll.BDH(M$4,"PE_RATIO",$B37,$B37)),VALUE(_xll.BDH(M$4,"PE_RATIO",$B37+1,$B37+1))),M38))</f>
        <v>0</v>
      </c>
      <c r="N37" s="526">
        <f ca="1">(IFERROR(IFERROR(VALUE(_xll.BDH(N$4,"PE_RATIO",$B37,$B37)),VALUE(_xll.BDH(N$4,"PE_RATIO",$B37+1,$B37+1))),N38))</f>
        <v>0</v>
      </c>
      <c r="O37" s="526">
        <f ca="1">(IFERROR(IFERROR(VALUE(_xll.BDH(O$4,"PE_RATIO",$B37,$B37)),VALUE(_xll.BDH(O$4,"PE_RATIO",$B37+1,$B37+1))),O38))</f>
        <v>0</v>
      </c>
      <c r="P37" s="526"/>
      <c r="Q37" s="530">
        <v>45684</v>
      </c>
      <c r="R37" s="4">
        <v>12.49</v>
      </c>
      <c r="S37" s="4">
        <v>21127.279999999999</v>
      </c>
      <c r="T37" s="4">
        <v>7296.73</v>
      </c>
      <c r="U37" s="4">
        <v>5.4541484716157207</v>
      </c>
      <c r="V37" s="4">
        <v>1.8772946061483313</v>
      </c>
      <c r="W37" s="4">
        <v>1.9190154457924482</v>
      </c>
      <c r="Y37" s="526">
        <f t="shared" ref="Y37:Y68" si="13">+R37</f>
        <v>12.49</v>
      </c>
      <c r="Z37" s="4">
        <f>IFERROR(VALUE(_xll.BDH(Z$4,"PX_LAST",$Q37,$Q37)),Z38)</f>
        <v>109.76</v>
      </c>
      <c r="AA37" s="4">
        <f>IFERROR(VALUE(_xll.BDH(AA$4,"PX_LAST",$Q37,$Q37)),AA38)</f>
        <v>36.07</v>
      </c>
      <c r="AB37" s="4">
        <f>IFERROR(VALUE(_xll.BDH(AB$4,"PX_LAST",$Q37,$Q37)),AB38)</f>
        <v>129.35</v>
      </c>
      <c r="AC37" s="4">
        <f>IFERROR(VALUE(_xll.BDH(AC$4,"PX_LAST",$Q37,$Q37)),AC38)</f>
        <v>12.36</v>
      </c>
      <c r="AD37" s="4">
        <f>IFERROR(VALUE(_xll.BDH(AD$4,"PX_LAST",$Q37,$Q37)),AD38)</f>
        <v>57.62</v>
      </c>
      <c r="AF37" s="4">
        <f t="shared" ref="AF37:AF68" si="14">+Y37/Y$159</f>
        <v>5.4541484716157207</v>
      </c>
      <c r="AG37" s="4">
        <f t="shared" ref="AG37:AG68" si="15">+Z37/Z$159</f>
        <v>3.7168980697595666</v>
      </c>
      <c r="AH37" s="4">
        <f t="shared" ref="AH37:AH68" si="16">+AA37/AA$159</f>
        <v>1.2691766361717101</v>
      </c>
      <c r="AI37" s="4">
        <f t="shared" ref="AI37:AI68" si="17">+AB37/AB$159</f>
        <v>1.3866852487135506</v>
      </c>
      <c r="AJ37" s="4">
        <f t="shared" ref="AJ37:AJ68" si="18">+AC37/AC$159</f>
        <v>1.5392278953922791</v>
      </c>
      <c r="AK37" s="4">
        <f t="shared" ref="AK37:AK68" si="19">+AD37/AD$159</f>
        <v>1.9726121191372816</v>
      </c>
      <c r="AM37" s="528">
        <v>45875</v>
      </c>
      <c r="AN37" s="529">
        <v>11.33</v>
      </c>
      <c r="AO37" s="529">
        <v>0</v>
      </c>
      <c r="AP37" s="529">
        <v>0</v>
      </c>
      <c r="AQ37" s="529">
        <v>-296.53895699999998</v>
      </c>
      <c r="AR37" s="529">
        <v>0</v>
      </c>
    </row>
    <row r="38" spans="2:44">
      <c r="B38" s="530">
        <f t="shared" ref="B38:B69" ca="1" si="20">+B37-7</f>
        <v>45720</v>
      </c>
      <c r="C38" s="526">
        <f ca="1">(IFERROR(IFERROR(VALUE(_xll.BDH(C$4,"CURRENT_EV_TO_T12M_EBITDA",$B38,$B38)),VALUE(_xll.BDH(C$4,"CURRENT_EV_TO_T12M_EBITDA",$B38+1,$B38+1))),C39))</f>
        <v>0</v>
      </c>
      <c r="D38" s="526">
        <f ca="1">(IFERROR(IFERROR(VALUE(_xll.BDH(D$4,"CURRENT_EV_TO_T12M_EBITDA",$B38,$B38)),VALUE(_xll.BDH(D$4,"CURRENT_EV_TO_T12M_EBITDA",$B38+1,$B38+1))),D39))</f>
        <v>0</v>
      </c>
      <c r="E38" s="526">
        <f ca="1">(IFERROR(IFERROR(VALUE(_xll.BDH(E$4,"CURRENT_EV_TO_T12M_EBITDA",$B38,$B38)),VALUE(_xll.BDH(E$4,"CURRENT_EV_TO_T12M_EBITDA",$B38+1,$B38+1))),E39))</f>
        <v>0</v>
      </c>
      <c r="F38" s="526">
        <f ca="1">(IFERROR(IFERROR(VALUE(_xll.BDH(F$4,"CURRENT_EV_TO_T12M_EBITDA",$B38,$B38)),VALUE(_xll.BDH(F$4,"CURRENT_EV_TO_T12M_EBITDA",$B38+1,$B38+1))),F39))</f>
        <v>0</v>
      </c>
      <c r="G38" s="526">
        <f ca="1">(IFERROR(IFERROR(VALUE(_xll.BDH(G$4,"CURRENT_EV_TO_T12M_EBITDA",$B38,$B38)),VALUE(_xll.BDH(G$4,"CURRENT_EV_TO_T12M_EBITDA",$B38+1,$B38+1))),G39))</f>
        <v>0</v>
      </c>
      <c r="H38" s="526">
        <f ca="1">(IFERROR(IFERROR(VALUE(_xll.BDH(H$4,"CURRENT_EV_TO_T12M_EBITDA",$B38,$B38)),VALUE(_xll.BDH(H$4,"CURRENT_EV_TO_T12M_EBITDA",$B38+1,$B38+1))),H39))</f>
        <v>0</v>
      </c>
      <c r="I38" s="530">
        <f t="shared" ca="1" si="12"/>
        <v>45720</v>
      </c>
      <c r="J38" s="526">
        <f ca="1">(IFERROR(IFERROR(VALUE(_xll.BDH(J$4,"PE_RATIO",$B38,$B38)),VALUE(_xll.BDH(J$4,"PE_RATIO",$B38+1,$B38+1))),J39))</f>
        <v>0</v>
      </c>
      <c r="K38" s="526">
        <f ca="1">(IFERROR(IFERROR(VALUE(_xll.BDH(K$4,"PE_RATIO",$B38,$B38)),VALUE(_xll.BDH(K$4,"PE_RATIO",$B38+1,$B38+1))),K39))</f>
        <v>0</v>
      </c>
      <c r="L38" s="526">
        <f ca="1">(IFERROR(IFERROR(VALUE(_xll.BDH(L$4,"PE_RATIO",$B38,$B38)),VALUE(_xll.BDH(L$4,"PE_RATIO",$B38+1,$B38+1))),L39))</f>
        <v>0</v>
      </c>
      <c r="M38" s="526">
        <f ca="1">(IFERROR(IFERROR(VALUE(_xll.BDH(M$4,"PE_RATIO",$B38,$B38)),VALUE(_xll.BDH(M$4,"PE_RATIO",$B38+1,$B38+1))),M39))</f>
        <v>0</v>
      </c>
      <c r="N38" s="526">
        <f ca="1">(IFERROR(IFERROR(VALUE(_xll.BDH(N$4,"PE_RATIO",$B38,$B38)),VALUE(_xll.BDH(N$4,"PE_RATIO",$B38+1,$B38+1))),N39))</f>
        <v>0</v>
      </c>
      <c r="O38" s="526">
        <f ca="1">(IFERROR(IFERROR(VALUE(_xll.BDH(O$4,"PE_RATIO",$B38,$B38)),VALUE(_xll.BDH(O$4,"PE_RATIO",$B38+1,$B38+1))),O39))</f>
        <v>0</v>
      </c>
      <c r="P38" s="526"/>
      <c r="Q38" s="530">
        <v>45677</v>
      </c>
      <c r="R38" s="4">
        <v>9.74</v>
      </c>
      <c r="S38" s="4">
        <v>20784.72</v>
      </c>
      <c r="T38" s="4">
        <v>6939.49</v>
      </c>
      <c r="U38" s="4">
        <v>4.253275109170306</v>
      </c>
      <c r="V38" s="4">
        <v>1.8468559486267684</v>
      </c>
      <c r="W38" s="4">
        <v>1.8250625274502739</v>
      </c>
      <c r="Y38" s="526">
        <f t="shared" si="13"/>
        <v>9.74</v>
      </c>
      <c r="Z38" s="4">
        <f>IFERROR(VALUE(_xll.BDH(Z$4,"PX_LAST",$Q38,$Q38)),Z39)</f>
        <v>98.02</v>
      </c>
      <c r="AA38" s="4">
        <f>IFERROR(VALUE(_xll.BDH(AA$4,"PX_LAST",$Q38,$Q38)),AA39)</f>
        <v>32.369999999999997</v>
      </c>
      <c r="AB38" s="4">
        <f>IFERROR(VALUE(_xll.BDH(AB$4,"PX_LAST",$Q38,$Q38)),AB39)</f>
        <v>112.56</v>
      </c>
      <c r="AC38" s="4">
        <f>IFERROR(VALUE(_xll.BDH(AC$4,"PX_LAST",$Q38,$Q38)),AC39)</f>
        <v>12.17</v>
      </c>
      <c r="AD38" s="4">
        <f>IFERROR(VALUE(_xll.BDH(AD$4,"PX_LAST",$Q38,$Q38)),AD39)</f>
        <v>52.58</v>
      </c>
      <c r="AF38" s="4">
        <f t="shared" si="14"/>
        <v>4.253275109170306</v>
      </c>
      <c r="AG38" s="4">
        <f t="shared" si="15"/>
        <v>3.3193362682018286</v>
      </c>
      <c r="AH38" s="4">
        <f t="shared" si="16"/>
        <v>1.1389866291344122</v>
      </c>
      <c r="AI38" s="4">
        <f t="shared" si="17"/>
        <v>1.2066895368782162</v>
      </c>
      <c r="AJ38" s="4">
        <f t="shared" si="18"/>
        <v>1.5155666251556663</v>
      </c>
      <c r="AK38" s="4">
        <f t="shared" si="19"/>
        <v>1.8000684697021567</v>
      </c>
      <c r="AM38" s="528">
        <v>45874</v>
      </c>
      <c r="AN38" s="529">
        <v>9.99</v>
      </c>
      <c r="AO38" s="529">
        <v>0</v>
      </c>
      <c r="AP38" s="529">
        <v>0</v>
      </c>
      <c r="AQ38" s="529">
        <v>-261.46727099999998</v>
      </c>
      <c r="AR38" s="529">
        <v>0</v>
      </c>
    </row>
    <row r="39" spans="2:44">
      <c r="B39" s="530">
        <f t="shared" ca="1" si="20"/>
        <v>45713</v>
      </c>
      <c r="C39" s="526">
        <f ca="1">(IFERROR(IFERROR(VALUE(_xll.BDH(C$4,"CURRENT_EV_TO_T12M_EBITDA",$B39,$B39)),VALUE(_xll.BDH(C$4,"CURRENT_EV_TO_T12M_EBITDA",$B39+1,$B39+1))),C40))</f>
        <v>0</v>
      </c>
      <c r="D39" s="526">
        <f ca="1">(IFERROR(IFERROR(VALUE(_xll.BDH(D$4,"CURRENT_EV_TO_T12M_EBITDA",$B39,$B39)),VALUE(_xll.BDH(D$4,"CURRENT_EV_TO_T12M_EBITDA",$B39+1,$B39+1))),D40))</f>
        <v>0</v>
      </c>
      <c r="E39" s="526">
        <f ca="1">(IFERROR(IFERROR(VALUE(_xll.BDH(E$4,"CURRENT_EV_TO_T12M_EBITDA",$B39,$B39)),VALUE(_xll.BDH(E$4,"CURRENT_EV_TO_T12M_EBITDA",$B39+1,$B39+1))),E40))</f>
        <v>0</v>
      </c>
      <c r="F39" s="526">
        <f ca="1">(IFERROR(IFERROR(VALUE(_xll.BDH(F$4,"CURRENT_EV_TO_T12M_EBITDA",$B39,$B39)),VALUE(_xll.BDH(F$4,"CURRENT_EV_TO_T12M_EBITDA",$B39+1,$B39+1))),F40))</f>
        <v>0</v>
      </c>
      <c r="G39" s="526">
        <f ca="1">(IFERROR(IFERROR(VALUE(_xll.BDH(G$4,"CURRENT_EV_TO_T12M_EBITDA",$B39,$B39)),VALUE(_xll.BDH(G$4,"CURRENT_EV_TO_T12M_EBITDA",$B39+1,$B39+1))),G40))</f>
        <v>0</v>
      </c>
      <c r="H39" s="526">
        <f ca="1">(IFERROR(IFERROR(VALUE(_xll.BDH(H$4,"CURRENT_EV_TO_T12M_EBITDA",$B39,$B39)),VALUE(_xll.BDH(H$4,"CURRENT_EV_TO_T12M_EBITDA",$B39+1,$B39+1))),H40))</f>
        <v>0</v>
      </c>
      <c r="I39" s="530">
        <f t="shared" ca="1" si="12"/>
        <v>45713</v>
      </c>
      <c r="J39" s="526">
        <f ca="1">(IFERROR(IFERROR(VALUE(_xll.BDH(J$4,"PE_RATIO",$B39,$B39)),VALUE(_xll.BDH(J$4,"PE_RATIO",$B39+1,$B39+1))),J40))</f>
        <v>0</v>
      </c>
      <c r="K39" s="526">
        <f ca="1">(IFERROR(IFERROR(VALUE(_xll.BDH(K$4,"PE_RATIO",$B39,$B39)),VALUE(_xll.BDH(K$4,"PE_RATIO",$B39+1,$B39+1))),K40))</f>
        <v>0</v>
      </c>
      <c r="L39" s="526">
        <f ca="1">(IFERROR(IFERROR(VALUE(_xll.BDH(L$4,"PE_RATIO",$B39,$B39)),VALUE(_xll.BDH(L$4,"PE_RATIO",$B39+1,$B39+1))),L40))</f>
        <v>0</v>
      </c>
      <c r="M39" s="526">
        <f ca="1">(IFERROR(IFERROR(VALUE(_xll.BDH(M$4,"PE_RATIO",$B39,$B39)),VALUE(_xll.BDH(M$4,"PE_RATIO",$B39+1,$B39+1))),M40))</f>
        <v>0</v>
      </c>
      <c r="N39" s="526">
        <f ca="1">(IFERROR(IFERROR(VALUE(_xll.BDH(N$4,"PE_RATIO",$B39,$B39)),VALUE(_xll.BDH(N$4,"PE_RATIO",$B39+1,$B39+1))),N40))</f>
        <v>0</v>
      </c>
      <c r="O39" s="526">
        <f ca="1">(IFERROR(IFERROR(VALUE(_xll.BDH(O$4,"PE_RATIO",$B39,$B39)),VALUE(_xll.BDH(O$4,"PE_RATIO",$B39+1,$B39+1))),O40))</f>
        <v>0</v>
      </c>
      <c r="P39" s="526"/>
      <c r="Q39" s="530">
        <v>45670</v>
      </c>
      <c r="R39" s="4">
        <v>9.74</v>
      </c>
      <c r="S39" s="4">
        <v>20784.72</v>
      </c>
      <c r="T39" s="4">
        <v>6939.49</v>
      </c>
      <c r="U39" s="4">
        <v>4.253275109170306</v>
      </c>
      <c r="V39" s="4">
        <v>1.8468559486267684</v>
      </c>
      <c r="W39" s="4">
        <v>1.8250625274502739</v>
      </c>
      <c r="Y39" s="526">
        <f t="shared" si="13"/>
        <v>9.74</v>
      </c>
      <c r="Z39" s="4">
        <f>IFERROR(VALUE(_xll.BDH(Z$4,"PX_LAST",$Q39,$Q39)),Z40)</f>
        <v>98.02</v>
      </c>
      <c r="AA39" s="4">
        <f>IFERROR(VALUE(_xll.BDH(AA$4,"PX_LAST",$Q39,$Q39)),AA40)</f>
        <v>32.369999999999997</v>
      </c>
      <c r="AB39" s="4">
        <f>IFERROR(VALUE(_xll.BDH(AB$4,"PX_LAST",$Q39,$Q39)),AB40)</f>
        <v>112.56</v>
      </c>
      <c r="AC39" s="4">
        <f>IFERROR(VALUE(_xll.BDH(AC$4,"PX_LAST",$Q39,$Q39)),AC40)</f>
        <v>12.17</v>
      </c>
      <c r="AD39" s="4">
        <f>IFERROR(VALUE(_xll.BDH(AD$4,"PX_LAST",$Q39,$Q39)),AD40)</f>
        <v>52.58</v>
      </c>
      <c r="AF39" s="4">
        <f t="shared" si="14"/>
        <v>4.253275109170306</v>
      </c>
      <c r="AG39" s="4">
        <f t="shared" si="15"/>
        <v>3.3193362682018286</v>
      </c>
      <c r="AH39" s="4">
        <f t="shared" si="16"/>
        <v>1.1389866291344122</v>
      </c>
      <c r="AI39" s="4">
        <f t="shared" si="17"/>
        <v>1.2066895368782162</v>
      </c>
      <c r="AJ39" s="4">
        <f t="shared" si="18"/>
        <v>1.5155666251556663</v>
      </c>
      <c r="AK39" s="4">
        <f t="shared" si="19"/>
        <v>1.8000684697021567</v>
      </c>
      <c r="AM39" s="528">
        <v>45873</v>
      </c>
      <c r="AN39" s="529">
        <v>10.25</v>
      </c>
      <c r="AO39" s="529">
        <v>0</v>
      </c>
      <c r="AP39" s="529">
        <v>0</v>
      </c>
      <c r="AQ39" s="529">
        <v>-268.27222499999999</v>
      </c>
      <c r="AR39" s="529">
        <v>0</v>
      </c>
    </row>
    <row r="40" spans="2:44">
      <c r="B40" s="530">
        <f t="shared" ca="1" si="20"/>
        <v>45706</v>
      </c>
      <c r="C40" s="526">
        <f ca="1">(IFERROR(IFERROR(VALUE(_xll.BDH(C$4,"CURRENT_EV_TO_T12M_EBITDA",$B40,$B40)),VALUE(_xll.BDH(C$4,"CURRENT_EV_TO_T12M_EBITDA",$B40+1,$B40+1))),C41))</f>
        <v>0</v>
      </c>
      <c r="D40" s="526">
        <f ca="1">(IFERROR(IFERROR(VALUE(_xll.BDH(D$4,"CURRENT_EV_TO_T12M_EBITDA",$B40,$B40)),VALUE(_xll.BDH(D$4,"CURRENT_EV_TO_T12M_EBITDA",$B40+1,$B40+1))),D41))</f>
        <v>0</v>
      </c>
      <c r="E40" s="526">
        <f ca="1">(IFERROR(IFERROR(VALUE(_xll.BDH(E$4,"CURRENT_EV_TO_T12M_EBITDA",$B40,$B40)),VALUE(_xll.BDH(E$4,"CURRENT_EV_TO_T12M_EBITDA",$B40+1,$B40+1))),E41))</f>
        <v>0</v>
      </c>
      <c r="F40" s="526">
        <f ca="1">(IFERROR(IFERROR(VALUE(_xll.BDH(F$4,"CURRENT_EV_TO_T12M_EBITDA",$B40,$B40)),VALUE(_xll.BDH(F$4,"CURRENT_EV_TO_T12M_EBITDA",$B40+1,$B40+1))),F41))</f>
        <v>0</v>
      </c>
      <c r="G40" s="526">
        <f ca="1">(IFERROR(IFERROR(VALUE(_xll.BDH(G$4,"CURRENT_EV_TO_T12M_EBITDA",$B40,$B40)),VALUE(_xll.BDH(G$4,"CURRENT_EV_TO_T12M_EBITDA",$B40+1,$B40+1))),G41))</f>
        <v>0</v>
      </c>
      <c r="H40" s="526">
        <f ca="1">(IFERROR(IFERROR(VALUE(_xll.BDH(H$4,"CURRENT_EV_TO_T12M_EBITDA",$B40,$B40)),VALUE(_xll.BDH(H$4,"CURRENT_EV_TO_T12M_EBITDA",$B40+1,$B40+1))),H41))</f>
        <v>0</v>
      </c>
      <c r="I40" s="530">
        <f t="shared" ca="1" si="12"/>
        <v>45706</v>
      </c>
      <c r="J40" s="526">
        <f ca="1">(IFERROR(IFERROR(VALUE(_xll.BDH(J$4,"PE_RATIO",$B40,$B40)),VALUE(_xll.BDH(J$4,"PE_RATIO",$B40+1,$B40+1))),J41))</f>
        <v>0</v>
      </c>
      <c r="K40" s="526">
        <f ca="1">(IFERROR(IFERROR(VALUE(_xll.BDH(K$4,"PE_RATIO",$B40,$B40)),VALUE(_xll.BDH(K$4,"PE_RATIO",$B40+1,$B40+1))),K41))</f>
        <v>0</v>
      </c>
      <c r="L40" s="526">
        <f ca="1">(IFERROR(IFERROR(VALUE(_xll.BDH(L$4,"PE_RATIO",$B40,$B40)),VALUE(_xll.BDH(L$4,"PE_RATIO",$B40+1,$B40+1))),L41))</f>
        <v>0</v>
      </c>
      <c r="M40" s="526">
        <f ca="1">(IFERROR(IFERROR(VALUE(_xll.BDH(M$4,"PE_RATIO",$B40,$B40)),VALUE(_xll.BDH(M$4,"PE_RATIO",$B40+1,$B40+1))),M41))</f>
        <v>0</v>
      </c>
      <c r="N40" s="526">
        <f ca="1">(IFERROR(IFERROR(VALUE(_xll.BDH(N$4,"PE_RATIO",$B40,$B40)),VALUE(_xll.BDH(N$4,"PE_RATIO",$B40+1,$B40+1))),N41))</f>
        <v>0</v>
      </c>
      <c r="O40" s="526">
        <f ca="1">(IFERROR(IFERROR(VALUE(_xll.BDH(O$4,"PE_RATIO",$B40,$B40)),VALUE(_xll.BDH(O$4,"PE_RATIO",$B40+1,$B40+1))),O41))</f>
        <v>0</v>
      </c>
      <c r="P40" s="526"/>
      <c r="Q40" s="530">
        <v>45663</v>
      </c>
      <c r="R40" s="4">
        <v>7.56</v>
      </c>
      <c r="S40" s="4">
        <v>21559.5</v>
      </c>
      <c r="T40" s="4">
        <v>7194.63</v>
      </c>
      <c r="U40" s="4">
        <v>3.301310043668122</v>
      </c>
      <c r="V40" s="4">
        <v>1.9157001308855164</v>
      </c>
      <c r="W40" s="4">
        <v>1.8921634892289729</v>
      </c>
      <c r="Y40" s="526">
        <f t="shared" si="13"/>
        <v>7.56</v>
      </c>
      <c r="Z40" s="4">
        <f>IFERROR(VALUE(_xll.BDH(Z$4,"PX_LAST",$Q40,$Q40)),Z41)</f>
        <v>98.93</v>
      </c>
      <c r="AA40" s="4">
        <f>IFERROR(VALUE(_xll.BDH(AA$4,"PX_LAST",$Q40,$Q40)),AA41)</f>
        <v>33.299999999999997</v>
      </c>
      <c r="AB40" s="4">
        <f>IFERROR(VALUE(_xll.BDH(AB$4,"PX_LAST",$Q40,$Q40)),AB41)</f>
        <v>114.22</v>
      </c>
      <c r="AC40" s="4">
        <f>IFERROR(VALUE(_xll.BDH(AC$4,"PX_LAST",$Q40,$Q40)),AC41)</f>
        <v>12.1</v>
      </c>
      <c r="AD40" s="4">
        <f>IFERROR(VALUE(_xll.BDH(AD$4,"PX_LAST",$Q40,$Q40)),AD41)</f>
        <v>53.19</v>
      </c>
      <c r="AF40" s="4">
        <f t="shared" si="14"/>
        <v>3.301310043668122</v>
      </c>
      <c r="AG40" s="4">
        <f t="shared" si="15"/>
        <v>3.3501523874026415</v>
      </c>
      <c r="AH40" s="4">
        <f t="shared" si="16"/>
        <v>1.171710063335679</v>
      </c>
      <c r="AI40" s="4">
        <f t="shared" si="17"/>
        <v>1.2244854202401372</v>
      </c>
      <c r="AJ40" s="4">
        <f t="shared" si="18"/>
        <v>1.5068493150684932</v>
      </c>
      <c r="AK40" s="4">
        <f t="shared" si="19"/>
        <v>1.8209517288599792</v>
      </c>
      <c r="AM40" s="528">
        <v>45872</v>
      </c>
      <c r="AN40" s="529">
        <v>10.4</v>
      </c>
      <c r="AO40" s="529">
        <v>-2528720</v>
      </c>
      <c r="AP40" s="529">
        <v>-52.345799999999997</v>
      </c>
      <c r="AQ40" s="529">
        <v>-816.59447999999998</v>
      </c>
      <c r="AR40" s="529">
        <v>-0.85419999999999996</v>
      </c>
    </row>
    <row r="41" spans="2:44">
      <c r="B41" s="530">
        <f t="shared" ca="1" si="20"/>
        <v>45699</v>
      </c>
      <c r="C41" s="526">
        <f ca="1">(IFERROR(IFERROR(VALUE(_xll.BDH(C$4,"CURRENT_EV_TO_T12M_EBITDA",$B41,$B41)),VALUE(_xll.BDH(C$4,"CURRENT_EV_TO_T12M_EBITDA",$B41+1,$B41+1))),C42))</f>
        <v>0</v>
      </c>
      <c r="D41" s="526">
        <f ca="1">(IFERROR(IFERROR(VALUE(_xll.BDH(D$4,"CURRENT_EV_TO_T12M_EBITDA",$B41,$B41)),VALUE(_xll.BDH(D$4,"CURRENT_EV_TO_T12M_EBITDA",$B41+1,$B41+1))),D42))</f>
        <v>0</v>
      </c>
      <c r="E41" s="526">
        <f ca="1">(IFERROR(IFERROR(VALUE(_xll.BDH(E$4,"CURRENT_EV_TO_T12M_EBITDA",$B41,$B41)),VALUE(_xll.BDH(E$4,"CURRENT_EV_TO_T12M_EBITDA",$B41+1,$B41+1))),E42))</f>
        <v>0</v>
      </c>
      <c r="F41" s="526">
        <f ca="1">(IFERROR(IFERROR(VALUE(_xll.BDH(F$4,"CURRENT_EV_TO_T12M_EBITDA",$B41,$B41)),VALUE(_xll.BDH(F$4,"CURRENT_EV_TO_T12M_EBITDA",$B41+1,$B41+1))),F42))</f>
        <v>0</v>
      </c>
      <c r="G41" s="526">
        <f ca="1">(IFERROR(IFERROR(VALUE(_xll.BDH(G$4,"CURRENT_EV_TO_T12M_EBITDA",$B41,$B41)),VALUE(_xll.BDH(G$4,"CURRENT_EV_TO_T12M_EBITDA",$B41+1,$B41+1))),G42))</f>
        <v>0</v>
      </c>
      <c r="H41" s="526">
        <f ca="1">(IFERROR(IFERROR(VALUE(_xll.BDH(H$4,"CURRENT_EV_TO_T12M_EBITDA",$B41,$B41)),VALUE(_xll.BDH(H$4,"CURRENT_EV_TO_T12M_EBITDA",$B41+1,$B41+1))),H42))</f>
        <v>0</v>
      </c>
      <c r="I41" s="530">
        <f t="shared" ca="1" si="12"/>
        <v>45699</v>
      </c>
      <c r="J41" s="526">
        <f ca="1">(IFERROR(IFERROR(VALUE(_xll.BDH(J$4,"PE_RATIO",$B41,$B41)),VALUE(_xll.BDH(J$4,"PE_RATIO",$B41+1,$B41+1))),J42))</f>
        <v>0</v>
      </c>
      <c r="K41" s="526">
        <f ca="1">(IFERROR(IFERROR(VALUE(_xll.BDH(K$4,"PE_RATIO",$B41,$B41)),VALUE(_xll.BDH(K$4,"PE_RATIO",$B41+1,$B41+1))),K42))</f>
        <v>0</v>
      </c>
      <c r="L41" s="526">
        <f ca="1">(IFERROR(IFERROR(VALUE(_xll.BDH(L$4,"PE_RATIO",$B41,$B41)),VALUE(_xll.BDH(L$4,"PE_RATIO",$B41+1,$B41+1))),L42))</f>
        <v>0</v>
      </c>
      <c r="M41" s="526">
        <f ca="1">(IFERROR(IFERROR(VALUE(_xll.BDH(M$4,"PE_RATIO",$B41,$B41)),VALUE(_xll.BDH(M$4,"PE_RATIO",$B41+1,$B41+1))),M42))</f>
        <v>0</v>
      </c>
      <c r="N41" s="526">
        <f ca="1">(IFERROR(IFERROR(VALUE(_xll.BDH(N$4,"PE_RATIO",$B41,$B41)),VALUE(_xll.BDH(N$4,"PE_RATIO",$B41+1,$B41+1))),N42))</f>
        <v>0</v>
      </c>
      <c r="O41" s="526">
        <f ca="1">(IFERROR(IFERROR(VALUE(_xll.BDH(O$4,"PE_RATIO",$B41,$B41)),VALUE(_xll.BDH(O$4,"PE_RATIO",$B41+1,$B41+1))),O42))</f>
        <v>0</v>
      </c>
      <c r="P41" s="526"/>
      <c r="Q41" s="530">
        <v>45656</v>
      </c>
      <c r="R41" s="4">
        <v>7.56</v>
      </c>
      <c r="S41" s="4">
        <v>21197.09</v>
      </c>
      <c r="T41" s="4">
        <v>7183.05</v>
      </c>
      <c r="U41" s="4">
        <v>3.301310043668122</v>
      </c>
      <c r="V41" s="4">
        <v>1.8834976732944675</v>
      </c>
      <c r="W41" s="4">
        <v>1.8891179881809312</v>
      </c>
      <c r="Y41" s="526">
        <f t="shared" si="13"/>
        <v>7.56</v>
      </c>
      <c r="Z41" s="4">
        <f>IFERROR(VALUE(_xll.BDH(Z$4,"PX_LAST",$Q41,$Q41)),Z42)</f>
        <v>96.94</v>
      </c>
      <c r="AA41" s="4">
        <f>IFERROR(VALUE(_xll.BDH(AA$4,"PX_LAST",$Q41,$Q41)),AA42)</f>
        <v>33.5</v>
      </c>
      <c r="AB41" s="4">
        <f>IFERROR(VALUE(_xll.BDH(AB$4,"PX_LAST",$Q41,$Q41)),AB42)</f>
        <v>111.88</v>
      </c>
      <c r="AC41" s="4">
        <f>IFERROR(VALUE(_xll.BDH(AC$4,"PX_LAST",$Q41,$Q41)),AC42)</f>
        <v>12.26</v>
      </c>
      <c r="AD41" s="4">
        <f>IFERROR(VALUE(_xll.BDH(AD$4,"PX_LAST",$Q41,$Q41)),AD42)</f>
        <v>52.24</v>
      </c>
      <c r="AF41" s="4">
        <f t="shared" si="14"/>
        <v>3.301310043668122</v>
      </c>
      <c r="AG41" s="4">
        <f t="shared" si="15"/>
        <v>3.282763291567897</v>
      </c>
      <c r="AH41" s="4">
        <f t="shared" si="16"/>
        <v>1.1787473610133707</v>
      </c>
      <c r="AI41" s="4">
        <f t="shared" si="17"/>
        <v>1.1993996569468266</v>
      </c>
      <c r="AJ41" s="4">
        <f t="shared" si="18"/>
        <v>1.5267745952677461</v>
      </c>
      <c r="AK41" s="4">
        <f t="shared" si="19"/>
        <v>1.7884286203355015</v>
      </c>
      <c r="AM41" s="528">
        <v>45871</v>
      </c>
      <c r="AN41" s="529">
        <v>10.4</v>
      </c>
      <c r="AO41" s="529">
        <v>-1264360</v>
      </c>
      <c r="AP41" s="529">
        <v>-26.172899999999998</v>
      </c>
      <c r="AQ41" s="529">
        <v>-544.39631999999995</v>
      </c>
      <c r="AR41" s="529">
        <v>-0.42709999999999998</v>
      </c>
    </row>
    <row r="42" spans="2:44">
      <c r="B42" s="530">
        <f t="shared" ca="1" si="20"/>
        <v>45692</v>
      </c>
      <c r="C42" s="526">
        <f ca="1">(IFERROR(IFERROR(VALUE(_xll.BDH(C$4,"CURRENT_EV_TO_T12M_EBITDA",$B42,$B42)),VALUE(_xll.BDH(C$4,"CURRENT_EV_TO_T12M_EBITDA",$B42+1,$B42+1))),C43))</f>
        <v>0</v>
      </c>
      <c r="D42" s="526">
        <f ca="1">(IFERROR(IFERROR(VALUE(_xll.BDH(D$4,"CURRENT_EV_TO_T12M_EBITDA",$B42,$B42)),VALUE(_xll.BDH(D$4,"CURRENT_EV_TO_T12M_EBITDA",$B42+1,$B42+1))),D43))</f>
        <v>0</v>
      </c>
      <c r="E42" s="526">
        <f ca="1">(IFERROR(IFERROR(VALUE(_xll.BDH(E$4,"CURRENT_EV_TO_T12M_EBITDA",$B42,$B42)),VALUE(_xll.BDH(E$4,"CURRENT_EV_TO_T12M_EBITDA",$B42+1,$B42+1))),E43))</f>
        <v>0</v>
      </c>
      <c r="F42" s="526">
        <f ca="1">(IFERROR(IFERROR(VALUE(_xll.BDH(F$4,"CURRENT_EV_TO_T12M_EBITDA",$B42,$B42)),VALUE(_xll.BDH(F$4,"CURRENT_EV_TO_T12M_EBITDA",$B42+1,$B42+1))),F43))</f>
        <v>0</v>
      </c>
      <c r="G42" s="526">
        <f ca="1">(IFERROR(IFERROR(VALUE(_xll.BDH(G$4,"CURRENT_EV_TO_T12M_EBITDA",$B42,$B42)),VALUE(_xll.BDH(G$4,"CURRENT_EV_TO_T12M_EBITDA",$B42+1,$B42+1))),G43))</f>
        <v>0</v>
      </c>
      <c r="H42" s="526">
        <f ca="1">(IFERROR(IFERROR(VALUE(_xll.BDH(H$4,"CURRENT_EV_TO_T12M_EBITDA",$B42,$B42)),VALUE(_xll.BDH(H$4,"CURRENT_EV_TO_T12M_EBITDA",$B42+1,$B42+1))),H43))</f>
        <v>0</v>
      </c>
      <c r="I42" s="530">
        <f t="shared" ca="1" si="12"/>
        <v>45692</v>
      </c>
      <c r="J42" s="526">
        <f ca="1">(IFERROR(IFERROR(VALUE(_xll.BDH(J$4,"PE_RATIO",$B42,$B42)),VALUE(_xll.BDH(J$4,"PE_RATIO",$B42+1,$B42+1))),J43))</f>
        <v>0</v>
      </c>
      <c r="K42" s="526">
        <f ca="1">(IFERROR(IFERROR(VALUE(_xll.BDH(K$4,"PE_RATIO",$B42,$B42)),VALUE(_xll.BDH(K$4,"PE_RATIO",$B42+1,$B42+1))),K43))</f>
        <v>0</v>
      </c>
      <c r="L42" s="526">
        <f ca="1">(IFERROR(IFERROR(VALUE(_xll.BDH(L$4,"PE_RATIO",$B42,$B42)),VALUE(_xll.BDH(L$4,"PE_RATIO",$B42+1,$B42+1))),L43))</f>
        <v>0</v>
      </c>
      <c r="M42" s="526">
        <f ca="1">(IFERROR(IFERROR(VALUE(_xll.BDH(M$4,"PE_RATIO",$B42,$B42)),VALUE(_xll.BDH(M$4,"PE_RATIO",$B42+1,$B42+1))),M43))</f>
        <v>0</v>
      </c>
      <c r="N42" s="526">
        <f ca="1">(IFERROR(IFERROR(VALUE(_xll.BDH(N$4,"PE_RATIO",$B42,$B42)),VALUE(_xll.BDH(N$4,"PE_RATIO",$B42+1,$B42+1))),N43))</f>
        <v>0</v>
      </c>
      <c r="O42" s="526">
        <f ca="1">(IFERROR(IFERROR(VALUE(_xll.BDH(O$4,"PE_RATIO",$B42,$B42)),VALUE(_xll.BDH(O$4,"PE_RATIO",$B42+1,$B42+1))),O43))</f>
        <v>0</v>
      </c>
      <c r="P42" s="526"/>
      <c r="Q42" s="530">
        <v>45649</v>
      </c>
      <c r="R42" s="4">
        <v>7.16</v>
      </c>
      <c r="S42" s="4">
        <v>21503.17</v>
      </c>
      <c r="T42" s="4">
        <v>7339.36</v>
      </c>
      <c r="U42" s="4">
        <v>3.126637554585153</v>
      </c>
      <c r="V42" s="4">
        <v>1.9106948483709505</v>
      </c>
      <c r="W42" s="4">
        <v>1.9302269923967672</v>
      </c>
      <c r="Y42" s="526">
        <f t="shared" si="13"/>
        <v>7.16</v>
      </c>
      <c r="Z42" s="4">
        <f>IFERROR(VALUE(_xll.BDH(Z$4,"PX_LAST",$Q42,$Q42)),Z43)</f>
        <v>96.32</v>
      </c>
      <c r="AA42" s="4">
        <f>IFERROR(VALUE(_xll.BDH(AA$4,"PX_LAST",$Q42,$Q42)),AA43)</f>
        <v>32.82</v>
      </c>
      <c r="AB42" s="4">
        <f>IFERROR(VALUE(_xll.BDH(AB$4,"PX_LAST",$Q42,$Q42)),AB43)</f>
        <v>109.35</v>
      </c>
      <c r="AC42" s="4">
        <f>IFERROR(VALUE(_xll.BDH(AC$4,"PX_LAST",$Q42,$Q42)),AC43)</f>
        <v>11.74</v>
      </c>
      <c r="AD42" s="4">
        <f>IFERROR(VALUE(_xll.BDH(AD$4,"PX_LAST",$Q42,$Q42)),AD43)</f>
        <v>51.95</v>
      </c>
      <c r="AF42" s="4">
        <f t="shared" si="14"/>
        <v>3.126637554585153</v>
      </c>
      <c r="AG42" s="4">
        <f t="shared" si="15"/>
        <v>3.2617676938706395</v>
      </c>
      <c r="AH42" s="4">
        <f t="shared" si="16"/>
        <v>1.1548205489092187</v>
      </c>
      <c r="AI42" s="4">
        <f t="shared" si="17"/>
        <v>1.1722770154373927</v>
      </c>
      <c r="AJ42" s="4">
        <f t="shared" si="18"/>
        <v>1.4620174346201744</v>
      </c>
      <c r="AK42" s="4">
        <f t="shared" si="19"/>
        <v>1.7785005135227663</v>
      </c>
      <c r="AM42" s="528">
        <v>45870</v>
      </c>
      <c r="AN42" s="529">
        <v>10.4</v>
      </c>
      <c r="AO42" s="529">
        <v>0</v>
      </c>
      <c r="AP42" s="529">
        <v>0</v>
      </c>
      <c r="AQ42" s="529">
        <v>-272.19815999999997</v>
      </c>
      <c r="AR42" s="529">
        <v>0</v>
      </c>
    </row>
    <row r="43" spans="2:44">
      <c r="B43" s="530">
        <f t="shared" ca="1" si="20"/>
        <v>45685</v>
      </c>
      <c r="C43" s="526">
        <f ca="1">(IFERROR(IFERROR(VALUE(_xll.BDH(C$4,"CURRENT_EV_TO_T12M_EBITDA",$B43,$B43)),VALUE(_xll.BDH(C$4,"CURRENT_EV_TO_T12M_EBITDA",$B43+1,$B43+1))),C44))</f>
        <v>0</v>
      </c>
      <c r="D43" s="526">
        <f ca="1">(IFERROR(IFERROR(VALUE(_xll.BDH(D$4,"CURRENT_EV_TO_T12M_EBITDA",$B43,$B43)),VALUE(_xll.BDH(D$4,"CURRENT_EV_TO_T12M_EBITDA",$B43+1,$B43+1))),D44))</f>
        <v>0</v>
      </c>
      <c r="E43" s="526">
        <f ca="1">(IFERROR(IFERROR(VALUE(_xll.BDH(E$4,"CURRENT_EV_TO_T12M_EBITDA",$B43,$B43)),VALUE(_xll.BDH(E$4,"CURRENT_EV_TO_T12M_EBITDA",$B43+1,$B43+1))),E44))</f>
        <v>0</v>
      </c>
      <c r="F43" s="526">
        <f ca="1">(IFERROR(IFERROR(VALUE(_xll.BDH(F$4,"CURRENT_EV_TO_T12M_EBITDA",$B43,$B43)),VALUE(_xll.BDH(F$4,"CURRENT_EV_TO_T12M_EBITDA",$B43+1,$B43+1))),F44))</f>
        <v>0</v>
      </c>
      <c r="G43" s="526">
        <f ca="1">(IFERROR(IFERROR(VALUE(_xll.BDH(G$4,"CURRENT_EV_TO_T12M_EBITDA",$B43,$B43)),VALUE(_xll.BDH(G$4,"CURRENT_EV_TO_T12M_EBITDA",$B43+1,$B43+1))),G44))</f>
        <v>0</v>
      </c>
      <c r="H43" s="526">
        <f ca="1">(IFERROR(IFERROR(VALUE(_xll.BDH(H$4,"CURRENT_EV_TO_T12M_EBITDA",$B43,$B43)),VALUE(_xll.BDH(H$4,"CURRENT_EV_TO_T12M_EBITDA",$B43+1,$B43+1))),H44))</f>
        <v>0</v>
      </c>
      <c r="I43" s="530">
        <f t="shared" ca="1" si="12"/>
        <v>45685</v>
      </c>
      <c r="J43" s="526">
        <f ca="1">(IFERROR(IFERROR(VALUE(_xll.BDH(J$4,"PE_RATIO",$B43,$B43)),VALUE(_xll.BDH(J$4,"PE_RATIO",$B43+1,$B43+1))),J44))</f>
        <v>0</v>
      </c>
      <c r="K43" s="526">
        <f ca="1">(IFERROR(IFERROR(VALUE(_xll.BDH(K$4,"PE_RATIO",$B43,$B43)),VALUE(_xll.BDH(K$4,"PE_RATIO",$B43+1,$B43+1))),K44))</f>
        <v>0</v>
      </c>
      <c r="L43" s="526">
        <f ca="1">(IFERROR(IFERROR(VALUE(_xll.BDH(L$4,"PE_RATIO",$B43,$B43)),VALUE(_xll.BDH(L$4,"PE_RATIO",$B43+1,$B43+1))),L44))</f>
        <v>0</v>
      </c>
      <c r="M43" s="526">
        <f ca="1">(IFERROR(IFERROR(VALUE(_xll.BDH(M$4,"PE_RATIO",$B43,$B43)),VALUE(_xll.BDH(M$4,"PE_RATIO",$B43+1,$B43+1))),M44))</f>
        <v>0</v>
      </c>
      <c r="N43" s="526">
        <f ca="1">(IFERROR(IFERROR(VALUE(_xll.BDH(N$4,"PE_RATIO",$B43,$B43)),VALUE(_xll.BDH(N$4,"PE_RATIO",$B43+1,$B43+1))),N44))</f>
        <v>0</v>
      </c>
      <c r="O43" s="526">
        <f ca="1">(IFERROR(IFERROR(VALUE(_xll.BDH(O$4,"PE_RATIO",$B43,$B43)),VALUE(_xll.BDH(O$4,"PE_RATIO",$B43+1,$B43+1))),O44))</f>
        <v>0</v>
      </c>
      <c r="P43" s="526"/>
      <c r="Q43" s="530">
        <v>45642</v>
      </c>
      <c r="R43" s="4">
        <v>7.58</v>
      </c>
      <c r="S43" s="4">
        <v>22096.66</v>
      </c>
      <c r="T43" s="4">
        <v>7599.94</v>
      </c>
      <c r="U43" s="4">
        <v>3.3100436681222707</v>
      </c>
      <c r="V43" s="4">
        <v>1.963430249037907</v>
      </c>
      <c r="W43" s="4">
        <v>1.9987586558767914</v>
      </c>
      <c r="Y43" s="526">
        <f t="shared" si="13"/>
        <v>7.58</v>
      </c>
      <c r="Z43" s="4">
        <f>IFERROR(VALUE(_xll.BDH(Z$4,"PX_LAST",$Q43,$Q43)),Z44)</f>
        <v>101.56</v>
      </c>
      <c r="AA43" s="4">
        <f>IFERROR(VALUE(_xll.BDH(AA$4,"PX_LAST",$Q43,$Q43)),AA44)</f>
        <v>34.17</v>
      </c>
      <c r="AB43" s="4">
        <f>IFERROR(VALUE(_xll.BDH(AB$4,"PX_LAST",$Q43,$Q43)),AB44)</f>
        <v>117.81</v>
      </c>
      <c r="AC43" s="4">
        <f>IFERROR(VALUE(_xll.BDH(AC$4,"PX_LAST",$Q43,$Q43)),AC44)</f>
        <v>11.99</v>
      </c>
      <c r="AD43" s="4">
        <f>IFERROR(VALUE(_xll.BDH(AD$4,"PX_LAST",$Q43,$Q43)),AD44)</f>
        <v>55.73</v>
      </c>
      <c r="AF43" s="4">
        <f t="shared" si="14"/>
        <v>3.3100436681222707</v>
      </c>
      <c r="AG43" s="4">
        <f t="shared" si="15"/>
        <v>3.4392143582797154</v>
      </c>
      <c r="AH43" s="4">
        <f t="shared" si="16"/>
        <v>1.2023223082336383</v>
      </c>
      <c r="AI43" s="4">
        <f t="shared" si="17"/>
        <v>1.2629716981132075</v>
      </c>
      <c r="AJ43" s="4">
        <f t="shared" si="18"/>
        <v>1.493150684931507</v>
      </c>
      <c r="AK43" s="4">
        <f t="shared" si="19"/>
        <v>1.9079082505991096</v>
      </c>
      <c r="AM43" s="528">
        <v>45869</v>
      </c>
      <c r="AN43" s="529">
        <v>10.64</v>
      </c>
      <c r="AO43" s="529">
        <v>0</v>
      </c>
      <c r="AP43" s="529">
        <v>0</v>
      </c>
      <c r="AQ43" s="529">
        <v>-278.47965599999998</v>
      </c>
      <c r="AR43" s="529">
        <v>0</v>
      </c>
    </row>
    <row r="44" spans="2:44">
      <c r="B44" s="530">
        <f t="shared" ca="1" si="20"/>
        <v>45678</v>
      </c>
      <c r="C44" s="526">
        <f ca="1">(IFERROR(IFERROR(VALUE(_xll.BDH(C$4,"CURRENT_EV_TO_T12M_EBITDA",$B44,$B44)),VALUE(_xll.BDH(C$4,"CURRENT_EV_TO_T12M_EBITDA",$B44+1,$B44+1))),C45))</f>
        <v>0</v>
      </c>
      <c r="D44" s="526">
        <f ca="1">(IFERROR(IFERROR(VALUE(_xll.BDH(D$4,"CURRENT_EV_TO_T12M_EBITDA",$B44,$B44)),VALUE(_xll.BDH(D$4,"CURRENT_EV_TO_T12M_EBITDA",$B44+1,$B44+1))),D45))</f>
        <v>0</v>
      </c>
      <c r="E44" s="526">
        <f ca="1">(IFERROR(IFERROR(VALUE(_xll.BDH(E$4,"CURRENT_EV_TO_T12M_EBITDA",$B44,$B44)),VALUE(_xll.BDH(E$4,"CURRENT_EV_TO_T12M_EBITDA",$B44+1,$B44+1))),E45))</f>
        <v>0</v>
      </c>
      <c r="F44" s="526">
        <f ca="1">(IFERROR(IFERROR(VALUE(_xll.BDH(F$4,"CURRENT_EV_TO_T12M_EBITDA",$B44,$B44)),VALUE(_xll.BDH(F$4,"CURRENT_EV_TO_T12M_EBITDA",$B44+1,$B44+1))),F45))</f>
        <v>0</v>
      </c>
      <c r="G44" s="526">
        <f ca="1">(IFERROR(IFERROR(VALUE(_xll.BDH(G$4,"CURRENT_EV_TO_T12M_EBITDA",$B44,$B44)),VALUE(_xll.BDH(G$4,"CURRENT_EV_TO_T12M_EBITDA",$B44+1,$B44+1))),G45))</f>
        <v>0</v>
      </c>
      <c r="H44" s="526">
        <f ca="1">(IFERROR(IFERROR(VALUE(_xll.BDH(H$4,"CURRENT_EV_TO_T12M_EBITDA",$B44,$B44)),VALUE(_xll.BDH(H$4,"CURRENT_EV_TO_T12M_EBITDA",$B44+1,$B44+1))),H45))</f>
        <v>0</v>
      </c>
      <c r="I44" s="530">
        <f t="shared" ca="1" si="12"/>
        <v>45678</v>
      </c>
      <c r="J44" s="526">
        <f ca="1">(IFERROR(IFERROR(VALUE(_xll.BDH(J$4,"PE_RATIO",$B44,$B44)),VALUE(_xll.BDH(J$4,"PE_RATIO",$B44+1,$B44+1))),J45))</f>
        <v>0</v>
      </c>
      <c r="K44" s="526">
        <f ca="1">(IFERROR(IFERROR(VALUE(_xll.BDH(K$4,"PE_RATIO",$B44,$B44)),VALUE(_xll.BDH(K$4,"PE_RATIO",$B44+1,$B44+1))),K45))</f>
        <v>0</v>
      </c>
      <c r="L44" s="526">
        <f ca="1">(IFERROR(IFERROR(VALUE(_xll.BDH(L$4,"PE_RATIO",$B44,$B44)),VALUE(_xll.BDH(L$4,"PE_RATIO",$B44+1,$B44+1))),L45))</f>
        <v>0</v>
      </c>
      <c r="M44" s="526">
        <f ca="1">(IFERROR(IFERROR(VALUE(_xll.BDH(M$4,"PE_RATIO",$B44,$B44)),VALUE(_xll.BDH(M$4,"PE_RATIO",$B44+1,$B44+1))),M45))</f>
        <v>0</v>
      </c>
      <c r="N44" s="526">
        <f ca="1">(IFERROR(IFERROR(VALUE(_xll.BDH(N$4,"PE_RATIO",$B44,$B44)),VALUE(_xll.BDH(N$4,"PE_RATIO",$B44+1,$B44+1))),N45))</f>
        <v>0</v>
      </c>
      <c r="O44" s="526">
        <f ca="1">(IFERROR(IFERROR(VALUE(_xll.BDH(O$4,"PE_RATIO",$B44,$B44)),VALUE(_xll.BDH(O$4,"PE_RATIO",$B44+1,$B44+1))),O45))</f>
        <v>0</v>
      </c>
      <c r="P44" s="526"/>
      <c r="Q44" s="530">
        <v>45635</v>
      </c>
      <c r="R44" s="4">
        <v>6.84</v>
      </c>
      <c r="S44" s="4">
        <v>21440.82</v>
      </c>
      <c r="T44" s="4">
        <v>7590.38</v>
      </c>
      <c r="U44" s="4">
        <v>2.9868995633187772</v>
      </c>
      <c r="V44" s="4">
        <v>1.9051546501678052</v>
      </c>
      <c r="W44" s="4">
        <v>1.9962444080340214</v>
      </c>
      <c r="Y44" s="526">
        <f t="shared" si="13"/>
        <v>6.84</v>
      </c>
      <c r="Z44" s="4">
        <f>IFERROR(VALUE(_xll.BDH(Z$4,"PX_LAST",$Q44,$Q44)),Z45)</f>
        <v>101.95</v>
      </c>
      <c r="AA44" s="4">
        <f>IFERROR(VALUE(_xll.BDH(AA$4,"PX_LAST",$Q44,$Q44)),AA45)</f>
        <v>33.92</v>
      </c>
      <c r="AB44" s="4">
        <f>IFERROR(VALUE(_xll.BDH(AB$4,"PX_LAST",$Q44,$Q44)),AB45)</f>
        <v>120.33</v>
      </c>
      <c r="AC44" s="4">
        <f>IFERROR(VALUE(_xll.BDH(AC$4,"PX_LAST",$Q44,$Q44)),AC45)</f>
        <v>12.11</v>
      </c>
      <c r="AD44" s="4">
        <f>IFERROR(VALUE(_xll.BDH(AD$4,"PX_LAST",$Q44,$Q44)),AD45)</f>
        <v>55.53</v>
      </c>
      <c r="AF44" s="4">
        <f t="shared" si="14"/>
        <v>2.9868995633187772</v>
      </c>
      <c r="AG44" s="4">
        <f t="shared" si="15"/>
        <v>3.4524212665086353</v>
      </c>
      <c r="AH44" s="4">
        <f t="shared" si="16"/>
        <v>1.1935256861365235</v>
      </c>
      <c r="AI44" s="4">
        <f t="shared" si="17"/>
        <v>1.2899871355060033</v>
      </c>
      <c r="AJ44" s="4">
        <f t="shared" si="18"/>
        <v>1.5080946450809465</v>
      </c>
      <c r="AK44" s="4">
        <f t="shared" si="19"/>
        <v>1.9010612803834304</v>
      </c>
      <c r="AM44" s="528">
        <v>45868</v>
      </c>
      <c r="AN44" s="529">
        <v>10.69</v>
      </c>
      <c r="AO44" s="529">
        <v>0</v>
      </c>
      <c r="AP44" s="529">
        <v>0</v>
      </c>
      <c r="AQ44" s="529">
        <v>-279.78830099999999</v>
      </c>
      <c r="AR44" s="529">
        <v>0</v>
      </c>
    </row>
    <row r="45" spans="2:44">
      <c r="B45" s="530">
        <f t="shared" ca="1" si="20"/>
        <v>45671</v>
      </c>
      <c r="C45" s="526">
        <f ca="1">(IFERROR(IFERROR(VALUE(_xll.BDH(C$4,"CURRENT_EV_TO_T12M_EBITDA",$B45,$B45)),VALUE(_xll.BDH(C$4,"CURRENT_EV_TO_T12M_EBITDA",$B45+1,$B45+1))),C46))</f>
        <v>0</v>
      </c>
      <c r="D45" s="526">
        <f ca="1">(IFERROR(IFERROR(VALUE(_xll.BDH(D$4,"CURRENT_EV_TO_T12M_EBITDA",$B45,$B45)),VALUE(_xll.BDH(D$4,"CURRENT_EV_TO_T12M_EBITDA",$B45+1,$B45+1))),D46))</f>
        <v>0</v>
      </c>
      <c r="E45" s="526">
        <f ca="1">(IFERROR(IFERROR(VALUE(_xll.BDH(E$4,"CURRENT_EV_TO_T12M_EBITDA",$B45,$B45)),VALUE(_xll.BDH(E$4,"CURRENT_EV_TO_T12M_EBITDA",$B45+1,$B45+1))),E46))</f>
        <v>0</v>
      </c>
      <c r="F45" s="526">
        <f ca="1">(IFERROR(IFERROR(VALUE(_xll.BDH(F$4,"CURRENT_EV_TO_T12M_EBITDA",$B45,$B45)),VALUE(_xll.BDH(F$4,"CURRENT_EV_TO_T12M_EBITDA",$B45+1,$B45+1))),F46))</f>
        <v>0</v>
      </c>
      <c r="G45" s="526">
        <f ca="1">(IFERROR(IFERROR(VALUE(_xll.BDH(G$4,"CURRENT_EV_TO_T12M_EBITDA",$B45,$B45)),VALUE(_xll.BDH(G$4,"CURRENT_EV_TO_T12M_EBITDA",$B45+1,$B45+1))),G46))</f>
        <v>0</v>
      </c>
      <c r="H45" s="526">
        <f ca="1">(IFERROR(IFERROR(VALUE(_xll.BDH(H$4,"CURRENT_EV_TO_T12M_EBITDA",$B45,$B45)),VALUE(_xll.BDH(H$4,"CURRENT_EV_TO_T12M_EBITDA",$B45+1,$B45+1))),H46))</f>
        <v>0</v>
      </c>
      <c r="I45" s="530">
        <f t="shared" ca="1" si="12"/>
        <v>45671</v>
      </c>
      <c r="J45" s="526">
        <f ca="1">(IFERROR(IFERROR(VALUE(_xll.BDH(J$4,"PE_RATIO",$B45,$B45)),VALUE(_xll.BDH(J$4,"PE_RATIO",$B45+1,$B45+1))),J46))</f>
        <v>0</v>
      </c>
      <c r="K45" s="526">
        <f ca="1">(IFERROR(IFERROR(VALUE(_xll.BDH(K$4,"PE_RATIO",$B45,$B45)),VALUE(_xll.BDH(K$4,"PE_RATIO",$B45+1,$B45+1))),K46))</f>
        <v>0</v>
      </c>
      <c r="L45" s="526">
        <f ca="1">(IFERROR(IFERROR(VALUE(_xll.BDH(L$4,"PE_RATIO",$B45,$B45)),VALUE(_xll.BDH(L$4,"PE_RATIO",$B45+1,$B45+1))),L46))</f>
        <v>0</v>
      </c>
      <c r="M45" s="526">
        <f ca="1">(IFERROR(IFERROR(VALUE(_xll.BDH(M$4,"PE_RATIO",$B45,$B45)),VALUE(_xll.BDH(M$4,"PE_RATIO",$B45+1,$B45+1))),M46))</f>
        <v>0</v>
      </c>
      <c r="N45" s="526">
        <f ca="1">(IFERROR(IFERROR(VALUE(_xll.BDH(N$4,"PE_RATIO",$B45,$B45)),VALUE(_xll.BDH(N$4,"PE_RATIO",$B45+1,$B45+1))),N46))</f>
        <v>0</v>
      </c>
      <c r="O45" s="526">
        <f ca="1">(IFERROR(IFERROR(VALUE(_xll.BDH(O$4,"PE_RATIO",$B45,$B45)),VALUE(_xll.BDH(O$4,"PE_RATIO",$B45+1,$B45+1))),O46))</f>
        <v>0</v>
      </c>
      <c r="P45" s="526"/>
      <c r="Q45" s="530">
        <v>45628</v>
      </c>
      <c r="R45" s="4">
        <v>7.7</v>
      </c>
      <c r="S45" s="4">
        <v>21164.6</v>
      </c>
      <c r="T45" s="4">
        <v>7339.39</v>
      </c>
      <c r="U45" s="4">
        <v>3.3624454148471616</v>
      </c>
      <c r="V45" s="4">
        <v>1.8806107279918178</v>
      </c>
      <c r="W45" s="4">
        <v>1.9302348822958555</v>
      </c>
      <c r="Y45" s="526">
        <f t="shared" si="13"/>
        <v>7.7</v>
      </c>
      <c r="Z45" s="4">
        <f>IFERROR(VALUE(_xll.BDH(Z$4,"PX_LAST",$Q45,$Q45)),Z46)</f>
        <v>106.03</v>
      </c>
      <c r="AA45" s="4">
        <f>IFERROR(VALUE(_xll.BDH(AA$4,"PX_LAST",$Q45,$Q45)),AA46)</f>
        <v>30.97</v>
      </c>
      <c r="AB45" s="4">
        <f>IFERROR(VALUE(_xll.BDH(AB$4,"PX_LAST",$Q45,$Q45)),AB46)</f>
        <v>121</v>
      </c>
      <c r="AC45" s="4">
        <f>IFERROR(VALUE(_xll.BDH(AC$4,"PX_LAST",$Q45,$Q45)),AC46)</f>
        <v>12.65</v>
      </c>
      <c r="AD45" s="4">
        <f>IFERROR(VALUE(_xll.BDH(AD$4,"PX_LAST",$Q45,$Q45)),AD46)</f>
        <v>57.1</v>
      </c>
      <c r="AF45" s="4">
        <f t="shared" si="14"/>
        <v>3.3624454148471616</v>
      </c>
      <c r="AG45" s="4">
        <f t="shared" si="15"/>
        <v>3.590585844903488</v>
      </c>
      <c r="AH45" s="4">
        <f t="shared" si="16"/>
        <v>1.0897255453905699</v>
      </c>
      <c r="AI45" s="4">
        <f t="shared" si="17"/>
        <v>1.2971698113207546</v>
      </c>
      <c r="AJ45" s="4">
        <f t="shared" si="18"/>
        <v>1.5753424657534247</v>
      </c>
      <c r="AK45" s="4">
        <f t="shared" si="19"/>
        <v>1.9548099965765149</v>
      </c>
      <c r="AM45" s="528">
        <v>45867</v>
      </c>
      <c r="AN45" s="529">
        <v>10.88</v>
      </c>
      <c r="AO45" s="529">
        <v>0</v>
      </c>
      <c r="AP45" s="529">
        <v>0</v>
      </c>
      <c r="AQ45" s="529">
        <v>-284.76115199999998</v>
      </c>
      <c r="AR45" s="529">
        <v>0</v>
      </c>
    </row>
    <row r="46" spans="2:44">
      <c r="B46" s="530">
        <f t="shared" ca="1" si="20"/>
        <v>45664</v>
      </c>
      <c r="C46" s="526">
        <f ca="1">(IFERROR(IFERROR(VALUE(_xll.BDH(C$4,"CURRENT_EV_TO_T12M_EBITDA",$B46,$B46)),VALUE(_xll.BDH(C$4,"CURRENT_EV_TO_T12M_EBITDA",$B46+1,$B46+1))),C47))</f>
        <v>0</v>
      </c>
      <c r="D46" s="526">
        <f ca="1">(IFERROR(IFERROR(VALUE(_xll.BDH(D$4,"CURRENT_EV_TO_T12M_EBITDA",$B46,$B46)),VALUE(_xll.BDH(D$4,"CURRENT_EV_TO_T12M_EBITDA",$B46+1,$B46+1))),D47))</f>
        <v>0</v>
      </c>
      <c r="E46" s="526">
        <f ca="1">(IFERROR(IFERROR(VALUE(_xll.BDH(E$4,"CURRENT_EV_TO_T12M_EBITDA",$B46,$B46)),VALUE(_xll.BDH(E$4,"CURRENT_EV_TO_T12M_EBITDA",$B46+1,$B46+1))),E47))</f>
        <v>0</v>
      </c>
      <c r="F46" s="526">
        <f ca="1">(IFERROR(IFERROR(VALUE(_xll.BDH(F$4,"CURRENT_EV_TO_T12M_EBITDA",$B46,$B46)),VALUE(_xll.BDH(F$4,"CURRENT_EV_TO_T12M_EBITDA",$B46+1,$B46+1))),F47))</f>
        <v>0</v>
      </c>
      <c r="G46" s="526">
        <f ca="1">(IFERROR(IFERROR(VALUE(_xll.BDH(G$4,"CURRENT_EV_TO_T12M_EBITDA",$B46,$B46)),VALUE(_xll.BDH(G$4,"CURRENT_EV_TO_T12M_EBITDA",$B46+1,$B46+1))),G47))</f>
        <v>0</v>
      </c>
      <c r="H46" s="526">
        <f ca="1">(IFERROR(IFERROR(VALUE(_xll.BDH(H$4,"CURRENT_EV_TO_T12M_EBITDA",$B46,$B46)),VALUE(_xll.BDH(H$4,"CURRENT_EV_TO_T12M_EBITDA",$B46+1,$B46+1))),H47))</f>
        <v>0</v>
      </c>
      <c r="I46" s="530">
        <f t="shared" ca="1" si="12"/>
        <v>45664</v>
      </c>
      <c r="J46" s="526">
        <f ca="1">(IFERROR(IFERROR(VALUE(_xll.BDH(J$4,"PE_RATIO",$B46,$B46)),VALUE(_xll.BDH(J$4,"PE_RATIO",$B46+1,$B46+1))),J47))</f>
        <v>0</v>
      </c>
      <c r="K46" s="526">
        <f ca="1">(IFERROR(IFERROR(VALUE(_xll.BDH(K$4,"PE_RATIO",$B46,$B46)),VALUE(_xll.BDH(K$4,"PE_RATIO",$B46+1,$B46+1))),K47))</f>
        <v>0</v>
      </c>
      <c r="L46" s="526">
        <f ca="1">(IFERROR(IFERROR(VALUE(_xll.BDH(L$4,"PE_RATIO",$B46,$B46)),VALUE(_xll.BDH(L$4,"PE_RATIO",$B46+1,$B46+1))),L47))</f>
        <v>0</v>
      </c>
      <c r="M46" s="526">
        <f ca="1">(IFERROR(IFERROR(VALUE(_xll.BDH(M$4,"PE_RATIO",$B46,$B46)),VALUE(_xll.BDH(M$4,"PE_RATIO",$B46+1,$B46+1))),M47))</f>
        <v>0</v>
      </c>
      <c r="N46" s="526">
        <f ca="1">(IFERROR(IFERROR(VALUE(_xll.BDH(N$4,"PE_RATIO",$B46,$B46)),VALUE(_xll.BDH(N$4,"PE_RATIO",$B46+1,$B46+1))),N47))</f>
        <v>0</v>
      </c>
      <c r="O46" s="526">
        <f ca="1">(IFERROR(IFERROR(VALUE(_xll.BDH(O$4,"PE_RATIO",$B46,$B46)),VALUE(_xll.BDH(O$4,"PE_RATIO",$B46+1,$B46+1))),O47))</f>
        <v>0</v>
      </c>
      <c r="P46" s="526"/>
      <c r="Q46" s="530">
        <v>45621</v>
      </c>
      <c r="R46" s="4">
        <v>7.85</v>
      </c>
      <c r="S46" s="4">
        <v>20804.89</v>
      </c>
      <c r="T46" s="4">
        <v>7245.23</v>
      </c>
      <c r="U46" s="4">
        <v>3.427947598253275</v>
      </c>
      <c r="V46" s="4">
        <v>1.8486481827527896</v>
      </c>
      <c r="W46" s="4">
        <v>1.9054711190243876</v>
      </c>
      <c r="Y46" s="526">
        <f t="shared" si="13"/>
        <v>7.85</v>
      </c>
      <c r="Z46" s="4">
        <f>IFERROR(VALUE(_xll.BDH(Z$4,"PX_LAST",$Q46,$Q46)),Z47)</f>
        <v>106.72</v>
      </c>
      <c r="AA46" s="4">
        <f>IFERROR(VALUE(_xll.BDH(AA$4,"PX_LAST",$Q46,$Q46)),AA47)</f>
        <v>30.93</v>
      </c>
      <c r="AB46" s="4">
        <f>IFERROR(VALUE(_xll.BDH(AB$4,"PX_LAST",$Q46,$Q46)),AB47)</f>
        <v>120.77</v>
      </c>
      <c r="AC46" s="4">
        <f>IFERROR(VALUE(_xll.BDH(AC$4,"PX_LAST",$Q46,$Q46)),AC47)</f>
        <v>12.62</v>
      </c>
      <c r="AD46" s="4">
        <f>IFERROR(VALUE(_xll.BDH(AD$4,"PX_LAST",$Q46,$Q46)),AD47)</f>
        <v>57.4</v>
      </c>
      <c r="AF46" s="4">
        <f t="shared" si="14"/>
        <v>3.427947598253275</v>
      </c>
      <c r="AG46" s="4">
        <f t="shared" si="15"/>
        <v>3.6139519133084996</v>
      </c>
      <c r="AH46" s="4">
        <f t="shared" si="16"/>
        <v>1.0883180858550316</v>
      </c>
      <c r="AI46" s="4">
        <f t="shared" si="17"/>
        <v>1.2947041166380788</v>
      </c>
      <c r="AJ46" s="4">
        <f t="shared" si="18"/>
        <v>1.5716064757160648</v>
      </c>
      <c r="AK46" s="4">
        <f t="shared" si="19"/>
        <v>1.9650804519000342</v>
      </c>
      <c r="AM46" s="528">
        <v>45866</v>
      </c>
      <c r="AN46" s="529">
        <v>10.92</v>
      </c>
      <c r="AO46" s="529">
        <v>0</v>
      </c>
      <c r="AP46" s="529">
        <v>0</v>
      </c>
      <c r="AQ46" s="529">
        <v>-285.80806799999999</v>
      </c>
      <c r="AR46" s="529">
        <v>0</v>
      </c>
    </row>
    <row r="47" spans="2:44">
      <c r="B47" s="530">
        <f t="shared" ca="1" si="20"/>
        <v>45657</v>
      </c>
      <c r="C47" s="526">
        <f ca="1">(IFERROR(IFERROR(VALUE(_xll.BDH(C$4,"CURRENT_EV_TO_T12M_EBITDA",$B47,$B47)),VALUE(_xll.BDH(C$4,"CURRENT_EV_TO_T12M_EBITDA",$B47+1,$B47+1))),C48))</f>
        <v>0</v>
      </c>
      <c r="D47" s="526">
        <f ca="1">(IFERROR(IFERROR(VALUE(_xll.BDH(D$4,"CURRENT_EV_TO_T12M_EBITDA",$B47,$B47)),VALUE(_xll.BDH(D$4,"CURRENT_EV_TO_T12M_EBITDA",$B47+1,$B47+1))),D48))</f>
        <v>0</v>
      </c>
      <c r="E47" s="526">
        <f ca="1">(IFERROR(IFERROR(VALUE(_xll.BDH(E$4,"CURRENT_EV_TO_T12M_EBITDA",$B47,$B47)),VALUE(_xll.BDH(E$4,"CURRENT_EV_TO_T12M_EBITDA",$B47+1,$B47+1))),E48))</f>
        <v>0</v>
      </c>
      <c r="F47" s="526">
        <f ca="1">(IFERROR(IFERROR(VALUE(_xll.BDH(F$4,"CURRENT_EV_TO_T12M_EBITDA",$B47,$B47)),VALUE(_xll.BDH(F$4,"CURRENT_EV_TO_T12M_EBITDA",$B47+1,$B47+1))),F48))</f>
        <v>0</v>
      </c>
      <c r="G47" s="526">
        <f ca="1">(IFERROR(IFERROR(VALUE(_xll.BDH(G$4,"CURRENT_EV_TO_T12M_EBITDA",$B47,$B47)),VALUE(_xll.BDH(G$4,"CURRENT_EV_TO_T12M_EBITDA",$B47+1,$B47+1))),G48))</f>
        <v>0</v>
      </c>
      <c r="H47" s="526">
        <f ca="1">(IFERROR(IFERROR(VALUE(_xll.BDH(H$4,"CURRENT_EV_TO_T12M_EBITDA",$B47,$B47)),VALUE(_xll.BDH(H$4,"CURRENT_EV_TO_T12M_EBITDA",$B47+1,$B47+1))),H48))</f>
        <v>0</v>
      </c>
      <c r="I47" s="530">
        <f t="shared" ca="1" si="12"/>
        <v>45657</v>
      </c>
      <c r="J47" s="526">
        <f ca="1">(IFERROR(IFERROR(VALUE(_xll.BDH(J$4,"PE_RATIO",$B47,$B47)),VALUE(_xll.BDH(J$4,"PE_RATIO",$B47+1,$B47+1))),J48))</f>
        <v>0</v>
      </c>
      <c r="K47" s="526">
        <f ca="1">(IFERROR(IFERROR(VALUE(_xll.BDH(K$4,"PE_RATIO",$B47,$B47)),VALUE(_xll.BDH(K$4,"PE_RATIO",$B47+1,$B47+1))),K48))</f>
        <v>0</v>
      </c>
      <c r="L47" s="526">
        <f ca="1">(IFERROR(IFERROR(VALUE(_xll.BDH(L$4,"PE_RATIO",$B47,$B47)),VALUE(_xll.BDH(L$4,"PE_RATIO",$B47+1,$B47+1))),L48))</f>
        <v>0</v>
      </c>
      <c r="M47" s="526">
        <f ca="1">(IFERROR(IFERROR(VALUE(_xll.BDH(M$4,"PE_RATIO",$B47,$B47)),VALUE(_xll.BDH(M$4,"PE_RATIO",$B47+1,$B47+1))),M48))</f>
        <v>0</v>
      </c>
      <c r="N47" s="526">
        <f ca="1">(IFERROR(IFERROR(VALUE(_xll.BDH(N$4,"PE_RATIO",$B47,$B47)),VALUE(_xll.BDH(N$4,"PE_RATIO",$B47+1,$B47+1))),N48))</f>
        <v>0</v>
      </c>
      <c r="O47" s="526">
        <f ca="1">(IFERROR(IFERROR(VALUE(_xll.BDH(O$4,"PE_RATIO",$B47,$B47)),VALUE(_xll.BDH(O$4,"PE_RATIO",$B47+1,$B47+1))),O48))</f>
        <v>0</v>
      </c>
      <c r="P47" s="526"/>
      <c r="Q47" s="530">
        <v>45614</v>
      </c>
      <c r="R47" s="4">
        <v>6.91</v>
      </c>
      <c r="S47" s="4">
        <v>20539.189999999999</v>
      </c>
      <c r="T47" s="4">
        <v>7130.52</v>
      </c>
      <c r="U47" s="4">
        <v>3.017467248908297</v>
      </c>
      <c r="V47" s="4">
        <v>1.8250390301854165</v>
      </c>
      <c r="W47" s="4">
        <v>1.8753027748775095</v>
      </c>
      <c r="Y47" s="526">
        <f t="shared" si="13"/>
        <v>6.91</v>
      </c>
      <c r="Z47" s="4">
        <f>IFERROR(VALUE(_xll.BDH(Z$4,"PX_LAST",$Q47,$Q47)),Z48)</f>
        <v>99.95</v>
      </c>
      <c r="AA47" s="4">
        <f>IFERROR(VALUE(_xll.BDH(AA$4,"PX_LAST",$Q47,$Q47)),AA48)</f>
        <v>29.8</v>
      </c>
      <c r="AB47" s="4">
        <f>IFERROR(VALUE(_xll.BDH(AB$4,"PX_LAST",$Q47,$Q47)),AB48)</f>
        <v>116.09</v>
      </c>
      <c r="AC47" s="4">
        <f>IFERROR(VALUE(_xll.BDH(AC$4,"PX_LAST",$Q47,$Q47)),AC48)</f>
        <v>12.06</v>
      </c>
      <c r="AD47" s="4">
        <f>IFERROR(VALUE(_xll.BDH(AD$4,"PX_LAST",$Q47,$Q47)),AD48)</f>
        <v>55.05</v>
      </c>
      <c r="AF47" s="4">
        <f t="shared" si="14"/>
        <v>3.017467248908297</v>
      </c>
      <c r="AG47" s="4">
        <f t="shared" si="15"/>
        <v>3.3846935320013545</v>
      </c>
      <c r="AH47" s="4">
        <f t="shared" si="16"/>
        <v>1.0485573539760731</v>
      </c>
      <c r="AI47" s="4">
        <f t="shared" si="17"/>
        <v>1.2445325900514579</v>
      </c>
      <c r="AJ47" s="4">
        <f t="shared" si="18"/>
        <v>1.5018679950186802</v>
      </c>
      <c r="AK47" s="4">
        <f t="shared" si="19"/>
        <v>1.8846285518657993</v>
      </c>
      <c r="AM47" s="528">
        <v>45865</v>
      </c>
      <c r="AN47" s="529">
        <v>11.27</v>
      </c>
      <c r="AO47" s="529">
        <v>-1342096</v>
      </c>
      <c r="AP47" s="529">
        <v>-52.345799999999997</v>
      </c>
      <c r="AQ47" s="529">
        <v>-884.9057489999999</v>
      </c>
      <c r="AR47" s="529">
        <v>-0.92579999999999996</v>
      </c>
    </row>
    <row r="48" spans="2:44">
      <c r="B48" s="530">
        <f t="shared" ca="1" si="20"/>
        <v>45650</v>
      </c>
      <c r="C48" s="526">
        <f ca="1">(IFERROR(IFERROR(VALUE(_xll.BDH(C$4,"CURRENT_EV_TO_T12M_EBITDA",$B48,$B48)),VALUE(_xll.BDH(C$4,"CURRENT_EV_TO_T12M_EBITDA",$B48+1,$B48+1))),C49))</f>
        <v>0</v>
      </c>
      <c r="D48" s="526">
        <f ca="1">(IFERROR(IFERROR(VALUE(_xll.BDH(D$4,"CURRENT_EV_TO_T12M_EBITDA",$B48,$B48)),VALUE(_xll.BDH(D$4,"CURRENT_EV_TO_T12M_EBITDA",$B48+1,$B48+1))),D49))</f>
        <v>0</v>
      </c>
      <c r="E48" s="526">
        <f ca="1">(IFERROR(IFERROR(VALUE(_xll.BDH(E$4,"CURRENT_EV_TO_T12M_EBITDA",$B48,$B48)),VALUE(_xll.BDH(E$4,"CURRENT_EV_TO_T12M_EBITDA",$B48+1,$B48+1))),E49))</f>
        <v>0</v>
      </c>
      <c r="F48" s="526">
        <f ca="1">(IFERROR(IFERROR(VALUE(_xll.BDH(F$4,"CURRENT_EV_TO_T12M_EBITDA",$B48,$B48)),VALUE(_xll.BDH(F$4,"CURRENT_EV_TO_T12M_EBITDA",$B48+1,$B48+1))),F49))</f>
        <v>0</v>
      </c>
      <c r="G48" s="526">
        <f ca="1">(IFERROR(IFERROR(VALUE(_xll.BDH(G$4,"CURRENT_EV_TO_T12M_EBITDA",$B48,$B48)),VALUE(_xll.BDH(G$4,"CURRENT_EV_TO_T12M_EBITDA",$B48+1,$B48+1))),G49))</f>
        <v>0</v>
      </c>
      <c r="H48" s="526">
        <f ca="1">(IFERROR(IFERROR(VALUE(_xll.BDH(H$4,"CURRENT_EV_TO_T12M_EBITDA",$B48,$B48)),VALUE(_xll.BDH(H$4,"CURRENT_EV_TO_T12M_EBITDA",$B48+1,$B48+1))),H49))</f>
        <v>0</v>
      </c>
      <c r="I48" s="530">
        <f t="shared" ca="1" si="12"/>
        <v>45650</v>
      </c>
      <c r="J48" s="526">
        <f ca="1">(IFERROR(IFERROR(VALUE(_xll.BDH(J$4,"PE_RATIO",$B48,$B48)),VALUE(_xll.BDH(J$4,"PE_RATIO",$B48+1,$B48+1))),J49))</f>
        <v>0</v>
      </c>
      <c r="K48" s="526">
        <f ca="1">(IFERROR(IFERROR(VALUE(_xll.BDH(K$4,"PE_RATIO",$B48,$B48)),VALUE(_xll.BDH(K$4,"PE_RATIO",$B48+1,$B48+1))),K49))</f>
        <v>0</v>
      </c>
      <c r="L48" s="526">
        <f ca="1">(IFERROR(IFERROR(VALUE(_xll.BDH(L$4,"PE_RATIO",$B48,$B48)),VALUE(_xll.BDH(L$4,"PE_RATIO",$B48+1,$B48+1))),L49))</f>
        <v>0</v>
      </c>
      <c r="M48" s="526">
        <f ca="1">(IFERROR(IFERROR(VALUE(_xll.BDH(M$4,"PE_RATIO",$B48,$B48)),VALUE(_xll.BDH(M$4,"PE_RATIO",$B48+1,$B48+1))),M49))</f>
        <v>0</v>
      </c>
      <c r="N48" s="526">
        <f ca="1">(IFERROR(IFERROR(VALUE(_xll.BDH(N$4,"PE_RATIO",$B48,$B48)),VALUE(_xll.BDH(N$4,"PE_RATIO",$B48+1,$B48+1))),N49))</f>
        <v>0</v>
      </c>
      <c r="O48" s="526">
        <f ca="1">(IFERROR(IFERROR(VALUE(_xll.BDH(O$4,"PE_RATIO",$B48,$B48)),VALUE(_xll.BDH(O$4,"PE_RATIO",$B48+1,$B48+1))),O49))</f>
        <v>0</v>
      </c>
      <c r="P48" s="526"/>
      <c r="Q48" s="530">
        <v>45607</v>
      </c>
      <c r="R48" s="4">
        <v>6.83</v>
      </c>
      <c r="S48" s="4">
        <v>21106.59</v>
      </c>
      <c r="T48" s="4">
        <v>7234.63</v>
      </c>
      <c r="U48" s="4">
        <v>2.982532751091703</v>
      </c>
      <c r="V48" s="4">
        <v>1.8754561666804392</v>
      </c>
      <c r="W48" s="4">
        <v>1.9026833546798938</v>
      </c>
      <c r="Y48" s="526">
        <f t="shared" si="13"/>
        <v>6.83</v>
      </c>
      <c r="Z48" s="4">
        <f>IFERROR(VALUE(_xll.BDH(Z$4,"PX_LAST",$Q48,$Q48)),Z49)</f>
        <v>103.01</v>
      </c>
      <c r="AA48" s="4">
        <f>IFERROR(VALUE(_xll.BDH(AA$4,"PX_LAST",$Q48,$Q48)),AA49)</f>
        <v>30.34</v>
      </c>
      <c r="AB48" s="4">
        <f>IFERROR(VALUE(_xll.BDH(AB$4,"PX_LAST",$Q48,$Q48)),AB49)</f>
        <v>124.41</v>
      </c>
      <c r="AC48" s="4">
        <f>IFERROR(VALUE(_xll.BDH(AC$4,"PX_LAST",$Q48,$Q48)),AC49)</f>
        <v>11.77</v>
      </c>
      <c r="AD48" s="4">
        <f>IFERROR(VALUE(_xll.BDH(AD$4,"PX_LAST",$Q48,$Q48)),AD49)</f>
        <v>55.81</v>
      </c>
      <c r="AF48" s="4">
        <f t="shared" si="14"/>
        <v>2.982532751091703</v>
      </c>
      <c r="AG48" s="4">
        <f t="shared" si="15"/>
        <v>3.4883169657974942</v>
      </c>
      <c r="AH48" s="4">
        <f t="shared" si="16"/>
        <v>1.0675580577058408</v>
      </c>
      <c r="AI48" s="4">
        <f t="shared" si="17"/>
        <v>1.3337264150943395</v>
      </c>
      <c r="AJ48" s="4">
        <f t="shared" si="18"/>
        <v>1.4657534246575343</v>
      </c>
      <c r="AK48" s="4">
        <f t="shared" si="19"/>
        <v>1.9106470386853818</v>
      </c>
      <c r="AM48" s="528">
        <v>45864</v>
      </c>
      <c r="AN48" s="529">
        <v>11.27</v>
      </c>
      <c r="AO48" s="529">
        <v>-671048</v>
      </c>
      <c r="AP48" s="529">
        <v>-26.172899999999998</v>
      </c>
      <c r="AQ48" s="529">
        <v>-589.93716599999993</v>
      </c>
      <c r="AR48" s="529">
        <v>-0.46289999999999998</v>
      </c>
    </row>
    <row r="49" spans="2:44">
      <c r="B49" s="530">
        <f t="shared" ca="1" si="20"/>
        <v>45643</v>
      </c>
      <c r="C49" s="526">
        <f ca="1">(IFERROR(IFERROR(VALUE(_xll.BDH(C$4,"CURRENT_EV_TO_T12M_EBITDA",$B49,$B49)),VALUE(_xll.BDH(C$4,"CURRENT_EV_TO_T12M_EBITDA",$B49+1,$B49+1))),C50))</f>
        <v>0</v>
      </c>
      <c r="D49" s="526">
        <f ca="1">(IFERROR(IFERROR(VALUE(_xll.BDH(D$4,"CURRENT_EV_TO_T12M_EBITDA",$B49,$B49)),VALUE(_xll.BDH(D$4,"CURRENT_EV_TO_T12M_EBITDA",$B49+1,$B49+1))),D50))</f>
        <v>0</v>
      </c>
      <c r="E49" s="526">
        <f ca="1">(IFERROR(IFERROR(VALUE(_xll.BDH(E$4,"CURRENT_EV_TO_T12M_EBITDA",$B49,$B49)),VALUE(_xll.BDH(E$4,"CURRENT_EV_TO_T12M_EBITDA",$B49+1,$B49+1))),E50))</f>
        <v>0</v>
      </c>
      <c r="F49" s="526">
        <f ca="1">(IFERROR(IFERROR(VALUE(_xll.BDH(F$4,"CURRENT_EV_TO_T12M_EBITDA",$B49,$B49)),VALUE(_xll.BDH(F$4,"CURRENT_EV_TO_T12M_EBITDA",$B49+1,$B49+1))),F50))</f>
        <v>0</v>
      </c>
      <c r="G49" s="526">
        <f ca="1">(IFERROR(IFERROR(VALUE(_xll.BDH(G$4,"CURRENT_EV_TO_T12M_EBITDA",$B49,$B49)),VALUE(_xll.BDH(G$4,"CURRENT_EV_TO_T12M_EBITDA",$B49+1,$B49+1))),G50))</f>
        <v>0</v>
      </c>
      <c r="H49" s="526">
        <f ca="1">(IFERROR(IFERROR(VALUE(_xll.BDH(H$4,"CURRENT_EV_TO_T12M_EBITDA",$B49,$B49)),VALUE(_xll.BDH(H$4,"CURRENT_EV_TO_T12M_EBITDA",$B49+1,$B49+1))),H50))</f>
        <v>0</v>
      </c>
      <c r="I49" s="530">
        <f t="shared" ca="1" si="12"/>
        <v>45643</v>
      </c>
      <c r="J49" s="526">
        <f ca="1">(IFERROR(IFERROR(VALUE(_xll.BDH(J$4,"PE_RATIO",$B49,$B49)),VALUE(_xll.BDH(J$4,"PE_RATIO",$B49+1,$B49+1))),J50))</f>
        <v>0</v>
      </c>
      <c r="K49" s="526">
        <f ca="1">(IFERROR(IFERROR(VALUE(_xll.BDH(K$4,"PE_RATIO",$B49,$B49)),VALUE(_xll.BDH(K$4,"PE_RATIO",$B49+1,$B49+1))),K50))</f>
        <v>0</v>
      </c>
      <c r="L49" s="526">
        <f ca="1">(IFERROR(IFERROR(VALUE(_xll.BDH(L$4,"PE_RATIO",$B49,$B49)),VALUE(_xll.BDH(L$4,"PE_RATIO",$B49+1,$B49+1))),L50))</f>
        <v>0</v>
      </c>
      <c r="M49" s="526">
        <f ca="1">(IFERROR(IFERROR(VALUE(_xll.BDH(M$4,"PE_RATIO",$B49,$B49)),VALUE(_xll.BDH(M$4,"PE_RATIO",$B49+1,$B49+1))),M50))</f>
        <v>0</v>
      </c>
      <c r="N49" s="526">
        <f ca="1">(IFERROR(IFERROR(VALUE(_xll.BDH(N$4,"PE_RATIO",$B49,$B49)),VALUE(_xll.BDH(N$4,"PE_RATIO",$B49+1,$B49+1))),N50))</f>
        <v>0</v>
      </c>
      <c r="O49" s="526">
        <f ca="1">(IFERROR(IFERROR(VALUE(_xll.BDH(O$4,"PE_RATIO",$B49,$B49)),VALUE(_xll.BDH(O$4,"PE_RATIO",$B49+1,$B49+1))),O50))</f>
        <v>0</v>
      </c>
      <c r="P49" s="526"/>
      <c r="Q49" s="530">
        <v>45600</v>
      </c>
      <c r="R49" s="4">
        <v>4.8499999999999996</v>
      </c>
      <c r="S49" s="4">
        <v>19963.599999999999</v>
      </c>
      <c r="T49" s="4">
        <v>6825.74</v>
      </c>
      <c r="U49" s="4">
        <v>2.1179039301310043</v>
      </c>
      <c r="V49" s="4">
        <v>1.773894159555931</v>
      </c>
      <c r="W49" s="4">
        <v>1.7951466600742176</v>
      </c>
      <c r="Y49" s="526">
        <f t="shared" si="13"/>
        <v>4.8499999999999996</v>
      </c>
      <c r="Z49" s="4">
        <f>IFERROR(VALUE(_xll.BDH(Z$4,"PX_LAST",$Q49,$Q49)),Z50)</f>
        <v>89.33</v>
      </c>
      <c r="AA49" s="4">
        <f>IFERROR(VALUE(_xll.BDH(AA$4,"PX_LAST",$Q49,$Q49)),AA50)</f>
        <v>29.44</v>
      </c>
      <c r="AB49" s="4">
        <f>IFERROR(VALUE(_xll.BDH(AB$4,"PX_LAST",$Q49,$Q49)),AB50)</f>
        <v>113.05</v>
      </c>
      <c r="AC49" s="4">
        <f>IFERROR(VALUE(_xll.BDH(AC$4,"PX_LAST",$Q49,$Q49)),AC50)</f>
        <v>11.53</v>
      </c>
      <c r="AD49" s="4">
        <f>IFERROR(VALUE(_xll.BDH(AD$4,"PX_LAST",$Q49,$Q49)),AD50)</f>
        <v>50.13</v>
      </c>
      <c r="AF49" s="4">
        <f t="shared" si="14"/>
        <v>2.1179039301310043</v>
      </c>
      <c r="AG49" s="4">
        <f t="shared" si="15"/>
        <v>3.0250592617676939</v>
      </c>
      <c r="AH49" s="4">
        <f t="shared" si="16"/>
        <v>1.0358902181562279</v>
      </c>
      <c r="AI49" s="4">
        <f t="shared" si="17"/>
        <v>1.2119425385934819</v>
      </c>
      <c r="AJ49" s="4">
        <f t="shared" si="18"/>
        <v>1.435865504358655</v>
      </c>
      <c r="AK49" s="4">
        <f t="shared" si="19"/>
        <v>1.7161930845600821</v>
      </c>
      <c r="AM49" s="528">
        <v>45863</v>
      </c>
      <c r="AN49" s="529">
        <v>11.27</v>
      </c>
      <c r="AO49" s="529">
        <v>0</v>
      </c>
      <c r="AP49" s="529">
        <v>0</v>
      </c>
      <c r="AQ49" s="529">
        <v>-294.96858299999997</v>
      </c>
      <c r="AR49" s="529">
        <v>0</v>
      </c>
    </row>
    <row r="50" spans="2:44">
      <c r="B50" s="530">
        <f t="shared" ca="1" si="20"/>
        <v>45636</v>
      </c>
      <c r="C50" s="526">
        <f ca="1">(IFERROR(IFERROR(VALUE(_xll.BDH(C$4,"CURRENT_EV_TO_T12M_EBITDA",$B50,$B50)),VALUE(_xll.BDH(C$4,"CURRENT_EV_TO_T12M_EBITDA",$B50+1,$B50+1))),C51))</f>
        <v>0</v>
      </c>
      <c r="D50" s="526">
        <f ca="1">(IFERROR(IFERROR(VALUE(_xll.BDH(D$4,"CURRENT_EV_TO_T12M_EBITDA",$B50,$B50)),VALUE(_xll.BDH(D$4,"CURRENT_EV_TO_T12M_EBITDA",$B50+1,$B50+1))),D51))</f>
        <v>0</v>
      </c>
      <c r="E50" s="526">
        <f ca="1">(IFERROR(IFERROR(VALUE(_xll.BDH(E$4,"CURRENT_EV_TO_T12M_EBITDA",$B50,$B50)),VALUE(_xll.BDH(E$4,"CURRENT_EV_TO_T12M_EBITDA",$B50+1,$B50+1))),E51))</f>
        <v>0</v>
      </c>
      <c r="F50" s="526">
        <f ca="1">(IFERROR(IFERROR(VALUE(_xll.BDH(F$4,"CURRENT_EV_TO_T12M_EBITDA",$B50,$B50)),VALUE(_xll.BDH(F$4,"CURRENT_EV_TO_T12M_EBITDA",$B50+1,$B50+1))),F51))</f>
        <v>0</v>
      </c>
      <c r="G50" s="526">
        <f ca="1">(IFERROR(IFERROR(VALUE(_xll.BDH(G$4,"CURRENT_EV_TO_T12M_EBITDA",$B50,$B50)),VALUE(_xll.BDH(G$4,"CURRENT_EV_TO_T12M_EBITDA",$B50+1,$B50+1))),G51))</f>
        <v>0</v>
      </c>
      <c r="H50" s="526">
        <f ca="1">(IFERROR(IFERROR(VALUE(_xll.BDH(H$4,"CURRENT_EV_TO_T12M_EBITDA",$B50,$B50)),VALUE(_xll.BDH(H$4,"CURRENT_EV_TO_T12M_EBITDA",$B50+1,$B50+1))),H51))</f>
        <v>0</v>
      </c>
      <c r="I50" s="530">
        <f t="shared" ca="1" si="12"/>
        <v>45636</v>
      </c>
      <c r="J50" s="526">
        <f ca="1">(IFERROR(IFERROR(VALUE(_xll.BDH(J$4,"PE_RATIO",$B50,$B50)),VALUE(_xll.BDH(J$4,"PE_RATIO",$B50+1,$B50+1))),J51))</f>
        <v>0</v>
      </c>
      <c r="K50" s="526">
        <f ca="1">(IFERROR(IFERROR(VALUE(_xll.BDH(K$4,"PE_RATIO",$B50,$B50)),VALUE(_xll.BDH(K$4,"PE_RATIO",$B50+1,$B50+1))),K51))</f>
        <v>0</v>
      </c>
      <c r="L50" s="526">
        <f ca="1">(IFERROR(IFERROR(VALUE(_xll.BDH(L$4,"PE_RATIO",$B50,$B50)),VALUE(_xll.BDH(L$4,"PE_RATIO",$B50+1,$B50+1))),L51))</f>
        <v>0</v>
      </c>
      <c r="M50" s="526">
        <f ca="1">(IFERROR(IFERROR(VALUE(_xll.BDH(M$4,"PE_RATIO",$B50,$B50)),VALUE(_xll.BDH(M$4,"PE_RATIO",$B50+1,$B50+1))),M51))</f>
        <v>0</v>
      </c>
      <c r="N50" s="526">
        <f ca="1">(IFERROR(IFERROR(VALUE(_xll.BDH(N$4,"PE_RATIO",$B50,$B50)),VALUE(_xll.BDH(N$4,"PE_RATIO",$B50+1,$B50+1))),N51))</f>
        <v>0</v>
      </c>
      <c r="O50" s="526">
        <f ca="1">(IFERROR(IFERROR(VALUE(_xll.BDH(O$4,"PE_RATIO",$B50,$B50)),VALUE(_xll.BDH(O$4,"PE_RATIO",$B50+1,$B50+1))),O51))</f>
        <v>0</v>
      </c>
      <c r="P50" s="526"/>
      <c r="Q50" s="530">
        <v>45593</v>
      </c>
      <c r="R50" s="4">
        <v>5.39</v>
      </c>
      <c r="S50" s="4">
        <v>20351.07</v>
      </c>
      <c r="T50" s="4">
        <v>6999.94</v>
      </c>
      <c r="U50" s="4">
        <v>2.3537117903930129</v>
      </c>
      <c r="V50" s="4">
        <v>1.808323359199439</v>
      </c>
      <c r="W50" s="4">
        <v>1.840960674112978</v>
      </c>
      <c r="Y50" s="526">
        <f t="shared" si="13"/>
        <v>5.39</v>
      </c>
      <c r="Z50" s="4">
        <f>IFERROR(VALUE(_xll.BDH(Z$4,"PX_LAST",$Q50,$Q50)),Z51)</f>
        <v>86.97</v>
      </c>
      <c r="AA50" s="4">
        <f>IFERROR(VALUE(_xll.BDH(AA$4,"PX_LAST",$Q50,$Q50)),AA51)</f>
        <v>29.12</v>
      </c>
      <c r="AB50" s="4">
        <f>IFERROR(VALUE(_xll.BDH(AB$4,"PX_LAST",$Q50,$Q50)),AB51)</f>
        <v>117.89</v>
      </c>
      <c r="AC50" s="4">
        <f>IFERROR(VALUE(_xll.BDH(AC$4,"PX_LAST",$Q50,$Q50)),AC51)</f>
        <v>11.87</v>
      </c>
      <c r="AD50" s="4">
        <f>IFERROR(VALUE(_xll.BDH(AD$4,"PX_LAST",$Q50,$Q50)),AD51)</f>
        <v>48.1</v>
      </c>
      <c r="AF50" s="4">
        <f t="shared" si="14"/>
        <v>2.3537117903930129</v>
      </c>
      <c r="AG50" s="4">
        <f t="shared" si="15"/>
        <v>2.9451405350491027</v>
      </c>
      <c r="AH50" s="4">
        <f t="shared" si="16"/>
        <v>1.0246305418719213</v>
      </c>
      <c r="AI50" s="4">
        <f t="shared" si="17"/>
        <v>1.2638293310463122</v>
      </c>
      <c r="AJ50" s="4">
        <f t="shared" si="18"/>
        <v>1.4782067247820672</v>
      </c>
      <c r="AK50" s="4">
        <f t="shared" si="19"/>
        <v>1.6466963368709346</v>
      </c>
      <c r="AM50" s="528">
        <v>45862</v>
      </c>
      <c r="AN50" s="529">
        <v>11.25</v>
      </c>
      <c r="AO50" s="529">
        <v>0</v>
      </c>
      <c r="AP50" s="529">
        <v>0</v>
      </c>
      <c r="AQ50" s="529">
        <v>-294.44512499999996</v>
      </c>
      <c r="AR50" s="529">
        <v>0</v>
      </c>
    </row>
    <row r="51" spans="2:44">
      <c r="B51" s="530">
        <f t="shared" ca="1" si="20"/>
        <v>45629</v>
      </c>
      <c r="C51" s="526">
        <f ca="1">(IFERROR(IFERROR(VALUE(_xll.BDH(C$4,"CURRENT_EV_TO_T12M_EBITDA",$B51,$B51)),VALUE(_xll.BDH(C$4,"CURRENT_EV_TO_T12M_EBITDA",$B51+1,$B51+1))),C52))</f>
        <v>0</v>
      </c>
      <c r="D51" s="526">
        <f ca="1">(IFERROR(IFERROR(VALUE(_xll.BDH(D$4,"CURRENT_EV_TO_T12M_EBITDA",$B51,$B51)),VALUE(_xll.BDH(D$4,"CURRENT_EV_TO_T12M_EBITDA",$B51+1,$B51+1))),D52))</f>
        <v>0</v>
      </c>
      <c r="E51" s="526">
        <f ca="1">(IFERROR(IFERROR(VALUE(_xll.BDH(E$4,"CURRENT_EV_TO_T12M_EBITDA",$B51,$B51)),VALUE(_xll.BDH(E$4,"CURRENT_EV_TO_T12M_EBITDA",$B51+1,$B51+1))),E52))</f>
        <v>0</v>
      </c>
      <c r="F51" s="526">
        <f ca="1">(IFERROR(IFERROR(VALUE(_xll.BDH(F$4,"CURRENT_EV_TO_T12M_EBITDA",$B51,$B51)),VALUE(_xll.BDH(F$4,"CURRENT_EV_TO_T12M_EBITDA",$B51+1,$B51+1))),F52))</f>
        <v>0</v>
      </c>
      <c r="G51" s="526">
        <f ca="1">(IFERROR(IFERROR(VALUE(_xll.BDH(G$4,"CURRENT_EV_TO_T12M_EBITDA",$B51,$B51)),VALUE(_xll.BDH(G$4,"CURRENT_EV_TO_T12M_EBITDA",$B51+1,$B51+1))),G52))</f>
        <v>0</v>
      </c>
      <c r="H51" s="526">
        <f ca="1">(IFERROR(IFERROR(VALUE(_xll.BDH(H$4,"CURRENT_EV_TO_T12M_EBITDA",$B51,$B51)),VALUE(_xll.BDH(H$4,"CURRENT_EV_TO_T12M_EBITDA",$B51+1,$B51+1))),H52))</f>
        <v>0</v>
      </c>
      <c r="I51" s="530">
        <f t="shared" ca="1" si="12"/>
        <v>45629</v>
      </c>
      <c r="J51" s="526">
        <f ca="1">(IFERROR(IFERROR(VALUE(_xll.BDH(J$4,"PE_RATIO",$B51,$B51)),VALUE(_xll.BDH(J$4,"PE_RATIO",$B51+1,$B51+1))),J52))</f>
        <v>0</v>
      </c>
      <c r="K51" s="526">
        <f ca="1">(IFERROR(IFERROR(VALUE(_xll.BDH(K$4,"PE_RATIO",$B51,$B51)),VALUE(_xll.BDH(K$4,"PE_RATIO",$B51+1,$B51+1))),K52))</f>
        <v>0</v>
      </c>
      <c r="L51" s="526">
        <f ca="1">(IFERROR(IFERROR(VALUE(_xll.BDH(L$4,"PE_RATIO",$B51,$B51)),VALUE(_xll.BDH(L$4,"PE_RATIO",$B51+1,$B51+1))),L52))</f>
        <v>0</v>
      </c>
      <c r="M51" s="526">
        <f ca="1">(IFERROR(IFERROR(VALUE(_xll.BDH(M$4,"PE_RATIO",$B51,$B51)),VALUE(_xll.BDH(M$4,"PE_RATIO",$B51+1,$B51+1))),M52))</f>
        <v>0</v>
      </c>
      <c r="N51" s="526">
        <f ca="1">(IFERROR(IFERROR(VALUE(_xll.BDH(N$4,"PE_RATIO",$B51,$B51)),VALUE(_xll.BDH(N$4,"PE_RATIO",$B51+1,$B51+1))),N52))</f>
        <v>0</v>
      </c>
      <c r="O51" s="526">
        <f ca="1">(IFERROR(IFERROR(VALUE(_xll.BDH(O$4,"PE_RATIO",$B51,$B51)),VALUE(_xll.BDH(O$4,"PE_RATIO",$B51+1,$B51+1))),O52))</f>
        <v>0</v>
      </c>
      <c r="P51" s="526"/>
      <c r="Q51" s="530">
        <v>45586</v>
      </c>
      <c r="R51" s="4">
        <v>5.36</v>
      </c>
      <c r="S51" s="4">
        <v>20361.47</v>
      </c>
      <c r="T51" s="4">
        <v>6931.2</v>
      </c>
      <c r="U51" s="4">
        <v>2.3406113537117905</v>
      </c>
      <c r="V51" s="4">
        <v>1.8092474660368523</v>
      </c>
      <c r="W51" s="4">
        <v>1.8228822853355706</v>
      </c>
      <c r="Y51" s="526">
        <f t="shared" si="13"/>
        <v>5.36</v>
      </c>
      <c r="Z51" s="4">
        <f>IFERROR(VALUE(_xll.BDH(Z$4,"PX_LAST",$Q51,$Q51)),Z52)</f>
        <v>86.17</v>
      </c>
      <c r="AA51" s="4">
        <f>IFERROR(VALUE(_xll.BDH(AA$4,"PX_LAST",$Q51,$Q51)),AA52)</f>
        <v>30.4</v>
      </c>
      <c r="AB51" s="4">
        <f>IFERROR(VALUE(_xll.BDH(AB$4,"PX_LAST",$Q51,$Q51)),AB52)</f>
        <v>117.83</v>
      </c>
      <c r="AC51" s="4">
        <f>IFERROR(VALUE(_xll.BDH(AC$4,"PX_LAST",$Q51,$Q51)),AC52)</f>
        <v>11.49</v>
      </c>
      <c r="AD51" s="4">
        <f>IFERROR(VALUE(_xll.BDH(AD$4,"PX_LAST",$Q51,$Q51)),AD52)</f>
        <v>46.61</v>
      </c>
      <c r="AF51" s="4">
        <f t="shared" si="14"/>
        <v>2.3406113537117905</v>
      </c>
      <c r="AG51" s="4">
        <f t="shared" si="15"/>
        <v>2.9180494412461901</v>
      </c>
      <c r="AH51" s="4">
        <f t="shared" si="16"/>
        <v>1.0696692470091484</v>
      </c>
      <c r="AI51" s="4">
        <f t="shared" si="17"/>
        <v>1.2631861063464838</v>
      </c>
      <c r="AJ51" s="4">
        <f t="shared" si="18"/>
        <v>1.430884184308842</v>
      </c>
      <c r="AK51" s="4">
        <f t="shared" si="19"/>
        <v>1.5956864087641218</v>
      </c>
      <c r="AM51" s="528">
        <v>45861</v>
      </c>
      <c r="AN51" s="529">
        <v>11.65</v>
      </c>
      <c r="AO51" s="529">
        <v>0</v>
      </c>
      <c r="AP51" s="529">
        <v>0</v>
      </c>
      <c r="AQ51" s="529">
        <v>-304.91428500000001</v>
      </c>
      <c r="AR51" s="529">
        <v>0</v>
      </c>
    </row>
    <row r="52" spans="2:44">
      <c r="B52" s="530">
        <f t="shared" ca="1" si="20"/>
        <v>45622</v>
      </c>
      <c r="C52" s="526">
        <f ca="1">(IFERROR(IFERROR(VALUE(_xll.BDH(C$4,"CURRENT_EV_TO_T12M_EBITDA",$B52,$B52)),VALUE(_xll.BDH(C$4,"CURRENT_EV_TO_T12M_EBITDA",$B52+1,$B52+1))),C53))</f>
        <v>0</v>
      </c>
      <c r="D52" s="526">
        <f ca="1">(IFERROR(IFERROR(VALUE(_xll.BDH(D$4,"CURRENT_EV_TO_T12M_EBITDA",$B52,$B52)),VALUE(_xll.BDH(D$4,"CURRENT_EV_TO_T12M_EBITDA",$B52+1,$B52+1))),D53))</f>
        <v>0</v>
      </c>
      <c r="E52" s="526">
        <f ca="1">(IFERROR(IFERROR(VALUE(_xll.BDH(E$4,"CURRENT_EV_TO_T12M_EBITDA",$B52,$B52)),VALUE(_xll.BDH(E$4,"CURRENT_EV_TO_T12M_EBITDA",$B52+1,$B52+1))),E53))</f>
        <v>0</v>
      </c>
      <c r="F52" s="526">
        <f ca="1">(IFERROR(IFERROR(VALUE(_xll.BDH(F$4,"CURRENT_EV_TO_T12M_EBITDA",$B52,$B52)),VALUE(_xll.BDH(F$4,"CURRENT_EV_TO_T12M_EBITDA",$B52+1,$B52+1))),F53))</f>
        <v>0</v>
      </c>
      <c r="G52" s="526">
        <f ca="1">(IFERROR(IFERROR(VALUE(_xll.BDH(G$4,"CURRENT_EV_TO_T12M_EBITDA",$B52,$B52)),VALUE(_xll.BDH(G$4,"CURRENT_EV_TO_T12M_EBITDA",$B52+1,$B52+1))),G53))</f>
        <v>0</v>
      </c>
      <c r="H52" s="526">
        <f ca="1">(IFERROR(IFERROR(VALUE(_xll.BDH(H$4,"CURRENT_EV_TO_T12M_EBITDA",$B52,$B52)),VALUE(_xll.BDH(H$4,"CURRENT_EV_TO_T12M_EBITDA",$B52+1,$B52+1))),H53))</f>
        <v>0</v>
      </c>
      <c r="I52" s="530">
        <f t="shared" ca="1" si="12"/>
        <v>45622</v>
      </c>
      <c r="J52" s="526">
        <f ca="1">(IFERROR(IFERROR(VALUE(_xll.BDH(J$4,"PE_RATIO",$B52,$B52)),VALUE(_xll.BDH(J$4,"PE_RATIO",$B52+1,$B52+1))),J53))</f>
        <v>0</v>
      </c>
      <c r="K52" s="526">
        <f ca="1">(IFERROR(IFERROR(VALUE(_xll.BDH(K$4,"PE_RATIO",$B52,$B52)),VALUE(_xll.BDH(K$4,"PE_RATIO",$B52+1,$B52+1))),K53))</f>
        <v>0</v>
      </c>
      <c r="L52" s="526">
        <f ca="1">(IFERROR(IFERROR(VALUE(_xll.BDH(L$4,"PE_RATIO",$B52,$B52)),VALUE(_xll.BDH(L$4,"PE_RATIO",$B52+1,$B52+1))),L53))</f>
        <v>0</v>
      </c>
      <c r="M52" s="526">
        <f ca="1">(IFERROR(IFERROR(VALUE(_xll.BDH(M$4,"PE_RATIO",$B52,$B52)),VALUE(_xll.BDH(M$4,"PE_RATIO",$B52+1,$B52+1))),M53))</f>
        <v>0</v>
      </c>
      <c r="N52" s="526">
        <f ca="1">(IFERROR(IFERROR(VALUE(_xll.BDH(N$4,"PE_RATIO",$B52,$B52)),VALUE(_xll.BDH(N$4,"PE_RATIO",$B52+1,$B52+1))),N53))</f>
        <v>0</v>
      </c>
      <c r="O52" s="526">
        <f ca="1">(IFERROR(IFERROR(VALUE(_xll.BDH(O$4,"PE_RATIO",$B52,$B52)),VALUE(_xll.BDH(O$4,"PE_RATIO",$B52+1,$B52+1))),O53))</f>
        <v>0</v>
      </c>
      <c r="P52" s="526"/>
      <c r="Q52" s="530">
        <v>45579</v>
      </c>
      <c r="R52" s="4">
        <v>4.92</v>
      </c>
      <c r="S52" s="4">
        <v>20439.05</v>
      </c>
      <c r="T52" s="4">
        <v>6980.68</v>
      </c>
      <c r="U52" s="4">
        <v>2.1484716157205241</v>
      </c>
      <c r="V52" s="4">
        <v>1.8161409476182477</v>
      </c>
      <c r="W52" s="4">
        <v>1.8358953588983598</v>
      </c>
      <c r="Y52" s="526">
        <f t="shared" si="13"/>
        <v>4.92</v>
      </c>
      <c r="Z52" s="4">
        <f>IFERROR(VALUE(_xll.BDH(Z$4,"PX_LAST",$Q52,$Q52)),Z53)</f>
        <v>85.78</v>
      </c>
      <c r="AA52" s="4">
        <f>IFERROR(VALUE(_xll.BDH(AA$4,"PX_LAST",$Q52,$Q52)),AA53)</f>
        <v>31.46</v>
      </c>
      <c r="AB52" s="4">
        <f>IFERROR(VALUE(_xll.BDH(AB$4,"PX_LAST",$Q52,$Q52)),AB53)</f>
        <v>115.23</v>
      </c>
      <c r="AC52" s="4">
        <f>IFERROR(VALUE(_xll.BDH(AC$4,"PX_LAST",$Q52,$Q52)),AC53)</f>
        <v>11.26</v>
      </c>
      <c r="AD52" s="4">
        <f>IFERROR(VALUE(_xll.BDH(AD$4,"PX_LAST",$Q52,$Q52)),AD53)</f>
        <v>46.35</v>
      </c>
      <c r="AF52" s="4">
        <f t="shared" si="14"/>
        <v>2.1484716157205241</v>
      </c>
      <c r="AG52" s="4">
        <f t="shared" si="15"/>
        <v>2.9048425330172707</v>
      </c>
      <c r="AH52" s="4">
        <f t="shared" si="16"/>
        <v>1.1069669247009148</v>
      </c>
      <c r="AI52" s="4">
        <f t="shared" si="17"/>
        <v>1.2353130360205833</v>
      </c>
      <c r="AJ52" s="4">
        <f t="shared" si="18"/>
        <v>1.402241594022416</v>
      </c>
      <c r="AK52" s="4">
        <f t="shared" si="19"/>
        <v>1.5867853474837383</v>
      </c>
      <c r="AM52" s="528">
        <v>45860</v>
      </c>
      <c r="AN52" s="529">
        <v>11.28</v>
      </c>
      <c r="AO52" s="529">
        <v>0</v>
      </c>
      <c r="AP52" s="529">
        <v>0</v>
      </c>
      <c r="AQ52" s="529">
        <v>-295.23031199999997</v>
      </c>
      <c r="AR52" s="529">
        <v>0</v>
      </c>
    </row>
    <row r="53" spans="2:44">
      <c r="B53" s="530">
        <f t="shared" ca="1" si="20"/>
        <v>45615</v>
      </c>
      <c r="C53" s="526">
        <f ca="1">(IFERROR(IFERROR(VALUE(_xll.BDH(C$4,"CURRENT_EV_TO_T12M_EBITDA",$B53,$B53)),VALUE(_xll.BDH(C$4,"CURRENT_EV_TO_T12M_EBITDA",$B53+1,$B53+1))),C54))</f>
        <v>0</v>
      </c>
      <c r="D53" s="526">
        <f ca="1">(IFERROR(IFERROR(VALUE(_xll.BDH(D$4,"CURRENT_EV_TO_T12M_EBITDA",$B53,$B53)),VALUE(_xll.BDH(D$4,"CURRENT_EV_TO_T12M_EBITDA",$B53+1,$B53+1))),D54))</f>
        <v>0</v>
      </c>
      <c r="E53" s="526">
        <f ca="1">(IFERROR(IFERROR(VALUE(_xll.BDH(E$4,"CURRENT_EV_TO_T12M_EBITDA",$B53,$B53)),VALUE(_xll.BDH(E$4,"CURRENT_EV_TO_T12M_EBITDA",$B53+1,$B53+1))),E54))</f>
        <v>0</v>
      </c>
      <c r="F53" s="526">
        <f ca="1">(IFERROR(IFERROR(VALUE(_xll.BDH(F$4,"CURRENT_EV_TO_T12M_EBITDA",$B53,$B53)),VALUE(_xll.BDH(F$4,"CURRENT_EV_TO_T12M_EBITDA",$B53+1,$B53+1))),F54))</f>
        <v>0</v>
      </c>
      <c r="G53" s="526">
        <f ca="1">(IFERROR(IFERROR(VALUE(_xll.BDH(G$4,"CURRENT_EV_TO_T12M_EBITDA",$B53,$B53)),VALUE(_xll.BDH(G$4,"CURRENT_EV_TO_T12M_EBITDA",$B53+1,$B53+1))),G54))</f>
        <v>0</v>
      </c>
      <c r="H53" s="526">
        <f ca="1">(IFERROR(IFERROR(VALUE(_xll.BDH(H$4,"CURRENT_EV_TO_T12M_EBITDA",$B53,$B53)),VALUE(_xll.BDH(H$4,"CURRENT_EV_TO_T12M_EBITDA",$B53+1,$B53+1))),H54))</f>
        <v>0</v>
      </c>
      <c r="I53" s="530">
        <f t="shared" ca="1" si="12"/>
        <v>45615</v>
      </c>
      <c r="J53" s="526">
        <f ca="1">(IFERROR(IFERROR(VALUE(_xll.BDH(J$4,"PE_RATIO",$B53,$B53)),VALUE(_xll.BDH(J$4,"PE_RATIO",$B53+1,$B53+1))),J54))</f>
        <v>0</v>
      </c>
      <c r="K53" s="526">
        <f ca="1">(IFERROR(IFERROR(VALUE(_xll.BDH(K$4,"PE_RATIO",$B53,$B53)),VALUE(_xll.BDH(K$4,"PE_RATIO",$B53+1,$B53+1))),K54))</f>
        <v>0</v>
      </c>
      <c r="L53" s="526">
        <f ca="1">(IFERROR(IFERROR(VALUE(_xll.BDH(L$4,"PE_RATIO",$B53,$B53)),VALUE(_xll.BDH(L$4,"PE_RATIO",$B53+1,$B53+1))),L54))</f>
        <v>0</v>
      </c>
      <c r="M53" s="526">
        <f ca="1">(IFERROR(IFERROR(VALUE(_xll.BDH(M$4,"PE_RATIO",$B53,$B53)),VALUE(_xll.BDH(M$4,"PE_RATIO",$B53+1,$B53+1))),M54))</f>
        <v>0</v>
      </c>
      <c r="N53" s="526">
        <f ca="1">(IFERROR(IFERROR(VALUE(_xll.BDH(N$4,"PE_RATIO",$B53,$B53)),VALUE(_xll.BDH(N$4,"PE_RATIO",$B53+1,$B53+1))),N54))</f>
        <v>0</v>
      </c>
      <c r="O53" s="526">
        <f ca="1">(IFERROR(IFERROR(VALUE(_xll.BDH(O$4,"PE_RATIO",$B53,$B53)),VALUE(_xll.BDH(O$4,"PE_RATIO",$B53+1,$B53+1))),O54))</f>
        <v>0</v>
      </c>
      <c r="P53" s="526"/>
      <c r="Q53" s="530">
        <v>45572</v>
      </c>
      <c r="R53" s="4">
        <v>4.57</v>
      </c>
      <c r="S53" s="4">
        <v>19800.740000000002</v>
      </c>
      <c r="T53" s="4">
        <v>6751.51</v>
      </c>
      <c r="U53" s="4">
        <v>1.9956331877729259</v>
      </c>
      <c r="V53" s="4">
        <v>1.7594230019077475</v>
      </c>
      <c r="W53" s="4">
        <v>1.7756244197636712</v>
      </c>
      <c r="Y53" s="526">
        <f t="shared" si="13"/>
        <v>4.57</v>
      </c>
      <c r="Z53" s="4">
        <f>IFERROR(VALUE(_xll.BDH(Z$4,"PX_LAST",$Q53,$Q53)),Z54)</f>
        <v>83.43</v>
      </c>
      <c r="AA53" s="4">
        <f>IFERROR(VALUE(_xll.BDH(AA$4,"PX_LAST",$Q53,$Q53)),AA54)</f>
        <v>31.32</v>
      </c>
      <c r="AB53" s="4">
        <f>IFERROR(VALUE(_xll.BDH(AB$4,"PX_LAST",$Q53,$Q53)),AB54)</f>
        <v>112.29</v>
      </c>
      <c r="AC53" s="4">
        <f>IFERROR(VALUE(_xll.BDH(AC$4,"PX_LAST",$Q53,$Q53)),AC54)</f>
        <v>11.33</v>
      </c>
      <c r="AD53" s="4">
        <f>IFERROR(VALUE(_xll.BDH(AD$4,"PX_LAST",$Q53,$Q53)),AD54)</f>
        <v>46.99</v>
      </c>
      <c r="AF53" s="4">
        <f t="shared" si="14"/>
        <v>1.9956331877729259</v>
      </c>
      <c r="AG53" s="4">
        <f t="shared" si="15"/>
        <v>2.8252624449712158</v>
      </c>
      <c r="AH53" s="4">
        <f t="shared" si="16"/>
        <v>1.1020408163265305</v>
      </c>
      <c r="AI53" s="4">
        <f t="shared" si="17"/>
        <v>1.203795025728988</v>
      </c>
      <c r="AJ53" s="4">
        <f t="shared" si="18"/>
        <v>1.4109589041095891</v>
      </c>
      <c r="AK53" s="4">
        <f t="shared" si="19"/>
        <v>1.6086956521739131</v>
      </c>
      <c r="AM53" s="528">
        <v>45859</v>
      </c>
      <c r="AN53" s="529">
        <v>11.44</v>
      </c>
      <c r="AO53" s="529">
        <v>0</v>
      </c>
      <c r="AP53" s="529">
        <v>0</v>
      </c>
      <c r="AQ53" s="529">
        <v>-299.41797599999995</v>
      </c>
      <c r="AR53" s="529">
        <v>0</v>
      </c>
    </row>
    <row r="54" spans="2:44">
      <c r="B54" s="530">
        <f t="shared" ca="1" si="20"/>
        <v>45608</v>
      </c>
      <c r="C54" s="526">
        <f ca="1">(IFERROR(IFERROR(VALUE(_xll.BDH(C$4,"CURRENT_EV_TO_T12M_EBITDA",$B54,$B54)),VALUE(_xll.BDH(C$4,"CURRENT_EV_TO_T12M_EBITDA",$B54+1,$B54+1))),C55))</f>
        <v>0</v>
      </c>
      <c r="D54" s="526">
        <f ca="1">(IFERROR(IFERROR(VALUE(_xll.BDH(D$4,"CURRENT_EV_TO_T12M_EBITDA",$B54,$B54)),VALUE(_xll.BDH(D$4,"CURRENT_EV_TO_T12M_EBITDA",$B54+1,$B54+1))),D55))</f>
        <v>0</v>
      </c>
      <c r="E54" s="526">
        <f ca="1">(IFERROR(IFERROR(VALUE(_xll.BDH(E$4,"CURRENT_EV_TO_T12M_EBITDA",$B54,$B54)),VALUE(_xll.BDH(E$4,"CURRENT_EV_TO_T12M_EBITDA",$B54+1,$B54+1))),E55))</f>
        <v>0</v>
      </c>
      <c r="F54" s="526">
        <f ca="1">(IFERROR(IFERROR(VALUE(_xll.BDH(F$4,"CURRENT_EV_TO_T12M_EBITDA",$B54,$B54)),VALUE(_xll.BDH(F$4,"CURRENT_EV_TO_T12M_EBITDA",$B54+1,$B54+1))),F55))</f>
        <v>0</v>
      </c>
      <c r="G54" s="526">
        <f ca="1">(IFERROR(IFERROR(VALUE(_xll.BDH(G$4,"CURRENT_EV_TO_T12M_EBITDA",$B54,$B54)),VALUE(_xll.BDH(G$4,"CURRENT_EV_TO_T12M_EBITDA",$B54+1,$B54+1))),G55))</f>
        <v>0</v>
      </c>
      <c r="H54" s="526">
        <f ca="1">(IFERROR(IFERROR(VALUE(_xll.BDH(H$4,"CURRENT_EV_TO_T12M_EBITDA",$B54,$B54)),VALUE(_xll.BDH(H$4,"CURRENT_EV_TO_T12M_EBITDA",$B54+1,$B54+1))),H55))</f>
        <v>0</v>
      </c>
      <c r="I54" s="530">
        <f t="shared" ca="1" si="12"/>
        <v>45608</v>
      </c>
      <c r="J54" s="526">
        <f ca="1">(IFERROR(IFERROR(VALUE(_xll.BDH(J$4,"PE_RATIO",$B54,$B54)),VALUE(_xll.BDH(J$4,"PE_RATIO",$B54+1,$B54+1))),J55))</f>
        <v>0</v>
      </c>
      <c r="K54" s="526">
        <f ca="1">(IFERROR(IFERROR(VALUE(_xll.BDH(K$4,"PE_RATIO",$B54,$B54)),VALUE(_xll.BDH(K$4,"PE_RATIO",$B54+1,$B54+1))),K55))</f>
        <v>0</v>
      </c>
      <c r="L54" s="526">
        <f ca="1">(IFERROR(IFERROR(VALUE(_xll.BDH(L$4,"PE_RATIO",$B54,$B54)),VALUE(_xll.BDH(L$4,"PE_RATIO",$B54+1,$B54+1))),L55))</f>
        <v>0</v>
      </c>
      <c r="M54" s="526">
        <f ca="1">(IFERROR(IFERROR(VALUE(_xll.BDH(M$4,"PE_RATIO",$B54,$B54)),VALUE(_xll.BDH(M$4,"PE_RATIO",$B54+1,$B54+1))),M55))</f>
        <v>0</v>
      </c>
      <c r="N54" s="526">
        <f ca="1">(IFERROR(IFERROR(VALUE(_xll.BDH(N$4,"PE_RATIO",$B54,$B54)),VALUE(_xll.BDH(N$4,"PE_RATIO",$B54+1,$B54+1))),N55))</f>
        <v>0</v>
      </c>
      <c r="O54" s="526">
        <f ca="1">(IFERROR(IFERROR(VALUE(_xll.BDH(O$4,"PE_RATIO",$B54,$B54)),VALUE(_xll.BDH(O$4,"PE_RATIO",$B54+1,$B54+1))),O55))</f>
        <v>0</v>
      </c>
      <c r="P54" s="526"/>
      <c r="Q54" s="530">
        <v>45565</v>
      </c>
      <c r="R54" s="4">
        <v>4.7300000000000004</v>
      </c>
      <c r="S54" s="4">
        <v>20060.689999999999</v>
      </c>
      <c r="T54" s="4">
        <v>6981.52</v>
      </c>
      <c r="U54" s="4">
        <v>2.0655021834061138</v>
      </c>
      <c r="V54" s="4">
        <v>1.782521230021743</v>
      </c>
      <c r="W54" s="4">
        <v>1.8361162760728291</v>
      </c>
      <c r="Y54" s="526">
        <f t="shared" si="13"/>
        <v>4.7300000000000004</v>
      </c>
      <c r="Z54" s="4">
        <f>IFERROR(VALUE(_xll.BDH(Z$4,"PX_LAST",$Q54,$Q54)),Z55)</f>
        <v>83.79</v>
      </c>
      <c r="AA54" s="4">
        <f>IFERROR(VALUE(_xll.BDH(AA$4,"PX_LAST",$Q54,$Q54)),AA55)</f>
        <v>32.71</v>
      </c>
      <c r="AB54" s="4">
        <f>IFERROR(VALUE(_xll.BDH(AB$4,"PX_LAST",$Q54,$Q54)),AB55)</f>
        <v>117.98</v>
      </c>
      <c r="AC54" s="4">
        <f>IFERROR(VALUE(_xll.BDH(AC$4,"PX_LAST",$Q54,$Q54)),AC55)</f>
        <v>11.21</v>
      </c>
      <c r="AD54" s="4">
        <f>IFERROR(VALUE(_xll.BDH(AD$4,"PX_LAST",$Q54,$Q54)),AD55)</f>
        <v>47.07</v>
      </c>
      <c r="AF54" s="4">
        <f t="shared" si="14"/>
        <v>2.0655021834061138</v>
      </c>
      <c r="AG54" s="4">
        <f t="shared" si="15"/>
        <v>2.8374534371825262</v>
      </c>
      <c r="AH54" s="4">
        <f t="shared" si="16"/>
        <v>1.1509500351864883</v>
      </c>
      <c r="AI54" s="4">
        <f t="shared" si="17"/>
        <v>1.2647941680960548</v>
      </c>
      <c r="AJ54" s="4">
        <f t="shared" si="18"/>
        <v>1.3960149439601497</v>
      </c>
      <c r="AK54" s="4">
        <f t="shared" si="19"/>
        <v>1.6114344402601848</v>
      </c>
      <c r="AM54" s="528">
        <v>45858</v>
      </c>
      <c r="AN54" s="529">
        <v>11.64</v>
      </c>
      <c r="AO54" s="529">
        <v>-1569250</v>
      </c>
      <c r="AP54" s="529">
        <v>-52.345799999999997</v>
      </c>
      <c r="AQ54" s="529">
        <v>-913.95766800000001</v>
      </c>
      <c r="AR54" s="529">
        <v>-0.95599999999999996</v>
      </c>
    </row>
    <row r="55" spans="2:44">
      <c r="B55" s="530">
        <f t="shared" ca="1" si="20"/>
        <v>45601</v>
      </c>
      <c r="C55" s="526">
        <f ca="1">(IFERROR(IFERROR(VALUE(_xll.BDH(C$4,"CURRENT_EV_TO_T12M_EBITDA",$B55,$B55)),VALUE(_xll.BDH(C$4,"CURRENT_EV_TO_T12M_EBITDA",$B55+1,$B55+1))),C56))</f>
        <v>0</v>
      </c>
      <c r="D55" s="526">
        <f ca="1">(IFERROR(IFERROR(VALUE(_xll.BDH(D$4,"CURRENT_EV_TO_T12M_EBITDA",$B55,$B55)),VALUE(_xll.BDH(D$4,"CURRENT_EV_TO_T12M_EBITDA",$B55+1,$B55+1))),D56))</f>
        <v>0</v>
      </c>
      <c r="E55" s="526">
        <f ca="1">(IFERROR(IFERROR(VALUE(_xll.BDH(E$4,"CURRENT_EV_TO_T12M_EBITDA",$B55,$B55)),VALUE(_xll.BDH(E$4,"CURRENT_EV_TO_T12M_EBITDA",$B55+1,$B55+1))),E56))</f>
        <v>0</v>
      </c>
      <c r="F55" s="526">
        <f ca="1">(IFERROR(IFERROR(VALUE(_xll.BDH(F$4,"CURRENT_EV_TO_T12M_EBITDA",$B55,$B55)),VALUE(_xll.BDH(F$4,"CURRENT_EV_TO_T12M_EBITDA",$B55+1,$B55+1))),F56))</f>
        <v>0</v>
      </c>
      <c r="G55" s="526">
        <f ca="1">(IFERROR(IFERROR(VALUE(_xll.BDH(G$4,"CURRENT_EV_TO_T12M_EBITDA",$B55,$B55)),VALUE(_xll.BDH(G$4,"CURRENT_EV_TO_T12M_EBITDA",$B55+1,$B55+1))),G56))</f>
        <v>0</v>
      </c>
      <c r="H55" s="526">
        <f ca="1">(IFERROR(IFERROR(VALUE(_xll.BDH(H$4,"CURRENT_EV_TO_T12M_EBITDA",$B55,$B55)),VALUE(_xll.BDH(H$4,"CURRENT_EV_TO_T12M_EBITDA",$B55+1,$B55+1))),H56))</f>
        <v>0</v>
      </c>
      <c r="I55" s="530">
        <f t="shared" ca="1" si="12"/>
        <v>45601</v>
      </c>
      <c r="J55" s="526">
        <f ca="1">(IFERROR(IFERROR(VALUE(_xll.BDH(J$4,"PE_RATIO",$B55,$B55)),VALUE(_xll.BDH(J$4,"PE_RATIO",$B55+1,$B55+1))),J56))</f>
        <v>0</v>
      </c>
      <c r="K55" s="526">
        <f ca="1">(IFERROR(IFERROR(VALUE(_xll.BDH(K$4,"PE_RATIO",$B55,$B55)),VALUE(_xll.BDH(K$4,"PE_RATIO",$B55+1,$B55+1))),K56))</f>
        <v>0</v>
      </c>
      <c r="L55" s="526">
        <f ca="1">(IFERROR(IFERROR(VALUE(_xll.BDH(L$4,"PE_RATIO",$B55,$B55)),VALUE(_xll.BDH(L$4,"PE_RATIO",$B55+1,$B55+1))),L56))</f>
        <v>0</v>
      </c>
      <c r="M55" s="526">
        <f ca="1">(IFERROR(IFERROR(VALUE(_xll.BDH(M$4,"PE_RATIO",$B55,$B55)),VALUE(_xll.BDH(M$4,"PE_RATIO",$B55+1,$B55+1))),M56))</f>
        <v>0</v>
      </c>
      <c r="N55" s="526">
        <f ca="1">(IFERROR(IFERROR(VALUE(_xll.BDH(N$4,"PE_RATIO",$B55,$B55)),VALUE(_xll.BDH(N$4,"PE_RATIO",$B55+1,$B55+1))),N56))</f>
        <v>0</v>
      </c>
      <c r="O55" s="526">
        <f ca="1">(IFERROR(IFERROR(VALUE(_xll.BDH(O$4,"PE_RATIO",$B55,$B55)),VALUE(_xll.BDH(O$4,"PE_RATIO",$B55+1,$B55+1))),O56))</f>
        <v>0</v>
      </c>
      <c r="P55" s="526"/>
      <c r="Q55" s="530">
        <v>45558</v>
      </c>
      <c r="R55" s="4">
        <v>4.46</v>
      </c>
      <c r="S55" s="4">
        <v>19852.2</v>
      </c>
      <c r="T55" s="4">
        <v>7021.02</v>
      </c>
      <c r="U55" s="4">
        <v>1.947598253275109</v>
      </c>
      <c r="V55" s="4">
        <v>1.7639955536244092</v>
      </c>
      <c r="W55" s="4">
        <v>1.8465046432056136</v>
      </c>
      <c r="Y55" s="526">
        <f t="shared" si="13"/>
        <v>4.46</v>
      </c>
      <c r="Z55" s="4">
        <f>IFERROR(VALUE(_xll.BDH(Z$4,"PX_LAST",$Q55,$Q55)),Z56)</f>
        <v>83.95</v>
      </c>
      <c r="AA55" s="4">
        <f>IFERROR(VALUE(_xll.BDH(AA$4,"PX_LAST",$Q55,$Q55)),AA56)</f>
        <v>32.69</v>
      </c>
      <c r="AB55" s="4">
        <f>IFERROR(VALUE(_xll.BDH(AB$4,"PX_LAST",$Q55,$Q55)),AB56)</f>
        <v>120.02</v>
      </c>
      <c r="AC55" s="4">
        <f>IFERROR(VALUE(_xll.BDH(AC$4,"PX_LAST",$Q55,$Q55)),AC56)</f>
        <v>11.02</v>
      </c>
      <c r="AD55" s="4">
        <f>IFERROR(VALUE(_xll.BDH(AD$4,"PX_LAST",$Q55,$Q55)),AD56)</f>
        <v>48.33</v>
      </c>
      <c r="AF55" s="4">
        <f t="shared" si="14"/>
        <v>1.947598253275109</v>
      </c>
      <c r="AG55" s="4">
        <f t="shared" si="15"/>
        <v>2.8428716559431089</v>
      </c>
      <c r="AH55" s="4">
        <f t="shared" si="16"/>
        <v>1.1502463054187191</v>
      </c>
      <c r="AI55" s="4">
        <f t="shared" si="17"/>
        <v>1.2866638078902228</v>
      </c>
      <c r="AJ55" s="4">
        <f t="shared" si="18"/>
        <v>1.3723536737235369</v>
      </c>
      <c r="AK55" s="4">
        <f t="shared" si="19"/>
        <v>1.6545703526189659</v>
      </c>
      <c r="AM55" s="528">
        <v>45857</v>
      </c>
      <c r="AN55" s="529">
        <v>11.64</v>
      </c>
      <c r="AO55" s="529">
        <v>-784625</v>
      </c>
      <c r="AP55" s="529">
        <v>-26.172899999999998</v>
      </c>
      <c r="AQ55" s="529">
        <v>-609.30511200000001</v>
      </c>
      <c r="AR55" s="529">
        <v>-0.47799999999999998</v>
      </c>
    </row>
    <row r="56" spans="2:44">
      <c r="B56" s="530">
        <f t="shared" ca="1" si="20"/>
        <v>45594</v>
      </c>
      <c r="C56" s="526">
        <f ca="1">(IFERROR(IFERROR(VALUE(_xll.BDH(C$4,"CURRENT_EV_TO_T12M_EBITDA",$B56,$B56)),VALUE(_xll.BDH(C$4,"CURRENT_EV_TO_T12M_EBITDA",$B56+1,$B56+1))),C57))</f>
        <v>0</v>
      </c>
      <c r="D56" s="526">
        <f ca="1">(IFERROR(IFERROR(VALUE(_xll.BDH(D$4,"CURRENT_EV_TO_T12M_EBITDA",$B56,$B56)),VALUE(_xll.BDH(D$4,"CURRENT_EV_TO_T12M_EBITDA",$B56+1,$B56+1))),D57))</f>
        <v>0</v>
      </c>
      <c r="E56" s="526">
        <f ca="1">(IFERROR(IFERROR(VALUE(_xll.BDH(E$4,"CURRENT_EV_TO_T12M_EBITDA",$B56,$B56)),VALUE(_xll.BDH(E$4,"CURRENT_EV_TO_T12M_EBITDA",$B56+1,$B56+1))),E57))</f>
        <v>0</v>
      </c>
      <c r="F56" s="526">
        <f ca="1">(IFERROR(IFERROR(VALUE(_xll.BDH(F$4,"CURRENT_EV_TO_T12M_EBITDA",$B56,$B56)),VALUE(_xll.BDH(F$4,"CURRENT_EV_TO_T12M_EBITDA",$B56+1,$B56+1))),F57))</f>
        <v>0</v>
      </c>
      <c r="G56" s="526">
        <f ca="1">(IFERROR(IFERROR(VALUE(_xll.BDH(G$4,"CURRENT_EV_TO_T12M_EBITDA",$B56,$B56)),VALUE(_xll.BDH(G$4,"CURRENT_EV_TO_T12M_EBITDA",$B56+1,$B56+1))),G57))</f>
        <v>0</v>
      </c>
      <c r="H56" s="526">
        <f ca="1">(IFERROR(IFERROR(VALUE(_xll.BDH(H$4,"CURRENT_EV_TO_T12M_EBITDA",$B56,$B56)),VALUE(_xll.BDH(H$4,"CURRENT_EV_TO_T12M_EBITDA",$B56+1,$B56+1))),H57))</f>
        <v>0</v>
      </c>
      <c r="I56" s="530">
        <f t="shared" ca="1" si="12"/>
        <v>45594</v>
      </c>
      <c r="J56" s="526">
        <f ca="1">(IFERROR(IFERROR(VALUE(_xll.BDH(J$4,"PE_RATIO",$B56,$B56)),VALUE(_xll.BDH(J$4,"PE_RATIO",$B56+1,$B56+1))),J57))</f>
        <v>0</v>
      </c>
      <c r="K56" s="526">
        <f ca="1">(IFERROR(IFERROR(VALUE(_xll.BDH(K$4,"PE_RATIO",$B56,$B56)),VALUE(_xll.BDH(K$4,"PE_RATIO",$B56+1,$B56+1))),K57))</f>
        <v>0</v>
      </c>
      <c r="L56" s="526">
        <f ca="1">(IFERROR(IFERROR(VALUE(_xll.BDH(L$4,"PE_RATIO",$B56,$B56)),VALUE(_xll.BDH(L$4,"PE_RATIO",$B56+1,$B56+1))),L57))</f>
        <v>0</v>
      </c>
      <c r="M56" s="526">
        <f ca="1">(IFERROR(IFERROR(VALUE(_xll.BDH(M$4,"PE_RATIO",$B56,$B56)),VALUE(_xll.BDH(M$4,"PE_RATIO",$B56+1,$B56+1))),M57))</f>
        <v>0</v>
      </c>
      <c r="N56" s="526">
        <f ca="1">(IFERROR(IFERROR(VALUE(_xll.BDH(N$4,"PE_RATIO",$B56,$B56)),VALUE(_xll.BDH(N$4,"PE_RATIO",$B56+1,$B56+1))),N57))</f>
        <v>0</v>
      </c>
      <c r="O56" s="526">
        <f ca="1">(IFERROR(IFERROR(VALUE(_xll.BDH(O$4,"PE_RATIO",$B56,$B56)),VALUE(_xll.BDH(O$4,"PE_RATIO",$B56+1,$B56+1))),O57))</f>
        <v>0</v>
      </c>
      <c r="P56" s="526"/>
      <c r="Q56" s="530">
        <v>45551</v>
      </c>
      <c r="R56" s="4">
        <v>4.3</v>
      </c>
      <c r="S56" s="4">
        <v>19423.060000000001</v>
      </c>
      <c r="T56" s="4">
        <v>6970.25</v>
      </c>
      <c r="U56" s="4">
        <v>1.8777292576419213</v>
      </c>
      <c r="V56" s="4">
        <v>1.7258637066813813</v>
      </c>
      <c r="W56" s="4">
        <v>1.8331523039820321</v>
      </c>
      <c r="Y56" s="526">
        <f t="shared" si="13"/>
        <v>4.3</v>
      </c>
      <c r="Z56" s="4">
        <f>IFERROR(VALUE(_xll.BDH(Z$4,"PX_LAST",$Q56,$Q56)),Z57)</f>
        <v>80.52</v>
      </c>
      <c r="AA56" s="4">
        <f>IFERROR(VALUE(_xll.BDH(AA$4,"PX_LAST",$Q56,$Q56)),AA57)</f>
        <v>32.47</v>
      </c>
      <c r="AB56" s="4">
        <f>IFERROR(VALUE(_xll.BDH(AB$4,"PX_LAST",$Q56,$Q56)),AB57)</f>
        <v>120.92</v>
      </c>
      <c r="AC56" s="4">
        <f>IFERROR(VALUE(_xll.BDH(AC$4,"PX_LAST",$Q56,$Q56)),AC57)</f>
        <v>10.8</v>
      </c>
      <c r="AD56" s="4">
        <f>IFERROR(VALUE(_xll.BDH(AD$4,"PX_LAST",$Q56,$Q56)),AD57)</f>
        <v>47.02</v>
      </c>
      <c r="AF56" s="4">
        <f t="shared" si="14"/>
        <v>1.8777292576419213</v>
      </c>
      <c r="AG56" s="4">
        <f t="shared" si="15"/>
        <v>2.726718591263122</v>
      </c>
      <c r="AH56" s="4">
        <f t="shared" si="16"/>
        <v>1.1425052779732581</v>
      </c>
      <c r="AI56" s="4">
        <f t="shared" si="17"/>
        <v>1.2963121783876501</v>
      </c>
      <c r="AJ56" s="4">
        <f t="shared" si="18"/>
        <v>1.3449564134495644</v>
      </c>
      <c r="AK56" s="4">
        <f t="shared" si="19"/>
        <v>1.6097226977062651</v>
      </c>
      <c r="AM56" s="528">
        <v>45856</v>
      </c>
      <c r="AN56" s="529">
        <v>11.64</v>
      </c>
      <c r="AO56" s="529">
        <v>0</v>
      </c>
      <c r="AP56" s="529">
        <v>0</v>
      </c>
      <c r="AQ56" s="529">
        <v>-304.652556</v>
      </c>
      <c r="AR56" s="529">
        <v>0</v>
      </c>
    </row>
    <row r="57" spans="2:44">
      <c r="B57" s="530">
        <f t="shared" ca="1" si="20"/>
        <v>45587</v>
      </c>
      <c r="C57" s="526">
        <f ca="1">(IFERROR(IFERROR(VALUE(_xll.BDH(C$4,"CURRENT_EV_TO_T12M_EBITDA",$B57,$B57)),VALUE(_xll.BDH(C$4,"CURRENT_EV_TO_T12M_EBITDA",$B57+1,$B57+1))),C58))</f>
        <v>0</v>
      </c>
      <c r="D57" s="526">
        <f ca="1">(IFERROR(IFERROR(VALUE(_xll.BDH(D$4,"CURRENT_EV_TO_T12M_EBITDA",$B57,$B57)),VALUE(_xll.BDH(D$4,"CURRENT_EV_TO_T12M_EBITDA",$B57+1,$B57+1))),D58))</f>
        <v>0</v>
      </c>
      <c r="E57" s="526">
        <f ca="1">(IFERROR(IFERROR(VALUE(_xll.BDH(E$4,"CURRENT_EV_TO_T12M_EBITDA",$B57,$B57)),VALUE(_xll.BDH(E$4,"CURRENT_EV_TO_T12M_EBITDA",$B57+1,$B57+1))),E58))</f>
        <v>0</v>
      </c>
      <c r="F57" s="526">
        <f ca="1">(IFERROR(IFERROR(VALUE(_xll.BDH(F$4,"CURRENT_EV_TO_T12M_EBITDA",$B57,$B57)),VALUE(_xll.BDH(F$4,"CURRENT_EV_TO_T12M_EBITDA",$B57+1,$B57+1))),F58))</f>
        <v>0</v>
      </c>
      <c r="G57" s="526">
        <f ca="1">(IFERROR(IFERROR(VALUE(_xll.BDH(G$4,"CURRENT_EV_TO_T12M_EBITDA",$B57,$B57)),VALUE(_xll.BDH(G$4,"CURRENT_EV_TO_T12M_EBITDA",$B57+1,$B57+1))),G58))</f>
        <v>0</v>
      </c>
      <c r="H57" s="526">
        <f ca="1">(IFERROR(IFERROR(VALUE(_xll.BDH(H$4,"CURRENT_EV_TO_T12M_EBITDA",$B57,$B57)),VALUE(_xll.BDH(H$4,"CURRENT_EV_TO_T12M_EBITDA",$B57+1,$B57+1))),H58))</f>
        <v>0</v>
      </c>
      <c r="I57" s="530">
        <f t="shared" ca="1" si="12"/>
        <v>45587</v>
      </c>
      <c r="J57" s="526">
        <f ca="1">(IFERROR(IFERROR(VALUE(_xll.BDH(J$4,"PE_RATIO",$B57,$B57)),VALUE(_xll.BDH(J$4,"PE_RATIO",$B57+1,$B57+1))),J58))</f>
        <v>0</v>
      </c>
      <c r="K57" s="526">
        <f ca="1">(IFERROR(IFERROR(VALUE(_xll.BDH(K$4,"PE_RATIO",$B57,$B57)),VALUE(_xll.BDH(K$4,"PE_RATIO",$B57+1,$B57+1))),K58))</f>
        <v>0</v>
      </c>
      <c r="L57" s="526">
        <f ca="1">(IFERROR(IFERROR(VALUE(_xll.BDH(L$4,"PE_RATIO",$B57,$B57)),VALUE(_xll.BDH(L$4,"PE_RATIO",$B57+1,$B57+1))),L58))</f>
        <v>0</v>
      </c>
      <c r="M57" s="526">
        <f ca="1">(IFERROR(IFERROR(VALUE(_xll.BDH(M$4,"PE_RATIO",$B57,$B57)),VALUE(_xll.BDH(M$4,"PE_RATIO",$B57+1,$B57+1))),M58))</f>
        <v>0</v>
      </c>
      <c r="N57" s="526">
        <f ca="1">(IFERROR(IFERROR(VALUE(_xll.BDH(N$4,"PE_RATIO",$B57,$B57)),VALUE(_xll.BDH(N$4,"PE_RATIO",$B57+1,$B57+1))),N58))</f>
        <v>0</v>
      </c>
      <c r="O57" s="526">
        <f ca="1">(IFERROR(IFERROR(VALUE(_xll.BDH(O$4,"PE_RATIO",$B57,$B57)),VALUE(_xll.BDH(O$4,"PE_RATIO",$B57+1,$B57+1))),O58))</f>
        <v>0</v>
      </c>
      <c r="P57" s="526"/>
      <c r="Q57" s="530">
        <v>45544</v>
      </c>
      <c r="R57" s="4">
        <v>4.2699999999999996</v>
      </c>
      <c r="S57" s="4">
        <v>18660.78</v>
      </c>
      <c r="T57" s="4">
        <v>6595.83</v>
      </c>
      <c r="U57" s="4">
        <v>1.8646288209606985</v>
      </c>
      <c r="V57" s="4">
        <v>1.6581302297560623</v>
      </c>
      <c r="W57" s="4">
        <v>1.7346811034286871</v>
      </c>
      <c r="Y57" s="526">
        <f t="shared" si="13"/>
        <v>4.2699999999999996</v>
      </c>
      <c r="Z57" s="4">
        <f>IFERROR(VALUE(_xll.BDH(Z$4,"PX_LAST",$Q57,$Q57)),Z58)</f>
        <v>76.739999999999995</v>
      </c>
      <c r="AA57" s="4">
        <f>IFERROR(VALUE(_xll.BDH(AA$4,"PX_LAST",$Q57,$Q57)),AA58)</f>
        <v>31.18</v>
      </c>
      <c r="AB57" s="4">
        <f>IFERROR(VALUE(_xll.BDH(AB$4,"PX_LAST",$Q57,$Q57)),AB58)</f>
        <v>111.95</v>
      </c>
      <c r="AC57" s="4">
        <f>IFERROR(VALUE(_xll.BDH(AC$4,"PX_LAST",$Q57,$Q57)),AC58)</f>
        <v>11.19</v>
      </c>
      <c r="AD57" s="4">
        <f>IFERROR(VALUE(_xll.BDH(AD$4,"PX_LAST",$Q57,$Q57)),AD58)</f>
        <v>43.96</v>
      </c>
      <c r="AF57" s="4">
        <f t="shared" si="14"/>
        <v>1.8646288209606985</v>
      </c>
      <c r="AG57" s="4">
        <f t="shared" si="15"/>
        <v>2.5987131730443616</v>
      </c>
      <c r="AH57" s="4">
        <f t="shared" si="16"/>
        <v>1.0971147079521464</v>
      </c>
      <c r="AI57" s="4">
        <f t="shared" si="17"/>
        <v>1.2001500857632934</v>
      </c>
      <c r="AJ57" s="4">
        <f t="shared" si="18"/>
        <v>1.3935242839352429</v>
      </c>
      <c r="AK57" s="4">
        <f t="shared" si="19"/>
        <v>1.5049640534063677</v>
      </c>
      <c r="AM57" s="528">
        <v>45855</v>
      </c>
      <c r="AN57" s="529">
        <v>11.65</v>
      </c>
      <c r="AO57" s="529">
        <v>0</v>
      </c>
      <c r="AP57" s="529">
        <v>0</v>
      </c>
      <c r="AQ57" s="529">
        <v>-304.91428500000001</v>
      </c>
      <c r="AR57" s="529">
        <v>0</v>
      </c>
    </row>
    <row r="58" spans="2:44">
      <c r="B58" s="530">
        <f t="shared" ca="1" si="20"/>
        <v>45580</v>
      </c>
      <c r="C58" s="526">
        <f ca="1">(IFERROR(IFERROR(VALUE(_xll.BDH(C$4,"CURRENT_EV_TO_T12M_EBITDA",$B58,$B58)),VALUE(_xll.BDH(C$4,"CURRENT_EV_TO_T12M_EBITDA",$B58+1,$B58+1))),C59))</f>
        <v>0</v>
      </c>
      <c r="D58" s="526">
        <f ca="1">(IFERROR(IFERROR(VALUE(_xll.BDH(D$4,"CURRENT_EV_TO_T12M_EBITDA",$B58,$B58)),VALUE(_xll.BDH(D$4,"CURRENT_EV_TO_T12M_EBITDA",$B58+1,$B58+1))),D59))</f>
        <v>0</v>
      </c>
      <c r="E58" s="526">
        <f ca="1">(IFERROR(IFERROR(VALUE(_xll.BDH(E$4,"CURRENT_EV_TO_T12M_EBITDA",$B58,$B58)),VALUE(_xll.BDH(E$4,"CURRENT_EV_TO_T12M_EBITDA",$B58+1,$B58+1))),E59))</f>
        <v>0</v>
      </c>
      <c r="F58" s="526">
        <f ca="1">(IFERROR(IFERROR(VALUE(_xll.BDH(F$4,"CURRENT_EV_TO_T12M_EBITDA",$B58,$B58)),VALUE(_xll.BDH(F$4,"CURRENT_EV_TO_T12M_EBITDA",$B58+1,$B58+1))),F59))</f>
        <v>0</v>
      </c>
      <c r="G58" s="526">
        <f ca="1">(IFERROR(IFERROR(VALUE(_xll.BDH(G$4,"CURRENT_EV_TO_T12M_EBITDA",$B58,$B58)),VALUE(_xll.BDH(G$4,"CURRENT_EV_TO_T12M_EBITDA",$B58+1,$B58+1))),G59))</f>
        <v>0</v>
      </c>
      <c r="H58" s="526">
        <f ca="1">(IFERROR(IFERROR(VALUE(_xll.BDH(H$4,"CURRENT_EV_TO_T12M_EBITDA",$B58,$B58)),VALUE(_xll.BDH(H$4,"CURRENT_EV_TO_T12M_EBITDA",$B58+1,$B58+1))),H59))</f>
        <v>0</v>
      </c>
      <c r="I58" s="530">
        <f t="shared" ca="1" si="12"/>
        <v>45580</v>
      </c>
      <c r="J58" s="526">
        <f ca="1">(IFERROR(IFERROR(VALUE(_xll.BDH(J$4,"PE_RATIO",$B58,$B58)),VALUE(_xll.BDH(J$4,"PE_RATIO",$B58+1,$B58+1))),J59))</f>
        <v>0</v>
      </c>
      <c r="K58" s="526">
        <f ca="1">(IFERROR(IFERROR(VALUE(_xll.BDH(K$4,"PE_RATIO",$B58,$B58)),VALUE(_xll.BDH(K$4,"PE_RATIO",$B58+1,$B58+1))),K59))</f>
        <v>0</v>
      </c>
      <c r="L58" s="526">
        <f ca="1">(IFERROR(IFERROR(VALUE(_xll.BDH(L$4,"PE_RATIO",$B58,$B58)),VALUE(_xll.BDH(L$4,"PE_RATIO",$B58+1,$B58+1))),L59))</f>
        <v>0</v>
      </c>
      <c r="M58" s="526">
        <f ca="1">(IFERROR(IFERROR(VALUE(_xll.BDH(M$4,"PE_RATIO",$B58,$B58)),VALUE(_xll.BDH(M$4,"PE_RATIO",$B58+1,$B58+1))),M59))</f>
        <v>0</v>
      </c>
      <c r="N58" s="526">
        <f ca="1">(IFERROR(IFERROR(VALUE(_xll.BDH(N$4,"PE_RATIO",$B58,$B58)),VALUE(_xll.BDH(N$4,"PE_RATIO",$B58+1,$B58+1))),N59))</f>
        <v>0</v>
      </c>
      <c r="O58" s="526">
        <f ca="1">(IFERROR(IFERROR(VALUE(_xll.BDH(O$4,"PE_RATIO",$B58,$B58)),VALUE(_xll.BDH(O$4,"PE_RATIO",$B58+1,$B58+1))),O59))</f>
        <v>0</v>
      </c>
      <c r="P58" s="526"/>
      <c r="Q58" s="530">
        <v>45537</v>
      </c>
      <c r="R58" s="4">
        <v>4.75</v>
      </c>
      <c r="S58" s="4">
        <v>19516.439999999999</v>
      </c>
      <c r="T58" s="4">
        <v>6708.67</v>
      </c>
      <c r="U58" s="4">
        <v>2.0742358078602621</v>
      </c>
      <c r="V58" s="4">
        <v>1.7341611198042313</v>
      </c>
      <c r="W58" s="4">
        <v>1.7643576438657349</v>
      </c>
      <c r="Y58" s="526">
        <f t="shared" si="13"/>
        <v>4.75</v>
      </c>
      <c r="Z58" s="4">
        <f>IFERROR(VALUE(_xll.BDH(Z$4,"PX_LAST",$Q58,$Q58)),Z59)</f>
        <v>83.43</v>
      </c>
      <c r="AA58" s="4">
        <f>IFERROR(VALUE(_xll.BDH(AA$4,"PX_LAST",$Q58,$Q58)),AA59)</f>
        <v>32.130000000000003</v>
      </c>
      <c r="AB58" s="4">
        <f>IFERROR(VALUE(_xll.BDH(AB$4,"PX_LAST",$Q58,$Q58)),AB59)</f>
        <v>118.73</v>
      </c>
      <c r="AC58" s="4">
        <f>IFERROR(VALUE(_xll.BDH(AC$4,"PX_LAST",$Q58,$Q58)),AC59)</f>
        <v>11.8</v>
      </c>
      <c r="AD58" s="4">
        <f>IFERROR(VALUE(_xll.BDH(AD$4,"PX_LAST",$Q58,$Q58)),AD59)</f>
        <v>48.88</v>
      </c>
      <c r="AF58" s="4">
        <f t="shared" si="14"/>
        <v>2.0742358078602621</v>
      </c>
      <c r="AG58" s="4">
        <f t="shared" si="15"/>
        <v>2.8252624449712158</v>
      </c>
      <c r="AH58" s="4">
        <f t="shared" si="16"/>
        <v>1.1305418719211824</v>
      </c>
      <c r="AI58" s="4">
        <f t="shared" si="17"/>
        <v>1.2728344768439108</v>
      </c>
      <c r="AJ58" s="4">
        <f t="shared" si="18"/>
        <v>1.4694894146948942</v>
      </c>
      <c r="AK58" s="4">
        <f t="shared" si="19"/>
        <v>1.6733995207120849</v>
      </c>
      <c r="AM58" s="528">
        <v>45854</v>
      </c>
      <c r="AN58" s="529">
        <v>11.75</v>
      </c>
      <c r="AO58" s="529">
        <v>0</v>
      </c>
      <c r="AP58" s="529">
        <v>0</v>
      </c>
      <c r="AQ58" s="529">
        <v>-307.53157499999998</v>
      </c>
      <c r="AR58" s="529">
        <v>0</v>
      </c>
    </row>
    <row r="59" spans="2:44">
      <c r="B59" s="530">
        <f t="shared" ca="1" si="20"/>
        <v>45573</v>
      </c>
      <c r="C59" s="526">
        <f ca="1">(IFERROR(IFERROR(VALUE(_xll.BDH(C$4,"CURRENT_EV_TO_T12M_EBITDA",$B59,$B59)),VALUE(_xll.BDH(C$4,"CURRENT_EV_TO_T12M_EBITDA",$B59+1,$B59+1))),C60))</f>
        <v>0</v>
      </c>
      <c r="D59" s="526">
        <f ca="1">(IFERROR(IFERROR(VALUE(_xll.BDH(D$4,"CURRENT_EV_TO_T12M_EBITDA",$B59,$B59)),VALUE(_xll.BDH(D$4,"CURRENT_EV_TO_T12M_EBITDA",$B59+1,$B59+1))),D60))</f>
        <v>0</v>
      </c>
      <c r="E59" s="526">
        <f ca="1">(IFERROR(IFERROR(VALUE(_xll.BDH(E$4,"CURRENT_EV_TO_T12M_EBITDA",$B59,$B59)),VALUE(_xll.BDH(E$4,"CURRENT_EV_TO_T12M_EBITDA",$B59+1,$B59+1))),E60))</f>
        <v>0</v>
      </c>
      <c r="F59" s="526">
        <f ca="1">(IFERROR(IFERROR(VALUE(_xll.BDH(F$4,"CURRENT_EV_TO_T12M_EBITDA",$B59,$B59)),VALUE(_xll.BDH(F$4,"CURRENT_EV_TO_T12M_EBITDA",$B59+1,$B59+1))),F60))</f>
        <v>0</v>
      </c>
      <c r="G59" s="526">
        <f ca="1">(IFERROR(IFERROR(VALUE(_xll.BDH(G$4,"CURRENT_EV_TO_T12M_EBITDA",$B59,$B59)),VALUE(_xll.BDH(G$4,"CURRENT_EV_TO_T12M_EBITDA",$B59+1,$B59+1))),G60))</f>
        <v>0</v>
      </c>
      <c r="H59" s="526">
        <f ca="1">(IFERROR(IFERROR(VALUE(_xll.BDH(H$4,"CURRENT_EV_TO_T12M_EBITDA",$B59,$B59)),VALUE(_xll.BDH(H$4,"CURRENT_EV_TO_T12M_EBITDA",$B59+1,$B59+1))),H60))</f>
        <v>0</v>
      </c>
      <c r="I59" s="530">
        <f t="shared" ca="1" si="12"/>
        <v>45573</v>
      </c>
      <c r="J59" s="526">
        <f ca="1">(IFERROR(IFERROR(VALUE(_xll.BDH(J$4,"PE_RATIO",$B59,$B59)),VALUE(_xll.BDH(J$4,"PE_RATIO",$B59+1,$B59+1))),J60))</f>
        <v>0</v>
      </c>
      <c r="K59" s="526">
        <f ca="1">(IFERROR(IFERROR(VALUE(_xll.BDH(K$4,"PE_RATIO",$B59,$B59)),VALUE(_xll.BDH(K$4,"PE_RATIO",$B59+1,$B59+1))),K60))</f>
        <v>0</v>
      </c>
      <c r="L59" s="526">
        <f ca="1">(IFERROR(IFERROR(VALUE(_xll.BDH(L$4,"PE_RATIO",$B59,$B59)),VALUE(_xll.BDH(L$4,"PE_RATIO",$B59+1,$B59+1))),L60))</f>
        <v>0</v>
      </c>
      <c r="M59" s="526">
        <f ca="1">(IFERROR(IFERROR(VALUE(_xll.BDH(M$4,"PE_RATIO",$B59,$B59)),VALUE(_xll.BDH(M$4,"PE_RATIO",$B59+1,$B59+1))),M60))</f>
        <v>0</v>
      </c>
      <c r="N59" s="526">
        <f ca="1">(IFERROR(IFERROR(VALUE(_xll.BDH(N$4,"PE_RATIO",$B59,$B59)),VALUE(_xll.BDH(N$4,"PE_RATIO",$B59+1,$B59+1))),N60))</f>
        <v>0</v>
      </c>
      <c r="O59" s="526">
        <f ca="1">(IFERROR(IFERROR(VALUE(_xll.BDH(O$4,"PE_RATIO",$B59,$B59)),VALUE(_xll.BDH(O$4,"PE_RATIO",$B59+1,$B59+1))),O60))</f>
        <v>0</v>
      </c>
      <c r="P59" s="526"/>
      <c r="Q59" s="530">
        <v>45530</v>
      </c>
      <c r="R59" s="4">
        <v>4.75</v>
      </c>
      <c r="S59" s="4">
        <v>19516.439999999999</v>
      </c>
      <c r="T59" s="4">
        <v>6708.67</v>
      </c>
      <c r="U59" s="4">
        <v>2.0742358078602621</v>
      </c>
      <c r="V59" s="4">
        <v>1.7341611198042313</v>
      </c>
      <c r="W59" s="4">
        <v>1.7643576438657349</v>
      </c>
      <c r="Y59" s="526">
        <f t="shared" si="13"/>
        <v>4.75</v>
      </c>
      <c r="Z59" s="4">
        <f>IFERROR(VALUE(_xll.BDH(Z$4,"PX_LAST",$Q59,$Q59)),Z60)</f>
        <v>83.43</v>
      </c>
      <c r="AA59" s="4">
        <f>IFERROR(VALUE(_xll.BDH(AA$4,"PX_LAST",$Q59,$Q59)),AA60)</f>
        <v>32.130000000000003</v>
      </c>
      <c r="AB59" s="4">
        <f>IFERROR(VALUE(_xll.BDH(AB$4,"PX_LAST",$Q59,$Q59)),AB60)</f>
        <v>118.73</v>
      </c>
      <c r="AC59" s="4">
        <f>IFERROR(VALUE(_xll.BDH(AC$4,"PX_LAST",$Q59,$Q59)),AC60)</f>
        <v>11.8</v>
      </c>
      <c r="AD59" s="4">
        <f>IFERROR(VALUE(_xll.BDH(AD$4,"PX_LAST",$Q59,$Q59)),AD60)</f>
        <v>48.88</v>
      </c>
      <c r="AF59" s="4">
        <f t="shared" si="14"/>
        <v>2.0742358078602621</v>
      </c>
      <c r="AG59" s="4">
        <f t="shared" si="15"/>
        <v>2.8252624449712158</v>
      </c>
      <c r="AH59" s="4">
        <f t="shared" si="16"/>
        <v>1.1305418719211824</v>
      </c>
      <c r="AI59" s="4">
        <f t="shared" si="17"/>
        <v>1.2728344768439108</v>
      </c>
      <c r="AJ59" s="4">
        <f t="shared" si="18"/>
        <v>1.4694894146948942</v>
      </c>
      <c r="AK59" s="4">
        <f t="shared" si="19"/>
        <v>1.6733995207120849</v>
      </c>
      <c r="AM59" s="528">
        <v>45853</v>
      </c>
      <c r="AN59" s="529">
        <v>11.49</v>
      </c>
      <c r="AO59" s="529">
        <v>0</v>
      </c>
      <c r="AP59" s="529">
        <v>0</v>
      </c>
      <c r="AQ59" s="529">
        <v>-300.72662099999997</v>
      </c>
      <c r="AR59" s="529">
        <v>0</v>
      </c>
    </row>
    <row r="60" spans="2:44">
      <c r="B60" s="530">
        <f t="shared" ca="1" si="20"/>
        <v>45566</v>
      </c>
      <c r="C60" s="526">
        <f ca="1">(IFERROR(IFERROR(VALUE(_xll.BDH(C$4,"CURRENT_EV_TO_T12M_EBITDA",$B60,$B60)),VALUE(_xll.BDH(C$4,"CURRENT_EV_TO_T12M_EBITDA",$B60+1,$B60+1))),C61))</f>
        <v>0</v>
      </c>
      <c r="D60" s="526">
        <f ca="1">(IFERROR(IFERROR(VALUE(_xll.BDH(D$4,"CURRENT_EV_TO_T12M_EBITDA",$B60,$B60)),VALUE(_xll.BDH(D$4,"CURRENT_EV_TO_T12M_EBITDA",$B60+1,$B60+1))),D61))</f>
        <v>0</v>
      </c>
      <c r="E60" s="526">
        <f ca="1">(IFERROR(IFERROR(VALUE(_xll.BDH(E$4,"CURRENT_EV_TO_T12M_EBITDA",$B60,$B60)),VALUE(_xll.BDH(E$4,"CURRENT_EV_TO_T12M_EBITDA",$B60+1,$B60+1))),E61))</f>
        <v>0</v>
      </c>
      <c r="F60" s="526">
        <f ca="1">(IFERROR(IFERROR(VALUE(_xll.BDH(F$4,"CURRENT_EV_TO_T12M_EBITDA",$B60,$B60)),VALUE(_xll.BDH(F$4,"CURRENT_EV_TO_T12M_EBITDA",$B60+1,$B60+1))),F61))</f>
        <v>0</v>
      </c>
      <c r="G60" s="526">
        <f ca="1">(IFERROR(IFERROR(VALUE(_xll.BDH(G$4,"CURRENT_EV_TO_T12M_EBITDA",$B60,$B60)),VALUE(_xll.BDH(G$4,"CURRENT_EV_TO_T12M_EBITDA",$B60+1,$B60+1))),G61))</f>
        <v>0</v>
      </c>
      <c r="H60" s="526">
        <f ca="1">(IFERROR(IFERROR(VALUE(_xll.BDH(H$4,"CURRENT_EV_TO_T12M_EBITDA",$B60,$B60)),VALUE(_xll.BDH(H$4,"CURRENT_EV_TO_T12M_EBITDA",$B60+1,$B60+1))),H61))</f>
        <v>0</v>
      </c>
      <c r="I60" s="530">
        <f t="shared" ca="1" si="12"/>
        <v>45566</v>
      </c>
      <c r="J60" s="526">
        <f ca="1">(IFERROR(IFERROR(VALUE(_xll.BDH(J$4,"PE_RATIO",$B60,$B60)),VALUE(_xll.BDH(J$4,"PE_RATIO",$B60+1,$B60+1))),J61))</f>
        <v>0</v>
      </c>
      <c r="K60" s="526">
        <f ca="1">(IFERROR(IFERROR(VALUE(_xll.BDH(K$4,"PE_RATIO",$B60,$B60)),VALUE(_xll.BDH(K$4,"PE_RATIO",$B60+1,$B60+1))),K61))</f>
        <v>0</v>
      </c>
      <c r="L60" s="526">
        <f ca="1">(IFERROR(IFERROR(VALUE(_xll.BDH(L$4,"PE_RATIO",$B60,$B60)),VALUE(_xll.BDH(L$4,"PE_RATIO",$B60+1,$B60+1))),L61))</f>
        <v>0</v>
      </c>
      <c r="M60" s="526">
        <f ca="1">(IFERROR(IFERROR(VALUE(_xll.BDH(M$4,"PE_RATIO",$B60,$B60)),VALUE(_xll.BDH(M$4,"PE_RATIO",$B60+1,$B60+1))),M61))</f>
        <v>0</v>
      </c>
      <c r="N60" s="526">
        <f ca="1">(IFERROR(IFERROR(VALUE(_xll.BDH(N$4,"PE_RATIO",$B60,$B60)),VALUE(_xll.BDH(N$4,"PE_RATIO",$B60+1,$B60+1))),N61))</f>
        <v>0</v>
      </c>
      <c r="O60" s="526">
        <f ca="1">(IFERROR(IFERROR(VALUE(_xll.BDH(O$4,"PE_RATIO",$B60,$B60)),VALUE(_xll.BDH(O$4,"PE_RATIO",$B60+1,$B60+1))),O61))</f>
        <v>0</v>
      </c>
      <c r="P60" s="526"/>
      <c r="Q60" s="530">
        <v>45523</v>
      </c>
      <c r="R60" s="4">
        <v>4.45</v>
      </c>
      <c r="S60" s="4">
        <v>19766.490000000002</v>
      </c>
      <c r="T60" s="4">
        <v>6824.7</v>
      </c>
      <c r="U60" s="4">
        <v>1.9432314410480349</v>
      </c>
      <c r="V60" s="4">
        <v>1.7563796692941513</v>
      </c>
      <c r="W60" s="4">
        <v>1.7948731435724936</v>
      </c>
      <c r="Y60" s="526">
        <f t="shared" si="13"/>
        <v>4.45</v>
      </c>
      <c r="Z60" s="4">
        <f>IFERROR(VALUE(_xll.BDH(Z$4,"PX_LAST",$Q60,$Q60)),Z61)</f>
        <v>83.52</v>
      </c>
      <c r="AA60" s="4">
        <f>IFERROR(VALUE(_xll.BDH(AA$4,"PX_LAST",$Q60,$Q60)),AA61)</f>
        <v>32.71</v>
      </c>
      <c r="AB60" s="4">
        <f>IFERROR(VALUE(_xll.BDH(AB$4,"PX_LAST",$Q60,$Q60)),AB61)</f>
        <v>113.52</v>
      </c>
      <c r="AC60" s="4">
        <f>IFERROR(VALUE(_xll.BDH(AC$4,"PX_LAST",$Q60,$Q60)),AC61)</f>
        <v>12</v>
      </c>
      <c r="AD60" s="4">
        <f>IFERROR(VALUE(_xll.BDH(AD$4,"PX_LAST",$Q60,$Q60)),AD61)</f>
        <v>47.37</v>
      </c>
      <c r="AF60" s="4">
        <f t="shared" si="14"/>
        <v>1.9432314410480349</v>
      </c>
      <c r="AG60" s="4">
        <f t="shared" si="15"/>
        <v>2.8283101930240431</v>
      </c>
      <c r="AH60" s="4">
        <f t="shared" si="16"/>
        <v>1.1509500351864883</v>
      </c>
      <c r="AI60" s="4">
        <f t="shared" si="17"/>
        <v>1.2169811320754715</v>
      </c>
      <c r="AJ60" s="4">
        <f t="shared" si="18"/>
        <v>1.4943960149439603</v>
      </c>
      <c r="AK60" s="4">
        <f t="shared" si="19"/>
        <v>1.6217048955837041</v>
      </c>
      <c r="AM60" s="528">
        <v>45852</v>
      </c>
      <c r="AN60" s="529">
        <v>11.97</v>
      </c>
      <c r="AO60" s="529">
        <v>0</v>
      </c>
      <c r="AP60" s="529">
        <v>0</v>
      </c>
      <c r="AQ60" s="529">
        <v>-313.28961299999997</v>
      </c>
      <c r="AR60" s="529">
        <v>0</v>
      </c>
    </row>
    <row r="61" spans="2:44">
      <c r="B61" s="530">
        <f t="shared" ca="1" si="20"/>
        <v>45559</v>
      </c>
      <c r="C61" s="526">
        <f ca="1">(IFERROR(IFERROR(VALUE(_xll.BDH(C$4,"CURRENT_EV_TO_T12M_EBITDA",$B61,$B61)),VALUE(_xll.BDH(C$4,"CURRENT_EV_TO_T12M_EBITDA",$B61+1,$B61+1))),C62))</f>
        <v>0</v>
      </c>
      <c r="D61" s="526">
        <f ca="1">(IFERROR(IFERROR(VALUE(_xll.BDH(D$4,"CURRENT_EV_TO_T12M_EBITDA",$B61,$B61)),VALUE(_xll.BDH(D$4,"CURRENT_EV_TO_T12M_EBITDA",$B61+1,$B61+1))),D62))</f>
        <v>0</v>
      </c>
      <c r="E61" s="526">
        <f ca="1">(IFERROR(IFERROR(VALUE(_xll.BDH(E$4,"CURRENT_EV_TO_T12M_EBITDA",$B61,$B61)),VALUE(_xll.BDH(E$4,"CURRENT_EV_TO_T12M_EBITDA",$B61+1,$B61+1))),E62))</f>
        <v>0</v>
      </c>
      <c r="F61" s="526">
        <f ca="1">(IFERROR(IFERROR(VALUE(_xll.BDH(F$4,"CURRENT_EV_TO_T12M_EBITDA",$B61,$B61)),VALUE(_xll.BDH(F$4,"CURRENT_EV_TO_T12M_EBITDA",$B61+1,$B61+1))),F62))</f>
        <v>0</v>
      </c>
      <c r="G61" s="526">
        <f ca="1">(IFERROR(IFERROR(VALUE(_xll.BDH(G$4,"CURRENT_EV_TO_T12M_EBITDA",$B61,$B61)),VALUE(_xll.BDH(G$4,"CURRENT_EV_TO_T12M_EBITDA",$B61+1,$B61+1))),G62))</f>
        <v>0</v>
      </c>
      <c r="H61" s="526">
        <f ca="1">(IFERROR(IFERROR(VALUE(_xll.BDH(H$4,"CURRENT_EV_TO_T12M_EBITDA",$B61,$B61)),VALUE(_xll.BDH(H$4,"CURRENT_EV_TO_T12M_EBITDA",$B61+1,$B61+1))),H62))</f>
        <v>0</v>
      </c>
      <c r="I61" s="530">
        <f t="shared" ca="1" si="12"/>
        <v>45559</v>
      </c>
      <c r="J61" s="526">
        <f ca="1">(IFERROR(IFERROR(VALUE(_xll.BDH(J$4,"PE_RATIO",$B61,$B61)),VALUE(_xll.BDH(J$4,"PE_RATIO",$B61+1,$B61+1))),J62))</f>
        <v>0</v>
      </c>
      <c r="K61" s="526">
        <f ca="1">(IFERROR(IFERROR(VALUE(_xll.BDH(K$4,"PE_RATIO",$B61,$B61)),VALUE(_xll.BDH(K$4,"PE_RATIO",$B61+1,$B61+1))),K62))</f>
        <v>0</v>
      </c>
      <c r="L61" s="526">
        <f ca="1">(IFERROR(IFERROR(VALUE(_xll.BDH(L$4,"PE_RATIO",$B61,$B61)),VALUE(_xll.BDH(L$4,"PE_RATIO",$B61+1,$B61+1))),L62))</f>
        <v>0</v>
      </c>
      <c r="M61" s="526">
        <f ca="1">(IFERROR(IFERROR(VALUE(_xll.BDH(M$4,"PE_RATIO",$B61,$B61)),VALUE(_xll.BDH(M$4,"PE_RATIO",$B61+1,$B61+1))),M62))</f>
        <v>0</v>
      </c>
      <c r="N61" s="526">
        <f ca="1">(IFERROR(IFERROR(VALUE(_xll.BDH(N$4,"PE_RATIO",$B61,$B61)),VALUE(_xll.BDH(N$4,"PE_RATIO",$B61+1,$B61+1))),N62))</f>
        <v>0</v>
      </c>
      <c r="O61" s="526">
        <f ca="1">(IFERROR(IFERROR(VALUE(_xll.BDH(O$4,"PE_RATIO",$B61,$B61)),VALUE(_xll.BDH(O$4,"PE_RATIO",$B61+1,$B61+1))),O62))</f>
        <v>0</v>
      </c>
      <c r="P61" s="526"/>
      <c r="Q61" s="530">
        <v>45516</v>
      </c>
      <c r="R61" s="4">
        <v>4.6100000000000003</v>
      </c>
      <c r="S61" s="4">
        <v>18542.03</v>
      </c>
      <c r="T61" s="4">
        <v>6552.47</v>
      </c>
      <c r="U61" s="4">
        <v>2.0131004366812228</v>
      </c>
      <c r="V61" s="4">
        <v>1.6475785290884839</v>
      </c>
      <c r="W61" s="4">
        <v>1.723277569279889</v>
      </c>
      <c r="Y61" s="526">
        <f t="shared" si="13"/>
        <v>4.6100000000000003</v>
      </c>
      <c r="Z61" s="4">
        <f>IFERROR(VALUE(_xll.BDH(Z$4,"PX_LAST",$Q61,$Q61)),Z62)</f>
        <v>76.489999999999995</v>
      </c>
      <c r="AA61" s="4">
        <f>IFERROR(VALUE(_xll.BDH(AA$4,"PX_LAST",$Q61,$Q61)),AA62)</f>
        <v>30.3</v>
      </c>
      <c r="AB61" s="4">
        <f>IFERROR(VALUE(_xll.BDH(AB$4,"PX_LAST",$Q61,$Q61)),AB62)</f>
        <v>106.27</v>
      </c>
      <c r="AC61" s="4">
        <f>IFERROR(VALUE(_xll.BDH(AC$4,"PX_LAST",$Q61,$Q61)),AC62)</f>
        <v>11.48</v>
      </c>
      <c r="AD61" s="4">
        <f>IFERROR(VALUE(_xll.BDH(AD$4,"PX_LAST",$Q61,$Q61)),AD62)</f>
        <v>44.4</v>
      </c>
      <c r="AF61" s="4">
        <f t="shared" si="14"/>
        <v>2.0131004366812228</v>
      </c>
      <c r="AG61" s="4">
        <f t="shared" si="15"/>
        <v>2.5902472062309512</v>
      </c>
      <c r="AH61" s="4">
        <f t="shared" si="16"/>
        <v>1.0661505981703026</v>
      </c>
      <c r="AI61" s="4">
        <f t="shared" si="17"/>
        <v>1.1392581475128645</v>
      </c>
      <c r="AJ61" s="4">
        <f t="shared" si="18"/>
        <v>1.4296388542963887</v>
      </c>
      <c r="AK61" s="4">
        <f t="shared" si="19"/>
        <v>1.5200273878808626</v>
      </c>
      <c r="AM61" s="528">
        <v>45851</v>
      </c>
      <c r="AN61" s="529">
        <v>12.27</v>
      </c>
      <c r="AO61" s="529">
        <v>-3918270</v>
      </c>
      <c r="AP61" s="529">
        <v>-52.345799999999997</v>
      </c>
      <c r="AQ61" s="529">
        <v>-963.42444899999998</v>
      </c>
      <c r="AR61" s="529">
        <v>-1.0078</v>
      </c>
    </row>
    <row r="62" spans="2:44">
      <c r="B62" s="530">
        <f t="shared" ca="1" si="20"/>
        <v>45552</v>
      </c>
      <c r="C62" s="526">
        <f ca="1">(IFERROR(IFERROR(VALUE(_xll.BDH(C$4,"CURRENT_EV_TO_T12M_EBITDA",$B62,$B62)),VALUE(_xll.BDH(C$4,"CURRENT_EV_TO_T12M_EBITDA",$B62+1,$B62+1))),C63))</f>
        <v>0</v>
      </c>
      <c r="D62" s="526">
        <f ca="1">(IFERROR(IFERROR(VALUE(_xll.BDH(D$4,"CURRENT_EV_TO_T12M_EBITDA",$B62,$B62)),VALUE(_xll.BDH(D$4,"CURRENT_EV_TO_T12M_EBITDA",$B62+1,$B62+1))),D63))</f>
        <v>0</v>
      </c>
      <c r="E62" s="526">
        <f ca="1">(IFERROR(IFERROR(VALUE(_xll.BDH(E$4,"CURRENT_EV_TO_T12M_EBITDA",$B62,$B62)),VALUE(_xll.BDH(E$4,"CURRENT_EV_TO_T12M_EBITDA",$B62+1,$B62+1))),E63))</f>
        <v>0</v>
      </c>
      <c r="F62" s="526">
        <f ca="1">(IFERROR(IFERROR(VALUE(_xll.BDH(F$4,"CURRENT_EV_TO_T12M_EBITDA",$B62,$B62)),VALUE(_xll.BDH(F$4,"CURRENT_EV_TO_T12M_EBITDA",$B62+1,$B62+1))),F63))</f>
        <v>0</v>
      </c>
      <c r="G62" s="526">
        <f ca="1">(IFERROR(IFERROR(VALUE(_xll.BDH(G$4,"CURRENT_EV_TO_T12M_EBITDA",$B62,$B62)),VALUE(_xll.BDH(G$4,"CURRENT_EV_TO_T12M_EBITDA",$B62+1,$B62+1))),G63))</f>
        <v>0</v>
      </c>
      <c r="H62" s="526">
        <f ca="1">(IFERROR(IFERROR(VALUE(_xll.BDH(H$4,"CURRENT_EV_TO_T12M_EBITDA",$B62,$B62)),VALUE(_xll.BDH(H$4,"CURRENT_EV_TO_T12M_EBITDA",$B62+1,$B62+1))),H63))</f>
        <v>0</v>
      </c>
      <c r="I62" s="530">
        <f t="shared" ca="1" si="12"/>
        <v>45552</v>
      </c>
      <c r="J62" s="526">
        <f ca="1">(IFERROR(IFERROR(VALUE(_xll.BDH(J$4,"PE_RATIO",$B62,$B62)),VALUE(_xll.BDH(J$4,"PE_RATIO",$B62+1,$B62+1))),J63))</f>
        <v>0</v>
      </c>
      <c r="K62" s="526">
        <f ca="1">(IFERROR(IFERROR(VALUE(_xll.BDH(K$4,"PE_RATIO",$B62,$B62)),VALUE(_xll.BDH(K$4,"PE_RATIO",$B62+1,$B62+1))),K63))</f>
        <v>0</v>
      </c>
      <c r="L62" s="526">
        <f ca="1">(IFERROR(IFERROR(VALUE(_xll.BDH(L$4,"PE_RATIO",$B62,$B62)),VALUE(_xll.BDH(L$4,"PE_RATIO",$B62+1,$B62+1))),L63))</f>
        <v>0</v>
      </c>
      <c r="M62" s="526">
        <f ca="1">(IFERROR(IFERROR(VALUE(_xll.BDH(M$4,"PE_RATIO",$B62,$B62)),VALUE(_xll.BDH(M$4,"PE_RATIO",$B62+1,$B62+1))),M63))</f>
        <v>0</v>
      </c>
      <c r="N62" s="526">
        <f ca="1">(IFERROR(IFERROR(VALUE(_xll.BDH(N$4,"PE_RATIO",$B62,$B62)),VALUE(_xll.BDH(N$4,"PE_RATIO",$B62+1,$B62+1))),N63))</f>
        <v>0</v>
      </c>
      <c r="O62" s="526">
        <f ca="1">(IFERROR(IFERROR(VALUE(_xll.BDH(O$4,"PE_RATIO",$B62,$B62)),VALUE(_xll.BDH(O$4,"PE_RATIO",$B62+1,$B62+1))),O63))</f>
        <v>0</v>
      </c>
      <c r="P62" s="526"/>
      <c r="Q62" s="530">
        <v>45509</v>
      </c>
      <c r="R62" s="4">
        <v>3.13</v>
      </c>
      <c r="S62" s="4">
        <v>17895.150000000001</v>
      </c>
      <c r="T62" s="4">
        <v>6309.51</v>
      </c>
      <c r="U62" s="4">
        <v>1.3668122270742358</v>
      </c>
      <c r="V62" s="4">
        <v>1.5900990838013846</v>
      </c>
      <c r="W62" s="4">
        <v>1.6593799065309955</v>
      </c>
      <c r="Y62" s="526">
        <f t="shared" si="13"/>
        <v>3.13</v>
      </c>
      <c r="Z62" s="4">
        <f>IFERROR(VALUE(_xll.BDH(Z$4,"PX_LAST",$Q62,$Q62)),Z63)</f>
        <v>74.900000000000006</v>
      </c>
      <c r="AA62" s="4">
        <f>IFERROR(VALUE(_xll.BDH(AA$4,"PX_LAST",$Q62,$Q62)),AA63)</f>
        <v>28.92</v>
      </c>
      <c r="AB62" s="4">
        <f>IFERROR(VALUE(_xll.BDH(AB$4,"PX_LAST",$Q62,$Q62)),AB63)</f>
        <v>104.7</v>
      </c>
      <c r="AC62" s="4">
        <f>IFERROR(VALUE(_xll.BDH(AC$4,"PX_LAST",$Q62,$Q62)),AC63)</f>
        <v>11.14</v>
      </c>
      <c r="AD62" s="4">
        <f>IFERROR(VALUE(_xll.BDH(AD$4,"PX_LAST",$Q62,$Q62)),AD63)</f>
        <v>44.37</v>
      </c>
      <c r="AF62" s="4">
        <f t="shared" si="14"/>
        <v>1.3668122270742358</v>
      </c>
      <c r="AG62" s="4">
        <f t="shared" si="15"/>
        <v>2.5364036572976634</v>
      </c>
      <c r="AH62" s="4">
        <f t="shared" si="16"/>
        <v>1.0175932441942295</v>
      </c>
      <c r="AI62" s="4">
        <f t="shared" si="17"/>
        <v>1.1224271012006861</v>
      </c>
      <c r="AJ62" s="4">
        <f t="shared" si="18"/>
        <v>1.3872976338729766</v>
      </c>
      <c r="AK62" s="4">
        <f t="shared" si="19"/>
        <v>1.5190003423485106</v>
      </c>
      <c r="AM62" s="528">
        <v>45850</v>
      </c>
      <c r="AN62" s="529">
        <v>12.27</v>
      </c>
      <c r="AO62" s="529">
        <v>-1959135</v>
      </c>
      <c r="AP62" s="529">
        <v>-26.172899999999998</v>
      </c>
      <c r="AQ62" s="529">
        <v>-642.28296599999999</v>
      </c>
      <c r="AR62" s="529">
        <v>-0.50390000000000001</v>
      </c>
    </row>
    <row r="63" spans="2:44">
      <c r="B63" s="530">
        <f t="shared" ca="1" si="20"/>
        <v>45545</v>
      </c>
      <c r="C63" s="526">
        <f ca="1">(IFERROR(IFERROR(VALUE(_xll.BDH(C$4,"CURRENT_EV_TO_T12M_EBITDA",$B63,$B63)),VALUE(_xll.BDH(C$4,"CURRENT_EV_TO_T12M_EBITDA",$B63+1,$B63+1))),C64))</f>
        <v>0</v>
      </c>
      <c r="D63" s="526">
        <f ca="1">(IFERROR(IFERROR(VALUE(_xll.BDH(D$4,"CURRENT_EV_TO_T12M_EBITDA",$B63,$B63)),VALUE(_xll.BDH(D$4,"CURRENT_EV_TO_T12M_EBITDA",$B63+1,$B63+1))),D64))</f>
        <v>0</v>
      </c>
      <c r="E63" s="526">
        <f ca="1">(IFERROR(IFERROR(VALUE(_xll.BDH(E$4,"CURRENT_EV_TO_T12M_EBITDA",$B63,$B63)),VALUE(_xll.BDH(E$4,"CURRENT_EV_TO_T12M_EBITDA",$B63+1,$B63+1))),E64))</f>
        <v>0</v>
      </c>
      <c r="F63" s="526">
        <f ca="1">(IFERROR(IFERROR(VALUE(_xll.BDH(F$4,"CURRENT_EV_TO_T12M_EBITDA",$B63,$B63)),VALUE(_xll.BDH(F$4,"CURRENT_EV_TO_T12M_EBITDA",$B63+1,$B63+1))),F64))</f>
        <v>0</v>
      </c>
      <c r="G63" s="526">
        <f ca="1">(IFERROR(IFERROR(VALUE(_xll.BDH(G$4,"CURRENT_EV_TO_T12M_EBITDA",$B63,$B63)),VALUE(_xll.BDH(G$4,"CURRENT_EV_TO_T12M_EBITDA",$B63+1,$B63+1))),G64))</f>
        <v>0</v>
      </c>
      <c r="H63" s="526">
        <f ca="1">(IFERROR(IFERROR(VALUE(_xll.BDH(H$4,"CURRENT_EV_TO_T12M_EBITDA",$B63,$B63)),VALUE(_xll.BDH(H$4,"CURRENT_EV_TO_T12M_EBITDA",$B63+1,$B63+1))),H64))</f>
        <v>0</v>
      </c>
      <c r="I63" s="530">
        <f t="shared" ca="1" si="12"/>
        <v>45545</v>
      </c>
      <c r="J63" s="526">
        <f ca="1">(IFERROR(IFERROR(VALUE(_xll.BDH(J$4,"PE_RATIO",$B63,$B63)),VALUE(_xll.BDH(J$4,"PE_RATIO",$B63+1,$B63+1))),J64))</f>
        <v>0</v>
      </c>
      <c r="K63" s="526">
        <f ca="1">(IFERROR(IFERROR(VALUE(_xll.BDH(K$4,"PE_RATIO",$B63,$B63)),VALUE(_xll.BDH(K$4,"PE_RATIO",$B63+1,$B63+1))),K64))</f>
        <v>0</v>
      </c>
      <c r="L63" s="526">
        <f ca="1">(IFERROR(IFERROR(VALUE(_xll.BDH(L$4,"PE_RATIO",$B63,$B63)),VALUE(_xll.BDH(L$4,"PE_RATIO",$B63+1,$B63+1))),L64))</f>
        <v>0</v>
      </c>
      <c r="M63" s="526">
        <f ca="1">(IFERROR(IFERROR(VALUE(_xll.BDH(M$4,"PE_RATIO",$B63,$B63)),VALUE(_xll.BDH(M$4,"PE_RATIO",$B63+1,$B63+1))),M64))</f>
        <v>0</v>
      </c>
      <c r="N63" s="526">
        <f ca="1">(IFERROR(IFERROR(VALUE(_xll.BDH(N$4,"PE_RATIO",$B63,$B63)),VALUE(_xll.BDH(N$4,"PE_RATIO",$B63+1,$B63+1))),N64))</f>
        <v>0</v>
      </c>
      <c r="O63" s="526">
        <f ca="1">(IFERROR(IFERROR(VALUE(_xll.BDH(O$4,"PE_RATIO",$B63,$B63)),VALUE(_xll.BDH(O$4,"PE_RATIO",$B63+1,$B63+1))),O64))</f>
        <v>0</v>
      </c>
      <c r="P63" s="526"/>
      <c r="Q63" s="530">
        <v>45502</v>
      </c>
      <c r="R63" s="4">
        <v>3.84</v>
      </c>
      <c r="S63" s="4">
        <v>19059.490000000002</v>
      </c>
      <c r="T63" s="4">
        <v>6784.1</v>
      </c>
      <c r="U63" s="4">
        <v>1.6768558951965065</v>
      </c>
      <c r="V63" s="4">
        <v>1.6935581756353901</v>
      </c>
      <c r="W63" s="4">
        <v>1.7841954801398092</v>
      </c>
      <c r="Y63" s="526">
        <f t="shared" si="13"/>
        <v>3.84</v>
      </c>
      <c r="Z63" s="4">
        <f>IFERROR(VALUE(_xll.BDH(Z$4,"PX_LAST",$Q63,$Q63)),Z64)</f>
        <v>82.3</v>
      </c>
      <c r="AA63" s="4">
        <f>IFERROR(VALUE(_xll.BDH(AA$4,"PX_LAST",$Q63,$Q63)),AA64)</f>
        <v>31.55</v>
      </c>
      <c r="AB63" s="4">
        <f>IFERROR(VALUE(_xll.BDH(AB$4,"PX_LAST",$Q63,$Q63)),AB64)</f>
        <v>122.52</v>
      </c>
      <c r="AC63" s="4">
        <f>IFERROR(VALUE(_xll.BDH(AC$4,"PX_LAST",$Q63,$Q63)),AC64)</f>
        <v>10.119999999999999</v>
      </c>
      <c r="AD63" s="4">
        <f>IFERROR(VALUE(_xll.BDH(AD$4,"PX_LAST",$Q63,$Q63)),AD64)</f>
        <v>52.28</v>
      </c>
      <c r="AF63" s="4">
        <f t="shared" si="14"/>
        <v>1.6768558951965065</v>
      </c>
      <c r="AG63" s="4">
        <f t="shared" si="15"/>
        <v>2.786996274974602</v>
      </c>
      <c r="AH63" s="4">
        <f t="shared" si="16"/>
        <v>1.110133708655876</v>
      </c>
      <c r="AI63" s="4">
        <f t="shared" si="17"/>
        <v>1.3134648370497426</v>
      </c>
      <c r="AJ63" s="4">
        <f t="shared" si="18"/>
        <v>1.2602739726027397</v>
      </c>
      <c r="AK63" s="4">
        <f t="shared" si="19"/>
        <v>1.7897980143786374</v>
      </c>
      <c r="AM63" s="528">
        <v>45849</v>
      </c>
      <c r="AN63" s="529">
        <v>12.27</v>
      </c>
      <c r="AO63" s="529">
        <v>0</v>
      </c>
      <c r="AP63" s="529">
        <v>0</v>
      </c>
      <c r="AQ63" s="529">
        <v>-321.14148299999999</v>
      </c>
      <c r="AR63" s="529">
        <v>0</v>
      </c>
    </row>
    <row r="64" spans="2:44">
      <c r="B64" s="530">
        <f t="shared" ca="1" si="20"/>
        <v>45538</v>
      </c>
      <c r="C64" s="526">
        <f ca="1">(IFERROR(IFERROR(VALUE(_xll.BDH(C$4,"CURRENT_EV_TO_T12M_EBITDA",$B64,$B64)),VALUE(_xll.BDH(C$4,"CURRENT_EV_TO_T12M_EBITDA",$B64+1,$B64+1))),C65))</f>
        <v>0</v>
      </c>
      <c r="D64" s="526">
        <f ca="1">(IFERROR(IFERROR(VALUE(_xll.BDH(D$4,"CURRENT_EV_TO_T12M_EBITDA",$B64,$B64)),VALUE(_xll.BDH(D$4,"CURRENT_EV_TO_T12M_EBITDA",$B64+1,$B64+1))),D65))</f>
        <v>0</v>
      </c>
      <c r="E64" s="526">
        <f ca="1">(IFERROR(IFERROR(VALUE(_xll.BDH(E$4,"CURRENT_EV_TO_T12M_EBITDA",$B64,$B64)),VALUE(_xll.BDH(E$4,"CURRENT_EV_TO_T12M_EBITDA",$B64+1,$B64+1))),E65))</f>
        <v>0</v>
      </c>
      <c r="F64" s="526">
        <f ca="1">(IFERROR(IFERROR(VALUE(_xll.BDH(F$4,"CURRENT_EV_TO_T12M_EBITDA",$B64,$B64)),VALUE(_xll.BDH(F$4,"CURRENT_EV_TO_T12M_EBITDA",$B64+1,$B64+1))),F65))</f>
        <v>0</v>
      </c>
      <c r="G64" s="526">
        <f ca="1">(IFERROR(IFERROR(VALUE(_xll.BDH(G$4,"CURRENT_EV_TO_T12M_EBITDA",$B64,$B64)),VALUE(_xll.BDH(G$4,"CURRENT_EV_TO_T12M_EBITDA",$B64+1,$B64+1))),G65))</f>
        <v>0</v>
      </c>
      <c r="H64" s="526">
        <f ca="1">(IFERROR(IFERROR(VALUE(_xll.BDH(H$4,"CURRENT_EV_TO_T12M_EBITDA",$B64,$B64)),VALUE(_xll.BDH(H$4,"CURRENT_EV_TO_T12M_EBITDA",$B64+1,$B64+1))),H65))</f>
        <v>0</v>
      </c>
      <c r="I64" s="530">
        <f t="shared" ca="1" si="12"/>
        <v>45538</v>
      </c>
      <c r="J64" s="526">
        <f ca="1">(IFERROR(IFERROR(VALUE(_xll.BDH(J$4,"PE_RATIO",$B64,$B64)),VALUE(_xll.BDH(J$4,"PE_RATIO",$B64+1,$B64+1))),J65))</f>
        <v>0</v>
      </c>
      <c r="K64" s="526">
        <f ca="1">(IFERROR(IFERROR(VALUE(_xll.BDH(K$4,"PE_RATIO",$B64,$B64)),VALUE(_xll.BDH(K$4,"PE_RATIO",$B64+1,$B64+1))),K65))</f>
        <v>0</v>
      </c>
      <c r="L64" s="526">
        <f ca="1">(IFERROR(IFERROR(VALUE(_xll.BDH(L$4,"PE_RATIO",$B64,$B64)),VALUE(_xll.BDH(L$4,"PE_RATIO",$B64+1,$B64+1))),L65))</f>
        <v>0</v>
      </c>
      <c r="M64" s="526">
        <f ca="1">(IFERROR(IFERROR(VALUE(_xll.BDH(M$4,"PE_RATIO",$B64,$B64)),VALUE(_xll.BDH(M$4,"PE_RATIO",$B64+1,$B64+1))),M65))</f>
        <v>0</v>
      </c>
      <c r="N64" s="526">
        <f ca="1">(IFERROR(IFERROR(VALUE(_xll.BDH(N$4,"PE_RATIO",$B64,$B64)),VALUE(_xll.BDH(N$4,"PE_RATIO",$B64+1,$B64+1))),N65))</f>
        <v>0</v>
      </c>
      <c r="O64" s="526">
        <f ca="1">(IFERROR(IFERROR(VALUE(_xll.BDH(O$4,"PE_RATIO",$B64,$B64)),VALUE(_xll.BDH(O$4,"PE_RATIO",$B64+1,$B64+1))),O65))</f>
        <v>0</v>
      </c>
      <c r="P64" s="526"/>
      <c r="Q64" s="530">
        <v>45495</v>
      </c>
      <c r="R64" s="4">
        <v>3.91</v>
      </c>
      <c r="S64" s="4">
        <v>19822.87</v>
      </c>
      <c r="T64" s="4">
        <v>6986.5</v>
      </c>
      <c r="U64" s="4">
        <v>1.7074235807860263</v>
      </c>
      <c r="V64" s="4">
        <v>1.7613893946300505</v>
      </c>
      <c r="W64" s="4">
        <v>1.8374259993214688</v>
      </c>
      <c r="Y64" s="526">
        <f t="shared" si="13"/>
        <v>3.91</v>
      </c>
      <c r="Z64" s="4">
        <f>IFERROR(VALUE(_xll.BDH(Z$4,"PX_LAST",$Q64,$Q64)),Z65)</f>
        <v>73.59</v>
      </c>
      <c r="AA64" s="4">
        <f>IFERROR(VALUE(_xll.BDH(AA$4,"PX_LAST",$Q64,$Q64)),AA65)</f>
        <v>30.59</v>
      </c>
      <c r="AB64" s="4">
        <f>IFERROR(VALUE(_xll.BDH(AB$4,"PX_LAST",$Q64,$Q64)),AB65)</f>
        <v>141.52000000000001</v>
      </c>
      <c r="AC64" s="4">
        <f>IFERROR(VALUE(_xll.BDH(AC$4,"PX_LAST",$Q64,$Q64)),AC65)</f>
        <v>10.1</v>
      </c>
      <c r="AD64" s="4">
        <f>IFERROR(VALUE(_xll.BDH(AD$4,"PX_LAST",$Q64,$Q64)),AD65)</f>
        <v>51.44</v>
      </c>
      <c r="AF64" s="4">
        <f t="shared" si="14"/>
        <v>1.7074235807860263</v>
      </c>
      <c r="AG64" s="4">
        <f t="shared" si="15"/>
        <v>2.4920419911953946</v>
      </c>
      <c r="AH64" s="4">
        <f t="shared" si="16"/>
        <v>1.0763546798029555</v>
      </c>
      <c r="AI64" s="4">
        <f t="shared" si="17"/>
        <v>1.5171526586620927</v>
      </c>
      <c r="AJ64" s="4">
        <f t="shared" si="18"/>
        <v>1.2577833125778333</v>
      </c>
      <c r="AK64" s="4">
        <f t="shared" si="19"/>
        <v>1.7610407394727832</v>
      </c>
      <c r="AM64" s="528">
        <v>45848</v>
      </c>
      <c r="AN64" s="529">
        <v>13.35</v>
      </c>
      <c r="AO64" s="529">
        <v>0</v>
      </c>
      <c r="AP64" s="529">
        <v>0</v>
      </c>
      <c r="AQ64" s="529">
        <v>-349.40821499999998</v>
      </c>
      <c r="AR64" s="529">
        <v>0</v>
      </c>
    </row>
    <row r="65" spans="2:44">
      <c r="B65" s="530">
        <f t="shared" ca="1" si="20"/>
        <v>45531</v>
      </c>
      <c r="C65" s="526">
        <f ca="1">(IFERROR(IFERROR(VALUE(_xll.BDH(C$4,"CURRENT_EV_TO_T12M_EBITDA",$B65,$B65)),VALUE(_xll.BDH(C$4,"CURRENT_EV_TO_T12M_EBITDA",$B65+1,$B65+1))),C66))</f>
        <v>0</v>
      </c>
      <c r="D65" s="526">
        <f ca="1">(IFERROR(IFERROR(VALUE(_xll.BDH(D$4,"CURRENT_EV_TO_T12M_EBITDA",$B65,$B65)),VALUE(_xll.BDH(D$4,"CURRENT_EV_TO_T12M_EBITDA",$B65+1,$B65+1))),D66))</f>
        <v>0</v>
      </c>
      <c r="E65" s="526">
        <f ca="1">(IFERROR(IFERROR(VALUE(_xll.BDH(E$4,"CURRENT_EV_TO_T12M_EBITDA",$B65,$B65)),VALUE(_xll.BDH(E$4,"CURRENT_EV_TO_T12M_EBITDA",$B65+1,$B65+1))),E66))</f>
        <v>0</v>
      </c>
      <c r="F65" s="526">
        <f ca="1">(IFERROR(IFERROR(VALUE(_xll.BDH(F$4,"CURRENT_EV_TO_T12M_EBITDA",$B65,$B65)),VALUE(_xll.BDH(F$4,"CURRENT_EV_TO_T12M_EBITDA",$B65+1,$B65+1))),F66))</f>
        <v>0</v>
      </c>
      <c r="G65" s="526">
        <f ca="1">(IFERROR(IFERROR(VALUE(_xll.BDH(G$4,"CURRENT_EV_TO_T12M_EBITDA",$B65,$B65)),VALUE(_xll.BDH(G$4,"CURRENT_EV_TO_T12M_EBITDA",$B65+1,$B65+1))),G66))</f>
        <v>0</v>
      </c>
      <c r="H65" s="526">
        <f ca="1">(IFERROR(IFERROR(VALUE(_xll.BDH(H$4,"CURRENT_EV_TO_T12M_EBITDA",$B65,$B65)),VALUE(_xll.BDH(H$4,"CURRENT_EV_TO_T12M_EBITDA",$B65+1,$B65+1))),H66))</f>
        <v>0</v>
      </c>
      <c r="I65" s="530">
        <f t="shared" ca="1" si="12"/>
        <v>45531</v>
      </c>
      <c r="J65" s="526">
        <f ca="1">(IFERROR(IFERROR(VALUE(_xll.BDH(J$4,"PE_RATIO",$B65,$B65)),VALUE(_xll.BDH(J$4,"PE_RATIO",$B65+1,$B65+1))),J66))</f>
        <v>0</v>
      </c>
      <c r="K65" s="526">
        <f ca="1">(IFERROR(IFERROR(VALUE(_xll.BDH(K$4,"PE_RATIO",$B65,$B65)),VALUE(_xll.BDH(K$4,"PE_RATIO",$B65+1,$B65+1))),K66))</f>
        <v>0</v>
      </c>
      <c r="L65" s="526">
        <f ca="1">(IFERROR(IFERROR(VALUE(_xll.BDH(L$4,"PE_RATIO",$B65,$B65)),VALUE(_xll.BDH(L$4,"PE_RATIO",$B65+1,$B65+1))),L66))</f>
        <v>0</v>
      </c>
      <c r="M65" s="526">
        <f ca="1">(IFERROR(IFERROR(VALUE(_xll.BDH(M$4,"PE_RATIO",$B65,$B65)),VALUE(_xll.BDH(M$4,"PE_RATIO",$B65+1,$B65+1))),M66))</f>
        <v>0</v>
      </c>
      <c r="N65" s="526">
        <f ca="1">(IFERROR(IFERROR(VALUE(_xll.BDH(N$4,"PE_RATIO",$B65,$B65)),VALUE(_xll.BDH(N$4,"PE_RATIO",$B65+1,$B65+1))),N66))</f>
        <v>0</v>
      </c>
      <c r="O65" s="526">
        <f ca="1">(IFERROR(IFERROR(VALUE(_xll.BDH(O$4,"PE_RATIO",$B65,$B65)),VALUE(_xll.BDH(O$4,"PE_RATIO",$B65+1,$B65+1))),O66))</f>
        <v>0</v>
      </c>
      <c r="P65" s="526"/>
      <c r="Q65" s="530">
        <v>45488</v>
      </c>
      <c r="R65" s="4">
        <v>3.81</v>
      </c>
      <c r="S65" s="4">
        <v>20386.88</v>
      </c>
      <c r="T65" s="4">
        <v>7180.5</v>
      </c>
      <c r="U65" s="4">
        <v>1.6637554585152838</v>
      </c>
      <c r="V65" s="4">
        <v>1.8115053078386474</v>
      </c>
      <c r="W65" s="4">
        <v>1.8884473467584351</v>
      </c>
      <c r="Y65" s="526">
        <f t="shared" si="13"/>
        <v>3.81</v>
      </c>
      <c r="Z65" s="4">
        <f>IFERROR(VALUE(_xll.BDH(Z$4,"PX_LAST",$Q65,$Q65)),Z66)</f>
        <v>68.3</v>
      </c>
      <c r="AA65" s="4">
        <f>IFERROR(VALUE(_xll.BDH(AA$4,"PX_LAST",$Q65,$Q65)),AA66)</f>
        <v>27.54</v>
      </c>
      <c r="AB65" s="4">
        <f>IFERROR(VALUE(_xll.BDH(AB$4,"PX_LAST",$Q65,$Q65)),AB66)</f>
        <v>136.57</v>
      </c>
      <c r="AC65" s="4">
        <f>IFERROR(VALUE(_xll.BDH(AC$4,"PX_LAST",$Q65,$Q65)),AC66)</f>
        <v>10.130000000000001</v>
      </c>
      <c r="AD65" s="4">
        <f>IFERROR(VALUE(_xll.BDH(AD$4,"PX_LAST",$Q65,$Q65)),AD66)</f>
        <v>51.35</v>
      </c>
      <c r="AF65" s="4">
        <f t="shared" si="14"/>
        <v>1.6637554585152838</v>
      </c>
      <c r="AG65" s="4">
        <f t="shared" si="15"/>
        <v>2.3129021334236368</v>
      </c>
      <c r="AH65" s="4">
        <f t="shared" si="16"/>
        <v>0.96903589021815617</v>
      </c>
      <c r="AI65" s="4">
        <f t="shared" si="17"/>
        <v>1.4640866209262435</v>
      </c>
      <c r="AJ65" s="4">
        <f t="shared" si="18"/>
        <v>1.2615193026151932</v>
      </c>
      <c r="AK65" s="4">
        <f t="shared" si="19"/>
        <v>1.7579596028757274</v>
      </c>
      <c r="AM65" s="528">
        <v>45847</v>
      </c>
      <c r="AN65" s="529">
        <v>13.69</v>
      </c>
      <c r="AO65" s="529">
        <v>0</v>
      </c>
      <c r="AP65" s="529">
        <v>0</v>
      </c>
      <c r="AQ65" s="529">
        <v>-358.30700099999996</v>
      </c>
      <c r="AR65" s="529">
        <v>0</v>
      </c>
    </row>
    <row r="66" spans="2:44">
      <c r="B66" s="530">
        <f t="shared" ca="1" si="20"/>
        <v>45524</v>
      </c>
      <c r="C66" s="526">
        <f ca="1">(IFERROR(IFERROR(VALUE(_xll.BDH(C$4,"CURRENT_EV_TO_T12M_EBITDA",$B66,$B66)),VALUE(_xll.BDH(C$4,"CURRENT_EV_TO_T12M_EBITDA",$B66+1,$B66+1))),C67))</f>
        <v>0</v>
      </c>
      <c r="D66" s="526">
        <f ca="1">(IFERROR(IFERROR(VALUE(_xll.BDH(D$4,"CURRENT_EV_TO_T12M_EBITDA",$B66,$B66)),VALUE(_xll.BDH(D$4,"CURRENT_EV_TO_T12M_EBITDA",$B66+1,$B66+1))),D67))</f>
        <v>0</v>
      </c>
      <c r="E66" s="526">
        <f ca="1">(IFERROR(IFERROR(VALUE(_xll.BDH(E$4,"CURRENT_EV_TO_T12M_EBITDA",$B66,$B66)),VALUE(_xll.BDH(E$4,"CURRENT_EV_TO_T12M_EBITDA",$B66+1,$B66+1))),E67))</f>
        <v>0</v>
      </c>
      <c r="F66" s="526">
        <f ca="1">(IFERROR(IFERROR(VALUE(_xll.BDH(F$4,"CURRENT_EV_TO_T12M_EBITDA",$B66,$B66)),VALUE(_xll.BDH(F$4,"CURRENT_EV_TO_T12M_EBITDA",$B66+1,$B66+1))),F67))</f>
        <v>0</v>
      </c>
      <c r="G66" s="526">
        <f ca="1">(IFERROR(IFERROR(VALUE(_xll.BDH(G$4,"CURRENT_EV_TO_T12M_EBITDA",$B66,$B66)),VALUE(_xll.BDH(G$4,"CURRENT_EV_TO_T12M_EBITDA",$B66+1,$B66+1))),G67))</f>
        <v>0</v>
      </c>
      <c r="H66" s="526">
        <f ca="1">(IFERROR(IFERROR(VALUE(_xll.BDH(H$4,"CURRENT_EV_TO_T12M_EBITDA",$B66,$B66)),VALUE(_xll.BDH(H$4,"CURRENT_EV_TO_T12M_EBITDA",$B66+1,$B66+1))),H67))</f>
        <v>0</v>
      </c>
      <c r="I66" s="530">
        <f t="shared" ca="1" si="12"/>
        <v>45524</v>
      </c>
      <c r="J66" s="526">
        <f ca="1">(IFERROR(IFERROR(VALUE(_xll.BDH(J$4,"PE_RATIO",$B66,$B66)),VALUE(_xll.BDH(J$4,"PE_RATIO",$B66+1,$B66+1))),J67))</f>
        <v>0</v>
      </c>
      <c r="K66" s="526">
        <f ca="1">(IFERROR(IFERROR(VALUE(_xll.BDH(K$4,"PE_RATIO",$B66,$B66)),VALUE(_xll.BDH(K$4,"PE_RATIO",$B66+1,$B66+1))),K67))</f>
        <v>0</v>
      </c>
      <c r="L66" s="526">
        <f ca="1">(IFERROR(IFERROR(VALUE(_xll.BDH(L$4,"PE_RATIO",$B66,$B66)),VALUE(_xll.BDH(L$4,"PE_RATIO",$B66+1,$B66+1))),L67))</f>
        <v>0</v>
      </c>
      <c r="M66" s="526">
        <f ca="1">(IFERROR(IFERROR(VALUE(_xll.BDH(M$4,"PE_RATIO",$B66,$B66)),VALUE(_xll.BDH(M$4,"PE_RATIO",$B66+1,$B66+1))),M67))</f>
        <v>0</v>
      </c>
      <c r="N66" s="526">
        <f ca="1">(IFERROR(IFERROR(VALUE(_xll.BDH(N$4,"PE_RATIO",$B66,$B66)),VALUE(_xll.BDH(N$4,"PE_RATIO",$B66+1,$B66+1))),N67))</f>
        <v>0</v>
      </c>
      <c r="O66" s="526">
        <f ca="1">(IFERROR(IFERROR(VALUE(_xll.BDH(O$4,"PE_RATIO",$B66,$B66)),VALUE(_xll.BDH(O$4,"PE_RATIO",$B66+1,$B66+1))),O67))</f>
        <v>0</v>
      </c>
      <c r="P66" s="526"/>
      <c r="Q66" s="530">
        <v>45481</v>
      </c>
      <c r="R66" s="4">
        <v>3.52</v>
      </c>
      <c r="S66" s="4">
        <v>20439.54</v>
      </c>
      <c r="T66" s="4">
        <v>7324.69</v>
      </c>
      <c r="U66" s="4">
        <v>1.537117903930131</v>
      </c>
      <c r="V66" s="4">
        <v>1.8161844872673183</v>
      </c>
      <c r="W66" s="4">
        <v>1.926368831742642</v>
      </c>
      <c r="Y66" s="526">
        <f t="shared" si="13"/>
        <v>3.52</v>
      </c>
      <c r="Z66" s="4">
        <f>IFERROR(VALUE(_xll.BDH(Z$4,"PX_LAST",$Q66,$Q66)),Z67)</f>
        <v>61.49</v>
      </c>
      <c r="AA66" s="4">
        <f>IFERROR(VALUE(_xll.BDH(AA$4,"PX_LAST",$Q66,$Q66)),AA67)</f>
        <v>27.4</v>
      </c>
      <c r="AB66" s="4">
        <f>IFERROR(VALUE(_xll.BDH(AB$4,"PX_LAST",$Q66,$Q66)),AB67)</f>
        <v>126.1</v>
      </c>
      <c r="AC66" s="4">
        <f>IFERROR(VALUE(_xll.BDH(AC$4,"PX_LAST",$Q66,$Q66)),AC67)</f>
        <v>9.99</v>
      </c>
      <c r="AD66" s="4">
        <f>IFERROR(VALUE(_xll.BDH(AD$4,"PX_LAST",$Q66,$Q66)),AD67)</f>
        <v>47.73</v>
      </c>
      <c r="AF66" s="4">
        <f t="shared" si="14"/>
        <v>1.537117903930131</v>
      </c>
      <c r="AG66" s="4">
        <f t="shared" si="15"/>
        <v>2.0822891974263462</v>
      </c>
      <c r="AH66" s="4">
        <f t="shared" si="16"/>
        <v>0.96410978184377183</v>
      </c>
      <c r="AI66" s="4">
        <f t="shared" si="17"/>
        <v>1.3518439108061748</v>
      </c>
      <c r="AJ66" s="4">
        <f t="shared" si="18"/>
        <v>1.2440846824408469</v>
      </c>
      <c r="AK66" s="4">
        <f t="shared" si="19"/>
        <v>1.6340294419719272</v>
      </c>
      <c r="AM66" s="528">
        <v>45846</v>
      </c>
      <c r="AN66" s="529">
        <v>14.25</v>
      </c>
      <c r="AO66" s="529">
        <v>0</v>
      </c>
      <c r="AP66" s="529">
        <v>0</v>
      </c>
      <c r="AQ66" s="529">
        <v>-372.96382499999999</v>
      </c>
      <c r="AR66" s="529">
        <v>0</v>
      </c>
    </row>
    <row r="67" spans="2:44">
      <c r="B67" s="530">
        <f t="shared" ca="1" si="20"/>
        <v>45517</v>
      </c>
      <c r="C67" s="526">
        <f ca="1">(IFERROR(IFERROR(VALUE(_xll.BDH(C$4,"CURRENT_EV_TO_T12M_EBITDA",$B67,$B67)),VALUE(_xll.BDH(C$4,"CURRENT_EV_TO_T12M_EBITDA",$B67+1,$B67+1))),C68))</f>
        <v>0</v>
      </c>
      <c r="D67" s="526">
        <f ca="1">(IFERROR(IFERROR(VALUE(_xll.BDH(D$4,"CURRENT_EV_TO_T12M_EBITDA",$B67,$B67)),VALUE(_xll.BDH(D$4,"CURRENT_EV_TO_T12M_EBITDA",$B67+1,$B67+1))),D68))</f>
        <v>0</v>
      </c>
      <c r="E67" s="526">
        <f ca="1">(IFERROR(IFERROR(VALUE(_xll.BDH(E$4,"CURRENT_EV_TO_T12M_EBITDA",$B67,$B67)),VALUE(_xll.BDH(E$4,"CURRENT_EV_TO_T12M_EBITDA",$B67+1,$B67+1))),E68))</f>
        <v>0</v>
      </c>
      <c r="F67" s="526">
        <f ca="1">(IFERROR(IFERROR(VALUE(_xll.BDH(F$4,"CURRENT_EV_TO_T12M_EBITDA",$B67,$B67)),VALUE(_xll.BDH(F$4,"CURRENT_EV_TO_T12M_EBITDA",$B67+1,$B67+1))),F68))</f>
        <v>0</v>
      </c>
      <c r="G67" s="526">
        <f ca="1">(IFERROR(IFERROR(VALUE(_xll.BDH(G$4,"CURRENT_EV_TO_T12M_EBITDA",$B67,$B67)),VALUE(_xll.BDH(G$4,"CURRENT_EV_TO_T12M_EBITDA",$B67+1,$B67+1))),G68))</f>
        <v>0</v>
      </c>
      <c r="H67" s="526">
        <f ca="1">(IFERROR(IFERROR(VALUE(_xll.BDH(H$4,"CURRENT_EV_TO_T12M_EBITDA",$B67,$B67)),VALUE(_xll.BDH(H$4,"CURRENT_EV_TO_T12M_EBITDA",$B67+1,$B67+1))),H68))</f>
        <v>0</v>
      </c>
      <c r="I67" s="530">
        <f t="shared" ca="1" si="12"/>
        <v>45517</v>
      </c>
      <c r="J67" s="526">
        <f ca="1">(IFERROR(IFERROR(VALUE(_xll.BDH(J$4,"PE_RATIO",$B67,$B67)),VALUE(_xll.BDH(J$4,"PE_RATIO",$B67+1,$B67+1))),J68))</f>
        <v>0</v>
      </c>
      <c r="K67" s="526">
        <f ca="1">(IFERROR(IFERROR(VALUE(_xll.BDH(K$4,"PE_RATIO",$B67,$B67)),VALUE(_xll.BDH(K$4,"PE_RATIO",$B67+1,$B67+1))),K68))</f>
        <v>0</v>
      </c>
      <c r="L67" s="526">
        <f ca="1">(IFERROR(IFERROR(VALUE(_xll.BDH(L$4,"PE_RATIO",$B67,$B67)),VALUE(_xll.BDH(L$4,"PE_RATIO",$B67+1,$B67+1))),L68))</f>
        <v>0</v>
      </c>
      <c r="M67" s="526">
        <f ca="1">(IFERROR(IFERROR(VALUE(_xll.BDH(M$4,"PE_RATIO",$B67,$B67)),VALUE(_xll.BDH(M$4,"PE_RATIO",$B67+1,$B67+1))),M68))</f>
        <v>0</v>
      </c>
      <c r="N67" s="526">
        <f ca="1">(IFERROR(IFERROR(VALUE(_xll.BDH(N$4,"PE_RATIO",$B67,$B67)),VALUE(_xll.BDH(N$4,"PE_RATIO",$B67+1,$B67+1))),N68))</f>
        <v>0</v>
      </c>
      <c r="O67" s="526">
        <f ca="1">(IFERROR(IFERROR(VALUE(_xll.BDH(O$4,"PE_RATIO",$B67,$B67)),VALUE(_xll.BDH(O$4,"PE_RATIO",$B67+1,$B67+1))),O68))</f>
        <v>0</v>
      </c>
      <c r="P67" s="526"/>
      <c r="Q67" s="530">
        <v>45474</v>
      </c>
      <c r="R67" s="4">
        <v>3.52</v>
      </c>
      <c r="S67" s="4">
        <v>19812.22</v>
      </c>
      <c r="T67" s="4">
        <v>7205.63</v>
      </c>
      <c r="U67" s="4">
        <v>1.537117903930131</v>
      </c>
      <c r="V67" s="4">
        <v>1.7604430736859689</v>
      </c>
      <c r="W67" s="4">
        <v>1.895056452227976</v>
      </c>
      <c r="Y67" s="526">
        <f t="shared" si="13"/>
        <v>3.52</v>
      </c>
      <c r="Z67" s="4">
        <f>IFERROR(VALUE(_xll.BDH(Z$4,"PX_LAST",$Q67,$Q67)),Z68)</f>
        <v>62.05</v>
      </c>
      <c r="AA67" s="4">
        <f>IFERROR(VALUE(_xll.BDH(AA$4,"PX_LAST",$Q67,$Q67)),AA68)</f>
        <v>28.39</v>
      </c>
      <c r="AB67" s="4">
        <f>IFERROR(VALUE(_xll.BDH(AB$4,"PX_LAST",$Q67,$Q67)),AB68)</f>
        <v>125.05</v>
      </c>
      <c r="AC67" s="4">
        <f>IFERROR(VALUE(_xll.BDH(AC$4,"PX_LAST",$Q67,$Q67)),AC68)</f>
        <v>10.34</v>
      </c>
      <c r="AD67" s="4">
        <f>IFERROR(VALUE(_xll.BDH(AD$4,"PX_LAST",$Q67,$Q67)),AD68)</f>
        <v>48.27</v>
      </c>
      <c r="AF67" s="4">
        <f t="shared" si="14"/>
        <v>1.537117903930131</v>
      </c>
      <c r="AG67" s="4">
        <f t="shared" si="15"/>
        <v>2.1012529630883847</v>
      </c>
      <c r="AH67" s="4">
        <f t="shared" si="16"/>
        <v>0.99894440534834616</v>
      </c>
      <c r="AI67" s="4">
        <f t="shared" si="17"/>
        <v>1.3405874785591767</v>
      </c>
      <c r="AJ67" s="4">
        <f t="shared" si="18"/>
        <v>1.2876712328767124</v>
      </c>
      <c r="AK67" s="4">
        <f t="shared" si="19"/>
        <v>1.6525162615542623</v>
      </c>
      <c r="AM67" s="528">
        <v>45845</v>
      </c>
      <c r="AN67" s="529">
        <v>14.23</v>
      </c>
      <c r="AO67" s="529">
        <v>0</v>
      </c>
      <c r="AP67" s="529">
        <v>0</v>
      </c>
      <c r="AQ67" s="529">
        <v>-372.44036699999998</v>
      </c>
      <c r="AR67" s="529">
        <v>0</v>
      </c>
    </row>
    <row r="68" spans="2:44">
      <c r="B68" s="530">
        <f t="shared" ca="1" si="20"/>
        <v>45510</v>
      </c>
      <c r="C68" s="526">
        <f ca="1">(IFERROR(IFERROR(VALUE(_xll.BDH(C$4,"CURRENT_EV_TO_T12M_EBITDA",$B68,$B68)),VALUE(_xll.BDH(C$4,"CURRENT_EV_TO_T12M_EBITDA",$B68+1,$B68+1))),C69))</f>
        <v>0</v>
      </c>
      <c r="D68" s="526">
        <f ca="1">(IFERROR(IFERROR(VALUE(_xll.BDH(D$4,"CURRENT_EV_TO_T12M_EBITDA",$B68,$B68)),VALUE(_xll.BDH(D$4,"CURRENT_EV_TO_T12M_EBITDA",$B68+1,$B68+1))),D69))</f>
        <v>0</v>
      </c>
      <c r="E68" s="526">
        <f ca="1">(IFERROR(IFERROR(VALUE(_xll.BDH(E$4,"CURRENT_EV_TO_T12M_EBITDA",$B68,$B68)),VALUE(_xll.BDH(E$4,"CURRENT_EV_TO_T12M_EBITDA",$B68+1,$B68+1))),E69))</f>
        <v>0</v>
      </c>
      <c r="F68" s="526">
        <f ca="1">(IFERROR(IFERROR(VALUE(_xll.BDH(F$4,"CURRENT_EV_TO_T12M_EBITDA",$B68,$B68)),VALUE(_xll.BDH(F$4,"CURRENT_EV_TO_T12M_EBITDA",$B68+1,$B68+1))),F69))</f>
        <v>0</v>
      </c>
      <c r="G68" s="526">
        <f ca="1">(IFERROR(IFERROR(VALUE(_xll.BDH(G$4,"CURRENT_EV_TO_T12M_EBITDA",$B68,$B68)),VALUE(_xll.BDH(G$4,"CURRENT_EV_TO_T12M_EBITDA",$B68+1,$B68+1))),G69))</f>
        <v>0</v>
      </c>
      <c r="H68" s="526">
        <f ca="1">(IFERROR(IFERROR(VALUE(_xll.BDH(H$4,"CURRENT_EV_TO_T12M_EBITDA",$B68,$B68)),VALUE(_xll.BDH(H$4,"CURRENT_EV_TO_T12M_EBITDA",$B68+1,$B68+1))),H69))</f>
        <v>0</v>
      </c>
      <c r="I68" s="530">
        <f t="shared" ca="1" si="12"/>
        <v>45510</v>
      </c>
      <c r="J68" s="526">
        <f ca="1">(IFERROR(IFERROR(VALUE(_xll.BDH(J$4,"PE_RATIO",$B68,$B68)),VALUE(_xll.BDH(J$4,"PE_RATIO",$B68+1,$B68+1))),J69))</f>
        <v>0</v>
      </c>
      <c r="K68" s="526">
        <f ca="1">(IFERROR(IFERROR(VALUE(_xll.BDH(K$4,"PE_RATIO",$B68,$B68)),VALUE(_xll.BDH(K$4,"PE_RATIO",$B68+1,$B68+1))),K69))</f>
        <v>0</v>
      </c>
      <c r="L68" s="526">
        <f ca="1">(IFERROR(IFERROR(VALUE(_xll.BDH(L$4,"PE_RATIO",$B68,$B68)),VALUE(_xll.BDH(L$4,"PE_RATIO",$B68+1,$B68+1))),L69))</f>
        <v>0</v>
      </c>
      <c r="M68" s="526">
        <f ca="1">(IFERROR(IFERROR(VALUE(_xll.BDH(M$4,"PE_RATIO",$B68,$B68)),VALUE(_xll.BDH(M$4,"PE_RATIO",$B68+1,$B68+1))),M69))</f>
        <v>0</v>
      </c>
      <c r="N68" s="526">
        <f ca="1">(IFERROR(IFERROR(VALUE(_xll.BDH(N$4,"PE_RATIO",$B68,$B68)),VALUE(_xll.BDH(N$4,"PE_RATIO",$B68+1,$B68+1))),N69))</f>
        <v>0</v>
      </c>
      <c r="O68" s="526">
        <f ca="1">(IFERROR(IFERROR(VALUE(_xll.BDH(O$4,"PE_RATIO",$B68,$B68)),VALUE(_xll.BDH(O$4,"PE_RATIO",$B68+1,$B68+1))),O69))</f>
        <v>0</v>
      </c>
      <c r="P68" s="526"/>
      <c r="Q68" s="530">
        <v>45467</v>
      </c>
      <c r="R68" s="4">
        <v>3.36</v>
      </c>
      <c r="S68" s="4">
        <v>19474.62</v>
      </c>
      <c r="T68" s="4">
        <v>7009.2</v>
      </c>
      <c r="U68" s="4">
        <v>1.4672489082969431</v>
      </c>
      <c r="V68" s="4">
        <v>1.7304451440407103</v>
      </c>
      <c r="W68" s="4">
        <v>1.8433960229648663</v>
      </c>
      <c r="Y68" s="526">
        <f t="shared" si="13"/>
        <v>3.36</v>
      </c>
      <c r="Z68" s="4">
        <f>IFERROR(VALUE(_xll.BDH(Z$4,"PX_LAST",$Q68,$Q68)),Z69)</f>
        <v>61.38</v>
      </c>
      <c r="AA68" s="4">
        <f>IFERROR(VALUE(_xll.BDH(AA$4,"PX_LAST",$Q68,$Q68)),AA69)</f>
        <v>27.5</v>
      </c>
      <c r="AB68" s="4">
        <f>IFERROR(VALUE(_xll.BDH(AB$4,"PX_LAST",$Q68,$Q68)),AB69)</f>
        <v>122.83</v>
      </c>
      <c r="AC68" s="4">
        <f>IFERROR(VALUE(_xll.BDH(AC$4,"PX_LAST",$Q68,$Q68)),AC69)</f>
        <v>10.27</v>
      </c>
      <c r="AD68" s="4">
        <f>IFERROR(VALUE(_xll.BDH(AD$4,"PX_LAST",$Q68,$Q68)),AD69)</f>
        <v>49.59</v>
      </c>
      <c r="AF68" s="4">
        <f t="shared" si="14"/>
        <v>1.4672489082969431</v>
      </c>
      <c r="AG68" s="4">
        <f t="shared" si="15"/>
        <v>2.0785641720284458</v>
      </c>
      <c r="AH68" s="4">
        <f t="shared" si="16"/>
        <v>0.96762843068261783</v>
      </c>
      <c r="AI68" s="4">
        <f t="shared" si="17"/>
        <v>1.3167881646655231</v>
      </c>
      <c r="AJ68" s="4">
        <f t="shared" si="18"/>
        <v>1.2789539227895392</v>
      </c>
      <c r="AK68" s="4">
        <f t="shared" si="19"/>
        <v>1.6977062649777475</v>
      </c>
      <c r="AM68" s="528">
        <v>45844</v>
      </c>
      <c r="AN68" s="529">
        <v>13.72</v>
      </c>
      <c r="AO68" s="529">
        <v>-3078744</v>
      </c>
      <c r="AP68" s="529">
        <v>-78.518699999999995</v>
      </c>
      <c r="AQ68" s="529">
        <v>-1436.3687520000001</v>
      </c>
      <c r="AR68" s="529">
        <v>-1.6905000000000001</v>
      </c>
    </row>
    <row r="69" spans="2:44">
      <c r="B69" s="530">
        <f t="shared" ca="1" si="20"/>
        <v>45503</v>
      </c>
      <c r="C69" s="526">
        <f ca="1">(IFERROR(IFERROR(VALUE(_xll.BDH(C$4,"CURRENT_EV_TO_T12M_EBITDA",$B69,$B69)),VALUE(_xll.BDH(C$4,"CURRENT_EV_TO_T12M_EBITDA",$B69+1,$B69+1))),C70))</f>
        <v>0</v>
      </c>
      <c r="D69" s="526">
        <f ca="1">(IFERROR(IFERROR(VALUE(_xll.BDH(D$4,"CURRENT_EV_TO_T12M_EBITDA",$B69,$B69)),VALUE(_xll.BDH(D$4,"CURRENT_EV_TO_T12M_EBITDA",$B69+1,$B69+1))),D70))</f>
        <v>0</v>
      </c>
      <c r="E69" s="526">
        <f ca="1">(IFERROR(IFERROR(VALUE(_xll.BDH(E$4,"CURRENT_EV_TO_T12M_EBITDA",$B69,$B69)),VALUE(_xll.BDH(E$4,"CURRENT_EV_TO_T12M_EBITDA",$B69+1,$B69+1))),E70))</f>
        <v>0</v>
      </c>
      <c r="F69" s="526">
        <f ca="1">(IFERROR(IFERROR(VALUE(_xll.BDH(F$4,"CURRENT_EV_TO_T12M_EBITDA",$B69,$B69)),VALUE(_xll.BDH(F$4,"CURRENT_EV_TO_T12M_EBITDA",$B69+1,$B69+1))),F70))</f>
        <v>0</v>
      </c>
      <c r="G69" s="526">
        <f ca="1">(IFERROR(IFERROR(VALUE(_xll.BDH(G$4,"CURRENT_EV_TO_T12M_EBITDA",$B69,$B69)),VALUE(_xll.BDH(G$4,"CURRENT_EV_TO_T12M_EBITDA",$B69+1,$B69+1))),G70))</f>
        <v>0</v>
      </c>
      <c r="H69" s="526">
        <f ca="1">(IFERROR(IFERROR(VALUE(_xll.BDH(H$4,"CURRENT_EV_TO_T12M_EBITDA",$B69,$B69)),VALUE(_xll.BDH(H$4,"CURRENT_EV_TO_T12M_EBITDA",$B69+1,$B69+1))),H70))</f>
        <v>0</v>
      </c>
      <c r="I69" s="530">
        <f t="shared" ref="I69:I100" ca="1" si="21">+B69</f>
        <v>45503</v>
      </c>
      <c r="J69" s="526">
        <f ca="1">(IFERROR(IFERROR(VALUE(_xll.BDH(J$4,"PE_RATIO",$B69,$B69)),VALUE(_xll.BDH(J$4,"PE_RATIO",$B69+1,$B69+1))),J70))</f>
        <v>0</v>
      </c>
      <c r="K69" s="526">
        <f ca="1">(IFERROR(IFERROR(VALUE(_xll.BDH(K$4,"PE_RATIO",$B69,$B69)),VALUE(_xll.BDH(K$4,"PE_RATIO",$B69+1,$B69+1))),K70))</f>
        <v>0</v>
      </c>
      <c r="L69" s="526">
        <f ca="1">(IFERROR(IFERROR(VALUE(_xll.BDH(L$4,"PE_RATIO",$B69,$B69)),VALUE(_xll.BDH(L$4,"PE_RATIO",$B69+1,$B69+1))),L70))</f>
        <v>0</v>
      </c>
      <c r="M69" s="526">
        <f ca="1">(IFERROR(IFERROR(VALUE(_xll.BDH(M$4,"PE_RATIO",$B69,$B69)),VALUE(_xll.BDH(M$4,"PE_RATIO",$B69+1,$B69+1))),M70))</f>
        <v>0</v>
      </c>
      <c r="N69" s="526">
        <f ca="1">(IFERROR(IFERROR(VALUE(_xll.BDH(N$4,"PE_RATIO",$B69,$B69)),VALUE(_xll.BDH(N$4,"PE_RATIO",$B69+1,$B69+1))),N70))</f>
        <v>0</v>
      </c>
      <c r="O69" s="526">
        <f ca="1">(IFERROR(IFERROR(VALUE(_xll.BDH(O$4,"PE_RATIO",$B69,$B69)),VALUE(_xll.BDH(O$4,"PE_RATIO",$B69+1,$B69+1))),O70))</f>
        <v>0</v>
      </c>
      <c r="P69" s="526"/>
      <c r="Q69" s="530">
        <v>45460</v>
      </c>
      <c r="R69" s="4">
        <v>3.46</v>
      </c>
      <c r="S69" s="4">
        <v>19902.75</v>
      </c>
      <c r="T69" s="4">
        <v>6999.02</v>
      </c>
      <c r="U69" s="4">
        <v>1.5109170305676856</v>
      </c>
      <c r="V69" s="4">
        <v>1.7684872459927972</v>
      </c>
      <c r="W69" s="4">
        <v>1.8407187172076072</v>
      </c>
      <c r="Y69" s="526">
        <f t="shared" ref="Y69:Y100" si="22">+R69</f>
        <v>3.46</v>
      </c>
      <c r="Z69" s="4">
        <f>IFERROR(VALUE(_xll.BDH(Z$4,"PX_LAST",$Q69,$Q69)),Z70)</f>
        <v>59.86</v>
      </c>
      <c r="AA69" s="4">
        <f>IFERROR(VALUE(_xll.BDH(AA$4,"PX_LAST",$Q69,$Q69)),AA70)</f>
        <v>27.12</v>
      </c>
      <c r="AB69" s="4">
        <f>IFERROR(VALUE(_xll.BDH(AB$4,"PX_LAST",$Q69,$Q69)),AB70)</f>
        <v>121.37</v>
      </c>
      <c r="AC69" s="4">
        <f>IFERROR(VALUE(_xll.BDH(AC$4,"PX_LAST",$Q69,$Q69)),AC70)</f>
        <v>10.210000000000001</v>
      </c>
      <c r="AD69" s="4">
        <f>IFERROR(VALUE(_xll.BDH(AD$4,"PX_LAST",$Q69,$Q69)),AD70)</f>
        <v>48</v>
      </c>
      <c r="AF69" s="4">
        <f t="shared" ref="AF69:AF100" si="23">+Y69/Y$159</f>
        <v>1.5109170305676856</v>
      </c>
      <c r="AG69" s="4">
        <f t="shared" ref="AG69:AG100" si="24">+Z69/Z$159</f>
        <v>2.0270910938029121</v>
      </c>
      <c r="AH69" s="4">
        <f t="shared" ref="AH69:AH100" si="25">+AA69/AA$159</f>
        <v>0.95425756509500348</v>
      </c>
      <c r="AI69" s="4">
        <f t="shared" ref="AI69:AI100" si="26">+AB69/AB$159</f>
        <v>1.3011363636363638</v>
      </c>
      <c r="AJ69" s="4">
        <f t="shared" ref="AJ69:AJ100" si="27">+AC69/AC$159</f>
        <v>1.2714819427148196</v>
      </c>
      <c r="AK69" s="4">
        <f t="shared" ref="AK69:AK100" si="28">+AD69/AD$159</f>
        <v>1.6432728517630948</v>
      </c>
      <c r="AM69" s="528">
        <v>45843</v>
      </c>
      <c r="AN69" s="529">
        <v>13.72</v>
      </c>
      <c r="AO69" s="529">
        <v>-2052496</v>
      </c>
      <c r="AP69" s="529">
        <v>-52.345799999999997</v>
      </c>
      <c r="AQ69" s="529">
        <v>-1077.276564</v>
      </c>
      <c r="AR69" s="529">
        <v>-1.127</v>
      </c>
    </row>
    <row r="70" spans="2:44">
      <c r="B70" s="530">
        <f t="shared" ref="B70:B101" ca="1" si="29">+B69-7</f>
        <v>45496</v>
      </c>
      <c r="C70" s="526">
        <f ca="1">(IFERROR(IFERROR(VALUE(_xll.BDH(C$4,"CURRENT_EV_TO_T12M_EBITDA",$B70,$B70)),VALUE(_xll.BDH(C$4,"CURRENT_EV_TO_T12M_EBITDA",$B70+1,$B70+1))),C71))</f>
        <v>0</v>
      </c>
      <c r="D70" s="526">
        <f ca="1">(IFERROR(IFERROR(VALUE(_xll.BDH(D$4,"CURRENT_EV_TO_T12M_EBITDA",$B70,$B70)),VALUE(_xll.BDH(D$4,"CURRENT_EV_TO_T12M_EBITDA",$B70+1,$B70+1))),D71))</f>
        <v>0</v>
      </c>
      <c r="E70" s="526">
        <f ca="1">(IFERROR(IFERROR(VALUE(_xll.BDH(E$4,"CURRENT_EV_TO_T12M_EBITDA",$B70,$B70)),VALUE(_xll.BDH(E$4,"CURRENT_EV_TO_T12M_EBITDA",$B70+1,$B70+1))),E71))</f>
        <v>0</v>
      </c>
      <c r="F70" s="526">
        <f ca="1">(IFERROR(IFERROR(VALUE(_xll.BDH(F$4,"CURRENT_EV_TO_T12M_EBITDA",$B70,$B70)),VALUE(_xll.BDH(F$4,"CURRENT_EV_TO_T12M_EBITDA",$B70+1,$B70+1))),F71))</f>
        <v>0</v>
      </c>
      <c r="G70" s="526">
        <f ca="1">(IFERROR(IFERROR(VALUE(_xll.BDH(G$4,"CURRENT_EV_TO_T12M_EBITDA",$B70,$B70)),VALUE(_xll.BDH(G$4,"CURRENT_EV_TO_T12M_EBITDA",$B70+1,$B70+1))),G71))</f>
        <v>0</v>
      </c>
      <c r="H70" s="526">
        <f ca="1">(IFERROR(IFERROR(VALUE(_xll.BDH(H$4,"CURRENT_EV_TO_T12M_EBITDA",$B70,$B70)),VALUE(_xll.BDH(H$4,"CURRENT_EV_TO_T12M_EBITDA",$B70+1,$B70+1))),H71))</f>
        <v>0</v>
      </c>
      <c r="I70" s="530">
        <f t="shared" ca="1" si="21"/>
        <v>45496</v>
      </c>
      <c r="J70" s="526">
        <f ca="1">(IFERROR(IFERROR(VALUE(_xll.BDH(J$4,"PE_RATIO",$B70,$B70)),VALUE(_xll.BDH(J$4,"PE_RATIO",$B70+1,$B70+1))),J71))</f>
        <v>0</v>
      </c>
      <c r="K70" s="526">
        <f ca="1">(IFERROR(IFERROR(VALUE(_xll.BDH(K$4,"PE_RATIO",$B70,$B70)),VALUE(_xll.BDH(K$4,"PE_RATIO",$B70+1,$B70+1))),K71))</f>
        <v>0</v>
      </c>
      <c r="L70" s="526">
        <f ca="1">(IFERROR(IFERROR(VALUE(_xll.BDH(L$4,"PE_RATIO",$B70,$B70)),VALUE(_xll.BDH(L$4,"PE_RATIO",$B70+1,$B70+1))),L71))</f>
        <v>0</v>
      </c>
      <c r="M70" s="526">
        <f ca="1">(IFERROR(IFERROR(VALUE(_xll.BDH(M$4,"PE_RATIO",$B70,$B70)),VALUE(_xll.BDH(M$4,"PE_RATIO",$B70+1,$B70+1))),M71))</f>
        <v>0</v>
      </c>
      <c r="N70" s="526">
        <f ca="1">(IFERROR(IFERROR(VALUE(_xll.BDH(N$4,"PE_RATIO",$B70,$B70)),VALUE(_xll.BDH(N$4,"PE_RATIO",$B70+1,$B70+1))),N71))</f>
        <v>0</v>
      </c>
      <c r="O70" s="526">
        <f ca="1">(IFERROR(IFERROR(VALUE(_xll.BDH(O$4,"PE_RATIO",$B70,$B70)),VALUE(_xll.BDH(O$4,"PE_RATIO",$B70+1,$B70+1))),O71))</f>
        <v>0</v>
      </c>
      <c r="P70" s="526"/>
      <c r="Q70" s="530">
        <v>45453</v>
      </c>
      <c r="R70" s="4">
        <v>3.08</v>
      </c>
      <c r="S70" s="4">
        <v>19074.669999999998</v>
      </c>
      <c r="T70" s="4">
        <v>6668.47</v>
      </c>
      <c r="U70" s="4">
        <v>1.3449781659388647</v>
      </c>
      <c r="V70" s="4">
        <v>1.6949070161923063</v>
      </c>
      <c r="W70" s="4">
        <v>1.7537851790875596</v>
      </c>
      <c r="Y70" s="526">
        <f t="shared" si="22"/>
        <v>3.08</v>
      </c>
      <c r="Z70" s="4">
        <f>IFERROR(VALUE(_xll.BDH(Z$4,"PX_LAST",$Q70,$Q70)),Z71)</f>
        <v>59.01</v>
      </c>
      <c r="AA70" s="4">
        <f>IFERROR(VALUE(_xll.BDH(AA$4,"PX_LAST",$Q70,$Q70)),AA71)</f>
        <v>28.22</v>
      </c>
      <c r="AB70" s="4">
        <f>IFERROR(VALUE(_xll.BDH(AB$4,"PX_LAST",$Q70,$Q70)),AB71)</f>
        <v>126.45</v>
      </c>
      <c r="AC70" s="4">
        <f>IFERROR(VALUE(_xll.BDH(AC$4,"PX_LAST",$Q70,$Q70)),AC71)</f>
        <v>10.27</v>
      </c>
      <c r="AD70" s="4">
        <f>IFERROR(VALUE(_xll.BDH(AD$4,"PX_LAST",$Q70,$Q70)),AD71)</f>
        <v>49.05</v>
      </c>
      <c r="AF70" s="4">
        <f t="shared" si="23"/>
        <v>1.3449781659388647</v>
      </c>
      <c r="AG70" s="4">
        <f t="shared" si="24"/>
        <v>1.9983068066373177</v>
      </c>
      <c r="AH70" s="4">
        <f t="shared" si="25"/>
        <v>0.9929627023223081</v>
      </c>
      <c r="AI70" s="4">
        <f t="shared" si="26"/>
        <v>1.3555960548885078</v>
      </c>
      <c r="AJ70" s="4">
        <f t="shared" si="27"/>
        <v>1.2789539227895392</v>
      </c>
      <c r="AK70" s="4">
        <f t="shared" si="28"/>
        <v>1.6792194453954123</v>
      </c>
      <c r="AM70" s="528">
        <v>45842</v>
      </c>
      <c r="AN70" s="529">
        <v>13.72</v>
      </c>
      <c r="AO70" s="529">
        <v>-1026248</v>
      </c>
      <c r="AP70" s="529">
        <v>-26.172899999999998</v>
      </c>
      <c r="AQ70" s="529">
        <v>-718.18437600000004</v>
      </c>
      <c r="AR70" s="529">
        <v>-0.5635</v>
      </c>
    </row>
    <row r="71" spans="2:44">
      <c r="B71" s="530">
        <f t="shared" ca="1" si="29"/>
        <v>45489</v>
      </c>
      <c r="C71" s="526">
        <f ca="1">(IFERROR(IFERROR(VALUE(_xll.BDH(C$4,"CURRENT_EV_TO_T12M_EBITDA",$B71,$B71)),VALUE(_xll.BDH(C$4,"CURRENT_EV_TO_T12M_EBITDA",$B71+1,$B71+1))),C72))</f>
        <v>0</v>
      </c>
      <c r="D71" s="526">
        <f ca="1">(IFERROR(IFERROR(VALUE(_xll.BDH(D$4,"CURRENT_EV_TO_T12M_EBITDA",$B71,$B71)),VALUE(_xll.BDH(D$4,"CURRENT_EV_TO_T12M_EBITDA",$B71+1,$B71+1))),D72))</f>
        <v>0</v>
      </c>
      <c r="E71" s="526">
        <f ca="1">(IFERROR(IFERROR(VALUE(_xll.BDH(E$4,"CURRENT_EV_TO_T12M_EBITDA",$B71,$B71)),VALUE(_xll.BDH(E$4,"CURRENT_EV_TO_T12M_EBITDA",$B71+1,$B71+1))),E72))</f>
        <v>0</v>
      </c>
      <c r="F71" s="526">
        <f ca="1">(IFERROR(IFERROR(VALUE(_xll.BDH(F$4,"CURRENT_EV_TO_T12M_EBITDA",$B71,$B71)),VALUE(_xll.BDH(F$4,"CURRENT_EV_TO_T12M_EBITDA",$B71+1,$B71+1))),F72))</f>
        <v>0</v>
      </c>
      <c r="G71" s="526">
        <f ca="1">(IFERROR(IFERROR(VALUE(_xll.BDH(G$4,"CURRENT_EV_TO_T12M_EBITDA",$B71,$B71)),VALUE(_xll.BDH(G$4,"CURRENT_EV_TO_T12M_EBITDA",$B71+1,$B71+1))),G72))</f>
        <v>0</v>
      </c>
      <c r="H71" s="526">
        <f ca="1">(IFERROR(IFERROR(VALUE(_xll.BDH(H$4,"CURRENT_EV_TO_T12M_EBITDA",$B71,$B71)),VALUE(_xll.BDH(H$4,"CURRENT_EV_TO_T12M_EBITDA",$B71+1,$B71+1))),H72))</f>
        <v>0</v>
      </c>
      <c r="I71" s="530">
        <f t="shared" ca="1" si="21"/>
        <v>45489</v>
      </c>
      <c r="J71" s="526">
        <f ca="1">(IFERROR(IFERROR(VALUE(_xll.BDH(J$4,"PE_RATIO",$B71,$B71)),VALUE(_xll.BDH(J$4,"PE_RATIO",$B71+1,$B71+1))),J72))</f>
        <v>0</v>
      </c>
      <c r="K71" s="526">
        <f ca="1">(IFERROR(IFERROR(VALUE(_xll.BDH(K$4,"PE_RATIO",$B71,$B71)),VALUE(_xll.BDH(K$4,"PE_RATIO",$B71+1,$B71+1))),K72))</f>
        <v>0</v>
      </c>
      <c r="L71" s="526">
        <f ca="1">(IFERROR(IFERROR(VALUE(_xll.BDH(L$4,"PE_RATIO",$B71,$B71)),VALUE(_xll.BDH(L$4,"PE_RATIO",$B71+1,$B71+1))),L72))</f>
        <v>0</v>
      </c>
      <c r="M71" s="526">
        <f ca="1">(IFERROR(IFERROR(VALUE(_xll.BDH(M$4,"PE_RATIO",$B71,$B71)),VALUE(_xll.BDH(M$4,"PE_RATIO",$B71+1,$B71+1))),M72))</f>
        <v>0</v>
      </c>
      <c r="N71" s="526">
        <f ca="1">(IFERROR(IFERROR(VALUE(_xll.BDH(N$4,"PE_RATIO",$B71,$B71)),VALUE(_xll.BDH(N$4,"PE_RATIO",$B71+1,$B71+1))),N72))</f>
        <v>0</v>
      </c>
      <c r="O71" s="526">
        <f ca="1">(IFERROR(IFERROR(VALUE(_xll.BDH(O$4,"PE_RATIO",$B71,$B71)),VALUE(_xll.BDH(O$4,"PE_RATIO",$B71+1,$B71+1))),O72))</f>
        <v>0</v>
      </c>
      <c r="P71" s="526"/>
      <c r="Q71" s="530">
        <v>45446</v>
      </c>
      <c r="R71" s="4">
        <v>3.24</v>
      </c>
      <c r="S71" s="4">
        <v>18600.97</v>
      </c>
      <c r="T71" s="4">
        <v>6446.23</v>
      </c>
      <c r="U71" s="4">
        <v>1.4148471615720524</v>
      </c>
      <c r="V71" s="4">
        <v>1.6528157268766699</v>
      </c>
      <c r="W71" s="4">
        <v>1.695336806642243</v>
      </c>
      <c r="Y71" s="526">
        <f t="shared" si="22"/>
        <v>3.24</v>
      </c>
      <c r="Z71" s="4">
        <f>IFERROR(VALUE(_xll.BDH(Z$4,"PX_LAST",$Q71,$Q71)),Z72)</f>
        <v>60.71</v>
      </c>
      <c r="AA71" s="4">
        <f>IFERROR(VALUE(_xll.BDH(AA$4,"PX_LAST",$Q71,$Q71)),AA72)</f>
        <v>28.2</v>
      </c>
      <c r="AB71" s="4">
        <f>IFERROR(VALUE(_xll.BDH(AB$4,"PX_LAST",$Q71,$Q71)),AB72)</f>
        <v>129.41</v>
      </c>
      <c r="AC71" s="4">
        <f>IFERROR(VALUE(_xll.BDH(AC$4,"PX_LAST",$Q71,$Q71)),AC72)</f>
        <v>10.32</v>
      </c>
      <c r="AD71" s="4">
        <f>IFERROR(VALUE(_xll.BDH(AD$4,"PX_LAST",$Q71,$Q71)),AD72)</f>
        <v>48.4</v>
      </c>
      <c r="AF71" s="4">
        <f t="shared" si="23"/>
        <v>1.4148471615720524</v>
      </c>
      <c r="AG71" s="4">
        <f t="shared" si="24"/>
        <v>2.0558753809685064</v>
      </c>
      <c r="AH71" s="4">
        <f t="shared" si="25"/>
        <v>0.99225897255453899</v>
      </c>
      <c r="AI71" s="4">
        <f t="shared" si="26"/>
        <v>1.3873284734133791</v>
      </c>
      <c r="AJ71" s="4">
        <f t="shared" si="27"/>
        <v>1.2851805728518058</v>
      </c>
      <c r="AK71" s="4">
        <f t="shared" si="28"/>
        <v>1.6569667921944538</v>
      </c>
      <c r="AM71" s="528">
        <v>45841</v>
      </c>
      <c r="AN71" s="529">
        <v>13.72</v>
      </c>
      <c r="AO71" s="529">
        <v>0</v>
      </c>
      <c r="AP71" s="529">
        <v>0</v>
      </c>
      <c r="AQ71" s="529">
        <v>-359.09218800000002</v>
      </c>
      <c r="AR71" s="529">
        <v>0</v>
      </c>
    </row>
    <row r="72" spans="2:44">
      <c r="B72" s="530">
        <f t="shared" ca="1" si="29"/>
        <v>45482</v>
      </c>
      <c r="C72" s="526">
        <f ca="1">(IFERROR(IFERROR(VALUE(_xll.BDH(C$4,"CURRENT_EV_TO_T12M_EBITDA",$B72,$B72)),VALUE(_xll.BDH(C$4,"CURRENT_EV_TO_T12M_EBITDA",$B72+1,$B72+1))),C73))</f>
        <v>0</v>
      </c>
      <c r="D72" s="526">
        <f ca="1">(IFERROR(IFERROR(VALUE(_xll.BDH(D$4,"CURRENT_EV_TO_T12M_EBITDA",$B72,$B72)),VALUE(_xll.BDH(D$4,"CURRENT_EV_TO_T12M_EBITDA",$B72+1,$B72+1))),D73))</f>
        <v>0</v>
      </c>
      <c r="E72" s="526">
        <f ca="1">(IFERROR(IFERROR(VALUE(_xll.BDH(E$4,"CURRENT_EV_TO_T12M_EBITDA",$B72,$B72)),VALUE(_xll.BDH(E$4,"CURRENT_EV_TO_T12M_EBITDA",$B72+1,$B72+1))),E73))</f>
        <v>0</v>
      </c>
      <c r="F72" s="526">
        <f ca="1">(IFERROR(IFERROR(VALUE(_xll.BDH(F$4,"CURRENT_EV_TO_T12M_EBITDA",$B72,$B72)),VALUE(_xll.BDH(F$4,"CURRENT_EV_TO_T12M_EBITDA",$B72+1,$B72+1))),F73))</f>
        <v>0</v>
      </c>
      <c r="G72" s="526">
        <f ca="1">(IFERROR(IFERROR(VALUE(_xll.BDH(G$4,"CURRENT_EV_TO_T12M_EBITDA",$B72,$B72)),VALUE(_xll.BDH(G$4,"CURRENT_EV_TO_T12M_EBITDA",$B72+1,$B72+1))),G73))</f>
        <v>0</v>
      </c>
      <c r="H72" s="526">
        <f ca="1">(IFERROR(IFERROR(VALUE(_xll.BDH(H$4,"CURRENT_EV_TO_T12M_EBITDA",$B72,$B72)),VALUE(_xll.BDH(H$4,"CURRENT_EV_TO_T12M_EBITDA",$B72+1,$B72+1))),H73))</f>
        <v>0</v>
      </c>
      <c r="I72" s="530">
        <f t="shared" ca="1" si="21"/>
        <v>45482</v>
      </c>
      <c r="J72" s="526">
        <f ca="1">(IFERROR(IFERROR(VALUE(_xll.BDH(J$4,"PE_RATIO",$B72,$B72)),VALUE(_xll.BDH(J$4,"PE_RATIO",$B72+1,$B72+1))),J73))</f>
        <v>0</v>
      </c>
      <c r="K72" s="526">
        <f ca="1">(IFERROR(IFERROR(VALUE(_xll.BDH(K$4,"PE_RATIO",$B72,$B72)),VALUE(_xll.BDH(K$4,"PE_RATIO",$B72+1,$B72+1))),K73))</f>
        <v>0</v>
      </c>
      <c r="L72" s="526">
        <f ca="1">(IFERROR(IFERROR(VALUE(_xll.BDH(L$4,"PE_RATIO",$B72,$B72)),VALUE(_xll.BDH(L$4,"PE_RATIO",$B72+1,$B72+1))),L73))</f>
        <v>0</v>
      </c>
      <c r="M72" s="526">
        <f ca="1">(IFERROR(IFERROR(VALUE(_xll.BDH(M$4,"PE_RATIO",$B72,$B72)),VALUE(_xll.BDH(M$4,"PE_RATIO",$B72+1,$B72+1))),M73))</f>
        <v>0</v>
      </c>
      <c r="N72" s="526">
        <f ca="1">(IFERROR(IFERROR(VALUE(_xll.BDH(N$4,"PE_RATIO",$B72,$B72)),VALUE(_xll.BDH(N$4,"PE_RATIO",$B72+1,$B72+1))),N73))</f>
        <v>0</v>
      </c>
      <c r="O72" s="526">
        <f ca="1">(IFERROR(IFERROR(VALUE(_xll.BDH(O$4,"PE_RATIO",$B72,$B72)),VALUE(_xll.BDH(O$4,"PE_RATIO",$B72+1,$B72+1))),O73))</f>
        <v>0</v>
      </c>
      <c r="P72" s="526"/>
      <c r="Q72" s="530">
        <v>45439</v>
      </c>
      <c r="R72" s="4">
        <v>3.23</v>
      </c>
      <c r="S72" s="4">
        <v>18674.189999999999</v>
      </c>
      <c r="T72" s="4">
        <v>6795.1</v>
      </c>
      <c r="U72" s="4">
        <v>1.4104803493449782</v>
      </c>
      <c r="V72" s="4">
        <v>1.6593217944377652</v>
      </c>
      <c r="W72" s="4">
        <v>1.7870884431388123</v>
      </c>
      <c r="Y72" s="526">
        <f t="shared" si="22"/>
        <v>3.23</v>
      </c>
      <c r="Z72" s="4">
        <f>IFERROR(VALUE(_xll.BDH(Z$4,"PX_LAST",$Q72,$Q72)),Z73)</f>
        <v>60.99</v>
      </c>
      <c r="AA72" s="4">
        <f>IFERROR(VALUE(_xll.BDH(AA$4,"PX_LAST",$Q72,$Q72)),AA73)</f>
        <v>28.68</v>
      </c>
      <c r="AB72" s="4">
        <f>IFERROR(VALUE(_xll.BDH(AB$4,"PX_LAST",$Q72,$Q72)),AB73)</f>
        <v>130.11000000000001</v>
      </c>
      <c r="AC72" s="4">
        <f>IFERROR(VALUE(_xll.BDH(AC$4,"PX_LAST",$Q72,$Q72)),AC73)</f>
        <v>10.01</v>
      </c>
      <c r="AD72" s="4">
        <f>IFERROR(VALUE(_xll.BDH(AD$4,"PX_LAST",$Q72,$Q72)),AD73)</f>
        <v>49.75</v>
      </c>
      <c r="AF72" s="4">
        <f t="shared" si="23"/>
        <v>1.4104803493449782</v>
      </c>
      <c r="AG72" s="4">
        <f t="shared" si="24"/>
        <v>2.0653572637995259</v>
      </c>
      <c r="AH72" s="4">
        <f t="shared" si="25"/>
        <v>1.0091484869809992</v>
      </c>
      <c r="AI72" s="4">
        <f t="shared" si="26"/>
        <v>1.3948327615780447</v>
      </c>
      <c r="AJ72" s="4">
        <f t="shared" si="27"/>
        <v>1.2465753424657535</v>
      </c>
      <c r="AK72" s="4">
        <f t="shared" si="28"/>
        <v>1.7031838411502909</v>
      </c>
      <c r="AM72" s="528">
        <v>45840</v>
      </c>
      <c r="AN72" s="529">
        <v>13.51</v>
      </c>
      <c r="AO72" s="529">
        <v>0</v>
      </c>
      <c r="AP72" s="529">
        <v>0</v>
      </c>
      <c r="AQ72" s="529">
        <v>-353.59587899999997</v>
      </c>
      <c r="AR72" s="529">
        <v>0</v>
      </c>
    </row>
    <row r="73" spans="2:44">
      <c r="B73" s="530">
        <f t="shared" ca="1" si="29"/>
        <v>45475</v>
      </c>
      <c r="C73" s="526">
        <f ca="1">(IFERROR(IFERROR(VALUE(_xll.BDH(C$4,"CURRENT_EV_TO_T12M_EBITDA",$B73,$B73)),VALUE(_xll.BDH(C$4,"CURRENT_EV_TO_T12M_EBITDA",$B73+1,$B73+1))),C74))</f>
        <v>0</v>
      </c>
      <c r="D73" s="526">
        <f ca="1">(IFERROR(IFERROR(VALUE(_xll.BDH(D$4,"CURRENT_EV_TO_T12M_EBITDA",$B73,$B73)),VALUE(_xll.BDH(D$4,"CURRENT_EV_TO_T12M_EBITDA",$B73+1,$B73+1))),D74))</f>
        <v>0</v>
      </c>
      <c r="E73" s="526">
        <f ca="1">(IFERROR(IFERROR(VALUE(_xll.BDH(E$4,"CURRENT_EV_TO_T12M_EBITDA",$B73,$B73)),VALUE(_xll.BDH(E$4,"CURRENT_EV_TO_T12M_EBITDA",$B73+1,$B73+1))),E74))</f>
        <v>0</v>
      </c>
      <c r="F73" s="526">
        <f ca="1">(IFERROR(IFERROR(VALUE(_xll.BDH(F$4,"CURRENT_EV_TO_T12M_EBITDA",$B73,$B73)),VALUE(_xll.BDH(F$4,"CURRENT_EV_TO_T12M_EBITDA",$B73+1,$B73+1))),F74))</f>
        <v>0</v>
      </c>
      <c r="G73" s="526">
        <f ca="1">(IFERROR(IFERROR(VALUE(_xll.BDH(G$4,"CURRENT_EV_TO_T12M_EBITDA",$B73,$B73)),VALUE(_xll.BDH(G$4,"CURRENT_EV_TO_T12M_EBITDA",$B73+1,$B73+1))),G74))</f>
        <v>0</v>
      </c>
      <c r="H73" s="526">
        <f ca="1">(IFERROR(IFERROR(VALUE(_xll.BDH(H$4,"CURRENT_EV_TO_T12M_EBITDA",$B73,$B73)),VALUE(_xll.BDH(H$4,"CURRENT_EV_TO_T12M_EBITDA",$B73+1,$B73+1))),H74))</f>
        <v>0</v>
      </c>
      <c r="I73" s="530">
        <f t="shared" ca="1" si="21"/>
        <v>45475</v>
      </c>
      <c r="J73" s="526">
        <f ca="1">(IFERROR(IFERROR(VALUE(_xll.BDH(J$4,"PE_RATIO",$B73,$B73)),VALUE(_xll.BDH(J$4,"PE_RATIO",$B73+1,$B73+1))),J74))</f>
        <v>0</v>
      </c>
      <c r="K73" s="526">
        <f ca="1">(IFERROR(IFERROR(VALUE(_xll.BDH(K$4,"PE_RATIO",$B73,$B73)),VALUE(_xll.BDH(K$4,"PE_RATIO",$B73+1,$B73+1))),K74))</f>
        <v>0</v>
      </c>
      <c r="L73" s="526">
        <f ca="1">(IFERROR(IFERROR(VALUE(_xll.BDH(L$4,"PE_RATIO",$B73,$B73)),VALUE(_xll.BDH(L$4,"PE_RATIO",$B73+1,$B73+1))),L74))</f>
        <v>0</v>
      </c>
      <c r="M73" s="526">
        <f ca="1">(IFERROR(IFERROR(VALUE(_xll.BDH(M$4,"PE_RATIO",$B73,$B73)),VALUE(_xll.BDH(M$4,"PE_RATIO",$B73+1,$B73+1))),M74))</f>
        <v>0</v>
      </c>
      <c r="N73" s="526">
        <f ca="1">(IFERROR(IFERROR(VALUE(_xll.BDH(N$4,"PE_RATIO",$B73,$B73)),VALUE(_xll.BDH(N$4,"PE_RATIO",$B73+1,$B73+1))),N74))</f>
        <v>0</v>
      </c>
      <c r="O73" s="526">
        <f ca="1">(IFERROR(IFERROR(VALUE(_xll.BDH(O$4,"PE_RATIO",$B73,$B73)),VALUE(_xll.BDH(O$4,"PE_RATIO",$B73+1,$B73+1))),O74))</f>
        <v>0</v>
      </c>
      <c r="P73" s="526"/>
      <c r="Q73" s="530">
        <v>45432</v>
      </c>
      <c r="R73" s="4">
        <v>3.23</v>
      </c>
      <c r="S73" s="4">
        <v>18674.189999999999</v>
      </c>
      <c r="T73" s="4">
        <v>6795.1</v>
      </c>
      <c r="U73" s="4">
        <v>1.4104803493449782</v>
      </c>
      <c r="V73" s="4">
        <v>1.6593217944377652</v>
      </c>
      <c r="W73" s="4">
        <v>1.7870884431388123</v>
      </c>
      <c r="Y73" s="526">
        <f t="shared" si="22"/>
        <v>3.23</v>
      </c>
      <c r="Z73" s="4">
        <f>IFERROR(VALUE(_xll.BDH(Z$4,"PX_LAST",$Q73,$Q73)),Z74)</f>
        <v>60.99</v>
      </c>
      <c r="AA73" s="4">
        <f>IFERROR(VALUE(_xll.BDH(AA$4,"PX_LAST",$Q73,$Q73)),AA74)</f>
        <v>28.68</v>
      </c>
      <c r="AB73" s="4">
        <f>IFERROR(VALUE(_xll.BDH(AB$4,"PX_LAST",$Q73,$Q73)),AB74)</f>
        <v>130.11000000000001</v>
      </c>
      <c r="AC73" s="4">
        <f>IFERROR(VALUE(_xll.BDH(AC$4,"PX_LAST",$Q73,$Q73)),AC74)</f>
        <v>10.01</v>
      </c>
      <c r="AD73" s="4">
        <f>IFERROR(VALUE(_xll.BDH(AD$4,"PX_LAST",$Q73,$Q73)),AD74)</f>
        <v>49.75</v>
      </c>
      <c r="AF73" s="4">
        <f t="shared" si="23"/>
        <v>1.4104803493449782</v>
      </c>
      <c r="AG73" s="4">
        <f t="shared" si="24"/>
        <v>2.0653572637995259</v>
      </c>
      <c r="AH73" s="4">
        <f t="shared" si="25"/>
        <v>1.0091484869809992</v>
      </c>
      <c r="AI73" s="4">
        <f t="shared" si="26"/>
        <v>1.3948327615780447</v>
      </c>
      <c r="AJ73" s="4">
        <f t="shared" si="27"/>
        <v>1.2465753424657535</v>
      </c>
      <c r="AK73" s="4">
        <f t="shared" si="28"/>
        <v>1.7031838411502909</v>
      </c>
      <c r="AM73" s="528">
        <v>45839</v>
      </c>
      <c r="AN73" s="529">
        <v>13.58</v>
      </c>
      <c r="AO73" s="529">
        <v>0</v>
      </c>
      <c r="AP73" s="529">
        <v>0</v>
      </c>
      <c r="AQ73" s="529">
        <v>-355.42798199999999</v>
      </c>
      <c r="AR73" s="529">
        <v>0</v>
      </c>
    </row>
    <row r="74" spans="2:44">
      <c r="B74" s="530">
        <f t="shared" ca="1" si="29"/>
        <v>45468</v>
      </c>
      <c r="C74" s="526">
        <f ca="1">(IFERROR(IFERROR(VALUE(_xll.BDH(C$4,"CURRENT_EV_TO_T12M_EBITDA",$B74,$B74)),VALUE(_xll.BDH(C$4,"CURRENT_EV_TO_T12M_EBITDA",$B74+1,$B74+1))),C75))</f>
        <v>0</v>
      </c>
      <c r="D74" s="526">
        <f ca="1">(IFERROR(IFERROR(VALUE(_xll.BDH(D$4,"CURRENT_EV_TO_T12M_EBITDA",$B74,$B74)),VALUE(_xll.BDH(D$4,"CURRENT_EV_TO_T12M_EBITDA",$B74+1,$B74+1))),D75))</f>
        <v>0</v>
      </c>
      <c r="E74" s="526">
        <f ca="1">(IFERROR(IFERROR(VALUE(_xll.BDH(E$4,"CURRENT_EV_TO_T12M_EBITDA",$B74,$B74)),VALUE(_xll.BDH(E$4,"CURRENT_EV_TO_T12M_EBITDA",$B74+1,$B74+1))),E75))</f>
        <v>0</v>
      </c>
      <c r="F74" s="526">
        <f ca="1">(IFERROR(IFERROR(VALUE(_xll.BDH(F$4,"CURRENT_EV_TO_T12M_EBITDA",$B74,$B74)),VALUE(_xll.BDH(F$4,"CURRENT_EV_TO_T12M_EBITDA",$B74+1,$B74+1))),F75))</f>
        <v>0</v>
      </c>
      <c r="G74" s="526">
        <f ca="1">(IFERROR(IFERROR(VALUE(_xll.BDH(G$4,"CURRENT_EV_TO_T12M_EBITDA",$B74,$B74)),VALUE(_xll.BDH(G$4,"CURRENT_EV_TO_T12M_EBITDA",$B74+1,$B74+1))),G75))</f>
        <v>0</v>
      </c>
      <c r="H74" s="526">
        <f ca="1">(IFERROR(IFERROR(VALUE(_xll.BDH(H$4,"CURRENT_EV_TO_T12M_EBITDA",$B74,$B74)),VALUE(_xll.BDH(H$4,"CURRENT_EV_TO_T12M_EBITDA",$B74+1,$B74+1))),H75))</f>
        <v>0</v>
      </c>
      <c r="I74" s="530">
        <f t="shared" ca="1" si="21"/>
        <v>45468</v>
      </c>
      <c r="J74" s="526">
        <f ca="1">(IFERROR(IFERROR(VALUE(_xll.BDH(J$4,"PE_RATIO",$B74,$B74)),VALUE(_xll.BDH(J$4,"PE_RATIO",$B74+1,$B74+1))),J75))</f>
        <v>0</v>
      </c>
      <c r="K74" s="526">
        <f ca="1">(IFERROR(IFERROR(VALUE(_xll.BDH(K$4,"PE_RATIO",$B74,$B74)),VALUE(_xll.BDH(K$4,"PE_RATIO",$B74+1,$B74+1))),K75))</f>
        <v>0</v>
      </c>
      <c r="L74" s="526">
        <f ca="1">(IFERROR(IFERROR(VALUE(_xll.BDH(L$4,"PE_RATIO",$B74,$B74)),VALUE(_xll.BDH(L$4,"PE_RATIO",$B74+1,$B74+1))),L75))</f>
        <v>0</v>
      </c>
      <c r="M74" s="526">
        <f ca="1">(IFERROR(IFERROR(VALUE(_xll.BDH(M$4,"PE_RATIO",$B74,$B74)),VALUE(_xll.BDH(M$4,"PE_RATIO",$B74+1,$B74+1))),M75))</f>
        <v>0</v>
      </c>
      <c r="N74" s="526">
        <f ca="1">(IFERROR(IFERROR(VALUE(_xll.BDH(N$4,"PE_RATIO",$B74,$B74)),VALUE(_xll.BDH(N$4,"PE_RATIO",$B74+1,$B74+1))),N75))</f>
        <v>0</v>
      </c>
      <c r="O74" s="526">
        <f ca="1">(IFERROR(IFERROR(VALUE(_xll.BDH(O$4,"PE_RATIO",$B74,$B74)),VALUE(_xll.BDH(O$4,"PE_RATIO",$B74+1,$B74+1))),O75))</f>
        <v>0</v>
      </c>
      <c r="P74" s="526"/>
      <c r="Q74" s="530">
        <v>45425</v>
      </c>
      <c r="R74" s="4">
        <v>3.06</v>
      </c>
      <c r="S74" s="4">
        <v>18198.61</v>
      </c>
      <c r="T74" s="4">
        <v>6577.78</v>
      </c>
      <c r="U74" s="4">
        <v>1.3362445414847162</v>
      </c>
      <c r="V74" s="4">
        <v>1.6170634550399809</v>
      </c>
      <c r="W74" s="4">
        <v>1.729934014143959</v>
      </c>
      <c r="Y74" s="526">
        <f t="shared" si="22"/>
        <v>3.06</v>
      </c>
      <c r="Z74" s="4">
        <f>IFERROR(VALUE(_xll.BDH(Z$4,"PX_LAST",$Q74,$Q74)),Z75)</f>
        <v>62.89</v>
      </c>
      <c r="AA74" s="4">
        <f>IFERROR(VALUE(_xll.BDH(AA$4,"PX_LAST",$Q74,$Q74)),AA75)</f>
        <v>29.54</v>
      </c>
      <c r="AB74" s="4">
        <f>IFERROR(VALUE(_xll.BDH(AB$4,"PX_LAST",$Q74,$Q74)),AB75)</f>
        <v>136.91999999999999</v>
      </c>
      <c r="AC74" s="4">
        <f>IFERROR(VALUE(_xll.BDH(AC$4,"PX_LAST",$Q74,$Q74)),AC75)</f>
        <v>10.31</v>
      </c>
      <c r="AD74" s="4">
        <f>IFERROR(VALUE(_xll.BDH(AD$4,"PX_LAST",$Q74,$Q74)),AD75)</f>
        <v>50.72</v>
      </c>
      <c r="AF74" s="4">
        <f t="shared" si="23"/>
        <v>1.3362445414847162</v>
      </c>
      <c r="AG74" s="4">
        <f t="shared" si="24"/>
        <v>2.1296986115814427</v>
      </c>
      <c r="AH74" s="4">
        <f t="shared" si="25"/>
        <v>1.0394088669950738</v>
      </c>
      <c r="AI74" s="4">
        <f t="shared" si="26"/>
        <v>1.4678387650085762</v>
      </c>
      <c r="AJ74" s="4">
        <f t="shared" si="27"/>
        <v>1.2839352428393527</v>
      </c>
      <c r="AK74" s="4">
        <f t="shared" si="28"/>
        <v>1.7363916466963367</v>
      </c>
      <c r="AM74" s="528">
        <v>45838</v>
      </c>
      <c r="AN74" s="529">
        <v>13.99</v>
      </c>
      <c r="AO74" s="529">
        <v>0</v>
      </c>
      <c r="AP74" s="529">
        <v>0</v>
      </c>
      <c r="AQ74" s="529">
        <v>-366.15887099999998</v>
      </c>
      <c r="AR74" s="529">
        <v>0</v>
      </c>
    </row>
    <row r="75" spans="2:44">
      <c r="B75" s="530">
        <f t="shared" ca="1" si="29"/>
        <v>45461</v>
      </c>
      <c r="C75" s="526">
        <f ca="1">(IFERROR(IFERROR(VALUE(_xll.BDH(C$4,"CURRENT_EV_TO_T12M_EBITDA",$B75,$B75)),VALUE(_xll.BDH(C$4,"CURRENT_EV_TO_T12M_EBITDA",$B75+1,$B75+1))),C76))</f>
        <v>0</v>
      </c>
      <c r="D75" s="526">
        <f ca="1">(IFERROR(IFERROR(VALUE(_xll.BDH(D$4,"CURRENT_EV_TO_T12M_EBITDA",$B75,$B75)),VALUE(_xll.BDH(D$4,"CURRENT_EV_TO_T12M_EBITDA",$B75+1,$B75+1))),D76))</f>
        <v>0</v>
      </c>
      <c r="E75" s="526">
        <f ca="1">(IFERROR(IFERROR(VALUE(_xll.BDH(E$4,"CURRENT_EV_TO_T12M_EBITDA",$B75,$B75)),VALUE(_xll.BDH(E$4,"CURRENT_EV_TO_T12M_EBITDA",$B75+1,$B75+1))),E76))</f>
        <v>0</v>
      </c>
      <c r="F75" s="526">
        <f ca="1">(IFERROR(IFERROR(VALUE(_xll.BDH(F$4,"CURRENT_EV_TO_T12M_EBITDA",$B75,$B75)),VALUE(_xll.BDH(F$4,"CURRENT_EV_TO_T12M_EBITDA",$B75+1,$B75+1))),F76))</f>
        <v>0</v>
      </c>
      <c r="G75" s="526">
        <f ca="1">(IFERROR(IFERROR(VALUE(_xll.BDH(G$4,"CURRENT_EV_TO_T12M_EBITDA",$B75,$B75)),VALUE(_xll.BDH(G$4,"CURRENT_EV_TO_T12M_EBITDA",$B75+1,$B75+1))),G76))</f>
        <v>0</v>
      </c>
      <c r="H75" s="526">
        <f ca="1">(IFERROR(IFERROR(VALUE(_xll.BDH(H$4,"CURRENT_EV_TO_T12M_EBITDA",$B75,$B75)),VALUE(_xll.BDH(H$4,"CURRENT_EV_TO_T12M_EBITDA",$B75+1,$B75+1))),H76))</f>
        <v>0</v>
      </c>
      <c r="I75" s="530">
        <f t="shared" ca="1" si="21"/>
        <v>45461</v>
      </c>
      <c r="J75" s="526">
        <f ca="1">(IFERROR(IFERROR(VALUE(_xll.BDH(J$4,"PE_RATIO",$B75,$B75)),VALUE(_xll.BDH(J$4,"PE_RATIO",$B75+1,$B75+1))),J76))</f>
        <v>0</v>
      </c>
      <c r="K75" s="526">
        <f ca="1">(IFERROR(IFERROR(VALUE(_xll.BDH(K$4,"PE_RATIO",$B75,$B75)),VALUE(_xll.BDH(K$4,"PE_RATIO",$B75+1,$B75+1))),K76))</f>
        <v>0</v>
      </c>
      <c r="L75" s="526">
        <f ca="1">(IFERROR(IFERROR(VALUE(_xll.BDH(L$4,"PE_RATIO",$B75,$B75)),VALUE(_xll.BDH(L$4,"PE_RATIO",$B75+1,$B75+1))),L76))</f>
        <v>0</v>
      </c>
      <c r="M75" s="526">
        <f ca="1">(IFERROR(IFERROR(VALUE(_xll.BDH(M$4,"PE_RATIO",$B75,$B75)),VALUE(_xll.BDH(M$4,"PE_RATIO",$B75+1,$B75+1))),M76))</f>
        <v>0</v>
      </c>
      <c r="N75" s="526">
        <f ca="1">(IFERROR(IFERROR(VALUE(_xll.BDH(N$4,"PE_RATIO",$B75,$B75)),VALUE(_xll.BDH(N$4,"PE_RATIO",$B75+1,$B75+1))),N76))</f>
        <v>0</v>
      </c>
      <c r="O75" s="526">
        <f ca="1">(IFERROR(IFERROR(VALUE(_xll.BDH(O$4,"PE_RATIO",$B75,$B75)),VALUE(_xll.BDH(O$4,"PE_RATIO",$B75+1,$B75+1))),O76))</f>
        <v>0</v>
      </c>
      <c r="P75" s="526"/>
      <c r="Q75" s="530">
        <v>45418</v>
      </c>
      <c r="R75" s="4">
        <v>2.68</v>
      </c>
      <c r="S75" s="4">
        <v>18093.57</v>
      </c>
      <c r="T75" s="4">
        <v>6573.78</v>
      </c>
      <c r="U75" s="4">
        <v>1.1703056768558953</v>
      </c>
      <c r="V75" s="4">
        <v>1.6077299759821078</v>
      </c>
      <c r="W75" s="4">
        <v>1.728882027598867</v>
      </c>
      <c r="Y75" s="526">
        <f t="shared" si="22"/>
        <v>2.68</v>
      </c>
      <c r="Z75" s="4">
        <f>IFERROR(VALUE(_xll.BDH(Z$4,"PX_LAST",$Q75,$Q75)),Z76)</f>
        <v>62.73</v>
      </c>
      <c r="AA75" s="4">
        <f>IFERROR(VALUE(_xll.BDH(AA$4,"PX_LAST",$Q75,$Q75)),AA76)</f>
        <v>30.44</v>
      </c>
      <c r="AB75" s="4">
        <f>IFERROR(VALUE(_xll.BDH(AB$4,"PX_LAST",$Q75,$Q75)),AB76)</f>
        <v>139.94</v>
      </c>
      <c r="AC75" s="4">
        <f>IFERROR(VALUE(_xll.BDH(AC$4,"PX_LAST",$Q75,$Q75)),AC76)</f>
        <v>10.32</v>
      </c>
      <c r="AD75" s="4">
        <f>IFERROR(VALUE(_xll.BDH(AD$4,"PX_LAST",$Q75,$Q75)),AD76)</f>
        <v>51.94</v>
      </c>
      <c r="AF75" s="4">
        <f t="shared" si="23"/>
        <v>1.1703056768558953</v>
      </c>
      <c r="AG75" s="4">
        <f t="shared" si="24"/>
        <v>2.12428039282086</v>
      </c>
      <c r="AH75" s="4">
        <f t="shared" si="25"/>
        <v>1.0710767065446869</v>
      </c>
      <c r="AI75" s="4">
        <f t="shared" si="26"/>
        <v>1.500214408233276</v>
      </c>
      <c r="AJ75" s="4">
        <f t="shared" si="27"/>
        <v>1.2851805728518058</v>
      </c>
      <c r="AK75" s="4">
        <f t="shared" si="28"/>
        <v>1.778158165011982</v>
      </c>
      <c r="AM75" s="528">
        <v>45837</v>
      </c>
      <c r="AN75" s="529">
        <v>14.61</v>
      </c>
      <c r="AO75" s="529">
        <v>-3542148</v>
      </c>
      <c r="AP75" s="529">
        <v>-52.345799999999997</v>
      </c>
      <c r="AQ75" s="529">
        <v>-1147.1582069999999</v>
      </c>
      <c r="AR75" s="529">
        <v>-1.1496</v>
      </c>
    </row>
    <row r="76" spans="2:44">
      <c r="B76" s="530">
        <f t="shared" ca="1" si="29"/>
        <v>45454</v>
      </c>
      <c r="C76" s="526">
        <f ca="1">(IFERROR(IFERROR(VALUE(_xll.BDH(C$4,"CURRENT_EV_TO_T12M_EBITDA",$B76,$B76)),VALUE(_xll.BDH(C$4,"CURRENT_EV_TO_T12M_EBITDA",$B76+1,$B76+1))),C77))</f>
        <v>0</v>
      </c>
      <c r="D76" s="526">
        <f ca="1">(IFERROR(IFERROR(VALUE(_xll.BDH(D$4,"CURRENT_EV_TO_T12M_EBITDA",$B76,$B76)),VALUE(_xll.BDH(D$4,"CURRENT_EV_TO_T12M_EBITDA",$B76+1,$B76+1))),D77))</f>
        <v>0</v>
      </c>
      <c r="E76" s="526">
        <f ca="1">(IFERROR(IFERROR(VALUE(_xll.BDH(E$4,"CURRENT_EV_TO_T12M_EBITDA",$B76,$B76)),VALUE(_xll.BDH(E$4,"CURRENT_EV_TO_T12M_EBITDA",$B76+1,$B76+1))),E77))</f>
        <v>0</v>
      </c>
      <c r="F76" s="526">
        <f ca="1">(IFERROR(IFERROR(VALUE(_xll.BDH(F$4,"CURRENT_EV_TO_T12M_EBITDA",$B76,$B76)),VALUE(_xll.BDH(F$4,"CURRENT_EV_TO_T12M_EBITDA",$B76+1,$B76+1))),F77))</f>
        <v>0</v>
      </c>
      <c r="G76" s="526">
        <f ca="1">(IFERROR(IFERROR(VALUE(_xll.BDH(G$4,"CURRENT_EV_TO_T12M_EBITDA",$B76,$B76)),VALUE(_xll.BDH(G$4,"CURRENT_EV_TO_T12M_EBITDA",$B76+1,$B76+1))),G77))</f>
        <v>0</v>
      </c>
      <c r="H76" s="526">
        <f ca="1">(IFERROR(IFERROR(VALUE(_xll.BDH(H$4,"CURRENT_EV_TO_T12M_EBITDA",$B76,$B76)),VALUE(_xll.BDH(H$4,"CURRENT_EV_TO_T12M_EBITDA",$B76+1,$B76+1))),H77))</f>
        <v>0</v>
      </c>
      <c r="I76" s="530">
        <f t="shared" ca="1" si="21"/>
        <v>45454</v>
      </c>
      <c r="J76" s="526">
        <f ca="1">(IFERROR(IFERROR(VALUE(_xll.BDH(J$4,"PE_RATIO",$B76,$B76)),VALUE(_xll.BDH(J$4,"PE_RATIO",$B76+1,$B76+1))),J77))</f>
        <v>0</v>
      </c>
      <c r="K76" s="526">
        <f ca="1">(IFERROR(IFERROR(VALUE(_xll.BDH(K$4,"PE_RATIO",$B76,$B76)),VALUE(_xll.BDH(K$4,"PE_RATIO",$B76+1,$B76+1))),K77))</f>
        <v>0</v>
      </c>
      <c r="L76" s="526">
        <f ca="1">(IFERROR(IFERROR(VALUE(_xll.BDH(L$4,"PE_RATIO",$B76,$B76)),VALUE(_xll.BDH(L$4,"PE_RATIO",$B76+1,$B76+1))),L77))</f>
        <v>0</v>
      </c>
      <c r="M76" s="526">
        <f ca="1">(IFERROR(IFERROR(VALUE(_xll.BDH(M$4,"PE_RATIO",$B76,$B76)),VALUE(_xll.BDH(M$4,"PE_RATIO",$B76+1,$B76+1))),M77))</f>
        <v>0</v>
      </c>
      <c r="N76" s="526">
        <f ca="1">(IFERROR(IFERROR(VALUE(_xll.BDH(N$4,"PE_RATIO",$B76,$B76)),VALUE(_xll.BDH(N$4,"PE_RATIO",$B76+1,$B76+1))),N77))</f>
        <v>0</v>
      </c>
      <c r="O76" s="526">
        <f ca="1">(IFERROR(IFERROR(VALUE(_xll.BDH(O$4,"PE_RATIO",$B76,$B76)),VALUE(_xll.BDH(O$4,"PE_RATIO",$B76+1,$B76+1))),O77))</f>
        <v>0</v>
      </c>
      <c r="P76" s="526"/>
      <c r="Q76" s="530">
        <v>45411</v>
      </c>
      <c r="R76" s="4">
        <v>2.73</v>
      </c>
      <c r="S76" s="4">
        <v>17782.72</v>
      </c>
      <c r="T76" s="4">
        <v>6434.39</v>
      </c>
      <c r="U76" s="4">
        <v>1.1921397379912664</v>
      </c>
      <c r="V76" s="4">
        <v>1.580108955750388</v>
      </c>
      <c r="W76" s="4">
        <v>1.6922229264687705</v>
      </c>
      <c r="Y76" s="526">
        <f t="shared" si="22"/>
        <v>2.73</v>
      </c>
      <c r="Z76" s="4">
        <f>IFERROR(VALUE(_xll.BDH(Z$4,"PX_LAST",$Q76,$Q76)),Z77)</f>
        <v>61.73</v>
      </c>
      <c r="AA76" s="4">
        <f>IFERROR(VALUE(_xll.BDH(AA$4,"PX_LAST",$Q76,$Q76)),AA77)</f>
        <v>26.13</v>
      </c>
      <c r="AB76" s="4">
        <f>IFERROR(VALUE(_xll.BDH(AB$4,"PX_LAST",$Q76,$Q76)),AB77)</f>
        <v>142.62</v>
      </c>
      <c r="AC76" s="4">
        <f>IFERROR(VALUE(_xll.BDH(AC$4,"PX_LAST",$Q76,$Q76)),AC77)</f>
        <v>11.18</v>
      </c>
      <c r="AD76" s="4">
        <f>IFERROR(VALUE(_xll.BDH(AD$4,"PX_LAST",$Q76,$Q76)),AD77)</f>
        <v>50.85</v>
      </c>
      <c r="AF76" s="4">
        <f t="shared" si="23"/>
        <v>1.1921397379912664</v>
      </c>
      <c r="AG76" s="4">
        <f t="shared" si="24"/>
        <v>2.0904165255672198</v>
      </c>
      <c r="AH76" s="4">
        <f t="shared" si="25"/>
        <v>0.91942294159042914</v>
      </c>
      <c r="AI76" s="4">
        <f t="shared" si="26"/>
        <v>1.5289451114922814</v>
      </c>
      <c r="AJ76" s="4">
        <f t="shared" si="27"/>
        <v>1.3922789539227896</v>
      </c>
      <c r="AK76" s="4">
        <f t="shared" si="28"/>
        <v>1.7408421773365286</v>
      </c>
      <c r="AM76" s="528">
        <v>45836</v>
      </c>
      <c r="AN76" s="529">
        <v>14.61</v>
      </c>
      <c r="AO76" s="529">
        <v>-1771074</v>
      </c>
      <c r="AP76" s="529">
        <v>-26.172899999999998</v>
      </c>
      <c r="AQ76" s="529">
        <v>-764.77213799999993</v>
      </c>
      <c r="AR76" s="529">
        <v>-0.57479999999999998</v>
      </c>
    </row>
    <row r="77" spans="2:44">
      <c r="B77" s="530">
        <f t="shared" ca="1" si="29"/>
        <v>45447</v>
      </c>
      <c r="C77" s="526">
        <f ca="1">(IFERROR(IFERROR(VALUE(_xll.BDH(C$4,"CURRENT_EV_TO_T12M_EBITDA",$B77,$B77)),VALUE(_xll.BDH(C$4,"CURRENT_EV_TO_T12M_EBITDA",$B77+1,$B77+1))),C78))</f>
        <v>0</v>
      </c>
      <c r="D77" s="526">
        <f ca="1">(IFERROR(IFERROR(VALUE(_xll.BDH(D$4,"CURRENT_EV_TO_T12M_EBITDA",$B77,$B77)),VALUE(_xll.BDH(D$4,"CURRENT_EV_TO_T12M_EBITDA",$B77+1,$B77+1))),D78))</f>
        <v>0</v>
      </c>
      <c r="E77" s="526">
        <f ca="1">(IFERROR(IFERROR(VALUE(_xll.BDH(E$4,"CURRENT_EV_TO_T12M_EBITDA",$B77,$B77)),VALUE(_xll.BDH(E$4,"CURRENT_EV_TO_T12M_EBITDA",$B77+1,$B77+1))),E78))</f>
        <v>0</v>
      </c>
      <c r="F77" s="526">
        <f ca="1">(IFERROR(IFERROR(VALUE(_xll.BDH(F$4,"CURRENT_EV_TO_T12M_EBITDA",$B77,$B77)),VALUE(_xll.BDH(F$4,"CURRENT_EV_TO_T12M_EBITDA",$B77+1,$B77+1))),F78))</f>
        <v>0</v>
      </c>
      <c r="G77" s="526">
        <f ca="1">(IFERROR(IFERROR(VALUE(_xll.BDH(G$4,"CURRENT_EV_TO_T12M_EBITDA",$B77,$B77)),VALUE(_xll.BDH(G$4,"CURRENT_EV_TO_T12M_EBITDA",$B77+1,$B77+1))),G78))</f>
        <v>0</v>
      </c>
      <c r="H77" s="526">
        <f ca="1">(IFERROR(IFERROR(VALUE(_xll.BDH(H$4,"CURRENT_EV_TO_T12M_EBITDA",$B77,$B77)),VALUE(_xll.BDH(H$4,"CURRENT_EV_TO_T12M_EBITDA",$B77+1,$B77+1))),H78))</f>
        <v>0</v>
      </c>
      <c r="I77" s="530">
        <f t="shared" ca="1" si="21"/>
        <v>45447</v>
      </c>
      <c r="J77" s="526">
        <f ca="1">(IFERROR(IFERROR(VALUE(_xll.BDH(J$4,"PE_RATIO",$B77,$B77)),VALUE(_xll.BDH(J$4,"PE_RATIO",$B77+1,$B77+1))),J78))</f>
        <v>0</v>
      </c>
      <c r="K77" s="526">
        <f ca="1">(IFERROR(IFERROR(VALUE(_xll.BDH(K$4,"PE_RATIO",$B77,$B77)),VALUE(_xll.BDH(K$4,"PE_RATIO",$B77+1,$B77+1))),K78))</f>
        <v>0</v>
      </c>
      <c r="L77" s="526">
        <f ca="1">(IFERROR(IFERROR(VALUE(_xll.BDH(L$4,"PE_RATIO",$B77,$B77)),VALUE(_xll.BDH(L$4,"PE_RATIO",$B77+1,$B77+1))),L78))</f>
        <v>0</v>
      </c>
      <c r="M77" s="526">
        <f ca="1">(IFERROR(IFERROR(VALUE(_xll.BDH(M$4,"PE_RATIO",$B77,$B77)),VALUE(_xll.BDH(M$4,"PE_RATIO",$B77+1,$B77+1))),M78))</f>
        <v>0</v>
      </c>
      <c r="N77" s="526">
        <f ca="1">(IFERROR(IFERROR(VALUE(_xll.BDH(N$4,"PE_RATIO",$B77,$B77)),VALUE(_xll.BDH(N$4,"PE_RATIO",$B77+1,$B77+1))),N78))</f>
        <v>0</v>
      </c>
      <c r="O77" s="526">
        <f ca="1">(IFERROR(IFERROR(VALUE(_xll.BDH(O$4,"PE_RATIO",$B77,$B77)),VALUE(_xll.BDH(O$4,"PE_RATIO",$B77+1,$B77+1))),O78))</f>
        <v>0</v>
      </c>
      <c r="P77" s="526"/>
      <c r="Q77" s="530">
        <v>45404</v>
      </c>
      <c r="R77" s="4">
        <v>2.98</v>
      </c>
      <c r="S77" s="4">
        <v>17210.89</v>
      </c>
      <c r="T77" s="4">
        <v>6386.77</v>
      </c>
      <c r="U77" s="4">
        <v>1.3013100436681222</v>
      </c>
      <c r="V77" s="4">
        <v>1.5292981852851979</v>
      </c>
      <c r="W77" s="4">
        <v>1.6796990266494494</v>
      </c>
      <c r="Y77" s="526">
        <f t="shared" si="22"/>
        <v>2.98</v>
      </c>
      <c r="Z77" s="4">
        <f>IFERROR(VALUE(_xll.BDH(Z$4,"PX_LAST",$Q77,$Q77)),Z78)</f>
        <v>61.23</v>
      </c>
      <c r="AA77" s="4">
        <f>IFERROR(VALUE(_xll.BDH(AA$4,"PX_LAST",$Q77,$Q77)),AA78)</f>
        <v>25.78</v>
      </c>
      <c r="AB77" s="4">
        <f>IFERROR(VALUE(_xll.BDH(AB$4,"PX_LAST",$Q77,$Q77)),AB78)</f>
        <v>135.71</v>
      </c>
      <c r="AC77" s="4">
        <f>IFERROR(VALUE(_xll.BDH(AC$4,"PX_LAST",$Q77,$Q77)),AC78)</f>
        <v>11.16</v>
      </c>
      <c r="AD77" s="4">
        <f>IFERROR(VALUE(_xll.BDH(AD$4,"PX_LAST",$Q77,$Q77)),AD78)</f>
        <v>49.16</v>
      </c>
      <c r="AF77" s="4">
        <f t="shared" si="23"/>
        <v>1.3013100436681222</v>
      </c>
      <c r="AG77" s="4">
        <f t="shared" si="24"/>
        <v>2.0734845919403995</v>
      </c>
      <c r="AH77" s="4">
        <f t="shared" si="25"/>
        <v>0.90710767065446862</v>
      </c>
      <c r="AI77" s="4">
        <f t="shared" si="26"/>
        <v>1.4548670668953689</v>
      </c>
      <c r="AJ77" s="4">
        <f t="shared" si="27"/>
        <v>1.3897882938978832</v>
      </c>
      <c r="AK77" s="4">
        <f t="shared" si="28"/>
        <v>1.6829852790140361</v>
      </c>
      <c r="AM77" s="528">
        <v>45835</v>
      </c>
      <c r="AN77" s="529">
        <v>14.61</v>
      </c>
      <c r="AO77" s="529">
        <v>0</v>
      </c>
      <c r="AP77" s="529">
        <v>0</v>
      </c>
      <c r="AQ77" s="529">
        <v>-382.38606899999996</v>
      </c>
      <c r="AR77" s="529">
        <v>0</v>
      </c>
    </row>
    <row r="78" spans="2:44">
      <c r="B78" s="530">
        <f t="shared" ca="1" si="29"/>
        <v>45440</v>
      </c>
      <c r="C78" s="526">
        <f ca="1">(IFERROR(IFERROR(VALUE(_xll.BDH(C$4,"CURRENT_EV_TO_T12M_EBITDA",$B78,$B78)),VALUE(_xll.BDH(C$4,"CURRENT_EV_TO_T12M_EBITDA",$B78+1,$B78+1))),C79))</f>
        <v>0</v>
      </c>
      <c r="D78" s="526">
        <f ca="1">(IFERROR(IFERROR(VALUE(_xll.BDH(D$4,"CURRENT_EV_TO_T12M_EBITDA",$B78,$B78)),VALUE(_xll.BDH(D$4,"CURRENT_EV_TO_T12M_EBITDA",$B78+1,$B78+1))),D79))</f>
        <v>0</v>
      </c>
      <c r="E78" s="526">
        <f ca="1">(IFERROR(IFERROR(VALUE(_xll.BDH(E$4,"CURRENT_EV_TO_T12M_EBITDA",$B78,$B78)),VALUE(_xll.BDH(E$4,"CURRENT_EV_TO_T12M_EBITDA",$B78+1,$B78+1))),E79))</f>
        <v>0</v>
      </c>
      <c r="F78" s="526">
        <f ca="1">(IFERROR(IFERROR(VALUE(_xll.BDH(F$4,"CURRENT_EV_TO_T12M_EBITDA",$B78,$B78)),VALUE(_xll.BDH(F$4,"CURRENT_EV_TO_T12M_EBITDA",$B78+1,$B78+1))),F79))</f>
        <v>0</v>
      </c>
      <c r="G78" s="526">
        <f ca="1">(IFERROR(IFERROR(VALUE(_xll.BDH(G$4,"CURRENT_EV_TO_T12M_EBITDA",$B78,$B78)),VALUE(_xll.BDH(G$4,"CURRENT_EV_TO_T12M_EBITDA",$B78+1,$B78+1))),G79))</f>
        <v>0</v>
      </c>
      <c r="H78" s="526">
        <f ca="1">(IFERROR(IFERROR(VALUE(_xll.BDH(H$4,"CURRENT_EV_TO_T12M_EBITDA",$B78,$B78)),VALUE(_xll.BDH(H$4,"CURRENT_EV_TO_T12M_EBITDA",$B78+1,$B78+1))),H79))</f>
        <v>0</v>
      </c>
      <c r="I78" s="530">
        <f t="shared" ca="1" si="21"/>
        <v>45440</v>
      </c>
      <c r="J78" s="526">
        <f ca="1">(IFERROR(IFERROR(VALUE(_xll.BDH(J$4,"PE_RATIO",$B78,$B78)),VALUE(_xll.BDH(J$4,"PE_RATIO",$B78+1,$B78+1))),J79))</f>
        <v>0</v>
      </c>
      <c r="K78" s="526">
        <f ca="1">(IFERROR(IFERROR(VALUE(_xll.BDH(K$4,"PE_RATIO",$B78,$B78)),VALUE(_xll.BDH(K$4,"PE_RATIO",$B78+1,$B78+1))),K79))</f>
        <v>0</v>
      </c>
      <c r="L78" s="526">
        <f ca="1">(IFERROR(IFERROR(VALUE(_xll.BDH(L$4,"PE_RATIO",$B78,$B78)),VALUE(_xll.BDH(L$4,"PE_RATIO",$B78+1,$B78+1))),L79))</f>
        <v>0</v>
      </c>
      <c r="M78" s="526">
        <f ca="1">(IFERROR(IFERROR(VALUE(_xll.BDH(M$4,"PE_RATIO",$B78,$B78)),VALUE(_xll.BDH(M$4,"PE_RATIO",$B78+1,$B78+1))),M79))</f>
        <v>0</v>
      </c>
      <c r="N78" s="526">
        <f ca="1">(IFERROR(IFERROR(VALUE(_xll.BDH(N$4,"PE_RATIO",$B78,$B78)),VALUE(_xll.BDH(N$4,"PE_RATIO",$B78+1,$B78+1))),N79))</f>
        <v>0</v>
      </c>
      <c r="O78" s="526">
        <f ca="1">(IFERROR(IFERROR(VALUE(_xll.BDH(O$4,"PE_RATIO",$B78,$B78)),VALUE(_xll.BDH(O$4,"PE_RATIO",$B78+1,$B78+1))),O79))</f>
        <v>0</v>
      </c>
      <c r="P78" s="526"/>
      <c r="Q78" s="530">
        <v>45397</v>
      </c>
      <c r="R78" s="4">
        <v>3.04</v>
      </c>
      <c r="S78" s="4">
        <v>17706.830000000002</v>
      </c>
      <c r="T78" s="4">
        <v>6551.18</v>
      </c>
      <c r="U78" s="4">
        <v>1.3275109170305677</v>
      </c>
      <c r="V78" s="4">
        <v>1.5733656415300723</v>
      </c>
      <c r="W78" s="4">
        <v>1.7229383036190968</v>
      </c>
      <c r="Y78" s="526">
        <f t="shared" si="22"/>
        <v>3.04</v>
      </c>
      <c r="Z78" s="4">
        <f>IFERROR(VALUE(_xll.BDH(Z$4,"PX_LAST",$Q78,$Q78)),Z79)</f>
        <v>59.15</v>
      </c>
      <c r="AA78" s="4">
        <f>IFERROR(VALUE(_xll.BDH(AA$4,"PX_LAST",$Q78,$Q78)),AA79)</f>
        <v>24.86</v>
      </c>
      <c r="AB78" s="4">
        <f>IFERROR(VALUE(_xll.BDH(AB$4,"PX_LAST",$Q78,$Q78)),AB79)</f>
        <v>134.49</v>
      </c>
      <c r="AC78" s="4">
        <f>IFERROR(VALUE(_xll.BDH(AC$4,"PX_LAST",$Q78,$Q78)),AC79)</f>
        <v>10.82</v>
      </c>
      <c r="AD78" s="4">
        <f>IFERROR(VALUE(_xll.BDH(AD$4,"PX_LAST",$Q78,$Q78)),AD79)</f>
        <v>46.83</v>
      </c>
      <c r="AF78" s="4">
        <f t="shared" si="23"/>
        <v>1.3275109170305677</v>
      </c>
      <c r="AG78" s="4">
        <f t="shared" si="24"/>
        <v>2.0030477480528277</v>
      </c>
      <c r="AH78" s="4">
        <f t="shared" si="25"/>
        <v>0.87473610133708646</v>
      </c>
      <c r="AI78" s="4">
        <f t="shared" si="26"/>
        <v>1.4417881646655233</v>
      </c>
      <c r="AJ78" s="4">
        <f t="shared" si="27"/>
        <v>1.3474470734744708</v>
      </c>
      <c r="AK78" s="4">
        <f t="shared" si="28"/>
        <v>1.6032180760013692</v>
      </c>
      <c r="AM78" s="528">
        <v>45834</v>
      </c>
      <c r="AN78" s="529">
        <v>14.5</v>
      </c>
      <c r="AO78" s="529">
        <v>0</v>
      </c>
      <c r="AP78" s="529">
        <v>0</v>
      </c>
      <c r="AQ78" s="529">
        <v>-379.50704999999999</v>
      </c>
      <c r="AR78" s="529">
        <v>0</v>
      </c>
    </row>
    <row r="79" spans="2:44">
      <c r="B79" s="530">
        <f t="shared" ca="1" si="29"/>
        <v>45433</v>
      </c>
      <c r="C79" s="526">
        <f ca="1">(IFERROR(IFERROR(VALUE(_xll.BDH(C$4,"CURRENT_EV_TO_T12M_EBITDA",$B79,$B79)),VALUE(_xll.BDH(C$4,"CURRENT_EV_TO_T12M_EBITDA",$B79+1,$B79+1))),C80))</f>
        <v>0</v>
      </c>
      <c r="D79" s="526">
        <f ca="1">(IFERROR(IFERROR(VALUE(_xll.BDH(D$4,"CURRENT_EV_TO_T12M_EBITDA",$B79,$B79)),VALUE(_xll.BDH(D$4,"CURRENT_EV_TO_T12M_EBITDA",$B79+1,$B79+1))),D80))</f>
        <v>0</v>
      </c>
      <c r="E79" s="526">
        <f ca="1">(IFERROR(IFERROR(VALUE(_xll.BDH(E$4,"CURRENT_EV_TO_T12M_EBITDA",$B79,$B79)),VALUE(_xll.BDH(E$4,"CURRENT_EV_TO_T12M_EBITDA",$B79+1,$B79+1))),E80))</f>
        <v>0</v>
      </c>
      <c r="F79" s="526">
        <f ca="1">(IFERROR(IFERROR(VALUE(_xll.BDH(F$4,"CURRENT_EV_TO_T12M_EBITDA",$B79,$B79)),VALUE(_xll.BDH(F$4,"CURRENT_EV_TO_T12M_EBITDA",$B79+1,$B79+1))),F80))</f>
        <v>0</v>
      </c>
      <c r="G79" s="526">
        <f ca="1">(IFERROR(IFERROR(VALUE(_xll.BDH(G$4,"CURRENT_EV_TO_T12M_EBITDA",$B79,$B79)),VALUE(_xll.BDH(G$4,"CURRENT_EV_TO_T12M_EBITDA",$B79+1,$B79+1))),G80))</f>
        <v>0</v>
      </c>
      <c r="H79" s="526">
        <f ca="1">(IFERROR(IFERROR(VALUE(_xll.BDH(H$4,"CURRENT_EV_TO_T12M_EBITDA",$B79,$B79)),VALUE(_xll.BDH(H$4,"CURRENT_EV_TO_T12M_EBITDA",$B79+1,$B79+1))),H80))</f>
        <v>0</v>
      </c>
      <c r="I79" s="530">
        <f t="shared" ca="1" si="21"/>
        <v>45433</v>
      </c>
      <c r="J79" s="526">
        <f ca="1">(IFERROR(IFERROR(VALUE(_xll.BDH(J$4,"PE_RATIO",$B79,$B79)),VALUE(_xll.BDH(J$4,"PE_RATIO",$B79+1,$B79+1))),J80))</f>
        <v>0</v>
      </c>
      <c r="K79" s="526">
        <f ca="1">(IFERROR(IFERROR(VALUE(_xll.BDH(K$4,"PE_RATIO",$B79,$B79)),VALUE(_xll.BDH(K$4,"PE_RATIO",$B79+1,$B79+1))),K80))</f>
        <v>0</v>
      </c>
      <c r="L79" s="526">
        <f ca="1">(IFERROR(IFERROR(VALUE(_xll.BDH(L$4,"PE_RATIO",$B79,$B79)),VALUE(_xll.BDH(L$4,"PE_RATIO",$B79+1,$B79+1))),L80))</f>
        <v>0</v>
      </c>
      <c r="M79" s="526">
        <f ca="1">(IFERROR(IFERROR(VALUE(_xll.BDH(M$4,"PE_RATIO",$B79,$B79)),VALUE(_xll.BDH(M$4,"PE_RATIO",$B79+1,$B79+1))),M80))</f>
        <v>0</v>
      </c>
      <c r="N79" s="526">
        <f ca="1">(IFERROR(IFERROR(VALUE(_xll.BDH(N$4,"PE_RATIO",$B79,$B79)),VALUE(_xll.BDH(N$4,"PE_RATIO",$B79+1,$B79+1))),N80))</f>
        <v>0</v>
      </c>
      <c r="O79" s="526">
        <f ca="1">(IFERROR(IFERROR(VALUE(_xll.BDH(O$4,"PE_RATIO",$B79,$B79)),VALUE(_xll.BDH(O$4,"PE_RATIO",$B79+1,$B79+1))),O80))</f>
        <v>0</v>
      </c>
      <c r="P79" s="526"/>
      <c r="Q79" s="530">
        <v>45390</v>
      </c>
      <c r="R79" s="4">
        <v>2.56</v>
      </c>
      <c r="S79" s="4">
        <v>18100.189999999999</v>
      </c>
      <c r="T79" s="4">
        <v>6784.09</v>
      </c>
      <c r="U79" s="4">
        <v>1.1179039301310043</v>
      </c>
      <c r="V79" s="4">
        <v>1.6083182055266918</v>
      </c>
      <c r="W79" s="4">
        <v>1.7841928501734463</v>
      </c>
      <c r="Y79" s="526">
        <f t="shared" si="22"/>
        <v>2.56</v>
      </c>
      <c r="Z79" s="4">
        <f>IFERROR(VALUE(_xll.BDH(Z$4,"PX_LAST",$Q79,$Q79)),Z80)</f>
        <v>63.01</v>
      </c>
      <c r="AA79" s="4">
        <f>IFERROR(VALUE(_xll.BDH(AA$4,"PX_LAST",$Q79,$Q79)),AA80)</f>
        <v>24.76</v>
      </c>
      <c r="AB79" s="4">
        <f>IFERROR(VALUE(_xll.BDH(AB$4,"PX_LAST",$Q79,$Q79)),AB80)</f>
        <v>141.74</v>
      </c>
      <c r="AC79" s="4">
        <f>IFERROR(VALUE(_xll.BDH(AC$4,"PX_LAST",$Q79,$Q79)),AC80)</f>
        <v>10.83</v>
      </c>
      <c r="AD79" s="4">
        <f>IFERROR(VALUE(_xll.BDH(AD$4,"PX_LAST",$Q79,$Q79)),AD80)</f>
        <v>49.72</v>
      </c>
      <c r="AF79" s="4">
        <f t="shared" si="23"/>
        <v>1.1179039301310043</v>
      </c>
      <c r="AG79" s="4">
        <f t="shared" si="24"/>
        <v>2.1337622756518795</v>
      </c>
      <c r="AH79" s="4">
        <f t="shared" si="25"/>
        <v>0.87121745249824067</v>
      </c>
      <c r="AI79" s="4">
        <f t="shared" si="26"/>
        <v>1.5195111492281304</v>
      </c>
      <c r="AJ79" s="4">
        <f t="shared" si="27"/>
        <v>1.3486924034869241</v>
      </c>
      <c r="AK79" s="4">
        <f t="shared" si="28"/>
        <v>1.7021567956179389</v>
      </c>
      <c r="AM79" s="528">
        <v>45833</v>
      </c>
      <c r="AN79" s="529">
        <v>14.45</v>
      </c>
      <c r="AO79" s="529">
        <v>0</v>
      </c>
      <c r="AP79" s="529">
        <v>0</v>
      </c>
      <c r="AQ79" s="529">
        <v>-378.19840499999998</v>
      </c>
      <c r="AR79" s="529">
        <v>0</v>
      </c>
    </row>
    <row r="80" spans="2:44">
      <c r="B80" s="530">
        <f t="shared" ca="1" si="29"/>
        <v>45426</v>
      </c>
      <c r="C80" s="526">
        <f ca="1">(IFERROR(IFERROR(VALUE(_xll.BDH(C$4,"CURRENT_EV_TO_T12M_EBITDA",$B80,$B80)),VALUE(_xll.BDH(C$4,"CURRENT_EV_TO_T12M_EBITDA",$B80+1,$B80+1))),C81))</f>
        <v>0</v>
      </c>
      <c r="D80" s="526">
        <f ca="1">(IFERROR(IFERROR(VALUE(_xll.BDH(D$4,"CURRENT_EV_TO_T12M_EBITDA",$B80,$B80)),VALUE(_xll.BDH(D$4,"CURRENT_EV_TO_T12M_EBITDA",$B80+1,$B80+1))),D81))</f>
        <v>0</v>
      </c>
      <c r="E80" s="526">
        <f ca="1">(IFERROR(IFERROR(VALUE(_xll.BDH(E$4,"CURRENT_EV_TO_T12M_EBITDA",$B80,$B80)),VALUE(_xll.BDH(E$4,"CURRENT_EV_TO_T12M_EBITDA",$B80+1,$B80+1))),E81))</f>
        <v>0</v>
      </c>
      <c r="F80" s="526">
        <f ca="1">(IFERROR(IFERROR(VALUE(_xll.BDH(F$4,"CURRENT_EV_TO_T12M_EBITDA",$B80,$B80)),VALUE(_xll.BDH(F$4,"CURRENT_EV_TO_T12M_EBITDA",$B80+1,$B80+1))),F81))</f>
        <v>0</v>
      </c>
      <c r="G80" s="526">
        <f ca="1">(IFERROR(IFERROR(VALUE(_xll.BDH(G$4,"CURRENT_EV_TO_T12M_EBITDA",$B80,$B80)),VALUE(_xll.BDH(G$4,"CURRENT_EV_TO_T12M_EBITDA",$B80+1,$B80+1))),G81))</f>
        <v>0</v>
      </c>
      <c r="H80" s="526">
        <f ca="1">(IFERROR(IFERROR(VALUE(_xll.BDH(H$4,"CURRENT_EV_TO_T12M_EBITDA",$B80,$B80)),VALUE(_xll.BDH(H$4,"CURRENT_EV_TO_T12M_EBITDA",$B80+1,$B80+1))),H81))</f>
        <v>0</v>
      </c>
      <c r="I80" s="530">
        <f t="shared" ca="1" si="21"/>
        <v>45426</v>
      </c>
      <c r="J80" s="526">
        <f ca="1">(IFERROR(IFERROR(VALUE(_xll.BDH(J$4,"PE_RATIO",$B80,$B80)),VALUE(_xll.BDH(J$4,"PE_RATIO",$B80+1,$B80+1))),J81))</f>
        <v>0</v>
      </c>
      <c r="K80" s="526">
        <f ca="1">(IFERROR(IFERROR(VALUE(_xll.BDH(K$4,"PE_RATIO",$B80,$B80)),VALUE(_xll.BDH(K$4,"PE_RATIO",$B80+1,$B80+1))),K81))</f>
        <v>0</v>
      </c>
      <c r="L80" s="526">
        <f ca="1">(IFERROR(IFERROR(VALUE(_xll.BDH(L$4,"PE_RATIO",$B80,$B80)),VALUE(_xll.BDH(L$4,"PE_RATIO",$B80+1,$B80+1))),L81))</f>
        <v>0</v>
      </c>
      <c r="M80" s="526">
        <f ca="1">(IFERROR(IFERROR(VALUE(_xll.BDH(M$4,"PE_RATIO",$B80,$B80)),VALUE(_xll.BDH(M$4,"PE_RATIO",$B80+1,$B80+1))),M81))</f>
        <v>0</v>
      </c>
      <c r="N80" s="526">
        <f ca="1">(IFERROR(IFERROR(VALUE(_xll.BDH(N$4,"PE_RATIO",$B80,$B80)),VALUE(_xll.BDH(N$4,"PE_RATIO",$B80+1,$B80+1))),N81))</f>
        <v>0</v>
      </c>
      <c r="O80" s="526">
        <f ca="1">(IFERROR(IFERROR(VALUE(_xll.BDH(O$4,"PE_RATIO",$B80,$B80)),VALUE(_xll.BDH(O$4,"PE_RATIO",$B80+1,$B80+1))),O81))</f>
        <v>0</v>
      </c>
      <c r="P80" s="526"/>
      <c r="Q80" s="530">
        <v>45383</v>
      </c>
      <c r="R80" s="4">
        <v>2.5</v>
      </c>
      <c r="S80" s="4">
        <v>18293.2</v>
      </c>
      <c r="T80" s="4">
        <v>6803.35</v>
      </c>
      <c r="U80" s="4">
        <v>1.0917030567685588</v>
      </c>
      <c r="V80" s="4">
        <v>1.6254683844391071</v>
      </c>
      <c r="W80" s="4">
        <v>1.7892581653880648</v>
      </c>
      <c r="Y80" s="526">
        <f t="shared" si="22"/>
        <v>2.5</v>
      </c>
      <c r="Z80" s="4">
        <f>IFERROR(VALUE(_xll.BDH(Z$4,"PX_LAST",$Q80,$Q80)),Z81)</f>
        <v>61.77</v>
      </c>
      <c r="AA80" s="4">
        <f>IFERROR(VALUE(_xll.BDH(AA$4,"PX_LAST",$Q80,$Q80)),AA81)</f>
        <v>24.06</v>
      </c>
      <c r="AB80" s="4">
        <f>IFERROR(VALUE(_xll.BDH(AB$4,"PX_LAST",$Q80,$Q80)),AB81)</f>
        <v>138.94999999999999</v>
      </c>
      <c r="AC80" s="4">
        <f>IFERROR(VALUE(_xll.BDH(AC$4,"PX_LAST",$Q80,$Q80)),AC81)</f>
        <v>11.11</v>
      </c>
      <c r="AD80" s="4">
        <f>IFERROR(VALUE(_xll.BDH(AD$4,"PX_LAST",$Q80,$Q80)),AD81)</f>
        <v>50.23</v>
      </c>
      <c r="AF80" s="4">
        <f t="shared" si="23"/>
        <v>1.0917030567685588</v>
      </c>
      <c r="AG80" s="4">
        <f t="shared" si="24"/>
        <v>2.0917710802573652</v>
      </c>
      <c r="AH80" s="4">
        <f t="shared" si="25"/>
        <v>0.84658691062631941</v>
      </c>
      <c r="AI80" s="4">
        <f t="shared" si="26"/>
        <v>1.4896012006861061</v>
      </c>
      <c r="AJ80" s="4">
        <f t="shared" si="27"/>
        <v>1.3835616438356164</v>
      </c>
      <c r="AK80" s="4">
        <f t="shared" si="28"/>
        <v>1.7196165696679218</v>
      </c>
      <c r="AM80" s="528">
        <v>45832</v>
      </c>
      <c r="AN80" s="529">
        <v>14.48</v>
      </c>
      <c r="AO80" s="529">
        <v>0</v>
      </c>
      <c r="AP80" s="529">
        <v>0</v>
      </c>
      <c r="AQ80" s="529">
        <v>-378.98359199999999</v>
      </c>
      <c r="AR80" s="529">
        <v>0</v>
      </c>
    </row>
    <row r="81" spans="2:44">
      <c r="B81" s="530">
        <f t="shared" ca="1" si="29"/>
        <v>45419</v>
      </c>
      <c r="C81" s="526">
        <f ca="1">(IFERROR(IFERROR(VALUE(_xll.BDH(C$4,"CURRENT_EV_TO_T12M_EBITDA",$B81,$B81)),VALUE(_xll.BDH(C$4,"CURRENT_EV_TO_T12M_EBITDA",$B81+1,$B81+1))),C82))</f>
        <v>0</v>
      </c>
      <c r="D81" s="526">
        <f ca="1">(IFERROR(IFERROR(VALUE(_xll.BDH(D$4,"CURRENT_EV_TO_T12M_EBITDA",$B81,$B81)),VALUE(_xll.BDH(D$4,"CURRENT_EV_TO_T12M_EBITDA",$B81+1,$B81+1))),D82))</f>
        <v>0</v>
      </c>
      <c r="E81" s="526">
        <f ca="1">(IFERROR(IFERROR(VALUE(_xll.BDH(E$4,"CURRENT_EV_TO_T12M_EBITDA",$B81,$B81)),VALUE(_xll.BDH(E$4,"CURRENT_EV_TO_T12M_EBITDA",$B81+1,$B81+1))),E82))</f>
        <v>0</v>
      </c>
      <c r="F81" s="526">
        <f ca="1">(IFERROR(IFERROR(VALUE(_xll.BDH(F$4,"CURRENT_EV_TO_T12M_EBITDA",$B81,$B81)),VALUE(_xll.BDH(F$4,"CURRENT_EV_TO_T12M_EBITDA",$B81+1,$B81+1))),F82))</f>
        <v>0</v>
      </c>
      <c r="G81" s="526">
        <f ca="1">(IFERROR(IFERROR(VALUE(_xll.BDH(G$4,"CURRENT_EV_TO_T12M_EBITDA",$B81,$B81)),VALUE(_xll.BDH(G$4,"CURRENT_EV_TO_T12M_EBITDA",$B81+1,$B81+1))),G82))</f>
        <v>0</v>
      </c>
      <c r="H81" s="526">
        <f ca="1">(IFERROR(IFERROR(VALUE(_xll.BDH(H$4,"CURRENT_EV_TO_T12M_EBITDA",$B81,$B81)),VALUE(_xll.BDH(H$4,"CURRENT_EV_TO_T12M_EBITDA",$B81+1,$B81+1))),H82))</f>
        <v>0</v>
      </c>
      <c r="I81" s="530">
        <f t="shared" ca="1" si="21"/>
        <v>45419</v>
      </c>
      <c r="J81" s="526">
        <f ca="1">(IFERROR(IFERROR(VALUE(_xll.BDH(J$4,"PE_RATIO",$B81,$B81)),VALUE(_xll.BDH(J$4,"PE_RATIO",$B81+1,$B81+1))),J82))</f>
        <v>0</v>
      </c>
      <c r="K81" s="526">
        <f ca="1">(IFERROR(IFERROR(VALUE(_xll.BDH(K$4,"PE_RATIO",$B81,$B81)),VALUE(_xll.BDH(K$4,"PE_RATIO",$B81+1,$B81+1))),K82))</f>
        <v>0</v>
      </c>
      <c r="L81" s="526">
        <f ca="1">(IFERROR(IFERROR(VALUE(_xll.BDH(L$4,"PE_RATIO",$B81,$B81)),VALUE(_xll.BDH(L$4,"PE_RATIO",$B81+1,$B81+1))),L82))</f>
        <v>0</v>
      </c>
      <c r="M81" s="526">
        <f ca="1">(IFERROR(IFERROR(VALUE(_xll.BDH(M$4,"PE_RATIO",$B81,$B81)),VALUE(_xll.BDH(M$4,"PE_RATIO",$B81+1,$B81+1))),M82))</f>
        <v>0</v>
      </c>
      <c r="N81" s="526">
        <f ca="1">(IFERROR(IFERROR(VALUE(_xll.BDH(N$4,"PE_RATIO",$B81,$B81)),VALUE(_xll.BDH(N$4,"PE_RATIO",$B81+1,$B81+1))),N82))</f>
        <v>0</v>
      </c>
      <c r="O81" s="526">
        <f ca="1">(IFERROR(IFERROR(VALUE(_xll.BDH(O$4,"PE_RATIO",$B81,$B81)),VALUE(_xll.BDH(O$4,"PE_RATIO",$B81+1,$B81+1))),O82))</f>
        <v>0</v>
      </c>
      <c r="P81" s="526"/>
      <c r="Q81" s="530">
        <v>45376</v>
      </c>
      <c r="R81" s="4">
        <v>2.38</v>
      </c>
      <c r="S81" s="4">
        <v>18277.060000000001</v>
      </c>
      <c r="T81" s="4">
        <v>6803.03</v>
      </c>
      <c r="U81" s="4">
        <v>1.0393013100436681</v>
      </c>
      <c r="V81" s="4">
        <v>1.6240342417125833</v>
      </c>
      <c r="W81" s="4">
        <v>1.7891740064644572</v>
      </c>
      <c r="Y81" s="526">
        <f t="shared" si="22"/>
        <v>2.38</v>
      </c>
      <c r="Z81" s="4">
        <f>IFERROR(VALUE(_xll.BDH(Z$4,"PX_LAST",$Q81,$Q81)),Z82)</f>
        <v>60.66</v>
      </c>
      <c r="AA81" s="4">
        <f>IFERROR(VALUE(_xll.BDH(AA$4,"PX_LAST",$Q81,$Q81)),AA82)</f>
        <v>24.25</v>
      </c>
      <c r="AB81" s="4">
        <f>IFERROR(VALUE(_xll.BDH(AB$4,"PX_LAST",$Q81,$Q81)),AB82)</f>
        <v>136.93</v>
      </c>
      <c r="AC81" s="4">
        <f>IFERROR(VALUE(_xll.BDH(AC$4,"PX_LAST",$Q81,$Q81)),AC82)</f>
        <v>10.78</v>
      </c>
      <c r="AD81" s="4">
        <f>IFERROR(VALUE(_xll.BDH(AD$4,"PX_LAST",$Q81,$Q81)),AD82)</f>
        <v>49.55</v>
      </c>
      <c r="AF81" s="4">
        <f t="shared" si="23"/>
        <v>1.0393013100436681</v>
      </c>
      <c r="AG81" s="4">
        <f t="shared" si="24"/>
        <v>2.0541821876058246</v>
      </c>
      <c r="AH81" s="4">
        <f t="shared" si="25"/>
        <v>0.85327234342012659</v>
      </c>
      <c r="AI81" s="4">
        <f t="shared" si="26"/>
        <v>1.4679459691252144</v>
      </c>
      <c r="AJ81" s="4">
        <f t="shared" si="27"/>
        <v>1.3424657534246576</v>
      </c>
      <c r="AK81" s="4">
        <f t="shared" si="28"/>
        <v>1.6963368709346114</v>
      </c>
      <c r="AM81" s="528">
        <v>45831</v>
      </c>
      <c r="AN81" s="529">
        <v>13.4</v>
      </c>
      <c r="AO81" s="529">
        <v>0</v>
      </c>
      <c r="AP81" s="529">
        <v>0</v>
      </c>
      <c r="AQ81" s="529">
        <v>-350.71686</v>
      </c>
      <c r="AR81" s="529">
        <v>0</v>
      </c>
    </row>
    <row r="82" spans="2:44">
      <c r="B82" s="530">
        <f t="shared" ca="1" si="29"/>
        <v>45412</v>
      </c>
      <c r="C82" s="526">
        <f ca="1">(IFERROR(IFERROR(VALUE(_xll.BDH(C$4,"CURRENT_EV_TO_T12M_EBITDA",$B82,$B82)),VALUE(_xll.BDH(C$4,"CURRENT_EV_TO_T12M_EBITDA",$B82+1,$B82+1))),C83))</f>
        <v>0</v>
      </c>
      <c r="D82" s="526">
        <f ca="1">(IFERROR(IFERROR(VALUE(_xll.BDH(D$4,"CURRENT_EV_TO_T12M_EBITDA",$B82,$B82)),VALUE(_xll.BDH(D$4,"CURRENT_EV_TO_T12M_EBITDA",$B82+1,$B82+1))),D83))</f>
        <v>0</v>
      </c>
      <c r="E82" s="526">
        <f ca="1">(IFERROR(IFERROR(VALUE(_xll.BDH(E$4,"CURRENT_EV_TO_T12M_EBITDA",$B82,$B82)),VALUE(_xll.BDH(E$4,"CURRENT_EV_TO_T12M_EBITDA",$B82+1,$B82+1))),E83))</f>
        <v>0</v>
      </c>
      <c r="F82" s="526">
        <f ca="1">(IFERROR(IFERROR(VALUE(_xll.BDH(F$4,"CURRENT_EV_TO_T12M_EBITDA",$B82,$B82)),VALUE(_xll.BDH(F$4,"CURRENT_EV_TO_T12M_EBITDA",$B82+1,$B82+1))),F83))</f>
        <v>0</v>
      </c>
      <c r="G82" s="526">
        <f ca="1">(IFERROR(IFERROR(VALUE(_xll.BDH(G$4,"CURRENT_EV_TO_T12M_EBITDA",$B82,$B82)),VALUE(_xll.BDH(G$4,"CURRENT_EV_TO_T12M_EBITDA",$B82+1,$B82+1))),G83))</f>
        <v>0</v>
      </c>
      <c r="H82" s="526">
        <f ca="1">(IFERROR(IFERROR(VALUE(_xll.BDH(H$4,"CURRENT_EV_TO_T12M_EBITDA",$B82,$B82)),VALUE(_xll.BDH(H$4,"CURRENT_EV_TO_T12M_EBITDA",$B82+1,$B82+1))),H83))</f>
        <v>0</v>
      </c>
      <c r="I82" s="530">
        <f t="shared" ca="1" si="21"/>
        <v>45412</v>
      </c>
      <c r="J82" s="526">
        <f ca="1">(IFERROR(IFERROR(VALUE(_xll.BDH(J$4,"PE_RATIO",$B82,$B82)),VALUE(_xll.BDH(J$4,"PE_RATIO",$B82+1,$B82+1))),J83))</f>
        <v>0</v>
      </c>
      <c r="K82" s="526">
        <f ca="1">(IFERROR(IFERROR(VALUE(_xll.BDH(K$4,"PE_RATIO",$B82,$B82)),VALUE(_xll.BDH(K$4,"PE_RATIO",$B82+1,$B82+1))),K83))</f>
        <v>0</v>
      </c>
      <c r="L82" s="526">
        <f ca="1">(IFERROR(IFERROR(VALUE(_xll.BDH(L$4,"PE_RATIO",$B82,$B82)),VALUE(_xll.BDH(L$4,"PE_RATIO",$B82+1,$B82+1))),L83))</f>
        <v>0</v>
      </c>
      <c r="M82" s="526">
        <f ca="1">(IFERROR(IFERROR(VALUE(_xll.BDH(M$4,"PE_RATIO",$B82,$B82)),VALUE(_xll.BDH(M$4,"PE_RATIO",$B82+1,$B82+1))),M83))</f>
        <v>0</v>
      </c>
      <c r="N82" s="526">
        <f ca="1">(IFERROR(IFERROR(VALUE(_xll.BDH(N$4,"PE_RATIO",$B82,$B82)),VALUE(_xll.BDH(N$4,"PE_RATIO",$B82+1,$B82+1))),N83))</f>
        <v>0</v>
      </c>
      <c r="O82" s="526">
        <f ca="1">(IFERROR(IFERROR(VALUE(_xll.BDH(O$4,"PE_RATIO",$B82,$B82)),VALUE(_xll.BDH(O$4,"PE_RATIO",$B82+1,$B82+1))),O83))</f>
        <v>0</v>
      </c>
      <c r="P82" s="526"/>
      <c r="Q82" s="530">
        <v>45369</v>
      </c>
      <c r="R82" s="4">
        <v>2.41</v>
      </c>
      <c r="S82" s="4">
        <v>17985.009999999998</v>
      </c>
      <c r="T82" s="4">
        <v>6716.8</v>
      </c>
      <c r="U82" s="4">
        <v>1.052401746724891</v>
      </c>
      <c r="V82" s="4">
        <v>1.598083722302341</v>
      </c>
      <c r="W82" s="4">
        <v>1.7664958065186347</v>
      </c>
      <c r="Y82" s="526">
        <f t="shared" si="22"/>
        <v>2.41</v>
      </c>
      <c r="Z82" s="4">
        <f>IFERROR(VALUE(_xll.BDH(Z$4,"PX_LAST",$Q82,$Q82)),Z83)</f>
        <v>59.62</v>
      </c>
      <c r="AA82" s="4">
        <f>IFERROR(VALUE(_xll.BDH(AA$4,"PX_LAST",$Q82,$Q82)),AA83)</f>
        <v>22.9</v>
      </c>
      <c r="AB82" s="4">
        <f>IFERROR(VALUE(_xll.BDH(AB$4,"PX_LAST",$Q82,$Q82)),AB83)</f>
        <v>129.47</v>
      </c>
      <c r="AC82" s="4">
        <f>IFERROR(VALUE(_xll.BDH(AC$4,"PX_LAST",$Q82,$Q82)),AC83)</f>
        <v>10.29</v>
      </c>
      <c r="AD82" s="4">
        <f>IFERROR(VALUE(_xll.BDH(AD$4,"PX_LAST",$Q82,$Q82)),AD83)</f>
        <v>48.11</v>
      </c>
      <c r="AF82" s="4">
        <f t="shared" si="23"/>
        <v>1.052401746724891</v>
      </c>
      <c r="AG82" s="4">
        <f t="shared" si="24"/>
        <v>2.0189637656620385</v>
      </c>
      <c r="AH82" s="4">
        <f t="shared" si="25"/>
        <v>0.80577058409570712</v>
      </c>
      <c r="AI82" s="4">
        <f t="shared" si="26"/>
        <v>1.3879716981132075</v>
      </c>
      <c r="AJ82" s="4">
        <f t="shared" si="27"/>
        <v>1.2814445828144458</v>
      </c>
      <c r="AK82" s="4">
        <f t="shared" si="28"/>
        <v>1.6470386853817185</v>
      </c>
      <c r="AM82" s="528">
        <v>45830</v>
      </c>
      <c r="AN82" s="529">
        <v>12.85</v>
      </c>
      <c r="AO82" s="529">
        <v>-2669164</v>
      </c>
      <c r="AP82" s="529">
        <v>-52.345799999999997</v>
      </c>
      <c r="AQ82" s="529">
        <v>-1008.965295</v>
      </c>
      <c r="AR82" s="529">
        <v>-1.0112000000000001</v>
      </c>
    </row>
    <row r="83" spans="2:44">
      <c r="B83" s="530">
        <f t="shared" ca="1" si="29"/>
        <v>45405</v>
      </c>
      <c r="C83" s="526">
        <f ca="1">(IFERROR(IFERROR(VALUE(_xll.BDH(C$4,"CURRENT_EV_TO_T12M_EBITDA",$B83,$B83)),VALUE(_xll.BDH(C$4,"CURRENT_EV_TO_T12M_EBITDA",$B83+1,$B83+1))),C84))</f>
        <v>0</v>
      </c>
      <c r="D83" s="526">
        <f ca="1">(IFERROR(IFERROR(VALUE(_xll.BDH(D$4,"CURRENT_EV_TO_T12M_EBITDA",$B83,$B83)),VALUE(_xll.BDH(D$4,"CURRENT_EV_TO_T12M_EBITDA",$B83+1,$B83+1))),D84))</f>
        <v>0</v>
      </c>
      <c r="E83" s="526">
        <f ca="1">(IFERROR(IFERROR(VALUE(_xll.BDH(E$4,"CURRENT_EV_TO_T12M_EBITDA",$B83,$B83)),VALUE(_xll.BDH(E$4,"CURRENT_EV_TO_T12M_EBITDA",$B83+1,$B83+1))),E84))</f>
        <v>0</v>
      </c>
      <c r="F83" s="526">
        <f ca="1">(IFERROR(IFERROR(VALUE(_xll.BDH(F$4,"CURRENT_EV_TO_T12M_EBITDA",$B83,$B83)),VALUE(_xll.BDH(F$4,"CURRENT_EV_TO_T12M_EBITDA",$B83+1,$B83+1))),F84))</f>
        <v>0</v>
      </c>
      <c r="G83" s="526">
        <f ca="1">(IFERROR(IFERROR(VALUE(_xll.BDH(G$4,"CURRENT_EV_TO_T12M_EBITDA",$B83,$B83)),VALUE(_xll.BDH(G$4,"CURRENT_EV_TO_T12M_EBITDA",$B83+1,$B83+1))),G84))</f>
        <v>0</v>
      </c>
      <c r="H83" s="526">
        <f ca="1">(IFERROR(IFERROR(VALUE(_xll.BDH(H$4,"CURRENT_EV_TO_T12M_EBITDA",$B83,$B83)),VALUE(_xll.BDH(H$4,"CURRENT_EV_TO_T12M_EBITDA",$B83+1,$B83+1))),H84))</f>
        <v>0</v>
      </c>
      <c r="I83" s="530">
        <f t="shared" ca="1" si="21"/>
        <v>45405</v>
      </c>
      <c r="J83" s="526">
        <f ca="1">(IFERROR(IFERROR(VALUE(_xll.BDH(J$4,"PE_RATIO",$B83,$B83)),VALUE(_xll.BDH(J$4,"PE_RATIO",$B83+1,$B83+1))),J84))</f>
        <v>0</v>
      </c>
      <c r="K83" s="526">
        <f ca="1">(IFERROR(IFERROR(VALUE(_xll.BDH(K$4,"PE_RATIO",$B83,$B83)),VALUE(_xll.BDH(K$4,"PE_RATIO",$B83+1,$B83+1))),K84))</f>
        <v>0</v>
      </c>
      <c r="L83" s="526">
        <f ca="1">(IFERROR(IFERROR(VALUE(_xll.BDH(L$4,"PE_RATIO",$B83,$B83)),VALUE(_xll.BDH(L$4,"PE_RATIO",$B83+1,$B83+1))),L84))</f>
        <v>0</v>
      </c>
      <c r="M83" s="526">
        <f ca="1">(IFERROR(IFERROR(VALUE(_xll.BDH(M$4,"PE_RATIO",$B83,$B83)),VALUE(_xll.BDH(M$4,"PE_RATIO",$B83+1,$B83+1))),M84))</f>
        <v>0</v>
      </c>
      <c r="N83" s="526">
        <f ca="1">(IFERROR(IFERROR(VALUE(_xll.BDH(N$4,"PE_RATIO",$B83,$B83)),VALUE(_xll.BDH(N$4,"PE_RATIO",$B83+1,$B83+1))),N84))</f>
        <v>0</v>
      </c>
      <c r="O83" s="526">
        <f ca="1">(IFERROR(IFERROR(VALUE(_xll.BDH(O$4,"PE_RATIO",$B83,$B83)),VALUE(_xll.BDH(O$4,"PE_RATIO",$B83+1,$B83+1))),O84))</f>
        <v>0</v>
      </c>
      <c r="P83" s="526"/>
      <c r="Q83" s="530">
        <v>45362</v>
      </c>
      <c r="R83" s="4">
        <v>2.56</v>
      </c>
      <c r="S83" s="4">
        <v>17951.689999999999</v>
      </c>
      <c r="T83" s="4">
        <v>6607.32</v>
      </c>
      <c r="U83" s="4">
        <v>1.1179039301310043</v>
      </c>
      <c r="V83" s="4">
        <v>1.5951230261655518</v>
      </c>
      <c r="W83" s="4">
        <v>1.7377029347794641</v>
      </c>
      <c r="Y83" s="526">
        <f t="shared" si="22"/>
        <v>2.56</v>
      </c>
      <c r="Z83" s="4">
        <f>IFERROR(VALUE(_xll.BDH(Z$4,"PX_LAST",$Q83,$Q83)),Z84)</f>
        <v>61.75</v>
      </c>
      <c r="AA83" s="4">
        <f>IFERROR(VALUE(_xll.BDH(AA$4,"PX_LAST",$Q83,$Q83)),AA84)</f>
        <v>24.14</v>
      </c>
      <c r="AB83" s="4">
        <f>IFERROR(VALUE(_xll.BDH(AB$4,"PX_LAST",$Q83,$Q83)),AB84)</f>
        <v>129.72999999999999</v>
      </c>
      <c r="AC83" s="4">
        <f>IFERROR(VALUE(_xll.BDH(AC$4,"PX_LAST",$Q83,$Q83)),AC84)</f>
        <v>10.59</v>
      </c>
      <c r="AD83" s="4">
        <f>IFERROR(VALUE(_xll.BDH(AD$4,"PX_LAST",$Q83,$Q83)),AD84)</f>
        <v>48.25</v>
      </c>
      <c r="AF83" s="4">
        <f t="shared" si="23"/>
        <v>1.1179039301310043</v>
      </c>
      <c r="AG83" s="4">
        <f t="shared" si="24"/>
        <v>2.0910938029122925</v>
      </c>
      <c r="AH83" s="4">
        <f t="shared" si="25"/>
        <v>0.84940182969739619</v>
      </c>
      <c r="AI83" s="4">
        <f t="shared" si="26"/>
        <v>1.3907590051457974</v>
      </c>
      <c r="AJ83" s="4">
        <f t="shared" si="27"/>
        <v>1.318804483188045</v>
      </c>
      <c r="AK83" s="4">
        <f t="shared" si="28"/>
        <v>1.6518315645326942</v>
      </c>
      <c r="AM83" s="528">
        <v>45829</v>
      </c>
      <c r="AN83" s="529">
        <v>12.85</v>
      </c>
      <c r="AO83" s="529">
        <v>-1334582</v>
      </c>
      <c r="AP83" s="529">
        <v>-26.172899999999998</v>
      </c>
      <c r="AQ83" s="529">
        <v>-672.64352999999994</v>
      </c>
      <c r="AR83" s="529">
        <v>-0.50560000000000005</v>
      </c>
    </row>
    <row r="84" spans="2:44">
      <c r="B84" s="530">
        <f t="shared" ca="1" si="29"/>
        <v>45398</v>
      </c>
      <c r="C84" s="526">
        <f ca="1">(IFERROR(IFERROR(VALUE(_xll.BDH(C$4,"CURRENT_EV_TO_T12M_EBITDA",$B84,$B84)),VALUE(_xll.BDH(C$4,"CURRENT_EV_TO_T12M_EBITDA",$B84+1,$B84+1))),C85))</f>
        <v>0</v>
      </c>
      <c r="D84" s="526">
        <f ca="1">(IFERROR(IFERROR(VALUE(_xll.BDH(D$4,"CURRENT_EV_TO_T12M_EBITDA",$B84,$B84)),VALUE(_xll.BDH(D$4,"CURRENT_EV_TO_T12M_EBITDA",$B84+1,$B84+1))),D85))</f>
        <v>0</v>
      </c>
      <c r="E84" s="526">
        <f ca="1">(IFERROR(IFERROR(VALUE(_xll.BDH(E$4,"CURRENT_EV_TO_T12M_EBITDA",$B84,$B84)),VALUE(_xll.BDH(E$4,"CURRENT_EV_TO_T12M_EBITDA",$B84+1,$B84+1))),E85))</f>
        <v>0</v>
      </c>
      <c r="F84" s="526">
        <f ca="1">(IFERROR(IFERROR(VALUE(_xll.BDH(F$4,"CURRENT_EV_TO_T12M_EBITDA",$B84,$B84)),VALUE(_xll.BDH(F$4,"CURRENT_EV_TO_T12M_EBITDA",$B84+1,$B84+1))),F85))</f>
        <v>0</v>
      </c>
      <c r="G84" s="526">
        <f ca="1">(IFERROR(IFERROR(VALUE(_xll.BDH(G$4,"CURRENT_EV_TO_T12M_EBITDA",$B84,$B84)),VALUE(_xll.BDH(G$4,"CURRENT_EV_TO_T12M_EBITDA",$B84+1,$B84+1))),G85))</f>
        <v>0</v>
      </c>
      <c r="H84" s="526">
        <f ca="1">(IFERROR(IFERROR(VALUE(_xll.BDH(H$4,"CURRENT_EV_TO_T12M_EBITDA",$B84,$B84)),VALUE(_xll.BDH(H$4,"CURRENT_EV_TO_T12M_EBITDA",$B84+1,$B84+1))),H85))</f>
        <v>0</v>
      </c>
      <c r="I84" s="530">
        <f t="shared" ca="1" si="21"/>
        <v>45398</v>
      </c>
      <c r="J84" s="526">
        <f ca="1">(IFERROR(IFERROR(VALUE(_xll.BDH(J$4,"PE_RATIO",$B84,$B84)),VALUE(_xll.BDH(J$4,"PE_RATIO",$B84+1,$B84+1))),J85))</f>
        <v>0</v>
      </c>
      <c r="K84" s="526">
        <f ca="1">(IFERROR(IFERROR(VALUE(_xll.BDH(K$4,"PE_RATIO",$B84,$B84)),VALUE(_xll.BDH(K$4,"PE_RATIO",$B84+1,$B84+1))),K85))</f>
        <v>0</v>
      </c>
      <c r="L84" s="526">
        <f ca="1">(IFERROR(IFERROR(VALUE(_xll.BDH(L$4,"PE_RATIO",$B84,$B84)),VALUE(_xll.BDH(L$4,"PE_RATIO",$B84+1,$B84+1))),L85))</f>
        <v>0</v>
      </c>
      <c r="M84" s="526">
        <f ca="1">(IFERROR(IFERROR(VALUE(_xll.BDH(M$4,"PE_RATIO",$B84,$B84)),VALUE(_xll.BDH(M$4,"PE_RATIO",$B84+1,$B84+1))),M85))</f>
        <v>0</v>
      </c>
      <c r="N84" s="526">
        <f ca="1">(IFERROR(IFERROR(VALUE(_xll.BDH(N$4,"PE_RATIO",$B84,$B84)),VALUE(_xll.BDH(N$4,"PE_RATIO",$B84+1,$B84+1))),N85))</f>
        <v>0</v>
      </c>
      <c r="O84" s="526">
        <f ca="1">(IFERROR(IFERROR(VALUE(_xll.BDH(O$4,"PE_RATIO",$B84,$B84)),VALUE(_xll.BDH(O$4,"PE_RATIO",$B84+1,$B84+1))),O85))</f>
        <v>0</v>
      </c>
      <c r="P84" s="526"/>
      <c r="Q84" s="530">
        <v>45355</v>
      </c>
      <c r="R84" s="4">
        <v>3.44</v>
      </c>
      <c r="S84" s="4">
        <v>18226.48</v>
      </c>
      <c r="T84" s="4">
        <v>6767.44</v>
      </c>
      <c r="U84" s="4">
        <v>1.5021834061135371</v>
      </c>
      <c r="V84" s="4">
        <v>1.6195398836513948</v>
      </c>
      <c r="W84" s="4">
        <v>1.7798139561795003</v>
      </c>
      <c r="Y84" s="526">
        <f t="shared" si="22"/>
        <v>3.44</v>
      </c>
      <c r="Z84" s="4">
        <f>IFERROR(VALUE(_xll.BDH(Z$4,"PX_LAST",$Q84,$Q84)),Z85)</f>
        <v>62.71</v>
      </c>
      <c r="AA84" s="4">
        <f>IFERROR(VALUE(_xll.BDH(AA$4,"PX_LAST",$Q84,$Q84)),AA85)</f>
        <v>22.87</v>
      </c>
      <c r="AB84" s="4">
        <f>IFERROR(VALUE(_xll.BDH(AB$4,"PX_LAST",$Q84,$Q84)),AB85)</f>
        <v>122.59</v>
      </c>
      <c r="AC84" s="4">
        <f>IFERROR(VALUE(_xll.BDH(AC$4,"PX_LAST",$Q84,$Q84)),AC85)</f>
        <v>10.27</v>
      </c>
      <c r="AD84" s="4">
        <f>IFERROR(VALUE(_xll.BDH(AD$4,"PX_LAST",$Q84,$Q84)),AD85)</f>
        <v>47.09</v>
      </c>
      <c r="AF84" s="4">
        <f t="shared" si="23"/>
        <v>1.5021834061135371</v>
      </c>
      <c r="AG84" s="4">
        <f t="shared" si="24"/>
        <v>2.1236031154757873</v>
      </c>
      <c r="AH84" s="4">
        <f t="shared" si="25"/>
        <v>0.80471498944405351</v>
      </c>
      <c r="AI84" s="4">
        <f t="shared" si="26"/>
        <v>1.3142152658662092</v>
      </c>
      <c r="AJ84" s="4">
        <f t="shared" si="27"/>
        <v>1.2789539227895392</v>
      </c>
      <c r="AK84" s="4">
        <f t="shared" si="28"/>
        <v>1.6121191372817529</v>
      </c>
      <c r="AM84" s="528">
        <v>45828</v>
      </c>
      <c r="AN84" s="529">
        <v>12.85</v>
      </c>
      <c r="AO84" s="529">
        <v>0</v>
      </c>
      <c r="AP84" s="529">
        <v>0</v>
      </c>
      <c r="AQ84" s="529">
        <v>-336.32176499999997</v>
      </c>
      <c r="AR84" s="529">
        <v>0</v>
      </c>
    </row>
    <row r="85" spans="2:44">
      <c r="B85" s="530">
        <f t="shared" ca="1" si="29"/>
        <v>45391</v>
      </c>
      <c r="C85" s="526">
        <f ca="1">(IFERROR(IFERROR(VALUE(_xll.BDH(C$4,"CURRENT_EV_TO_T12M_EBITDA",$B85,$B85)),VALUE(_xll.BDH(C$4,"CURRENT_EV_TO_T12M_EBITDA",$B85+1,$B85+1))),C86))</f>
        <v>0</v>
      </c>
      <c r="D85" s="526">
        <f ca="1">(IFERROR(IFERROR(VALUE(_xll.BDH(D$4,"CURRENT_EV_TO_T12M_EBITDA",$B85,$B85)),VALUE(_xll.BDH(D$4,"CURRENT_EV_TO_T12M_EBITDA",$B85+1,$B85+1))),D86))</f>
        <v>0</v>
      </c>
      <c r="E85" s="526">
        <f ca="1">(IFERROR(IFERROR(VALUE(_xll.BDH(E$4,"CURRENT_EV_TO_T12M_EBITDA",$B85,$B85)),VALUE(_xll.BDH(E$4,"CURRENT_EV_TO_T12M_EBITDA",$B85+1,$B85+1))),E86))</f>
        <v>0</v>
      </c>
      <c r="F85" s="526">
        <f ca="1">(IFERROR(IFERROR(VALUE(_xll.BDH(F$4,"CURRENT_EV_TO_T12M_EBITDA",$B85,$B85)),VALUE(_xll.BDH(F$4,"CURRENT_EV_TO_T12M_EBITDA",$B85+1,$B85+1))),F86))</f>
        <v>0</v>
      </c>
      <c r="G85" s="526">
        <f ca="1">(IFERROR(IFERROR(VALUE(_xll.BDH(G$4,"CURRENT_EV_TO_T12M_EBITDA",$B85,$B85)),VALUE(_xll.BDH(G$4,"CURRENT_EV_TO_T12M_EBITDA",$B85+1,$B85+1))),G86))</f>
        <v>0</v>
      </c>
      <c r="H85" s="526">
        <f ca="1">(IFERROR(IFERROR(VALUE(_xll.BDH(H$4,"CURRENT_EV_TO_T12M_EBITDA",$B85,$B85)),VALUE(_xll.BDH(H$4,"CURRENT_EV_TO_T12M_EBITDA",$B85+1,$B85+1))),H86))</f>
        <v>0</v>
      </c>
      <c r="I85" s="530">
        <f t="shared" ca="1" si="21"/>
        <v>45391</v>
      </c>
      <c r="J85" s="526">
        <f ca="1">(IFERROR(IFERROR(VALUE(_xll.BDH(J$4,"PE_RATIO",$B85,$B85)),VALUE(_xll.BDH(J$4,"PE_RATIO",$B85+1,$B85+1))),J86))</f>
        <v>0</v>
      </c>
      <c r="K85" s="526">
        <f ca="1">(IFERROR(IFERROR(VALUE(_xll.BDH(K$4,"PE_RATIO",$B85,$B85)),VALUE(_xll.BDH(K$4,"PE_RATIO",$B85+1,$B85+1))),K86))</f>
        <v>0</v>
      </c>
      <c r="L85" s="526">
        <f ca="1">(IFERROR(IFERROR(VALUE(_xll.BDH(L$4,"PE_RATIO",$B85,$B85)),VALUE(_xll.BDH(L$4,"PE_RATIO",$B85+1,$B85+1))),L86))</f>
        <v>0</v>
      </c>
      <c r="M85" s="526">
        <f ca="1">(IFERROR(IFERROR(VALUE(_xll.BDH(M$4,"PE_RATIO",$B85,$B85)),VALUE(_xll.BDH(M$4,"PE_RATIO",$B85+1,$B85+1))),M86))</f>
        <v>0</v>
      </c>
      <c r="N85" s="526">
        <f ca="1">(IFERROR(IFERROR(VALUE(_xll.BDH(N$4,"PE_RATIO",$B85,$B85)),VALUE(_xll.BDH(N$4,"PE_RATIO",$B85+1,$B85+1))),N86))</f>
        <v>0</v>
      </c>
      <c r="O85" s="526">
        <f ca="1">(IFERROR(IFERROR(VALUE(_xll.BDH(O$4,"PE_RATIO",$B85,$B85)),VALUE(_xll.BDH(O$4,"PE_RATIO",$B85+1,$B85+1))),O86))</f>
        <v>0</v>
      </c>
      <c r="P85" s="526"/>
      <c r="Q85" s="530">
        <v>45348</v>
      </c>
      <c r="R85" s="4">
        <v>3.51</v>
      </c>
      <c r="S85" s="4">
        <v>17933.330000000002</v>
      </c>
      <c r="T85" s="4">
        <v>6642.79</v>
      </c>
      <c r="U85" s="4">
        <v>1.5327510917030567</v>
      </c>
      <c r="V85" s="4">
        <v>1.5934916221718112</v>
      </c>
      <c r="W85" s="4">
        <v>1.7470314254680683</v>
      </c>
      <c r="Y85" s="526">
        <f t="shared" si="22"/>
        <v>3.51</v>
      </c>
      <c r="Z85" s="4">
        <f>IFERROR(VALUE(_xll.BDH(Z$4,"PX_LAST",$Q85,$Q85)),Z86)</f>
        <v>61.32</v>
      </c>
      <c r="AA85" s="4">
        <f>IFERROR(VALUE(_xll.BDH(AA$4,"PX_LAST",$Q85,$Q85)),AA86)</f>
        <v>23.22</v>
      </c>
      <c r="AB85" s="4">
        <f>IFERROR(VALUE(_xll.BDH(AB$4,"PX_LAST",$Q85,$Q85)),AB86)</f>
        <v>118.59</v>
      </c>
      <c r="AC85" s="4">
        <f>IFERROR(VALUE(_xll.BDH(AC$4,"PX_LAST",$Q85,$Q85)),AC86)</f>
        <v>10.55</v>
      </c>
      <c r="AD85" s="4">
        <f>IFERROR(VALUE(_xll.BDH(AD$4,"PX_LAST",$Q85,$Q85)),AD86)</f>
        <v>46.14</v>
      </c>
      <c r="AF85" s="4">
        <f t="shared" si="23"/>
        <v>1.5327510917030567</v>
      </c>
      <c r="AG85" s="4">
        <f t="shared" si="24"/>
        <v>2.0765323399932272</v>
      </c>
      <c r="AH85" s="4">
        <f t="shared" si="25"/>
        <v>0.81703026038001403</v>
      </c>
      <c r="AI85" s="4">
        <f t="shared" si="26"/>
        <v>1.2713336192109777</v>
      </c>
      <c r="AJ85" s="4">
        <f t="shared" si="27"/>
        <v>1.3138231631382318</v>
      </c>
      <c r="AK85" s="4">
        <f t="shared" si="28"/>
        <v>1.5795960287572748</v>
      </c>
      <c r="AM85" s="528">
        <v>45827</v>
      </c>
      <c r="AN85" s="529">
        <v>12.58</v>
      </c>
      <c r="AO85" s="529">
        <v>-1130787</v>
      </c>
      <c r="AP85" s="529">
        <v>-26.172899999999998</v>
      </c>
      <c r="AQ85" s="529">
        <v>-658.51016399999992</v>
      </c>
      <c r="AR85" s="529">
        <v>-0.495</v>
      </c>
    </row>
    <row r="86" spans="2:44">
      <c r="B86" s="530">
        <f t="shared" ca="1" si="29"/>
        <v>45384</v>
      </c>
      <c r="C86" s="526">
        <f ca="1">(IFERROR(IFERROR(VALUE(_xll.BDH(C$4,"CURRENT_EV_TO_T12M_EBITDA",$B86,$B86)),VALUE(_xll.BDH(C$4,"CURRENT_EV_TO_T12M_EBITDA",$B86+1,$B86+1))),C87))</f>
        <v>0</v>
      </c>
      <c r="D86" s="526">
        <f ca="1">(IFERROR(IFERROR(VALUE(_xll.BDH(D$4,"CURRENT_EV_TO_T12M_EBITDA",$B86,$B86)),VALUE(_xll.BDH(D$4,"CURRENT_EV_TO_T12M_EBITDA",$B86+1,$B86+1))),D87))</f>
        <v>0</v>
      </c>
      <c r="E86" s="526">
        <f ca="1">(IFERROR(IFERROR(VALUE(_xll.BDH(E$4,"CURRENT_EV_TO_T12M_EBITDA",$B86,$B86)),VALUE(_xll.BDH(E$4,"CURRENT_EV_TO_T12M_EBITDA",$B86+1,$B86+1))),E87))</f>
        <v>0</v>
      </c>
      <c r="F86" s="526">
        <f ca="1">(IFERROR(IFERROR(VALUE(_xll.BDH(F$4,"CURRENT_EV_TO_T12M_EBITDA",$B86,$B86)),VALUE(_xll.BDH(F$4,"CURRENT_EV_TO_T12M_EBITDA",$B86+1,$B86+1))),F87))</f>
        <v>0</v>
      </c>
      <c r="G86" s="526">
        <f ca="1">(IFERROR(IFERROR(VALUE(_xll.BDH(G$4,"CURRENT_EV_TO_T12M_EBITDA",$B86,$B86)),VALUE(_xll.BDH(G$4,"CURRENT_EV_TO_T12M_EBITDA",$B86+1,$B86+1))),G87))</f>
        <v>0</v>
      </c>
      <c r="H86" s="526">
        <f ca="1">(IFERROR(IFERROR(VALUE(_xll.BDH(H$4,"CURRENT_EV_TO_T12M_EBITDA",$B86,$B86)),VALUE(_xll.BDH(H$4,"CURRENT_EV_TO_T12M_EBITDA",$B86+1,$B86+1))),H87))</f>
        <v>0</v>
      </c>
      <c r="I86" s="530">
        <f t="shared" ca="1" si="21"/>
        <v>45384</v>
      </c>
      <c r="J86" s="526">
        <f ca="1">(IFERROR(IFERROR(VALUE(_xll.BDH(J$4,"PE_RATIO",$B86,$B86)),VALUE(_xll.BDH(J$4,"PE_RATIO",$B86+1,$B86+1))),J87))</f>
        <v>0</v>
      </c>
      <c r="K86" s="526">
        <f ca="1">(IFERROR(IFERROR(VALUE(_xll.BDH(K$4,"PE_RATIO",$B86,$B86)),VALUE(_xll.BDH(K$4,"PE_RATIO",$B86+1,$B86+1))),K87))</f>
        <v>0</v>
      </c>
      <c r="L86" s="526">
        <f ca="1">(IFERROR(IFERROR(VALUE(_xll.BDH(L$4,"PE_RATIO",$B86,$B86)),VALUE(_xll.BDH(L$4,"PE_RATIO",$B86+1,$B86+1))),L87))</f>
        <v>0</v>
      </c>
      <c r="M86" s="526">
        <f ca="1">(IFERROR(IFERROR(VALUE(_xll.BDH(M$4,"PE_RATIO",$B86,$B86)),VALUE(_xll.BDH(M$4,"PE_RATIO",$B86+1,$B86+1))),M87))</f>
        <v>0</v>
      </c>
      <c r="N86" s="526">
        <f ca="1">(IFERROR(IFERROR(VALUE(_xll.BDH(N$4,"PE_RATIO",$B86,$B86)),VALUE(_xll.BDH(N$4,"PE_RATIO",$B86+1,$B86+1))),N87))</f>
        <v>0</v>
      </c>
      <c r="O86" s="526">
        <f ca="1">(IFERROR(IFERROR(VALUE(_xll.BDH(O$4,"PE_RATIO",$B86,$B86)),VALUE(_xll.BDH(O$4,"PE_RATIO",$B86+1,$B86+1))),O87))</f>
        <v>0</v>
      </c>
      <c r="P86" s="526"/>
      <c r="Q86" s="530">
        <v>45341</v>
      </c>
      <c r="R86" s="4">
        <v>3.53</v>
      </c>
      <c r="S86" s="4">
        <v>17882.66</v>
      </c>
      <c r="T86" s="4">
        <v>6783.66</v>
      </c>
      <c r="U86" s="4">
        <v>1.5414847161572052</v>
      </c>
      <c r="V86" s="4">
        <v>1.5889892670322219</v>
      </c>
      <c r="W86" s="4">
        <v>1.7840797616198489</v>
      </c>
      <c r="Y86" s="526">
        <f t="shared" si="22"/>
        <v>3.53</v>
      </c>
      <c r="Z86" s="4">
        <f>IFERROR(VALUE(_xll.BDH(Z$4,"PX_LAST",$Q86,$Q86)),Z87)</f>
        <v>57.18</v>
      </c>
      <c r="AA86" s="4">
        <f>IFERROR(VALUE(_xll.BDH(AA$4,"PX_LAST",$Q86,$Q86)),AA87)</f>
        <v>21.27</v>
      </c>
      <c r="AB86" s="4">
        <f>IFERROR(VALUE(_xll.BDH(AB$4,"PX_LAST",$Q86,$Q86)),AB87)</f>
        <v>134.69999999999999</v>
      </c>
      <c r="AC86" s="4">
        <f>IFERROR(VALUE(_xll.BDH(AC$4,"PX_LAST",$Q86,$Q86)),AC87)</f>
        <v>10.45</v>
      </c>
      <c r="AD86" s="4">
        <f>IFERROR(VALUE(_xll.BDH(AD$4,"PX_LAST",$Q86,$Q86)),AD87)</f>
        <v>46.46</v>
      </c>
      <c r="AF86" s="4">
        <f t="shared" si="23"/>
        <v>1.5414847161572052</v>
      </c>
      <c r="AG86" s="4">
        <f t="shared" si="24"/>
        <v>1.9363359295631559</v>
      </c>
      <c r="AH86" s="4">
        <f t="shared" si="25"/>
        <v>0.7484166080225193</v>
      </c>
      <c r="AI86" s="4">
        <f t="shared" si="26"/>
        <v>1.4440394511149226</v>
      </c>
      <c r="AJ86" s="4">
        <f t="shared" si="27"/>
        <v>1.3013698630136987</v>
      </c>
      <c r="AK86" s="4">
        <f t="shared" si="28"/>
        <v>1.5905511811023623</v>
      </c>
      <c r="AM86" s="528">
        <v>45826</v>
      </c>
      <c r="AN86" s="529">
        <v>12.58</v>
      </c>
      <c r="AO86" s="529">
        <v>0</v>
      </c>
      <c r="AP86" s="529">
        <v>0</v>
      </c>
      <c r="AQ86" s="529">
        <v>-329.25508199999996</v>
      </c>
      <c r="AR86" s="529">
        <v>0</v>
      </c>
    </row>
    <row r="87" spans="2:44">
      <c r="B87" s="530">
        <f t="shared" ca="1" si="29"/>
        <v>45377</v>
      </c>
      <c r="C87" s="526">
        <f ca="1">(IFERROR(IFERROR(VALUE(_xll.BDH(C$4,"CURRENT_EV_TO_T12M_EBITDA",$B87,$B87)),VALUE(_xll.BDH(C$4,"CURRENT_EV_TO_T12M_EBITDA",$B87+1,$B87+1))),C88))</f>
        <v>0</v>
      </c>
      <c r="D87" s="526">
        <f ca="1">(IFERROR(IFERROR(VALUE(_xll.BDH(D$4,"CURRENT_EV_TO_T12M_EBITDA",$B87,$B87)),VALUE(_xll.BDH(D$4,"CURRENT_EV_TO_T12M_EBITDA",$B87+1,$B87+1))),D88))</f>
        <v>0</v>
      </c>
      <c r="E87" s="526">
        <f ca="1">(IFERROR(IFERROR(VALUE(_xll.BDH(E$4,"CURRENT_EV_TO_T12M_EBITDA",$B87,$B87)),VALUE(_xll.BDH(E$4,"CURRENT_EV_TO_T12M_EBITDA",$B87+1,$B87+1))),E88))</f>
        <v>0</v>
      </c>
      <c r="F87" s="526">
        <f ca="1">(IFERROR(IFERROR(VALUE(_xll.BDH(F$4,"CURRENT_EV_TO_T12M_EBITDA",$B87,$B87)),VALUE(_xll.BDH(F$4,"CURRENT_EV_TO_T12M_EBITDA",$B87+1,$B87+1))),F88))</f>
        <v>0</v>
      </c>
      <c r="G87" s="526">
        <f ca="1">(IFERROR(IFERROR(VALUE(_xll.BDH(G$4,"CURRENT_EV_TO_T12M_EBITDA",$B87,$B87)),VALUE(_xll.BDH(G$4,"CURRENT_EV_TO_T12M_EBITDA",$B87+1,$B87+1))),G88))</f>
        <v>0</v>
      </c>
      <c r="H87" s="526">
        <f ca="1">(IFERROR(IFERROR(VALUE(_xll.BDH(H$4,"CURRENT_EV_TO_T12M_EBITDA",$B87,$B87)),VALUE(_xll.BDH(H$4,"CURRENT_EV_TO_T12M_EBITDA",$B87+1,$B87+1))),H88))</f>
        <v>0</v>
      </c>
      <c r="I87" s="530">
        <f t="shared" ca="1" si="21"/>
        <v>45377</v>
      </c>
      <c r="J87" s="526">
        <f ca="1">(IFERROR(IFERROR(VALUE(_xll.BDH(J$4,"PE_RATIO",$B87,$B87)),VALUE(_xll.BDH(J$4,"PE_RATIO",$B87+1,$B87+1))),J88))</f>
        <v>0</v>
      </c>
      <c r="K87" s="526">
        <f ca="1">(IFERROR(IFERROR(VALUE(_xll.BDH(K$4,"PE_RATIO",$B87,$B87)),VALUE(_xll.BDH(K$4,"PE_RATIO",$B87+1,$B87+1))),K88))</f>
        <v>0</v>
      </c>
      <c r="L87" s="526">
        <f ca="1">(IFERROR(IFERROR(VALUE(_xll.BDH(L$4,"PE_RATIO",$B87,$B87)),VALUE(_xll.BDH(L$4,"PE_RATIO",$B87+1,$B87+1))),L88))</f>
        <v>0</v>
      </c>
      <c r="M87" s="526">
        <f ca="1">(IFERROR(IFERROR(VALUE(_xll.BDH(M$4,"PE_RATIO",$B87,$B87)),VALUE(_xll.BDH(M$4,"PE_RATIO",$B87+1,$B87+1))),M88))</f>
        <v>0</v>
      </c>
      <c r="N87" s="526">
        <f ca="1">(IFERROR(IFERROR(VALUE(_xll.BDH(N$4,"PE_RATIO",$B87,$B87)),VALUE(_xll.BDH(N$4,"PE_RATIO",$B87+1,$B87+1))),N88))</f>
        <v>0</v>
      </c>
      <c r="O87" s="526">
        <f ca="1">(IFERROR(IFERROR(VALUE(_xll.BDH(O$4,"PE_RATIO",$B87,$B87)),VALUE(_xll.BDH(O$4,"PE_RATIO",$B87+1,$B87+1))),O88))</f>
        <v>0</v>
      </c>
      <c r="P87" s="526"/>
      <c r="Q87" s="530">
        <v>45334</v>
      </c>
      <c r="R87" s="4">
        <v>3.53</v>
      </c>
      <c r="S87" s="4">
        <v>17882.66</v>
      </c>
      <c r="T87" s="4">
        <v>6783.66</v>
      </c>
      <c r="U87" s="4">
        <v>1.5414847161572052</v>
      </c>
      <c r="V87" s="4">
        <v>1.5889892670322219</v>
      </c>
      <c r="W87" s="4">
        <v>1.7840797616198489</v>
      </c>
      <c r="Y87" s="526">
        <f t="shared" si="22"/>
        <v>3.53</v>
      </c>
      <c r="Z87" s="4">
        <f>IFERROR(VALUE(_xll.BDH(Z$4,"PX_LAST",$Q87,$Q87)),Z88)</f>
        <v>57.18</v>
      </c>
      <c r="AA87" s="4">
        <f>IFERROR(VALUE(_xll.BDH(AA$4,"PX_LAST",$Q87,$Q87)),AA88)</f>
        <v>21.27</v>
      </c>
      <c r="AB87" s="4">
        <f>IFERROR(VALUE(_xll.BDH(AB$4,"PX_LAST",$Q87,$Q87)),AB88)</f>
        <v>134.69999999999999</v>
      </c>
      <c r="AC87" s="4">
        <f>IFERROR(VALUE(_xll.BDH(AC$4,"PX_LAST",$Q87,$Q87)),AC88)</f>
        <v>10.45</v>
      </c>
      <c r="AD87" s="4">
        <f>IFERROR(VALUE(_xll.BDH(AD$4,"PX_LAST",$Q87,$Q87)),AD88)</f>
        <v>46.46</v>
      </c>
      <c r="AF87" s="4">
        <f t="shared" si="23"/>
        <v>1.5414847161572052</v>
      </c>
      <c r="AG87" s="4">
        <f t="shared" si="24"/>
        <v>1.9363359295631559</v>
      </c>
      <c r="AH87" s="4">
        <f t="shared" si="25"/>
        <v>0.7484166080225193</v>
      </c>
      <c r="AI87" s="4">
        <f t="shared" si="26"/>
        <v>1.4440394511149226</v>
      </c>
      <c r="AJ87" s="4">
        <f t="shared" si="27"/>
        <v>1.3013698630136987</v>
      </c>
      <c r="AK87" s="4">
        <f t="shared" si="28"/>
        <v>1.5905511811023623</v>
      </c>
      <c r="AM87" s="528">
        <v>45825</v>
      </c>
      <c r="AN87" s="529">
        <v>11.95</v>
      </c>
      <c r="AO87" s="529">
        <v>0</v>
      </c>
      <c r="AP87" s="529">
        <v>0</v>
      </c>
      <c r="AQ87" s="529">
        <v>-312.76615499999997</v>
      </c>
      <c r="AR87" s="529">
        <v>0</v>
      </c>
    </row>
    <row r="88" spans="2:44">
      <c r="B88" s="530">
        <f t="shared" ca="1" si="29"/>
        <v>45370</v>
      </c>
      <c r="C88" s="526">
        <f ca="1">(IFERROR(IFERROR(VALUE(_xll.BDH(C$4,"CURRENT_EV_TO_T12M_EBITDA",$B88,$B88)),VALUE(_xll.BDH(C$4,"CURRENT_EV_TO_T12M_EBITDA",$B88+1,$B88+1))),C89))</f>
        <v>0</v>
      </c>
      <c r="D88" s="526">
        <f ca="1">(IFERROR(IFERROR(VALUE(_xll.BDH(D$4,"CURRENT_EV_TO_T12M_EBITDA",$B88,$B88)),VALUE(_xll.BDH(D$4,"CURRENT_EV_TO_T12M_EBITDA",$B88+1,$B88+1))),D89))</f>
        <v>0</v>
      </c>
      <c r="E88" s="526">
        <f ca="1">(IFERROR(IFERROR(VALUE(_xll.BDH(E$4,"CURRENT_EV_TO_T12M_EBITDA",$B88,$B88)),VALUE(_xll.BDH(E$4,"CURRENT_EV_TO_T12M_EBITDA",$B88+1,$B88+1))),E89))</f>
        <v>0</v>
      </c>
      <c r="F88" s="526">
        <f ca="1">(IFERROR(IFERROR(VALUE(_xll.BDH(F$4,"CURRENT_EV_TO_T12M_EBITDA",$B88,$B88)),VALUE(_xll.BDH(F$4,"CURRENT_EV_TO_T12M_EBITDA",$B88+1,$B88+1))),F89))</f>
        <v>0</v>
      </c>
      <c r="G88" s="526">
        <f ca="1">(IFERROR(IFERROR(VALUE(_xll.BDH(G$4,"CURRENT_EV_TO_T12M_EBITDA",$B88,$B88)),VALUE(_xll.BDH(G$4,"CURRENT_EV_TO_T12M_EBITDA",$B88+1,$B88+1))),G89))</f>
        <v>0</v>
      </c>
      <c r="H88" s="526">
        <f ca="1">(IFERROR(IFERROR(VALUE(_xll.BDH(H$4,"CURRENT_EV_TO_T12M_EBITDA",$B88,$B88)),VALUE(_xll.BDH(H$4,"CURRENT_EV_TO_T12M_EBITDA",$B88+1,$B88+1))),H89))</f>
        <v>0</v>
      </c>
      <c r="I88" s="530">
        <f t="shared" ca="1" si="21"/>
        <v>45370</v>
      </c>
      <c r="J88" s="526">
        <f ca="1">(IFERROR(IFERROR(VALUE(_xll.BDH(J$4,"PE_RATIO",$B88,$B88)),VALUE(_xll.BDH(J$4,"PE_RATIO",$B88+1,$B88+1))),J89))</f>
        <v>0</v>
      </c>
      <c r="K88" s="526">
        <f ca="1">(IFERROR(IFERROR(VALUE(_xll.BDH(K$4,"PE_RATIO",$B88,$B88)),VALUE(_xll.BDH(K$4,"PE_RATIO",$B88+1,$B88+1))),K89))</f>
        <v>0</v>
      </c>
      <c r="L88" s="526">
        <f ca="1">(IFERROR(IFERROR(VALUE(_xll.BDH(L$4,"PE_RATIO",$B88,$B88)),VALUE(_xll.BDH(L$4,"PE_RATIO",$B88+1,$B88+1))),L89))</f>
        <v>0</v>
      </c>
      <c r="M88" s="526">
        <f ca="1">(IFERROR(IFERROR(VALUE(_xll.BDH(M$4,"PE_RATIO",$B88,$B88)),VALUE(_xll.BDH(M$4,"PE_RATIO",$B88+1,$B88+1))),M89))</f>
        <v>0</v>
      </c>
      <c r="N88" s="526">
        <f ca="1">(IFERROR(IFERROR(VALUE(_xll.BDH(N$4,"PE_RATIO",$B88,$B88)),VALUE(_xll.BDH(N$4,"PE_RATIO",$B88+1,$B88+1))),N89))</f>
        <v>0</v>
      </c>
      <c r="O88" s="526">
        <f ca="1">(IFERROR(IFERROR(VALUE(_xll.BDH(O$4,"PE_RATIO",$B88,$B88)),VALUE(_xll.BDH(O$4,"PE_RATIO",$B88+1,$B88+1))),O89))</f>
        <v>0</v>
      </c>
      <c r="P88" s="526"/>
      <c r="Q88" s="530">
        <v>45327</v>
      </c>
      <c r="R88" s="4">
        <v>3.1</v>
      </c>
      <c r="S88" s="4">
        <v>17613.04</v>
      </c>
      <c r="T88" s="4">
        <v>6661.25</v>
      </c>
      <c r="U88" s="4">
        <v>1.3537117903930131</v>
      </c>
      <c r="V88" s="4">
        <v>1.5650317972722854</v>
      </c>
      <c r="W88" s="4">
        <v>1.7518863433736682</v>
      </c>
      <c r="Y88" s="526">
        <f t="shared" si="22"/>
        <v>3.1</v>
      </c>
      <c r="Z88" s="4">
        <f>IFERROR(VALUE(_xll.BDH(Z$4,"PX_LAST",$Q88,$Q88)),Z89)</f>
        <v>54.04</v>
      </c>
      <c r="AA88" s="4">
        <f>IFERROR(VALUE(_xll.BDH(AA$4,"PX_LAST",$Q88,$Q88)),AA89)</f>
        <v>23.97</v>
      </c>
      <c r="AB88" s="4">
        <f>IFERROR(VALUE(_xll.BDH(AB$4,"PX_LAST",$Q88,$Q88)),AB89)</f>
        <v>131.4</v>
      </c>
      <c r="AC88" s="4">
        <f>IFERROR(VALUE(_xll.BDH(AC$4,"PX_LAST",$Q88,$Q88)),AC89)</f>
        <v>10.31</v>
      </c>
      <c r="AD88" s="4">
        <f>IFERROR(VALUE(_xll.BDH(AD$4,"PX_LAST",$Q88,$Q88)),AD89)</f>
        <v>47.26</v>
      </c>
      <c r="AF88" s="4">
        <f t="shared" si="23"/>
        <v>1.3537117903930131</v>
      </c>
      <c r="AG88" s="4">
        <f t="shared" si="24"/>
        <v>1.8300033863867253</v>
      </c>
      <c r="AH88" s="4">
        <f t="shared" si="25"/>
        <v>0.84342012667135813</v>
      </c>
      <c r="AI88" s="4">
        <f t="shared" si="26"/>
        <v>1.4086620926243567</v>
      </c>
      <c r="AJ88" s="4">
        <f t="shared" si="27"/>
        <v>1.2839352428393527</v>
      </c>
      <c r="AK88" s="4">
        <f t="shared" si="28"/>
        <v>1.6179390619650804</v>
      </c>
      <c r="AM88" s="528">
        <v>45824</v>
      </c>
      <c r="AN88" s="529">
        <v>12.3</v>
      </c>
      <c r="AO88" s="529">
        <v>0</v>
      </c>
      <c r="AP88" s="529">
        <v>0</v>
      </c>
      <c r="AQ88" s="529">
        <v>-321.92667</v>
      </c>
      <c r="AR88" s="529">
        <v>0</v>
      </c>
    </row>
    <row r="89" spans="2:44">
      <c r="B89" s="530">
        <f t="shared" ca="1" si="29"/>
        <v>45363</v>
      </c>
      <c r="C89" s="526">
        <f ca="1">(IFERROR(IFERROR(VALUE(_xll.BDH(C$4,"CURRENT_EV_TO_T12M_EBITDA",$B89,$B89)),VALUE(_xll.BDH(C$4,"CURRENT_EV_TO_T12M_EBITDA",$B89+1,$B89+1))),C90))</f>
        <v>0</v>
      </c>
      <c r="D89" s="526">
        <f ca="1">(IFERROR(IFERROR(VALUE(_xll.BDH(D$4,"CURRENT_EV_TO_T12M_EBITDA",$B89,$B89)),VALUE(_xll.BDH(D$4,"CURRENT_EV_TO_T12M_EBITDA",$B89+1,$B89+1))),D90))</f>
        <v>0</v>
      </c>
      <c r="E89" s="526">
        <f ca="1">(IFERROR(IFERROR(VALUE(_xll.BDH(E$4,"CURRENT_EV_TO_T12M_EBITDA",$B89,$B89)),VALUE(_xll.BDH(E$4,"CURRENT_EV_TO_T12M_EBITDA",$B89+1,$B89+1))),E90))</f>
        <v>0</v>
      </c>
      <c r="F89" s="526">
        <f ca="1">(IFERROR(IFERROR(VALUE(_xll.BDH(F$4,"CURRENT_EV_TO_T12M_EBITDA",$B89,$B89)),VALUE(_xll.BDH(F$4,"CURRENT_EV_TO_T12M_EBITDA",$B89+1,$B89+1))),F90))</f>
        <v>0</v>
      </c>
      <c r="G89" s="526">
        <f ca="1">(IFERROR(IFERROR(VALUE(_xll.BDH(G$4,"CURRENT_EV_TO_T12M_EBITDA",$B89,$B89)),VALUE(_xll.BDH(G$4,"CURRENT_EV_TO_T12M_EBITDA",$B89+1,$B89+1))),G90))</f>
        <v>0</v>
      </c>
      <c r="H89" s="526">
        <f ca="1">(IFERROR(IFERROR(VALUE(_xll.BDH(H$4,"CURRENT_EV_TO_T12M_EBITDA",$B89,$B89)),VALUE(_xll.BDH(H$4,"CURRENT_EV_TO_T12M_EBITDA",$B89+1,$B89+1))),H90))</f>
        <v>0</v>
      </c>
      <c r="I89" s="530">
        <f t="shared" ca="1" si="21"/>
        <v>45363</v>
      </c>
      <c r="J89" s="526">
        <f ca="1">(IFERROR(IFERROR(VALUE(_xll.BDH(J$4,"PE_RATIO",$B89,$B89)),VALUE(_xll.BDH(J$4,"PE_RATIO",$B89+1,$B89+1))),J90))</f>
        <v>0</v>
      </c>
      <c r="K89" s="526">
        <f ca="1">(IFERROR(IFERROR(VALUE(_xll.BDH(K$4,"PE_RATIO",$B89,$B89)),VALUE(_xll.BDH(K$4,"PE_RATIO",$B89+1,$B89+1))),K90))</f>
        <v>0</v>
      </c>
      <c r="L89" s="526">
        <f ca="1">(IFERROR(IFERROR(VALUE(_xll.BDH(L$4,"PE_RATIO",$B89,$B89)),VALUE(_xll.BDH(L$4,"PE_RATIO",$B89+1,$B89+1))),L90))</f>
        <v>0</v>
      </c>
      <c r="M89" s="526">
        <f ca="1">(IFERROR(IFERROR(VALUE(_xll.BDH(M$4,"PE_RATIO",$B89,$B89)),VALUE(_xll.BDH(M$4,"PE_RATIO",$B89+1,$B89+1))),M90))</f>
        <v>0</v>
      </c>
      <c r="N89" s="526">
        <f ca="1">(IFERROR(IFERROR(VALUE(_xll.BDH(N$4,"PE_RATIO",$B89,$B89)),VALUE(_xll.BDH(N$4,"PE_RATIO",$B89+1,$B89+1))),N90))</f>
        <v>0</v>
      </c>
      <c r="O89" s="526">
        <f ca="1">(IFERROR(IFERROR(VALUE(_xll.BDH(O$4,"PE_RATIO",$B89,$B89)),VALUE(_xll.BDH(O$4,"PE_RATIO",$B89+1,$B89+1))),O90))</f>
        <v>0</v>
      </c>
      <c r="P89" s="526"/>
      <c r="Q89" s="530">
        <v>45320</v>
      </c>
      <c r="R89" s="4">
        <v>3.5</v>
      </c>
      <c r="S89" s="4">
        <v>17596.27</v>
      </c>
      <c r="T89" s="4">
        <v>6704.81</v>
      </c>
      <c r="U89" s="4">
        <v>1.5283842794759825</v>
      </c>
      <c r="V89" s="4">
        <v>1.5635416749969566</v>
      </c>
      <c r="W89" s="4">
        <v>1.7633424768497212</v>
      </c>
      <c r="Y89" s="526">
        <f t="shared" si="22"/>
        <v>3.5</v>
      </c>
      <c r="Z89" s="4">
        <f>IFERROR(VALUE(_xll.BDH(Z$4,"PX_LAST",$Q89,$Q89)),Z90)</f>
        <v>59</v>
      </c>
      <c r="AA89" s="4">
        <f>IFERROR(VALUE(_xll.BDH(AA$4,"PX_LAST",$Q89,$Q89)),AA90)</f>
        <v>25.89</v>
      </c>
      <c r="AB89" s="4">
        <f>IFERROR(VALUE(_xll.BDH(AB$4,"PX_LAST",$Q89,$Q89)),AB90)</f>
        <v>142.94999999999999</v>
      </c>
      <c r="AC89" s="4">
        <f>IFERROR(VALUE(_xll.BDH(AC$4,"PX_LAST",$Q89,$Q89)),AC90)</f>
        <v>8.7799999999999994</v>
      </c>
      <c r="AD89" s="4">
        <f>IFERROR(VALUE(_xll.BDH(AD$4,"PX_LAST",$Q89,$Q89)),AD90)</f>
        <v>48.78</v>
      </c>
      <c r="AF89" s="4">
        <f t="shared" si="23"/>
        <v>1.5283842794759825</v>
      </c>
      <c r="AG89" s="4">
        <f t="shared" si="24"/>
        <v>1.9979681679647816</v>
      </c>
      <c r="AH89" s="4">
        <f t="shared" si="25"/>
        <v>0.91097818437719913</v>
      </c>
      <c r="AI89" s="4">
        <f t="shared" si="26"/>
        <v>1.5324828473413377</v>
      </c>
      <c r="AJ89" s="4">
        <f t="shared" si="27"/>
        <v>1.0933997509339974</v>
      </c>
      <c r="AK89" s="4">
        <f t="shared" si="28"/>
        <v>1.669976035604245</v>
      </c>
      <c r="AM89" s="528">
        <v>45823</v>
      </c>
      <c r="AN89" s="529">
        <v>12.21</v>
      </c>
      <c r="AO89" s="529">
        <v>-2690350</v>
      </c>
      <c r="AP89" s="529">
        <v>-52.345799999999997</v>
      </c>
      <c r="AQ89" s="529">
        <v>-958.71332699999994</v>
      </c>
      <c r="AR89" s="529">
        <v>-0.96079999999999999</v>
      </c>
    </row>
    <row r="90" spans="2:44">
      <c r="B90" s="530">
        <f t="shared" ca="1" si="29"/>
        <v>45356</v>
      </c>
      <c r="C90" s="526">
        <f ca="1">(IFERROR(IFERROR(VALUE(_xll.BDH(C$4,"CURRENT_EV_TO_T12M_EBITDA",$B90,$B90)),VALUE(_xll.BDH(C$4,"CURRENT_EV_TO_T12M_EBITDA",$B90+1,$B90+1))),C91))</f>
        <v>0</v>
      </c>
      <c r="D90" s="526">
        <f ca="1">(IFERROR(IFERROR(VALUE(_xll.BDH(D$4,"CURRENT_EV_TO_T12M_EBITDA",$B90,$B90)),VALUE(_xll.BDH(D$4,"CURRENT_EV_TO_T12M_EBITDA",$B90+1,$B90+1))),D91))</f>
        <v>0</v>
      </c>
      <c r="E90" s="526">
        <f ca="1">(IFERROR(IFERROR(VALUE(_xll.BDH(E$4,"CURRENT_EV_TO_T12M_EBITDA",$B90,$B90)),VALUE(_xll.BDH(E$4,"CURRENT_EV_TO_T12M_EBITDA",$B90+1,$B90+1))),E91))</f>
        <v>0</v>
      </c>
      <c r="F90" s="526">
        <f ca="1">(IFERROR(IFERROR(VALUE(_xll.BDH(F$4,"CURRENT_EV_TO_T12M_EBITDA",$B90,$B90)),VALUE(_xll.BDH(F$4,"CURRENT_EV_TO_T12M_EBITDA",$B90+1,$B90+1))),F91))</f>
        <v>0</v>
      </c>
      <c r="G90" s="526">
        <f ca="1">(IFERROR(IFERROR(VALUE(_xll.BDH(G$4,"CURRENT_EV_TO_T12M_EBITDA",$B90,$B90)),VALUE(_xll.BDH(G$4,"CURRENT_EV_TO_T12M_EBITDA",$B90+1,$B90+1))),G91))</f>
        <v>0</v>
      </c>
      <c r="H90" s="526">
        <f ca="1">(IFERROR(IFERROR(VALUE(_xll.BDH(H$4,"CURRENT_EV_TO_T12M_EBITDA",$B90,$B90)),VALUE(_xll.BDH(H$4,"CURRENT_EV_TO_T12M_EBITDA",$B90+1,$B90+1))),H91))</f>
        <v>0</v>
      </c>
      <c r="I90" s="530">
        <f t="shared" ca="1" si="21"/>
        <v>45356</v>
      </c>
      <c r="J90" s="526">
        <f ca="1">(IFERROR(IFERROR(VALUE(_xll.BDH(J$4,"PE_RATIO",$B90,$B90)),VALUE(_xll.BDH(J$4,"PE_RATIO",$B90+1,$B90+1))),J91))</f>
        <v>0</v>
      </c>
      <c r="K90" s="526">
        <f ca="1">(IFERROR(IFERROR(VALUE(_xll.BDH(K$4,"PE_RATIO",$B90,$B90)),VALUE(_xll.BDH(K$4,"PE_RATIO",$B90+1,$B90+1))),K91))</f>
        <v>0</v>
      </c>
      <c r="L90" s="526">
        <f ca="1">(IFERROR(IFERROR(VALUE(_xll.BDH(L$4,"PE_RATIO",$B90,$B90)),VALUE(_xll.BDH(L$4,"PE_RATIO",$B90+1,$B90+1))),L91))</f>
        <v>0</v>
      </c>
      <c r="M90" s="526">
        <f ca="1">(IFERROR(IFERROR(VALUE(_xll.BDH(M$4,"PE_RATIO",$B90,$B90)),VALUE(_xll.BDH(M$4,"PE_RATIO",$B90+1,$B90+1))),M91))</f>
        <v>0</v>
      </c>
      <c r="N90" s="526">
        <f ca="1">(IFERROR(IFERROR(VALUE(_xll.BDH(N$4,"PE_RATIO",$B90,$B90)),VALUE(_xll.BDH(N$4,"PE_RATIO",$B90+1,$B90+1))),N91))</f>
        <v>0</v>
      </c>
      <c r="O90" s="526">
        <f ca="1">(IFERROR(IFERROR(VALUE(_xll.BDH(O$4,"PE_RATIO",$B90,$B90)),VALUE(_xll.BDH(O$4,"PE_RATIO",$B90+1,$B90+1))),O91))</f>
        <v>0</v>
      </c>
      <c r="P90" s="526"/>
      <c r="Q90" s="530">
        <v>45313</v>
      </c>
      <c r="R90" s="4">
        <v>3.68</v>
      </c>
      <c r="S90" s="4">
        <v>17330.38</v>
      </c>
      <c r="T90" s="4">
        <v>6505.08</v>
      </c>
      <c r="U90" s="4">
        <v>1.6069868995633187</v>
      </c>
      <c r="V90" s="4">
        <v>1.5399156397085154</v>
      </c>
      <c r="W90" s="4">
        <v>1.7108141586869103</v>
      </c>
      <c r="Y90" s="526">
        <f t="shared" si="22"/>
        <v>3.68</v>
      </c>
      <c r="Z90" s="4">
        <f>IFERROR(VALUE(_xll.BDH(Z$4,"PX_LAST",$Q90,$Q90)),Z91)</f>
        <v>56.86</v>
      </c>
      <c r="AA90" s="4">
        <f>IFERROR(VALUE(_xll.BDH(AA$4,"PX_LAST",$Q90,$Q90)),AA91)</f>
        <v>25.98</v>
      </c>
      <c r="AB90" s="4">
        <f>IFERROR(VALUE(_xll.BDH(AB$4,"PX_LAST",$Q90,$Q90)),AB91)</f>
        <v>141.69</v>
      </c>
      <c r="AC90" s="4">
        <f>IFERROR(VALUE(_xll.BDH(AC$4,"PX_LAST",$Q90,$Q90)),AC91)</f>
        <v>8.65</v>
      </c>
      <c r="AD90" s="4">
        <f>IFERROR(VALUE(_xll.BDH(AD$4,"PX_LAST",$Q90,$Q90)),AD91)</f>
        <v>46.25</v>
      </c>
      <c r="AF90" s="4">
        <f t="shared" si="23"/>
        <v>1.6069868995633187</v>
      </c>
      <c r="AG90" s="4">
        <f t="shared" si="24"/>
        <v>1.925499492041991</v>
      </c>
      <c r="AH90" s="4">
        <f t="shared" si="25"/>
        <v>0.91414496833216041</v>
      </c>
      <c r="AI90" s="4">
        <f t="shared" si="26"/>
        <v>1.51897512864494</v>
      </c>
      <c r="AJ90" s="4">
        <f t="shared" si="27"/>
        <v>1.0772104607721047</v>
      </c>
      <c r="AK90" s="4">
        <f t="shared" si="28"/>
        <v>1.5833618623758987</v>
      </c>
      <c r="AM90" s="528">
        <v>45822</v>
      </c>
      <c r="AN90" s="529">
        <v>12.21</v>
      </c>
      <c r="AO90" s="529">
        <v>-1345175</v>
      </c>
      <c r="AP90" s="529">
        <v>-26.172899999999998</v>
      </c>
      <c r="AQ90" s="529">
        <v>-639.14221799999996</v>
      </c>
      <c r="AR90" s="529">
        <v>-0.48039999999999999</v>
      </c>
    </row>
    <row r="91" spans="2:44">
      <c r="B91" s="530">
        <f t="shared" ca="1" si="29"/>
        <v>45349</v>
      </c>
      <c r="C91" s="526">
        <f ca="1">(IFERROR(IFERROR(VALUE(_xll.BDH(C$4,"CURRENT_EV_TO_T12M_EBITDA",$B91,$B91)),VALUE(_xll.BDH(C$4,"CURRENT_EV_TO_T12M_EBITDA",$B91+1,$B91+1))),C92))</f>
        <v>0</v>
      </c>
      <c r="D91" s="526">
        <f ca="1">(IFERROR(IFERROR(VALUE(_xll.BDH(D$4,"CURRENT_EV_TO_T12M_EBITDA",$B91,$B91)),VALUE(_xll.BDH(D$4,"CURRENT_EV_TO_T12M_EBITDA",$B91+1,$B91+1))),D92))</f>
        <v>0</v>
      </c>
      <c r="E91" s="526">
        <f ca="1">(IFERROR(IFERROR(VALUE(_xll.BDH(E$4,"CURRENT_EV_TO_T12M_EBITDA",$B91,$B91)),VALUE(_xll.BDH(E$4,"CURRENT_EV_TO_T12M_EBITDA",$B91+1,$B91+1))),E92))</f>
        <v>0</v>
      </c>
      <c r="F91" s="526">
        <f ca="1">(IFERROR(IFERROR(VALUE(_xll.BDH(F$4,"CURRENT_EV_TO_T12M_EBITDA",$B91,$B91)),VALUE(_xll.BDH(F$4,"CURRENT_EV_TO_T12M_EBITDA",$B91+1,$B91+1))),F92))</f>
        <v>0</v>
      </c>
      <c r="G91" s="526">
        <f ca="1">(IFERROR(IFERROR(VALUE(_xll.BDH(G$4,"CURRENT_EV_TO_T12M_EBITDA",$B91,$B91)),VALUE(_xll.BDH(G$4,"CURRENT_EV_TO_T12M_EBITDA",$B91+1,$B91+1))),G92))</f>
        <v>0</v>
      </c>
      <c r="H91" s="526">
        <f ca="1">(IFERROR(IFERROR(VALUE(_xll.BDH(H$4,"CURRENT_EV_TO_T12M_EBITDA",$B91,$B91)),VALUE(_xll.BDH(H$4,"CURRENT_EV_TO_T12M_EBITDA",$B91+1,$B91+1))),H92))</f>
        <v>0</v>
      </c>
      <c r="I91" s="530">
        <f t="shared" ca="1" si="21"/>
        <v>45349</v>
      </c>
      <c r="J91" s="526">
        <f ca="1">(IFERROR(IFERROR(VALUE(_xll.BDH(J$4,"PE_RATIO",$B91,$B91)),VALUE(_xll.BDH(J$4,"PE_RATIO",$B91+1,$B91+1))),J92))</f>
        <v>0</v>
      </c>
      <c r="K91" s="526">
        <f ca="1">(IFERROR(IFERROR(VALUE(_xll.BDH(K$4,"PE_RATIO",$B91,$B91)),VALUE(_xll.BDH(K$4,"PE_RATIO",$B91+1,$B91+1))),K92))</f>
        <v>0</v>
      </c>
      <c r="L91" s="526">
        <f ca="1">(IFERROR(IFERROR(VALUE(_xll.BDH(L$4,"PE_RATIO",$B91,$B91)),VALUE(_xll.BDH(L$4,"PE_RATIO",$B91+1,$B91+1))),L92))</f>
        <v>0</v>
      </c>
      <c r="M91" s="526">
        <f ca="1">(IFERROR(IFERROR(VALUE(_xll.BDH(M$4,"PE_RATIO",$B91,$B91)),VALUE(_xll.BDH(M$4,"PE_RATIO",$B91+1,$B91+1))),M92))</f>
        <v>0</v>
      </c>
      <c r="N91" s="526">
        <f ca="1">(IFERROR(IFERROR(VALUE(_xll.BDH(N$4,"PE_RATIO",$B91,$B91)),VALUE(_xll.BDH(N$4,"PE_RATIO",$B91+1,$B91+1))),N92))</f>
        <v>0</v>
      </c>
      <c r="O91" s="526">
        <f ca="1">(IFERROR(IFERROR(VALUE(_xll.BDH(O$4,"PE_RATIO",$B91,$B91)),VALUE(_xll.BDH(O$4,"PE_RATIO",$B91+1,$B91+1))),O92))</f>
        <v>0</v>
      </c>
      <c r="P91" s="526"/>
      <c r="Q91" s="530">
        <v>45306</v>
      </c>
      <c r="R91" s="4">
        <v>4.71</v>
      </c>
      <c r="S91" s="4">
        <v>16649.88</v>
      </c>
      <c r="T91" s="4">
        <v>6124.74</v>
      </c>
      <c r="U91" s="4">
        <v>2.0567685589519651</v>
      </c>
      <c r="V91" s="4">
        <v>1.4794488413566245</v>
      </c>
      <c r="W91" s="4">
        <v>1.6107860180468292</v>
      </c>
      <c r="Y91" s="526">
        <f t="shared" si="22"/>
        <v>4.71</v>
      </c>
      <c r="Z91" s="4">
        <f>IFERROR(VALUE(_xll.BDH(Z$4,"PX_LAST",$Q91,$Q91)),Z92)</f>
        <v>55.91</v>
      </c>
      <c r="AA91" s="4">
        <f>IFERROR(VALUE(_xll.BDH(AA$4,"PX_LAST",$Q91,$Q91)),AA92)</f>
        <v>24.93</v>
      </c>
      <c r="AB91" s="4">
        <f>IFERROR(VALUE(_xll.BDH(AB$4,"PX_LAST",$Q91,$Q91)),AB92)</f>
        <v>130.91999999999999</v>
      </c>
      <c r="AC91" s="4">
        <f>IFERROR(VALUE(_xll.BDH(AC$4,"PX_LAST",$Q91,$Q91)),AC92)</f>
        <v>8.64</v>
      </c>
      <c r="AD91" s="4">
        <f>IFERROR(VALUE(_xll.BDH(AD$4,"PX_LAST",$Q91,$Q91)),AD92)</f>
        <v>49.3</v>
      </c>
      <c r="AF91" s="4">
        <f t="shared" si="23"/>
        <v>2.0567685589519651</v>
      </c>
      <c r="AG91" s="4">
        <f t="shared" si="24"/>
        <v>1.8933288181510326</v>
      </c>
      <c r="AH91" s="4">
        <f t="shared" si="25"/>
        <v>0.87719915552427863</v>
      </c>
      <c r="AI91" s="4">
        <f t="shared" si="26"/>
        <v>1.4035162950257289</v>
      </c>
      <c r="AJ91" s="4">
        <f t="shared" si="27"/>
        <v>1.0759651307596514</v>
      </c>
      <c r="AK91" s="4">
        <f t="shared" si="28"/>
        <v>1.6877781581650118</v>
      </c>
      <c r="AM91" s="528">
        <v>45821</v>
      </c>
      <c r="AN91" s="529">
        <v>12.21</v>
      </c>
      <c r="AO91" s="529">
        <v>0</v>
      </c>
      <c r="AP91" s="529">
        <v>0</v>
      </c>
      <c r="AQ91" s="529">
        <v>-319.57110899999998</v>
      </c>
      <c r="AR91" s="529">
        <v>0</v>
      </c>
    </row>
    <row r="92" spans="2:44">
      <c r="B92" s="530">
        <f t="shared" ca="1" si="29"/>
        <v>45342</v>
      </c>
      <c r="C92" s="526">
        <f ca="1">(IFERROR(IFERROR(VALUE(_xll.BDH(C$4,"CURRENT_EV_TO_T12M_EBITDA",$B92,$B92)),VALUE(_xll.BDH(C$4,"CURRENT_EV_TO_T12M_EBITDA",$B92+1,$B92+1))),C93))</f>
        <v>0</v>
      </c>
      <c r="D92" s="526">
        <f ca="1">(IFERROR(IFERROR(VALUE(_xll.BDH(D$4,"CURRENT_EV_TO_T12M_EBITDA",$B92,$B92)),VALUE(_xll.BDH(D$4,"CURRENT_EV_TO_T12M_EBITDA",$B92+1,$B92+1))),D93))</f>
        <v>0</v>
      </c>
      <c r="E92" s="526">
        <f ca="1">(IFERROR(IFERROR(VALUE(_xll.BDH(E$4,"CURRENT_EV_TO_T12M_EBITDA",$B92,$B92)),VALUE(_xll.BDH(E$4,"CURRENT_EV_TO_T12M_EBITDA",$B92+1,$B92+1))),E93))</f>
        <v>0</v>
      </c>
      <c r="F92" s="526">
        <f ca="1">(IFERROR(IFERROR(VALUE(_xll.BDH(F$4,"CURRENT_EV_TO_T12M_EBITDA",$B92,$B92)),VALUE(_xll.BDH(F$4,"CURRENT_EV_TO_T12M_EBITDA",$B92+1,$B92+1))),F93))</f>
        <v>0</v>
      </c>
      <c r="G92" s="526">
        <f ca="1">(IFERROR(IFERROR(VALUE(_xll.BDH(G$4,"CURRENT_EV_TO_T12M_EBITDA",$B92,$B92)),VALUE(_xll.BDH(G$4,"CURRENT_EV_TO_T12M_EBITDA",$B92+1,$B92+1))),G93))</f>
        <v>0</v>
      </c>
      <c r="H92" s="526">
        <f ca="1">(IFERROR(IFERROR(VALUE(_xll.BDH(H$4,"CURRENT_EV_TO_T12M_EBITDA",$B92,$B92)),VALUE(_xll.BDH(H$4,"CURRENT_EV_TO_T12M_EBITDA",$B92+1,$B92+1))),H93))</f>
        <v>0</v>
      </c>
      <c r="I92" s="530">
        <f t="shared" ca="1" si="21"/>
        <v>45342</v>
      </c>
      <c r="J92" s="526">
        <f ca="1">(IFERROR(IFERROR(VALUE(_xll.BDH(J$4,"PE_RATIO",$B92,$B92)),VALUE(_xll.BDH(J$4,"PE_RATIO",$B92+1,$B92+1))),J93))</f>
        <v>0</v>
      </c>
      <c r="K92" s="526">
        <f ca="1">(IFERROR(IFERROR(VALUE(_xll.BDH(K$4,"PE_RATIO",$B92,$B92)),VALUE(_xll.BDH(K$4,"PE_RATIO",$B92+1,$B92+1))),K93))</f>
        <v>0</v>
      </c>
      <c r="L92" s="526">
        <f ca="1">(IFERROR(IFERROR(VALUE(_xll.BDH(L$4,"PE_RATIO",$B92,$B92)),VALUE(_xll.BDH(L$4,"PE_RATIO",$B92+1,$B92+1))),L93))</f>
        <v>0</v>
      </c>
      <c r="M92" s="526">
        <f ca="1">(IFERROR(IFERROR(VALUE(_xll.BDH(M$4,"PE_RATIO",$B92,$B92)),VALUE(_xll.BDH(M$4,"PE_RATIO",$B92+1,$B92+1))),M93))</f>
        <v>0</v>
      </c>
      <c r="N92" s="526">
        <f ca="1">(IFERROR(IFERROR(VALUE(_xll.BDH(N$4,"PE_RATIO",$B92,$B92)),VALUE(_xll.BDH(N$4,"PE_RATIO",$B92+1,$B92+1))),N93))</f>
        <v>0</v>
      </c>
      <c r="O92" s="526">
        <f ca="1">(IFERROR(IFERROR(VALUE(_xll.BDH(O$4,"PE_RATIO",$B92,$B92)),VALUE(_xll.BDH(O$4,"PE_RATIO",$B92+1,$B92+1))),O93))</f>
        <v>0</v>
      </c>
      <c r="P92" s="526"/>
      <c r="Q92" s="530">
        <v>45299</v>
      </c>
      <c r="R92" s="4">
        <v>4.71</v>
      </c>
      <c r="S92" s="4">
        <v>16649.88</v>
      </c>
      <c r="T92" s="4">
        <v>6124.74</v>
      </c>
      <c r="U92" s="4">
        <v>2.0567685589519651</v>
      </c>
      <c r="V92" s="4">
        <v>1.4794488413566245</v>
      </c>
      <c r="W92" s="4">
        <v>1.6107860180468292</v>
      </c>
      <c r="Y92" s="526">
        <f t="shared" si="22"/>
        <v>4.71</v>
      </c>
      <c r="Z92" s="4">
        <f>IFERROR(VALUE(_xll.BDH(Z$4,"PX_LAST",$Q92,$Q92)),Z93)</f>
        <v>55.91</v>
      </c>
      <c r="AA92" s="4">
        <f>IFERROR(VALUE(_xll.BDH(AA$4,"PX_LAST",$Q92,$Q92)),AA93)</f>
        <v>24.93</v>
      </c>
      <c r="AB92" s="4">
        <f>IFERROR(VALUE(_xll.BDH(AB$4,"PX_LAST",$Q92,$Q92)),AB93)</f>
        <v>130.91999999999999</v>
      </c>
      <c r="AC92" s="4">
        <f>IFERROR(VALUE(_xll.BDH(AC$4,"PX_LAST",$Q92,$Q92)),AC93)</f>
        <v>8.64</v>
      </c>
      <c r="AD92" s="4">
        <f>IFERROR(VALUE(_xll.BDH(AD$4,"PX_LAST",$Q92,$Q92)),AD93)</f>
        <v>49.3</v>
      </c>
      <c r="AF92" s="4">
        <f t="shared" si="23"/>
        <v>2.0567685589519651</v>
      </c>
      <c r="AG92" s="4">
        <f t="shared" si="24"/>
        <v>1.8933288181510326</v>
      </c>
      <c r="AH92" s="4">
        <f t="shared" si="25"/>
        <v>0.87719915552427863</v>
      </c>
      <c r="AI92" s="4">
        <f t="shared" si="26"/>
        <v>1.4035162950257289</v>
      </c>
      <c r="AJ92" s="4">
        <f t="shared" si="27"/>
        <v>1.0759651307596514</v>
      </c>
      <c r="AK92" s="4">
        <f t="shared" si="28"/>
        <v>1.6877781581650118</v>
      </c>
      <c r="AM92" s="528">
        <v>45820</v>
      </c>
      <c r="AN92" s="529">
        <v>12.56</v>
      </c>
      <c r="AO92" s="529">
        <v>0</v>
      </c>
      <c r="AP92" s="529">
        <v>0</v>
      </c>
      <c r="AQ92" s="529">
        <v>-328.73162400000001</v>
      </c>
      <c r="AR92" s="529">
        <v>0</v>
      </c>
    </row>
    <row r="93" spans="2:44">
      <c r="B93" s="530">
        <f t="shared" ca="1" si="29"/>
        <v>45335</v>
      </c>
      <c r="C93" s="526">
        <f ca="1">(IFERROR(IFERROR(VALUE(_xll.BDH(C$4,"CURRENT_EV_TO_T12M_EBITDA",$B93,$B93)),VALUE(_xll.BDH(C$4,"CURRENT_EV_TO_T12M_EBITDA",$B93+1,$B93+1))),C94))</f>
        <v>0</v>
      </c>
      <c r="D93" s="526">
        <f ca="1">(IFERROR(IFERROR(VALUE(_xll.BDH(D$4,"CURRENT_EV_TO_T12M_EBITDA",$B93,$B93)),VALUE(_xll.BDH(D$4,"CURRENT_EV_TO_T12M_EBITDA",$B93+1,$B93+1))),D94))</f>
        <v>0</v>
      </c>
      <c r="E93" s="526">
        <f ca="1">(IFERROR(IFERROR(VALUE(_xll.BDH(E$4,"CURRENT_EV_TO_T12M_EBITDA",$B93,$B93)),VALUE(_xll.BDH(E$4,"CURRENT_EV_TO_T12M_EBITDA",$B93+1,$B93+1))),E94))</f>
        <v>0</v>
      </c>
      <c r="F93" s="526">
        <f ca="1">(IFERROR(IFERROR(VALUE(_xll.BDH(F$4,"CURRENT_EV_TO_T12M_EBITDA",$B93,$B93)),VALUE(_xll.BDH(F$4,"CURRENT_EV_TO_T12M_EBITDA",$B93+1,$B93+1))),F94))</f>
        <v>0</v>
      </c>
      <c r="G93" s="526">
        <f ca="1">(IFERROR(IFERROR(VALUE(_xll.BDH(G$4,"CURRENT_EV_TO_T12M_EBITDA",$B93,$B93)),VALUE(_xll.BDH(G$4,"CURRENT_EV_TO_T12M_EBITDA",$B93+1,$B93+1))),G94))</f>
        <v>0</v>
      </c>
      <c r="H93" s="526">
        <f ca="1">(IFERROR(IFERROR(VALUE(_xll.BDH(H$4,"CURRENT_EV_TO_T12M_EBITDA",$B93,$B93)),VALUE(_xll.BDH(H$4,"CURRENT_EV_TO_T12M_EBITDA",$B93+1,$B93+1))),H94))</f>
        <v>0</v>
      </c>
      <c r="I93" s="530">
        <f t="shared" ca="1" si="21"/>
        <v>45335</v>
      </c>
      <c r="J93" s="526">
        <f ca="1">(IFERROR(IFERROR(VALUE(_xll.BDH(J$4,"PE_RATIO",$B93,$B93)),VALUE(_xll.BDH(J$4,"PE_RATIO",$B93+1,$B93+1))),J94))</f>
        <v>0</v>
      </c>
      <c r="K93" s="526">
        <f ca="1">(IFERROR(IFERROR(VALUE(_xll.BDH(K$4,"PE_RATIO",$B93,$B93)),VALUE(_xll.BDH(K$4,"PE_RATIO",$B93+1,$B93+1))),K94))</f>
        <v>0</v>
      </c>
      <c r="L93" s="526">
        <f ca="1">(IFERROR(IFERROR(VALUE(_xll.BDH(L$4,"PE_RATIO",$B93,$B93)),VALUE(_xll.BDH(L$4,"PE_RATIO",$B93+1,$B93+1))),L94))</f>
        <v>0</v>
      </c>
      <c r="M93" s="526">
        <f ca="1">(IFERROR(IFERROR(VALUE(_xll.BDH(M$4,"PE_RATIO",$B93,$B93)),VALUE(_xll.BDH(M$4,"PE_RATIO",$B93+1,$B93+1))),M94))</f>
        <v>0</v>
      </c>
      <c r="N93" s="526">
        <f ca="1">(IFERROR(IFERROR(VALUE(_xll.BDH(N$4,"PE_RATIO",$B93,$B93)),VALUE(_xll.BDH(N$4,"PE_RATIO",$B93+1,$B93+1))),N94))</f>
        <v>0</v>
      </c>
      <c r="O93" s="526">
        <f ca="1">(IFERROR(IFERROR(VALUE(_xll.BDH(O$4,"PE_RATIO",$B93,$B93)),VALUE(_xll.BDH(O$4,"PE_RATIO",$B93+1,$B93+1))),O94))</f>
        <v>0</v>
      </c>
      <c r="P93" s="526"/>
      <c r="Q93" s="530">
        <v>45292</v>
      </c>
      <c r="R93" s="4">
        <v>4.2300000000000004</v>
      </c>
      <c r="S93" s="4">
        <v>16729.8</v>
      </c>
      <c r="T93" s="4">
        <v>6148.58</v>
      </c>
      <c r="U93" s="4">
        <v>1.8471615720524019</v>
      </c>
      <c r="V93" s="4">
        <v>1.4865502469764378</v>
      </c>
      <c r="W93" s="4">
        <v>1.617055857855578</v>
      </c>
      <c r="Y93" s="526">
        <f t="shared" si="22"/>
        <v>4.2300000000000004</v>
      </c>
      <c r="Z93" s="4">
        <f>IFERROR(VALUE(_xll.BDH(Z$4,"PX_LAST",$Q93,$Q93)),Z94)</f>
        <v>53.3</v>
      </c>
      <c r="AA93" s="4">
        <f>IFERROR(VALUE(_xll.BDH(AA$4,"PX_LAST",$Q93,$Q93)),AA94)</f>
        <v>24.69</v>
      </c>
      <c r="AB93" s="4">
        <f>IFERROR(VALUE(_xll.BDH(AB$4,"PX_LAST",$Q93,$Q93)),AB94)</f>
        <v>136.74</v>
      </c>
      <c r="AC93" s="4">
        <f>IFERROR(VALUE(_xll.BDH(AC$4,"PX_LAST",$Q93,$Q93)),AC94)</f>
        <v>8.84</v>
      </c>
      <c r="AD93" s="4">
        <f>IFERROR(VALUE(_xll.BDH(AD$4,"PX_LAST",$Q93,$Q93)),AD94)</f>
        <v>48.7</v>
      </c>
      <c r="AF93" s="4">
        <f t="shared" si="23"/>
        <v>1.8471615720524019</v>
      </c>
      <c r="AG93" s="4">
        <f t="shared" si="24"/>
        <v>1.8049441246190314</v>
      </c>
      <c r="AH93" s="4">
        <f t="shared" si="25"/>
        <v>0.8687543983110485</v>
      </c>
      <c r="AI93" s="4">
        <f t="shared" si="26"/>
        <v>1.4659090909090911</v>
      </c>
      <c r="AJ93" s="4">
        <f t="shared" si="27"/>
        <v>1.1008717310087173</v>
      </c>
      <c r="AK93" s="4">
        <f t="shared" si="28"/>
        <v>1.6672372475179733</v>
      </c>
      <c r="AM93" s="528">
        <v>45819</v>
      </c>
      <c r="AN93" s="529">
        <v>13.9</v>
      </c>
      <c r="AO93" s="529">
        <v>0</v>
      </c>
      <c r="AP93" s="529">
        <v>0</v>
      </c>
      <c r="AQ93" s="529">
        <v>-363.80331000000001</v>
      </c>
      <c r="AR93" s="529">
        <v>0</v>
      </c>
    </row>
    <row r="94" spans="2:44">
      <c r="B94" s="530">
        <f t="shared" ca="1" si="29"/>
        <v>45328</v>
      </c>
      <c r="C94" s="526">
        <f ca="1">(IFERROR(IFERROR(VALUE(_xll.BDH(C$4,"CURRENT_EV_TO_T12M_EBITDA",$B94,$B94)),VALUE(_xll.BDH(C$4,"CURRENT_EV_TO_T12M_EBITDA",$B94+1,$B94+1))),C95))</f>
        <v>0</v>
      </c>
      <c r="D94" s="526">
        <f ca="1">(IFERROR(IFERROR(VALUE(_xll.BDH(D$4,"CURRENT_EV_TO_T12M_EBITDA",$B94,$B94)),VALUE(_xll.BDH(D$4,"CURRENT_EV_TO_T12M_EBITDA",$B94+1,$B94+1))),D95))</f>
        <v>0</v>
      </c>
      <c r="E94" s="526">
        <f ca="1">(IFERROR(IFERROR(VALUE(_xll.BDH(E$4,"CURRENT_EV_TO_T12M_EBITDA",$B94,$B94)),VALUE(_xll.BDH(E$4,"CURRENT_EV_TO_T12M_EBITDA",$B94+1,$B94+1))),E95))</f>
        <v>0</v>
      </c>
      <c r="F94" s="526">
        <f ca="1">(IFERROR(IFERROR(VALUE(_xll.BDH(F$4,"CURRENT_EV_TO_T12M_EBITDA",$B94,$B94)),VALUE(_xll.BDH(F$4,"CURRENT_EV_TO_T12M_EBITDA",$B94+1,$B94+1))),F95))</f>
        <v>0</v>
      </c>
      <c r="G94" s="526">
        <f ca="1">(IFERROR(IFERROR(VALUE(_xll.BDH(G$4,"CURRENT_EV_TO_T12M_EBITDA",$B94,$B94)),VALUE(_xll.BDH(G$4,"CURRENT_EV_TO_T12M_EBITDA",$B94+1,$B94+1))),G95))</f>
        <v>0</v>
      </c>
      <c r="H94" s="526">
        <f ca="1">(IFERROR(IFERROR(VALUE(_xll.BDH(H$4,"CURRENT_EV_TO_T12M_EBITDA",$B94,$B94)),VALUE(_xll.BDH(H$4,"CURRENT_EV_TO_T12M_EBITDA",$B94+1,$B94+1))),H95))</f>
        <v>0</v>
      </c>
      <c r="I94" s="530">
        <f t="shared" ca="1" si="21"/>
        <v>45328</v>
      </c>
      <c r="J94" s="526">
        <f ca="1">(IFERROR(IFERROR(VALUE(_xll.BDH(J$4,"PE_RATIO",$B94,$B94)),VALUE(_xll.BDH(J$4,"PE_RATIO",$B94+1,$B94+1))),J95))</f>
        <v>0</v>
      </c>
      <c r="K94" s="526">
        <f ca="1">(IFERROR(IFERROR(VALUE(_xll.BDH(K$4,"PE_RATIO",$B94,$B94)),VALUE(_xll.BDH(K$4,"PE_RATIO",$B94+1,$B94+1))),K95))</f>
        <v>0</v>
      </c>
      <c r="L94" s="526">
        <f ca="1">(IFERROR(IFERROR(VALUE(_xll.BDH(L$4,"PE_RATIO",$B94,$B94)),VALUE(_xll.BDH(L$4,"PE_RATIO",$B94+1,$B94+1))),L95))</f>
        <v>0</v>
      </c>
      <c r="M94" s="526">
        <f ca="1">(IFERROR(IFERROR(VALUE(_xll.BDH(M$4,"PE_RATIO",$B94,$B94)),VALUE(_xll.BDH(M$4,"PE_RATIO",$B94+1,$B94+1))),M95))</f>
        <v>0</v>
      </c>
      <c r="N94" s="526">
        <f ca="1">(IFERROR(IFERROR(VALUE(_xll.BDH(N$4,"PE_RATIO",$B94,$B94)),VALUE(_xll.BDH(N$4,"PE_RATIO",$B94+1,$B94+1))),N95))</f>
        <v>0</v>
      </c>
      <c r="O94" s="526">
        <f ca="1">(IFERROR(IFERROR(VALUE(_xll.BDH(O$4,"PE_RATIO",$B94,$B94)),VALUE(_xll.BDH(O$4,"PE_RATIO",$B94+1,$B94+1))),O95))</f>
        <v>0</v>
      </c>
      <c r="P94" s="526"/>
      <c r="Q94" s="530">
        <v>45285</v>
      </c>
      <c r="R94" s="4">
        <v>4.2300000000000004</v>
      </c>
      <c r="S94" s="4">
        <v>16729.8</v>
      </c>
      <c r="T94" s="4">
        <v>6148.58</v>
      </c>
      <c r="U94" s="4">
        <v>1.8471615720524019</v>
      </c>
      <c r="V94" s="4">
        <v>1.4865502469764378</v>
      </c>
      <c r="W94" s="4">
        <v>1.617055857855578</v>
      </c>
      <c r="Y94" s="526">
        <f t="shared" si="22"/>
        <v>4.2300000000000004</v>
      </c>
      <c r="Z94" s="4">
        <f>IFERROR(VALUE(_xll.BDH(Z$4,"PX_LAST",$Q94,$Q94)),Z95)</f>
        <v>53.3</v>
      </c>
      <c r="AA94" s="4">
        <f>IFERROR(VALUE(_xll.BDH(AA$4,"PX_LAST",$Q94,$Q94)),AA95)</f>
        <v>24.69</v>
      </c>
      <c r="AB94" s="4">
        <f>IFERROR(VALUE(_xll.BDH(AB$4,"PX_LAST",$Q94,$Q94)),AB95)</f>
        <v>136.74</v>
      </c>
      <c r="AC94" s="4">
        <f>IFERROR(VALUE(_xll.BDH(AC$4,"PX_LAST",$Q94,$Q94)),AC95)</f>
        <v>8.84</v>
      </c>
      <c r="AD94" s="4">
        <f>IFERROR(VALUE(_xll.BDH(AD$4,"PX_LAST",$Q94,$Q94)),AD95)</f>
        <v>48.7</v>
      </c>
      <c r="AF94" s="4">
        <f t="shared" si="23"/>
        <v>1.8471615720524019</v>
      </c>
      <c r="AG94" s="4">
        <f t="shared" si="24"/>
        <v>1.8049441246190314</v>
      </c>
      <c r="AH94" s="4">
        <f t="shared" si="25"/>
        <v>0.8687543983110485</v>
      </c>
      <c r="AI94" s="4">
        <f t="shared" si="26"/>
        <v>1.4659090909090911</v>
      </c>
      <c r="AJ94" s="4">
        <f t="shared" si="27"/>
        <v>1.1008717310087173</v>
      </c>
      <c r="AK94" s="4">
        <f t="shared" si="28"/>
        <v>1.6672372475179733</v>
      </c>
      <c r="AM94" s="528">
        <v>45818</v>
      </c>
      <c r="AN94" s="529">
        <v>13.93</v>
      </c>
      <c r="AO94" s="529">
        <v>0</v>
      </c>
      <c r="AP94" s="529">
        <v>0</v>
      </c>
      <c r="AQ94" s="529">
        <v>-364.58849699999996</v>
      </c>
      <c r="AR94" s="529">
        <v>0</v>
      </c>
    </row>
    <row r="95" spans="2:44">
      <c r="B95" s="530">
        <f t="shared" ca="1" si="29"/>
        <v>45321</v>
      </c>
      <c r="C95" s="526">
        <f ca="1">(IFERROR(IFERROR(VALUE(_xll.BDH(C$4,"CURRENT_EV_TO_T12M_EBITDA",$B95,$B95)),VALUE(_xll.BDH(C$4,"CURRENT_EV_TO_T12M_EBITDA",$B95+1,$B95+1))),C96))</f>
        <v>0</v>
      </c>
      <c r="D95" s="526">
        <f ca="1">(IFERROR(IFERROR(VALUE(_xll.BDH(D$4,"CURRENT_EV_TO_T12M_EBITDA",$B95,$B95)),VALUE(_xll.BDH(D$4,"CURRENT_EV_TO_T12M_EBITDA",$B95+1,$B95+1))),D96))</f>
        <v>0</v>
      </c>
      <c r="E95" s="526">
        <f ca="1">(IFERROR(IFERROR(VALUE(_xll.BDH(E$4,"CURRENT_EV_TO_T12M_EBITDA",$B95,$B95)),VALUE(_xll.BDH(E$4,"CURRENT_EV_TO_T12M_EBITDA",$B95+1,$B95+1))),E96))</f>
        <v>0</v>
      </c>
      <c r="F95" s="526">
        <f ca="1">(IFERROR(IFERROR(VALUE(_xll.BDH(F$4,"CURRENT_EV_TO_T12M_EBITDA",$B95,$B95)),VALUE(_xll.BDH(F$4,"CURRENT_EV_TO_T12M_EBITDA",$B95+1,$B95+1))),F96))</f>
        <v>0</v>
      </c>
      <c r="G95" s="526">
        <f ca="1">(IFERROR(IFERROR(VALUE(_xll.BDH(G$4,"CURRENT_EV_TO_T12M_EBITDA",$B95,$B95)),VALUE(_xll.BDH(G$4,"CURRENT_EV_TO_T12M_EBITDA",$B95+1,$B95+1))),G96))</f>
        <v>0</v>
      </c>
      <c r="H95" s="526">
        <f ca="1">(IFERROR(IFERROR(VALUE(_xll.BDH(H$4,"CURRENT_EV_TO_T12M_EBITDA",$B95,$B95)),VALUE(_xll.BDH(H$4,"CURRENT_EV_TO_T12M_EBITDA",$B95+1,$B95+1))),H96))</f>
        <v>0</v>
      </c>
      <c r="I95" s="530">
        <f t="shared" ca="1" si="21"/>
        <v>45321</v>
      </c>
      <c r="J95" s="526">
        <f ca="1">(IFERROR(IFERROR(VALUE(_xll.BDH(J$4,"PE_RATIO",$B95,$B95)),VALUE(_xll.BDH(J$4,"PE_RATIO",$B95+1,$B95+1))),J96))</f>
        <v>0</v>
      </c>
      <c r="K95" s="526">
        <f ca="1">(IFERROR(IFERROR(VALUE(_xll.BDH(K$4,"PE_RATIO",$B95,$B95)),VALUE(_xll.BDH(K$4,"PE_RATIO",$B95+1,$B95+1))),K96))</f>
        <v>0</v>
      </c>
      <c r="L95" s="526">
        <f ca="1">(IFERROR(IFERROR(VALUE(_xll.BDH(L$4,"PE_RATIO",$B95,$B95)),VALUE(_xll.BDH(L$4,"PE_RATIO",$B95+1,$B95+1))),L96))</f>
        <v>0</v>
      </c>
      <c r="M95" s="526">
        <f ca="1">(IFERROR(IFERROR(VALUE(_xll.BDH(M$4,"PE_RATIO",$B95,$B95)),VALUE(_xll.BDH(M$4,"PE_RATIO",$B95+1,$B95+1))),M96))</f>
        <v>0</v>
      </c>
      <c r="N95" s="526">
        <f ca="1">(IFERROR(IFERROR(VALUE(_xll.BDH(N$4,"PE_RATIO",$B95,$B95)),VALUE(_xll.BDH(N$4,"PE_RATIO",$B95+1,$B95+1))),N96))</f>
        <v>0</v>
      </c>
      <c r="O95" s="526">
        <f ca="1">(IFERROR(IFERROR(VALUE(_xll.BDH(O$4,"PE_RATIO",$B95,$B95)),VALUE(_xll.BDH(O$4,"PE_RATIO",$B95+1,$B95+1))),O96))</f>
        <v>0</v>
      </c>
      <c r="P95" s="526"/>
      <c r="Q95" s="530">
        <v>45278</v>
      </c>
      <c r="R95" s="4">
        <v>4.2300000000000004</v>
      </c>
      <c r="S95" s="4">
        <v>16729.8</v>
      </c>
      <c r="T95" s="4">
        <v>6148.58</v>
      </c>
      <c r="U95" s="4">
        <v>1.8471615720524019</v>
      </c>
      <c r="V95" s="4">
        <v>1.4865502469764378</v>
      </c>
      <c r="W95" s="4">
        <v>1.617055857855578</v>
      </c>
      <c r="Y95" s="526">
        <f t="shared" si="22"/>
        <v>4.2300000000000004</v>
      </c>
      <c r="Z95" s="4">
        <f>IFERROR(VALUE(_xll.BDH(Z$4,"PX_LAST",$Q95,$Q95)),Z96)</f>
        <v>53.3</v>
      </c>
      <c r="AA95" s="4">
        <f>IFERROR(VALUE(_xll.BDH(AA$4,"PX_LAST",$Q95,$Q95)),AA96)</f>
        <v>24.69</v>
      </c>
      <c r="AB95" s="4">
        <f>IFERROR(VALUE(_xll.BDH(AB$4,"PX_LAST",$Q95,$Q95)),AB96)</f>
        <v>136.74</v>
      </c>
      <c r="AC95" s="4">
        <f>IFERROR(VALUE(_xll.BDH(AC$4,"PX_LAST",$Q95,$Q95)),AC96)</f>
        <v>8.84</v>
      </c>
      <c r="AD95" s="4">
        <f>IFERROR(VALUE(_xll.BDH(AD$4,"PX_LAST",$Q95,$Q95)),AD96)</f>
        <v>48.7</v>
      </c>
      <c r="AF95" s="4">
        <f t="shared" si="23"/>
        <v>1.8471615720524019</v>
      </c>
      <c r="AG95" s="4">
        <f t="shared" si="24"/>
        <v>1.8049441246190314</v>
      </c>
      <c r="AH95" s="4">
        <f t="shared" si="25"/>
        <v>0.8687543983110485</v>
      </c>
      <c r="AI95" s="4">
        <f t="shared" si="26"/>
        <v>1.4659090909090911</v>
      </c>
      <c r="AJ95" s="4">
        <f t="shared" si="27"/>
        <v>1.1008717310087173</v>
      </c>
      <c r="AK95" s="4">
        <f t="shared" si="28"/>
        <v>1.6672372475179733</v>
      </c>
      <c r="AM95" s="528">
        <v>45817</v>
      </c>
      <c r="AN95" s="529">
        <v>13.89</v>
      </c>
      <c r="AO95" s="529">
        <v>0</v>
      </c>
      <c r="AP95" s="529">
        <v>0</v>
      </c>
      <c r="AQ95" s="529">
        <v>-363.54158100000001</v>
      </c>
      <c r="AR95" s="529">
        <v>0</v>
      </c>
    </row>
    <row r="96" spans="2:44">
      <c r="B96" s="530">
        <f t="shared" ca="1" si="29"/>
        <v>45314</v>
      </c>
      <c r="C96" s="526">
        <f ca="1">(IFERROR(IFERROR(VALUE(_xll.BDH(C$4,"CURRENT_EV_TO_T12M_EBITDA",$B96,$B96)),VALUE(_xll.BDH(C$4,"CURRENT_EV_TO_T12M_EBITDA",$B96+1,$B96+1))),C97))</f>
        <v>0</v>
      </c>
      <c r="D96" s="526">
        <f ca="1">(IFERROR(IFERROR(VALUE(_xll.BDH(D$4,"CURRENT_EV_TO_T12M_EBITDA",$B96,$B96)),VALUE(_xll.BDH(D$4,"CURRENT_EV_TO_T12M_EBITDA",$B96+1,$B96+1))),D97))</f>
        <v>0</v>
      </c>
      <c r="E96" s="526">
        <f ca="1">(IFERROR(IFERROR(VALUE(_xll.BDH(E$4,"CURRENT_EV_TO_T12M_EBITDA",$B96,$B96)),VALUE(_xll.BDH(E$4,"CURRENT_EV_TO_T12M_EBITDA",$B96+1,$B96+1))),E97))</f>
        <v>0</v>
      </c>
      <c r="F96" s="526">
        <f ca="1">(IFERROR(IFERROR(VALUE(_xll.BDH(F$4,"CURRENT_EV_TO_T12M_EBITDA",$B96,$B96)),VALUE(_xll.BDH(F$4,"CURRENT_EV_TO_T12M_EBITDA",$B96+1,$B96+1))),F97))</f>
        <v>0</v>
      </c>
      <c r="G96" s="526">
        <f ca="1">(IFERROR(IFERROR(VALUE(_xll.BDH(G$4,"CURRENT_EV_TO_T12M_EBITDA",$B96,$B96)),VALUE(_xll.BDH(G$4,"CURRENT_EV_TO_T12M_EBITDA",$B96+1,$B96+1))),G97))</f>
        <v>0</v>
      </c>
      <c r="H96" s="526">
        <f ca="1">(IFERROR(IFERROR(VALUE(_xll.BDH(H$4,"CURRENT_EV_TO_T12M_EBITDA",$B96,$B96)),VALUE(_xll.BDH(H$4,"CURRENT_EV_TO_T12M_EBITDA",$B96+1,$B96+1))),H97))</f>
        <v>0</v>
      </c>
      <c r="I96" s="530">
        <f t="shared" ca="1" si="21"/>
        <v>45314</v>
      </c>
      <c r="J96" s="526">
        <f ca="1">(IFERROR(IFERROR(VALUE(_xll.BDH(J$4,"PE_RATIO",$B96,$B96)),VALUE(_xll.BDH(J$4,"PE_RATIO",$B96+1,$B96+1))),J97))</f>
        <v>0</v>
      </c>
      <c r="K96" s="526">
        <f ca="1">(IFERROR(IFERROR(VALUE(_xll.BDH(K$4,"PE_RATIO",$B96,$B96)),VALUE(_xll.BDH(K$4,"PE_RATIO",$B96+1,$B96+1))),K97))</f>
        <v>0</v>
      </c>
      <c r="L96" s="526">
        <f ca="1">(IFERROR(IFERROR(VALUE(_xll.BDH(L$4,"PE_RATIO",$B96,$B96)),VALUE(_xll.BDH(L$4,"PE_RATIO",$B96+1,$B96+1))),L97))</f>
        <v>0</v>
      </c>
      <c r="M96" s="526">
        <f ca="1">(IFERROR(IFERROR(VALUE(_xll.BDH(M$4,"PE_RATIO",$B96,$B96)),VALUE(_xll.BDH(M$4,"PE_RATIO",$B96+1,$B96+1))),M97))</f>
        <v>0</v>
      </c>
      <c r="N96" s="526">
        <f ca="1">(IFERROR(IFERROR(VALUE(_xll.BDH(N$4,"PE_RATIO",$B96,$B96)),VALUE(_xll.BDH(N$4,"PE_RATIO",$B96+1,$B96+1))),N97))</f>
        <v>0</v>
      </c>
      <c r="O96" s="526">
        <f ca="1">(IFERROR(IFERROR(VALUE(_xll.BDH(O$4,"PE_RATIO",$B96,$B96)),VALUE(_xll.BDH(O$4,"PE_RATIO",$B96+1,$B96+1))),O97))</f>
        <v>0</v>
      </c>
      <c r="P96" s="526"/>
      <c r="Q96" s="530">
        <v>45271</v>
      </c>
      <c r="R96" s="4">
        <v>4.29</v>
      </c>
      <c r="S96" s="4">
        <v>16221.73</v>
      </c>
      <c r="T96" s="4">
        <v>6129.67</v>
      </c>
      <c r="U96" s="4">
        <v>1.8733624454148472</v>
      </c>
      <c r="V96" s="4">
        <v>1.4414049622760039</v>
      </c>
      <c r="W96" s="4">
        <v>1.6120825914636552</v>
      </c>
      <c r="Y96" s="526">
        <f t="shared" si="22"/>
        <v>4.29</v>
      </c>
      <c r="Z96" s="4">
        <f>IFERROR(VALUE(_xll.BDH(Z$4,"PX_LAST",$Q96,$Q96)),Z97)</f>
        <v>48.74</v>
      </c>
      <c r="AA96" s="4">
        <f>IFERROR(VALUE(_xll.BDH(AA$4,"PX_LAST",$Q96,$Q96)),AA97)</f>
        <v>23.28</v>
      </c>
      <c r="AB96" s="4">
        <f>IFERROR(VALUE(_xll.BDH(AB$4,"PX_LAST",$Q96,$Q96)),AB97)</f>
        <v>123.75</v>
      </c>
      <c r="AC96" s="4">
        <f>IFERROR(VALUE(_xll.BDH(AC$4,"PX_LAST",$Q96,$Q96)),AC97)</f>
        <v>8.67</v>
      </c>
      <c r="AD96" s="4">
        <f>IFERROR(VALUE(_xll.BDH(AD$4,"PX_LAST",$Q96,$Q96)),AD97)</f>
        <v>44.31</v>
      </c>
      <c r="AF96" s="4">
        <f t="shared" si="23"/>
        <v>1.8733624454148472</v>
      </c>
      <c r="AG96" s="4">
        <f t="shared" si="24"/>
        <v>1.6505248899424314</v>
      </c>
      <c r="AH96" s="4">
        <f t="shared" si="25"/>
        <v>0.81914144968332159</v>
      </c>
      <c r="AI96" s="4">
        <f t="shared" si="26"/>
        <v>1.3266509433962264</v>
      </c>
      <c r="AJ96" s="4">
        <f t="shared" si="27"/>
        <v>1.0797011207970113</v>
      </c>
      <c r="AK96" s="4">
        <f t="shared" si="28"/>
        <v>1.516946251283807</v>
      </c>
      <c r="AM96" s="528">
        <v>45816</v>
      </c>
      <c r="AN96" s="529">
        <v>14.18</v>
      </c>
      <c r="AO96" s="529">
        <v>-2857226</v>
      </c>
      <c r="AP96" s="529">
        <v>-52.345799999999997</v>
      </c>
      <c r="AQ96" s="529">
        <v>-1113.3951659999998</v>
      </c>
      <c r="AR96" s="529">
        <v>-1.1157999999999999</v>
      </c>
    </row>
    <row r="97" spans="2:44">
      <c r="B97" s="530">
        <f t="shared" ca="1" si="29"/>
        <v>45307</v>
      </c>
      <c r="C97" s="526">
        <f ca="1">(IFERROR(IFERROR(VALUE(_xll.BDH(C$4,"CURRENT_EV_TO_T12M_EBITDA",$B97,$B97)),VALUE(_xll.BDH(C$4,"CURRENT_EV_TO_T12M_EBITDA",$B97+1,$B97+1))),C98))</f>
        <v>0</v>
      </c>
      <c r="D97" s="526">
        <f ca="1">(IFERROR(IFERROR(VALUE(_xll.BDH(D$4,"CURRENT_EV_TO_T12M_EBITDA",$B97,$B97)),VALUE(_xll.BDH(D$4,"CURRENT_EV_TO_T12M_EBITDA",$B97+1,$B97+1))),D98))</f>
        <v>0</v>
      </c>
      <c r="E97" s="526">
        <f ca="1">(IFERROR(IFERROR(VALUE(_xll.BDH(E$4,"CURRENT_EV_TO_T12M_EBITDA",$B97,$B97)),VALUE(_xll.BDH(E$4,"CURRENT_EV_TO_T12M_EBITDA",$B97+1,$B97+1))),E98))</f>
        <v>0</v>
      </c>
      <c r="F97" s="526">
        <f ca="1">(IFERROR(IFERROR(VALUE(_xll.BDH(F$4,"CURRENT_EV_TO_T12M_EBITDA",$B97,$B97)),VALUE(_xll.BDH(F$4,"CURRENT_EV_TO_T12M_EBITDA",$B97+1,$B97+1))),F98))</f>
        <v>0</v>
      </c>
      <c r="G97" s="526">
        <f ca="1">(IFERROR(IFERROR(VALUE(_xll.BDH(G$4,"CURRENT_EV_TO_T12M_EBITDA",$B97,$B97)),VALUE(_xll.BDH(G$4,"CURRENT_EV_TO_T12M_EBITDA",$B97+1,$B97+1))),G98))</f>
        <v>0</v>
      </c>
      <c r="H97" s="526">
        <f ca="1">(IFERROR(IFERROR(VALUE(_xll.BDH(H$4,"CURRENT_EV_TO_T12M_EBITDA",$B97,$B97)),VALUE(_xll.BDH(H$4,"CURRENT_EV_TO_T12M_EBITDA",$B97+1,$B97+1))),H98))</f>
        <v>0</v>
      </c>
      <c r="I97" s="530">
        <f t="shared" ca="1" si="21"/>
        <v>45307</v>
      </c>
      <c r="J97" s="526">
        <f ca="1">(IFERROR(IFERROR(VALUE(_xll.BDH(J$4,"PE_RATIO",$B97,$B97)),VALUE(_xll.BDH(J$4,"PE_RATIO",$B97+1,$B97+1))),J98))</f>
        <v>0</v>
      </c>
      <c r="K97" s="526">
        <f ca="1">(IFERROR(IFERROR(VALUE(_xll.BDH(K$4,"PE_RATIO",$B97,$B97)),VALUE(_xll.BDH(K$4,"PE_RATIO",$B97+1,$B97+1))),K98))</f>
        <v>0</v>
      </c>
      <c r="L97" s="526">
        <f ca="1">(IFERROR(IFERROR(VALUE(_xll.BDH(L$4,"PE_RATIO",$B97,$B97)),VALUE(_xll.BDH(L$4,"PE_RATIO",$B97+1,$B97+1))),L98))</f>
        <v>0</v>
      </c>
      <c r="M97" s="526">
        <f ca="1">(IFERROR(IFERROR(VALUE(_xll.BDH(M$4,"PE_RATIO",$B97,$B97)),VALUE(_xll.BDH(M$4,"PE_RATIO",$B97+1,$B97+1))),M98))</f>
        <v>0</v>
      </c>
      <c r="N97" s="526">
        <f ca="1">(IFERROR(IFERROR(VALUE(_xll.BDH(N$4,"PE_RATIO",$B97,$B97)),VALUE(_xll.BDH(N$4,"PE_RATIO",$B97+1,$B97+1))),N98))</f>
        <v>0</v>
      </c>
      <c r="O97" s="526">
        <f ca="1">(IFERROR(IFERROR(VALUE(_xll.BDH(O$4,"PE_RATIO",$B97,$B97)),VALUE(_xll.BDH(O$4,"PE_RATIO",$B97+1,$B97+1))),O98))</f>
        <v>0</v>
      </c>
      <c r="P97" s="526"/>
      <c r="Q97" s="530">
        <v>45264</v>
      </c>
      <c r="R97" s="4">
        <v>3.94</v>
      </c>
      <c r="S97" s="4">
        <v>15839.67</v>
      </c>
      <c r="T97" s="4">
        <v>6062.5</v>
      </c>
      <c r="U97" s="4">
        <v>1.7205240174672489</v>
      </c>
      <c r="V97" s="4">
        <v>1.4074564759008041</v>
      </c>
      <c r="W97" s="4">
        <v>1.5944171074051963</v>
      </c>
      <c r="Y97" s="526">
        <f t="shared" si="22"/>
        <v>3.94</v>
      </c>
      <c r="Z97" s="4">
        <f>IFERROR(VALUE(_xll.BDH(Z$4,"PX_LAST",$Q97,$Q97)),Z98)</f>
        <v>44.76</v>
      </c>
      <c r="AA97" s="4">
        <f>IFERROR(VALUE(_xll.BDH(AA$4,"PX_LAST",$Q97,$Q97)),AA98)</f>
        <v>23.31</v>
      </c>
      <c r="AB97" s="4">
        <f>IFERROR(VALUE(_xll.BDH(AB$4,"PX_LAST",$Q97,$Q97)),AB98)</f>
        <v>119.37</v>
      </c>
      <c r="AC97" s="4">
        <f>IFERROR(VALUE(_xll.BDH(AC$4,"PX_LAST",$Q97,$Q97)),AC98)</f>
        <v>8.76</v>
      </c>
      <c r="AD97" s="4">
        <f>IFERROR(VALUE(_xll.BDH(AD$4,"PX_LAST",$Q97,$Q97)),AD98)</f>
        <v>43.38</v>
      </c>
      <c r="AF97" s="4">
        <f t="shared" si="23"/>
        <v>1.7205240174672489</v>
      </c>
      <c r="AG97" s="4">
        <f t="shared" si="24"/>
        <v>1.5157466982729426</v>
      </c>
      <c r="AH97" s="4">
        <f t="shared" si="25"/>
        <v>0.82019704433497531</v>
      </c>
      <c r="AI97" s="4">
        <f t="shared" si="26"/>
        <v>1.279695540308748</v>
      </c>
      <c r="AJ97" s="4">
        <f t="shared" si="27"/>
        <v>1.0909090909090911</v>
      </c>
      <c r="AK97" s="4">
        <f t="shared" si="28"/>
        <v>1.485107839780897</v>
      </c>
      <c r="AM97" s="528">
        <v>45815</v>
      </c>
      <c r="AN97" s="529">
        <v>14.18</v>
      </c>
      <c r="AO97" s="529">
        <v>-1428613</v>
      </c>
      <c r="AP97" s="529">
        <v>-26.172899999999998</v>
      </c>
      <c r="AQ97" s="529">
        <v>-742.26344399999994</v>
      </c>
      <c r="AR97" s="529">
        <v>-0.55789999999999995</v>
      </c>
    </row>
    <row r="98" spans="2:44">
      <c r="B98" s="530">
        <f t="shared" ca="1" si="29"/>
        <v>45300</v>
      </c>
      <c r="C98" s="526">
        <f ca="1">(IFERROR(IFERROR(VALUE(_xll.BDH(C$4,"CURRENT_EV_TO_T12M_EBITDA",$B98,$B98)),VALUE(_xll.BDH(C$4,"CURRENT_EV_TO_T12M_EBITDA",$B98+1,$B98+1))),C99))</f>
        <v>0</v>
      </c>
      <c r="D98" s="526">
        <f ca="1">(IFERROR(IFERROR(VALUE(_xll.BDH(D$4,"CURRENT_EV_TO_T12M_EBITDA",$B98,$B98)),VALUE(_xll.BDH(D$4,"CURRENT_EV_TO_T12M_EBITDA",$B98+1,$B98+1))),D99))</f>
        <v>0</v>
      </c>
      <c r="E98" s="526">
        <f ca="1">(IFERROR(IFERROR(VALUE(_xll.BDH(E$4,"CURRENT_EV_TO_T12M_EBITDA",$B98,$B98)),VALUE(_xll.BDH(E$4,"CURRENT_EV_TO_T12M_EBITDA",$B98+1,$B98+1))),E99))</f>
        <v>0</v>
      </c>
      <c r="F98" s="526">
        <f ca="1">(IFERROR(IFERROR(VALUE(_xll.BDH(F$4,"CURRENT_EV_TO_T12M_EBITDA",$B98,$B98)),VALUE(_xll.BDH(F$4,"CURRENT_EV_TO_T12M_EBITDA",$B98+1,$B98+1))),F99))</f>
        <v>0</v>
      </c>
      <c r="G98" s="526">
        <f ca="1">(IFERROR(IFERROR(VALUE(_xll.BDH(G$4,"CURRENT_EV_TO_T12M_EBITDA",$B98,$B98)),VALUE(_xll.BDH(G$4,"CURRENT_EV_TO_T12M_EBITDA",$B98+1,$B98+1))),G99))</f>
        <v>0</v>
      </c>
      <c r="H98" s="526">
        <f ca="1">(IFERROR(IFERROR(VALUE(_xll.BDH(H$4,"CURRENT_EV_TO_T12M_EBITDA",$B98,$B98)),VALUE(_xll.BDH(H$4,"CURRENT_EV_TO_T12M_EBITDA",$B98+1,$B98+1))),H99))</f>
        <v>0</v>
      </c>
      <c r="I98" s="530">
        <f t="shared" ca="1" si="21"/>
        <v>45300</v>
      </c>
      <c r="J98" s="526">
        <f ca="1">(IFERROR(IFERROR(VALUE(_xll.BDH(J$4,"PE_RATIO",$B98,$B98)),VALUE(_xll.BDH(J$4,"PE_RATIO",$B98+1,$B98+1))),J99))</f>
        <v>0</v>
      </c>
      <c r="K98" s="526">
        <f ca="1">(IFERROR(IFERROR(VALUE(_xll.BDH(K$4,"PE_RATIO",$B98,$B98)),VALUE(_xll.BDH(K$4,"PE_RATIO",$B98+1,$B98+1))),K99))</f>
        <v>0</v>
      </c>
      <c r="L98" s="526">
        <f ca="1">(IFERROR(IFERROR(VALUE(_xll.BDH(L$4,"PE_RATIO",$B98,$B98)),VALUE(_xll.BDH(L$4,"PE_RATIO",$B98+1,$B98+1))),L99))</f>
        <v>0</v>
      </c>
      <c r="M98" s="526">
        <f ca="1">(IFERROR(IFERROR(VALUE(_xll.BDH(M$4,"PE_RATIO",$B98,$B98)),VALUE(_xll.BDH(M$4,"PE_RATIO",$B98+1,$B98+1))),M99))</f>
        <v>0</v>
      </c>
      <c r="N98" s="526">
        <f ca="1">(IFERROR(IFERROR(VALUE(_xll.BDH(N$4,"PE_RATIO",$B98,$B98)),VALUE(_xll.BDH(N$4,"PE_RATIO",$B98+1,$B98+1))),N99))</f>
        <v>0</v>
      </c>
      <c r="O98" s="526">
        <f ca="1">(IFERROR(IFERROR(VALUE(_xll.BDH(O$4,"PE_RATIO",$B98,$B98)),VALUE(_xll.BDH(O$4,"PE_RATIO",$B98+1,$B98+1))),O99))</f>
        <v>0</v>
      </c>
      <c r="P98" s="526"/>
      <c r="Q98" s="530">
        <v>45257</v>
      </c>
      <c r="R98" s="4">
        <v>3.85</v>
      </c>
      <c r="S98" s="4">
        <v>15961.98</v>
      </c>
      <c r="T98" s="4">
        <v>6119.53</v>
      </c>
      <c r="U98" s="4">
        <v>1.6812227074235808</v>
      </c>
      <c r="V98" s="4">
        <v>1.4183245054473432</v>
      </c>
      <c r="W98" s="4">
        <v>1.6094158055718466</v>
      </c>
      <c r="Y98" s="526">
        <f t="shared" si="22"/>
        <v>3.85</v>
      </c>
      <c r="Z98" s="4">
        <f>IFERROR(VALUE(_xll.BDH(Z$4,"PX_LAST",$Q98,$Q98)),Z99)</f>
        <v>40.44</v>
      </c>
      <c r="AA98" s="4">
        <f>IFERROR(VALUE(_xll.BDH(AA$4,"PX_LAST",$Q98,$Q98)),AA99)</f>
        <v>21.67</v>
      </c>
      <c r="AB98" s="4">
        <f>IFERROR(VALUE(_xll.BDH(AB$4,"PX_LAST",$Q98,$Q98)),AB99)</f>
        <v>110.64</v>
      </c>
      <c r="AC98" s="4">
        <f>IFERROR(VALUE(_xll.BDH(AC$4,"PX_LAST",$Q98,$Q98)),AC99)</f>
        <v>8.11</v>
      </c>
      <c r="AD98" s="4">
        <f>IFERROR(VALUE(_xll.BDH(AD$4,"PX_LAST",$Q98,$Q98)),AD99)</f>
        <v>39.42</v>
      </c>
      <c r="AF98" s="4">
        <f t="shared" si="23"/>
        <v>1.6812227074235808</v>
      </c>
      <c r="AG98" s="4">
        <f t="shared" si="24"/>
        <v>1.3694547917372162</v>
      </c>
      <c r="AH98" s="4">
        <f t="shared" si="25"/>
        <v>0.76249120337790288</v>
      </c>
      <c r="AI98" s="4">
        <f t="shared" si="26"/>
        <v>1.1861063464837049</v>
      </c>
      <c r="AJ98" s="4">
        <f t="shared" si="27"/>
        <v>1.0099626400996264</v>
      </c>
      <c r="AK98" s="4">
        <f t="shared" si="28"/>
        <v>1.3495378295104417</v>
      </c>
      <c r="AM98" s="528">
        <v>45814</v>
      </c>
      <c r="AN98" s="529">
        <v>14.18</v>
      </c>
      <c r="AO98" s="529">
        <v>0</v>
      </c>
      <c r="AP98" s="529">
        <v>0</v>
      </c>
      <c r="AQ98" s="529">
        <v>-371.13172199999997</v>
      </c>
      <c r="AR98" s="529">
        <v>0</v>
      </c>
    </row>
    <row r="99" spans="2:44">
      <c r="B99" s="530">
        <f t="shared" ca="1" si="29"/>
        <v>45293</v>
      </c>
      <c r="C99" s="526">
        <f ca="1">(IFERROR(IFERROR(VALUE(_xll.BDH(C$4,"CURRENT_EV_TO_T12M_EBITDA",$B99,$B99)),VALUE(_xll.BDH(C$4,"CURRENT_EV_TO_T12M_EBITDA",$B99+1,$B99+1))),C100))</f>
        <v>0</v>
      </c>
      <c r="D99" s="526">
        <f ca="1">(IFERROR(IFERROR(VALUE(_xll.BDH(D$4,"CURRENT_EV_TO_T12M_EBITDA",$B99,$B99)),VALUE(_xll.BDH(D$4,"CURRENT_EV_TO_T12M_EBITDA",$B99+1,$B99+1))),D100))</f>
        <v>0</v>
      </c>
      <c r="E99" s="526">
        <f ca="1">(IFERROR(IFERROR(VALUE(_xll.BDH(E$4,"CURRENT_EV_TO_T12M_EBITDA",$B99,$B99)),VALUE(_xll.BDH(E$4,"CURRENT_EV_TO_T12M_EBITDA",$B99+1,$B99+1))),E100))</f>
        <v>0</v>
      </c>
      <c r="F99" s="526">
        <f ca="1">(IFERROR(IFERROR(VALUE(_xll.BDH(F$4,"CURRENT_EV_TO_T12M_EBITDA",$B99,$B99)),VALUE(_xll.BDH(F$4,"CURRENT_EV_TO_T12M_EBITDA",$B99+1,$B99+1))),F100))</f>
        <v>0</v>
      </c>
      <c r="G99" s="526">
        <f ca="1">(IFERROR(IFERROR(VALUE(_xll.BDH(G$4,"CURRENT_EV_TO_T12M_EBITDA",$B99,$B99)),VALUE(_xll.BDH(G$4,"CURRENT_EV_TO_T12M_EBITDA",$B99+1,$B99+1))),G100))</f>
        <v>0</v>
      </c>
      <c r="H99" s="526">
        <f ca="1">(IFERROR(IFERROR(VALUE(_xll.BDH(H$4,"CURRENT_EV_TO_T12M_EBITDA",$B99,$B99)),VALUE(_xll.BDH(H$4,"CURRENT_EV_TO_T12M_EBITDA",$B99+1,$B99+1))),H100))</f>
        <v>0</v>
      </c>
      <c r="I99" s="530">
        <f t="shared" ca="1" si="21"/>
        <v>45293</v>
      </c>
      <c r="J99" s="526">
        <f ca="1">(IFERROR(IFERROR(VALUE(_xll.BDH(J$4,"PE_RATIO",$B99,$B99)),VALUE(_xll.BDH(J$4,"PE_RATIO",$B99+1,$B99+1))),J100))</f>
        <v>0</v>
      </c>
      <c r="K99" s="526">
        <f ca="1">(IFERROR(IFERROR(VALUE(_xll.BDH(K$4,"PE_RATIO",$B99,$B99)),VALUE(_xll.BDH(K$4,"PE_RATIO",$B99+1,$B99+1))),K100))</f>
        <v>0</v>
      </c>
      <c r="L99" s="526">
        <f ca="1">(IFERROR(IFERROR(VALUE(_xll.BDH(L$4,"PE_RATIO",$B99,$B99)),VALUE(_xll.BDH(L$4,"PE_RATIO",$B99+1,$B99+1))),L100))</f>
        <v>0</v>
      </c>
      <c r="M99" s="526">
        <f ca="1">(IFERROR(IFERROR(VALUE(_xll.BDH(M$4,"PE_RATIO",$B99,$B99)),VALUE(_xll.BDH(M$4,"PE_RATIO",$B99+1,$B99+1))),M100))</f>
        <v>0</v>
      </c>
      <c r="N99" s="526">
        <f ca="1">(IFERROR(IFERROR(VALUE(_xll.BDH(N$4,"PE_RATIO",$B99,$B99)),VALUE(_xll.BDH(N$4,"PE_RATIO",$B99+1,$B99+1))),N100))</f>
        <v>0</v>
      </c>
      <c r="O99" s="526">
        <f ca="1">(IFERROR(IFERROR(VALUE(_xll.BDH(O$4,"PE_RATIO",$B99,$B99)),VALUE(_xll.BDH(O$4,"PE_RATIO",$B99+1,$B99+1))),O100))</f>
        <v>0</v>
      </c>
      <c r="P99" s="526"/>
      <c r="Q99" s="530">
        <v>45250</v>
      </c>
      <c r="R99" s="4">
        <v>3.6</v>
      </c>
      <c r="S99" s="4">
        <v>16027.06</v>
      </c>
      <c r="T99" s="4">
        <v>6102.71</v>
      </c>
      <c r="U99" s="4">
        <v>1.572052401746725</v>
      </c>
      <c r="V99" s="4">
        <v>1.4241072816953093</v>
      </c>
      <c r="W99" s="4">
        <v>1.6049922021497345</v>
      </c>
      <c r="Y99" s="526">
        <f t="shared" si="22"/>
        <v>3.6</v>
      </c>
      <c r="Z99" s="4">
        <f>IFERROR(VALUE(_xll.BDH(Z$4,"PX_LAST",$Q99,$Q99)),Z100)</f>
        <v>40.86</v>
      </c>
      <c r="AA99" s="4">
        <f>IFERROR(VALUE(_xll.BDH(AA$4,"PX_LAST",$Q99,$Q99)),AA100)</f>
        <v>23.13</v>
      </c>
      <c r="AB99" s="4">
        <f>IFERROR(VALUE(_xll.BDH(AB$4,"PX_LAST",$Q99,$Q99)),AB100)</f>
        <v>112.49</v>
      </c>
      <c r="AC99" s="4">
        <f>IFERROR(VALUE(_xll.BDH(AC$4,"PX_LAST",$Q99,$Q99)),AC100)</f>
        <v>8.39</v>
      </c>
      <c r="AD99" s="4">
        <f>IFERROR(VALUE(_xll.BDH(AD$4,"PX_LAST",$Q99,$Q99)),AD100)</f>
        <v>38.549999999999997</v>
      </c>
      <c r="AF99" s="4">
        <f t="shared" si="23"/>
        <v>1.572052401746725</v>
      </c>
      <c r="AG99" s="4">
        <f t="shared" si="24"/>
        <v>1.3836776159837452</v>
      </c>
      <c r="AH99" s="4">
        <f t="shared" si="25"/>
        <v>0.81386347642505275</v>
      </c>
      <c r="AI99" s="4">
        <f t="shared" si="26"/>
        <v>1.2059391080617494</v>
      </c>
      <c r="AJ99" s="4">
        <f t="shared" si="27"/>
        <v>1.044831880448319</v>
      </c>
      <c r="AK99" s="4">
        <f t="shared" si="28"/>
        <v>1.3197535090722354</v>
      </c>
      <c r="AM99" s="528">
        <v>45813</v>
      </c>
      <c r="AN99" s="529">
        <v>13.55</v>
      </c>
      <c r="AO99" s="529">
        <v>0</v>
      </c>
      <c r="AP99" s="529">
        <v>0</v>
      </c>
      <c r="AQ99" s="529">
        <v>-354.64279499999998</v>
      </c>
      <c r="AR99" s="529">
        <v>0</v>
      </c>
    </row>
    <row r="100" spans="2:44">
      <c r="B100" s="530">
        <f t="shared" ca="1" si="29"/>
        <v>45286</v>
      </c>
      <c r="C100" s="526">
        <f ca="1">(IFERROR(IFERROR(VALUE(_xll.BDH(C$4,"CURRENT_EV_TO_T12M_EBITDA",$B100,$B100)),VALUE(_xll.BDH(C$4,"CURRENT_EV_TO_T12M_EBITDA",$B100+1,$B100+1))),C101))</f>
        <v>0</v>
      </c>
      <c r="D100" s="526">
        <f ca="1">(IFERROR(IFERROR(VALUE(_xll.BDH(D$4,"CURRENT_EV_TO_T12M_EBITDA",$B100,$B100)),VALUE(_xll.BDH(D$4,"CURRENT_EV_TO_T12M_EBITDA",$B100+1,$B100+1))),D101))</f>
        <v>0</v>
      </c>
      <c r="E100" s="526">
        <f ca="1">(IFERROR(IFERROR(VALUE(_xll.BDH(E$4,"CURRENT_EV_TO_T12M_EBITDA",$B100,$B100)),VALUE(_xll.BDH(E$4,"CURRENT_EV_TO_T12M_EBITDA",$B100+1,$B100+1))),E101))</f>
        <v>0</v>
      </c>
      <c r="F100" s="526">
        <f ca="1">(IFERROR(IFERROR(VALUE(_xll.BDH(F$4,"CURRENT_EV_TO_T12M_EBITDA",$B100,$B100)),VALUE(_xll.BDH(F$4,"CURRENT_EV_TO_T12M_EBITDA",$B100+1,$B100+1))),F101))</f>
        <v>0</v>
      </c>
      <c r="G100" s="526">
        <f ca="1">(IFERROR(IFERROR(VALUE(_xll.BDH(G$4,"CURRENT_EV_TO_T12M_EBITDA",$B100,$B100)),VALUE(_xll.BDH(G$4,"CURRENT_EV_TO_T12M_EBITDA",$B100+1,$B100+1))),G101))</f>
        <v>0</v>
      </c>
      <c r="H100" s="526">
        <f ca="1">(IFERROR(IFERROR(VALUE(_xll.BDH(H$4,"CURRENT_EV_TO_T12M_EBITDA",$B100,$B100)),VALUE(_xll.BDH(H$4,"CURRENT_EV_TO_T12M_EBITDA",$B100+1,$B100+1))),H101))</f>
        <v>0</v>
      </c>
      <c r="I100" s="530">
        <f t="shared" ca="1" si="21"/>
        <v>45286</v>
      </c>
      <c r="J100" s="526">
        <f ca="1">(IFERROR(IFERROR(VALUE(_xll.BDH(J$4,"PE_RATIO",$B100,$B100)),VALUE(_xll.BDH(J$4,"PE_RATIO",$B100+1,$B100+1))),J101))</f>
        <v>0</v>
      </c>
      <c r="K100" s="526">
        <f ca="1">(IFERROR(IFERROR(VALUE(_xll.BDH(K$4,"PE_RATIO",$B100,$B100)),VALUE(_xll.BDH(K$4,"PE_RATIO",$B100+1,$B100+1))),K101))</f>
        <v>0</v>
      </c>
      <c r="L100" s="526">
        <f ca="1">(IFERROR(IFERROR(VALUE(_xll.BDH(L$4,"PE_RATIO",$B100,$B100)),VALUE(_xll.BDH(L$4,"PE_RATIO",$B100+1,$B100+1))),L101))</f>
        <v>0</v>
      </c>
      <c r="M100" s="526">
        <f ca="1">(IFERROR(IFERROR(VALUE(_xll.BDH(M$4,"PE_RATIO",$B100,$B100)),VALUE(_xll.BDH(M$4,"PE_RATIO",$B100+1,$B100+1))),M101))</f>
        <v>0</v>
      </c>
      <c r="N100" s="526">
        <f ca="1">(IFERROR(IFERROR(VALUE(_xll.BDH(N$4,"PE_RATIO",$B100,$B100)),VALUE(_xll.BDH(N$4,"PE_RATIO",$B100+1,$B100+1))),N101))</f>
        <v>0</v>
      </c>
      <c r="O100" s="526">
        <f ca="1">(IFERROR(IFERROR(VALUE(_xll.BDH(O$4,"PE_RATIO",$B100,$B100)),VALUE(_xll.BDH(O$4,"PE_RATIO",$B100+1,$B100+1))),O101))</f>
        <v>0</v>
      </c>
      <c r="P100" s="526"/>
      <c r="Q100" s="530">
        <v>45243</v>
      </c>
      <c r="R100" s="4">
        <v>2.4500000000000002</v>
      </c>
      <c r="S100" s="4">
        <v>15482.79</v>
      </c>
      <c r="T100" s="4">
        <v>5913.04</v>
      </c>
      <c r="U100" s="4">
        <v>1.0698689956331879</v>
      </c>
      <c r="V100" s="4">
        <v>1.3757453943492643</v>
      </c>
      <c r="W100" s="4">
        <v>1.5551096301478304</v>
      </c>
      <c r="Y100" s="526">
        <f t="shared" si="22"/>
        <v>2.4500000000000002</v>
      </c>
      <c r="Z100" s="4">
        <f>IFERROR(VALUE(_xll.BDH(Z$4,"PX_LAST",$Q100,$Q100)),Z101)</f>
        <v>40.51</v>
      </c>
      <c r="AA100" s="4">
        <f>IFERROR(VALUE(_xll.BDH(AA$4,"PX_LAST",$Q100,$Q100)),AA101)</f>
        <v>23.49</v>
      </c>
      <c r="AB100" s="4">
        <f>IFERROR(VALUE(_xll.BDH(AB$4,"PX_LAST",$Q100,$Q100)),AB101)</f>
        <v>103.73</v>
      </c>
      <c r="AC100" s="4">
        <f>IFERROR(VALUE(_xll.BDH(AC$4,"PX_LAST",$Q100,$Q100)),AC101)</f>
        <v>8.25</v>
      </c>
      <c r="AD100" s="4">
        <f>IFERROR(VALUE(_xll.BDH(AD$4,"PX_LAST",$Q100,$Q100)),AD101)</f>
        <v>37.119999999999997</v>
      </c>
      <c r="AF100" s="4">
        <f t="shared" si="23"/>
        <v>1.0698689956331879</v>
      </c>
      <c r="AG100" s="4">
        <f t="shared" si="24"/>
        <v>1.3718252624449712</v>
      </c>
      <c r="AH100" s="4">
        <f t="shared" si="25"/>
        <v>0.82653061224489788</v>
      </c>
      <c r="AI100" s="4">
        <f t="shared" si="26"/>
        <v>1.1120283018867925</v>
      </c>
      <c r="AJ100" s="4">
        <f t="shared" si="27"/>
        <v>1.0273972602739727</v>
      </c>
      <c r="AK100" s="4">
        <f t="shared" si="28"/>
        <v>1.2707976720301266</v>
      </c>
      <c r="AM100" s="528">
        <v>45812</v>
      </c>
      <c r="AN100" s="529">
        <v>13.49</v>
      </c>
      <c r="AO100" s="529">
        <v>0</v>
      </c>
      <c r="AP100" s="529">
        <v>0</v>
      </c>
      <c r="AQ100" s="529">
        <v>-353.07242099999996</v>
      </c>
      <c r="AR100" s="529">
        <v>0</v>
      </c>
    </row>
    <row r="101" spans="2:44">
      <c r="B101" s="530">
        <f t="shared" ca="1" si="29"/>
        <v>45279</v>
      </c>
      <c r="C101" s="526">
        <f ca="1">(IFERROR(IFERROR(VALUE(_xll.BDH(C$4,"CURRENT_EV_TO_T12M_EBITDA",$B101,$B101)),VALUE(_xll.BDH(C$4,"CURRENT_EV_TO_T12M_EBITDA",$B101+1,$B101+1))),C102))</f>
        <v>0</v>
      </c>
      <c r="D101" s="526">
        <f ca="1">(IFERROR(IFERROR(VALUE(_xll.BDH(D$4,"CURRENT_EV_TO_T12M_EBITDA",$B101,$B101)),VALUE(_xll.BDH(D$4,"CURRENT_EV_TO_T12M_EBITDA",$B101+1,$B101+1))),D102))</f>
        <v>0</v>
      </c>
      <c r="E101" s="526">
        <f ca="1">(IFERROR(IFERROR(VALUE(_xll.BDH(E$4,"CURRENT_EV_TO_T12M_EBITDA",$B101,$B101)),VALUE(_xll.BDH(E$4,"CURRENT_EV_TO_T12M_EBITDA",$B101+1,$B101+1))),E102))</f>
        <v>0</v>
      </c>
      <c r="F101" s="526">
        <f ca="1">(IFERROR(IFERROR(VALUE(_xll.BDH(F$4,"CURRENT_EV_TO_T12M_EBITDA",$B101,$B101)),VALUE(_xll.BDH(F$4,"CURRENT_EV_TO_T12M_EBITDA",$B101+1,$B101+1))),F102))</f>
        <v>0</v>
      </c>
      <c r="G101" s="526">
        <f ca="1">(IFERROR(IFERROR(VALUE(_xll.BDH(G$4,"CURRENT_EV_TO_T12M_EBITDA",$B101,$B101)),VALUE(_xll.BDH(G$4,"CURRENT_EV_TO_T12M_EBITDA",$B101+1,$B101+1))),G102))</f>
        <v>0</v>
      </c>
      <c r="H101" s="526">
        <f ca="1">(IFERROR(IFERROR(VALUE(_xll.BDH(H$4,"CURRENT_EV_TO_T12M_EBITDA",$B101,$B101)),VALUE(_xll.BDH(H$4,"CURRENT_EV_TO_T12M_EBITDA",$B101+1,$B101+1))),H102))</f>
        <v>0</v>
      </c>
      <c r="I101" s="530">
        <f t="shared" ref="I101:I132" ca="1" si="30">+B101</f>
        <v>45279</v>
      </c>
      <c r="J101" s="526">
        <f ca="1">(IFERROR(IFERROR(VALUE(_xll.BDH(J$4,"PE_RATIO",$B101,$B101)),VALUE(_xll.BDH(J$4,"PE_RATIO",$B101+1,$B101+1))),J102))</f>
        <v>0</v>
      </c>
      <c r="K101" s="526">
        <f ca="1">(IFERROR(IFERROR(VALUE(_xll.BDH(K$4,"PE_RATIO",$B101,$B101)),VALUE(_xll.BDH(K$4,"PE_RATIO",$B101+1,$B101+1))),K102))</f>
        <v>0</v>
      </c>
      <c r="L101" s="526">
        <f ca="1">(IFERROR(IFERROR(VALUE(_xll.BDH(L$4,"PE_RATIO",$B101,$B101)),VALUE(_xll.BDH(L$4,"PE_RATIO",$B101+1,$B101+1))),L102))</f>
        <v>0</v>
      </c>
      <c r="M101" s="526">
        <f ca="1">(IFERROR(IFERROR(VALUE(_xll.BDH(M$4,"PE_RATIO",$B101,$B101)),VALUE(_xll.BDH(M$4,"PE_RATIO",$B101+1,$B101+1))),M102))</f>
        <v>0</v>
      </c>
      <c r="N101" s="526">
        <f ca="1">(IFERROR(IFERROR(VALUE(_xll.BDH(N$4,"PE_RATIO",$B101,$B101)),VALUE(_xll.BDH(N$4,"PE_RATIO",$B101+1,$B101+1))),N102))</f>
        <v>0</v>
      </c>
      <c r="O101" s="526">
        <f ca="1">(IFERROR(IFERROR(VALUE(_xll.BDH(O$4,"PE_RATIO",$B101,$B101)),VALUE(_xll.BDH(O$4,"PE_RATIO",$B101+1,$B101+1))),O102))</f>
        <v>0</v>
      </c>
      <c r="P101" s="526"/>
      <c r="Q101" s="530">
        <v>45236</v>
      </c>
      <c r="R101" s="4">
        <v>2.4</v>
      </c>
      <c r="S101" s="4">
        <v>15154.93</v>
      </c>
      <c r="T101" s="4">
        <v>5712.99</v>
      </c>
      <c r="U101" s="4">
        <v>1.0480349344978166</v>
      </c>
      <c r="V101" s="4">
        <v>1.3466129262998139</v>
      </c>
      <c r="W101" s="4">
        <v>1.5024971530614124</v>
      </c>
      <c r="Y101" s="526">
        <f t="shared" ref="Y101:Y132" si="31">+R101</f>
        <v>2.4</v>
      </c>
      <c r="Z101" s="4">
        <f>IFERROR(VALUE(_xll.BDH(Z$4,"PX_LAST",$Q101,$Q101)),Z102)</f>
        <v>42.45</v>
      </c>
      <c r="AA101" s="4">
        <f>IFERROR(VALUE(_xll.BDH(AA$4,"PX_LAST",$Q101,$Q101)),AA102)</f>
        <v>22.09</v>
      </c>
      <c r="AB101" s="4">
        <f>IFERROR(VALUE(_xll.BDH(AB$4,"PX_LAST",$Q101,$Q101)),AB102)</f>
        <v>104.73</v>
      </c>
      <c r="AC101" s="4">
        <f>IFERROR(VALUE(_xll.BDH(AC$4,"PX_LAST",$Q101,$Q101)),AC102)</f>
        <v>8.5</v>
      </c>
      <c r="AD101" s="4">
        <f>IFERROR(VALUE(_xll.BDH(AD$4,"PX_LAST",$Q101,$Q101)),AD102)</f>
        <v>37.89</v>
      </c>
      <c r="AF101" s="4">
        <f t="shared" ref="AF101:AF132" si="32">+Y101/Y$159</f>
        <v>1.0480349344978166</v>
      </c>
      <c r="AG101" s="4">
        <f t="shared" ref="AG101:AG132" si="33">+Z101/Z$159</f>
        <v>1.4375211649170336</v>
      </c>
      <c r="AH101" s="4">
        <f t="shared" ref="AH101:AH132" si="34">+AA101/AA$159</f>
        <v>0.77726952850105557</v>
      </c>
      <c r="AI101" s="4">
        <f t="shared" ref="AI101:AI132" si="35">+AB101/AB$159</f>
        <v>1.1227487135506005</v>
      </c>
      <c r="AJ101" s="4">
        <f t="shared" ref="AJ101:AJ132" si="36">+AC101/AC$159</f>
        <v>1.0585305105853051</v>
      </c>
      <c r="AK101" s="4">
        <f t="shared" ref="AK101:AK132" si="37">+AD101/AD$159</f>
        <v>1.297158507360493</v>
      </c>
      <c r="AM101" s="528">
        <v>45811</v>
      </c>
      <c r="AN101" s="529">
        <v>13.14</v>
      </c>
      <c r="AO101" s="529">
        <v>0</v>
      </c>
      <c r="AP101" s="529">
        <v>0</v>
      </c>
      <c r="AQ101" s="529">
        <v>-343.91190599999999</v>
      </c>
      <c r="AR101" s="529">
        <v>0</v>
      </c>
    </row>
    <row r="102" spans="2:44">
      <c r="B102" s="530">
        <f t="shared" ref="B102:B133" ca="1" si="38">+B101-7</f>
        <v>45272</v>
      </c>
      <c r="C102" s="526">
        <f ca="1">(IFERROR(IFERROR(VALUE(_xll.BDH(C$4,"CURRENT_EV_TO_T12M_EBITDA",$B102,$B102)),VALUE(_xll.BDH(C$4,"CURRENT_EV_TO_T12M_EBITDA",$B102+1,$B102+1))),C103))</f>
        <v>0</v>
      </c>
      <c r="D102" s="526">
        <f ca="1">(IFERROR(IFERROR(VALUE(_xll.BDH(D$4,"CURRENT_EV_TO_T12M_EBITDA",$B102,$B102)),VALUE(_xll.BDH(D$4,"CURRENT_EV_TO_T12M_EBITDA",$B102+1,$B102+1))),D103))</f>
        <v>0</v>
      </c>
      <c r="E102" s="526">
        <f ca="1">(IFERROR(IFERROR(VALUE(_xll.BDH(E$4,"CURRENT_EV_TO_T12M_EBITDA",$B102,$B102)),VALUE(_xll.BDH(E$4,"CURRENT_EV_TO_T12M_EBITDA",$B102+1,$B102+1))),E103))</f>
        <v>0</v>
      </c>
      <c r="F102" s="526">
        <f ca="1">(IFERROR(IFERROR(VALUE(_xll.BDH(F$4,"CURRENT_EV_TO_T12M_EBITDA",$B102,$B102)),VALUE(_xll.BDH(F$4,"CURRENT_EV_TO_T12M_EBITDA",$B102+1,$B102+1))),F103))</f>
        <v>0</v>
      </c>
      <c r="G102" s="526">
        <f ca="1">(IFERROR(IFERROR(VALUE(_xll.BDH(G$4,"CURRENT_EV_TO_T12M_EBITDA",$B102,$B102)),VALUE(_xll.BDH(G$4,"CURRENT_EV_TO_T12M_EBITDA",$B102+1,$B102+1))),G103))</f>
        <v>0</v>
      </c>
      <c r="H102" s="526">
        <f ca="1">(IFERROR(IFERROR(VALUE(_xll.BDH(H$4,"CURRENT_EV_TO_T12M_EBITDA",$B102,$B102)),VALUE(_xll.BDH(H$4,"CURRENT_EV_TO_T12M_EBITDA",$B102+1,$B102+1))),H103))</f>
        <v>0</v>
      </c>
      <c r="I102" s="530">
        <f t="shared" ca="1" si="30"/>
        <v>45272</v>
      </c>
      <c r="J102" s="526">
        <f ca="1">(IFERROR(IFERROR(VALUE(_xll.BDH(J$4,"PE_RATIO",$B102,$B102)),VALUE(_xll.BDH(J$4,"PE_RATIO",$B102+1,$B102+1))),J103))</f>
        <v>0</v>
      </c>
      <c r="K102" s="526">
        <f ca="1">(IFERROR(IFERROR(VALUE(_xll.BDH(K$4,"PE_RATIO",$B102,$B102)),VALUE(_xll.BDH(K$4,"PE_RATIO",$B102+1,$B102+1))),K103))</f>
        <v>0</v>
      </c>
      <c r="L102" s="526">
        <f ca="1">(IFERROR(IFERROR(VALUE(_xll.BDH(L$4,"PE_RATIO",$B102,$B102)),VALUE(_xll.BDH(L$4,"PE_RATIO",$B102+1,$B102+1))),L103))</f>
        <v>0</v>
      </c>
      <c r="M102" s="526">
        <f ca="1">(IFERROR(IFERROR(VALUE(_xll.BDH(M$4,"PE_RATIO",$B102,$B102)),VALUE(_xll.BDH(M$4,"PE_RATIO",$B102+1,$B102+1))),M103))</f>
        <v>0</v>
      </c>
      <c r="N102" s="526">
        <f ca="1">(IFERROR(IFERROR(VALUE(_xll.BDH(N$4,"PE_RATIO",$B102,$B102)),VALUE(_xll.BDH(N$4,"PE_RATIO",$B102+1,$B102+1))),N103))</f>
        <v>0</v>
      </c>
      <c r="O102" s="526">
        <f ca="1">(IFERROR(IFERROR(VALUE(_xll.BDH(O$4,"PE_RATIO",$B102,$B102)),VALUE(_xll.BDH(O$4,"PE_RATIO",$B102+1,$B102+1))),O103))</f>
        <v>0</v>
      </c>
      <c r="P102" s="526"/>
      <c r="Q102" s="530">
        <v>45229</v>
      </c>
      <c r="R102" s="4">
        <v>2.25</v>
      </c>
      <c r="S102" s="4">
        <v>14335.51</v>
      </c>
      <c r="T102" s="4">
        <v>5418.94</v>
      </c>
      <c r="U102" s="4">
        <v>0.98253275109170302</v>
      </c>
      <c r="V102" s="4">
        <v>1.2738021931543231</v>
      </c>
      <c r="W102" s="4">
        <v>1.4251629921653302</v>
      </c>
      <c r="Y102" s="526">
        <f t="shared" si="31"/>
        <v>2.25</v>
      </c>
      <c r="Z102" s="4">
        <f>IFERROR(VALUE(_xll.BDH(Z$4,"PX_LAST",$Q102,$Q102)),Z103)</f>
        <v>39.53</v>
      </c>
      <c r="AA102" s="4">
        <f>IFERROR(VALUE(_xll.BDH(AA$4,"PX_LAST",$Q102,$Q102)),AA103)</f>
        <v>24.58</v>
      </c>
      <c r="AB102" s="4">
        <f>IFERROR(VALUE(_xll.BDH(AB$4,"PX_LAST",$Q102,$Q102)),AB103)</f>
        <v>96.56</v>
      </c>
      <c r="AC102" s="4">
        <f>IFERROR(VALUE(_xll.BDH(AC$4,"PX_LAST",$Q102,$Q102)),AC103)</f>
        <v>8.14</v>
      </c>
      <c r="AD102" s="4">
        <f>IFERROR(VALUE(_xll.BDH(AD$4,"PX_LAST",$Q102,$Q102)),AD103)</f>
        <v>35.39</v>
      </c>
      <c r="AF102" s="4">
        <f t="shared" si="32"/>
        <v>0.98253275109170302</v>
      </c>
      <c r="AG102" s="4">
        <f t="shared" si="33"/>
        <v>1.3386386725364037</v>
      </c>
      <c r="AH102" s="4">
        <f t="shared" si="34"/>
        <v>0.864883884588318</v>
      </c>
      <c r="AI102" s="4">
        <f t="shared" si="35"/>
        <v>1.0351629502572899</v>
      </c>
      <c r="AJ102" s="4">
        <f t="shared" si="36"/>
        <v>1.0136986301369864</v>
      </c>
      <c r="AK102" s="4">
        <f t="shared" si="37"/>
        <v>1.2115713796644985</v>
      </c>
      <c r="AM102" s="528">
        <v>45810</v>
      </c>
      <c r="AN102" s="529">
        <v>13.2</v>
      </c>
      <c r="AO102" s="529">
        <v>0</v>
      </c>
      <c r="AP102" s="529">
        <v>0</v>
      </c>
      <c r="AQ102" s="529">
        <v>-345.48227999999995</v>
      </c>
      <c r="AR102" s="529">
        <v>0</v>
      </c>
    </row>
    <row r="103" spans="2:44">
      <c r="B103" s="530">
        <f t="shared" ca="1" si="38"/>
        <v>45265</v>
      </c>
      <c r="C103" s="526">
        <f ca="1">(IFERROR(IFERROR(VALUE(_xll.BDH(C$4,"CURRENT_EV_TO_T12M_EBITDA",$B103,$B103)),VALUE(_xll.BDH(C$4,"CURRENT_EV_TO_T12M_EBITDA",$B103+1,$B103+1))),C104))</f>
        <v>0</v>
      </c>
      <c r="D103" s="526">
        <f ca="1">(IFERROR(IFERROR(VALUE(_xll.BDH(D$4,"CURRENT_EV_TO_T12M_EBITDA",$B103,$B103)),VALUE(_xll.BDH(D$4,"CURRENT_EV_TO_T12M_EBITDA",$B103+1,$B103+1))),D104))</f>
        <v>0</v>
      </c>
      <c r="E103" s="526">
        <f ca="1">(IFERROR(IFERROR(VALUE(_xll.BDH(E$4,"CURRENT_EV_TO_T12M_EBITDA",$B103,$B103)),VALUE(_xll.BDH(E$4,"CURRENT_EV_TO_T12M_EBITDA",$B103+1,$B103+1))),E104))</f>
        <v>0</v>
      </c>
      <c r="F103" s="526">
        <f ca="1">(IFERROR(IFERROR(VALUE(_xll.BDH(F$4,"CURRENT_EV_TO_T12M_EBITDA",$B103,$B103)),VALUE(_xll.BDH(F$4,"CURRENT_EV_TO_T12M_EBITDA",$B103+1,$B103+1))),F104))</f>
        <v>0</v>
      </c>
      <c r="G103" s="526">
        <f ca="1">(IFERROR(IFERROR(VALUE(_xll.BDH(G$4,"CURRENT_EV_TO_T12M_EBITDA",$B103,$B103)),VALUE(_xll.BDH(G$4,"CURRENT_EV_TO_T12M_EBITDA",$B103+1,$B103+1))),G104))</f>
        <v>0</v>
      </c>
      <c r="H103" s="526">
        <f ca="1">(IFERROR(IFERROR(VALUE(_xll.BDH(H$4,"CURRENT_EV_TO_T12M_EBITDA",$B103,$B103)),VALUE(_xll.BDH(H$4,"CURRENT_EV_TO_T12M_EBITDA",$B103+1,$B103+1))),H104))</f>
        <v>0</v>
      </c>
      <c r="I103" s="530">
        <f t="shared" ca="1" si="30"/>
        <v>45265</v>
      </c>
      <c r="J103" s="526">
        <f ca="1">(IFERROR(IFERROR(VALUE(_xll.BDH(J$4,"PE_RATIO",$B103,$B103)),VALUE(_xll.BDH(J$4,"PE_RATIO",$B103+1,$B103+1))),J104))</f>
        <v>0</v>
      </c>
      <c r="K103" s="526">
        <f ca="1">(IFERROR(IFERROR(VALUE(_xll.BDH(K$4,"PE_RATIO",$B103,$B103)),VALUE(_xll.BDH(K$4,"PE_RATIO",$B103+1,$B103+1))),K104))</f>
        <v>0</v>
      </c>
      <c r="L103" s="526">
        <f ca="1">(IFERROR(IFERROR(VALUE(_xll.BDH(L$4,"PE_RATIO",$B103,$B103)),VALUE(_xll.BDH(L$4,"PE_RATIO",$B103+1,$B103+1))),L104))</f>
        <v>0</v>
      </c>
      <c r="M103" s="526">
        <f ca="1">(IFERROR(IFERROR(VALUE(_xll.BDH(M$4,"PE_RATIO",$B103,$B103)),VALUE(_xll.BDH(M$4,"PE_RATIO",$B103+1,$B103+1))),M104))</f>
        <v>0</v>
      </c>
      <c r="N103" s="526">
        <f ca="1">(IFERROR(IFERROR(VALUE(_xll.BDH(N$4,"PE_RATIO",$B103,$B103)),VALUE(_xll.BDH(N$4,"PE_RATIO",$B103+1,$B103+1))),N104))</f>
        <v>0</v>
      </c>
      <c r="O103" s="526">
        <f ca="1">(IFERROR(IFERROR(VALUE(_xll.BDH(O$4,"PE_RATIO",$B103,$B103)),VALUE(_xll.BDH(O$4,"PE_RATIO",$B103+1,$B103+1))),O104))</f>
        <v>0</v>
      </c>
      <c r="P103" s="526"/>
      <c r="Q103" s="530">
        <v>45222</v>
      </c>
      <c r="R103" s="4">
        <v>2.34</v>
      </c>
      <c r="S103" s="4">
        <v>14604.85</v>
      </c>
      <c r="T103" s="4">
        <v>5358.57</v>
      </c>
      <c r="U103" s="4">
        <v>1.0218340611353711</v>
      </c>
      <c r="V103" s="4">
        <v>1.297734783114791</v>
      </c>
      <c r="W103" s="4">
        <v>1.4092858852335277</v>
      </c>
      <c r="Y103" s="526">
        <f t="shared" si="31"/>
        <v>2.34</v>
      </c>
      <c r="Z103" s="4">
        <f>IFERROR(VALUE(_xll.BDH(Z$4,"PX_LAST",$Q103,$Q103)),Z104)</f>
        <v>45.71</v>
      </c>
      <c r="AA103" s="4">
        <f>IFERROR(VALUE(_xll.BDH(AA$4,"PX_LAST",$Q103,$Q103)),AA104)</f>
        <v>24.32</v>
      </c>
      <c r="AB103" s="4">
        <f>IFERROR(VALUE(_xll.BDH(AB$4,"PX_LAST",$Q103,$Q103)),AB104)</f>
        <v>101.13</v>
      </c>
      <c r="AC103" s="4">
        <f>IFERROR(VALUE(_xll.BDH(AC$4,"PX_LAST",$Q103,$Q103)),AC104)</f>
        <v>7.94</v>
      </c>
      <c r="AD103" s="4">
        <f>IFERROR(VALUE(_xll.BDH(AD$4,"PX_LAST",$Q103,$Q103)),AD104)</f>
        <v>36.700000000000003</v>
      </c>
      <c r="AF103" s="4">
        <f t="shared" si="32"/>
        <v>1.0218340611353711</v>
      </c>
      <c r="AG103" s="4">
        <f t="shared" si="33"/>
        <v>1.547917372163901</v>
      </c>
      <c r="AH103" s="4">
        <f t="shared" si="34"/>
        <v>0.85573539760731876</v>
      </c>
      <c r="AI103" s="4">
        <f t="shared" si="35"/>
        <v>1.0841552315608918</v>
      </c>
      <c r="AJ103" s="4">
        <f t="shared" si="36"/>
        <v>0.98879202988792048</v>
      </c>
      <c r="AK103" s="4">
        <f t="shared" si="37"/>
        <v>1.2564190345771997</v>
      </c>
      <c r="AM103" s="528">
        <v>45809</v>
      </c>
      <c r="AN103" s="529">
        <v>12.67</v>
      </c>
      <c r="AO103" s="529">
        <v>-2161022</v>
      </c>
      <c r="AP103" s="529">
        <v>-52.345799999999997</v>
      </c>
      <c r="AQ103" s="529">
        <v>-994.83192899999995</v>
      </c>
      <c r="AR103" s="529">
        <v>-0.997</v>
      </c>
    </row>
    <row r="104" spans="2:44">
      <c r="B104" s="530">
        <f t="shared" ca="1" si="38"/>
        <v>45258</v>
      </c>
      <c r="C104" s="526">
        <f ca="1">(IFERROR(IFERROR(VALUE(_xll.BDH(C$4,"CURRENT_EV_TO_T12M_EBITDA",$B104,$B104)),VALUE(_xll.BDH(C$4,"CURRENT_EV_TO_T12M_EBITDA",$B104+1,$B104+1))),C105))</f>
        <v>0</v>
      </c>
      <c r="D104" s="526">
        <f ca="1">(IFERROR(IFERROR(VALUE(_xll.BDH(D$4,"CURRENT_EV_TO_T12M_EBITDA",$B104,$B104)),VALUE(_xll.BDH(D$4,"CURRENT_EV_TO_T12M_EBITDA",$B104+1,$B104+1))),D105))</f>
        <v>0</v>
      </c>
      <c r="E104" s="526">
        <f ca="1">(IFERROR(IFERROR(VALUE(_xll.BDH(E$4,"CURRENT_EV_TO_T12M_EBITDA",$B104,$B104)),VALUE(_xll.BDH(E$4,"CURRENT_EV_TO_T12M_EBITDA",$B104+1,$B104+1))),E105))</f>
        <v>0</v>
      </c>
      <c r="F104" s="526">
        <f ca="1">(IFERROR(IFERROR(VALUE(_xll.BDH(F$4,"CURRENT_EV_TO_T12M_EBITDA",$B104,$B104)),VALUE(_xll.BDH(F$4,"CURRENT_EV_TO_T12M_EBITDA",$B104+1,$B104+1))),F105))</f>
        <v>0</v>
      </c>
      <c r="G104" s="526">
        <f ca="1">(IFERROR(IFERROR(VALUE(_xll.BDH(G$4,"CURRENT_EV_TO_T12M_EBITDA",$B104,$B104)),VALUE(_xll.BDH(G$4,"CURRENT_EV_TO_T12M_EBITDA",$B104+1,$B104+1))),G105))</f>
        <v>0</v>
      </c>
      <c r="H104" s="526">
        <f ca="1">(IFERROR(IFERROR(VALUE(_xll.BDH(H$4,"CURRENT_EV_TO_T12M_EBITDA",$B104,$B104)),VALUE(_xll.BDH(H$4,"CURRENT_EV_TO_T12M_EBITDA",$B104+1,$B104+1))),H105))</f>
        <v>0</v>
      </c>
      <c r="I104" s="530">
        <f t="shared" ca="1" si="30"/>
        <v>45258</v>
      </c>
      <c r="J104" s="526">
        <f ca="1">(IFERROR(IFERROR(VALUE(_xll.BDH(J$4,"PE_RATIO",$B104,$B104)),VALUE(_xll.BDH(J$4,"PE_RATIO",$B104+1,$B104+1))),J105))</f>
        <v>0</v>
      </c>
      <c r="K104" s="526">
        <f ca="1">(IFERROR(IFERROR(VALUE(_xll.BDH(K$4,"PE_RATIO",$B104,$B104)),VALUE(_xll.BDH(K$4,"PE_RATIO",$B104+1,$B104+1))),K105))</f>
        <v>0</v>
      </c>
      <c r="L104" s="526">
        <f ca="1">(IFERROR(IFERROR(VALUE(_xll.BDH(L$4,"PE_RATIO",$B104,$B104)),VALUE(_xll.BDH(L$4,"PE_RATIO",$B104+1,$B104+1))),L105))</f>
        <v>0</v>
      </c>
      <c r="M104" s="526">
        <f ca="1">(IFERROR(IFERROR(VALUE(_xll.BDH(M$4,"PE_RATIO",$B104,$B104)),VALUE(_xll.BDH(M$4,"PE_RATIO",$B104+1,$B104+1))),M105))</f>
        <v>0</v>
      </c>
      <c r="N104" s="526">
        <f ca="1">(IFERROR(IFERROR(VALUE(_xll.BDH(N$4,"PE_RATIO",$B104,$B104)),VALUE(_xll.BDH(N$4,"PE_RATIO",$B104+1,$B104+1))),N105))</f>
        <v>0</v>
      </c>
      <c r="O104" s="526">
        <f ca="1">(IFERROR(IFERROR(VALUE(_xll.BDH(O$4,"PE_RATIO",$B104,$B104)),VALUE(_xll.BDH(O$4,"PE_RATIO",$B104+1,$B104+1))),O105))</f>
        <v>0</v>
      </c>
      <c r="P104" s="526"/>
      <c r="Q104" s="530">
        <v>45215</v>
      </c>
      <c r="R104" s="4">
        <v>2.2400000000000002</v>
      </c>
      <c r="S104" s="4">
        <v>15172.73</v>
      </c>
      <c r="T104" s="4">
        <v>5469.95</v>
      </c>
      <c r="U104" s="4">
        <v>0.97816593886462888</v>
      </c>
      <c r="V104" s="4">
        <v>1.3481945706946172</v>
      </c>
      <c r="W104" s="4">
        <v>1.438578450581617</v>
      </c>
      <c r="Y104" s="526">
        <f t="shared" si="31"/>
        <v>2.2400000000000002</v>
      </c>
      <c r="Z104" s="4">
        <f>IFERROR(VALUE(_xll.BDH(Z$4,"PX_LAST",$Q104,$Q104)),Z105)</f>
        <v>49.93</v>
      </c>
      <c r="AA104" s="4">
        <f>IFERROR(VALUE(_xll.BDH(AA$4,"PX_LAST",$Q104,$Q104)),AA105)</f>
        <v>25.75</v>
      </c>
      <c r="AB104" s="4">
        <f>IFERROR(VALUE(_xll.BDH(AB$4,"PX_LAST",$Q104,$Q104)),AB105)</f>
        <v>128.43</v>
      </c>
      <c r="AC104" s="4">
        <f>IFERROR(VALUE(_xll.BDH(AC$4,"PX_LAST",$Q104,$Q104)),AC105)</f>
        <v>8.02</v>
      </c>
      <c r="AD104" s="4">
        <f>IFERROR(VALUE(_xll.BDH(AD$4,"PX_LAST",$Q104,$Q104)),AD105)</f>
        <v>38.65</v>
      </c>
      <c r="AF104" s="4">
        <f t="shared" si="32"/>
        <v>0.97816593886462888</v>
      </c>
      <c r="AG104" s="4">
        <f t="shared" si="33"/>
        <v>1.6908228919742634</v>
      </c>
      <c r="AH104" s="4">
        <f t="shared" si="34"/>
        <v>0.9060520760028149</v>
      </c>
      <c r="AI104" s="4">
        <f t="shared" si="35"/>
        <v>1.3768224699828473</v>
      </c>
      <c r="AJ104" s="4">
        <f t="shared" si="36"/>
        <v>0.99875466998754669</v>
      </c>
      <c r="AK104" s="4">
        <f t="shared" si="37"/>
        <v>1.3231769941800753</v>
      </c>
      <c r="AM104" s="528">
        <v>45808</v>
      </c>
      <c r="AN104" s="529">
        <v>12.67</v>
      </c>
      <c r="AO104" s="529">
        <v>-1080511</v>
      </c>
      <c r="AP104" s="529">
        <v>-26.172899999999998</v>
      </c>
      <c r="AQ104" s="529">
        <v>-663.22128599999996</v>
      </c>
      <c r="AR104" s="529">
        <v>-0.4985</v>
      </c>
    </row>
    <row r="105" spans="2:44">
      <c r="B105" s="530">
        <f t="shared" ca="1" si="38"/>
        <v>45251</v>
      </c>
      <c r="C105" s="526">
        <f ca="1">(IFERROR(IFERROR(VALUE(_xll.BDH(C$4,"CURRENT_EV_TO_T12M_EBITDA",$B105,$B105)),VALUE(_xll.BDH(C$4,"CURRENT_EV_TO_T12M_EBITDA",$B105+1,$B105+1))),C106))</f>
        <v>0</v>
      </c>
      <c r="D105" s="526">
        <f ca="1">(IFERROR(IFERROR(VALUE(_xll.BDH(D$4,"CURRENT_EV_TO_T12M_EBITDA",$B105,$B105)),VALUE(_xll.BDH(D$4,"CURRENT_EV_TO_T12M_EBITDA",$B105+1,$B105+1))),D106))</f>
        <v>0</v>
      </c>
      <c r="E105" s="526">
        <f ca="1">(IFERROR(IFERROR(VALUE(_xll.BDH(E$4,"CURRENT_EV_TO_T12M_EBITDA",$B105,$B105)),VALUE(_xll.BDH(E$4,"CURRENT_EV_TO_T12M_EBITDA",$B105+1,$B105+1))),E106))</f>
        <v>0</v>
      </c>
      <c r="F105" s="526">
        <f ca="1">(IFERROR(IFERROR(VALUE(_xll.BDH(F$4,"CURRENT_EV_TO_T12M_EBITDA",$B105,$B105)),VALUE(_xll.BDH(F$4,"CURRENT_EV_TO_T12M_EBITDA",$B105+1,$B105+1))),F106))</f>
        <v>0</v>
      </c>
      <c r="G105" s="526">
        <f ca="1">(IFERROR(IFERROR(VALUE(_xll.BDH(G$4,"CURRENT_EV_TO_T12M_EBITDA",$B105,$B105)),VALUE(_xll.BDH(G$4,"CURRENT_EV_TO_T12M_EBITDA",$B105+1,$B105+1))),G106))</f>
        <v>0</v>
      </c>
      <c r="H105" s="526">
        <f ca="1">(IFERROR(IFERROR(VALUE(_xll.BDH(H$4,"CURRENT_EV_TO_T12M_EBITDA",$B105,$B105)),VALUE(_xll.BDH(H$4,"CURRENT_EV_TO_T12M_EBITDA",$B105+1,$B105+1))),H106))</f>
        <v>0</v>
      </c>
      <c r="I105" s="530">
        <f t="shared" ca="1" si="30"/>
        <v>45251</v>
      </c>
      <c r="J105" s="526">
        <f ca="1">(IFERROR(IFERROR(VALUE(_xll.BDH(J$4,"PE_RATIO",$B105,$B105)),VALUE(_xll.BDH(J$4,"PE_RATIO",$B105+1,$B105+1))),J106))</f>
        <v>0</v>
      </c>
      <c r="K105" s="526">
        <f ca="1">(IFERROR(IFERROR(VALUE(_xll.BDH(K$4,"PE_RATIO",$B105,$B105)),VALUE(_xll.BDH(K$4,"PE_RATIO",$B105+1,$B105+1))),K106))</f>
        <v>0</v>
      </c>
      <c r="L105" s="526">
        <f ca="1">(IFERROR(IFERROR(VALUE(_xll.BDH(L$4,"PE_RATIO",$B105,$B105)),VALUE(_xll.BDH(L$4,"PE_RATIO",$B105+1,$B105+1))),L106))</f>
        <v>0</v>
      </c>
      <c r="M105" s="526">
        <f ca="1">(IFERROR(IFERROR(VALUE(_xll.BDH(M$4,"PE_RATIO",$B105,$B105)),VALUE(_xll.BDH(M$4,"PE_RATIO",$B105+1,$B105+1))),M106))</f>
        <v>0</v>
      </c>
      <c r="N105" s="526">
        <f ca="1">(IFERROR(IFERROR(VALUE(_xll.BDH(N$4,"PE_RATIO",$B105,$B105)),VALUE(_xll.BDH(N$4,"PE_RATIO",$B105+1,$B105+1))),N106))</f>
        <v>0</v>
      </c>
      <c r="O105" s="526">
        <f ca="1">(IFERROR(IFERROR(VALUE(_xll.BDH(O$4,"PE_RATIO",$B105,$B105)),VALUE(_xll.BDH(O$4,"PE_RATIO",$B105+1,$B105+1))),O106))</f>
        <v>0</v>
      </c>
      <c r="P105" s="526"/>
      <c r="Q105" s="530">
        <v>45208</v>
      </c>
      <c r="R105" s="4">
        <v>2.5299999999999998</v>
      </c>
      <c r="S105" s="4">
        <v>15047.15</v>
      </c>
      <c r="T105" s="4">
        <v>5420.76</v>
      </c>
      <c r="U105" s="4">
        <v>1.1048034934497815</v>
      </c>
      <c r="V105" s="4">
        <v>1.3370359806328531</v>
      </c>
      <c r="W105" s="4">
        <v>1.4256416460433472</v>
      </c>
      <c r="Y105" s="526">
        <f t="shared" si="31"/>
        <v>2.5299999999999998</v>
      </c>
      <c r="Z105" s="4">
        <f>IFERROR(VALUE(_xll.BDH(Z$4,"PX_LAST",$Q105,$Q105)),Z106)</f>
        <v>50.09</v>
      </c>
      <c r="AA105" s="4">
        <f>IFERROR(VALUE(_xll.BDH(AA$4,"PX_LAST",$Q105,$Q105)),AA106)</f>
        <v>26.7</v>
      </c>
      <c r="AB105" s="4">
        <f>IFERROR(VALUE(_xll.BDH(AB$4,"PX_LAST",$Q105,$Q105)),AB106)</f>
        <v>122.88</v>
      </c>
      <c r="AC105" s="4">
        <f>IFERROR(VALUE(_xll.BDH(AC$4,"PX_LAST",$Q105,$Q105)),AC106)</f>
        <v>8.33</v>
      </c>
      <c r="AD105" s="4">
        <f>IFERROR(VALUE(_xll.BDH(AD$4,"PX_LAST",$Q105,$Q105)),AD106)</f>
        <v>37.729999999999997</v>
      </c>
      <c r="AF105" s="4">
        <f t="shared" si="32"/>
        <v>1.1048034934497815</v>
      </c>
      <c r="AG105" s="4">
        <f t="shared" si="33"/>
        <v>1.6962411107348461</v>
      </c>
      <c r="AH105" s="4">
        <f t="shared" si="34"/>
        <v>0.93947923997185068</v>
      </c>
      <c r="AI105" s="4">
        <f t="shared" si="35"/>
        <v>1.3173241852487134</v>
      </c>
      <c r="AJ105" s="4">
        <f t="shared" si="36"/>
        <v>1.0373599003735992</v>
      </c>
      <c r="AK105" s="4">
        <f t="shared" si="37"/>
        <v>1.2916809311879491</v>
      </c>
      <c r="AM105" s="528">
        <v>45807</v>
      </c>
      <c r="AN105" s="529">
        <v>12.67</v>
      </c>
      <c r="AO105" s="529">
        <v>0</v>
      </c>
      <c r="AP105" s="529">
        <v>0</v>
      </c>
      <c r="AQ105" s="529">
        <v>-331.61064299999998</v>
      </c>
      <c r="AR105" s="529">
        <v>0</v>
      </c>
    </row>
    <row r="106" spans="2:44">
      <c r="B106" s="530">
        <f t="shared" ca="1" si="38"/>
        <v>45244</v>
      </c>
      <c r="C106" s="526">
        <f ca="1">(IFERROR(IFERROR(VALUE(_xll.BDH(C$4,"CURRENT_EV_TO_T12M_EBITDA",$B106,$B106)),VALUE(_xll.BDH(C$4,"CURRENT_EV_TO_T12M_EBITDA",$B106+1,$B106+1))),C107))</f>
        <v>0</v>
      </c>
      <c r="D106" s="526">
        <f ca="1">(IFERROR(IFERROR(VALUE(_xll.BDH(D$4,"CURRENT_EV_TO_T12M_EBITDA",$B106,$B106)),VALUE(_xll.BDH(D$4,"CURRENT_EV_TO_T12M_EBITDA",$B106+1,$B106+1))),D107))</f>
        <v>0</v>
      </c>
      <c r="E106" s="526">
        <f ca="1">(IFERROR(IFERROR(VALUE(_xll.BDH(E$4,"CURRENT_EV_TO_T12M_EBITDA",$B106,$B106)),VALUE(_xll.BDH(E$4,"CURRENT_EV_TO_T12M_EBITDA",$B106+1,$B106+1))),E107))</f>
        <v>0</v>
      </c>
      <c r="F106" s="526">
        <f ca="1">(IFERROR(IFERROR(VALUE(_xll.BDH(F$4,"CURRENT_EV_TO_T12M_EBITDA",$B106,$B106)),VALUE(_xll.BDH(F$4,"CURRENT_EV_TO_T12M_EBITDA",$B106+1,$B106+1))),F107))</f>
        <v>0</v>
      </c>
      <c r="G106" s="526">
        <f ca="1">(IFERROR(IFERROR(VALUE(_xll.BDH(G$4,"CURRENT_EV_TO_T12M_EBITDA",$B106,$B106)),VALUE(_xll.BDH(G$4,"CURRENT_EV_TO_T12M_EBITDA",$B106+1,$B106+1))),G107))</f>
        <v>0</v>
      </c>
      <c r="H106" s="526">
        <f ca="1">(IFERROR(IFERROR(VALUE(_xll.BDH(H$4,"CURRENT_EV_TO_T12M_EBITDA",$B106,$B106)),VALUE(_xll.BDH(H$4,"CURRENT_EV_TO_T12M_EBITDA",$B106+1,$B106+1))),H107))</f>
        <v>0</v>
      </c>
      <c r="I106" s="530">
        <f t="shared" ca="1" si="30"/>
        <v>45244</v>
      </c>
      <c r="J106" s="526">
        <f ca="1">(IFERROR(IFERROR(VALUE(_xll.BDH(J$4,"PE_RATIO",$B106,$B106)),VALUE(_xll.BDH(J$4,"PE_RATIO",$B106+1,$B106+1))),J107))</f>
        <v>0</v>
      </c>
      <c r="K106" s="526">
        <f ca="1">(IFERROR(IFERROR(VALUE(_xll.BDH(K$4,"PE_RATIO",$B106,$B106)),VALUE(_xll.BDH(K$4,"PE_RATIO",$B106+1,$B106+1))),K107))</f>
        <v>0</v>
      </c>
      <c r="L106" s="526">
        <f ca="1">(IFERROR(IFERROR(VALUE(_xll.BDH(L$4,"PE_RATIO",$B106,$B106)),VALUE(_xll.BDH(L$4,"PE_RATIO",$B106+1,$B106+1))),L107))</f>
        <v>0</v>
      </c>
      <c r="M106" s="526">
        <f ca="1">(IFERROR(IFERROR(VALUE(_xll.BDH(M$4,"PE_RATIO",$B106,$B106)),VALUE(_xll.BDH(M$4,"PE_RATIO",$B106+1,$B106+1))),M107))</f>
        <v>0</v>
      </c>
      <c r="N106" s="526">
        <f ca="1">(IFERROR(IFERROR(VALUE(_xll.BDH(N$4,"PE_RATIO",$B106,$B106)),VALUE(_xll.BDH(N$4,"PE_RATIO",$B106+1,$B106+1))),N107))</f>
        <v>0</v>
      </c>
      <c r="O106" s="526">
        <f ca="1">(IFERROR(IFERROR(VALUE(_xll.BDH(O$4,"PE_RATIO",$B106,$B106)),VALUE(_xll.BDH(O$4,"PE_RATIO",$B106+1,$B106+1))),O107))</f>
        <v>0</v>
      </c>
      <c r="P106" s="526"/>
      <c r="Q106" s="530">
        <v>45201</v>
      </c>
      <c r="R106" s="4">
        <v>2.54</v>
      </c>
      <c r="S106" s="4">
        <v>14837.57</v>
      </c>
      <c r="T106" s="4">
        <v>5287.14</v>
      </c>
      <c r="U106" s="4">
        <v>1.1091703056768558</v>
      </c>
      <c r="V106" s="4">
        <v>1.3184134507304441</v>
      </c>
      <c r="W106" s="4">
        <v>1.390500035504546</v>
      </c>
      <c r="Y106" s="526">
        <f t="shared" si="31"/>
        <v>2.54</v>
      </c>
      <c r="Z106" s="4">
        <f>IFERROR(VALUE(_xll.BDH(Z$4,"PX_LAST",$Q106,$Q106)),Z107)</f>
        <v>50.14</v>
      </c>
      <c r="AA106" s="4">
        <f>IFERROR(VALUE(_xll.BDH(AA$4,"PX_LAST",$Q106,$Q106)),AA107)</f>
        <v>27.27</v>
      </c>
      <c r="AB106" s="4">
        <f>IFERROR(VALUE(_xll.BDH(AB$4,"PX_LAST",$Q106,$Q106)),AB107)</f>
        <v>126.51</v>
      </c>
      <c r="AC106" s="4">
        <f>IFERROR(VALUE(_xll.BDH(AC$4,"PX_LAST",$Q106,$Q106)),AC107)</f>
        <v>8.31</v>
      </c>
      <c r="AD106" s="4">
        <f>IFERROR(VALUE(_xll.BDH(AD$4,"PX_LAST",$Q106,$Q106)),AD107)</f>
        <v>39.24</v>
      </c>
      <c r="AF106" s="4">
        <f t="shared" si="32"/>
        <v>1.1091703056768558</v>
      </c>
      <c r="AG106" s="4">
        <f t="shared" si="33"/>
        <v>1.6979343040975279</v>
      </c>
      <c r="AH106" s="4">
        <f t="shared" si="34"/>
        <v>0.95953553835327232</v>
      </c>
      <c r="AI106" s="4">
        <f t="shared" si="35"/>
        <v>1.3562392795883362</v>
      </c>
      <c r="AJ106" s="4">
        <f t="shared" si="36"/>
        <v>1.0348692403486925</v>
      </c>
      <c r="AK106" s="4">
        <f t="shared" si="37"/>
        <v>1.3433755563163301</v>
      </c>
      <c r="AM106" s="528">
        <v>45806</v>
      </c>
      <c r="AN106" s="529">
        <v>12.94</v>
      </c>
      <c r="AO106" s="529">
        <v>0</v>
      </c>
      <c r="AP106" s="529">
        <v>0</v>
      </c>
      <c r="AQ106" s="529">
        <v>-338.67732599999999</v>
      </c>
      <c r="AR106" s="529">
        <v>0</v>
      </c>
    </row>
    <row r="107" spans="2:44">
      <c r="B107" s="530">
        <f t="shared" ca="1" si="38"/>
        <v>45237</v>
      </c>
      <c r="C107" s="526">
        <f ca="1">(IFERROR(IFERROR(VALUE(_xll.BDH(C$4,"CURRENT_EV_TO_T12M_EBITDA",$B107,$B107)),VALUE(_xll.BDH(C$4,"CURRENT_EV_TO_T12M_EBITDA",$B107+1,$B107+1))),C108))</f>
        <v>0</v>
      </c>
      <c r="D107" s="526">
        <f ca="1">(IFERROR(IFERROR(VALUE(_xll.BDH(D$4,"CURRENT_EV_TO_T12M_EBITDA",$B107,$B107)),VALUE(_xll.BDH(D$4,"CURRENT_EV_TO_T12M_EBITDA",$B107+1,$B107+1))),D108))</f>
        <v>0</v>
      </c>
      <c r="E107" s="526">
        <f ca="1">(IFERROR(IFERROR(VALUE(_xll.BDH(E$4,"CURRENT_EV_TO_T12M_EBITDA",$B107,$B107)),VALUE(_xll.BDH(E$4,"CURRENT_EV_TO_T12M_EBITDA",$B107+1,$B107+1))),E108))</f>
        <v>0</v>
      </c>
      <c r="F107" s="526">
        <f ca="1">(IFERROR(IFERROR(VALUE(_xll.BDH(F$4,"CURRENT_EV_TO_T12M_EBITDA",$B107,$B107)),VALUE(_xll.BDH(F$4,"CURRENT_EV_TO_T12M_EBITDA",$B107+1,$B107+1))),F108))</f>
        <v>0</v>
      </c>
      <c r="G107" s="526">
        <f ca="1">(IFERROR(IFERROR(VALUE(_xll.BDH(G$4,"CURRENT_EV_TO_T12M_EBITDA",$B107,$B107)),VALUE(_xll.BDH(G$4,"CURRENT_EV_TO_T12M_EBITDA",$B107+1,$B107+1))),G108))</f>
        <v>0</v>
      </c>
      <c r="H107" s="526">
        <f ca="1">(IFERROR(IFERROR(VALUE(_xll.BDH(H$4,"CURRENT_EV_TO_T12M_EBITDA",$B107,$B107)),VALUE(_xll.BDH(H$4,"CURRENT_EV_TO_T12M_EBITDA",$B107+1,$B107+1))),H108))</f>
        <v>0</v>
      </c>
      <c r="I107" s="530">
        <f t="shared" ca="1" si="30"/>
        <v>45237</v>
      </c>
      <c r="J107" s="526">
        <f ca="1">(IFERROR(IFERROR(VALUE(_xll.BDH(J$4,"PE_RATIO",$B107,$B107)),VALUE(_xll.BDH(J$4,"PE_RATIO",$B107+1,$B107+1))),J108))</f>
        <v>0</v>
      </c>
      <c r="K107" s="526">
        <f ca="1">(IFERROR(IFERROR(VALUE(_xll.BDH(K$4,"PE_RATIO",$B107,$B107)),VALUE(_xll.BDH(K$4,"PE_RATIO",$B107+1,$B107+1))),K108))</f>
        <v>0</v>
      </c>
      <c r="L107" s="526">
        <f ca="1">(IFERROR(IFERROR(VALUE(_xll.BDH(L$4,"PE_RATIO",$B107,$B107)),VALUE(_xll.BDH(L$4,"PE_RATIO",$B107+1,$B107+1))),L108))</f>
        <v>0</v>
      </c>
      <c r="M107" s="526">
        <f ca="1">(IFERROR(IFERROR(VALUE(_xll.BDH(M$4,"PE_RATIO",$B107,$B107)),VALUE(_xll.BDH(M$4,"PE_RATIO",$B107+1,$B107+1))),M108))</f>
        <v>0</v>
      </c>
      <c r="N107" s="526">
        <f ca="1">(IFERROR(IFERROR(VALUE(_xll.BDH(N$4,"PE_RATIO",$B107,$B107)),VALUE(_xll.BDH(N$4,"PE_RATIO",$B107+1,$B107+1))),N108))</f>
        <v>0</v>
      </c>
      <c r="O107" s="526">
        <f ca="1">(IFERROR(IFERROR(VALUE(_xll.BDH(O$4,"PE_RATIO",$B107,$B107)),VALUE(_xll.BDH(O$4,"PE_RATIO",$B107+1,$B107+1))),O108))</f>
        <v>0</v>
      </c>
      <c r="P107" s="526"/>
      <c r="Q107" s="530">
        <v>45194</v>
      </c>
      <c r="R107" s="4">
        <v>2.56</v>
      </c>
      <c r="S107" s="4">
        <v>14768.9</v>
      </c>
      <c r="T107" s="4">
        <v>5232.83</v>
      </c>
      <c r="U107" s="4">
        <v>1.1179039301310043</v>
      </c>
      <c r="V107" s="4">
        <v>1.3123116799107171</v>
      </c>
      <c r="W107" s="4">
        <v>1.376216688188558</v>
      </c>
      <c r="Y107" s="526">
        <f t="shared" si="31"/>
        <v>2.56</v>
      </c>
      <c r="Z107" s="4">
        <f>IFERROR(VALUE(_xll.BDH(Z$4,"PX_LAST",$Q107,$Q107)),Z108)</f>
        <v>48.36</v>
      </c>
      <c r="AA107" s="4">
        <f>IFERROR(VALUE(_xll.BDH(AA$4,"PX_LAST",$Q107,$Q107)),AA108)</f>
        <v>26.73</v>
      </c>
      <c r="AB107" s="4">
        <f>IFERROR(VALUE(_xll.BDH(AB$4,"PX_LAST",$Q107,$Q107)),AB108)</f>
        <v>125.83</v>
      </c>
      <c r="AC107" s="4">
        <f>IFERROR(VALUE(_xll.BDH(AC$4,"PX_LAST",$Q107,$Q107)),AC108)</f>
        <v>7.84</v>
      </c>
      <c r="AD107" s="4">
        <f>IFERROR(VALUE(_xll.BDH(AD$4,"PX_LAST",$Q107,$Q107)),AD108)</f>
        <v>39.6</v>
      </c>
      <c r="AF107" s="4">
        <f t="shared" si="32"/>
        <v>1.1179039301310043</v>
      </c>
      <c r="AG107" s="4">
        <f t="shared" si="33"/>
        <v>1.6376566203860481</v>
      </c>
      <c r="AH107" s="4">
        <f t="shared" si="34"/>
        <v>0.94053483462350451</v>
      </c>
      <c r="AI107" s="4">
        <f t="shared" si="35"/>
        <v>1.3489493996569468</v>
      </c>
      <c r="AJ107" s="4">
        <f t="shared" si="36"/>
        <v>0.97633872976338731</v>
      </c>
      <c r="AK107" s="4">
        <f t="shared" si="37"/>
        <v>1.3557001027045532</v>
      </c>
      <c r="AM107" s="528">
        <v>45805</v>
      </c>
      <c r="AN107" s="529">
        <v>13.21</v>
      </c>
      <c r="AO107" s="529">
        <v>0</v>
      </c>
      <c r="AP107" s="529">
        <v>0</v>
      </c>
      <c r="AQ107" s="529">
        <v>-345.74400900000001</v>
      </c>
      <c r="AR107" s="529">
        <v>0</v>
      </c>
    </row>
    <row r="108" spans="2:44">
      <c r="B108" s="530">
        <f t="shared" ca="1" si="38"/>
        <v>45230</v>
      </c>
      <c r="C108" s="526">
        <f ca="1">(IFERROR(IFERROR(VALUE(_xll.BDH(C$4,"CURRENT_EV_TO_T12M_EBITDA",$B108,$B108)),VALUE(_xll.BDH(C$4,"CURRENT_EV_TO_T12M_EBITDA",$B108+1,$B108+1))),C109))</f>
        <v>0</v>
      </c>
      <c r="D108" s="526">
        <f ca="1">(IFERROR(IFERROR(VALUE(_xll.BDH(D$4,"CURRENT_EV_TO_T12M_EBITDA",$B108,$B108)),VALUE(_xll.BDH(D$4,"CURRENT_EV_TO_T12M_EBITDA",$B108+1,$B108+1))),D109))</f>
        <v>0</v>
      </c>
      <c r="E108" s="526">
        <f ca="1">(IFERROR(IFERROR(VALUE(_xll.BDH(E$4,"CURRENT_EV_TO_T12M_EBITDA",$B108,$B108)),VALUE(_xll.BDH(E$4,"CURRENT_EV_TO_T12M_EBITDA",$B108+1,$B108+1))),E109))</f>
        <v>0</v>
      </c>
      <c r="F108" s="526">
        <f ca="1">(IFERROR(IFERROR(VALUE(_xll.BDH(F$4,"CURRENT_EV_TO_T12M_EBITDA",$B108,$B108)),VALUE(_xll.BDH(F$4,"CURRENT_EV_TO_T12M_EBITDA",$B108+1,$B108+1))),F109))</f>
        <v>0</v>
      </c>
      <c r="G108" s="526">
        <f ca="1">(IFERROR(IFERROR(VALUE(_xll.BDH(G$4,"CURRENT_EV_TO_T12M_EBITDA",$B108,$B108)),VALUE(_xll.BDH(G$4,"CURRENT_EV_TO_T12M_EBITDA",$B108+1,$B108+1))),G109))</f>
        <v>0</v>
      </c>
      <c r="H108" s="526">
        <f ca="1">(IFERROR(IFERROR(VALUE(_xll.BDH(H$4,"CURRENT_EV_TO_T12M_EBITDA",$B108,$B108)),VALUE(_xll.BDH(H$4,"CURRENT_EV_TO_T12M_EBITDA",$B108+1,$B108+1))),H109))</f>
        <v>0</v>
      </c>
      <c r="I108" s="530">
        <f t="shared" ca="1" si="30"/>
        <v>45230</v>
      </c>
      <c r="J108" s="526">
        <f ca="1">(IFERROR(IFERROR(VALUE(_xll.BDH(J$4,"PE_RATIO",$B108,$B108)),VALUE(_xll.BDH(J$4,"PE_RATIO",$B108+1,$B108+1))),J109))</f>
        <v>0</v>
      </c>
      <c r="K108" s="526">
        <f ca="1">(IFERROR(IFERROR(VALUE(_xll.BDH(K$4,"PE_RATIO",$B108,$B108)),VALUE(_xll.BDH(K$4,"PE_RATIO",$B108+1,$B108+1))),K109))</f>
        <v>0</v>
      </c>
      <c r="L108" s="526">
        <f ca="1">(IFERROR(IFERROR(VALUE(_xll.BDH(L$4,"PE_RATIO",$B108,$B108)),VALUE(_xll.BDH(L$4,"PE_RATIO",$B108+1,$B108+1))),L109))</f>
        <v>0</v>
      </c>
      <c r="M108" s="526">
        <f ca="1">(IFERROR(IFERROR(VALUE(_xll.BDH(M$4,"PE_RATIO",$B108,$B108)),VALUE(_xll.BDH(M$4,"PE_RATIO",$B108+1,$B108+1))),M109))</f>
        <v>0</v>
      </c>
      <c r="N108" s="526">
        <f ca="1">(IFERROR(IFERROR(VALUE(_xll.BDH(N$4,"PE_RATIO",$B108,$B108)),VALUE(_xll.BDH(N$4,"PE_RATIO",$B108+1,$B108+1))),N109))</f>
        <v>0</v>
      </c>
      <c r="O108" s="526">
        <f ca="1">(IFERROR(IFERROR(VALUE(_xll.BDH(O$4,"PE_RATIO",$B108,$B108)),VALUE(_xll.BDH(O$4,"PE_RATIO",$B108+1,$B108+1))),O109))</f>
        <v>0</v>
      </c>
      <c r="P108" s="526"/>
      <c r="Q108" s="530">
        <v>45187</v>
      </c>
      <c r="R108" s="4">
        <v>2.4900000000000002</v>
      </c>
      <c r="S108" s="4">
        <v>15225.37</v>
      </c>
      <c r="T108" s="4">
        <v>5425.25</v>
      </c>
      <c r="U108" s="4">
        <v>1.0873362445414847</v>
      </c>
      <c r="V108" s="4">
        <v>1.3528719729947547</v>
      </c>
      <c r="W108" s="4">
        <v>1.4268225009402129</v>
      </c>
      <c r="Y108" s="526">
        <f t="shared" si="31"/>
        <v>2.4900000000000002</v>
      </c>
      <c r="Z108" s="4">
        <f>IFERROR(VALUE(_xll.BDH(Z$4,"PX_LAST",$Q108,$Q108)),Z109)</f>
        <v>49.34</v>
      </c>
      <c r="AA108" s="4">
        <f>IFERROR(VALUE(_xll.BDH(AA$4,"PX_LAST",$Q108,$Q108)),AA109)</f>
        <v>26.73</v>
      </c>
      <c r="AB108" s="4">
        <f>IFERROR(VALUE(_xll.BDH(AB$4,"PX_LAST",$Q108,$Q108)),AB109)</f>
        <v>132.13</v>
      </c>
      <c r="AC108" s="4">
        <f>IFERROR(VALUE(_xll.BDH(AC$4,"PX_LAST",$Q108,$Q108)),AC109)</f>
        <v>7.88</v>
      </c>
      <c r="AD108" s="4">
        <f>IFERROR(VALUE(_xll.BDH(AD$4,"PX_LAST",$Q108,$Q108)),AD109)</f>
        <v>40.4</v>
      </c>
      <c r="AF108" s="4">
        <f t="shared" si="32"/>
        <v>1.0873362445414847</v>
      </c>
      <c r="AG108" s="4">
        <f t="shared" si="33"/>
        <v>1.6708432102946158</v>
      </c>
      <c r="AH108" s="4">
        <f t="shared" si="34"/>
        <v>0.94053483462350451</v>
      </c>
      <c r="AI108" s="4">
        <f t="shared" si="35"/>
        <v>1.4164879931389365</v>
      </c>
      <c r="AJ108" s="4">
        <f t="shared" si="36"/>
        <v>0.98132004981320053</v>
      </c>
      <c r="AK108" s="4">
        <f t="shared" si="37"/>
        <v>1.3830879835672714</v>
      </c>
      <c r="AM108" s="528">
        <v>45804</v>
      </c>
      <c r="AN108" s="529">
        <v>13.03</v>
      </c>
      <c r="AO108" s="529">
        <v>0</v>
      </c>
      <c r="AP108" s="529">
        <v>0</v>
      </c>
      <c r="AQ108" s="529">
        <v>-341.03288699999996</v>
      </c>
      <c r="AR108" s="529">
        <v>0</v>
      </c>
    </row>
    <row r="109" spans="2:44">
      <c r="B109" s="530">
        <f t="shared" ca="1" si="38"/>
        <v>45223</v>
      </c>
      <c r="C109" s="526">
        <f ca="1">(IFERROR(IFERROR(VALUE(_xll.BDH(C$4,"CURRENT_EV_TO_T12M_EBITDA",$B109,$B109)),VALUE(_xll.BDH(C$4,"CURRENT_EV_TO_T12M_EBITDA",$B109+1,$B109+1))),C110))</f>
        <v>0</v>
      </c>
      <c r="D109" s="526">
        <f ca="1">(IFERROR(IFERROR(VALUE(_xll.BDH(D$4,"CURRENT_EV_TO_T12M_EBITDA",$B109,$B109)),VALUE(_xll.BDH(D$4,"CURRENT_EV_TO_T12M_EBITDA",$B109+1,$B109+1))),D110))</f>
        <v>0</v>
      </c>
      <c r="E109" s="526">
        <f ca="1">(IFERROR(IFERROR(VALUE(_xll.BDH(E$4,"CURRENT_EV_TO_T12M_EBITDA",$B109,$B109)),VALUE(_xll.BDH(E$4,"CURRENT_EV_TO_T12M_EBITDA",$B109+1,$B109+1))),E110))</f>
        <v>0</v>
      </c>
      <c r="F109" s="526">
        <f ca="1">(IFERROR(IFERROR(VALUE(_xll.BDH(F$4,"CURRENT_EV_TO_T12M_EBITDA",$B109,$B109)),VALUE(_xll.BDH(F$4,"CURRENT_EV_TO_T12M_EBITDA",$B109+1,$B109+1))),F110))</f>
        <v>0</v>
      </c>
      <c r="G109" s="526">
        <f ca="1">(IFERROR(IFERROR(VALUE(_xll.BDH(G$4,"CURRENT_EV_TO_T12M_EBITDA",$B109,$B109)),VALUE(_xll.BDH(G$4,"CURRENT_EV_TO_T12M_EBITDA",$B109+1,$B109+1))),G110))</f>
        <v>0</v>
      </c>
      <c r="H109" s="526">
        <f ca="1">(IFERROR(IFERROR(VALUE(_xll.BDH(H$4,"CURRENT_EV_TO_T12M_EBITDA",$B109,$B109)),VALUE(_xll.BDH(H$4,"CURRENT_EV_TO_T12M_EBITDA",$B109+1,$B109+1))),H110))</f>
        <v>0</v>
      </c>
      <c r="I109" s="530">
        <f t="shared" ca="1" si="30"/>
        <v>45223</v>
      </c>
      <c r="J109" s="526">
        <f ca="1">(IFERROR(IFERROR(VALUE(_xll.BDH(J$4,"PE_RATIO",$B109,$B109)),VALUE(_xll.BDH(J$4,"PE_RATIO",$B109+1,$B109+1))),J110))</f>
        <v>0</v>
      </c>
      <c r="K109" s="526">
        <f ca="1">(IFERROR(IFERROR(VALUE(_xll.BDH(K$4,"PE_RATIO",$B109,$B109)),VALUE(_xll.BDH(K$4,"PE_RATIO",$B109+1,$B109+1))),K110))</f>
        <v>0</v>
      </c>
      <c r="L109" s="526">
        <f ca="1">(IFERROR(IFERROR(VALUE(_xll.BDH(L$4,"PE_RATIO",$B109,$B109)),VALUE(_xll.BDH(L$4,"PE_RATIO",$B109+1,$B109+1))),L110))</f>
        <v>0</v>
      </c>
      <c r="M109" s="526">
        <f ca="1">(IFERROR(IFERROR(VALUE(_xll.BDH(M$4,"PE_RATIO",$B109,$B109)),VALUE(_xll.BDH(M$4,"PE_RATIO",$B109+1,$B109+1))),M110))</f>
        <v>0</v>
      </c>
      <c r="N109" s="526">
        <f ca="1">(IFERROR(IFERROR(VALUE(_xll.BDH(N$4,"PE_RATIO",$B109,$B109)),VALUE(_xll.BDH(N$4,"PE_RATIO",$B109+1,$B109+1))),N110))</f>
        <v>0</v>
      </c>
      <c r="O109" s="526">
        <f ca="1">(IFERROR(IFERROR(VALUE(_xll.BDH(O$4,"PE_RATIO",$B109,$B109)),VALUE(_xll.BDH(O$4,"PE_RATIO",$B109+1,$B109+1))),O110))</f>
        <v>0</v>
      </c>
      <c r="P109" s="526"/>
      <c r="Q109" s="530">
        <v>45180</v>
      </c>
      <c r="R109" s="4">
        <v>2.7</v>
      </c>
      <c r="S109" s="4">
        <v>15461.87</v>
      </c>
      <c r="T109" s="4">
        <v>5616.44</v>
      </c>
      <c r="U109" s="4">
        <v>1.1790393013100438</v>
      </c>
      <c r="V109" s="4">
        <v>1.3738865179032371</v>
      </c>
      <c r="W109" s="4">
        <v>1.477104827829252</v>
      </c>
      <c r="Y109" s="526">
        <f t="shared" si="31"/>
        <v>2.7</v>
      </c>
      <c r="Z109" s="4">
        <f>IFERROR(VALUE(_xll.BDH(Z$4,"PX_LAST",$Q109,$Q109)),Z110)</f>
        <v>49.59</v>
      </c>
      <c r="AA109" s="4">
        <f>IFERROR(VALUE(_xll.BDH(AA$4,"PX_LAST",$Q109,$Q109)),AA110)</f>
        <v>27.51</v>
      </c>
      <c r="AB109" s="4">
        <f>IFERROR(VALUE(_xll.BDH(AB$4,"PX_LAST",$Q109,$Q109)),AB110)</f>
        <v>133.77000000000001</v>
      </c>
      <c r="AC109" s="4">
        <f>IFERROR(VALUE(_xll.BDH(AC$4,"PX_LAST",$Q109,$Q109)),AC110)</f>
        <v>8.1199999999999992</v>
      </c>
      <c r="AD109" s="4">
        <f>IFERROR(VALUE(_xll.BDH(AD$4,"PX_LAST",$Q109,$Q109)),AD110)</f>
        <v>39.85</v>
      </c>
      <c r="AF109" s="4">
        <f t="shared" si="32"/>
        <v>1.1790393013100438</v>
      </c>
      <c r="AG109" s="4">
        <f t="shared" si="33"/>
        <v>1.6793091771080257</v>
      </c>
      <c r="AH109" s="4">
        <f t="shared" si="34"/>
        <v>0.96798029556650245</v>
      </c>
      <c r="AI109" s="4">
        <f t="shared" si="35"/>
        <v>1.4340694682675816</v>
      </c>
      <c r="AJ109" s="4">
        <f t="shared" si="36"/>
        <v>1.0112079701120797</v>
      </c>
      <c r="AK109" s="4">
        <f t="shared" si="37"/>
        <v>1.3642588154741526</v>
      </c>
      <c r="AM109" s="528">
        <v>45803</v>
      </c>
      <c r="AN109" s="529">
        <v>11.98</v>
      </c>
      <c r="AO109" s="529">
        <v>-2633859</v>
      </c>
      <c r="AP109" s="529">
        <v>-78.518699999999995</v>
      </c>
      <c r="AQ109" s="529">
        <v>-1254.2053679999999</v>
      </c>
      <c r="AR109" s="529">
        <v>-1.4141999999999999</v>
      </c>
    </row>
    <row r="110" spans="2:44">
      <c r="B110" s="530">
        <f t="shared" ca="1" si="38"/>
        <v>45216</v>
      </c>
      <c r="C110" s="526">
        <f ca="1">(IFERROR(IFERROR(VALUE(_xll.BDH(C$4,"CURRENT_EV_TO_T12M_EBITDA",$B110,$B110)),VALUE(_xll.BDH(C$4,"CURRENT_EV_TO_T12M_EBITDA",$B110+1,$B110+1))),C111))</f>
        <v>0</v>
      </c>
      <c r="D110" s="526">
        <f ca="1">(IFERROR(IFERROR(VALUE(_xll.BDH(D$4,"CURRENT_EV_TO_T12M_EBITDA",$B110,$B110)),VALUE(_xll.BDH(D$4,"CURRENT_EV_TO_T12M_EBITDA",$B110+1,$B110+1))),D111))</f>
        <v>0</v>
      </c>
      <c r="E110" s="526">
        <f ca="1">(IFERROR(IFERROR(VALUE(_xll.BDH(E$4,"CURRENT_EV_TO_T12M_EBITDA",$B110,$B110)),VALUE(_xll.BDH(E$4,"CURRENT_EV_TO_T12M_EBITDA",$B110+1,$B110+1))),E111))</f>
        <v>0</v>
      </c>
      <c r="F110" s="526">
        <f ca="1">(IFERROR(IFERROR(VALUE(_xll.BDH(F$4,"CURRENT_EV_TO_T12M_EBITDA",$B110,$B110)),VALUE(_xll.BDH(F$4,"CURRENT_EV_TO_T12M_EBITDA",$B110+1,$B110+1))),F111))</f>
        <v>0</v>
      </c>
      <c r="G110" s="526">
        <f ca="1">(IFERROR(IFERROR(VALUE(_xll.BDH(G$4,"CURRENT_EV_TO_T12M_EBITDA",$B110,$B110)),VALUE(_xll.BDH(G$4,"CURRENT_EV_TO_T12M_EBITDA",$B110+1,$B110+1))),G111))</f>
        <v>0</v>
      </c>
      <c r="H110" s="526">
        <f ca="1">(IFERROR(IFERROR(VALUE(_xll.BDH(H$4,"CURRENT_EV_TO_T12M_EBITDA",$B110,$B110)),VALUE(_xll.BDH(H$4,"CURRENT_EV_TO_T12M_EBITDA",$B110+1,$B110+1))),H111))</f>
        <v>0</v>
      </c>
      <c r="I110" s="530">
        <f t="shared" ca="1" si="30"/>
        <v>45216</v>
      </c>
      <c r="J110" s="526">
        <f ca="1">(IFERROR(IFERROR(VALUE(_xll.BDH(J$4,"PE_RATIO",$B110,$B110)),VALUE(_xll.BDH(J$4,"PE_RATIO",$B110+1,$B110+1))),J111))</f>
        <v>0</v>
      </c>
      <c r="K110" s="526">
        <f ca="1">(IFERROR(IFERROR(VALUE(_xll.BDH(K$4,"PE_RATIO",$B110,$B110)),VALUE(_xll.BDH(K$4,"PE_RATIO",$B110+1,$B110+1))),K111))</f>
        <v>0</v>
      </c>
      <c r="L110" s="526">
        <f ca="1">(IFERROR(IFERROR(VALUE(_xll.BDH(L$4,"PE_RATIO",$B110,$B110)),VALUE(_xll.BDH(L$4,"PE_RATIO",$B110+1,$B110+1))),L111))</f>
        <v>0</v>
      </c>
      <c r="M110" s="526">
        <f ca="1">(IFERROR(IFERROR(VALUE(_xll.BDH(M$4,"PE_RATIO",$B110,$B110)),VALUE(_xll.BDH(M$4,"PE_RATIO",$B110+1,$B110+1))),M111))</f>
        <v>0</v>
      </c>
      <c r="N110" s="526">
        <f ca="1">(IFERROR(IFERROR(VALUE(_xll.BDH(N$4,"PE_RATIO",$B110,$B110)),VALUE(_xll.BDH(N$4,"PE_RATIO",$B110+1,$B110+1))),N111))</f>
        <v>0</v>
      </c>
      <c r="O110" s="526">
        <f ca="1">(IFERROR(IFERROR(VALUE(_xll.BDH(O$4,"PE_RATIO",$B110,$B110)),VALUE(_xll.BDH(O$4,"PE_RATIO",$B110+1,$B110+1))),O111))</f>
        <v>0</v>
      </c>
      <c r="P110" s="526"/>
      <c r="Q110" s="530">
        <v>45173</v>
      </c>
      <c r="R110" s="4">
        <v>2.61</v>
      </c>
      <c r="S110" s="4">
        <v>15052.46</v>
      </c>
      <c r="T110" s="4">
        <v>5352.71</v>
      </c>
      <c r="U110" s="4">
        <v>1.1397379912663754</v>
      </c>
      <c r="V110" s="4">
        <v>1.3375078082584939</v>
      </c>
      <c r="W110" s="4">
        <v>1.4077447249449679</v>
      </c>
      <c r="Y110" s="526">
        <f t="shared" si="31"/>
        <v>2.61</v>
      </c>
      <c r="Z110" s="4">
        <f>IFERROR(VALUE(_xll.BDH(Z$4,"PX_LAST",$Q110,$Q110)),Z111)</f>
        <v>51.05</v>
      </c>
      <c r="AA110" s="4">
        <f>IFERROR(VALUE(_xll.BDH(AA$4,"PX_LAST",$Q110,$Q110)),AA111)</f>
        <v>28.65</v>
      </c>
      <c r="AB110" s="4">
        <f>IFERROR(VALUE(_xll.BDH(AB$4,"PX_LAST",$Q110,$Q110)),AB111)</f>
        <v>129.62</v>
      </c>
      <c r="AC110" s="4">
        <f>IFERROR(VALUE(_xll.BDH(AC$4,"PX_LAST",$Q110,$Q110)),AC111)</f>
        <v>8.6999999999999993</v>
      </c>
      <c r="AD110" s="4">
        <f>IFERROR(VALUE(_xll.BDH(AD$4,"PX_LAST",$Q110,$Q110)),AD111)</f>
        <v>40.21</v>
      </c>
      <c r="AF110" s="4">
        <f t="shared" si="32"/>
        <v>1.1397379912663754</v>
      </c>
      <c r="AG110" s="4">
        <f t="shared" si="33"/>
        <v>1.7287504232983406</v>
      </c>
      <c r="AH110" s="4">
        <f t="shared" si="34"/>
        <v>1.0080928923293455</v>
      </c>
      <c r="AI110" s="4">
        <f t="shared" si="35"/>
        <v>1.3895797598627788</v>
      </c>
      <c r="AJ110" s="4">
        <f t="shared" si="36"/>
        <v>1.083437110834371</v>
      </c>
      <c r="AK110" s="4">
        <f t="shared" si="37"/>
        <v>1.376583361862376</v>
      </c>
      <c r="AM110" s="528">
        <v>45802</v>
      </c>
      <c r="AN110" s="529">
        <v>11.98</v>
      </c>
      <c r="AO110" s="529">
        <v>-1755906</v>
      </c>
      <c r="AP110" s="529">
        <v>-52.345799999999997</v>
      </c>
      <c r="AQ110" s="529">
        <v>-940.65402599999993</v>
      </c>
      <c r="AR110" s="529">
        <v>-0.94279999999999997</v>
      </c>
    </row>
    <row r="111" spans="2:44">
      <c r="B111" s="530">
        <f t="shared" ca="1" si="38"/>
        <v>45209</v>
      </c>
      <c r="C111" s="526">
        <f ca="1">(IFERROR(IFERROR(VALUE(_xll.BDH(C$4,"CURRENT_EV_TO_T12M_EBITDA",$B111,$B111)),VALUE(_xll.BDH(C$4,"CURRENT_EV_TO_T12M_EBITDA",$B111+1,$B111+1))),C112))</f>
        <v>0</v>
      </c>
      <c r="D111" s="526">
        <f ca="1">(IFERROR(IFERROR(VALUE(_xll.BDH(D$4,"CURRENT_EV_TO_T12M_EBITDA",$B111,$B111)),VALUE(_xll.BDH(D$4,"CURRENT_EV_TO_T12M_EBITDA",$B111+1,$B111+1))),D112))</f>
        <v>0</v>
      </c>
      <c r="E111" s="526">
        <f ca="1">(IFERROR(IFERROR(VALUE(_xll.BDH(E$4,"CURRENT_EV_TO_T12M_EBITDA",$B111,$B111)),VALUE(_xll.BDH(E$4,"CURRENT_EV_TO_T12M_EBITDA",$B111+1,$B111+1))),E112))</f>
        <v>0</v>
      </c>
      <c r="F111" s="526">
        <f ca="1">(IFERROR(IFERROR(VALUE(_xll.BDH(F$4,"CURRENT_EV_TO_T12M_EBITDA",$B111,$B111)),VALUE(_xll.BDH(F$4,"CURRENT_EV_TO_T12M_EBITDA",$B111+1,$B111+1))),F112))</f>
        <v>0</v>
      </c>
      <c r="G111" s="526">
        <f ca="1">(IFERROR(IFERROR(VALUE(_xll.BDH(G$4,"CURRENT_EV_TO_T12M_EBITDA",$B111,$B111)),VALUE(_xll.BDH(G$4,"CURRENT_EV_TO_T12M_EBITDA",$B111+1,$B111+1))),G112))</f>
        <v>0</v>
      </c>
      <c r="H111" s="526">
        <f ca="1">(IFERROR(IFERROR(VALUE(_xll.BDH(H$4,"CURRENT_EV_TO_T12M_EBITDA",$B111,$B111)),VALUE(_xll.BDH(H$4,"CURRENT_EV_TO_T12M_EBITDA",$B111+1,$B111+1))),H112))</f>
        <v>0</v>
      </c>
      <c r="I111" s="530">
        <f t="shared" ca="1" si="30"/>
        <v>45209</v>
      </c>
      <c r="J111" s="526">
        <f ca="1">(IFERROR(IFERROR(VALUE(_xll.BDH(J$4,"PE_RATIO",$B111,$B111)),VALUE(_xll.BDH(J$4,"PE_RATIO",$B111+1,$B111+1))),J112))</f>
        <v>0</v>
      </c>
      <c r="K111" s="526">
        <f ca="1">(IFERROR(IFERROR(VALUE(_xll.BDH(K$4,"PE_RATIO",$B111,$B111)),VALUE(_xll.BDH(K$4,"PE_RATIO",$B111+1,$B111+1))),K112))</f>
        <v>0</v>
      </c>
      <c r="L111" s="526">
        <f ca="1">(IFERROR(IFERROR(VALUE(_xll.BDH(L$4,"PE_RATIO",$B111,$B111)),VALUE(_xll.BDH(L$4,"PE_RATIO",$B111+1,$B111+1))),L112))</f>
        <v>0</v>
      </c>
      <c r="M111" s="526">
        <f ca="1">(IFERROR(IFERROR(VALUE(_xll.BDH(M$4,"PE_RATIO",$B111,$B111)),VALUE(_xll.BDH(M$4,"PE_RATIO",$B111+1,$B111+1))),M112))</f>
        <v>0</v>
      </c>
      <c r="N111" s="526">
        <f ca="1">(IFERROR(IFERROR(VALUE(_xll.BDH(N$4,"PE_RATIO",$B111,$B111)),VALUE(_xll.BDH(N$4,"PE_RATIO",$B111+1,$B111+1))),N112))</f>
        <v>0</v>
      </c>
      <c r="O111" s="526">
        <f ca="1">(IFERROR(IFERROR(VALUE(_xll.BDH(O$4,"PE_RATIO",$B111,$B111)),VALUE(_xll.BDH(O$4,"PE_RATIO",$B111+1,$B111+1))),O112))</f>
        <v>0</v>
      </c>
      <c r="P111" s="526"/>
      <c r="Q111" s="530">
        <v>45166</v>
      </c>
      <c r="R111" s="4">
        <v>2.61</v>
      </c>
      <c r="S111" s="4">
        <v>15052.46</v>
      </c>
      <c r="T111" s="4">
        <v>5352.71</v>
      </c>
      <c r="U111" s="4">
        <v>1.1397379912663754</v>
      </c>
      <c r="V111" s="4">
        <v>1.3375078082584939</v>
      </c>
      <c r="W111" s="4">
        <v>1.4077447249449679</v>
      </c>
      <c r="Y111" s="526">
        <f t="shared" si="31"/>
        <v>2.61</v>
      </c>
      <c r="Z111" s="4">
        <f>IFERROR(VALUE(_xll.BDH(Z$4,"PX_LAST",$Q111,$Q111)),Z112)</f>
        <v>51.05</v>
      </c>
      <c r="AA111" s="4">
        <f>IFERROR(VALUE(_xll.BDH(AA$4,"PX_LAST",$Q111,$Q111)),AA112)</f>
        <v>28.65</v>
      </c>
      <c r="AB111" s="4">
        <f>IFERROR(VALUE(_xll.BDH(AB$4,"PX_LAST",$Q111,$Q111)),AB112)</f>
        <v>129.62</v>
      </c>
      <c r="AC111" s="4">
        <f>IFERROR(VALUE(_xll.BDH(AC$4,"PX_LAST",$Q111,$Q111)),AC112)</f>
        <v>8.6999999999999993</v>
      </c>
      <c r="AD111" s="4">
        <f>IFERROR(VALUE(_xll.BDH(AD$4,"PX_LAST",$Q111,$Q111)),AD112)</f>
        <v>40.21</v>
      </c>
      <c r="AF111" s="4">
        <f t="shared" si="32"/>
        <v>1.1397379912663754</v>
      </c>
      <c r="AG111" s="4">
        <f t="shared" si="33"/>
        <v>1.7287504232983406</v>
      </c>
      <c r="AH111" s="4">
        <f t="shared" si="34"/>
        <v>1.0080928923293455</v>
      </c>
      <c r="AI111" s="4">
        <f t="shared" si="35"/>
        <v>1.3895797598627788</v>
      </c>
      <c r="AJ111" s="4">
        <f t="shared" si="36"/>
        <v>1.083437110834371</v>
      </c>
      <c r="AK111" s="4">
        <f t="shared" si="37"/>
        <v>1.376583361862376</v>
      </c>
      <c r="AM111" s="528">
        <v>45801</v>
      </c>
      <c r="AN111" s="529">
        <v>11.98</v>
      </c>
      <c r="AO111" s="529">
        <v>-877953</v>
      </c>
      <c r="AP111" s="529">
        <v>-26.172899999999998</v>
      </c>
      <c r="AQ111" s="529">
        <v>-627.10268399999995</v>
      </c>
      <c r="AR111" s="529">
        <v>-0.47139999999999999</v>
      </c>
    </row>
    <row r="112" spans="2:44">
      <c r="B112" s="530">
        <f t="shared" ca="1" si="38"/>
        <v>45202</v>
      </c>
      <c r="C112" s="526">
        <f ca="1">(IFERROR(IFERROR(VALUE(_xll.BDH(C$4,"CURRENT_EV_TO_T12M_EBITDA",$B112,$B112)),VALUE(_xll.BDH(C$4,"CURRENT_EV_TO_T12M_EBITDA",$B112+1,$B112+1))),C113))</f>
        <v>0</v>
      </c>
      <c r="D112" s="526">
        <f ca="1">(IFERROR(IFERROR(VALUE(_xll.BDH(D$4,"CURRENT_EV_TO_T12M_EBITDA",$B112,$B112)),VALUE(_xll.BDH(D$4,"CURRENT_EV_TO_T12M_EBITDA",$B112+1,$B112+1))),D113))</f>
        <v>0</v>
      </c>
      <c r="E112" s="526">
        <f ca="1">(IFERROR(IFERROR(VALUE(_xll.BDH(E$4,"CURRENT_EV_TO_T12M_EBITDA",$B112,$B112)),VALUE(_xll.BDH(E$4,"CURRENT_EV_TO_T12M_EBITDA",$B112+1,$B112+1))),E113))</f>
        <v>0</v>
      </c>
      <c r="F112" s="526">
        <f ca="1">(IFERROR(IFERROR(VALUE(_xll.BDH(F$4,"CURRENT_EV_TO_T12M_EBITDA",$B112,$B112)),VALUE(_xll.BDH(F$4,"CURRENT_EV_TO_T12M_EBITDA",$B112+1,$B112+1))),F113))</f>
        <v>0</v>
      </c>
      <c r="G112" s="526">
        <f ca="1">(IFERROR(IFERROR(VALUE(_xll.BDH(G$4,"CURRENT_EV_TO_T12M_EBITDA",$B112,$B112)),VALUE(_xll.BDH(G$4,"CURRENT_EV_TO_T12M_EBITDA",$B112+1,$B112+1))),G113))</f>
        <v>0</v>
      </c>
      <c r="H112" s="526">
        <f ca="1">(IFERROR(IFERROR(VALUE(_xll.BDH(H$4,"CURRENT_EV_TO_T12M_EBITDA",$B112,$B112)),VALUE(_xll.BDH(H$4,"CURRENT_EV_TO_T12M_EBITDA",$B112+1,$B112+1))),H113))</f>
        <v>0</v>
      </c>
      <c r="I112" s="530">
        <f t="shared" ca="1" si="30"/>
        <v>45202</v>
      </c>
      <c r="J112" s="526">
        <f ca="1">(IFERROR(IFERROR(VALUE(_xll.BDH(J$4,"PE_RATIO",$B112,$B112)),VALUE(_xll.BDH(J$4,"PE_RATIO",$B112+1,$B112+1))),J113))</f>
        <v>0</v>
      </c>
      <c r="K112" s="526">
        <f ca="1">(IFERROR(IFERROR(VALUE(_xll.BDH(K$4,"PE_RATIO",$B112,$B112)),VALUE(_xll.BDH(K$4,"PE_RATIO",$B112+1,$B112+1))),K113))</f>
        <v>0</v>
      </c>
      <c r="L112" s="526">
        <f ca="1">(IFERROR(IFERROR(VALUE(_xll.BDH(L$4,"PE_RATIO",$B112,$B112)),VALUE(_xll.BDH(L$4,"PE_RATIO",$B112+1,$B112+1))),L113))</f>
        <v>0</v>
      </c>
      <c r="M112" s="526">
        <f ca="1">(IFERROR(IFERROR(VALUE(_xll.BDH(M$4,"PE_RATIO",$B112,$B112)),VALUE(_xll.BDH(M$4,"PE_RATIO",$B112+1,$B112+1))),M113))</f>
        <v>0</v>
      </c>
      <c r="N112" s="526">
        <f ca="1">(IFERROR(IFERROR(VALUE(_xll.BDH(N$4,"PE_RATIO",$B112,$B112)),VALUE(_xll.BDH(N$4,"PE_RATIO",$B112+1,$B112+1))),N113))</f>
        <v>0</v>
      </c>
      <c r="O112" s="526">
        <f ca="1">(IFERROR(IFERROR(VALUE(_xll.BDH(O$4,"PE_RATIO",$B112,$B112)),VALUE(_xll.BDH(O$4,"PE_RATIO",$B112+1,$B112+1))),O113))</f>
        <v>0</v>
      </c>
      <c r="P112" s="526"/>
      <c r="Q112" s="530">
        <v>45159</v>
      </c>
      <c r="R112" s="4">
        <v>2.4300000000000002</v>
      </c>
      <c r="S112" s="4">
        <v>14936.69</v>
      </c>
      <c r="T112" s="4">
        <v>5295.66</v>
      </c>
      <c r="U112" s="4">
        <v>1.0611353711790394</v>
      </c>
      <c r="V112" s="4">
        <v>1.3272208997424051</v>
      </c>
      <c r="W112" s="4">
        <v>1.392740766845592</v>
      </c>
      <c r="Y112" s="526">
        <f t="shared" si="31"/>
        <v>2.4300000000000002</v>
      </c>
      <c r="Z112" s="4">
        <f>IFERROR(VALUE(_xll.BDH(Z$4,"PX_LAST",$Q112,$Q112)),Z113)</f>
        <v>50.38</v>
      </c>
      <c r="AA112" s="4">
        <f>IFERROR(VALUE(_xll.BDH(AA$4,"PX_LAST",$Q112,$Q112)),AA113)</f>
        <v>27.45</v>
      </c>
      <c r="AB112" s="4">
        <f>IFERROR(VALUE(_xll.BDH(AB$4,"PX_LAST",$Q112,$Q112)),AB113)</f>
        <v>132.19</v>
      </c>
      <c r="AC112" s="4">
        <f>IFERROR(VALUE(_xll.BDH(AC$4,"PX_LAST",$Q112,$Q112)),AC113)</f>
        <v>8.5500000000000007</v>
      </c>
      <c r="AD112" s="4">
        <f>IFERROR(VALUE(_xll.BDH(AD$4,"PX_LAST",$Q112,$Q112)),AD113)</f>
        <v>39.770000000000003</v>
      </c>
      <c r="AF112" s="4">
        <f t="shared" si="32"/>
        <v>1.0611353711790394</v>
      </c>
      <c r="AG112" s="4">
        <f t="shared" si="33"/>
        <v>1.7060616322384017</v>
      </c>
      <c r="AH112" s="4">
        <f t="shared" si="34"/>
        <v>0.96586910626319489</v>
      </c>
      <c r="AI112" s="4">
        <f t="shared" si="35"/>
        <v>1.4171312178387649</v>
      </c>
      <c r="AJ112" s="4">
        <f t="shared" si="36"/>
        <v>1.0647571606475719</v>
      </c>
      <c r="AK112" s="4">
        <f t="shared" si="37"/>
        <v>1.3615200273878809</v>
      </c>
      <c r="AM112" s="528">
        <v>45800</v>
      </c>
      <c r="AN112" s="529">
        <v>11.98</v>
      </c>
      <c r="AO112" s="529">
        <v>0</v>
      </c>
      <c r="AP112" s="529">
        <v>0</v>
      </c>
      <c r="AQ112" s="529">
        <v>-313.55134199999998</v>
      </c>
      <c r="AR112" s="529">
        <v>0</v>
      </c>
    </row>
    <row r="113" spans="2:44">
      <c r="B113" s="530">
        <f t="shared" ca="1" si="38"/>
        <v>45195</v>
      </c>
      <c r="C113" s="526">
        <f ca="1">(IFERROR(IFERROR(VALUE(_xll.BDH(C$4,"CURRENT_EV_TO_T12M_EBITDA",$B113,$B113)),VALUE(_xll.BDH(C$4,"CURRENT_EV_TO_T12M_EBITDA",$B113+1,$B113+1))),C114))</f>
        <v>0</v>
      </c>
      <c r="D113" s="526">
        <f ca="1">(IFERROR(IFERROR(VALUE(_xll.BDH(D$4,"CURRENT_EV_TO_T12M_EBITDA",$B113,$B113)),VALUE(_xll.BDH(D$4,"CURRENT_EV_TO_T12M_EBITDA",$B113+1,$B113+1))),D114))</f>
        <v>0</v>
      </c>
      <c r="E113" s="526">
        <f ca="1">(IFERROR(IFERROR(VALUE(_xll.BDH(E$4,"CURRENT_EV_TO_T12M_EBITDA",$B113,$B113)),VALUE(_xll.BDH(E$4,"CURRENT_EV_TO_T12M_EBITDA",$B113+1,$B113+1))),E114))</f>
        <v>0</v>
      </c>
      <c r="F113" s="526">
        <f ca="1">(IFERROR(IFERROR(VALUE(_xll.BDH(F$4,"CURRENT_EV_TO_T12M_EBITDA",$B113,$B113)),VALUE(_xll.BDH(F$4,"CURRENT_EV_TO_T12M_EBITDA",$B113+1,$B113+1))),F114))</f>
        <v>0</v>
      </c>
      <c r="G113" s="526">
        <f ca="1">(IFERROR(IFERROR(VALUE(_xll.BDH(G$4,"CURRENT_EV_TO_T12M_EBITDA",$B113,$B113)),VALUE(_xll.BDH(G$4,"CURRENT_EV_TO_T12M_EBITDA",$B113+1,$B113+1))),G114))</f>
        <v>0</v>
      </c>
      <c r="H113" s="526">
        <f ca="1">(IFERROR(IFERROR(VALUE(_xll.BDH(H$4,"CURRENT_EV_TO_T12M_EBITDA",$B113,$B113)),VALUE(_xll.BDH(H$4,"CURRENT_EV_TO_T12M_EBITDA",$B113+1,$B113+1))),H114))</f>
        <v>0</v>
      </c>
      <c r="I113" s="530">
        <f t="shared" ca="1" si="30"/>
        <v>45195</v>
      </c>
      <c r="J113" s="526">
        <f ca="1">(IFERROR(IFERROR(VALUE(_xll.BDH(J$4,"PE_RATIO",$B113,$B113)),VALUE(_xll.BDH(J$4,"PE_RATIO",$B113+1,$B113+1))),J114))</f>
        <v>0</v>
      </c>
      <c r="K113" s="526">
        <f ca="1">(IFERROR(IFERROR(VALUE(_xll.BDH(K$4,"PE_RATIO",$B113,$B113)),VALUE(_xll.BDH(K$4,"PE_RATIO",$B113+1,$B113+1))),K114))</f>
        <v>0</v>
      </c>
      <c r="L113" s="526">
        <f ca="1">(IFERROR(IFERROR(VALUE(_xll.BDH(L$4,"PE_RATIO",$B113,$B113)),VALUE(_xll.BDH(L$4,"PE_RATIO",$B113+1,$B113+1))),L114))</f>
        <v>0</v>
      </c>
      <c r="M113" s="526">
        <f ca="1">(IFERROR(IFERROR(VALUE(_xll.BDH(M$4,"PE_RATIO",$B113,$B113)),VALUE(_xll.BDH(M$4,"PE_RATIO",$B113+1,$B113+1))),M114))</f>
        <v>0</v>
      </c>
      <c r="N113" s="526">
        <f ca="1">(IFERROR(IFERROR(VALUE(_xll.BDH(N$4,"PE_RATIO",$B113,$B113)),VALUE(_xll.BDH(N$4,"PE_RATIO",$B113+1,$B113+1))),N114))</f>
        <v>0</v>
      </c>
      <c r="O113" s="526">
        <f ca="1">(IFERROR(IFERROR(VALUE(_xll.BDH(O$4,"PE_RATIO",$B113,$B113)),VALUE(_xll.BDH(O$4,"PE_RATIO",$B113+1,$B113+1))),O114))</f>
        <v>0</v>
      </c>
      <c r="P113" s="526"/>
      <c r="Q113" s="530">
        <v>45152</v>
      </c>
      <c r="R113" s="4">
        <v>2.56</v>
      </c>
      <c r="S113" s="4">
        <v>15205.59</v>
      </c>
      <c r="T113" s="4">
        <v>5333.1</v>
      </c>
      <c r="U113" s="4">
        <v>1.1179039301310043</v>
      </c>
      <c r="V113" s="4">
        <v>1.3511143928751361</v>
      </c>
      <c r="W113" s="4">
        <v>1.402587360907654</v>
      </c>
      <c r="Y113" s="526">
        <f t="shared" si="31"/>
        <v>2.56</v>
      </c>
      <c r="Z113" s="4">
        <f>IFERROR(VALUE(_xll.BDH(Z$4,"PX_LAST",$Q113,$Q113)),Z114)</f>
        <v>51.8</v>
      </c>
      <c r="AA113" s="4">
        <f>IFERROR(VALUE(_xll.BDH(AA$4,"PX_LAST",$Q113,$Q113)),AA114)</f>
        <v>28.31</v>
      </c>
      <c r="AB113" s="4">
        <f>IFERROR(VALUE(_xll.BDH(AB$4,"PX_LAST",$Q113,$Q113)),AB114)</f>
        <v>144.59</v>
      </c>
      <c r="AC113" s="4">
        <f>IFERROR(VALUE(_xll.BDH(AC$4,"PX_LAST",$Q113,$Q113)),AC114)</f>
        <v>8.84</v>
      </c>
      <c r="AD113" s="4">
        <f>IFERROR(VALUE(_xll.BDH(AD$4,"PX_LAST",$Q113,$Q113)),AD114)</f>
        <v>42.38</v>
      </c>
      <c r="AF113" s="4">
        <f t="shared" si="32"/>
        <v>1.1179039301310043</v>
      </c>
      <c r="AG113" s="4">
        <f t="shared" si="33"/>
        <v>1.7541483237385709</v>
      </c>
      <c r="AH113" s="4">
        <f t="shared" si="34"/>
        <v>0.99612948627726938</v>
      </c>
      <c r="AI113" s="4">
        <f t="shared" si="35"/>
        <v>1.5500643224699828</v>
      </c>
      <c r="AJ113" s="4">
        <f t="shared" si="36"/>
        <v>1.1008717310087173</v>
      </c>
      <c r="AK113" s="4">
        <f t="shared" si="37"/>
        <v>1.4508729887024991</v>
      </c>
      <c r="AM113" s="528">
        <v>45799</v>
      </c>
      <c r="AN113" s="529">
        <v>11.73</v>
      </c>
      <c r="AO113" s="529">
        <v>0</v>
      </c>
      <c r="AP113" s="529">
        <v>0</v>
      </c>
      <c r="AQ113" s="529">
        <v>-307.00811699999997</v>
      </c>
      <c r="AR113" s="529">
        <v>0</v>
      </c>
    </row>
    <row r="114" spans="2:44">
      <c r="B114" s="530">
        <f t="shared" ca="1" si="38"/>
        <v>45188</v>
      </c>
      <c r="C114" s="526">
        <f ca="1">(IFERROR(IFERROR(VALUE(_xll.BDH(C$4,"CURRENT_EV_TO_T12M_EBITDA",$B114,$B114)),VALUE(_xll.BDH(C$4,"CURRENT_EV_TO_T12M_EBITDA",$B114+1,$B114+1))),C115))</f>
        <v>0</v>
      </c>
      <c r="D114" s="526">
        <f ca="1">(IFERROR(IFERROR(VALUE(_xll.BDH(D$4,"CURRENT_EV_TO_T12M_EBITDA",$B114,$B114)),VALUE(_xll.BDH(D$4,"CURRENT_EV_TO_T12M_EBITDA",$B114+1,$B114+1))),D115))</f>
        <v>0</v>
      </c>
      <c r="E114" s="526">
        <f ca="1">(IFERROR(IFERROR(VALUE(_xll.BDH(E$4,"CURRENT_EV_TO_T12M_EBITDA",$B114,$B114)),VALUE(_xll.BDH(E$4,"CURRENT_EV_TO_T12M_EBITDA",$B114+1,$B114+1))),E115))</f>
        <v>0</v>
      </c>
      <c r="F114" s="526">
        <f ca="1">(IFERROR(IFERROR(VALUE(_xll.BDH(F$4,"CURRENT_EV_TO_T12M_EBITDA",$B114,$B114)),VALUE(_xll.BDH(F$4,"CURRENT_EV_TO_T12M_EBITDA",$B114+1,$B114+1))),F115))</f>
        <v>0</v>
      </c>
      <c r="G114" s="526">
        <f ca="1">(IFERROR(IFERROR(VALUE(_xll.BDH(G$4,"CURRENT_EV_TO_T12M_EBITDA",$B114,$B114)),VALUE(_xll.BDH(G$4,"CURRENT_EV_TO_T12M_EBITDA",$B114+1,$B114+1))),G115))</f>
        <v>0</v>
      </c>
      <c r="H114" s="526">
        <f ca="1">(IFERROR(IFERROR(VALUE(_xll.BDH(H$4,"CURRENT_EV_TO_T12M_EBITDA",$B114,$B114)),VALUE(_xll.BDH(H$4,"CURRENT_EV_TO_T12M_EBITDA",$B114+1,$B114+1))),H115))</f>
        <v>0</v>
      </c>
      <c r="I114" s="530">
        <f t="shared" ca="1" si="30"/>
        <v>45188</v>
      </c>
      <c r="J114" s="526">
        <f ca="1">(IFERROR(IFERROR(VALUE(_xll.BDH(J$4,"PE_RATIO",$B114,$B114)),VALUE(_xll.BDH(J$4,"PE_RATIO",$B114+1,$B114+1))),J115))</f>
        <v>0</v>
      </c>
      <c r="K114" s="526">
        <f ca="1">(IFERROR(IFERROR(VALUE(_xll.BDH(K$4,"PE_RATIO",$B114,$B114)),VALUE(_xll.BDH(K$4,"PE_RATIO",$B114+1,$B114+1))),K115))</f>
        <v>0</v>
      </c>
      <c r="L114" s="526">
        <f ca="1">(IFERROR(IFERROR(VALUE(_xll.BDH(L$4,"PE_RATIO",$B114,$B114)),VALUE(_xll.BDH(L$4,"PE_RATIO",$B114+1,$B114+1))),L115))</f>
        <v>0</v>
      </c>
      <c r="M114" s="526">
        <f ca="1">(IFERROR(IFERROR(VALUE(_xll.BDH(M$4,"PE_RATIO",$B114,$B114)),VALUE(_xll.BDH(M$4,"PE_RATIO",$B114+1,$B114+1))),M115))</f>
        <v>0</v>
      </c>
      <c r="N114" s="526">
        <f ca="1">(IFERROR(IFERROR(VALUE(_xll.BDH(N$4,"PE_RATIO",$B114,$B114)),VALUE(_xll.BDH(N$4,"PE_RATIO",$B114+1,$B114+1))),N115))</f>
        <v>0</v>
      </c>
      <c r="O114" s="526">
        <f ca="1">(IFERROR(IFERROR(VALUE(_xll.BDH(O$4,"PE_RATIO",$B114,$B114)),VALUE(_xll.BDH(O$4,"PE_RATIO",$B114+1,$B114+1))),O115))</f>
        <v>0</v>
      </c>
      <c r="P114" s="526"/>
      <c r="Q114" s="530">
        <v>45145</v>
      </c>
      <c r="R114" s="4">
        <v>2.15</v>
      </c>
      <c r="S114" s="4">
        <v>15407.85</v>
      </c>
      <c r="T114" s="4">
        <v>5402.53</v>
      </c>
      <c r="U114" s="4">
        <v>0.93886462882096067</v>
      </c>
      <c r="V114" s="4">
        <v>1.369086493734289</v>
      </c>
      <c r="W114" s="4">
        <v>1.4208472173640898</v>
      </c>
      <c r="Y114" s="526">
        <f t="shared" si="31"/>
        <v>2.15</v>
      </c>
      <c r="Z114" s="4">
        <f>IFERROR(VALUE(_xll.BDH(Z$4,"PX_LAST",$Q114,$Q114)),Z115)</f>
        <v>55.69</v>
      </c>
      <c r="AA114" s="4">
        <f>IFERROR(VALUE(_xll.BDH(AA$4,"PX_LAST",$Q114,$Q114)),AA115)</f>
        <v>30.89</v>
      </c>
      <c r="AB114" s="4">
        <f>IFERROR(VALUE(_xll.BDH(AB$4,"PX_LAST",$Q114,$Q114)),AB115)</f>
        <v>150.16</v>
      </c>
      <c r="AC114" s="4">
        <f>IFERROR(VALUE(_xll.BDH(AC$4,"PX_LAST",$Q114,$Q114)),AC115)</f>
        <v>9.31</v>
      </c>
      <c r="AD114" s="4">
        <f>IFERROR(VALUE(_xll.BDH(AD$4,"PX_LAST",$Q114,$Q114)),AD115)</f>
        <v>45.07</v>
      </c>
      <c r="AF114" s="4">
        <f t="shared" si="32"/>
        <v>0.93886462882096067</v>
      </c>
      <c r="AG114" s="4">
        <f t="shared" si="33"/>
        <v>1.8858787673552317</v>
      </c>
      <c r="AH114" s="4">
        <f t="shared" si="34"/>
        <v>1.0869106263194932</v>
      </c>
      <c r="AI114" s="4">
        <f t="shared" si="35"/>
        <v>1.6097770154373927</v>
      </c>
      <c r="AJ114" s="4">
        <f t="shared" si="36"/>
        <v>1.1594022415940226</v>
      </c>
      <c r="AK114" s="4">
        <f t="shared" si="37"/>
        <v>1.5429647381033893</v>
      </c>
      <c r="AM114" s="528">
        <v>45798</v>
      </c>
      <c r="AN114" s="529">
        <v>11.33</v>
      </c>
      <c r="AO114" s="529">
        <v>0</v>
      </c>
      <c r="AP114" s="529">
        <v>0</v>
      </c>
      <c r="AQ114" s="529">
        <v>-296.53895699999998</v>
      </c>
      <c r="AR114" s="529">
        <v>0</v>
      </c>
    </row>
    <row r="115" spans="2:44">
      <c r="B115" s="530">
        <f t="shared" ca="1" si="38"/>
        <v>45181</v>
      </c>
      <c r="C115" s="526">
        <f ca="1">(IFERROR(IFERROR(VALUE(_xll.BDH(C$4,"CURRENT_EV_TO_T12M_EBITDA",$B115,$B115)),VALUE(_xll.BDH(C$4,"CURRENT_EV_TO_T12M_EBITDA",$B115+1,$B115+1))),C116))</f>
        <v>0</v>
      </c>
      <c r="D115" s="526">
        <f ca="1">(IFERROR(IFERROR(VALUE(_xll.BDH(D$4,"CURRENT_EV_TO_T12M_EBITDA",$B115,$B115)),VALUE(_xll.BDH(D$4,"CURRENT_EV_TO_T12M_EBITDA",$B115+1,$B115+1))),D116))</f>
        <v>0</v>
      </c>
      <c r="E115" s="526">
        <f ca="1">(IFERROR(IFERROR(VALUE(_xll.BDH(E$4,"CURRENT_EV_TO_T12M_EBITDA",$B115,$B115)),VALUE(_xll.BDH(E$4,"CURRENT_EV_TO_T12M_EBITDA",$B115+1,$B115+1))),E116))</f>
        <v>0</v>
      </c>
      <c r="F115" s="526">
        <f ca="1">(IFERROR(IFERROR(VALUE(_xll.BDH(F$4,"CURRENT_EV_TO_T12M_EBITDA",$B115,$B115)),VALUE(_xll.BDH(F$4,"CURRENT_EV_TO_T12M_EBITDA",$B115+1,$B115+1))),F116))</f>
        <v>0</v>
      </c>
      <c r="G115" s="526">
        <f ca="1">(IFERROR(IFERROR(VALUE(_xll.BDH(G$4,"CURRENT_EV_TO_T12M_EBITDA",$B115,$B115)),VALUE(_xll.BDH(G$4,"CURRENT_EV_TO_T12M_EBITDA",$B115+1,$B115+1))),G116))</f>
        <v>0</v>
      </c>
      <c r="H115" s="526">
        <f ca="1">(IFERROR(IFERROR(VALUE(_xll.BDH(H$4,"CURRENT_EV_TO_T12M_EBITDA",$B115,$B115)),VALUE(_xll.BDH(H$4,"CURRENT_EV_TO_T12M_EBITDA",$B115+1,$B115+1))),H116))</f>
        <v>0</v>
      </c>
      <c r="I115" s="530">
        <f t="shared" ca="1" si="30"/>
        <v>45181</v>
      </c>
      <c r="J115" s="526">
        <f ca="1">(IFERROR(IFERROR(VALUE(_xll.BDH(J$4,"PE_RATIO",$B115,$B115)),VALUE(_xll.BDH(J$4,"PE_RATIO",$B115+1,$B115+1))),J116))</f>
        <v>0</v>
      </c>
      <c r="K115" s="526">
        <f ca="1">(IFERROR(IFERROR(VALUE(_xll.BDH(K$4,"PE_RATIO",$B115,$B115)),VALUE(_xll.BDH(K$4,"PE_RATIO",$B115+1,$B115+1))),K116))</f>
        <v>0</v>
      </c>
      <c r="L115" s="526">
        <f ca="1">(IFERROR(IFERROR(VALUE(_xll.BDH(L$4,"PE_RATIO",$B115,$B115)),VALUE(_xll.BDH(L$4,"PE_RATIO",$B115+1,$B115+1))),L116))</f>
        <v>0</v>
      </c>
      <c r="M115" s="526">
        <f ca="1">(IFERROR(IFERROR(VALUE(_xll.BDH(M$4,"PE_RATIO",$B115,$B115)),VALUE(_xll.BDH(M$4,"PE_RATIO",$B115+1,$B115+1))),M116))</f>
        <v>0</v>
      </c>
      <c r="N115" s="526">
        <f ca="1">(IFERROR(IFERROR(VALUE(_xll.BDH(N$4,"PE_RATIO",$B115,$B115)),VALUE(_xll.BDH(N$4,"PE_RATIO",$B115+1,$B115+1))),N116))</f>
        <v>0</v>
      </c>
      <c r="O115" s="526">
        <f ca="1">(IFERROR(IFERROR(VALUE(_xll.BDH(O$4,"PE_RATIO",$B115,$B115)),VALUE(_xll.BDH(O$4,"PE_RATIO",$B115+1,$B115+1))),O116))</f>
        <v>0</v>
      </c>
      <c r="P115" s="526"/>
      <c r="Q115" s="530">
        <v>45138</v>
      </c>
      <c r="R115" s="4">
        <v>2.08</v>
      </c>
      <c r="S115" s="4">
        <v>15757</v>
      </c>
      <c r="T115" s="4">
        <v>5543.44</v>
      </c>
      <c r="U115" s="4">
        <v>0.90829694323144106</v>
      </c>
      <c r="V115" s="4">
        <v>1.4001107151076362</v>
      </c>
      <c r="W115" s="4">
        <v>1.4579060733813214</v>
      </c>
      <c r="Y115" s="526">
        <f t="shared" si="31"/>
        <v>2.08</v>
      </c>
      <c r="Z115" s="4">
        <f>IFERROR(VALUE(_xll.BDH(Z$4,"PX_LAST",$Q115,$Q115)),Z116)</f>
        <v>55.09</v>
      </c>
      <c r="AA115" s="4">
        <f>IFERROR(VALUE(_xll.BDH(AA$4,"PX_LAST",$Q115,$Q115)),AA116)</f>
        <v>32.49</v>
      </c>
      <c r="AB115" s="4">
        <f>IFERROR(VALUE(_xll.BDH(AB$4,"PX_LAST",$Q115,$Q115)),AB116)</f>
        <v>157.88999999999999</v>
      </c>
      <c r="AC115" s="4">
        <f>IFERROR(VALUE(_xll.BDH(AC$4,"PX_LAST",$Q115,$Q115)),AC116)</f>
        <v>9.06</v>
      </c>
      <c r="AD115" s="4">
        <f>IFERROR(VALUE(_xll.BDH(AD$4,"PX_LAST",$Q115,$Q115)),AD116)</f>
        <v>45.48</v>
      </c>
      <c r="AF115" s="4">
        <f t="shared" si="32"/>
        <v>0.90829694323144106</v>
      </c>
      <c r="AG115" s="4">
        <f t="shared" si="33"/>
        <v>1.8655604470030478</v>
      </c>
      <c r="AH115" s="4">
        <f t="shared" si="34"/>
        <v>1.1432090077410275</v>
      </c>
      <c r="AI115" s="4">
        <f t="shared" si="35"/>
        <v>1.6926457975986275</v>
      </c>
      <c r="AJ115" s="4">
        <f t="shared" si="36"/>
        <v>1.12826899128269</v>
      </c>
      <c r="AK115" s="4">
        <f t="shared" si="37"/>
        <v>1.5570010270455321</v>
      </c>
      <c r="AM115" s="528">
        <v>45797</v>
      </c>
      <c r="AN115" s="529">
        <v>12.21</v>
      </c>
      <c r="AO115" s="529">
        <v>0</v>
      </c>
      <c r="AP115" s="529">
        <v>0</v>
      </c>
      <c r="AQ115" s="529">
        <v>-319.57110899999998</v>
      </c>
      <c r="AR115" s="529">
        <v>0</v>
      </c>
    </row>
    <row r="116" spans="2:44">
      <c r="B116" s="530">
        <f t="shared" ca="1" si="38"/>
        <v>45174</v>
      </c>
      <c r="C116" s="526">
        <f ca="1">(IFERROR(IFERROR(VALUE(_xll.BDH(C$4,"CURRENT_EV_TO_T12M_EBITDA",$B116,$B116)),VALUE(_xll.BDH(C$4,"CURRENT_EV_TO_T12M_EBITDA",$B116+1,$B116+1))),C117))</f>
        <v>0</v>
      </c>
      <c r="D116" s="526">
        <f ca="1">(IFERROR(IFERROR(VALUE(_xll.BDH(D$4,"CURRENT_EV_TO_T12M_EBITDA",$B116,$B116)),VALUE(_xll.BDH(D$4,"CURRENT_EV_TO_T12M_EBITDA",$B116+1,$B116+1))),D117))</f>
        <v>0</v>
      </c>
      <c r="E116" s="526">
        <f ca="1">(IFERROR(IFERROR(VALUE(_xll.BDH(E$4,"CURRENT_EV_TO_T12M_EBITDA",$B116,$B116)),VALUE(_xll.BDH(E$4,"CURRENT_EV_TO_T12M_EBITDA",$B116+1,$B116+1))),E117))</f>
        <v>0</v>
      </c>
      <c r="F116" s="526">
        <f ca="1">(IFERROR(IFERROR(VALUE(_xll.BDH(F$4,"CURRENT_EV_TO_T12M_EBITDA",$B116,$B116)),VALUE(_xll.BDH(F$4,"CURRENT_EV_TO_T12M_EBITDA",$B116+1,$B116+1))),F117))</f>
        <v>0</v>
      </c>
      <c r="G116" s="526">
        <f ca="1">(IFERROR(IFERROR(VALUE(_xll.BDH(G$4,"CURRENT_EV_TO_T12M_EBITDA",$B116,$B116)),VALUE(_xll.BDH(G$4,"CURRENT_EV_TO_T12M_EBITDA",$B116+1,$B116+1))),G117))</f>
        <v>0</v>
      </c>
      <c r="H116" s="526">
        <f ca="1">(IFERROR(IFERROR(VALUE(_xll.BDH(H$4,"CURRENT_EV_TO_T12M_EBITDA",$B116,$B116)),VALUE(_xll.BDH(H$4,"CURRENT_EV_TO_T12M_EBITDA",$B116+1,$B116+1))),H117))</f>
        <v>0</v>
      </c>
      <c r="I116" s="530">
        <f t="shared" ca="1" si="30"/>
        <v>45174</v>
      </c>
      <c r="J116" s="526">
        <f ca="1">(IFERROR(IFERROR(VALUE(_xll.BDH(J$4,"PE_RATIO",$B116,$B116)),VALUE(_xll.BDH(J$4,"PE_RATIO",$B116+1,$B116+1))),J117))</f>
        <v>0</v>
      </c>
      <c r="K116" s="526">
        <f ca="1">(IFERROR(IFERROR(VALUE(_xll.BDH(K$4,"PE_RATIO",$B116,$B116)),VALUE(_xll.BDH(K$4,"PE_RATIO",$B116+1,$B116+1))),K117))</f>
        <v>0</v>
      </c>
      <c r="L116" s="526">
        <f ca="1">(IFERROR(IFERROR(VALUE(_xll.BDH(L$4,"PE_RATIO",$B116,$B116)),VALUE(_xll.BDH(L$4,"PE_RATIO",$B116+1,$B116+1))),L117))</f>
        <v>0</v>
      </c>
      <c r="M116" s="526">
        <f ca="1">(IFERROR(IFERROR(VALUE(_xll.BDH(M$4,"PE_RATIO",$B116,$B116)),VALUE(_xll.BDH(M$4,"PE_RATIO",$B116+1,$B116+1))),M117))</f>
        <v>0</v>
      </c>
      <c r="N116" s="526">
        <f ca="1">(IFERROR(IFERROR(VALUE(_xll.BDH(N$4,"PE_RATIO",$B116,$B116)),VALUE(_xll.BDH(N$4,"PE_RATIO",$B116+1,$B116+1))),N117))</f>
        <v>0</v>
      </c>
      <c r="O116" s="526">
        <f ca="1">(IFERROR(IFERROR(VALUE(_xll.BDH(O$4,"PE_RATIO",$B116,$B116)),VALUE(_xll.BDH(O$4,"PE_RATIO",$B116+1,$B116+1))),O117))</f>
        <v>0</v>
      </c>
      <c r="P116" s="526"/>
      <c r="Q116" s="530">
        <v>45131</v>
      </c>
      <c r="R116" s="4">
        <v>2.0099999999999998</v>
      </c>
      <c r="S116" s="4">
        <v>15448.02</v>
      </c>
      <c r="T116" s="4">
        <v>5617.44</v>
      </c>
      <c r="U116" s="4">
        <v>0.87772925764192133</v>
      </c>
      <c r="V116" s="4">
        <v>1.3726558563937974</v>
      </c>
      <c r="W116" s="4">
        <v>1.4773678244655251</v>
      </c>
      <c r="Y116" s="526">
        <f t="shared" si="31"/>
        <v>2.0099999999999998</v>
      </c>
      <c r="Z116" s="4">
        <f>IFERROR(VALUE(_xll.BDH(Z$4,"PX_LAST",$Q116,$Q116)),Z117)</f>
        <v>56.83</v>
      </c>
      <c r="AA116" s="4">
        <f>IFERROR(VALUE(_xll.BDH(AA$4,"PX_LAST",$Q116,$Q116)),AA117)</f>
        <v>32.979999999999997</v>
      </c>
      <c r="AB116" s="4">
        <f>IFERROR(VALUE(_xll.BDH(AB$4,"PX_LAST",$Q116,$Q116)),AB117)</f>
        <v>150.99</v>
      </c>
      <c r="AC116" s="4">
        <f>IFERROR(VALUE(_xll.BDH(AC$4,"PX_LAST",$Q116,$Q116)),AC117)</f>
        <v>9.33</v>
      </c>
      <c r="AD116" s="4">
        <f>IFERROR(VALUE(_xll.BDH(AD$4,"PX_LAST",$Q116,$Q116)),AD117)</f>
        <v>48.38</v>
      </c>
      <c r="AF116" s="4">
        <f t="shared" si="32"/>
        <v>0.87772925764192133</v>
      </c>
      <c r="AG116" s="4">
        <f t="shared" si="33"/>
        <v>1.9244835760243819</v>
      </c>
      <c r="AH116" s="4">
        <f t="shared" si="34"/>
        <v>1.160450387051372</v>
      </c>
      <c r="AI116" s="4">
        <f t="shared" si="35"/>
        <v>1.6186749571183534</v>
      </c>
      <c r="AJ116" s="4">
        <f t="shared" si="36"/>
        <v>1.1618929016189292</v>
      </c>
      <c r="AK116" s="4">
        <f t="shared" si="37"/>
        <v>1.656282095172886</v>
      </c>
      <c r="AM116" s="528">
        <v>45796</v>
      </c>
      <c r="AN116" s="529">
        <v>11.89</v>
      </c>
      <c r="AO116" s="529">
        <v>0</v>
      </c>
      <c r="AP116" s="529">
        <v>0</v>
      </c>
      <c r="AQ116" s="529">
        <v>-311.19578100000001</v>
      </c>
      <c r="AR116" s="529">
        <v>0</v>
      </c>
    </row>
    <row r="117" spans="2:44">
      <c r="B117" s="530">
        <f t="shared" ca="1" si="38"/>
        <v>45167</v>
      </c>
      <c r="C117" s="526">
        <f ca="1">(IFERROR(IFERROR(VALUE(_xll.BDH(C$4,"CURRENT_EV_TO_T12M_EBITDA",$B117,$B117)),VALUE(_xll.BDH(C$4,"CURRENT_EV_TO_T12M_EBITDA",$B117+1,$B117+1))),C118))</f>
        <v>0</v>
      </c>
      <c r="D117" s="526">
        <f ca="1">(IFERROR(IFERROR(VALUE(_xll.BDH(D$4,"CURRENT_EV_TO_T12M_EBITDA",$B117,$B117)),VALUE(_xll.BDH(D$4,"CURRENT_EV_TO_T12M_EBITDA",$B117+1,$B117+1))),D118))</f>
        <v>0</v>
      </c>
      <c r="E117" s="526">
        <f ca="1">(IFERROR(IFERROR(VALUE(_xll.BDH(E$4,"CURRENT_EV_TO_T12M_EBITDA",$B117,$B117)),VALUE(_xll.BDH(E$4,"CURRENT_EV_TO_T12M_EBITDA",$B117+1,$B117+1))),E118))</f>
        <v>0</v>
      </c>
      <c r="F117" s="526">
        <f ca="1">(IFERROR(IFERROR(VALUE(_xll.BDH(F$4,"CURRENT_EV_TO_T12M_EBITDA",$B117,$B117)),VALUE(_xll.BDH(F$4,"CURRENT_EV_TO_T12M_EBITDA",$B117+1,$B117+1))),F118))</f>
        <v>0</v>
      </c>
      <c r="G117" s="526">
        <f ca="1">(IFERROR(IFERROR(VALUE(_xll.BDH(G$4,"CURRENT_EV_TO_T12M_EBITDA",$B117,$B117)),VALUE(_xll.BDH(G$4,"CURRENT_EV_TO_T12M_EBITDA",$B117+1,$B117+1))),G118))</f>
        <v>0</v>
      </c>
      <c r="H117" s="526">
        <f ca="1">(IFERROR(IFERROR(VALUE(_xll.BDH(H$4,"CURRENT_EV_TO_T12M_EBITDA",$B117,$B117)),VALUE(_xll.BDH(H$4,"CURRENT_EV_TO_T12M_EBITDA",$B117+1,$B117+1))),H118))</f>
        <v>0</v>
      </c>
      <c r="I117" s="530">
        <f t="shared" ca="1" si="30"/>
        <v>45167</v>
      </c>
      <c r="J117" s="526">
        <f ca="1">(IFERROR(IFERROR(VALUE(_xll.BDH(J$4,"PE_RATIO",$B117,$B117)),VALUE(_xll.BDH(J$4,"PE_RATIO",$B117+1,$B117+1))),J118))</f>
        <v>0</v>
      </c>
      <c r="K117" s="526">
        <f ca="1">(IFERROR(IFERROR(VALUE(_xll.BDH(K$4,"PE_RATIO",$B117,$B117)),VALUE(_xll.BDH(K$4,"PE_RATIO",$B117+1,$B117+1))),K118))</f>
        <v>0</v>
      </c>
      <c r="L117" s="526">
        <f ca="1">(IFERROR(IFERROR(VALUE(_xll.BDH(L$4,"PE_RATIO",$B117,$B117)),VALUE(_xll.BDH(L$4,"PE_RATIO",$B117+1,$B117+1))),L118))</f>
        <v>0</v>
      </c>
      <c r="M117" s="526">
        <f ca="1">(IFERROR(IFERROR(VALUE(_xll.BDH(M$4,"PE_RATIO",$B117,$B117)),VALUE(_xll.BDH(M$4,"PE_RATIO",$B117+1,$B117+1))),M118))</f>
        <v>0</v>
      </c>
      <c r="N117" s="526">
        <f ca="1">(IFERROR(IFERROR(VALUE(_xll.BDH(N$4,"PE_RATIO",$B117,$B117)),VALUE(_xll.BDH(N$4,"PE_RATIO",$B117+1,$B117+1))),N118))</f>
        <v>0</v>
      </c>
      <c r="O117" s="526">
        <f ca="1">(IFERROR(IFERROR(VALUE(_xll.BDH(O$4,"PE_RATIO",$B117,$B117)),VALUE(_xll.BDH(O$4,"PE_RATIO",$B117+1,$B117+1))),O118))</f>
        <v>0</v>
      </c>
      <c r="P117" s="526"/>
      <c r="Q117" s="530">
        <v>45124</v>
      </c>
      <c r="R117" s="4">
        <v>1.94</v>
      </c>
      <c r="S117" s="4">
        <v>15713.28</v>
      </c>
      <c r="T117" s="4">
        <v>5642.85</v>
      </c>
      <c r="U117" s="4">
        <v>0.84716157205240172</v>
      </c>
      <c r="V117" s="4">
        <v>1.3962259121334339</v>
      </c>
      <c r="W117" s="4">
        <v>1.4840505689932226</v>
      </c>
      <c r="Y117" s="526">
        <f t="shared" si="31"/>
        <v>1.94</v>
      </c>
      <c r="Z117" s="4">
        <f>IFERROR(VALUE(_xll.BDH(Z$4,"PX_LAST",$Q117,$Q117)),Z118)</f>
        <v>56.39</v>
      </c>
      <c r="AA117" s="4">
        <f>IFERROR(VALUE(_xll.BDH(AA$4,"PX_LAST",$Q117,$Q117)),AA118)</f>
        <v>33.32</v>
      </c>
      <c r="AB117" s="4">
        <f>IFERROR(VALUE(_xll.BDH(AB$4,"PX_LAST",$Q117,$Q117)),AB118)</f>
        <v>140.37</v>
      </c>
      <c r="AC117" s="4">
        <f>IFERROR(VALUE(_xll.BDH(AC$4,"PX_LAST",$Q117,$Q117)),AC118)</f>
        <v>8.7799999999999994</v>
      </c>
      <c r="AD117" s="4">
        <f>IFERROR(VALUE(_xll.BDH(AD$4,"PX_LAST",$Q117,$Q117)),AD118)</f>
        <v>47.04</v>
      </c>
      <c r="AF117" s="4">
        <f t="shared" si="32"/>
        <v>0.84716157205240172</v>
      </c>
      <c r="AG117" s="4">
        <f t="shared" si="33"/>
        <v>1.9095834744327802</v>
      </c>
      <c r="AH117" s="4">
        <f t="shared" si="34"/>
        <v>1.1724137931034482</v>
      </c>
      <c r="AI117" s="4">
        <f t="shared" si="35"/>
        <v>1.5048241852487136</v>
      </c>
      <c r="AJ117" s="4">
        <f t="shared" si="36"/>
        <v>1.0933997509339974</v>
      </c>
      <c r="AK117" s="4">
        <f t="shared" si="37"/>
        <v>1.6104073947278328</v>
      </c>
      <c r="AM117" s="528">
        <v>45795</v>
      </c>
      <c r="AN117" s="529">
        <v>11.81</v>
      </c>
      <c r="AO117" s="529">
        <v>-1522962</v>
      </c>
      <c r="AP117" s="529">
        <v>-52.345799999999997</v>
      </c>
      <c r="AQ117" s="529">
        <v>-927.30584699999997</v>
      </c>
      <c r="AR117" s="529">
        <v>-0.9294</v>
      </c>
    </row>
    <row r="118" spans="2:44">
      <c r="B118" s="530">
        <f t="shared" ca="1" si="38"/>
        <v>45160</v>
      </c>
      <c r="C118" s="526">
        <f ca="1">(IFERROR(IFERROR(VALUE(_xll.BDH(C$4,"CURRENT_EV_TO_T12M_EBITDA",$B118,$B118)),VALUE(_xll.BDH(C$4,"CURRENT_EV_TO_T12M_EBITDA",$B118+1,$B118+1))),C119))</f>
        <v>0</v>
      </c>
      <c r="D118" s="526">
        <f ca="1">(IFERROR(IFERROR(VALUE(_xll.BDH(D$4,"CURRENT_EV_TO_T12M_EBITDA",$B118,$B118)),VALUE(_xll.BDH(D$4,"CURRENT_EV_TO_T12M_EBITDA",$B118+1,$B118+1))),D119))</f>
        <v>0</v>
      </c>
      <c r="E118" s="526">
        <f ca="1">(IFERROR(IFERROR(VALUE(_xll.BDH(E$4,"CURRENT_EV_TO_T12M_EBITDA",$B118,$B118)),VALUE(_xll.BDH(E$4,"CURRENT_EV_TO_T12M_EBITDA",$B118+1,$B118+1))),E119))</f>
        <v>0</v>
      </c>
      <c r="F118" s="526">
        <f ca="1">(IFERROR(IFERROR(VALUE(_xll.BDH(F$4,"CURRENT_EV_TO_T12M_EBITDA",$B118,$B118)),VALUE(_xll.BDH(F$4,"CURRENT_EV_TO_T12M_EBITDA",$B118+1,$B118+1))),F119))</f>
        <v>0</v>
      </c>
      <c r="G118" s="526">
        <f ca="1">(IFERROR(IFERROR(VALUE(_xll.BDH(G$4,"CURRENT_EV_TO_T12M_EBITDA",$B118,$B118)),VALUE(_xll.BDH(G$4,"CURRENT_EV_TO_T12M_EBITDA",$B118+1,$B118+1))),G119))</f>
        <v>0</v>
      </c>
      <c r="H118" s="526">
        <f ca="1">(IFERROR(IFERROR(VALUE(_xll.BDH(H$4,"CURRENT_EV_TO_T12M_EBITDA",$B118,$B118)),VALUE(_xll.BDH(H$4,"CURRENT_EV_TO_T12M_EBITDA",$B118+1,$B118+1))),H119))</f>
        <v>0</v>
      </c>
      <c r="I118" s="530">
        <f t="shared" ca="1" si="30"/>
        <v>45160</v>
      </c>
      <c r="J118" s="526">
        <f ca="1">(IFERROR(IFERROR(VALUE(_xll.BDH(J$4,"PE_RATIO",$B118,$B118)),VALUE(_xll.BDH(J$4,"PE_RATIO",$B118+1,$B118+1))),J119))</f>
        <v>0</v>
      </c>
      <c r="K118" s="526">
        <f ca="1">(IFERROR(IFERROR(VALUE(_xll.BDH(K$4,"PE_RATIO",$B118,$B118)),VALUE(_xll.BDH(K$4,"PE_RATIO",$B118+1,$B118+1))),K119))</f>
        <v>0</v>
      </c>
      <c r="L118" s="526">
        <f ca="1">(IFERROR(IFERROR(VALUE(_xll.BDH(L$4,"PE_RATIO",$B118,$B118)),VALUE(_xll.BDH(L$4,"PE_RATIO",$B118+1,$B118+1))),L119))</f>
        <v>0</v>
      </c>
      <c r="M118" s="526">
        <f ca="1">(IFERROR(IFERROR(VALUE(_xll.BDH(M$4,"PE_RATIO",$B118,$B118)),VALUE(_xll.BDH(M$4,"PE_RATIO",$B118+1,$B118+1))),M119))</f>
        <v>0</v>
      </c>
      <c r="N118" s="526">
        <f ca="1">(IFERROR(IFERROR(VALUE(_xll.BDH(N$4,"PE_RATIO",$B118,$B118)),VALUE(_xll.BDH(N$4,"PE_RATIO",$B118+1,$B118+1))),N119))</f>
        <v>0</v>
      </c>
      <c r="O118" s="526">
        <f ca="1">(IFERROR(IFERROR(VALUE(_xll.BDH(O$4,"PE_RATIO",$B118,$B118)),VALUE(_xll.BDH(O$4,"PE_RATIO",$B118+1,$B118+1))),O119))</f>
        <v>0</v>
      </c>
      <c r="P118" s="526"/>
      <c r="Q118" s="530">
        <v>45117</v>
      </c>
      <c r="R118" s="4">
        <v>2.0099999999999998</v>
      </c>
      <c r="S118" s="4">
        <v>15045.64</v>
      </c>
      <c r="T118" s="4">
        <v>5409.75</v>
      </c>
      <c r="U118" s="4">
        <v>0.87772925764192133</v>
      </c>
      <c r="V118" s="4">
        <v>1.3369018074285748</v>
      </c>
      <c r="W118" s="4">
        <v>1.4227460530779812</v>
      </c>
      <c r="Y118" s="526">
        <f t="shared" si="31"/>
        <v>2.0099999999999998</v>
      </c>
      <c r="Z118" s="4">
        <f>IFERROR(VALUE(_xll.BDH(Z$4,"PX_LAST",$Q118,$Q118)),Z119)</f>
        <v>52.56</v>
      </c>
      <c r="AA118" s="4">
        <f>IFERROR(VALUE(_xll.BDH(AA$4,"PX_LAST",$Q118,$Q118)),AA119)</f>
        <v>31.53</v>
      </c>
      <c r="AB118" s="4">
        <f>IFERROR(VALUE(_xll.BDH(AB$4,"PX_LAST",$Q118,$Q118)),AB119)</f>
        <v>136.69999999999999</v>
      </c>
      <c r="AC118" s="4">
        <f>IFERROR(VALUE(_xll.BDH(AC$4,"PX_LAST",$Q118,$Q118)),AC119)</f>
        <v>8.68</v>
      </c>
      <c r="AD118" s="4">
        <f>IFERROR(VALUE(_xll.BDH(AD$4,"PX_LAST",$Q118,$Q118)),AD119)</f>
        <v>44.65</v>
      </c>
      <c r="AF118" s="4">
        <f t="shared" si="32"/>
        <v>0.87772925764192133</v>
      </c>
      <c r="AG118" s="4">
        <f t="shared" si="33"/>
        <v>1.7798848628513377</v>
      </c>
      <c r="AH118" s="4">
        <f t="shared" si="34"/>
        <v>1.109429978888107</v>
      </c>
      <c r="AI118" s="4">
        <f t="shared" si="35"/>
        <v>1.4654802744425384</v>
      </c>
      <c r="AJ118" s="4">
        <f t="shared" si="36"/>
        <v>1.0809464508094646</v>
      </c>
      <c r="AK118" s="4">
        <f t="shared" si="37"/>
        <v>1.5285861006504622</v>
      </c>
      <c r="AM118" s="528">
        <v>45794</v>
      </c>
      <c r="AN118" s="529">
        <v>11.81</v>
      </c>
      <c r="AO118" s="529">
        <v>-761481</v>
      </c>
      <c r="AP118" s="529">
        <v>-26.172899999999998</v>
      </c>
      <c r="AQ118" s="529">
        <v>-618.20389799999998</v>
      </c>
      <c r="AR118" s="529">
        <v>-0.4647</v>
      </c>
    </row>
    <row r="119" spans="2:44">
      <c r="B119" s="530">
        <f t="shared" ca="1" si="38"/>
        <v>45153</v>
      </c>
      <c r="C119" s="526">
        <f ca="1">(IFERROR(IFERROR(VALUE(_xll.BDH(C$4,"CURRENT_EV_TO_T12M_EBITDA",$B119,$B119)),VALUE(_xll.BDH(C$4,"CURRENT_EV_TO_T12M_EBITDA",$B119+1,$B119+1))),C120))</f>
        <v>0</v>
      </c>
      <c r="D119" s="526">
        <f ca="1">(IFERROR(IFERROR(VALUE(_xll.BDH(D$4,"CURRENT_EV_TO_T12M_EBITDA",$B119,$B119)),VALUE(_xll.BDH(D$4,"CURRENT_EV_TO_T12M_EBITDA",$B119+1,$B119+1))),D120))</f>
        <v>0</v>
      </c>
      <c r="E119" s="526">
        <f ca="1">(IFERROR(IFERROR(VALUE(_xll.BDH(E$4,"CURRENT_EV_TO_T12M_EBITDA",$B119,$B119)),VALUE(_xll.BDH(E$4,"CURRENT_EV_TO_T12M_EBITDA",$B119+1,$B119+1))),E120))</f>
        <v>0</v>
      </c>
      <c r="F119" s="526">
        <f ca="1">(IFERROR(IFERROR(VALUE(_xll.BDH(F$4,"CURRENT_EV_TO_T12M_EBITDA",$B119,$B119)),VALUE(_xll.BDH(F$4,"CURRENT_EV_TO_T12M_EBITDA",$B119+1,$B119+1))),F120))</f>
        <v>0</v>
      </c>
      <c r="G119" s="526">
        <f ca="1">(IFERROR(IFERROR(VALUE(_xll.BDH(G$4,"CURRENT_EV_TO_T12M_EBITDA",$B119,$B119)),VALUE(_xll.BDH(G$4,"CURRENT_EV_TO_T12M_EBITDA",$B119+1,$B119+1))),G120))</f>
        <v>0</v>
      </c>
      <c r="H119" s="526">
        <f ca="1">(IFERROR(IFERROR(VALUE(_xll.BDH(H$4,"CURRENT_EV_TO_T12M_EBITDA",$B119,$B119)),VALUE(_xll.BDH(H$4,"CURRENT_EV_TO_T12M_EBITDA",$B119+1,$B119+1))),H120))</f>
        <v>0</v>
      </c>
      <c r="I119" s="530">
        <f t="shared" ca="1" si="30"/>
        <v>45153</v>
      </c>
      <c r="J119" s="526">
        <f ca="1">(IFERROR(IFERROR(VALUE(_xll.BDH(J$4,"PE_RATIO",$B119,$B119)),VALUE(_xll.BDH(J$4,"PE_RATIO",$B119+1,$B119+1))),J120))</f>
        <v>0</v>
      </c>
      <c r="K119" s="526">
        <f ca="1">(IFERROR(IFERROR(VALUE(_xll.BDH(K$4,"PE_RATIO",$B119,$B119)),VALUE(_xll.BDH(K$4,"PE_RATIO",$B119+1,$B119+1))),K120))</f>
        <v>0</v>
      </c>
      <c r="L119" s="526">
        <f ca="1">(IFERROR(IFERROR(VALUE(_xll.BDH(L$4,"PE_RATIO",$B119,$B119)),VALUE(_xll.BDH(L$4,"PE_RATIO",$B119+1,$B119+1))),L120))</f>
        <v>0</v>
      </c>
      <c r="M119" s="526">
        <f ca="1">(IFERROR(IFERROR(VALUE(_xll.BDH(M$4,"PE_RATIO",$B119,$B119)),VALUE(_xll.BDH(M$4,"PE_RATIO",$B119+1,$B119+1))),M120))</f>
        <v>0</v>
      </c>
      <c r="N119" s="526">
        <f ca="1">(IFERROR(IFERROR(VALUE(_xll.BDH(N$4,"PE_RATIO",$B119,$B119)),VALUE(_xll.BDH(N$4,"PE_RATIO",$B119+1,$B119+1))),N120))</f>
        <v>0</v>
      </c>
      <c r="O119" s="526">
        <f ca="1">(IFERROR(IFERROR(VALUE(_xll.BDH(O$4,"PE_RATIO",$B119,$B119)),VALUE(_xll.BDH(O$4,"PE_RATIO",$B119+1,$B119+1))),O120))</f>
        <v>0</v>
      </c>
      <c r="P119" s="526"/>
      <c r="Q119" s="530">
        <v>45110</v>
      </c>
      <c r="R119" s="4">
        <v>2.12</v>
      </c>
      <c r="S119" s="4">
        <v>15208.69</v>
      </c>
      <c r="T119" s="4">
        <v>5463.09</v>
      </c>
      <c r="U119" s="4">
        <v>0.92576419213973804</v>
      </c>
      <c r="V119" s="4">
        <v>1.3513898477978268</v>
      </c>
      <c r="W119" s="4">
        <v>1.4367742936567842</v>
      </c>
      <c r="Y119" s="526">
        <f t="shared" si="31"/>
        <v>2.12</v>
      </c>
      <c r="Z119" s="4">
        <f>IFERROR(VALUE(_xll.BDH(Z$4,"PX_LAST",$Q119,$Q119)),Z120)</f>
        <v>54.27</v>
      </c>
      <c r="AA119" s="4">
        <f>IFERROR(VALUE(_xll.BDH(AA$4,"PX_LAST",$Q119,$Q119)),AA120)</f>
        <v>30.68</v>
      </c>
      <c r="AB119" s="4">
        <f>IFERROR(VALUE(_xll.BDH(AB$4,"PX_LAST",$Q119,$Q119)),AB120)</f>
        <v>135.03</v>
      </c>
      <c r="AC119" s="4">
        <f>IFERROR(VALUE(_xll.BDH(AC$4,"PX_LAST",$Q119,$Q119)),AC120)</f>
        <v>8.36</v>
      </c>
      <c r="AD119" s="4">
        <f>IFERROR(VALUE(_xll.BDH(AD$4,"PX_LAST",$Q119,$Q119)),AD120)</f>
        <v>44.1</v>
      </c>
      <c r="AF119" s="4">
        <f t="shared" si="32"/>
        <v>0.92576419213973804</v>
      </c>
      <c r="AG119" s="4">
        <f t="shared" si="33"/>
        <v>1.8377920758550628</v>
      </c>
      <c r="AH119" s="4">
        <f t="shared" si="34"/>
        <v>1.0795214637579169</v>
      </c>
      <c r="AI119" s="4">
        <f t="shared" si="35"/>
        <v>1.4475771869639793</v>
      </c>
      <c r="AJ119" s="4">
        <f t="shared" si="36"/>
        <v>1.0410958904109588</v>
      </c>
      <c r="AK119" s="4">
        <f t="shared" si="37"/>
        <v>1.5097569325573434</v>
      </c>
      <c r="AM119" s="528">
        <v>45793</v>
      </c>
      <c r="AN119" s="529">
        <v>11.81</v>
      </c>
      <c r="AO119" s="529">
        <v>0</v>
      </c>
      <c r="AP119" s="529">
        <v>0</v>
      </c>
      <c r="AQ119" s="529">
        <v>-309.10194899999999</v>
      </c>
      <c r="AR119" s="529">
        <v>0</v>
      </c>
    </row>
    <row r="120" spans="2:44">
      <c r="B120" s="530">
        <f t="shared" ca="1" si="38"/>
        <v>45146</v>
      </c>
      <c r="C120" s="526">
        <f ca="1">(IFERROR(IFERROR(VALUE(_xll.BDH(C$4,"CURRENT_EV_TO_T12M_EBITDA",$B120,$B120)),VALUE(_xll.BDH(C$4,"CURRENT_EV_TO_T12M_EBITDA",$B120+1,$B120+1))),C121))</f>
        <v>0</v>
      </c>
      <c r="D120" s="526">
        <f ca="1">(IFERROR(IFERROR(VALUE(_xll.BDH(D$4,"CURRENT_EV_TO_T12M_EBITDA",$B120,$B120)),VALUE(_xll.BDH(D$4,"CURRENT_EV_TO_T12M_EBITDA",$B120+1,$B120+1))),D121))</f>
        <v>0</v>
      </c>
      <c r="E120" s="526">
        <f ca="1">(IFERROR(IFERROR(VALUE(_xll.BDH(E$4,"CURRENT_EV_TO_T12M_EBITDA",$B120,$B120)),VALUE(_xll.BDH(E$4,"CURRENT_EV_TO_T12M_EBITDA",$B120+1,$B120+1))),E121))</f>
        <v>0</v>
      </c>
      <c r="F120" s="526">
        <f ca="1">(IFERROR(IFERROR(VALUE(_xll.BDH(F$4,"CURRENT_EV_TO_T12M_EBITDA",$B120,$B120)),VALUE(_xll.BDH(F$4,"CURRENT_EV_TO_T12M_EBITDA",$B120+1,$B120+1))),F121))</f>
        <v>0</v>
      </c>
      <c r="G120" s="526">
        <f ca="1">(IFERROR(IFERROR(VALUE(_xll.BDH(G$4,"CURRENT_EV_TO_T12M_EBITDA",$B120,$B120)),VALUE(_xll.BDH(G$4,"CURRENT_EV_TO_T12M_EBITDA",$B120+1,$B120+1))),G121))</f>
        <v>0</v>
      </c>
      <c r="H120" s="526">
        <f ca="1">(IFERROR(IFERROR(VALUE(_xll.BDH(H$4,"CURRENT_EV_TO_T12M_EBITDA",$B120,$B120)),VALUE(_xll.BDH(H$4,"CURRENT_EV_TO_T12M_EBITDA",$B120+1,$B120+1))),H121))</f>
        <v>0</v>
      </c>
      <c r="I120" s="530">
        <f t="shared" ca="1" si="30"/>
        <v>45146</v>
      </c>
      <c r="J120" s="526">
        <f ca="1">(IFERROR(IFERROR(VALUE(_xll.BDH(J$4,"PE_RATIO",$B120,$B120)),VALUE(_xll.BDH(J$4,"PE_RATIO",$B120+1,$B120+1))),J121))</f>
        <v>0</v>
      </c>
      <c r="K120" s="526">
        <f ca="1">(IFERROR(IFERROR(VALUE(_xll.BDH(K$4,"PE_RATIO",$B120,$B120)),VALUE(_xll.BDH(K$4,"PE_RATIO",$B120+1,$B120+1))),K121))</f>
        <v>0</v>
      </c>
      <c r="L120" s="526">
        <f ca="1">(IFERROR(IFERROR(VALUE(_xll.BDH(L$4,"PE_RATIO",$B120,$B120)),VALUE(_xll.BDH(L$4,"PE_RATIO",$B120+1,$B120+1))),L121))</f>
        <v>0</v>
      </c>
      <c r="M120" s="526">
        <f ca="1">(IFERROR(IFERROR(VALUE(_xll.BDH(M$4,"PE_RATIO",$B120,$B120)),VALUE(_xll.BDH(M$4,"PE_RATIO",$B120+1,$B120+1))),M121))</f>
        <v>0</v>
      </c>
      <c r="N120" s="526">
        <f ca="1">(IFERROR(IFERROR(VALUE(_xll.BDH(N$4,"PE_RATIO",$B120,$B120)),VALUE(_xll.BDH(N$4,"PE_RATIO",$B120+1,$B120+1))),N121))</f>
        <v>0</v>
      </c>
      <c r="O120" s="526">
        <f ca="1">(IFERROR(IFERROR(VALUE(_xll.BDH(O$4,"PE_RATIO",$B120,$B120)),VALUE(_xll.BDH(O$4,"PE_RATIO",$B120+1,$B120+1))),O121))</f>
        <v>0</v>
      </c>
      <c r="P120" s="526"/>
      <c r="Q120" s="530">
        <v>45103</v>
      </c>
      <c r="R120" s="4">
        <v>2.13</v>
      </c>
      <c r="S120" s="4">
        <v>14689.02</v>
      </c>
      <c r="T120" s="4">
        <v>5322.03</v>
      </c>
      <c r="U120" s="4">
        <v>0.93013100436681218</v>
      </c>
      <c r="V120" s="4">
        <v>1.3052138285479704</v>
      </c>
      <c r="W120" s="4">
        <v>1.3996759881441116</v>
      </c>
      <c r="Y120" s="526">
        <f t="shared" si="31"/>
        <v>2.13</v>
      </c>
      <c r="Z120" s="4">
        <f>IFERROR(VALUE(_xll.BDH(Z$4,"PX_LAST",$Q120,$Q120)),Z121)</f>
        <v>51.15</v>
      </c>
      <c r="AA120" s="4">
        <f>IFERROR(VALUE(_xll.BDH(AA$4,"PX_LAST",$Q120,$Q120)),AA121)</f>
        <v>28.46</v>
      </c>
      <c r="AB120" s="4">
        <f>IFERROR(VALUE(_xll.BDH(AB$4,"PX_LAST",$Q120,$Q120)),AB121)</f>
        <v>129.93</v>
      </c>
      <c r="AC120" s="4">
        <f>IFERROR(VALUE(_xll.BDH(AC$4,"PX_LAST",$Q120,$Q120)),AC121)</f>
        <v>8.25</v>
      </c>
      <c r="AD120" s="4">
        <f>IFERROR(VALUE(_xll.BDH(AD$4,"PX_LAST",$Q120,$Q120)),AD121)</f>
        <v>41.88</v>
      </c>
      <c r="AF120" s="4">
        <f t="shared" si="32"/>
        <v>0.93013100436681218</v>
      </c>
      <c r="AG120" s="4">
        <f t="shared" si="33"/>
        <v>1.7321368100237047</v>
      </c>
      <c r="AH120" s="4">
        <f t="shared" si="34"/>
        <v>1.0014074595355382</v>
      </c>
      <c r="AI120" s="4">
        <f t="shared" si="35"/>
        <v>1.3929030874785593</v>
      </c>
      <c r="AJ120" s="4">
        <f t="shared" si="36"/>
        <v>1.0273972602739727</v>
      </c>
      <c r="AK120" s="4">
        <f t="shared" si="37"/>
        <v>1.4337555631633003</v>
      </c>
      <c r="AM120" s="528">
        <v>45792</v>
      </c>
      <c r="AN120" s="529">
        <v>11.39</v>
      </c>
      <c r="AO120" s="529">
        <v>0</v>
      </c>
      <c r="AP120" s="529">
        <v>0</v>
      </c>
      <c r="AQ120" s="529">
        <v>-298.109331</v>
      </c>
      <c r="AR120" s="529">
        <v>0</v>
      </c>
    </row>
    <row r="121" spans="2:44">
      <c r="B121" s="530">
        <f t="shared" ca="1" si="38"/>
        <v>45139</v>
      </c>
      <c r="C121" s="526">
        <f ca="1">(IFERROR(IFERROR(VALUE(_xll.BDH(C$4,"CURRENT_EV_TO_T12M_EBITDA",$B121,$B121)),VALUE(_xll.BDH(C$4,"CURRENT_EV_TO_T12M_EBITDA",$B121+1,$B121+1))),C122))</f>
        <v>0</v>
      </c>
      <c r="D121" s="526">
        <f ca="1">(IFERROR(IFERROR(VALUE(_xll.BDH(D$4,"CURRENT_EV_TO_T12M_EBITDA",$B121,$B121)),VALUE(_xll.BDH(D$4,"CURRENT_EV_TO_T12M_EBITDA",$B121+1,$B121+1))),D122))</f>
        <v>0</v>
      </c>
      <c r="E121" s="526">
        <f ca="1">(IFERROR(IFERROR(VALUE(_xll.BDH(E$4,"CURRENT_EV_TO_T12M_EBITDA",$B121,$B121)),VALUE(_xll.BDH(E$4,"CURRENT_EV_TO_T12M_EBITDA",$B121+1,$B121+1))),E122))</f>
        <v>0</v>
      </c>
      <c r="F121" s="526">
        <f ca="1">(IFERROR(IFERROR(VALUE(_xll.BDH(F$4,"CURRENT_EV_TO_T12M_EBITDA",$B121,$B121)),VALUE(_xll.BDH(F$4,"CURRENT_EV_TO_T12M_EBITDA",$B121+1,$B121+1))),F122))</f>
        <v>0</v>
      </c>
      <c r="G121" s="526">
        <f ca="1">(IFERROR(IFERROR(VALUE(_xll.BDH(G$4,"CURRENT_EV_TO_T12M_EBITDA",$B121,$B121)),VALUE(_xll.BDH(G$4,"CURRENT_EV_TO_T12M_EBITDA",$B121+1,$B121+1))),G122))</f>
        <v>0</v>
      </c>
      <c r="H121" s="526">
        <f ca="1">(IFERROR(IFERROR(VALUE(_xll.BDH(H$4,"CURRENT_EV_TO_T12M_EBITDA",$B121,$B121)),VALUE(_xll.BDH(H$4,"CURRENT_EV_TO_T12M_EBITDA",$B121+1,$B121+1))),H122))</f>
        <v>0</v>
      </c>
      <c r="I121" s="530">
        <f t="shared" ca="1" si="30"/>
        <v>45139</v>
      </c>
      <c r="J121" s="526">
        <f ca="1">(IFERROR(IFERROR(VALUE(_xll.BDH(J$4,"PE_RATIO",$B121,$B121)),VALUE(_xll.BDH(J$4,"PE_RATIO",$B121+1,$B121+1))),J122))</f>
        <v>0</v>
      </c>
      <c r="K121" s="526">
        <f ca="1">(IFERROR(IFERROR(VALUE(_xll.BDH(K$4,"PE_RATIO",$B121,$B121)),VALUE(_xll.BDH(K$4,"PE_RATIO",$B121+1,$B121+1))),K122))</f>
        <v>0</v>
      </c>
      <c r="L121" s="526">
        <f ca="1">(IFERROR(IFERROR(VALUE(_xll.BDH(L$4,"PE_RATIO",$B121,$B121)),VALUE(_xll.BDH(L$4,"PE_RATIO",$B121+1,$B121+1))),L122))</f>
        <v>0</v>
      </c>
      <c r="M121" s="526">
        <f ca="1">(IFERROR(IFERROR(VALUE(_xll.BDH(M$4,"PE_RATIO",$B121,$B121)),VALUE(_xll.BDH(M$4,"PE_RATIO",$B121+1,$B121+1))),M122))</f>
        <v>0</v>
      </c>
      <c r="N121" s="526">
        <f ca="1">(IFERROR(IFERROR(VALUE(_xll.BDH(N$4,"PE_RATIO",$B121,$B121)),VALUE(_xll.BDH(N$4,"PE_RATIO",$B121+1,$B121+1))),N122))</f>
        <v>0</v>
      </c>
      <c r="O121" s="526">
        <f ca="1">(IFERROR(IFERROR(VALUE(_xll.BDH(O$4,"PE_RATIO",$B121,$B121)),VALUE(_xll.BDH(O$4,"PE_RATIO",$B121+1,$B121+1))),O122))</f>
        <v>0</v>
      </c>
      <c r="P121" s="526"/>
      <c r="Q121" s="530">
        <v>45096</v>
      </c>
      <c r="R121" s="4">
        <v>2.25</v>
      </c>
      <c r="S121" s="4">
        <v>14784.3</v>
      </c>
      <c r="T121" s="4">
        <v>5372.89</v>
      </c>
      <c r="U121" s="4">
        <v>0.98253275109170302</v>
      </c>
      <c r="V121" s="4">
        <v>1.3136800688815018</v>
      </c>
      <c r="W121" s="4">
        <v>1.4130519970649575</v>
      </c>
      <c r="Y121" s="526">
        <f t="shared" si="31"/>
        <v>2.25</v>
      </c>
      <c r="Z121" s="4">
        <f>IFERROR(VALUE(_xll.BDH(Z$4,"PX_LAST",$Q121,$Q121)),Z122)</f>
        <v>51.46</v>
      </c>
      <c r="AA121" s="4">
        <f>IFERROR(VALUE(_xll.BDH(AA$4,"PX_LAST",$Q121,$Q121)),AA122)</f>
        <v>30.72</v>
      </c>
      <c r="AB121" s="4">
        <f>IFERROR(VALUE(_xll.BDH(AB$4,"PX_LAST",$Q121,$Q121)),AB122)</f>
        <v>123.61</v>
      </c>
      <c r="AC121" s="4">
        <f>IFERROR(VALUE(_xll.BDH(AC$4,"PX_LAST",$Q121,$Q121)),AC122)</f>
        <v>8.66</v>
      </c>
      <c r="AD121" s="4">
        <f>IFERROR(VALUE(_xll.BDH(AD$4,"PX_LAST",$Q121,$Q121)),AD122)</f>
        <v>42.98</v>
      </c>
      <c r="AF121" s="4">
        <f t="shared" si="32"/>
        <v>0.98253275109170302</v>
      </c>
      <c r="AG121" s="4">
        <f t="shared" si="33"/>
        <v>1.7426346088723332</v>
      </c>
      <c r="AH121" s="4">
        <f t="shared" si="34"/>
        <v>1.0809289232934551</v>
      </c>
      <c r="AI121" s="4">
        <f t="shared" si="35"/>
        <v>1.3251500857632932</v>
      </c>
      <c r="AJ121" s="4">
        <f t="shared" si="36"/>
        <v>1.078455790784558</v>
      </c>
      <c r="AK121" s="4">
        <f t="shared" si="37"/>
        <v>1.4714138993495376</v>
      </c>
      <c r="AM121" s="528">
        <v>45791</v>
      </c>
      <c r="AN121" s="529">
        <v>12.1</v>
      </c>
      <c r="AO121" s="529">
        <v>0</v>
      </c>
      <c r="AP121" s="529">
        <v>0</v>
      </c>
      <c r="AQ121" s="529">
        <v>-316.69208999999995</v>
      </c>
      <c r="AR121" s="529">
        <v>0</v>
      </c>
    </row>
    <row r="122" spans="2:44">
      <c r="B122" s="530">
        <f t="shared" ca="1" si="38"/>
        <v>45132</v>
      </c>
      <c r="C122" s="526">
        <f ca="1">(IFERROR(IFERROR(VALUE(_xll.BDH(C$4,"CURRENT_EV_TO_T12M_EBITDA",$B122,$B122)),VALUE(_xll.BDH(C$4,"CURRENT_EV_TO_T12M_EBITDA",$B122+1,$B122+1))),C123))</f>
        <v>0</v>
      </c>
      <c r="D122" s="526">
        <f ca="1">(IFERROR(IFERROR(VALUE(_xll.BDH(D$4,"CURRENT_EV_TO_T12M_EBITDA",$B122,$B122)),VALUE(_xll.BDH(D$4,"CURRENT_EV_TO_T12M_EBITDA",$B122+1,$B122+1))),D123))</f>
        <v>0</v>
      </c>
      <c r="E122" s="526">
        <f ca="1">(IFERROR(IFERROR(VALUE(_xll.BDH(E$4,"CURRENT_EV_TO_T12M_EBITDA",$B122,$B122)),VALUE(_xll.BDH(E$4,"CURRENT_EV_TO_T12M_EBITDA",$B122+1,$B122+1))),E123))</f>
        <v>0</v>
      </c>
      <c r="F122" s="526">
        <f ca="1">(IFERROR(IFERROR(VALUE(_xll.BDH(F$4,"CURRENT_EV_TO_T12M_EBITDA",$B122,$B122)),VALUE(_xll.BDH(F$4,"CURRENT_EV_TO_T12M_EBITDA",$B122+1,$B122+1))),F123))</f>
        <v>0</v>
      </c>
      <c r="G122" s="526">
        <f ca="1">(IFERROR(IFERROR(VALUE(_xll.BDH(G$4,"CURRENT_EV_TO_T12M_EBITDA",$B122,$B122)),VALUE(_xll.BDH(G$4,"CURRENT_EV_TO_T12M_EBITDA",$B122+1,$B122+1))),G123))</f>
        <v>0</v>
      </c>
      <c r="H122" s="526">
        <f ca="1">(IFERROR(IFERROR(VALUE(_xll.BDH(H$4,"CURRENT_EV_TO_T12M_EBITDA",$B122,$B122)),VALUE(_xll.BDH(H$4,"CURRENT_EV_TO_T12M_EBITDA",$B122+1,$B122+1))),H123))</f>
        <v>0</v>
      </c>
      <c r="I122" s="530">
        <f t="shared" ca="1" si="30"/>
        <v>45132</v>
      </c>
      <c r="J122" s="526">
        <f ca="1">(IFERROR(IFERROR(VALUE(_xll.BDH(J$4,"PE_RATIO",$B122,$B122)),VALUE(_xll.BDH(J$4,"PE_RATIO",$B122+1,$B122+1))),J123))</f>
        <v>0</v>
      </c>
      <c r="K122" s="526">
        <f ca="1">(IFERROR(IFERROR(VALUE(_xll.BDH(K$4,"PE_RATIO",$B122,$B122)),VALUE(_xll.BDH(K$4,"PE_RATIO",$B122+1,$B122+1))),K123))</f>
        <v>0</v>
      </c>
      <c r="L122" s="526">
        <f ca="1">(IFERROR(IFERROR(VALUE(_xll.BDH(L$4,"PE_RATIO",$B122,$B122)),VALUE(_xll.BDH(L$4,"PE_RATIO",$B122+1,$B122+1))),L123))</f>
        <v>0</v>
      </c>
      <c r="M122" s="526">
        <f ca="1">(IFERROR(IFERROR(VALUE(_xll.BDH(M$4,"PE_RATIO",$B122,$B122)),VALUE(_xll.BDH(M$4,"PE_RATIO",$B122+1,$B122+1))),M123))</f>
        <v>0</v>
      </c>
      <c r="N122" s="526">
        <f ca="1">(IFERROR(IFERROR(VALUE(_xll.BDH(N$4,"PE_RATIO",$B122,$B122)),VALUE(_xll.BDH(N$4,"PE_RATIO",$B122+1,$B122+1))),N123))</f>
        <v>0</v>
      </c>
      <c r="O122" s="526">
        <f ca="1">(IFERROR(IFERROR(VALUE(_xll.BDH(O$4,"PE_RATIO",$B122,$B122)),VALUE(_xll.BDH(O$4,"PE_RATIO",$B122+1,$B122+1))),O123))</f>
        <v>0</v>
      </c>
      <c r="P122" s="526"/>
      <c r="Q122" s="530">
        <v>45089</v>
      </c>
      <c r="R122" s="4">
        <v>2.25</v>
      </c>
      <c r="S122" s="4">
        <v>14784.3</v>
      </c>
      <c r="T122" s="4">
        <v>5372.89</v>
      </c>
      <c r="U122" s="4">
        <v>0.98253275109170302</v>
      </c>
      <c r="V122" s="4">
        <v>1.3136800688815018</v>
      </c>
      <c r="W122" s="4">
        <v>1.4130519970649575</v>
      </c>
      <c r="Y122" s="526">
        <f t="shared" si="31"/>
        <v>2.25</v>
      </c>
      <c r="Z122" s="4">
        <f>IFERROR(VALUE(_xll.BDH(Z$4,"PX_LAST",$Q122,$Q122)),Z123)</f>
        <v>51.46</v>
      </c>
      <c r="AA122" s="4">
        <f>IFERROR(VALUE(_xll.BDH(AA$4,"PX_LAST",$Q122,$Q122)),AA123)</f>
        <v>30.72</v>
      </c>
      <c r="AB122" s="4">
        <f>IFERROR(VALUE(_xll.BDH(AB$4,"PX_LAST",$Q122,$Q122)),AB123)</f>
        <v>123.61</v>
      </c>
      <c r="AC122" s="4">
        <f>IFERROR(VALUE(_xll.BDH(AC$4,"PX_LAST",$Q122,$Q122)),AC123)</f>
        <v>8.66</v>
      </c>
      <c r="AD122" s="4">
        <f>IFERROR(VALUE(_xll.BDH(AD$4,"PX_LAST",$Q122,$Q122)),AD123)</f>
        <v>42.98</v>
      </c>
      <c r="AF122" s="4">
        <f t="shared" si="32"/>
        <v>0.98253275109170302</v>
      </c>
      <c r="AG122" s="4">
        <f t="shared" si="33"/>
        <v>1.7426346088723332</v>
      </c>
      <c r="AH122" s="4">
        <f t="shared" si="34"/>
        <v>1.0809289232934551</v>
      </c>
      <c r="AI122" s="4">
        <f t="shared" si="35"/>
        <v>1.3251500857632932</v>
      </c>
      <c r="AJ122" s="4">
        <f t="shared" si="36"/>
        <v>1.078455790784558</v>
      </c>
      <c r="AK122" s="4">
        <f t="shared" si="37"/>
        <v>1.4714138993495376</v>
      </c>
      <c r="AM122" s="528">
        <v>45790</v>
      </c>
      <c r="AN122" s="529">
        <v>12.43</v>
      </c>
      <c r="AO122" s="529">
        <v>0</v>
      </c>
      <c r="AP122" s="529">
        <v>0</v>
      </c>
      <c r="AQ122" s="529">
        <v>-325.32914699999998</v>
      </c>
      <c r="AR122" s="529">
        <v>0</v>
      </c>
    </row>
    <row r="123" spans="2:44">
      <c r="B123" s="530">
        <f t="shared" ca="1" si="38"/>
        <v>45125</v>
      </c>
      <c r="C123" s="526">
        <f ca="1">(IFERROR(IFERROR(VALUE(_xll.BDH(C$4,"CURRENT_EV_TO_T12M_EBITDA",$B123,$B123)),VALUE(_xll.BDH(C$4,"CURRENT_EV_TO_T12M_EBITDA",$B123+1,$B123+1))),C124))</f>
        <v>0</v>
      </c>
      <c r="D123" s="526">
        <f ca="1">(IFERROR(IFERROR(VALUE(_xll.BDH(D$4,"CURRENT_EV_TO_T12M_EBITDA",$B123,$B123)),VALUE(_xll.BDH(D$4,"CURRENT_EV_TO_T12M_EBITDA",$B123+1,$B123+1))),D124))</f>
        <v>0</v>
      </c>
      <c r="E123" s="526">
        <f ca="1">(IFERROR(IFERROR(VALUE(_xll.BDH(E$4,"CURRENT_EV_TO_T12M_EBITDA",$B123,$B123)),VALUE(_xll.BDH(E$4,"CURRENT_EV_TO_T12M_EBITDA",$B123+1,$B123+1))),E124))</f>
        <v>0</v>
      </c>
      <c r="F123" s="526">
        <f ca="1">(IFERROR(IFERROR(VALUE(_xll.BDH(F$4,"CURRENT_EV_TO_T12M_EBITDA",$B123,$B123)),VALUE(_xll.BDH(F$4,"CURRENT_EV_TO_T12M_EBITDA",$B123+1,$B123+1))),F124))</f>
        <v>0</v>
      </c>
      <c r="G123" s="526">
        <f ca="1">(IFERROR(IFERROR(VALUE(_xll.BDH(G$4,"CURRENT_EV_TO_T12M_EBITDA",$B123,$B123)),VALUE(_xll.BDH(G$4,"CURRENT_EV_TO_T12M_EBITDA",$B123+1,$B123+1))),G124))</f>
        <v>0</v>
      </c>
      <c r="H123" s="526">
        <f ca="1">(IFERROR(IFERROR(VALUE(_xll.BDH(H$4,"CURRENT_EV_TO_T12M_EBITDA",$B123,$B123)),VALUE(_xll.BDH(H$4,"CURRENT_EV_TO_T12M_EBITDA",$B123+1,$B123+1))),H124))</f>
        <v>0</v>
      </c>
      <c r="I123" s="530">
        <f t="shared" ca="1" si="30"/>
        <v>45125</v>
      </c>
      <c r="J123" s="526">
        <f ca="1">(IFERROR(IFERROR(VALUE(_xll.BDH(J$4,"PE_RATIO",$B123,$B123)),VALUE(_xll.BDH(J$4,"PE_RATIO",$B123+1,$B123+1))),J124))</f>
        <v>0</v>
      </c>
      <c r="K123" s="526">
        <f ca="1">(IFERROR(IFERROR(VALUE(_xll.BDH(K$4,"PE_RATIO",$B123,$B123)),VALUE(_xll.BDH(K$4,"PE_RATIO",$B123+1,$B123+1))),K124))</f>
        <v>0</v>
      </c>
      <c r="L123" s="526">
        <f ca="1">(IFERROR(IFERROR(VALUE(_xll.BDH(L$4,"PE_RATIO",$B123,$B123)),VALUE(_xll.BDH(L$4,"PE_RATIO",$B123+1,$B123+1))),L124))</f>
        <v>0</v>
      </c>
      <c r="M123" s="526">
        <f ca="1">(IFERROR(IFERROR(VALUE(_xll.BDH(M$4,"PE_RATIO",$B123,$B123)),VALUE(_xll.BDH(M$4,"PE_RATIO",$B123+1,$B123+1))),M124))</f>
        <v>0</v>
      </c>
      <c r="N123" s="526">
        <f ca="1">(IFERROR(IFERROR(VALUE(_xll.BDH(N$4,"PE_RATIO",$B123,$B123)),VALUE(_xll.BDH(N$4,"PE_RATIO",$B123+1,$B123+1))),N124))</f>
        <v>0</v>
      </c>
      <c r="O123" s="526">
        <f ca="1">(IFERROR(IFERROR(VALUE(_xll.BDH(O$4,"PE_RATIO",$B123,$B123)),VALUE(_xll.BDH(O$4,"PE_RATIO",$B123+1,$B123+1))),O124))</f>
        <v>0</v>
      </c>
      <c r="P123" s="526"/>
      <c r="Q123" s="530">
        <v>45082</v>
      </c>
      <c r="R123" s="4">
        <v>2.04</v>
      </c>
      <c r="S123" s="4">
        <v>14556.5</v>
      </c>
      <c r="T123" s="4">
        <v>5366.25</v>
      </c>
      <c r="U123" s="4">
        <v>0.89082969432314407</v>
      </c>
      <c r="V123" s="4">
        <v>1.2934385748850863</v>
      </c>
      <c r="W123" s="4">
        <v>1.4113056994001048</v>
      </c>
      <c r="Y123" s="526">
        <f t="shared" si="31"/>
        <v>2.04</v>
      </c>
      <c r="Z123" s="4">
        <f>IFERROR(VALUE(_xll.BDH(Z$4,"PX_LAST",$Q123,$Q123)),Z124)</f>
        <v>48.29</v>
      </c>
      <c r="AA123" s="4">
        <f>IFERROR(VALUE(_xll.BDH(AA$4,"PX_LAST",$Q123,$Q123)),AA124)</f>
        <v>27.36</v>
      </c>
      <c r="AB123" s="4">
        <f>IFERROR(VALUE(_xll.BDH(AB$4,"PX_LAST",$Q123,$Q123)),AB124)</f>
        <v>115.66</v>
      </c>
      <c r="AC123" s="4">
        <f>IFERROR(VALUE(_xll.BDH(AC$4,"PX_LAST",$Q123,$Q123)),AC124)</f>
        <v>8.36</v>
      </c>
      <c r="AD123" s="4">
        <f>IFERROR(VALUE(_xll.BDH(AD$4,"PX_LAST",$Q123,$Q123)),AD124)</f>
        <v>40.92</v>
      </c>
      <c r="AF123" s="4">
        <f t="shared" si="32"/>
        <v>0.89082969432314407</v>
      </c>
      <c r="AG123" s="4">
        <f t="shared" si="33"/>
        <v>1.6352861496782931</v>
      </c>
      <c r="AH123" s="4">
        <f t="shared" si="34"/>
        <v>0.9627023223082336</v>
      </c>
      <c r="AI123" s="4">
        <f t="shared" si="35"/>
        <v>1.2399228130360205</v>
      </c>
      <c r="AJ123" s="4">
        <f t="shared" si="36"/>
        <v>1.0410958904109588</v>
      </c>
      <c r="AK123" s="4">
        <f t="shared" si="37"/>
        <v>1.4008901061280383</v>
      </c>
      <c r="AM123" s="528">
        <v>45789</v>
      </c>
      <c r="AN123" s="529">
        <v>12.16</v>
      </c>
      <c r="AO123" s="529">
        <v>0</v>
      </c>
      <c r="AP123" s="529">
        <v>0</v>
      </c>
      <c r="AQ123" s="529">
        <v>-318.26246399999997</v>
      </c>
      <c r="AR123" s="529">
        <v>0</v>
      </c>
    </row>
    <row r="124" spans="2:44">
      <c r="B124" s="530">
        <f t="shared" ca="1" si="38"/>
        <v>45118</v>
      </c>
      <c r="C124" s="526">
        <f ca="1">(IFERROR(IFERROR(VALUE(_xll.BDH(C$4,"CURRENT_EV_TO_T12M_EBITDA",$B124,$B124)),VALUE(_xll.BDH(C$4,"CURRENT_EV_TO_T12M_EBITDA",$B124+1,$B124+1))),C125))</f>
        <v>0</v>
      </c>
      <c r="D124" s="526">
        <f ca="1">(IFERROR(IFERROR(VALUE(_xll.BDH(D$4,"CURRENT_EV_TO_T12M_EBITDA",$B124,$B124)),VALUE(_xll.BDH(D$4,"CURRENT_EV_TO_T12M_EBITDA",$B124+1,$B124+1))),D125))</f>
        <v>0</v>
      </c>
      <c r="E124" s="526">
        <f ca="1">(IFERROR(IFERROR(VALUE(_xll.BDH(E$4,"CURRENT_EV_TO_T12M_EBITDA",$B124,$B124)),VALUE(_xll.BDH(E$4,"CURRENT_EV_TO_T12M_EBITDA",$B124+1,$B124+1))),E125))</f>
        <v>0</v>
      </c>
      <c r="F124" s="526">
        <f ca="1">(IFERROR(IFERROR(VALUE(_xll.BDH(F$4,"CURRENT_EV_TO_T12M_EBITDA",$B124,$B124)),VALUE(_xll.BDH(F$4,"CURRENT_EV_TO_T12M_EBITDA",$B124+1,$B124+1))),F125))</f>
        <v>0</v>
      </c>
      <c r="G124" s="526">
        <f ca="1">(IFERROR(IFERROR(VALUE(_xll.BDH(G$4,"CURRENT_EV_TO_T12M_EBITDA",$B124,$B124)),VALUE(_xll.BDH(G$4,"CURRENT_EV_TO_T12M_EBITDA",$B124+1,$B124+1))),G125))</f>
        <v>0</v>
      </c>
      <c r="H124" s="526">
        <f ca="1">(IFERROR(IFERROR(VALUE(_xll.BDH(H$4,"CURRENT_EV_TO_T12M_EBITDA",$B124,$B124)),VALUE(_xll.BDH(H$4,"CURRENT_EV_TO_T12M_EBITDA",$B124+1,$B124+1))),H125))</f>
        <v>0</v>
      </c>
      <c r="I124" s="530">
        <f t="shared" ca="1" si="30"/>
        <v>45118</v>
      </c>
      <c r="J124" s="526">
        <f ca="1">(IFERROR(IFERROR(VALUE(_xll.BDH(J$4,"PE_RATIO",$B124,$B124)),VALUE(_xll.BDH(J$4,"PE_RATIO",$B124+1,$B124+1))),J125))</f>
        <v>0</v>
      </c>
      <c r="K124" s="526">
        <f ca="1">(IFERROR(IFERROR(VALUE(_xll.BDH(K$4,"PE_RATIO",$B124,$B124)),VALUE(_xll.BDH(K$4,"PE_RATIO",$B124+1,$B124+1))),K125))</f>
        <v>0</v>
      </c>
      <c r="L124" s="526">
        <f ca="1">(IFERROR(IFERROR(VALUE(_xll.BDH(L$4,"PE_RATIO",$B124,$B124)),VALUE(_xll.BDH(L$4,"PE_RATIO",$B124+1,$B124+1))),L125))</f>
        <v>0</v>
      </c>
      <c r="M124" s="526">
        <f ca="1">(IFERROR(IFERROR(VALUE(_xll.BDH(M$4,"PE_RATIO",$B124,$B124)),VALUE(_xll.BDH(M$4,"PE_RATIO",$B124+1,$B124+1))),M125))</f>
        <v>0</v>
      </c>
      <c r="N124" s="526">
        <f ca="1">(IFERROR(IFERROR(VALUE(_xll.BDH(N$4,"PE_RATIO",$B124,$B124)),VALUE(_xll.BDH(N$4,"PE_RATIO",$B124+1,$B124+1))),N125))</f>
        <v>0</v>
      </c>
      <c r="O124" s="526">
        <f ca="1">(IFERROR(IFERROR(VALUE(_xll.BDH(O$4,"PE_RATIO",$B124,$B124)),VALUE(_xll.BDH(O$4,"PE_RATIO",$B124+1,$B124+1))),O125))</f>
        <v>0</v>
      </c>
      <c r="P124" s="526"/>
      <c r="Q124" s="530">
        <v>45075</v>
      </c>
      <c r="R124" s="4">
        <v>2.2000000000000002</v>
      </c>
      <c r="S124" s="4">
        <v>13849.74</v>
      </c>
      <c r="T124" s="4">
        <v>5117.88</v>
      </c>
      <c r="U124" s="4">
        <v>0.9606986899563319</v>
      </c>
      <c r="V124" s="4">
        <v>1.230638406768727</v>
      </c>
      <c r="W124" s="4">
        <v>1.3459852248489743</v>
      </c>
      <c r="Y124" s="526">
        <f t="shared" si="31"/>
        <v>2.2000000000000002</v>
      </c>
      <c r="Z124" s="4">
        <f>IFERROR(VALUE(_xll.BDH(Z$4,"PX_LAST",$Q124,$Q124)),Z125)</f>
        <v>45.75</v>
      </c>
      <c r="AA124" s="4">
        <f>IFERROR(VALUE(_xll.BDH(AA$4,"PX_LAST",$Q124,$Q124)),AA125)</f>
        <v>26.46</v>
      </c>
      <c r="AB124" s="4">
        <f>IFERROR(VALUE(_xll.BDH(AB$4,"PX_LAST",$Q124,$Q124)),AB125)</f>
        <v>112.58</v>
      </c>
      <c r="AC124" s="4">
        <f>IFERROR(VALUE(_xll.BDH(AC$4,"PX_LAST",$Q124,$Q124)),AC125)</f>
        <v>8.76</v>
      </c>
      <c r="AD124" s="4">
        <f>IFERROR(VALUE(_xll.BDH(AD$4,"PX_LAST",$Q124,$Q124)),AD125)</f>
        <v>37.4</v>
      </c>
      <c r="AF124" s="4">
        <f t="shared" si="32"/>
        <v>0.9606986899563319</v>
      </c>
      <c r="AG124" s="4">
        <f t="shared" si="33"/>
        <v>1.5492719268540467</v>
      </c>
      <c r="AH124" s="4">
        <f t="shared" si="34"/>
        <v>0.93103448275862066</v>
      </c>
      <c r="AI124" s="4">
        <f t="shared" si="35"/>
        <v>1.2069039451114922</v>
      </c>
      <c r="AJ124" s="4">
        <f t="shared" si="36"/>
        <v>1.0909090909090911</v>
      </c>
      <c r="AK124" s="4">
        <f t="shared" si="37"/>
        <v>1.280383430332078</v>
      </c>
      <c r="AM124" s="528">
        <v>45788</v>
      </c>
      <c r="AN124" s="529">
        <v>11.64</v>
      </c>
      <c r="AO124" s="529">
        <v>-1948684</v>
      </c>
      <c r="AP124" s="529">
        <v>-52.345799999999997</v>
      </c>
      <c r="AQ124" s="529">
        <v>-913.95766800000001</v>
      </c>
      <c r="AR124" s="529">
        <v>-0.91600000000000004</v>
      </c>
    </row>
    <row r="125" spans="2:44">
      <c r="B125" s="530">
        <f t="shared" ca="1" si="38"/>
        <v>45111</v>
      </c>
      <c r="C125" s="526">
        <f ca="1">(IFERROR(IFERROR(VALUE(_xll.BDH(C$4,"CURRENT_EV_TO_T12M_EBITDA",$B125,$B125)),VALUE(_xll.BDH(C$4,"CURRENT_EV_TO_T12M_EBITDA",$B125+1,$B125+1))),C126))</f>
        <v>0</v>
      </c>
      <c r="D125" s="526">
        <f ca="1">(IFERROR(IFERROR(VALUE(_xll.BDH(D$4,"CURRENT_EV_TO_T12M_EBITDA",$B125,$B125)),VALUE(_xll.BDH(D$4,"CURRENT_EV_TO_T12M_EBITDA",$B125+1,$B125+1))),D126))</f>
        <v>0</v>
      </c>
      <c r="E125" s="526">
        <f ca="1">(IFERROR(IFERROR(VALUE(_xll.BDH(E$4,"CURRENT_EV_TO_T12M_EBITDA",$B125,$B125)),VALUE(_xll.BDH(E$4,"CURRENT_EV_TO_T12M_EBITDA",$B125+1,$B125+1))),E126))</f>
        <v>0</v>
      </c>
      <c r="F125" s="526">
        <f ca="1">(IFERROR(IFERROR(VALUE(_xll.BDH(F$4,"CURRENT_EV_TO_T12M_EBITDA",$B125,$B125)),VALUE(_xll.BDH(F$4,"CURRENT_EV_TO_T12M_EBITDA",$B125+1,$B125+1))),F126))</f>
        <v>0</v>
      </c>
      <c r="G125" s="526">
        <f ca="1">(IFERROR(IFERROR(VALUE(_xll.BDH(G$4,"CURRENT_EV_TO_T12M_EBITDA",$B125,$B125)),VALUE(_xll.BDH(G$4,"CURRENT_EV_TO_T12M_EBITDA",$B125+1,$B125+1))),G126))</f>
        <v>0</v>
      </c>
      <c r="H125" s="526">
        <f ca="1">(IFERROR(IFERROR(VALUE(_xll.BDH(H$4,"CURRENT_EV_TO_T12M_EBITDA",$B125,$B125)),VALUE(_xll.BDH(H$4,"CURRENT_EV_TO_T12M_EBITDA",$B125+1,$B125+1))),H126))</f>
        <v>0</v>
      </c>
      <c r="I125" s="530">
        <f t="shared" ca="1" si="30"/>
        <v>45111</v>
      </c>
      <c r="J125" s="526">
        <f ca="1">(IFERROR(IFERROR(VALUE(_xll.BDH(J$4,"PE_RATIO",$B125,$B125)),VALUE(_xll.BDH(J$4,"PE_RATIO",$B125+1,$B125+1))),J126))</f>
        <v>0</v>
      </c>
      <c r="K125" s="526">
        <f ca="1">(IFERROR(IFERROR(VALUE(_xll.BDH(K$4,"PE_RATIO",$B125,$B125)),VALUE(_xll.BDH(K$4,"PE_RATIO",$B125+1,$B125+1))),K126))</f>
        <v>0</v>
      </c>
      <c r="L125" s="526">
        <f ca="1">(IFERROR(IFERROR(VALUE(_xll.BDH(L$4,"PE_RATIO",$B125,$B125)),VALUE(_xll.BDH(L$4,"PE_RATIO",$B125+1,$B125+1))),L126))</f>
        <v>0</v>
      </c>
      <c r="M125" s="526">
        <f ca="1">(IFERROR(IFERROR(VALUE(_xll.BDH(M$4,"PE_RATIO",$B125,$B125)),VALUE(_xll.BDH(M$4,"PE_RATIO",$B125+1,$B125+1))),M126))</f>
        <v>0</v>
      </c>
      <c r="N125" s="526">
        <f ca="1">(IFERROR(IFERROR(VALUE(_xll.BDH(N$4,"PE_RATIO",$B125,$B125)),VALUE(_xll.BDH(N$4,"PE_RATIO",$B125+1,$B125+1))),N126))</f>
        <v>0</v>
      </c>
      <c r="O125" s="526">
        <f ca="1">(IFERROR(IFERROR(VALUE(_xll.BDH(O$4,"PE_RATIO",$B125,$B125)),VALUE(_xll.BDH(O$4,"PE_RATIO",$B125+1,$B125+1))),O126))</f>
        <v>0</v>
      </c>
      <c r="P125" s="526"/>
      <c r="Q125" s="530">
        <v>45068</v>
      </c>
      <c r="R125" s="4">
        <v>2.2000000000000002</v>
      </c>
      <c r="S125" s="4">
        <v>13849.74</v>
      </c>
      <c r="T125" s="4">
        <v>5117.88</v>
      </c>
      <c r="U125" s="4">
        <v>0.9606986899563319</v>
      </c>
      <c r="V125" s="4">
        <v>1.230638406768727</v>
      </c>
      <c r="W125" s="4">
        <v>1.3459852248489743</v>
      </c>
      <c r="Y125" s="526">
        <f t="shared" si="31"/>
        <v>2.2000000000000002</v>
      </c>
      <c r="Z125" s="4">
        <f>IFERROR(VALUE(_xll.BDH(Z$4,"PX_LAST",$Q125,$Q125)),Z126)</f>
        <v>45.75</v>
      </c>
      <c r="AA125" s="4">
        <f>IFERROR(VALUE(_xll.BDH(AA$4,"PX_LAST",$Q125,$Q125)),AA126)</f>
        <v>26.46</v>
      </c>
      <c r="AB125" s="4">
        <f>IFERROR(VALUE(_xll.BDH(AB$4,"PX_LAST",$Q125,$Q125)),AB126)</f>
        <v>112.58</v>
      </c>
      <c r="AC125" s="4">
        <f>IFERROR(VALUE(_xll.BDH(AC$4,"PX_LAST",$Q125,$Q125)),AC126)</f>
        <v>8.76</v>
      </c>
      <c r="AD125" s="4">
        <f>IFERROR(VALUE(_xll.BDH(AD$4,"PX_LAST",$Q125,$Q125)),AD126)</f>
        <v>37.4</v>
      </c>
      <c r="AF125" s="4">
        <f t="shared" si="32"/>
        <v>0.9606986899563319</v>
      </c>
      <c r="AG125" s="4">
        <f t="shared" si="33"/>
        <v>1.5492719268540467</v>
      </c>
      <c r="AH125" s="4">
        <f t="shared" si="34"/>
        <v>0.93103448275862066</v>
      </c>
      <c r="AI125" s="4">
        <f t="shared" si="35"/>
        <v>1.2069039451114922</v>
      </c>
      <c r="AJ125" s="4">
        <f t="shared" si="36"/>
        <v>1.0909090909090911</v>
      </c>
      <c r="AK125" s="4">
        <f t="shared" si="37"/>
        <v>1.280383430332078</v>
      </c>
      <c r="AM125" s="528">
        <v>45787</v>
      </c>
      <c r="AN125" s="529">
        <v>11.64</v>
      </c>
      <c r="AO125" s="529">
        <v>-974342</v>
      </c>
      <c r="AP125" s="529">
        <v>-26.172899999999998</v>
      </c>
      <c r="AQ125" s="529">
        <v>-609.30511200000001</v>
      </c>
      <c r="AR125" s="529">
        <v>-0.45800000000000002</v>
      </c>
    </row>
    <row r="126" spans="2:44">
      <c r="B126" s="530">
        <f t="shared" ca="1" si="38"/>
        <v>45104</v>
      </c>
      <c r="C126" s="526">
        <f ca="1">(IFERROR(IFERROR(VALUE(_xll.BDH(C$4,"CURRENT_EV_TO_T12M_EBITDA",$B126,$B126)),VALUE(_xll.BDH(C$4,"CURRENT_EV_TO_T12M_EBITDA",$B126+1,$B126+1))),C127))</f>
        <v>0</v>
      </c>
      <c r="D126" s="526">
        <f ca="1">(IFERROR(IFERROR(VALUE(_xll.BDH(D$4,"CURRENT_EV_TO_T12M_EBITDA",$B126,$B126)),VALUE(_xll.BDH(D$4,"CURRENT_EV_TO_T12M_EBITDA",$B126+1,$B126+1))),D127))</f>
        <v>0</v>
      </c>
      <c r="E126" s="526">
        <f ca="1">(IFERROR(IFERROR(VALUE(_xll.BDH(E$4,"CURRENT_EV_TO_T12M_EBITDA",$B126,$B126)),VALUE(_xll.BDH(E$4,"CURRENT_EV_TO_T12M_EBITDA",$B126+1,$B126+1))),E127))</f>
        <v>0</v>
      </c>
      <c r="F126" s="526">
        <f ca="1">(IFERROR(IFERROR(VALUE(_xll.BDH(F$4,"CURRENT_EV_TO_T12M_EBITDA",$B126,$B126)),VALUE(_xll.BDH(F$4,"CURRENT_EV_TO_T12M_EBITDA",$B126+1,$B126+1))),F127))</f>
        <v>0</v>
      </c>
      <c r="G126" s="526">
        <f ca="1">(IFERROR(IFERROR(VALUE(_xll.BDH(G$4,"CURRENT_EV_TO_T12M_EBITDA",$B126,$B126)),VALUE(_xll.BDH(G$4,"CURRENT_EV_TO_T12M_EBITDA",$B126+1,$B126+1))),G127))</f>
        <v>0</v>
      </c>
      <c r="H126" s="526">
        <f ca="1">(IFERROR(IFERROR(VALUE(_xll.BDH(H$4,"CURRENT_EV_TO_T12M_EBITDA",$B126,$B126)),VALUE(_xll.BDH(H$4,"CURRENT_EV_TO_T12M_EBITDA",$B126+1,$B126+1))),H127))</f>
        <v>0</v>
      </c>
      <c r="I126" s="530">
        <f t="shared" ca="1" si="30"/>
        <v>45104</v>
      </c>
      <c r="J126" s="526">
        <f ca="1">(IFERROR(IFERROR(VALUE(_xll.BDH(J$4,"PE_RATIO",$B126,$B126)),VALUE(_xll.BDH(J$4,"PE_RATIO",$B126+1,$B126+1))),J127))</f>
        <v>0</v>
      </c>
      <c r="K126" s="526">
        <f ca="1">(IFERROR(IFERROR(VALUE(_xll.BDH(K$4,"PE_RATIO",$B126,$B126)),VALUE(_xll.BDH(K$4,"PE_RATIO",$B126+1,$B126+1))),K127))</f>
        <v>0</v>
      </c>
      <c r="L126" s="526">
        <f ca="1">(IFERROR(IFERROR(VALUE(_xll.BDH(L$4,"PE_RATIO",$B126,$B126)),VALUE(_xll.BDH(L$4,"PE_RATIO",$B126+1,$B126+1))),L127))</f>
        <v>0</v>
      </c>
      <c r="M126" s="526">
        <f ca="1">(IFERROR(IFERROR(VALUE(_xll.BDH(M$4,"PE_RATIO",$B126,$B126)),VALUE(_xll.BDH(M$4,"PE_RATIO",$B126+1,$B126+1))),M127))</f>
        <v>0</v>
      </c>
      <c r="N126" s="526">
        <f ca="1">(IFERROR(IFERROR(VALUE(_xll.BDH(N$4,"PE_RATIO",$B126,$B126)),VALUE(_xll.BDH(N$4,"PE_RATIO",$B126+1,$B126+1))),N127))</f>
        <v>0</v>
      </c>
      <c r="O126" s="526">
        <f ca="1">(IFERROR(IFERROR(VALUE(_xll.BDH(O$4,"PE_RATIO",$B126,$B126)),VALUE(_xll.BDH(O$4,"PE_RATIO",$B126+1,$B126+1))),O127))</f>
        <v>0</v>
      </c>
      <c r="P126" s="526"/>
      <c r="Q126" s="530">
        <v>45061</v>
      </c>
      <c r="R126" s="4">
        <v>2.0699999999999998</v>
      </c>
      <c r="S126" s="4">
        <v>13413.51</v>
      </c>
      <c r="T126" s="4">
        <v>4911.3100000000004</v>
      </c>
      <c r="U126" s="4">
        <v>0.9039301310043667</v>
      </c>
      <c r="V126" s="4">
        <v>1.191876567760578</v>
      </c>
      <c r="W126" s="4">
        <v>1.2916580096940562</v>
      </c>
      <c r="Y126" s="526">
        <f t="shared" si="31"/>
        <v>2.0699999999999998</v>
      </c>
      <c r="Z126" s="4">
        <f>IFERROR(VALUE(_xll.BDH(Z$4,"PX_LAST",$Q126,$Q126)),Z127)</f>
        <v>43.2</v>
      </c>
      <c r="AA126" s="4">
        <f>IFERROR(VALUE(_xll.BDH(AA$4,"PX_LAST",$Q126,$Q126)),AA127)</f>
        <v>25.9</v>
      </c>
      <c r="AB126" s="4">
        <f>IFERROR(VALUE(_xll.BDH(AB$4,"PX_LAST",$Q126,$Q126)),AB127)</f>
        <v>103.78</v>
      </c>
      <c r="AC126" s="4">
        <f>IFERROR(VALUE(_xll.BDH(AC$4,"PX_LAST",$Q126,$Q126)),AC127)</f>
        <v>8.75</v>
      </c>
      <c r="AD126" s="4">
        <f>IFERROR(VALUE(_xll.BDH(AD$4,"PX_LAST",$Q126,$Q126)),AD127)</f>
        <v>36.28</v>
      </c>
      <c r="AF126" s="4">
        <f t="shared" si="32"/>
        <v>0.9039301310043667</v>
      </c>
      <c r="AG126" s="4">
        <f t="shared" si="33"/>
        <v>1.4629190653572639</v>
      </c>
      <c r="AH126" s="4">
        <f t="shared" si="34"/>
        <v>0.91133004926108363</v>
      </c>
      <c r="AI126" s="4">
        <f t="shared" si="35"/>
        <v>1.1125643224699828</v>
      </c>
      <c r="AJ126" s="4">
        <f t="shared" si="36"/>
        <v>1.0896637608966377</v>
      </c>
      <c r="AK126" s="4">
        <f t="shared" si="37"/>
        <v>1.2420403971242726</v>
      </c>
      <c r="AM126" s="528">
        <v>45786</v>
      </c>
      <c r="AN126" s="529">
        <v>11.64</v>
      </c>
      <c r="AO126" s="529">
        <v>0</v>
      </c>
      <c r="AP126" s="529">
        <v>0</v>
      </c>
      <c r="AQ126" s="529">
        <v>-304.652556</v>
      </c>
      <c r="AR126" s="529">
        <v>0</v>
      </c>
    </row>
    <row r="127" spans="2:44">
      <c r="B127" s="530">
        <f t="shared" ca="1" si="38"/>
        <v>45097</v>
      </c>
      <c r="C127" s="526">
        <f ca="1">(IFERROR(IFERROR(VALUE(_xll.BDH(C$4,"CURRENT_EV_TO_T12M_EBITDA",$B127,$B127)),VALUE(_xll.BDH(C$4,"CURRENT_EV_TO_T12M_EBITDA",$B127+1,$B127+1))),C128))</f>
        <v>0</v>
      </c>
      <c r="D127" s="526">
        <f ca="1">(IFERROR(IFERROR(VALUE(_xll.BDH(D$4,"CURRENT_EV_TO_T12M_EBITDA",$B127,$B127)),VALUE(_xll.BDH(D$4,"CURRENT_EV_TO_T12M_EBITDA",$B127+1,$B127+1))),D128))</f>
        <v>0</v>
      </c>
      <c r="E127" s="526">
        <f ca="1">(IFERROR(IFERROR(VALUE(_xll.BDH(E$4,"CURRENT_EV_TO_T12M_EBITDA",$B127,$B127)),VALUE(_xll.BDH(E$4,"CURRENT_EV_TO_T12M_EBITDA",$B127+1,$B127+1))),E128))</f>
        <v>0</v>
      </c>
      <c r="F127" s="526">
        <f ca="1">(IFERROR(IFERROR(VALUE(_xll.BDH(F$4,"CURRENT_EV_TO_T12M_EBITDA",$B127,$B127)),VALUE(_xll.BDH(F$4,"CURRENT_EV_TO_T12M_EBITDA",$B127+1,$B127+1))),F128))</f>
        <v>0</v>
      </c>
      <c r="G127" s="526">
        <f ca="1">(IFERROR(IFERROR(VALUE(_xll.BDH(G$4,"CURRENT_EV_TO_T12M_EBITDA",$B127,$B127)),VALUE(_xll.BDH(G$4,"CURRENT_EV_TO_T12M_EBITDA",$B127+1,$B127+1))),G128))</f>
        <v>0</v>
      </c>
      <c r="H127" s="526">
        <f ca="1">(IFERROR(IFERROR(VALUE(_xll.BDH(H$4,"CURRENT_EV_TO_T12M_EBITDA",$B127,$B127)),VALUE(_xll.BDH(H$4,"CURRENT_EV_TO_T12M_EBITDA",$B127+1,$B127+1))),H128))</f>
        <v>0</v>
      </c>
      <c r="I127" s="530">
        <f t="shared" ca="1" si="30"/>
        <v>45097</v>
      </c>
      <c r="J127" s="526">
        <f ca="1">(IFERROR(IFERROR(VALUE(_xll.BDH(J$4,"PE_RATIO",$B127,$B127)),VALUE(_xll.BDH(J$4,"PE_RATIO",$B127+1,$B127+1))),J128))</f>
        <v>0</v>
      </c>
      <c r="K127" s="526">
        <f ca="1">(IFERROR(IFERROR(VALUE(_xll.BDH(K$4,"PE_RATIO",$B127,$B127)),VALUE(_xll.BDH(K$4,"PE_RATIO",$B127+1,$B127+1))),K128))</f>
        <v>0</v>
      </c>
      <c r="L127" s="526">
        <f ca="1">(IFERROR(IFERROR(VALUE(_xll.BDH(L$4,"PE_RATIO",$B127,$B127)),VALUE(_xll.BDH(L$4,"PE_RATIO",$B127+1,$B127+1))),L128))</f>
        <v>0</v>
      </c>
      <c r="M127" s="526">
        <f ca="1">(IFERROR(IFERROR(VALUE(_xll.BDH(M$4,"PE_RATIO",$B127,$B127)),VALUE(_xll.BDH(M$4,"PE_RATIO",$B127+1,$B127+1))),M128))</f>
        <v>0</v>
      </c>
      <c r="N127" s="526">
        <f ca="1">(IFERROR(IFERROR(VALUE(_xll.BDH(N$4,"PE_RATIO",$B127,$B127)),VALUE(_xll.BDH(N$4,"PE_RATIO",$B127+1,$B127+1))),N128))</f>
        <v>0</v>
      </c>
      <c r="O127" s="526">
        <f ca="1">(IFERROR(IFERROR(VALUE(_xll.BDH(O$4,"PE_RATIO",$B127,$B127)),VALUE(_xll.BDH(O$4,"PE_RATIO",$B127+1,$B127+1))),O128))</f>
        <v>0</v>
      </c>
      <c r="P127" s="526"/>
      <c r="Q127" s="530">
        <v>45054</v>
      </c>
      <c r="R127" s="4">
        <v>2.0299999999999998</v>
      </c>
      <c r="S127" s="4">
        <v>13291.64</v>
      </c>
      <c r="T127" s="4">
        <v>4880.68</v>
      </c>
      <c r="U127" s="4">
        <v>0.88646288209606972</v>
      </c>
      <c r="V127" s="4">
        <v>1.1810476350417758</v>
      </c>
      <c r="W127" s="4">
        <v>1.2836024227250133</v>
      </c>
      <c r="Y127" s="526">
        <f t="shared" si="31"/>
        <v>2.0299999999999998</v>
      </c>
      <c r="Z127" s="4">
        <f>IFERROR(VALUE(_xll.BDH(Z$4,"PX_LAST",$Q127,$Q127)),Z128)</f>
        <v>42.91</v>
      </c>
      <c r="AA127" s="4">
        <f>IFERROR(VALUE(_xll.BDH(AA$4,"PX_LAST",$Q127,$Q127)),AA128)</f>
        <v>26.69</v>
      </c>
      <c r="AB127" s="4">
        <f>IFERROR(VALUE(_xll.BDH(AB$4,"PX_LAST",$Q127,$Q127)),AB128)</f>
        <v>112.57</v>
      </c>
      <c r="AC127" s="4">
        <f>IFERROR(VALUE(_xll.BDH(AC$4,"PX_LAST",$Q127,$Q127)),AC128)</f>
        <v>9.01</v>
      </c>
      <c r="AD127" s="4">
        <f>IFERROR(VALUE(_xll.BDH(AD$4,"PX_LAST",$Q127,$Q127)),AD128)</f>
        <v>35.78</v>
      </c>
      <c r="AF127" s="4">
        <f t="shared" si="32"/>
        <v>0.88646288209606972</v>
      </c>
      <c r="AG127" s="4">
        <f t="shared" si="33"/>
        <v>1.4530985438537078</v>
      </c>
      <c r="AH127" s="4">
        <f t="shared" si="34"/>
        <v>0.93912737508796618</v>
      </c>
      <c r="AI127" s="4">
        <f t="shared" si="35"/>
        <v>1.2067967409948541</v>
      </c>
      <c r="AJ127" s="4">
        <f t="shared" si="36"/>
        <v>1.1220423412204235</v>
      </c>
      <c r="AK127" s="4">
        <f t="shared" si="37"/>
        <v>1.2249229715850736</v>
      </c>
      <c r="AM127" s="528">
        <v>45785</v>
      </c>
      <c r="AN127" s="529">
        <v>11.61</v>
      </c>
      <c r="AO127" s="529">
        <v>0</v>
      </c>
      <c r="AP127" s="529">
        <v>0</v>
      </c>
      <c r="AQ127" s="529">
        <v>-299.13919649999997</v>
      </c>
      <c r="AR127" s="529">
        <v>0</v>
      </c>
    </row>
    <row r="128" spans="2:44">
      <c r="B128" s="530">
        <f t="shared" ca="1" si="38"/>
        <v>45090</v>
      </c>
      <c r="C128" s="526">
        <f ca="1">(IFERROR(IFERROR(VALUE(_xll.BDH(C$4,"CURRENT_EV_TO_T12M_EBITDA",$B128,$B128)),VALUE(_xll.BDH(C$4,"CURRENT_EV_TO_T12M_EBITDA",$B128+1,$B128+1))),C129))</f>
        <v>0</v>
      </c>
      <c r="D128" s="526">
        <f ca="1">(IFERROR(IFERROR(VALUE(_xll.BDH(D$4,"CURRENT_EV_TO_T12M_EBITDA",$B128,$B128)),VALUE(_xll.BDH(D$4,"CURRENT_EV_TO_T12M_EBITDA",$B128+1,$B128+1))),D129))</f>
        <v>0</v>
      </c>
      <c r="E128" s="526">
        <f ca="1">(IFERROR(IFERROR(VALUE(_xll.BDH(E$4,"CURRENT_EV_TO_T12M_EBITDA",$B128,$B128)),VALUE(_xll.BDH(E$4,"CURRENT_EV_TO_T12M_EBITDA",$B128+1,$B128+1))),E129))</f>
        <v>0</v>
      </c>
      <c r="F128" s="526">
        <f ca="1">(IFERROR(IFERROR(VALUE(_xll.BDH(F$4,"CURRENT_EV_TO_T12M_EBITDA",$B128,$B128)),VALUE(_xll.BDH(F$4,"CURRENT_EV_TO_T12M_EBITDA",$B128+1,$B128+1))),F129))</f>
        <v>0</v>
      </c>
      <c r="G128" s="526">
        <f ca="1">(IFERROR(IFERROR(VALUE(_xll.BDH(G$4,"CURRENT_EV_TO_T12M_EBITDA",$B128,$B128)),VALUE(_xll.BDH(G$4,"CURRENT_EV_TO_T12M_EBITDA",$B128+1,$B128+1))),G129))</f>
        <v>0</v>
      </c>
      <c r="H128" s="526">
        <f ca="1">(IFERROR(IFERROR(VALUE(_xll.BDH(H$4,"CURRENT_EV_TO_T12M_EBITDA",$B128,$B128)),VALUE(_xll.BDH(H$4,"CURRENT_EV_TO_T12M_EBITDA",$B128+1,$B128+1))),H129))</f>
        <v>0</v>
      </c>
      <c r="I128" s="530">
        <f t="shared" ca="1" si="30"/>
        <v>45090</v>
      </c>
      <c r="J128" s="526">
        <f ca="1">(IFERROR(IFERROR(VALUE(_xll.BDH(J$4,"PE_RATIO",$B128,$B128)),VALUE(_xll.BDH(J$4,"PE_RATIO",$B128+1,$B128+1))),J129))</f>
        <v>0</v>
      </c>
      <c r="K128" s="526">
        <f ca="1">(IFERROR(IFERROR(VALUE(_xll.BDH(K$4,"PE_RATIO",$B128,$B128)),VALUE(_xll.BDH(K$4,"PE_RATIO",$B128+1,$B128+1))),K129))</f>
        <v>0</v>
      </c>
      <c r="L128" s="526">
        <f ca="1">(IFERROR(IFERROR(VALUE(_xll.BDH(L$4,"PE_RATIO",$B128,$B128)),VALUE(_xll.BDH(L$4,"PE_RATIO",$B128+1,$B128+1))),L129))</f>
        <v>0</v>
      </c>
      <c r="M128" s="526">
        <f ca="1">(IFERROR(IFERROR(VALUE(_xll.BDH(M$4,"PE_RATIO",$B128,$B128)),VALUE(_xll.BDH(M$4,"PE_RATIO",$B128+1,$B128+1))),M129))</f>
        <v>0</v>
      </c>
      <c r="N128" s="526">
        <f ca="1">(IFERROR(IFERROR(VALUE(_xll.BDH(N$4,"PE_RATIO",$B128,$B128)),VALUE(_xll.BDH(N$4,"PE_RATIO",$B128+1,$B128+1))),N129))</f>
        <v>0</v>
      </c>
      <c r="O128" s="526">
        <f ca="1">(IFERROR(IFERROR(VALUE(_xll.BDH(O$4,"PE_RATIO",$B128,$B128)),VALUE(_xll.BDH(O$4,"PE_RATIO",$B128+1,$B128+1))),O129))</f>
        <v>0</v>
      </c>
      <c r="P128" s="526"/>
      <c r="Q128" s="530">
        <v>45047</v>
      </c>
      <c r="R128" s="4">
        <v>1.88</v>
      </c>
      <c r="S128" s="4">
        <v>13231.47</v>
      </c>
      <c r="T128" s="4">
        <v>4875.3500000000004</v>
      </c>
      <c r="U128" s="4">
        <v>0.82096069868995625</v>
      </c>
      <c r="V128" s="4">
        <v>1.1757011438487805</v>
      </c>
      <c r="W128" s="4">
        <v>1.2822006506536783</v>
      </c>
      <c r="Y128" s="526">
        <f t="shared" si="31"/>
        <v>1.88</v>
      </c>
      <c r="Z128" s="4">
        <f>IFERROR(VALUE(_xll.BDH(Z$4,"PX_LAST",$Q128,$Q128)),Z129)</f>
        <v>44.67</v>
      </c>
      <c r="AA128" s="4">
        <f>IFERROR(VALUE(_xll.BDH(AA$4,"PX_LAST",$Q128,$Q128)),AA129)</f>
        <v>26.53</v>
      </c>
      <c r="AB128" s="4">
        <f>IFERROR(VALUE(_xll.BDH(AB$4,"PX_LAST",$Q128,$Q128)),AB129)</f>
        <v>98.62</v>
      </c>
      <c r="AC128" s="4">
        <f>IFERROR(VALUE(_xll.BDH(AC$4,"PX_LAST",$Q128,$Q128)),AC129)</f>
        <v>8.7799999999999994</v>
      </c>
      <c r="AD128" s="4">
        <f>IFERROR(VALUE(_xll.BDH(AD$4,"PX_LAST",$Q128,$Q128)),AD129)</f>
        <v>38.909999999999997</v>
      </c>
      <c r="AF128" s="4">
        <f t="shared" si="32"/>
        <v>0.82096069868995625</v>
      </c>
      <c r="AG128" s="4">
        <f t="shared" si="33"/>
        <v>1.5126989502201151</v>
      </c>
      <c r="AH128" s="4">
        <f t="shared" si="34"/>
        <v>0.93349753694581283</v>
      </c>
      <c r="AI128" s="4">
        <f t="shared" si="35"/>
        <v>1.0572469982847341</v>
      </c>
      <c r="AJ128" s="4">
        <f t="shared" si="36"/>
        <v>1.0933997509339974</v>
      </c>
      <c r="AK128" s="4">
        <f t="shared" si="37"/>
        <v>1.3320780554604585</v>
      </c>
      <c r="AM128" s="528">
        <v>45784</v>
      </c>
      <c r="AN128" s="529">
        <v>10.84</v>
      </c>
      <c r="AO128" s="529">
        <v>0</v>
      </c>
      <c r="AP128" s="529">
        <v>0</v>
      </c>
      <c r="AQ128" s="529">
        <v>-279.299646</v>
      </c>
      <c r="AR128" s="529">
        <v>0</v>
      </c>
    </row>
    <row r="129" spans="2:44">
      <c r="B129" s="530">
        <f t="shared" ca="1" si="38"/>
        <v>45083</v>
      </c>
      <c r="C129" s="526">
        <f ca="1">(IFERROR(IFERROR(VALUE(_xll.BDH(C$4,"CURRENT_EV_TO_T12M_EBITDA",$B129,$B129)),VALUE(_xll.BDH(C$4,"CURRENT_EV_TO_T12M_EBITDA",$B129+1,$B129+1))),C130))</f>
        <v>0</v>
      </c>
      <c r="D129" s="526">
        <f ca="1">(IFERROR(IFERROR(VALUE(_xll.BDH(D$4,"CURRENT_EV_TO_T12M_EBITDA",$B129,$B129)),VALUE(_xll.BDH(D$4,"CURRENT_EV_TO_T12M_EBITDA",$B129+1,$B129+1))),D130))</f>
        <v>0</v>
      </c>
      <c r="E129" s="526">
        <f ca="1">(IFERROR(IFERROR(VALUE(_xll.BDH(E$4,"CURRENT_EV_TO_T12M_EBITDA",$B129,$B129)),VALUE(_xll.BDH(E$4,"CURRENT_EV_TO_T12M_EBITDA",$B129+1,$B129+1))),E130))</f>
        <v>0</v>
      </c>
      <c r="F129" s="526">
        <f ca="1">(IFERROR(IFERROR(VALUE(_xll.BDH(F$4,"CURRENT_EV_TO_T12M_EBITDA",$B129,$B129)),VALUE(_xll.BDH(F$4,"CURRENT_EV_TO_T12M_EBITDA",$B129+1,$B129+1))),F130))</f>
        <v>0</v>
      </c>
      <c r="G129" s="526">
        <f ca="1">(IFERROR(IFERROR(VALUE(_xll.BDH(G$4,"CURRENT_EV_TO_T12M_EBITDA",$B129,$B129)),VALUE(_xll.BDH(G$4,"CURRENT_EV_TO_T12M_EBITDA",$B129+1,$B129+1))),G130))</f>
        <v>0</v>
      </c>
      <c r="H129" s="526">
        <f ca="1">(IFERROR(IFERROR(VALUE(_xll.BDH(H$4,"CURRENT_EV_TO_T12M_EBITDA",$B129,$B129)),VALUE(_xll.BDH(H$4,"CURRENT_EV_TO_T12M_EBITDA",$B129+1,$B129+1))),H130))</f>
        <v>0</v>
      </c>
      <c r="I129" s="530">
        <f t="shared" ca="1" si="30"/>
        <v>45083</v>
      </c>
      <c r="J129" s="526">
        <f ca="1">(IFERROR(IFERROR(VALUE(_xll.BDH(J$4,"PE_RATIO",$B129,$B129)),VALUE(_xll.BDH(J$4,"PE_RATIO",$B129+1,$B129+1))),J130))</f>
        <v>0</v>
      </c>
      <c r="K129" s="526">
        <f ca="1">(IFERROR(IFERROR(VALUE(_xll.BDH(K$4,"PE_RATIO",$B129,$B129)),VALUE(_xll.BDH(K$4,"PE_RATIO",$B129+1,$B129+1))),K130))</f>
        <v>0</v>
      </c>
      <c r="L129" s="526">
        <f ca="1">(IFERROR(IFERROR(VALUE(_xll.BDH(L$4,"PE_RATIO",$B129,$B129)),VALUE(_xll.BDH(L$4,"PE_RATIO",$B129+1,$B129+1))),L130))</f>
        <v>0</v>
      </c>
      <c r="M129" s="526">
        <f ca="1">(IFERROR(IFERROR(VALUE(_xll.BDH(M$4,"PE_RATIO",$B129,$B129)),VALUE(_xll.BDH(M$4,"PE_RATIO",$B129+1,$B129+1))),M130))</f>
        <v>0</v>
      </c>
      <c r="N129" s="526">
        <f ca="1">(IFERROR(IFERROR(VALUE(_xll.BDH(N$4,"PE_RATIO",$B129,$B129)),VALUE(_xll.BDH(N$4,"PE_RATIO",$B129+1,$B129+1))),N130))</f>
        <v>0</v>
      </c>
      <c r="O129" s="526">
        <f ca="1">(IFERROR(IFERROR(VALUE(_xll.BDH(O$4,"PE_RATIO",$B129,$B129)),VALUE(_xll.BDH(O$4,"PE_RATIO",$B129+1,$B129+1))),O130))</f>
        <v>0</v>
      </c>
      <c r="P129" s="526"/>
      <c r="Q129" s="530">
        <v>45040</v>
      </c>
      <c r="R129" s="4">
        <v>1.92</v>
      </c>
      <c r="S129" s="4">
        <v>12969.76</v>
      </c>
      <c r="T129" s="4">
        <v>4627.9799999999996</v>
      </c>
      <c r="U129" s="4">
        <v>0.83842794759825323</v>
      </c>
      <c r="V129" s="4">
        <v>1.1524465284238381</v>
      </c>
      <c r="W129" s="4">
        <v>1.2171431727388207</v>
      </c>
      <c r="Y129" s="526">
        <f t="shared" si="31"/>
        <v>1.92</v>
      </c>
      <c r="Z129" s="4">
        <f>IFERROR(VALUE(_xll.BDH(Z$4,"PX_LAST",$Q129,$Q129)),Z130)</f>
        <v>48.6</v>
      </c>
      <c r="AA129" s="4">
        <f>IFERROR(VALUE(_xll.BDH(AA$4,"PX_LAST",$Q129,$Q129)),AA130)</f>
        <v>26.96</v>
      </c>
      <c r="AB129" s="4">
        <f>IFERROR(VALUE(_xll.BDH(AB$4,"PX_LAST",$Q129,$Q129)),AB130)</f>
        <v>93.54</v>
      </c>
      <c r="AC129" s="4">
        <f>IFERROR(VALUE(_xll.BDH(AC$4,"PX_LAST",$Q129,$Q129)),AC130)</f>
        <v>8.7200000000000006</v>
      </c>
      <c r="AD129" s="4">
        <f>IFERROR(VALUE(_xll.BDH(AD$4,"PX_LAST",$Q129,$Q129)),AD130)</f>
        <v>38.61</v>
      </c>
      <c r="AF129" s="4">
        <f t="shared" si="32"/>
        <v>0.83842794759825323</v>
      </c>
      <c r="AG129" s="4">
        <f t="shared" si="33"/>
        <v>1.6457839485269217</v>
      </c>
      <c r="AH129" s="4">
        <f t="shared" si="34"/>
        <v>0.94862772695285003</v>
      </c>
      <c r="AI129" s="4">
        <f t="shared" si="35"/>
        <v>1.0027873070325901</v>
      </c>
      <c r="AJ129" s="4">
        <f t="shared" si="36"/>
        <v>1.0859277708592778</v>
      </c>
      <c r="AK129" s="4">
        <f t="shared" si="37"/>
        <v>1.3218076001369394</v>
      </c>
      <c r="AM129" s="528">
        <v>45783</v>
      </c>
      <c r="AN129" s="529">
        <v>9.6999999999999993</v>
      </c>
      <c r="AO129" s="529">
        <v>0</v>
      </c>
      <c r="AP129" s="529">
        <v>0</v>
      </c>
      <c r="AQ129" s="529">
        <v>-249.926805</v>
      </c>
      <c r="AR129" s="529">
        <v>0</v>
      </c>
    </row>
    <row r="130" spans="2:44">
      <c r="B130" s="530">
        <f t="shared" ca="1" si="38"/>
        <v>45076</v>
      </c>
      <c r="C130" s="526">
        <f ca="1">(IFERROR(IFERROR(VALUE(_xll.BDH(C$4,"CURRENT_EV_TO_T12M_EBITDA",$B130,$B130)),VALUE(_xll.BDH(C$4,"CURRENT_EV_TO_T12M_EBITDA",$B130+1,$B130+1))),C131))</f>
        <v>0</v>
      </c>
      <c r="D130" s="526">
        <f ca="1">(IFERROR(IFERROR(VALUE(_xll.BDH(D$4,"CURRENT_EV_TO_T12M_EBITDA",$B130,$B130)),VALUE(_xll.BDH(D$4,"CURRENT_EV_TO_T12M_EBITDA",$B130+1,$B130+1))),D131))</f>
        <v>0</v>
      </c>
      <c r="E130" s="526">
        <f ca="1">(IFERROR(IFERROR(VALUE(_xll.BDH(E$4,"CURRENT_EV_TO_T12M_EBITDA",$B130,$B130)),VALUE(_xll.BDH(E$4,"CURRENT_EV_TO_T12M_EBITDA",$B130+1,$B130+1))),E131))</f>
        <v>0</v>
      </c>
      <c r="F130" s="526">
        <f ca="1">(IFERROR(IFERROR(VALUE(_xll.BDH(F$4,"CURRENT_EV_TO_T12M_EBITDA",$B130,$B130)),VALUE(_xll.BDH(F$4,"CURRENT_EV_TO_T12M_EBITDA",$B130+1,$B130+1))),F131))</f>
        <v>0</v>
      </c>
      <c r="G130" s="526">
        <f ca="1">(IFERROR(IFERROR(VALUE(_xll.BDH(G$4,"CURRENT_EV_TO_T12M_EBITDA",$B130,$B130)),VALUE(_xll.BDH(G$4,"CURRENT_EV_TO_T12M_EBITDA",$B130+1,$B130+1))),G131))</f>
        <v>0</v>
      </c>
      <c r="H130" s="526">
        <f ca="1">(IFERROR(IFERROR(VALUE(_xll.BDH(H$4,"CURRENT_EV_TO_T12M_EBITDA",$B130,$B130)),VALUE(_xll.BDH(H$4,"CURRENT_EV_TO_T12M_EBITDA",$B130+1,$B130+1))),H131))</f>
        <v>0</v>
      </c>
      <c r="I130" s="530">
        <f t="shared" ca="1" si="30"/>
        <v>45076</v>
      </c>
      <c r="J130" s="526">
        <f ca="1">(IFERROR(IFERROR(VALUE(_xll.BDH(J$4,"PE_RATIO",$B130,$B130)),VALUE(_xll.BDH(J$4,"PE_RATIO",$B130+1,$B130+1))),J131))</f>
        <v>0</v>
      </c>
      <c r="K130" s="526">
        <f ca="1">(IFERROR(IFERROR(VALUE(_xll.BDH(K$4,"PE_RATIO",$B130,$B130)),VALUE(_xll.BDH(K$4,"PE_RATIO",$B130+1,$B130+1))),K131))</f>
        <v>0</v>
      </c>
      <c r="L130" s="526">
        <f ca="1">(IFERROR(IFERROR(VALUE(_xll.BDH(L$4,"PE_RATIO",$B130,$B130)),VALUE(_xll.BDH(L$4,"PE_RATIO",$B130+1,$B130+1))),L131))</f>
        <v>0</v>
      </c>
      <c r="M130" s="526">
        <f ca="1">(IFERROR(IFERROR(VALUE(_xll.BDH(M$4,"PE_RATIO",$B130,$B130)),VALUE(_xll.BDH(M$4,"PE_RATIO",$B130+1,$B130+1))),M131))</f>
        <v>0</v>
      </c>
      <c r="N130" s="526">
        <f ca="1">(IFERROR(IFERROR(VALUE(_xll.BDH(N$4,"PE_RATIO",$B130,$B130)),VALUE(_xll.BDH(N$4,"PE_RATIO",$B130+1,$B130+1))),N131))</f>
        <v>0</v>
      </c>
      <c r="O130" s="526">
        <f ca="1">(IFERROR(IFERROR(VALUE(_xll.BDH(O$4,"PE_RATIO",$B130,$B130)),VALUE(_xll.BDH(O$4,"PE_RATIO",$B130+1,$B130+1))),O131))</f>
        <v>0</v>
      </c>
      <c r="P130" s="526"/>
      <c r="Q130" s="530">
        <v>45033</v>
      </c>
      <c r="R130" s="4">
        <v>2.0499999999999998</v>
      </c>
      <c r="S130" s="4">
        <v>13087.71</v>
      </c>
      <c r="T130" s="4">
        <v>4708.75</v>
      </c>
      <c r="U130" s="4">
        <v>0.89519650655021821</v>
      </c>
      <c r="V130" s="4">
        <v>1.1629271439500768</v>
      </c>
      <c r="W130" s="4">
        <v>1.2383854110505927</v>
      </c>
      <c r="Y130" s="526">
        <f t="shared" si="31"/>
        <v>2.0499999999999998</v>
      </c>
      <c r="Z130" s="4">
        <f>IFERROR(VALUE(_xll.BDH(Z$4,"PX_LAST",$Q130,$Q130)),Z131)</f>
        <v>46.44</v>
      </c>
      <c r="AA130" s="4">
        <f>IFERROR(VALUE(_xll.BDH(AA$4,"PX_LAST",$Q130,$Q130)),AA131)</f>
        <v>26.75</v>
      </c>
      <c r="AB130" s="4">
        <f>IFERROR(VALUE(_xll.BDH(AB$4,"PX_LAST",$Q130,$Q130)),AB131)</f>
        <v>83.62</v>
      </c>
      <c r="AC130" s="4">
        <f>IFERROR(VALUE(_xll.BDH(AC$4,"PX_LAST",$Q130,$Q130)),AC131)</f>
        <v>9.01</v>
      </c>
      <c r="AD130" s="4">
        <f>IFERROR(VALUE(_xll.BDH(AD$4,"PX_LAST",$Q130,$Q130)),AD131)</f>
        <v>38.049999999999997</v>
      </c>
      <c r="AF130" s="4">
        <f t="shared" si="32"/>
        <v>0.89519650655021821</v>
      </c>
      <c r="AG130" s="4">
        <f t="shared" si="33"/>
        <v>1.5726379952590583</v>
      </c>
      <c r="AH130" s="4">
        <f t="shared" si="34"/>
        <v>0.94123856439127374</v>
      </c>
      <c r="AI130" s="4">
        <f t="shared" si="35"/>
        <v>0.89644082332761577</v>
      </c>
      <c r="AJ130" s="4">
        <f t="shared" si="36"/>
        <v>1.1220423412204235</v>
      </c>
      <c r="AK130" s="4">
        <f t="shared" si="37"/>
        <v>1.3026360835330364</v>
      </c>
      <c r="AM130" s="528">
        <v>45782</v>
      </c>
      <c r="AN130" s="529">
        <v>9.86</v>
      </c>
      <c r="AO130" s="529">
        <v>0</v>
      </c>
      <c r="AP130" s="529">
        <v>0</v>
      </c>
      <c r="AQ130" s="529">
        <v>-254.04930899999999</v>
      </c>
      <c r="AR130" s="529">
        <v>0</v>
      </c>
    </row>
    <row r="131" spans="2:44">
      <c r="B131" s="530">
        <f t="shared" ca="1" si="38"/>
        <v>45069</v>
      </c>
      <c r="C131" s="526">
        <f ca="1">(IFERROR(IFERROR(VALUE(_xll.BDH(C$4,"CURRENT_EV_TO_T12M_EBITDA",$B131,$B131)),VALUE(_xll.BDH(C$4,"CURRENT_EV_TO_T12M_EBITDA",$B131+1,$B131+1))),C132))</f>
        <v>0</v>
      </c>
      <c r="D131" s="526">
        <f ca="1">(IFERROR(IFERROR(VALUE(_xll.BDH(D$4,"CURRENT_EV_TO_T12M_EBITDA",$B131,$B131)),VALUE(_xll.BDH(D$4,"CURRENT_EV_TO_T12M_EBITDA",$B131+1,$B131+1))),D132))</f>
        <v>0</v>
      </c>
      <c r="E131" s="526">
        <f ca="1">(IFERROR(IFERROR(VALUE(_xll.BDH(E$4,"CURRENT_EV_TO_T12M_EBITDA",$B131,$B131)),VALUE(_xll.BDH(E$4,"CURRENT_EV_TO_T12M_EBITDA",$B131+1,$B131+1))),E132))</f>
        <v>0</v>
      </c>
      <c r="F131" s="526">
        <f ca="1">(IFERROR(IFERROR(VALUE(_xll.BDH(F$4,"CURRENT_EV_TO_T12M_EBITDA",$B131,$B131)),VALUE(_xll.BDH(F$4,"CURRENT_EV_TO_T12M_EBITDA",$B131+1,$B131+1))),F132))</f>
        <v>0</v>
      </c>
      <c r="G131" s="526">
        <f ca="1">(IFERROR(IFERROR(VALUE(_xll.BDH(G$4,"CURRENT_EV_TO_T12M_EBITDA",$B131,$B131)),VALUE(_xll.BDH(G$4,"CURRENT_EV_TO_T12M_EBITDA",$B131+1,$B131+1))),G132))</f>
        <v>0</v>
      </c>
      <c r="H131" s="526">
        <f ca="1">(IFERROR(IFERROR(VALUE(_xll.BDH(H$4,"CURRENT_EV_TO_T12M_EBITDA",$B131,$B131)),VALUE(_xll.BDH(H$4,"CURRENT_EV_TO_T12M_EBITDA",$B131+1,$B131+1))),H132))</f>
        <v>0</v>
      </c>
      <c r="I131" s="530">
        <f t="shared" ca="1" si="30"/>
        <v>45069</v>
      </c>
      <c r="J131" s="526">
        <f ca="1">(IFERROR(IFERROR(VALUE(_xll.BDH(J$4,"PE_RATIO",$B131,$B131)),VALUE(_xll.BDH(J$4,"PE_RATIO",$B131+1,$B131+1))),J132))</f>
        <v>0</v>
      </c>
      <c r="K131" s="526">
        <f ca="1">(IFERROR(IFERROR(VALUE(_xll.BDH(K$4,"PE_RATIO",$B131,$B131)),VALUE(_xll.BDH(K$4,"PE_RATIO",$B131+1,$B131+1))),K132))</f>
        <v>0</v>
      </c>
      <c r="L131" s="526">
        <f ca="1">(IFERROR(IFERROR(VALUE(_xll.BDH(L$4,"PE_RATIO",$B131,$B131)),VALUE(_xll.BDH(L$4,"PE_RATIO",$B131+1,$B131+1))),L132))</f>
        <v>0</v>
      </c>
      <c r="M131" s="526">
        <f ca="1">(IFERROR(IFERROR(VALUE(_xll.BDH(M$4,"PE_RATIO",$B131,$B131)),VALUE(_xll.BDH(M$4,"PE_RATIO",$B131+1,$B131+1))),M132))</f>
        <v>0</v>
      </c>
      <c r="N131" s="526">
        <f ca="1">(IFERROR(IFERROR(VALUE(_xll.BDH(N$4,"PE_RATIO",$B131,$B131)),VALUE(_xll.BDH(N$4,"PE_RATIO",$B131+1,$B131+1))),N132))</f>
        <v>0</v>
      </c>
      <c r="O131" s="526">
        <f ca="1">(IFERROR(IFERROR(VALUE(_xll.BDH(O$4,"PE_RATIO",$B131,$B131)),VALUE(_xll.BDH(O$4,"PE_RATIO",$B131+1,$B131+1))),O132))</f>
        <v>0</v>
      </c>
      <c r="P131" s="526"/>
      <c r="Q131" s="530">
        <v>45026</v>
      </c>
      <c r="R131" s="4">
        <v>1.99</v>
      </c>
      <c r="S131" s="4">
        <v>13051.23</v>
      </c>
      <c r="T131" s="4">
        <v>4700.18</v>
      </c>
      <c r="U131" s="4">
        <v>0.86899563318777295</v>
      </c>
      <c r="V131" s="4">
        <v>1.1596856615049966</v>
      </c>
      <c r="W131" s="4">
        <v>1.2361315298777329</v>
      </c>
      <c r="Y131" s="526">
        <f t="shared" si="31"/>
        <v>1.99</v>
      </c>
      <c r="Z131" s="4">
        <f>IFERROR(VALUE(_xll.BDH(Z$4,"PX_LAST",$Q131,$Q131)),Z132)</f>
        <v>44.11</v>
      </c>
      <c r="AA131" s="4">
        <f>IFERROR(VALUE(_xll.BDH(AA$4,"PX_LAST",$Q131,$Q131)),AA132)</f>
        <v>25.89</v>
      </c>
      <c r="AB131" s="4">
        <f>IFERROR(VALUE(_xll.BDH(AB$4,"PX_LAST",$Q131,$Q131)),AB132)</f>
        <v>80.680000000000007</v>
      </c>
      <c r="AC131" s="4">
        <f>IFERROR(VALUE(_xll.BDH(AC$4,"PX_LAST",$Q131,$Q131)),AC132)</f>
        <v>8.7899999999999991</v>
      </c>
      <c r="AD131" s="4">
        <f>IFERROR(VALUE(_xll.BDH(AD$4,"PX_LAST",$Q131,$Q131)),AD132)</f>
        <v>36.229999999999997</v>
      </c>
      <c r="AF131" s="4">
        <f t="shared" si="32"/>
        <v>0.86899563318777295</v>
      </c>
      <c r="AG131" s="4">
        <f t="shared" si="33"/>
        <v>1.4937351845580764</v>
      </c>
      <c r="AH131" s="4">
        <f t="shared" si="34"/>
        <v>0.91097818437719913</v>
      </c>
      <c r="AI131" s="4">
        <f t="shared" si="35"/>
        <v>0.8649228130360207</v>
      </c>
      <c r="AJ131" s="4">
        <f t="shared" si="36"/>
        <v>1.0946450809464507</v>
      </c>
      <c r="AK131" s="4">
        <f t="shared" si="37"/>
        <v>1.2403286545703525</v>
      </c>
      <c r="AM131" s="528">
        <v>45781</v>
      </c>
      <c r="AN131" s="529">
        <v>9.93</v>
      </c>
      <c r="AO131" s="529">
        <v>-1355186</v>
      </c>
      <c r="AP131" s="529">
        <v>-51.531300000000002</v>
      </c>
      <c r="AQ131" s="529">
        <v>-767.55871349999995</v>
      </c>
      <c r="AR131" s="529">
        <v>-0.78139999999999998</v>
      </c>
    </row>
    <row r="132" spans="2:44">
      <c r="B132" s="530">
        <f t="shared" ca="1" si="38"/>
        <v>45062</v>
      </c>
      <c r="C132" s="526">
        <f ca="1">(IFERROR(IFERROR(VALUE(_xll.BDH(C$4,"CURRENT_EV_TO_T12M_EBITDA",$B132,$B132)),VALUE(_xll.BDH(C$4,"CURRENT_EV_TO_T12M_EBITDA",$B132+1,$B132+1))),C133))</f>
        <v>0</v>
      </c>
      <c r="D132" s="526">
        <f ca="1">(IFERROR(IFERROR(VALUE(_xll.BDH(D$4,"CURRENT_EV_TO_T12M_EBITDA",$B132,$B132)),VALUE(_xll.BDH(D$4,"CURRENT_EV_TO_T12M_EBITDA",$B132+1,$B132+1))),D133))</f>
        <v>0</v>
      </c>
      <c r="E132" s="526">
        <f ca="1">(IFERROR(IFERROR(VALUE(_xll.BDH(E$4,"CURRENT_EV_TO_T12M_EBITDA",$B132,$B132)),VALUE(_xll.BDH(E$4,"CURRENT_EV_TO_T12M_EBITDA",$B132+1,$B132+1))),E133))</f>
        <v>0</v>
      </c>
      <c r="F132" s="526">
        <f ca="1">(IFERROR(IFERROR(VALUE(_xll.BDH(F$4,"CURRENT_EV_TO_T12M_EBITDA",$B132,$B132)),VALUE(_xll.BDH(F$4,"CURRENT_EV_TO_T12M_EBITDA",$B132+1,$B132+1))),F133))</f>
        <v>0</v>
      </c>
      <c r="G132" s="526">
        <f ca="1">(IFERROR(IFERROR(VALUE(_xll.BDH(G$4,"CURRENT_EV_TO_T12M_EBITDA",$B132,$B132)),VALUE(_xll.BDH(G$4,"CURRENT_EV_TO_T12M_EBITDA",$B132+1,$B132+1))),G133))</f>
        <v>0</v>
      </c>
      <c r="H132" s="526">
        <f ca="1">(IFERROR(IFERROR(VALUE(_xll.BDH(H$4,"CURRENT_EV_TO_T12M_EBITDA",$B132,$B132)),VALUE(_xll.BDH(H$4,"CURRENT_EV_TO_T12M_EBITDA",$B132+1,$B132+1))),H133))</f>
        <v>0</v>
      </c>
      <c r="I132" s="530">
        <f t="shared" ca="1" si="30"/>
        <v>45062</v>
      </c>
      <c r="J132" s="526">
        <f ca="1">(IFERROR(IFERROR(VALUE(_xll.BDH(J$4,"PE_RATIO",$B132,$B132)),VALUE(_xll.BDH(J$4,"PE_RATIO",$B132+1,$B132+1))),J133))</f>
        <v>0</v>
      </c>
      <c r="K132" s="526">
        <f ca="1">(IFERROR(IFERROR(VALUE(_xll.BDH(K$4,"PE_RATIO",$B132,$B132)),VALUE(_xll.BDH(K$4,"PE_RATIO",$B132+1,$B132+1))),K133))</f>
        <v>0</v>
      </c>
      <c r="L132" s="526">
        <f ca="1">(IFERROR(IFERROR(VALUE(_xll.BDH(L$4,"PE_RATIO",$B132,$B132)),VALUE(_xll.BDH(L$4,"PE_RATIO",$B132+1,$B132+1))),L133))</f>
        <v>0</v>
      </c>
      <c r="M132" s="526">
        <f ca="1">(IFERROR(IFERROR(VALUE(_xll.BDH(M$4,"PE_RATIO",$B132,$B132)),VALUE(_xll.BDH(M$4,"PE_RATIO",$B132+1,$B132+1))),M133))</f>
        <v>0</v>
      </c>
      <c r="N132" s="526">
        <f ca="1">(IFERROR(IFERROR(VALUE(_xll.BDH(N$4,"PE_RATIO",$B132,$B132)),VALUE(_xll.BDH(N$4,"PE_RATIO",$B132+1,$B132+1))),N133))</f>
        <v>0</v>
      </c>
      <c r="O132" s="526">
        <f ca="1">(IFERROR(IFERROR(VALUE(_xll.BDH(O$4,"PE_RATIO",$B132,$B132)),VALUE(_xll.BDH(O$4,"PE_RATIO",$B132+1,$B132+1))),O133))</f>
        <v>0</v>
      </c>
      <c r="P132" s="526"/>
      <c r="Q132" s="530">
        <v>45019</v>
      </c>
      <c r="R132" s="4">
        <v>2.13</v>
      </c>
      <c r="S132" s="4">
        <v>13148.35</v>
      </c>
      <c r="T132" s="4">
        <v>4689.95</v>
      </c>
      <c r="U132" s="4">
        <v>0.93013100436681218</v>
      </c>
      <c r="V132" s="4">
        <v>1.1683153976636091</v>
      </c>
      <c r="W132" s="4">
        <v>1.2334410742886599</v>
      </c>
      <c r="Y132" s="526">
        <f t="shared" si="31"/>
        <v>2.13</v>
      </c>
      <c r="Z132" s="4">
        <f>IFERROR(VALUE(_xll.BDH(Z$4,"PX_LAST",$Q132,$Q132)),Z133)</f>
        <v>44.04</v>
      </c>
      <c r="AA132" s="4">
        <f>IFERROR(VALUE(_xll.BDH(AA$4,"PX_LAST",$Q132,$Q132)),AA133)</f>
        <v>26.23</v>
      </c>
      <c r="AB132" s="4">
        <f>IFERROR(VALUE(_xll.BDH(AB$4,"PX_LAST",$Q132,$Q132)),AB133)</f>
        <v>82.17</v>
      </c>
      <c r="AC132" s="4">
        <f>IFERROR(VALUE(_xll.BDH(AC$4,"PX_LAST",$Q132,$Q132)),AC133)</f>
        <v>8.5399999999999991</v>
      </c>
      <c r="AD132" s="4">
        <f>IFERROR(VALUE(_xll.BDH(AD$4,"PX_LAST",$Q132,$Q132)),AD133)</f>
        <v>36.909999999999997</v>
      </c>
      <c r="AF132" s="4">
        <f t="shared" si="32"/>
        <v>0.93013100436681218</v>
      </c>
      <c r="AG132" s="4">
        <f t="shared" si="33"/>
        <v>1.4913647138503217</v>
      </c>
      <c r="AH132" s="4">
        <f t="shared" si="34"/>
        <v>0.92294159042927515</v>
      </c>
      <c r="AI132" s="4">
        <f t="shared" si="35"/>
        <v>0.88089622641509435</v>
      </c>
      <c r="AJ132" s="4">
        <f t="shared" si="36"/>
        <v>1.0635118306351183</v>
      </c>
      <c r="AK132" s="4">
        <f t="shared" si="37"/>
        <v>1.2636083533036631</v>
      </c>
      <c r="AM132" s="528">
        <v>45780</v>
      </c>
      <c r="AN132" s="529">
        <v>9.93</v>
      </c>
      <c r="AO132" s="529">
        <v>-677593</v>
      </c>
      <c r="AP132" s="529">
        <v>-25.765650000000001</v>
      </c>
      <c r="AQ132" s="529">
        <v>-511.70580899999999</v>
      </c>
      <c r="AR132" s="529">
        <v>-0.39069999999999999</v>
      </c>
    </row>
    <row r="133" spans="2:44">
      <c r="B133" s="530">
        <f t="shared" ca="1" si="38"/>
        <v>45055</v>
      </c>
      <c r="C133" s="526">
        <f ca="1">(IFERROR(IFERROR(VALUE(_xll.BDH(C$4,"CURRENT_EV_TO_T12M_EBITDA",$B133,$B133)),VALUE(_xll.BDH(C$4,"CURRENT_EV_TO_T12M_EBITDA",$B133+1,$B133+1))),C134))</f>
        <v>0</v>
      </c>
      <c r="D133" s="526">
        <f ca="1">(IFERROR(IFERROR(VALUE(_xll.BDH(D$4,"CURRENT_EV_TO_T12M_EBITDA",$B133,$B133)),VALUE(_xll.BDH(D$4,"CURRENT_EV_TO_T12M_EBITDA",$B133+1,$B133+1))),D134))</f>
        <v>0</v>
      </c>
      <c r="E133" s="526">
        <f ca="1">(IFERROR(IFERROR(VALUE(_xll.BDH(E$4,"CURRENT_EV_TO_T12M_EBITDA",$B133,$B133)),VALUE(_xll.BDH(E$4,"CURRENT_EV_TO_T12M_EBITDA",$B133+1,$B133+1))),E134))</f>
        <v>0</v>
      </c>
      <c r="F133" s="526">
        <f ca="1">(IFERROR(IFERROR(VALUE(_xll.BDH(F$4,"CURRENT_EV_TO_T12M_EBITDA",$B133,$B133)),VALUE(_xll.BDH(F$4,"CURRENT_EV_TO_T12M_EBITDA",$B133+1,$B133+1))),F134))</f>
        <v>0</v>
      </c>
      <c r="G133" s="526">
        <f ca="1">(IFERROR(IFERROR(VALUE(_xll.BDH(G$4,"CURRENT_EV_TO_T12M_EBITDA",$B133,$B133)),VALUE(_xll.BDH(G$4,"CURRENT_EV_TO_T12M_EBITDA",$B133+1,$B133+1))),G134))</f>
        <v>0</v>
      </c>
      <c r="H133" s="526">
        <f ca="1">(IFERROR(IFERROR(VALUE(_xll.BDH(H$4,"CURRENT_EV_TO_T12M_EBITDA",$B133,$B133)),VALUE(_xll.BDH(H$4,"CURRENT_EV_TO_T12M_EBITDA",$B133+1,$B133+1))),H134))</f>
        <v>0</v>
      </c>
      <c r="I133" s="530">
        <f t="shared" ref="I133:I162" ca="1" si="39">+B133</f>
        <v>45055</v>
      </c>
      <c r="J133" s="526">
        <f ca="1">(IFERROR(IFERROR(VALUE(_xll.BDH(J$4,"PE_RATIO",$B133,$B133)),VALUE(_xll.BDH(J$4,"PE_RATIO",$B133+1,$B133+1))),J134))</f>
        <v>0</v>
      </c>
      <c r="K133" s="526">
        <f ca="1">(IFERROR(IFERROR(VALUE(_xll.BDH(K$4,"PE_RATIO",$B133,$B133)),VALUE(_xll.BDH(K$4,"PE_RATIO",$B133+1,$B133+1))),K134))</f>
        <v>0</v>
      </c>
      <c r="L133" s="526">
        <f ca="1">(IFERROR(IFERROR(VALUE(_xll.BDH(L$4,"PE_RATIO",$B133,$B133)),VALUE(_xll.BDH(L$4,"PE_RATIO",$B133+1,$B133+1))),L134))</f>
        <v>0</v>
      </c>
      <c r="M133" s="526">
        <f ca="1">(IFERROR(IFERROR(VALUE(_xll.BDH(M$4,"PE_RATIO",$B133,$B133)),VALUE(_xll.BDH(M$4,"PE_RATIO",$B133+1,$B133+1))),M134))</f>
        <v>0</v>
      </c>
      <c r="N133" s="526">
        <f ca="1">(IFERROR(IFERROR(VALUE(_xll.BDH(N$4,"PE_RATIO",$B133,$B133)),VALUE(_xll.BDH(N$4,"PE_RATIO",$B133+1,$B133+1))),N134))</f>
        <v>0</v>
      </c>
      <c r="O133" s="526">
        <f ca="1">(IFERROR(IFERROR(VALUE(_xll.BDH(O$4,"PE_RATIO",$B133,$B133)),VALUE(_xll.BDH(O$4,"PE_RATIO",$B133+1,$B133+1))),O134))</f>
        <v>0</v>
      </c>
      <c r="P133" s="526"/>
      <c r="Q133" s="530">
        <v>45012</v>
      </c>
      <c r="R133" s="4">
        <v>1.97</v>
      </c>
      <c r="S133" s="4">
        <v>12673.07</v>
      </c>
      <c r="T133" s="4">
        <v>4517.6400000000003</v>
      </c>
      <c r="U133" s="4">
        <v>0.86026200873362446</v>
      </c>
      <c r="V133" s="4">
        <v>1.1260837151938268</v>
      </c>
      <c r="W133" s="4">
        <v>1.1881241238924556</v>
      </c>
      <c r="Y133" s="526">
        <f t="shared" ref="Y133:Y159" si="40">+R133</f>
        <v>1.97</v>
      </c>
      <c r="Z133" s="4">
        <f>IFERROR(VALUE(_xll.BDH(Z$4,"PX_LAST",$Q133,$Q133)),Z134)</f>
        <v>43.37</v>
      </c>
      <c r="AA133" s="4">
        <f>IFERROR(VALUE(_xll.BDH(AA$4,"PX_LAST",$Q133,$Q133)),AA134)</f>
        <v>25.49</v>
      </c>
      <c r="AB133" s="4">
        <f>IFERROR(VALUE(_xll.BDH(AB$4,"PX_LAST",$Q133,$Q133)),AB134)</f>
        <v>79.34</v>
      </c>
      <c r="AC133" s="4">
        <f>IFERROR(VALUE(_xll.BDH(AC$4,"PX_LAST",$Q133,$Q133)),AC134)</f>
        <v>8.52</v>
      </c>
      <c r="AD133" s="4">
        <f>IFERROR(VALUE(_xll.BDH(AD$4,"PX_LAST",$Q133,$Q133)),AD134)</f>
        <v>35.31</v>
      </c>
      <c r="AF133" s="4">
        <f t="shared" ref="AF133:AF159" si="41">+Y133/Y$159</f>
        <v>0.86026200873362446</v>
      </c>
      <c r="AG133" s="4">
        <f t="shared" ref="AG133:AG159" si="42">+Z133/Z$159</f>
        <v>1.4686759227903825</v>
      </c>
      <c r="AH133" s="4">
        <f t="shared" ref="AH133:AH159" si="43">+AA133/AA$159</f>
        <v>0.89690358902181555</v>
      </c>
      <c r="AI133" s="4">
        <f t="shared" ref="AI133:AI159" si="44">+AB133/AB$159</f>
        <v>0.850557461406518</v>
      </c>
      <c r="AJ133" s="4">
        <f t="shared" ref="AJ133:AJ159" si="45">+AC133/AC$159</f>
        <v>1.0610211706102117</v>
      </c>
      <c r="AK133" s="4">
        <f t="shared" ref="AK133:AK159" si="46">+AD133/AD$159</f>
        <v>1.2088325915782268</v>
      </c>
      <c r="AM133" s="528">
        <v>45779</v>
      </c>
      <c r="AN133" s="529">
        <v>9.93</v>
      </c>
      <c r="AO133" s="529">
        <v>0</v>
      </c>
      <c r="AP133" s="529">
        <v>0</v>
      </c>
      <c r="AQ133" s="529">
        <v>-255.85290449999999</v>
      </c>
      <c r="AR133" s="529">
        <v>0</v>
      </c>
    </row>
    <row r="134" spans="2:44">
      <c r="B134" s="530">
        <f t="shared" ref="B134:B162" ca="1" si="47">+B133-7</f>
        <v>45048</v>
      </c>
      <c r="C134" s="526">
        <f ca="1">(IFERROR(IFERROR(VALUE(_xll.BDH(C$4,"CURRENT_EV_TO_T12M_EBITDA",$B134,$B134)),VALUE(_xll.BDH(C$4,"CURRENT_EV_TO_T12M_EBITDA",$B134+1,$B134+1))),C135))</f>
        <v>0</v>
      </c>
      <c r="D134" s="526">
        <f ca="1">(IFERROR(IFERROR(VALUE(_xll.BDH(D$4,"CURRENT_EV_TO_T12M_EBITDA",$B134,$B134)),VALUE(_xll.BDH(D$4,"CURRENT_EV_TO_T12M_EBITDA",$B134+1,$B134+1))),D135))</f>
        <v>0</v>
      </c>
      <c r="E134" s="526">
        <f ca="1">(IFERROR(IFERROR(VALUE(_xll.BDH(E$4,"CURRENT_EV_TO_T12M_EBITDA",$B134,$B134)),VALUE(_xll.BDH(E$4,"CURRENT_EV_TO_T12M_EBITDA",$B134+1,$B134+1))),E135))</f>
        <v>0</v>
      </c>
      <c r="F134" s="526">
        <f ca="1">(IFERROR(IFERROR(VALUE(_xll.BDH(F$4,"CURRENT_EV_TO_T12M_EBITDA",$B134,$B134)),VALUE(_xll.BDH(F$4,"CURRENT_EV_TO_T12M_EBITDA",$B134+1,$B134+1))),F135))</f>
        <v>0</v>
      </c>
      <c r="G134" s="526">
        <f ca="1">(IFERROR(IFERROR(VALUE(_xll.BDH(G$4,"CURRENT_EV_TO_T12M_EBITDA",$B134,$B134)),VALUE(_xll.BDH(G$4,"CURRENT_EV_TO_T12M_EBITDA",$B134+1,$B134+1))),G135))</f>
        <v>0</v>
      </c>
      <c r="H134" s="526">
        <f ca="1">(IFERROR(IFERROR(VALUE(_xll.BDH(H$4,"CURRENT_EV_TO_T12M_EBITDA",$B134,$B134)),VALUE(_xll.BDH(H$4,"CURRENT_EV_TO_T12M_EBITDA",$B134+1,$B134+1))),H135))</f>
        <v>0</v>
      </c>
      <c r="I134" s="530">
        <f t="shared" ca="1" si="39"/>
        <v>45048</v>
      </c>
      <c r="J134" s="526">
        <f ca="1">(IFERROR(IFERROR(VALUE(_xll.BDH(J$4,"PE_RATIO",$B134,$B134)),VALUE(_xll.BDH(J$4,"PE_RATIO",$B134+1,$B134+1))),J135))</f>
        <v>0</v>
      </c>
      <c r="K134" s="526">
        <f ca="1">(IFERROR(IFERROR(VALUE(_xll.BDH(K$4,"PE_RATIO",$B134,$B134)),VALUE(_xll.BDH(K$4,"PE_RATIO",$B134+1,$B134+1))),K135))</f>
        <v>0</v>
      </c>
      <c r="L134" s="526">
        <f ca="1">(IFERROR(IFERROR(VALUE(_xll.BDH(L$4,"PE_RATIO",$B134,$B134)),VALUE(_xll.BDH(L$4,"PE_RATIO",$B134+1,$B134+1))),L135))</f>
        <v>0</v>
      </c>
      <c r="M134" s="526">
        <f ca="1">(IFERROR(IFERROR(VALUE(_xll.BDH(M$4,"PE_RATIO",$B134,$B134)),VALUE(_xll.BDH(M$4,"PE_RATIO",$B134+1,$B134+1))),M135))</f>
        <v>0</v>
      </c>
      <c r="N134" s="526">
        <f ca="1">(IFERROR(IFERROR(VALUE(_xll.BDH(N$4,"PE_RATIO",$B134,$B134)),VALUE(_xll.BDH(N$4,"PE_RATIO",$B134+1,$B134+1))),N135))</f>
        <v>0</v>
      </c>
      <c r="O134" s="526">
        <f ca="1">(IFERROR(IFERROR(VALUE(_xll.BDH(O$4,"PE_RATIO",$B134,$B134)),VALUE(_xll.BDH(O$4,"PE_RATIO",$B134+1,$B134+1))),O135))</f>
        <v>0</v>
      </c>
      <c r="P134" s="526"/>
      <c r="Q134" s="530">
        <v>45005</v>
      </c>
      <c r="R134" s="4">
        <v>1.83</v>
      </c>
      <c r="S134" s="4">
        <v>12562.61</v>
      </c>
      <c r="T134" s="4">
        <v>4442.82</v>
      </c>
      <c r="U134" s="4">
        <v>0.79912663755458513</v>
      </c>
      <c r="V134" s="4">
        <v>1.116268634303379</v>
      </c>
      <c r="W134" s="4">
        <v>1.1684467155665079</v>
      </c>
      <c r="Y134" s="526">
        <f t="shared" si="40"/>
        <v>1.83</v>
      </c>
      <c r="Z134" s="4">
        <f>IFERROR(VALUE(_xll.BDH(Z$4,"PX_LAST",$Q134,$Q134)),Z135)</f>
        <v>42.16</v>
      </c>
      <c r="AA134" s="4">
        <f>IFERROR(VALUE(_xll.BDH(AA$4,"PX_LAST",$Q134,$Q134)),AA135)</f>
        <v>24.97</v>
      </c>
      <c r="AB134" s="4">
        <f>IFERROR(VALUE(_xll.BDH(AB$4,"PX_LAST",$Q134,$Q134)),AB135)</f>
        <v>78.8</v>
      </c>
      <c r="AC134" s="4">
        <f>IFERROR(VALUE(_xll.BDH(AC$4,"PX_LAST",$Q134,$Q134)),AC135)</f>
        <v>8.2100000000000009</v>
      </c>
      <c r="AD134" s="4">
        <f>IFERROR(VALUE(_xll.BDH(AD$4,"PX_LAST",$Q134,$Q134)),AD135)</f>
        <v>34.479999999999997</v>
      </c>
      <c r="AF134" s="4">
        <f t="shared" si="41"/>
        <v>0.79912663755458513</v>
      </c>
      <c r="AG134" s="4">
        <f t="shared" si="42"/>
        <v>1.4277006434134776</v>
      </c>
      <c r="AH134" s="4">
        <f t="shared" si="43"/>
        <v>0.87860661505981696</v>
      </c>
      <c r="AI134" s="4">
        <f t="shared" si="44"/>
        <v>0.84476843910806176</v>
      </c>
      <c r="AJ134" s="4">
        <f t="shared" si="45"/>
        <v>1.0224159402241595</v>
      </c>
      <c r="AK134" s="4">
        <f t="shared" si="46"/>
        <v>1.1804176651831564</v>
      </c>
      <c r="AM134" s="528">
        <v>45778</v>
      </c>
      <c r="AN134" s="529">
        <v>9.6</v>
      </c>
      <c r="AO134" s="529">
        <v>0</v>
      </c>
      <c r="AP134" s="529">
        <v>0</v>
      </c>
      <c r="AQ134" s="529">
        <v>-247.35023999999999</v>
      </c>
      <c r="AR134" s="529">
        <v>0</v>
      </c>
    </row>
    <row r="135" spans="2:44">
      <c r="B135" s="530">
        <f t="shared" ca="1" si="47"/>
        <v>45041</v>
      </c>
      <c r="C135" s="526">
        <f ca="1">(IFERROR(IFERROR(VALUE(_xll.BDH(C$4,"CURRENT_EV_TO_T12M_EBITDA",$B135,$B135)),VALUE(_xll.BDH(C$4,"CURRENT_EV_TO_T12M_EBITDA",$B135+1,$B135+1))),C136))</f>
        <v>0</v>
      </c>
      <c r="D135" s="526">
        <f ca="1">(IFERROR(IFERROR(VALUE(_xll.BDH(D$4,"CURRENT_EV_TO_T12M_EBITDA",$B135,$B135)),VALUE(_xll.BDH(D$4,"CURRENT_EV_TO_T12M_EBITDA",$B135+1,$B135+1))),D136))</f>
        <v>0</v>
      </c>
      <c r="E135" s="526">
        <f ca="1">(IFERROR(IFERROR(VALUE(_xll.BDH(E$4,"CURRENT_EV_TO_T12M_EBITDA",$B135,$B135)),VALUE(_xll.BDH(E$4,"CURRENT_EV_TO_T12M_EBITDA",$B135+1,$B135+1))),E136))</f>
        <v>0</v>
      </c>
      <c r="F135" s="526">
        <f ca="1">(IFERROR(IFERROR(VALUE(_xll.BDH(F$4,"CURRENT_EV_TO_T12M_EBITDA",$B135,$B135)),VALUE(_xll.BDH(F$4,"CURRENT_EV_TO_T12M_EBITDA",$B135+1,$B135+1))),F136))</f>
        <v>0</v>
      </c>
      <c r="G135" s="526">
        <f ca="1">(IFERROR(IFERROR(VALUE(_xll.BDH(G$4,"CURRENT_EV_TO_T12M_EBITDA",$B135,$B135)),VALUE(_xll.BDH(G$4,"CURRENT_EV_TO_T12M_EBITDA",$B135+1,$B135+1))),G136))</f>
        <v>0</v>
      </c>
      <c r="H135" s="526">
        <f ca="1">(IFERROR(IFERROR(VALUE(_xll.BDH(H$4,"CURRENT_EV_TO_T12M_EBITDA",$B135,$B135)),VALUE(_xll.BDH(H$4,"CURRENT_EV_TO_T12M_EBITDA",$B135+1,$B135+1))),H136))</f>
        <v>0</v>
      </c>
      <c r="I135" s="530">
        <f t="shared" ca="1" si="39"/>
        <v>45041</v>
      </c>
      <c r="J135" s="526">
        <f ca="1">(IFERROR(IFERROR(VALUE(_xll.BDH(J$4,"PE_RATIO",$B135,$B135)),VALUE(_xll.BDH(J$4,"PE_RATIO",$B135+1,$B135+1))),J136))</f>
        <v>0</v>
      </c>
      <c r="K135" s="526">
        <f ca="1">(IFERROR(IFERROR(VALUE(_xll.BDH(K$4,"PE_RATIO",$B135,$B135)),VALUE(_xll.BDH(K$4,"PE_RATIO",$B135+1,$B135+1))),K136))</f>
        <v>0</v>
      </c>
      <c r="L135" s="526">
        <f ca="1">(IFERROR(IFERROR(VALUE(_xll.BDH(L$4,"PE_RATIO",$B135,$B135)),VALUE(_xll.BDH(L$4,"PE_RATIO",$B135+1,$B135+1))),L136))</f>
        <v>0</v>
      </c>
      <c r="M135" s="526">
        <f ca="1">(IFERROR(IFERROR(VALUE(_xll.BDH(M$4,"PE_RATIO",$B135,$B135)),VALUE(_xll.BDH(M$4,"PE_RATIO",$B135+1,$B135+1))),M136))</f>
        <v>0</v>
      </c>
      <c r="N135" s="526">
        <f ca="1">(IFERROR(IFERROR(VALUE(_xll.BDH(N$4,"PE_RATIO",$B135,$B135)),VALUE(_xll.BDH(N$4,"PE_RATIO",$B135+1,$B135+1))),N136))</f>
        <v>0</v>
      </c>
      <c r="O135" s="526">
        <f ca="1">(IFERROR(IFERROR(VALUE(_xll.BDH(O$4,"PE_RATIO",$B135,$B135)),VALUE(_xll.BDH(O$4,"PE_RATIO",$B135+1,$B135+1))),O136))</f>
        <v>0</v>
      </c>
      <c r="P135" s="526"/>
      <c r="Q135" s="530">
        <v>44998</v>
      </c>
      <c r="R135" s="4">
        <v>1.76</v>
      </c>
      <c r="S135" s="4">
        <v>11923.17</v>
      </c>
      <c r="T135" s="4">
        <v>4168.8100000000004</v>
      </c>
      <c r="U135" s="4">
        <v>0.76855895196506552</v>
      </c>
      <c r="V135" s="4">
        <v>1.0594502808307364</v>
      </c>
      <c r="W135" s="4">
        <v>1.0963830072613372</v>
      </c>
      <c r="Y135" s="526">
        <f t="shared" si="40"/>
        <v>1.76</v>
      </c>
      <c r="Z135" s="4">
        <f>IFERROR(VALUE(_xll.BDH(Z$4,"PX_LAST",$Q135,$Q135)),Z136)</f>
        <v>43.38</v>
      </c>
      <c r="AA135" s="4">
        <f>IFERROR(VALUE(_xll.BDH(AA$4,"PX_LAST",$Q135,$Q135)),AA136)</f>
        <v>26.74</v>
      </c>
      <c r="AB135" s="4">
        <f>IFERROR(VALUE(_xll.BDH(AB$4,"PX_LAST",$Q135,$Q135)),AB136)</f>
        <v>81.91</v>
      </c>
      <c r="AC135" s="4">
        <f>IFERROR(VALUE(_xll.BDH(AC$4,"PX_LAST",$Q135,$Q135)),AC136)</f>
        <v>8.2899999999999991</v>
      </c>
      <c r="AD135" s="4">
        <f>IFERROR(VALUE(_xll.BDH(AD$4,"PX_LAST",$Q135,$Q135)),AD136)</f>
        <v>35.67</v>
      </c>
      <c r="AF135" s="4">
        <f t="shared" si="41"/>
        <v>0.76855895196506552</v>
      </c>
      <c r="AG135" s="4">
        <f t="shared" si="42"/>
        <v>1.4690145614629191</v>
      </c>
      <c r="AH135" s="4">
        <f t="shared" si="43"/>
        <v>0.94088669950738901</v>
      </c>
      <c r="AI135" s="4">
        <f t="shared" si="44"/>
        <v>0.87810891938250424</v>
      </c>
      <c r="AJ135" s="4">
        <f t="shared" si="45"/>
        <v>1.0323785803237857</v>
      </c>
      <c r="AK135" s="4">
        <f t="shared" si="46"/>
        <v>1.2211571379664499</v>
      </c>
      <c r="AM135" s="528">
        <v>45777</v>
      </c>
      <c r="AN135" s="529">
        <v>9.35</v>
      </c>
      <c r="AO135" s="529">
        <v>0</v>
      </c>
      <c r="AP135" s="529">
        <v>0</v>
      </c>
      <c r="AQ135" s="529">
        <v>-226.519645</v>
      </c>
      <c r="AR135" s="529">
        <v>0</v>
      </c>
    </row>
    <row r="136" spans="2:44">
      <c r="B136" s="530">
        <f t="shared" ca="1" si="47"/>
        <v>45034</v>
      </c>
      <c r="C136" s="526">
        <f ca="1">(IFERROR(IFERROR(VALUE(_xll.BDH(C$4,"CURRENT_EV_TO_T12M_EBITDA",$B136,$B136)),VALUE(_xll.BDH(C$4,"CURRENT_EV_TO_T12M_EBITDA",$B136+1,$B136+1))),C137))</f>
        <v>0</v>
      </c>
      <c r="D136" s="526">
        <f ca="1">(IFERROR(IFERROR(VALUE(_xll.BDH(D$4,"CURRENT_EV_TO_T12M_EBITDA",$B136,$B136)),VALUE(_xll.BDH(D$4,"CURRENT_EV_TO_T12M_EBITDA",$B136+1,$B136+1))),D137))</f>
        <v>0</v>
      </c>
      <c r="E136" s="526">
        <f ca="1">(IFERROR(IFERROR(VALUE(_xll.BDH(E$4,"CURRENT_EV_TO_T12M_EBITDA",$B136,$B136)),VALUE(_xll.BDH(E$4,"CURRENT_EV_TO_T12M_EBITDA",$B136+1,$B136+1))),E137))</f>
        <v>0</v>
      </c>
      <c r="F136" s="526">
        <f ca="1">(IFERROR(IFERROR(VALUE(_xll.BDH(F$4,"CURRENT_EV_TO_T12M_EBITDA",$B136,$B136)),VALUE(_xll.BDH(F$4,"CURRENT_EV_TO_T12M_EBITDA",$B136+1,$B136+1))),F137))</f>
        <v>0</v>
      </c>
      <c r="G136" s="526">
        <f ca="1">(IFERROR(IFERROR(VALUE(_xll.BDH(G$4,"CURRENT_EV_TO_T12M_EBITDA",$B136,$B136)),VALUE(_xll.BDH(G$4,"CURRENT_EV_TO_T12M_EBITDA",$B136+1,$B136+1))),G137))</f>
        <v>0</v>
      </c>
      <c r="H136" s="526">
        <f ca="1">(IFERROR(IFERROR(VALUE(_xll.BDH(H$4,"CURRENT_EV_TO_T12M_EBITDA",$B136,$B136)),VALUE(_xll.BDH(H$4,"CURRENT_EV_TO_T12M_EBITDA",$B136+1,$B136+1))),H137))</f>
        <v>0</v>
      </c>
      <c r="I136" s="530">
        <f t="shared" ca="1" si="39"/>
        <v>45034</v>
      </c>
      <c r="J136" s="526">
        <f ca="1">(IFERROR(IFERROR(VALUE(_xll.BDH(J$4,"PE_RATIO",$B136,$B136)),VALUE(_xll.BDH(J$4,"PE_RATIO",$B136+1,$B136+1))),J137))</f>
        <v>0</v>
      </c>
      <c r="K136" s="526">
        <f ca="1">(IFERROR(IFERROR(VALUE(_xll.BDH(K$4,"PE_RATIO",$B136,$B136)),VALUE(_xll.BDH(K$4,"PE_RATIO",$B136+1,$B136+1))),K137))</f>
        <v>0</v>
      </c>
      <c r="L136" s="526">
        <f ca="1">(IFERROR(IFERROR(VALUE(_xll.BDH(L$4,"PE_RATIO",$B136,$B136)),VALUE(_xll.BDH(L$4,"PE_RATIO",$B136+1,$B136+1))),L137))</f>
        <v>0</v>
      </c>
      <c r="M136" s="526">
        <f ca="1">(IFERROR(IFERROR(VALUE(_xll.BDH(M$4,"PE_RATIO",$B136,$B136)),VALUE(_xll.BDH(M$4,"PE_RATIO",$B136+1,$B136+1))),M137))</f>
        <v>0</v>
      </c>
      <c r="N136" s="526">
        <f ca="1">(IFERROR(IFERROR(VALUE(_xll.BDH(N$4,"PE_RATIO",$B136,$B136)),VALUE(_xll.BDH(N$4,"PE_RATIO",$B136+1,$B136+1))),N137))</f>
        <v>0</v>
      </c>
      <c r="O136" s="526">
        <f ca="1">(IFERROR(IFERROR(VALUE(_xll.BDH(O$4,"PE_RATIO",$B136,$B136)),VALUE(_xll.BDH(O$4,"PE_RATIO",$B136+1,$B136+1))),O137))</f>
        <v>0</v>
      </c>
      <c r="P136" s="526"/>
      <c r="Q136" s="530">
        <v>44991</v>
      </c>
      <c r="R136" s="4">
        <v>2.0699999999999998</v>
      </c>
      <c r="S136" s="4">
        <v>12302.48</v>
      </c>
      <c r="T136" s="4">
        <v>4273.1400000000003</v>
      </c>
      <c r="U136" s="4">
        <v>0.9039301310043667</v>
      </c>
      <c r="V136" s="4">
        <v>1.0931544120325818</v>
      </c>
      <c r="W136" s="4">
        <v>1.1238214463237017</v>
      </c>
      <c r="Y136" s="526">
        <f t="shared" si="40"/>
        <v>2.0699999999999998</v>
      </c>
      <c r="Z136" s="4">
        <f>IFERROR(VALUE(_xll.BDH(Z$4,"PX_LAST",$Q136,$Q136)),Z137)</f>
        <v>48.55</v>
      </c>
      <c r="AA136" s="4">
        <f>IFERROR(VALUE(_xll.BDH(AA$4,"PX_LAST",$Q136,$Q136)),AA137)</f>
        <v>31.02</v>
      </c>
      <c r="AB136" s="4">
        <f>IFERROR(VALUE(_xll.BDH(AB$4,"PX_LAST",$Q136,$Q136)),AB137)</f>
        <v>91.01</v>
      </c>
      <c r="AC136" s="4">
        <f>IFERROR(VALUE(_xll.BDH(AC$4,"PX_LAST",$Q136,$Q136)),AC137)</f>
        <v>8.8800000000000008</v>
      </c>
      <c r="AD136" s="4">
        <f>IFERROR(VALUE(_xll.BDH(AD$4,"PX_LAST",$Q136,$Q136)),AD137)</f>
        <v>42.73</v>
      </c>
      <c r="AF136" s="4">
        <f t="shared" si="41"/>
        <v>0.9039301310043667</v>
      </c>
      <c r="AG136" s="4">
        <f t="shared" si="42"/>
        <v>1.6440907551642396</v>
      </c>
      <c r="AH136" s="4">
        <f t="shared" si="43"/>
        <v>1.0914848698099928</v>
      </c>
      <c r="AI136" s="4">
        <f t="shared" si="44"/>
        <v>0.97566466552315612</v>
      </c>
      <c r="AJ136" s="4">
        <f t="shared" si="45"/>
        <v>1.1058530510585307</v>
      </c>
      <c r="AK136" s="4">
        <f t="shared" si="46"/>
        <v>1.4628551865799382</v>
      </c>
      <c r="AM136" s="528">
        <v>45776</v>
      </c>
      <c r="AN136" s="529">
        <v>9.48</v>
      </c>
      <c r="AO136" s="529">
        <v>0</v>
      </c>
      <c r="AP136" s="529">
        <v>0</v>
      </c>
      <c r="AQ136" s="529">
        <v>-229.66911600000003</v>
      </c>
      <c r="AR136" s="529">
        <v>0</v>
      </c>
    </row>
    <row r="137" spans="2:44">
      <c r="B137" s="530">
        <f t="shared" ca="1" si="47"/>
        <v>45027</v>
      </c>
      <c r="C137" s="526">
        <f ca="1">(IFERROR(IFERROR(VALUE(_xll.BDH(C$4,"CURRENT_EV_TO_T12M_EBITDA",$B137,$B137)),VALUE(_xll.BDH(C$4,"CURRENT_EV_TO_T12M_EBITDA",$B137+1,$B137+1))),C138))</f>
        <v>0</v>
      </c>
      <c r="D137" s="526">
        <f ca="1">(IFERROR(IFERROR(VALUE(_xll.BDH(D$4,"CURRENT_EV_TO_T12M_EBITDA",$B137,$B137)),VALUE(_xll.BDH(D$4,"CURRENT_EV_TO_T12M_EBITDA",$B137+1,$B137+1))),D138))</f>
        <v>0</v>
      </c>
      <c r="E137" s="526">
        <f ca="1">(IFERROR(IFERROR(VALUE(_xll.BDH(E$4,"CURRENT_EV_TO_T12M_EBITDA",$B137,$B137)),VALUE(_xll.BDH(E$4,"CURRENT_EV_TO_T12M_EBITDA",$B137+1,$B137+1))),E138))</f>
        <v>0</v>
      </c>
      <c r="F137" s="526">
        <f ca="1">(IFERROR(IFERROR(VALUE(_xll.BDH(F$4,"CURRENT_EV_TO_T12M_EBITDA",$B137,$B137)),VALUE(_xll.BDH(F$4,"CURRENT_EV_TO_T12M_EBITDA",$B137+1,$B137+1))),F138))</f>
        <v>0</v>
      </c>
      <c r="G137" s="526">
        <f ca="1">(IFERROR(IFERROR(VALUE(_xll.BDH(G$4,"CURRENT_EV_TO_T12M_EBITDA",$B137,$B137)),VALUE(_xll.BDH(G$4,"CURRENT_EV_TO_T12M_EBITDA",$B137+1,$B137+1))),G138))</f>
        <v>0</v>
      </c>
      <c r="H137" s="526">
        <f ca="1">(IFERROR(IFERROR(VALUE(_xll.BDH(H$4,"CURRENT_EV_TO_T12M_EBITDA",$B137,$B137)),VALUE(_xll.BDH(H$4,"CURRENT_EV_TO_T12M_EBITDA",$B137+1,$B137+1))),H138))</f>
        <v>0</v>
      </c>
      <c r="I137" s="530">
        <f t="shared" ca="1" si="39"/>
        <v>45027</v>
      </c>
      <c r="J137" s="526">
        <f ca="1">(IFERROR(IFERROR(VALUE(_xll.BDH(J$4,"PE_RATIO",$B137,$B137)),VALUE(_xll.BDH(J$4,"PE_RATIO",$B137+1,$B137+1))),J138))</f>
        <v>0</v>
      </c>
      <c r="K137" s="526">
        <f ca="1">(IFERROR(IFERROR(VALUE(_xll.BDH(K$4,"PE_RATIO",$B137,$B137)),VALUE(_xll.BDH(K$4,"PE_RATIO",$B137+1,$B137+1))),K138))</f>
        <v>0</v>
      </c>
      <c r="L137" s="526">
        <f ca="1">(IFERROR(IFERROR(VALUE(_xll.BDH(L$4,"PE_RATIO",$B137,$B137)),VALUE(_xll.BDH(L$4,"PE_RATIO",$B137+1,$B137+1))),L138))</f>
        <v>0</v>
      </c>
      <c r="M137" s="526">
        <f ca="1">(IFERROR(IFERROR(VALUE(_xll.BDH(M$4,"PE_RATIO",$B137,$B137)),VALUE(_xll.BDH(M$4,"PE_RATIO",$B137+1,$B137+1))),M138))</f>
        <v>0</v>
      </c>
      <c r="N137" s="526">
        <f ca="1">(IFERROR(IFERROR(VALUE(_xll.BDH(N$4,"PE_RATIO",$B137,$B137)),VALUE(_xll.BDH(N$4,"PE_RATIO",$B137+1,$B137+1))),N138))</f>
        <v>0</v>
      </c>
      <c r="O137" s="526">
        <f ca="1">(IFERROR(IFERROR(VALUE(_xll.BDH(O$4,"PE_RATIO",$B137,$B137)),VALUE(_xll.BDH(O$4,"PE_RATIO",$B137+1,$B137+1))),O138))</f>
        <v>0</v>
      </c>
      <c r="P137" s="526"/>
      <c r="Q137" s="530">
        <v>44984</v>
      </c>
      <c r="R137" s="4">
        <v>2.1800000000000002</v>
      </c>
      <c r="S137" s="4">
        <v>12057.79</v>
      </c>
      <c r="T137" s="4">
        <v>4135.45</v>
      </c>
      <c r="U137" s="4">
        <v>0.95196506550218352</v>
      </c>
      <c r="V137" s="4">
        <v>1.0714121329896367</v>
      </c>
      <c r="W137" s="4">
        <v>1.0876094394752691</v>
      </c>
      <c r="Y137" s="526">
        <f t="shared" si="40"/>
        <v>2.1800000000000002</v>
      </c>
      <c r="Z137" s="4">
        <f>IFERROR(VALUE(_xll.BDH(Z$4,"PX_LAST",$Q137,$Q137)),Z138)</f>
        <v>48.59</v>
      </c>
      <c r="AA137" s="4">
        <f>IFERROR(VALUE(_xll.BDH(AA$4,"PX_LAST",$Q137,$Q137)),AA138)</f>
        <v>31.71</v>
      </c>
      <c r="AB137" s="4">
        <f>IFERROR(VALUE(_xll.BDH(AB$4,"PX_LAST",$Q137,$Q137)),AB138)</f>
        <v>92.61</v>
      </c>
      <c r="AC137" s="4">
        <f>IFERROR(VALUE(_xll.BDH(AC$4,"PX_LAST",$Q137,$Q137)),AC138)</f>
        <v>8.8699999999999992</v>
      </c>
      <c r="AD137" s="4">
        <f>IFERROR(VALUE(_xll.BDH(AD$4,"PX_LAST",$Q137,$Q137)),AD138)</f>
        <v>43.54</v>
      </c>
      <c r="AF137" s="4">
        <f t="shared" si="41"/>
        <v>0.95196506550218352</v>
      </c>
      <c r="AG137" s="4">
        <f t="shared" si="42"/>
        <v>1.6454453098543855</v>
      </c>
      <c r="AH137" s="4">
        <f t="shared" si="43"/>
        <v>1.1157635467980296</v>
      </c>
      <c r="AI137" s="4">
        <f t="shared" si="44"/>
        <v>0.99281732418524871</v>
      </c>
      <c r="AJ137" s="4">
        <f t="shared" si="45"/>
        <v>1.1046077210460772</v>
      </c>
      <c r="AK137" s="4">
        <f t="shared" si="46"/>
        <v>1.4905854159534406</v>
      </c>
      <c r="AM137" s="528">
        <v>45775</v>
      </c>
      <c r="AN137" s="529">
        <v>9.5</v>
      </c>
      <c r="AO137" s="529">
        <v>0</v>
      </c>
      <c r="AP137" s="529">
        <v>0</v>
      </c>
      <c r="AQ137" s="529">
        <v>-230.15365</v>
      </c>
      <c r="AR137" s="529">
        <v>0</v>
      </c>
    </row>
    <row r="138" spans="2:44">
      <c r="B138" s="530">
        <f t="shared" ca="1" si="47"/>
        <v>45020</v>
      </c>
      <c r="C138" s="526">
        <f ca="1">(IFERROR(IFERROR(VALUE(_xll.BDH(C$4,"CURRENT_EV_TO_T12M_EBITDA",$B138,$B138)),VALUE(_xll.BDH(C$4,"CURRENT_EV_TO_T12M_EBITDA",$B138+1,$B138+1))),C139))</f>
        <v>0</v>
      </c>
      <c r="D138" s="526">
        <f ca="1">(IFERROR(IFERROR(VALUE(_xll.BDH(D$4,"CURRENT_EV_TO_T12M_EBITDA",$B138,$B138)),VALUE(_xll.BDH(D$4,"CURRENT_EV_TO_T12M_EBITDA",$B138+1,$B138+1))),D139))</f>
        <v>0</v>
      </c>
      <c r="E138" s="526">
        <f ca="1">(IFERROR(IFERROR(VALUE(_xll.BDH(E$4,"CURRENT_EV_TO_T12M_EBITDA",$B138,$B138)),VALUE(_xll.BDH(E$4,"CURRENT_EV_TO_T12M_EBITDA",$B138+1,$B138+1))),E139))</f>
        <v>0</v>
      </c>
      <c r="F138" s="526">
        <f ca="1">(IFERROR(IFERROR(VALUE(_xll.BDH(F$4,"CURRENT_EV_TO_T12M_EBITDA",$B138,$B138)),VALUE(_xll.BDH(F$4,"CURRENT_EV_TO_T12M_EBITDA",$B138+1,$B138+1))),F139))</f>
        <v>0</v>
      </c>
      <c r="G138" s="526">
        <f ca="1">(IFERROR(IFERROR(VALUE(_xll.BDH(G$4,"CURRENT_EV_TO_T12M_EBITDA",$B138,$B138)),VALUE(_xll.BDH(G$4,"CURRENT_EV_TO_T12M_EBITDA",$B138+1,$B138+1))),G139))</f>
        <v>0</v>
      </c>
      <c r="H138" s="526">
        <f ca="1">(IFERROR(IFERROR(VALUE(_xll.BDH(H$4,"CURRENT_EV_TO_T12M_EBITDA",$B138,$B138)),VALUE(_xll.BDH(H$4,"CURRENT_EV_TO_T12M_EBITDA",$B138+1,$B138+1))),H139))</f>
        <v>0</v>
      </c>
      <c r="I138" s="530">
        <f t="shared" ca="1" si="39"/>
        <v>45020</v>
      </c>
      <c r="J138" s="526">
        <f ca="1">(IFERROR(IFERROR(VALUE(_xll.BDH(J$4,"PE_RATIO",$B138,$B138)),VALUE(_xll.BDH(J$4,"PE_RATIO",$B138+1,$B138+1))),J139))</f>
        <v>0</v>
      </c>
      <c r="K138" s="526">
        <f ca="1">(IFERROR(IFERROR(VALUE(_xll.BDH(K$4,"PE_RATIO",$B138,$B138)),VALUE(_xll.BDH(K$4,"PE_RATIO",$B138+1,$B138+1))),K139))</f>
        <v>0</v>
      </c>
      <c r="L138" s="526">
        <f ca="1">(IFERROR(IFERROR(VALUE(_xll.BDH(L$4,"PE_RATIO",$B138,$B138)),VALUE(_xll.BDH(L$4,"PE_RATIO",$B138+1,$B138+1))),L139))</f>
        <v>0</v>
      </c>
      <c r="M138" s="526">
        <f ca="1">(IFERROR(IFERROR(VALUE(_xll.BDH(M$4,"PE_RATIO",$B138,$B138)),VALUE(_xll.BDH(M$4,"PE_RATIO",$B138+1,$B138+1))),M139))</f>
        <v>0</v>
      </c>
      <c r="N138" s="526">
        <f ca="1">(IFERROR(IFERROR(VALUE(_xll.BDH(N$4,"PE_RATIO",$B138,$B138)),VALUE(_xll.BDH(N$4,"PE_RATIO",$B138+1,$B138+1))),N139))</f>
        <v>0</v>
      </c>
      <c r="O138" s="526">
        <f ca="1">(IFERROR(IFERROR(VALUE(_xll.BDH(O$4,"PE_RATIO",$B138,$B138)),VALUE(_xll.BDH(O$4,"PE_RATIO",$B138+1,$B138+1))),O139))</f>
        <v>0</v>
      </c>
      <c r="P138" s="526"/>
      <c r="Q138" s="530">
        <v>44977</v>
      </c>
      <c r="R138" s="4">
        <v>2.2400000000000002</v>
      </c>
      <c r="S138" s="4">
        <v>12502.31</v>
      </c>
      <c r="T138" s="4">
        <v>4435.72</v>
      </c>
      <c r="U138" s="4">
        <v>0.97816593886462888</v>
      </c>
      <c r="V138" s="4">
        <v>1.1109105917749158</v>
      </c>
      <c r="W138" s="4">
        <v>1.1665794394489695</v>
      </c>
      <c r="Y138" s="526">
        <f t="shared" si="40"/>
        <v>2.2400000000000002</v>
      </c>
      <c r="Z138" s="4">
        <f>IFERROR(VALUE(_xll.BDH(Z$4,"PX_LAST",$Q138,$Q138)),Z139)</f>
        <v>50.84</v>
      </c>
      <c r="AA138" s="4">
        <f>IFERROR(VALUE(_xll.BDH(AA$4,"PX_LAST",$Q138,$Q138)),AA139)</f>
        <v>33.159999999999997</v>
      </c>
      <c r="AB138" s="4">
        <f>IFERROR(VALUE(_xll.BDH(AB$4,"PX_LAST",$Q138,$Q138)),AB139)</f>
        <v>97.234999999999999</v>
      </c>
      <c r="AC138" s="4">
        <f>IFERROR(VALUE(_xll.BDH(AC$4,"PX_LAST",$Q138,$Q138)),AC139)</f>
        <v>9.27</v>
      </c>
      <c r="AD138" s="4">
        <f>IFERROR(VALUE(_xll.BDH(AD$4,"PX_LAST",$Q138,$Q138)),AD139)</f>
        <v>45.85</v>
      </c>
      <c r="AF138" s="4">
        <f t="shared" si="41"/>
        <v>0.97816593886462888</v>
      </c>
      <c r="AG138" s="4">
        <f t="shared" si="42"/>
        <v>1.7216390111750763</v>
      </c>
      <c r="AH138" s="4">
        <f t="shared" si="43"/>
        <v>1.1667839549612946</v>
      </c>
      <c r="AI138" s="4">
        <f t="shared" si="44"/>
        <v>1.0423992281303602</v>
      </c>
      <c r="AJ138" s="4">
        <f t="shared" si="45"/>
        <v>1.1544209215442092</v>
      </c>
      <c r="AK138" s="4">
        <f t="shared" si="46"/>
        <v>1.5696679219445395</v>
      </c>
      <c r="AM138" s="528">
        <v>45774</v>
      </c>
      <c r="AN138" s="529">
        <v>9.27</v>
      </c>
      <c r="AO138" s="529">
        <v>-966812</v>
      </c>
      <c r="AP138" s="529">
        <v>-48.453400000000002</v>
      </c>
      <c r="AQ138" s="529">
        <v>-673.74452700000006</v>
      </c>
      <c r="AR138" s="529">
        <v>-0.72940000000000005</v>
      </c>
    </row>
    <row r="139" spans="2:44">
      <c r="B139" s="530">
        <f t="shared" ca="1" si="47"/>
        <v>45013</v>
      </c>
      <c r="C139" s="526">
        <f ca="1">(IFERROR(IFERROR(VALUE(_xll.BDH(C$4,"CURRENT_EV_TO_T12M_EBITDA",$B139,$B139)),VALUE(_xll.BDH(C$4,"CURRENT_EV_TO_T12M_EBITDA",$B139+1,$B139+1))),C140))</f>
        <v>0</v>
      </c>
      <c r="D139" s="526">
        <f ca="1">(IFERROR(IFERROR(VALUE(_xll.BDH(D$4,"CURRENT_EV_TO_T12M_EBITDA",$B139,$B139)),VALUE(_xll.BDH(D$4,"CURRENT_EV_TO_T12M_EBITDA",$B139+1,$B139+1))),D140))</f>
        <v>0</v>
      </c>
      <c r="E139" s="526">
        <f ca="1">(IFERROR(IFERROR(VALUE(_xll.BDH(E$4,"CURRENT_EV_TO_T12M_EBITDA",$B139,$B139)),VALUE(_xll.BDH(E$4,"CURRENT_EV_TO_T12M_EBITDA",$B139+1,$B139+1))),E140))</f>
        <v>0</v>
      </c>
      <c r="F139" s="526">
        <f ca="1">(IFERROR(IFERROR(VALUE(_xll.BDH(F$4,"CURRENT_EV_TO_T12M_EBITDA",$B139,$B139)),VALUE(_xll.BDH(F$4,"CURRENT_EV_TO_T12M_EBITDA",$B139+1,$B139+1))),F140))</f>
        <v>0</v>
      </c>
      <c r="G139" s="526">
        <f ca="1">(IFERROR(IFERROR(VALUE(_xll.BDH(G$4,"CURRENT_EV_TO_T12M_EBITDA",$B139,$B139)),VALUE(_xll.BDH(G$4,"CURRENT_EV_TO_T12M_EBITDA",$B139+1,$B139+1))),G140))</f>
        <v>0</v>
      </c>
      <c r="H139" s="526">
        <f ca="1">(IFERROR(IFERROR(VALUE(_xll.BDH(H$4,"CURRENT_EV_TO_T12M_EBITDA",$B139,$B139)),VALUE(_xll.BDH(H$4,"CURRENT_EV_TO_T12M_EBITDA",$B139+1,$B139+1))),H140))</f>
        <v>0</v>
      </c>
      <c r="I139" s="530">
        <f t="shared" ca="1" si="39"/>
        <v>45013</v>
      </c>
      <c r="J139" s="526">
        <f ca="1">(IFERROR(IFERROR(VALUE(_xll.BDH(J$4,"PE_RATIO",$B139,$B139)),VALUE(_xll.BDH(J$4,"PE_RATIO",$B139+1,$B139+1))),J140))</f>
        <v>0</v>
      </c>
      <c r="K139" s="526">
        <f ca="1">(IFERROR(IFERROR(VALUE(_xll.BDH(K$4,"PE_RATIO",$B139,$B139)),VALUE(_xll.BDH(K$4,"PE_RATIO",$B139+1,$B139+1))),K140))</f>
        <v>0</v>
      </c>
      <c r="L139" s="526">
        <f ca="1">(IFERROR(IFERROR(VALUE(_xll.BDH(L$4,"PE_RATIO",$B139,$B139)),VALUE(_xll.BDH(L$4,"PE_RATIO",$B139+1,$B139+1))),L140))</f>
        <v>0</v>
      </c>
      <c r="M139" s="526">
        <f ca="1">(IFERROR(IFERROR(VALUE(_xll.BDH(M$4,"PE_RATIO",$B139,$B139)),VALUE(_xll.BDH(M$4,"PE_RATIO",$B139+1,$B139+1))),M140))</f>
        <v>0</v>
      </c>
      <c r="N139" s="526">
        <f ca="1">(IFERROR(IFERROR(VALUE(_xll.BDH(N$4,"PE_RATIO",$B139,$B139)),VALUE(_xll.BDH(N$4,"PE_RATIO",$B139+1,$B139+1))),N140))</f>
        <v>0</v>
      </c>
      <c r="O139" s="526">
        <f ca="1">(IFERROR(IFERROR(VALUE(_xll.BDH(O$4,"PE_RATIO",$B139,$B139)),VALUE(_xll.BDH(O$4,"PE_RATIO",$B139+1,$B139+1))),O140))</f>
        <v>0</v>
      </c>
      <c r="P139" s="526"/>
      <c r="Q139" s="530">
        <v>44970</v>
      </c>
      <c r="R139" s="4">
        <v>2.2400000000000002</v>
      </c>
      <c r="S139" s="4">
        <v>12502.31</v>
      </c>
      <c r="T139" s="4">
        <v>4435.72</v>
      </c>
      <c r="U139" s="4">
        <v>0.97816593886462888</v>
      </c>
      <c r="V139" s="4">
        <v>1.1109105917749158</v>
      </c>
      <c r="W139" s="4">
        <v>1.1665794394489695</v>
      </c>
      <c r="Y139" s="526">
        <f t="shared" si="40"/>
        <v>2.2400000000000002</v>
      </c>
      <c r="Z139" s="4">
        <f>IFERROR(VALUE(_xll.BDH(Z$4,"PX_LAST",$Q139,$Q139)),Z140)</f>
        <v>50.84</v>
      </c>
      <c r="AA139" s="4">
        <f>IFERROR(VALUE(_xll.BDH(AA$4,"PX_LAST",$Q139,$Q139)),AA140)</f>
        <v>33.159999999999997</v>
      </c>
      <c r="AB139" s="4">
        <f>IFERROR(VALUE(_xll.BDH(AB$4,"PX_LAST",$Q139,$Q139)),AB140)</f>
        <v>97.234999999999999</v>
      </c>
      <c r="AC139" s="4">
        <f>IFERROR(VALUE(_xll.BDH(AC$4,"PX_LAST",$Q139,$Q139)),AC140)</f>
        <v>9.27</v>
      </c>
      <c r="AD139" s="4">
        <f>IFERROR(VALUE(_xll.BDH(AD$4,"PX_LAST",$Q139,$Q139)),AD140)</f>
        <v>45.85</v>
      </c>
      <c r="AF139" s="4">
        <f t="shared" si="41"/>
        <v>0.97816593886462888</v>
      </c>
      <c r="AG139" s="4">
        <f t="shared" si="42"/>
        <v>1.7216390111750763</v>
      </c>
      <c r="AH139" s="4">
        <f t="shared" si="43"/>
        <v>1.1667839549612946</v>
      </c>
      <c r="AI139" s="4">
        <f t="shared" si="44"/>
        <v>1.0423992281303602</v>
      </c>
      <c r="AJ139" s="4">
        <f t="shared" si="45"/>
        <v>1.1544209215442092</v>
      </c>
      <c r="AK139" s="4">
        <f t="shared" si="46"/>
        <v>1.5696679219445395</v>
      </c>
      <c r="AM139" s="528">
        <v>45773</v>
      </c>
      <c r="AN139" s="529">
        <v>9.27</v>
      </c>
      <c r="AO139" s="529">
        <v>-483406</v>
      </c>
      <c r="AP139" s="529">
        <v>-24.226700000000001</v>
      </c>
      <c r="AQ139" s="529">
        <v>-449.16301800000002</v>
      </c>
      <c r="AR139" s="529">
        <v>-0.36470000000000002</v>
      </c>
    </row>
    <row r="140" spans="2:44">
      <c r="B140" s="530">
        <f t="shared" ca="1" si="47"/>
        <v>45006</v>
      </c>
      <c r="C140" s="526">
        <f ca="1">(IFERROR(IFERROR(VALUE(_xll.BDH(C$4,"CURRENT_EV_TO_T12M_EBITDA",$B140,$B140)),VALUE(_xll.BDH(C$4,"CURRENT_EV_TO_T12M_EBITDA",$B140+1,$B140+1))),C141))</f>
        <v>0</v>
      </c>
      <c r="D140" s="526">
        <f ca="1">(IFERROR(IFERROR(VALUE(_xll.BDH(D$4,"CURRENT_EV_TO_T12M_EBITDA",$B140,$B140)),VALUE(_xll.BDH(D$4,"CURRENT_EV_TO_T12M_EBITDA",$B140+1,$B140+1))),D141))</f>
        <v>0</v>
      </c>
      <c r="E140" s="526">
        <f ca="1">(IFERROR(IFERROR(VALUE(_xll.BDH(E$4,"CURRENT_EV_TO_T12M_EBITDA",$B140,$B140)),VALUE(_xll.BDH(E$4,"CURRENT_EV_TO_T12M_EBITDA",$B140+1,$B140+1))),E141))</f>
        <v>0</v>
      </c>
      <c r="F140" s="526">
        <f ca="1">(IFERROR(IFERROR(VALUE(_xll.BDH(F$4,"CURRENT_EV_TO_T12M_EBITDA",$B140,$B140)),VALUE(_xll.BDH(F$4,"CURRENT_EV_TO_T12M_EBITDA",$B140+1,$B140+1))),F141))</f>
        <v>0</v>
      </c>
      <c r="G140" s="526">
        <f ca="1">(IFERROR(IFERROR(VALUE(_xll.BDH(G$4,"CURRENT_EV_TO_T12M_EBITDA",$B140,$B140)),VALUE(_xll.BDH(G$4,"CURRENT_EV_TO_T12M_EBITDA",$B140+1,$B140+1))),G141))</f>
        <v>0</v>
      </c>
      <c r="H140" s="526">
        <f ca="1">(IFERROR(IFERROR(VALUE(_xll.BDH(H$4,"CURRENT_EV_TO_T12M_EBITDA",$B140,$B140)),VALUE(_xll.BDH(H$4,"CURRENT_EV_TO_T12M_EBITDA",$B140+1,$B140+1))),H141))</f>
        <v>0</v>
      </c>
      <c r="I140" s="530">
        <f t="shared" ca="1" si="39"/>
        <v>45006</v>
      </c>
      <c r="J140" s="526">
        <f ca="1">(IFERROR(IFERROR(VALUE(_xll.BDH(J$4,"PE_RATIO",$B140,$B140)),VALUE(_xll.BDH(J$4,"PE_RATIO",$B140+1,$B140+1))),J141))</f>
        <v>0</v>
      </c>
      <c r="K140" s="526">
        <f ca="1">(IFERROR(IFERROR(VALUE(_xll.BDH(K$4,"PE_RATIO",$B140,$B140)),VALUE(_xll.BDH(K$4,"PE_RATIO",$B140+1,$B140+1))),K141))</f>
        <v>0</v>
      </c>
      <c r="L140" s="526">
        <f ca="1">(IFERROR(IFERROR(VALUE(_xll.BDH(L$4,"PE_RATIO",$B140,$B140)),VALUE(_xll.BDH(L$4,"PE_RATIO",$B140+1,$B140+1))),L141))</f>
        <v>0</v>
      </c>
      <c r="M140" s="526">
        <f ca="1">(IFERROR(IFERROR(VALUE(_xll.BDH(M$4,"PE_RATIO",$B140,$B140)),VALUE(_xll.BDH(M$4,"PE_RATIO",$B140+1,$B140+1))),M141))</f>
        <v>0</v>
      </c>
      <c r="N140" s="526">
        <f ca="1">(IFERROR(IFERROR(VALUE(_xll.BDH(N$4,"PE_RATIO",$B140,$B140)),VALUE(_xll.BDH(N$4,"PE_RATIO",$B140+1,$B140+1))),N141))</f>
        <v>0</v>
      </c>
      <c r="O140" s="526">
        <f ca="1">(IFERROR(IFERROR(VALUE(_xll.BDH(O$4,"PE_RATIO",$B140,$B140)),VALUE(_xll.BDH(O$4,"PE_RATIO",$B140+1,$B140+1))),O141))</f>
        <v>0</v>
      </c>
      <c r="P140" s="526"/>
      <c r="Q140" s="530">
        <v>44963</v>
      </c>
      <c r="R140" s="4">
        <v>2.41</v>
      </c>
      <c r="S140" s="4">
        <v>12464.51</v>
      </c>
      <c r="T140" s="4">
        <v>4259.68</v>
      </c>
      <c r="U140" s="4">
        <v>1.052401746724891</v>
      </c>
      <c r="V140" s="4">
        <v>1.1075518188466258</v>
      </c>
      <c r="W140" s="4">
        <v>1.1202815115994667</v>
      </c>
      <c r="Y140" s="526">
        <f t="shared" si="40"/>
        <v>2.41</v>
      </c>
      <c r="Z140" s="4">
        <f>IFERROR(VALUE(_xll.BDH(Z$4,"PX_LAST",$Q140,$Q140)),Z141)</f>
        <v>51.62</v>
      </c>
      <c r="AA140" s="4">
        <f>IFERROR(VALUE(_xll.BDH(AA$4,"PX_LAST",$Q140,$Q140)),AA141)</f>
        <v>36.53</v>
      </c>
      <c r="AB140" s="4">
        <f>IFERROR(VALUE(_xll.BDH(AB$4,"PX_LAST",$Q140,$Q140)),AB141)</f>
        <v>100.66</v>
      </c>
      <c r="AC140" s="4">
        <f>IFERROR(VALUE(_xll.BDH(AC$4,"PX_LAST",$Q140,$Q140)),AC141)</f>
        <v>9.31</v>
      </c>
      <c r="AD140" s="4">
        <f>IFERROR(VALUE(_xll.BDH(AD$4,"PX_LAST",$Q140,$Q140)),AD141)</f>
        <v>42.31</v>
      </c>
      <c r="AF140" s="4">
        <f t="shared" si="41"/>
        <v>1.052401746724891</v>
      </c>
      <c r="AG140" s="4">
        <f t="shared" si="42"/>
        <v>1.7480528276329155</v>
      </c>
      <c r="AH140" s="4">
        <f t="shared" si="43"/>
        <v>1.2853624208304011</v>
      </c>
      <c r="AI140" s="4">
        <f t="shared" si="44"/>
        <v>1.0791166380789021</v>
      </c>
      <c r="AJ140" s="4">
        <f t="shared" si="45"/>
        <v>1.1594022415940226</v>
      </c>
      <c r="AK140" s="4">
        <f t="shared" si="46"/>
        <v>1.4484765491270113</v>
      </c>
      <c r="AM140" s="528">
        <v>45772</v>
      </c>
      <c r="AN140" s="529">
        <v>9.27</v>
      </c>
      <c r="AO140" s="529">
        <v>0</v>
      </c>
      <c r="AP140" s="529">
        <v>0</v>
      </c>
      <c r="AQ140" s="529">
        <v>-224.58150900000001</v>
      </c>
      <c r="AR140" s="529">
        <v>0</v>
      </c>
    </row>
    <row r="141" spans="2:44">
      <c r="B141" s="530">
        <f t="shared" ca="1" si="47"/>
        <v>44999</v>
      </c>
      <c r="C141" s="526">
        <f ca="1">(IFERROR(IFERROR(VALUE(_xll.BDH(C$4,"CURRENT_EV_TO_T12M_EBITDA",$B141,$B141)),VALUE(_xll.BDH(C$4,"CURRENT_EV_TO_T12M_EBITDA",$B141+1,$B141+1))),C142))</f>
        <v>0</v>
      </c>
      <c r="D141" s="526">
        <f ca="1">(IFERROR(IFERROR(VALUE(_xll.BDH(D$4,"CURRENT_EV_TO_T12M_EBITDA",$B141,$B141)),VALUE(_xll.BDH(D$4,"CURRENT_EV_TO_T12M_EBITDA",$B141+1,$B141+1))),D142))</f>
        <v>0</v>
      </c>
      <c r="E141" s="526">
        <f ca="1">(IFERROR(IFERROR(VALUE(_xll.BDH(E$4,"CURRENT_EV_TO_T12M_EBITDA",$B141,$B141)),VALUE(_xll.BDH(E$4,"CURRENT_EV_TO_T12M_EBITDA",$B141+1,$B141+1))),E142))</f>
        <v>0</v>
      </c>
      <c r="F141" s="526">
        <f ca="1">(IFERROR(IFERROR(VALUE(_xll.BDH(F$4,"CURRENT_EV_TO_T12M_EBITDA",$B141,$B141)),VALUE(_xll.BDH(F$4,"CURRENT_EV_TO_T12M_EBITDA",$B141+1,$B141+1))),F142))</f>
        <v>0</v>
      </c>
      <c r="G141" s="526">
        <f ca="1">(IFERROR(IFERROR(VALUE(_xll.BDH(G$4,"CURRENT_EV_TO_T12M_EBITDA",$B141,$B141)),VALUE(_xll.BDH(G$4,"CURRENT_EV_TO_T12M_EBITDA",$B141+1,$B141+1))),G142))</f>
        <v>0</v>
      </c>
      <c r="H141" s="526">
        <f ca="1">(IFERROR(IFERROR(VALUE(_xll.BDH(H$4,"CURRENT_EV_TO_T12M_EBITDA",$B141,$B141)),VALUE(_xll.BDH(H$4,"CURRENT_EV_TO_T12M_EBITDA",$B141+1,$B141+1))),H142))</f>
        <v>0</v>
      </c>
      <c r="I141" s="530">
        <f t="shared" ca="1" si="39"/>
        <v>44999</v>
      </c>
      <c r="J141" s="526">
        <f ca="1">(IFERROR(IFERROR(VALUE(_xll.BDH(J$4,"PE_RATIO",$B141,$B141)),VALUE(_xll.BDH(J$4,"PE_RATIO",$B141+1,$B141+1))),J142))</f>
        <v>0</v>
      </c>
      <c r="K141" s="526">
        <f ca="1">(IFERROR(IFERROR(VALUE(_xll.BDH(K$4,"PE_RATIO",$B141,$B141)),VALUE(_xll.BDH(K$4,"PE_RATIO",$B141+1,$B141+1))),K142))</f>
        <v>0</v>
      </c>
      <c r="L141" s="526">
        <f ca="1">(IFERROR(IFERROR(VALUE(_xll.BDH(L$4,"PE_RATIO",$B141,$B141)),VALUE(_xll.BDH(L$4,"PE_RATIO",$B141+1,$B141+1))),L142))</f>
        <v>0</v>
      </c>
      <c r="M141" s="526">
        <f ca="1">(IFERROR(IFERROR(VALUE(_xll.BDH(M$4,"PE_RATIO",$B141,$B141)),VALUE(_xll.BDH(M$4,"PE_RATIO",$B141+1,$B141+1))),M142))</f>
        <v>0</v>
      </c>
      <c r="N141" s="526">
        <f ca="1">(IFERROR(IFERROR(VALUE(_xll.BDH(N$4,"PE_RATIO",$B141,$B141)),VALUE(_xll.BDH(N$4,"PE_RATIO",$B141+1,$B141+1))),N142))</f>
        <v>0</v>
      </c>
      <c r="O141" s="526">
        <f ca="1">(IFERROR(IFERROR(VALUE(_xll.BDH(O$4,"PE_RATIO",$B141,$B141)),VALUE(_xll.BDH(O$4,"PE_RATIO",$B141+1,$B141+1))),O142))</f>
        <v>0</v>
      </c>
      <c r="P141" s="526"/>
      <c r="Q141" s="530">
        <v>44956</v>
      </c>
      <c r="R141" s="4">
        <v>2.2799999999999998</v>
      </c>
      <c r="S141" s="4">
        <v>11912.39</v>
      </c>
      <c r="T141" s="4">
        <v>4075.7</v>
      </c>
      <c r="U141" s="4">
        <v>0.99563318777292564</v>
      </c>
      <c r="V141" s="4">
        <v>1.0584924085511869</v>
      </c>
      <c r="W141" s="4">
        <v>1.071895390457956</v>
      </c>
      <c r="Y141" s="526">
        <f t="shared" si="40"/>
        <v>2.2799999999999998</v>
      </c>
      <c r="Z141" s="4">
        <f>IFERROR(VALUE(_xll.BDH(Z$4,"PX_LAST",$Q141,$Q141)),Z142)</f>
        <v>44.48</v>
      </c>
      <c r="AA141" s="4">
        <f>IFERROR(VALUE(_xll.BDH(AA$4,"PX_LAST",$Q141,$Q141)),AA142)</f>
        <v>33.67</v>
      </c>
      <c r="AB141" s="4">
        <f>IFERROR(VALUE(_xll.BDH(AB$4,"PX_LAST",$Q141,$Q141)),AB142)</f>
        <v>95.41</v>
      </c>
      <c r="AC141" s="4">
        <f>IFERROR(VALUE(_xll.BDH(AC$4,"PX_LAST",$Q141,$Q141)),AC142)</f>
        <v>8.8699999999999992</v>
      </c>
      <c r="AD141" s="4">
        <f>IFERROR(VALUE(_xll.BDH(AD$4,"PX_LAST",$Q141,$Q141)),AD142)</f>
        <v>42.18</v>
      </c>
      <c r="AF141" s="4">
        <f t="shared" si="41"/>
        <v>0.99563318777292564</v>
      </c>
      <c r="AG141" s="4">
        <f t="shared" si="42"/>
        <v>1.5062648154419234</v>
      </c>
      <c r="AH141" s="4">
        <f t="shared" si="43"/>
        <v>1.1847290640394088</v>
      </c>
      <c r="AI141" s="4">
        <f t="shared" si="44"/>
        <v>1.0228344768439108</v>
      </c>
      <c r="AJ141" s="4">
        <f t="shared" si="45"/>
        <v>1.1046077210460772</v>
      </c>
      <c r="AK141" s="4">
        <f t="shared" si="46"/>
        <v>1.4440260184868194</v>
      </c>
      <c r="AM141" s="528">
        <v>45771</v>
      </c>
      <c r="AN141" s="529">
        <v>9.3699999999999992</v>
      </c>
      <c r="AO141" s="529">
        <v>0</v>
      </c>
      <c r="AP141" s="529">
        <v>0</v>
      </c>
      <c r="AQ141" s="529">
        <v>-227.00417899999999</v>
      </c>
      <c r="AR141" s="529">
        <v>0</v>
      </c>
    </row>
    <row r="142" spans="2:44">
      <c r="B142" s="530">
        <f t="shared" ca="1" si="47"/>
        <v>44992</v>
      </c>
      <c r="C142" s="526">
        <f ca="1">(IFERROR(IFERROR(VALUE(_xll.BDH(C$4,"CURRENT_EV_TO_T12M_EBITDA",$B142,$B142)),VALUE(_xll.BDH(C$4,"CURRENT_EV_TO_T12M_EBITDA",$B142+1,$B142+1))),C143))</f>
        <v>0</v>
      </c>
      <c r="D142" s="526">
        <f ca="1">(IFERROR(IFERROR(VALUE(_xll.BDH(D$4,"CURRENT_EV_TO_T12M_EBITDA",$B142,$B142)),VALUE(_xll.BDH(D$4,"CURRENT_EV_TO_T12M_EBITDA",$B142+1,$B142+1))),D143))</f>
        <v>0</v>
      </c>
      <c r="E142" s="526">
        <f ca="1">(IFERROR(IFERROR(VALUE(_xll.BDH(E$4,"CURRENT_EV_TO_T12M_EBITDA",$B142,$B142)),VALUE(_xll.BDH(E$4,"CURRENT_EV_TO_T12M_EBITDA",$B142+1,$B142+1))),E143))</f>
        <v>0</v>
      </c>
      <c r="F142" s="526">
        <f ca="1">(IFERROR(IFERROR(VALUE(_xll.BDH(F$4,"CURRENT_EV_TO_T12M_EBITDA",$B142,$B142)),VALUE(_xll.BDH(F$4,"CURRENT_EV_TO_T12M_EBITDA",$B142+1,$B142+1))),F143))</f>
        <v>0</v>
      </c>
      <c r="G142" s="526">
        <f ca="1">(IFERROR(IFERROR(VALUE(_xll.BDH(G$4,"CURRENT_EV_TO_T12M_EBITDA",$B142,$B142)),VALUE(_xll.BDH(G$4,"CURRENT_EV_TO_T12M_EBITDA",$B142+1,$B142+1))),G143))</f>
        <v>0</v>
      </c>
      <c r="H142" s="526">
        <f ca="1">(IFERROR(IFERROR(VALUE(_xll.BDH(H$4,"CURRENT_EV_TO_T12M_EBITDA",$B142,$B142)),VALUE(_xll.BDH(H$4,"CURRENT_EV_TO_T12M_EBITDA",$B142+1,$B142+1))),H143))</f>
        <v>0</v>
      </c>
      <c r="I142" s="530">
        <f t="shared" ca="1" si="39"/>
        <v>44992</v>
      </c>
      <c r="J142" s="526">
        <f ca="1">(IFERROR(IFERROR(VALUE(_xll.BDH(J$4,"PE_RATIO",$B142,$B142)),VALUE(_xll.BDH(J$4,"PE_RATIO",$B142+1,$B142+1))),J143))</f>
        <v>0</v>
      </c>
      <c r="K142" s="526">
        <f ca="1">(IFERROR(IFERROR(VALUE(_xll.BDH(K$4,"PE_RATIO",$B142,$B142)),VALUE(_xll.BDH(K$4,"PE_RATIO",$B142+1,$B142+1))),K143))</f>
        <v>0</v>
      </c>
      <c r="L142" s="526">
        <f ca="1">(IFERROR(IFERROR(VALUE(_xll.BDH(L$4,"PE_RATIO",$B142,$B142)),VALUE(_xll.BDH(L$4,"PE_RATIO",$B142+1,$B142+1))),L143))</f>
        <v>0</v>
      </c>
      <c r="M142" s="526">
        <f ca="1">(IFERROR(IFERROR(VALUE(_xll.BDH(M$4,"PE_RATIO",$B142,$B142)),VALUE(_xll.BDH(M$4,"PE_RATIO",$B142+1,$B142+1))),M143))</f>
        <v>0</v>
      </c>
      <c r="N142" s="526">
        <f ca="1">(IFERROR(IFERROR(VALUE(_xll.BDH(N$4,"PE_RATIO",$B142,$B142)),VALUE(_xll.BDH(N$4,"PE_RATIO",$B142+1,$B142+1))),N143))</f>
        <v>0</v>
      </c>
      <c r="O142" s="526">
        <f ca="1">(IFERROR(IFERROR(VALUE(_xll.BDH(O$4,"PE_RATIO",$B142,$B142)),VALUE(_xll.BDH(O$4,"PE_RATIO",$B142+1,$B142+1))),O143))</f>
        <v>0</v>
      </c>
      <c r="P142" s="526"/>
      <c r="Q142" s="530">
        <v>44949</v>
      </c>
      <c r="R142" s="4">
        <v>2.17</v>
      </c>
      <c r="S142" s="4">
        <v>11872.54</v>
      </c>
      <c r="T142" s="4">
        <v>4069.37</v>
      </c>
      <c r="U142" s="4">
        <v>0.94759825327510916</v>
      </c>
      <c r="V142" s="4">
        <v>1.0549514799482145</v>
      </c>
      <c r="W142" s="4">
        <v>1.0702306217503479</v>
      </c>
      <c r="Y142" s="526">
        <f t="shared" si="40"/>
        <v>2.17</v>
      </c>
      <c r="Z142" s="4">
        <f>IFERROR(VALUE(_xll.BDH(Z$4,"PX_LAST",$Q142,$Q142)),Z143)</f>
        <v>41.21</v>
      </c>
      <c r="AA142" s="4">
        <f>IFERROR(VALUE(_xll.BDH(AA$4,"PX_LAST",$Q142,$Q142)),AA143)</f>
        <v>33.200000000000003</v>
      </c>
      <c r="AB142" s="4">
        <f>IFERROR(VALUE(_xll.BDH(AB$4,"PX_LAST",$Q142,$Q142)),AB143)</f>
        <v>82</v>
      </c>
      <c r="AC142" s="4">
        <f>IFERROR(VALUE(_xll.BDH(AC$4,"PX_LAST",$Q142,$Q142)),AC143)</f>
        <v>9.07</v>
      </c>
      <c r="AD142" s="4">
        <f>IFERROR(VALUE(_xll.BDH(AD$4,"PX_LAST",$Q142,$Q142)),AD143)</f>
        <v>41.47</v>
      </c>
      <c r="AF142" s="4">
        <f t="shared" si="41"/>
        <v>0.94759825327510916</v>
      </c>
      <c r="AG142" s="4">
        <f t="shared" si="42"/>
        <v>1.3955299695225194</v>
      </c>
      <c r="AH142" s="4">
        <f t="shared" si="43"/>
        <v>1.1681914144968333</v>
      </c>
      <c r="AI142" s="4">
        <f t="shared" si="44"/>
        <v>0.87907375643224694</v>
      </c>
      <c r="AJ142" s="4">
        <f t="shared" si="45"/>
        <v>1.1295143212951433</v>
      </c>
      <c r="AK142" s="4">
        <f t="shared" si="46"/>
        <v>1.4197192742211571</v>
      </c>
      <c r="AM142" s="528">
        <v>45770</v>
      </c>
      <c r="AN142" s="529">
        <v>8.86</v>
      </c>
      <c r="AO142" s="529">
        <v>0</v>
      </c>
      <c r="AP142" s="529">
        <v>0</v>
      </c>
      <c r="AQ142" s="529">
        <v>-214.648562</v>
      </c>
      <c r="AR142" s="529">
        <v>0</v>
      </c>
    </row>
    <row r="143" spans="2:44">
      <c r="B143" s="530">
        <f t="shared" ca="1" si="47"/>
        <v>44985</v>
      </c>
      <c r="C143" s="526">
        <f ca="1">(IFERROR(IFERROR(VALUE(_xll.BDH(C$4,"CURRENT_EV_TO_T12M_EBITDA",$B143,$B143)),VALUE(_xll.BDH(C$4,"CURRENT_EV_TO_T12M_EBITDA",$B143+1,$B143+1))),C144))</f>
        <v>0</v>
      </c>
      <c r="D143" s="526">
        <f ca="1">(IFERROR(IFERROR(VALUE(_xll.BDH(D$4,"CURRENT_EV_TO_T12M_EBITDA",$B143,$B143)),VALUE(_xll.BDH(D$4,"CURRENT_EV_TO_T12M_EBITDA",$B143+1,$B143+1))),D144))</f>
        <v>0</v>
      </c>
      <c r="E143" s="526">
        <f ca="1">(IFERROR(IFERROR(VALUE(_xll.BDH(E$4,"CURRENT_EV_TO_T12M_EBITDA",$B143,$B143)),VALUE(_xll.BDH(E$4,"CURRENT_EV_TO_T12M_EBITDA",$B143+1,$B143+1))),E144))</f>
        <v>0</v>
      </c>
      <c r="F143" s="526">
        <f ca="1">(IFERROR(IFERROR(VALUE(_xll.BDH(F$4,"CURRENT_EV_TO_T12M_EBITDA",$B143,$B143)),VALUE(_xll.BDH(F$4,"CURRENT_EV_TO_T12M_EBITDA",$B143+1,$B143+1))),F144))</f>
        <v>0</v>
      </c>
      <c r="G143" s="526">
        <f ca="1">(IFERROR(IFERROR(VALUE(_xll.BDH(G$4,"CURRENT_EV_TO_T12M_EBITDA",$B143,$B143)),VALUE(_xll.BDH(G$4,"CURRENT_EV_TO_T12M_EBITDA",$B143+1,$B143+1))),G144))</f>
        <v>0</v>
      </c>
      <c r="H143" s="526">
        <f ca="1">(IFERROR(IFERROR(VALUE(_xll.BDH(H$4,"CURRENT_EV_TO_T12M_EBITDA",$B143,$B143)),VALUE(_xll.BDH(H$4,"CURRENT_EV_TO_T12M_EBITDA",$B143+1,$B143+1))),H144))</f>
        <v>0</v>
      </c>
      <c r="I143" s="530">
        <f t="shared" ca="1" si="39"/>
        <v>44985</v>
      </c>
      <c r="J143" s="526">
        <f ca="1">(IFERROR(IFERROR(VALUE(_xll.BDH(J$4,"PE_RATIO",$B143,$B143)),VALUE(_xll.BDH(J$4,"PE_RATIO",$B143+1,$B143+1))),J144))</f>
        <v>0</v>
      </c>
      <c r="K143" s="526">
        <f ca="1">(IFERROR(IFERROR(VALUE(_xll.BDH(K$4,"PE_RATIO",$B143,$B143)),VALUE(_xll.BDH(K$4,"PE_RATIO",$B143+1,$B143+1))),K144))</f>
        <v>0</v>
      </c>
      <c r="L143" s="526">
        <f ca="1">(IFERROR(IFERROR(VALUE(_xll.BDH(L$4,"PE_RATIO",$B143,$B143)),VALUE(_xll.BDH(L$4,"PE_RATIO",$B143+1,$B143+1))),L144))</f>
        <v>0</v>
      </c>
      <c r="M143" s="526">
        <f ca="1">(IFERROR(IFERROR(VALUE(_xll.BDH(M$4,"PE_RATIO",$B143,$B143)),VALUE(_xll.BDH(M$4,"PE_RATIO",$B143+1,$B143+1))),M144))</f>
        <v>0</v>
      </c>
      <c r="N143" s="526">
        <f ca="1">(IFERROR(IFERROR(VALUE(_xll.BDH(N$4,"PE_RATIO",$B143,$B143)),VALUE(_xll.BDH(N$4,"PE_RATIO",$B143+1,$B143+1))),N144))</f>
        <v>0</v>
      </c>
      <c r="O143" s="526">
        <f ca="1">(IFERROR(IFERROR(VALUE(_xll.BDH(O$4,"PE_RATIO",$B143,$B143)),VALUE(_xll.BDH(O$4,"PE_RATIO",$B143+1,$B143+1))),O144))</f>
        <v>0</v>
      </c>
      <c r="P143" s="526"/>
      <c r="Q143" s="530">
        <v>44942</v>
      </c>
      <c r="R143" s="4">
        <v>2.0699999999999998</v>
      </c>
      <c r="S143" s="4">
        <v>11108.45</v>
      </c>
      <c r="T143" s="4">
        <v>3814.67</v>
      </c>
      <c r="U143" s="4">
        <v>0.9039301310043667</v>
      </c>
      <c r="V143" s="4">
        <v>0.98705717289061512</v>
      </c>
      <c r="W143" s="4">
        <v>1.0032453784916091</v>
      </c>
      <c r="Y143" s="526">
        <f t="shared" si="40"/>
        <v>2.0699999999999998</v>
      </c>
      <c r="Z143" s="4">
        <f>IFERROR(VALUE(_xll.BDH(Z$4,"PX_LAST",$Q143,$Q143)),Z144)</f>
        <v>38.53</v>
      </c>
      <c r="AA143" s="4">
        <f>IFERROR(VALUE(_xll.BDH(AA$4,"PX_LAST",$Q143,$Q143)),AA144)</f>
        <v>30.16</v>
      </c>
      <c r="AB143" s="4">
        <f>IFERROR(VALUE(_xll.BDH(AB$4,"PX_LAST",$Q143,$Q143)),AB144)</f>
        <v>70.73</v>
      </c>
      <c r="AC143" s="4">
        <f>IFERROR(VALUE(_xll.BDH(AC$4,"PX_LAST",$Q143,$Q143)),AC144)</f>
        <v>8.82</v>
      </c>
      <c r="AD143" s="4">
        <f>IFERROR(VALUE(_xll.BDH(AD$4,"PX_LAST",$Q143,$Q143)),AD144)</f>
        <v>36.33</v>
      </c>
      <c r="AF143" s="4">
        <f t="shared" si="41"/>
        <v>0.9039301310043667</v>
      </c>
      <c r="AG143" s="4">
        <f t="shared" si="42"/>
        <v>1.3047748052827632</v>
      </c>
      <c r="AH143" s="4">
        <f t="shared" si="43"/>
        <v>1.0612244897959182</v>
      </c>
      <c r="AI143" s="4">
        <f t="shared" si="44"/>
        <v>0.75825471698113212</v>
      </c>
      <c r="AJ143" s="4">
        <f t="shared" si="45"/>
        <v>1.0983810709838109</v>
      </c>
      <c r="AK143" s="4">
        <f t="shared" si="46"/>
        <v>1.2437521396781923</v>
      </c>
      <c r="AM143" s="528">
        <v>45769</v>
      </c>
      <c r="AN143" s="529">
        <v>8.44</v>
      </c>
      <c r="AO143" s="529">
        <v>0</v>
      </c>
      <c r="AP143" s="529">
        <v>0</v>
      </c>
      <c r="AQ143" s="529">
        <v>-204.47334799999999</v>
      </c>
      <c r="AR143" s="529">
        <v>0</v>
      </c>
    </row>
    <row r="144" spans="2:44">
      <c r="B144" s="530">
        <f t="shared" ca="1" si="47"/>
        <v>44978</v>
      </c>
      <c r="C144" s="526">
        <f ca="1">(IFERROR(IFERROR(VALUE(_xll.BDH(C$4,"CURRENT_EV_TO_T12M_EBITDA",$B144,$B144)),VALUE(_xll.BDH(C$4,"CURRENT_EV_TO_T12M_EBITDA",$B144+1,$B144+1))),C145))</f>
        <v>0</v>
      </c>
      <c r="D144" s="526">
        <f ca="1">(IFERROR(IFERROR(VALUE(_xll.BDH(D$4,"CURRENT_EV_TO_T12M_EBITDA",$B144,$B144)),VALUE(_xll.BDH(D$4,"CURRENT_EV_TO_T12M_EBITDA",$B144+1,$B144+1))),D145))</f>
        <v>0</v>
      </c>
      <c r="E144" s="526">
        <f ca="1">(IFERROR(IFERROR(VALUE(_xll.BDH(E$4,"CURRENT_EV_TO_T12M_EBITDA",$B144,$B144)),VALUE(_xll.BDH(E$4,"CURRENT_EV_TO_T12M_EBITDA",$B144+1,$B144+1))),E145))</f>
        <v>0</v>
      </c>
      <c r="F144" s="526">
        <f ca="1">(IFERROR(IFERROR(VALUE(_xll.BDH(F$4,"CURRENT_EV_TO_T12M_EBITDA",$B144,$B144)),VALUE(_xll.BDH(F$4,"CURRENT_EV_TO_T12M_EBITDA",$B144+1,$B144+1))),F145))</f>
        <v>0</v>
      </c>
      <c r="G144" s="526">
        <f ca="1">(IFERROR(IFERROR(VALUE(_xll.BDH(G$4,"CURRENT_EV_TO_T12M_EBITDA",$B144,$B144)),VALUE(_xll.BDH(G$4,"CURRENT_EV_TO_T12M_EBITDA",$B144+1,$B144+1))),G145))</f>
        <v>0</v>
      </c>
      <c r="H144" s="526">
        <f ca="1">(IFERROR(IFERROR(VALUE(_xll.BDH(H$4,"CURRENT_EV_TO_T12M_EBITDA",$B144,$B144)),VALUE(_xll.BDH(H$4,"CURRENT_EV_TO_T12M_EBITDA",$B144+1,$B144+1))),H145))</f>
        <v>0</v>
      </c>
      <c r="I144" s="530">
        <f t="shared" ca="1" si="39"/>
        <v>44978</v>
      </c>
      <c r="J144" s="526">
        <f ca="1">(IFERROR(IFERROR(VALUE(_xll.BDH(J$4,"PE_RATIO",$B144,$B144)),VALUE(_xll.BDH(J$4,"PE_RATIO",$B144+1,$B144+1))),J145))</f>
        <v>0</v>
      </c>
      <c r="K144" s="526">
        <f ca="1">(IFERROR(IFERROR(VALUE(_xll.BDH(K$4,"PE_RATIO",$B144,$B144)),VALUE(_xll.BDH(K$4,"PE_RATIO",$B144+1,$B144+1))),K145))</f>
        <v>0</v>
      </c>
      <c r="L144" s="526">
        <f ca="1">(IFERROR(IFERROR(VALUE(_xll.BDH(L$4,"PE_RATIO",$B144,$B144)),VALUE(_xll.BDH(L$4,"PE_RATIO",$B144+1,$B144+1))),L145))</f>
        <v>0</v>
      </c>
      <c r="M144" s="526">
        <f ca="1">(IFERROR(IFERROR(VALUE(_xll.BDH(M$4,"PE_RATIO",$B144,$B144)),VALUE(_xll.BDH(M$4,"PE_RATIO",$B144+1,$B144+1))),M145))</f>
        <v>0</v>
      </c>
      <c r="N144" s="526">
        <f ca="1">(IFERROR(IFERROR(VALUE(_xll.BDH(N$4,"PE_RATIO",$B144,$B144)),VALUE(_xll.BDH(N$4,"PE_RATIO",$B144+1,$B144+1))),N145))</f>
        <v>0</v>
      </c>
      <c r="O144" s="526">
        <f ca="1">(IFERROR(IFERROR(VALUE(_xll.BDH(O$4,"PE_RATIO",$B144,$B144)),VALUE(_xll.BDH(O$4,"PE_RATIO",$B144+1,$B144+1))),O145))</f>
        <v>0</v>
      </c>
      <c r="P144" s="526"/>
      <c r="Q144" s="530">
        <v>44935</v>
      </c>
      <c r="R144" s="4">
        <v>2.0699999999999998</v>
      </c>
      <c r="S144" s="4">
        <v>11108.45</v>
      </c>
      <c r="T144" s="4">
        <v>3814.67</v>
      </c>
      <c r="U144" s="4">
        <v>0.9039301310043667</v>
      </c>
      <c r="V144" s="4">
        <v>0.98705717289061512</v>
      </c>
      <c r="W144" s="4">
        <v>1.0032453784916091</v>
      </c>
      <c r="Y144" s="526">
        <f t="shared" si="40"/>
        <v>2.0699999999999998</v>
      </c>
      <c r="Z144" s="4">
        <f>IFERROR(VALUE(_xll.BDH(Z$4,"PX_LAST",$Q144,$Q144)),Z145)</f>
        <v>38.53</v>
      </c>
      <c r="AA144" s="4">
        <f>IFERROR(VALUE(_xll.BDH(AA$4,"PX_LAST",$Q144,$Q144)),AA145)</f>
        <v>30.16</v>
      </c>
      <c r="AB144" s="4">
        <f>IFERROR(VALUE(_xll.BDH(AB$4,"PX_LAST",$Q144,$Q144)),AB145)</f>
        <v>70.73</v>
      </c>
      <c r="AC144" s="4">
        <f>IFERROR(VALUE(_xll.BDH(AC$4,"PX_LAST",$Q144,$Q144)),AC145)</f>
        <v>8.82</v>
      </c>
      <c r="AD144" s="4">
        <f>IFERROR(VALUE(_xll.BDH(AD$4,"PX_LAST",$Q144,$Q144)),AD145)</f>
        <v>36.33</v>
      </c>
      <c r="AF144" s="4">
        <f t="shared" si="41"/>
        <v>0.9039301310043667</v>
      </c>
      <c r="AG144" s="4">
        <f t="shared" si="42"/>
        <v>1.3047748052827632</v>
      </c>
      <c r="AH144" s="4">
        <f t="shared" si="43"/>
        <v>1.0612244897959182</v>
      </c>
      <c r="AI144" s="4">
        <f t="shared" si="44"/>
        <v>0.75825471698113212</v>
      </c>
      <c r="AJ144" s="4">
        <f t="shared" si="45"/>
        <v>1.0983810709838109</v>
      </c>
      <c r="AK144" s="4">
        <f t="shared" si="46"/>
        <v>1.2437521396781923</v>
      </c>
      <c r="AM144" s="528">
        <v>45768</v>
      </c>
      <c r="AN144" s="529">
        <v>7.98</v>
      </c>
      <c r="AO144" s="529">
        <v>0</v>
      </c>
      <c r="AP144" s="529">
        <v>0</v>
      </c>
      <c r="AQ144" s="529">
        <v>-193.32906600000001</v>
      </c>
      <c r="AR144" s="529">
        <v>0</v>
      </c>
    </row>
    <row r="145" spans="2:44">
      <c r="B145" s="530">
        <f t="shared" ca="1" si="47"/>
        <v>44971</v>
      </c>
      <c r="C145" s="526">
        <f ca="1">(IFERROR(IFERROR(VALUE(_xll.BDH(C$4,"CURRENT_EV_TO_T12M_EBITDA",$B145,$B145)),VALUE(_xll.BDH(C$4,"CURRENT_EV_TO_T12M_EBITDA",$B145+1,$B145+1))),C146))</f>
        <v>0</v>
      </c>
      <c r="D145" s="526">
        <f ca="1">(IFERROR(IFERROR(VALUE(_xll.BDH(D$4,"CURRENT_EV_TO_T12M_EBITDA",$B145,$B145)),VALUE(_xll.BDH(D$4,"CURRENT_EV_TO_T12M_EBITDA",$B145+1,$B145+1))),D146))</f>
        <v>0</v>
      </c>
      <c r="E145" s="526">
        <f ca="1">(IFERROR(IFERROR(VALUE(_xll.BDH(E$4,"CURRENT_EV_TO_T12M_EBITDA",$B145,$B145)),VALUE(_xll.BDH(E$4,"CURRENT_EV_TO_T12M_EBITDA",$B145+1,$B145+1))),E146))</f>
        <v>0</v>
      </c>
      <c r="F145" s="526">
        <f ca="1">(IFERROR(IFERROR(VALUE(_xll.BDH(F$4,"CURRENT_EV_TO_T12M_EBITDA",$B145,$B145)),VALUE(_xll.BDH(F$4,"CURRENT_EV_TO_T12M_EBITDA",$B145+1,$B145+1))),F146))</f>
        <v>0</v>
      </c>
      <c r="G145" s="526">
        <f ca="1">(IFERROR(IFERROR(VALUE(_xll.BDH(G$4,"CURRENT_EV_TO_T12M_EBITDA",$B145,$B145)),VALUE(_xll.BDH(G$4,"CURRENT_EV_TO_T12M_EBITDA",$B145+1,$B145+1))),G146))</f>
        <v>0</v>
      </c>
      <c r="H145" s="526">
        <f ca="1">(IFERROR(IFERROR(VALUE(_xll.BDH(H$4,"CURRENT_EV_TO_T12M_EBITDA",$B145,$B145)),VALUE(_xll.BDH(H$4,"CURRENT_EV_TO_T12M_EBITDA",$B145+1,$B145+1))),H146))</f>
        <v>0</v>
      </c>
      <c r="I145" s="530">
        <f t="shared" ca="1" si="39"/>
        <v>44971</v>
      </c>
      <c r="J145" s="526">
        <f ca="1">(IFERROR(IFERROR(VALUE(_xll.BDH(J$4,"PE_RATIO",$B145,$B145)),VALUE(_xll.BDH(J$4,"PE_RATIO",$B145+1,$B145+1))),J146))</f>
        <v>0</v>
      </c>
      <c r="K145" s="526">
        <f ca="1">(IFERROR(IFERROR(VALUE(_xll.BDH(K$4,"PE_RATIO",$B145,$B145)),VALUE(_xll.BDH(K$4,"PE_RATIO",$B145+1,$B145+1))),K146))</f>
        <v>0</v>
      </c>
      <c r="L145" s="526">
        <f ca="1">(IFERROR(IFERROR(VALUE(_xll.BDH(L$4,"PE_RATIO",$B145,$B145)),VALUE(_xll.BDH(L$4,"PE_RATIO",$B145+1,$B145+1))),L146))</f>
        <v>0</v>
      </c>
      <c r="M145" s="526">
        <f ca="1">(IFERROR(IFERROR(VALUE(_xll.BDH(M$4,"PE_RATIO",$B145,$B145)),VALUE(_xll.BDH(M$4,"PE_RATIO",$B145+1,$B145+1))),M146))</f>
        <v>0</v>
      </c>
      <c r="N145" s="526">
        <f ca="1">(IFERROR(IFERROR(VALUE(_xll.BDH(N$4,"PE_RATIO",$B145,$B145)),VALUE(_xll.BDH(N$4,"PE_RATIO",$B145+1,$B145+1))),N146))</f>
        <v>0</v>
      </c>
      <c r="O145" s="526">
        <f ca="1">(IFERROR(IFERROR(VALUE(_xll.BDH(O$4,"PE_RATIO",$B145,$B145)),VALUE(_xll.BDH(O$4,"PE_RATIO",$B145+1,$B145+1))),O146))</f>
        <v>0</v>
      </c>
      <c r="P145" s="526"/>
      <c r="Q145" s="530">
        <v>44928</v>
      </c>
      <c r="R145" s="4">
        <v>1.91</v>
      </c>
      <c r="S145" s="4">
        <v>11084.59</v>
      </c>
      <c r="T145" s="4">
        <v>3899.98</v>
      </c>
      <c r="U145" s="4">
        <v>0.83406113537117899</v>
      </c>
      <c r="V145" s="4">
        <v>0.98493705855016522</v>
      </c>
      <c r="W145" s="4">
        <v>1.0256816215320606</v>
      </c>
      <c r="Y145" s="526">
        <f t="shared" si="40"/>
        <v>1.91</v>
      </c>
      <c r="Z145" s="4">
        <f>IFERROR(VALUE(_xll.BDH(Z$4,"PX_LAST",$Q145,$Q145)),Z146)</f>
        <v>37.43</v>
      </c>
      <c r="AA145" s="4">
        <f>IFERROR(VALUE(_xll.BDH(AA$4,"PX_LAST",$Q145,$Q145)),AA146)</f>
        <v>28.28</v>
      </c>
      <c r="AB145" s="4">
        <f>IFERROR(VALUE(_xll.BDH(AB$4,"PX_LAST",$Q145,$Q145)),AB146)</f>
        <v>59.56</v>
      </c>
      <c r="AC145" s="4">
        <f>IFERROR(VALUE(_xll.BDH(AC$4,"PX_LAST",$Q145,$Q145)),AC146)</f>
        <v>8.5</v>
      </c>
      <c r="AD145" s="4">
        <f>IFERROR(VALUE(_xll.BDH(AD$4,"PX_LAST",$Q145,$Q145)),AD146)</f>
        <v>33.21</v>
      </c>
      <c r="AF145" s="4">
        <f t="shared" si="41"/>
        <v>0.83406113537117899</v>
      </c>
      <c r="AG145" s="4">
        <f t="shared" si="42"/>
        <v>1.2675245513037587</v>
      </c>
      <c r="AH145" s="4">
        <f t="shared" si="43"/>
        <v>0.99507389162561577</v>
      </c>
      <c r="AI145" s="4">
        <f t="shared" si="44"/>
        <v>0.638507718696398</v>
      </c>
      <c r="AJ145" s="4">
        <f t="shared" si="45"/>
        <v>1.0585305105853051</v>
      </c>
      <c r="AK145" s="4">
        <f t="shared" si="46"/>
        <v>1.1369394043135912</v>
      </c>
      <c r="AM145" s="528">
        <v>45767</v>
      </c>
      <c r="AN145" s="529">
        <v>8.3000000000000007</v>
      </c>
      <c r="AO145" s="529">
        <v>-1437522</v>
      </c>
      <c r="AP145" s="529">
        <v>-72.68010000000001</v>
      </c>
      <c r="AQ145" s="529">
        <v>-804.32644000000005</v>
      </c>
      <c r="AR145" s="529">
        <v>-0.9798</v>
      </c>
    </row>
    <row r="146" spans="2:44">
      <c r="B146" s="530">
        <f t="shared" ca="1" si="47"/>
        <v>44964</v>
      </c>
      <c r="C146" s="526">
        <f ca="1">(IFERROR(IFERROR(VALUE(_xll.BDH(C$4,"CURRENT_EV_TO_T12M_EBITDA",$B146,$B146)),VALUE(_xll.BDH(C$4,"CURRENT_EV_TO_T12M_EBITDA",$B146+1,$B146+1))),C147))</f>
        <v>0</v>
      </c>
      <c r="D146" s="526">
        <f ca="1">(IFERROR(IFERROR(VALUE(_xll.BDH(D$4,"CURRENT_EV_TO_T12M_EBITDA",$B146,$B146)),VALUE(_xll.BDH(D$4,"CURRENT_EV_TO_T12M_EBITDA",$B146+1,$B146+1))),D147))</f>
        <v>0</v>
      </c>
      <c r="E146" s="526">
        <f ca="1">(IFERROR(IFERROR(VALUE(_xll.BDH(E$4,"CURRENT_EV_TO_T12M_EBITDA",$B146,$B146)),VALUE(_xll.BDH(E$4,"CURRENT_EV_TO_T12M_EBITDA",$B146+1,$B146+1))),E147))</f>
        <v>0</v>
      </c>
      <c r="F146" s="526">
        <f ca="1">(IFERROR(IFERROR(VALUE(_xll.BDH(F$4,"CURRENT_EV_TO_T12M_EBITDA",$B146,$B146)),VALUE(_xll.BDH(F$4,"CURRENT_EV_TO_T12M_EBITDA",$B146+1,$B146+1))),F147))</f>
        <v>0</v>
      </c>
      <c r="G146" s="526">
        <f ca="1">(IFERROR(IFERROR(VALUE(_xll.BDH(G$4,"CURRENT_EV_TO_T12M_EBITDA",$B146,$B146)),VALUE(_xll.BDH(G$4,"CURRENT_EV_TO_T12M_EBITDA",$B146+1,$B146+1))),G147))</f>
        <v>0</v>
      </c>
      <c r="H146" s="526">
        <f ca="1">(IFERROR(IFERROR(VALUE(_xll.BDH(H$4,"CURRENT_EV_TO_T12M_EBITDA",$B146,$B146)),VALUE(_xll.BDH(H$4,"CURRENT_EV_TO_T12M_EBITDA",$B146+1,$B146+1))),H147))</f>
        <v>0</v>
      </c>
      <c r="I146" s="530">
        <f t="shared" ca="1" si="39"/>
        <v>44964</v>
      </c>
      <c r="J146" s="526">
        <f ca="1">(IFERROR(IFERROR(VALUE(_xll.BDH(J$4,"PE_RATIO",$B146,$B146)),VALUE(_xll.BDH(J$4,"PE_RATIO",$B146+1,$B146+1))),J147))</f>
        <v>0</v>
      </c>
      <c r="K146" s="526">
        <f ca="1">(IFERROR(IFERROR(VALUE(_xll.BDH(K$4,"PE_RATIO",$B146,$B146)),VALUE(_xll.BDH(K$4,"PE_RATIO",$B146+1,$B146+1))),K147))</f>
        <v>0</v>
      </c>
      <c r="L146" s="526">
        <f ca="1">(IFERROR(IFERROR(VALUE(_xll.BDH(L$4,"PE_RATIO",$B146,$B146)),VALUE(_xll.BDH(L$4,"PE_RATIO",$B146+1,$B146+1))),L147))</f>
        <v>0</v>
      </c>
      <c r="M146" s="526">
        <f ca="1">(IFERROR(IFERROR(VALUE(_xll.BDH(M$4,"PE_RATIO",$B146,$B146)),VALUE(_xll.BDH(M$4,"PE_RATIO",$B146+1,$B146+1))),M147))</f>
        <v>0</v>
      </c>
      <c r="N146" s="526">
        <f ca="1">(IFERROR(IFERROR(VALUE(_xll.BDH(N$4,"PE_RATIO",$B146,$B146)),VALUE(_xll.BDH(N$4,"PE_RATIO",$B146+1,$B146+1))),N147))</f>
        <v>0</v>
      </c>
      <c r="O146" s="526">
        <f ca="1">(IFERROR(IFERROR(VALUE(_xll.BDH(O$4,"PE_RATIO",$B146,$B146)),VALUE(_xll.BDH(O$4,"PE_RATIO",$B146+1,$B146+1))),O147))</f>
        <v>0</v>
      </c>
      <c r="P146" s="526"/>
      <c r="Q146" s="530">
        <v>44921</v>
      </c>
      <c r="R146" s="4">
        <v>1.91</v>
      </c>
      <c r="S146" s="4">
        <v>11084.59</v>
      </c>
      <c r="T146" s="4">
        <v>3899.98</v>
      </c>
      <c r="U146" s="4">
        <v>0.83406113537117899</v>
      </c>
      <c r="V146" s="4">
        <v>0.98493705855016522</v>
      </c>
      <c r="W146" s="4">
        <v>1.0256816215320606</v>
      </c>
      <c r="Y146" s="526">
        <f t="shared" si="40"/>
        <v>1.91</v>
      </c>
      <c r="Z146" s="4">
        <f>IFERROR(VALUE(_xll.BDH(Z$4,"PX_LAST",$Q146,$Q146)),Z147)</f>
        <v>37.43</v>
      </c>
      <c r="AA146" s="4">
        <f>IFERROR(VALUE(_xll.BDH(AA$4,"PX_LAST",$Q146,$Q146)),AA147)</f>
        <v>28.28</v>
      </c>
      <c r="AB146" s="4">
        <f>IFERROR(VALUE(_xll.BDH(AB$4,"PX_LAST",$Q146,$Q146)),AB147)</f>
        <v>59.56</v>
      </c>
      <c r="AC146" s="4">
        <f>IFERROR(VALUE(_xll.BDH(AC$4,"PX_LAST",$Q146,$Q146)),AC147)</f>
        <v>8.5</v>
      </c>
      <c r="AD146" s="4">
        <f>IFERROR(VALUE(_xll.BDH(AD$4,"PX_LAST",$Q146,$Q146)),AD147)</f>
        <v>33.21</v>
      </c>
      <c r="AF146" s="4">
        <f t="shared" si="41"/>
        <v>0.83406113537117899</v>
      </c>
      <c r="AG146" s="4">
        <f t="shared" si="42"/>
        <v>1.2675245513037587</v>
      </c>
      <c r="AH146" s="4">
        <f t="shared" si="43"/>
        <v>0.99507389162561577</v>
      </c>
      <c r="AI146" s="4">
        <f t="shared" si="44"/>
        <v>0.638507718696398</v>
      </c>
      <c r="AJ146" s="4">
        <f t="shared" si="45"/>
        <v>1.0585305105853051</v>
      </c>
      <c r="AK146" s="4">
        <f t="shared" si="46"/>
        <v>1.1369394043135912</v>
      </c>
      <c r="AM146" s="528">
        <v>45766</v>
      </c>
      <c r="AN146" s="529">
        <v>8.3000000000000007</v>
      </c>
      <c r="AO146" s="529">
        <v>-958348</v>
      </c>
      <c r="AP146" s="529">
        <v>-48.453400000000002</v>
      </c>
      <c r="AQ146" s="529">
        <v>-603.24483000000009</v>
      </c>
      <c r="AR146" s="529">
        <v>-0.6532</v>
      </c>
    </row>
    <row r="147" spans="2:44">
      <c r="B147" s="530">
        <f t="shared" ca="1" si="47"/>
        <v>44957</v>
      </c>
      <c r="C147" s="526">
        <f ca="1">(IFERROR(IFERROR(VALUE(_xll.BDH(C$4,"CURRENT_EV_TO_T12M_EBITDA",$B147,$B147)),VALUE(_xll.BDH(C$4,"CURRENT_EV_TO_T12M_EBITDA",$B147+1,$B147+1))),C148))</f>
        <v>0</v>
      </c>
      <c r="D147" s="526">
        <f ca="1">(IFERROR(IFERROR(VALUE(_xll.BDH(D$4,"CURRENT_EV_TO_T12M_EBITDA",$B147,$B147)),VALUE(_xll.BDH(D$4,"CURRENT_EV_TO_T12M_EBITDA",$B147+1,$B147+1))),D148))</f>
        <v>0</v>
      </c>
      <c r="E147" s="526">
        <f ca="1">(IFERROR(IFERROR(VALUE(_xll.BDH(E$4,"CURRENT_EV_TO_T12M_EBITDA",$B147,$B147)),VALUE(_xll.BDH(E$4,"CURRENT_EV_TO_T12M_EBITDA",$B147+1,$B147+1))),E148))</f>
        <v>0</v>
      </c>
      <c r="F147" s="526">
        <f ca="1">(IFERROR(IFERROR(VALUE(_xll.BDH(F$4,"CURRENT_EV_TO_T12M_EBITDA",$B147,$B147)),VALUE(_xll.BDH(F$4,"CURRENT_EV_TO_T12M_EBITDA",$B147+1,$B147+1))),F148))</f>
        <v>0</v>
      </c>
      <c r="G147" s="526">
        <f ca="1">(IFERROR(IFERROR(VALUE(_xll.BDH(G$4,"CURRENT_EV_TO_T12M_EBITDA",$B147,$B147)),VALUE(_xll.BDH(G$4,"CURRENT_EV_TO_T12M_EBITDA",$B147+1,$B147+1))),G148))</f>
        <v>0</v>
      </c>
      <c r="H147" s="526">
        <f ca="1">(IFERROR(IFERROR(VALUE(_xll.BDH(H$4,"CURRENT_EV_TO_T12M_EBITDA",$B147,$B147)),VALUE(_xll.BDH(H$4,"CURRENT_EV_TO_T12M_EBITDA",$B147+1,$B147+1))),H148))</f>
        <v>0</v>
      </c>
      <c r="I147" s="530">
        <f t="shared" ca="1" si="39"/>
        <v>44957</v>
      </c>
      <c r="J147" s="526">
        <f ca="1">(IFERROR(IFERROR(VALUE(_xll.BDH(J$4,"PE_RATIO",$B147,$B147)),VALUE(_xll.BDH(J$4,"PE_RATIO",$B147+1,$B147+1))),J148))</f>
        <v>0</v>
      </c>
      <c r="K147" s="526">
        <f ca="1">(IFERROR(IFERROR(VALUE(_xll.BDH(K$4,"PE_RATIO",$B147,$B147)),VALUE(_xll.BDH(K$4,"PE_RATIO",$B147+1,$B147+1))),K148))</f>
        <v>0</v>
      </c>
      <c r="L147" s="526">
        <f ca="1">(IFERROR(IFERROR(VALUE(_xll.BDH(L$4,"PE_RATIO",$B147,$B147)),VALUE(_xll.BDH(L$4,"PE_RATIO",$B147+1,$B147+1))),L148))</f>
        <v>0</v>
      </c>
      <c r="M147" s="526">
        <f ca="1">(IFERROR(IFERROR(VALUE(_xll.BDH(M$4,"PE_RATIO",$B147,$B147)),VALUE(_xll.BDH(M$4,"PE_RATIO",$B147+1,$B147+1))),M148))</f>
        <v>0</v>
      </c>
      <c r="N147" s="526">
        <f ca="1">(IFERROR(IFERROR(VALUE(_xll.BDH(N$4,"PE_RATIO",$B147,$B147)),VALUE(_xll.BDH(N$4,"PE_RATIO",$B147+1,$B147+1))),N148))</f>
        <v>0</v>
      </c>
      <c r="O147" s="526">
        <f ca="1">(IFERROR(IFERROR(VALUE(_xll.BDH(O$4,"PE_RATIO",$B147,$B147)),VALUE(_xll.BDH(O$4,"PE_RATIO",$B147+1,$B147+1))),O148))</f>
        <v>0</v>
      </c>
      <c r="P147" s="526"/>
      <c r="Q147" s="530">
        <v>44914</v>
      </c>
      <c r="R147" s="4">
        <v>1.91</v>
      </c>
      <c r="S147" s="4">
        <v>11084.59</v>
      </c>
      <c r="T147" s="4">
        <v>3899.98</v>
      </c>
      <c r="U147" s="4">
        <v>0.83406113537117899</v>
      </c>
      <c r="V147" s="4">
        <v>0.98493705855016522</v>
      </c>
      <c r="W147" s="4">
        <v>1.0256816215320606</v>
      </c>
      <c r="Y147" s="526">
        <f t="shared" si="40"/>
        <v>1.91</v>
      </c>
      <c r="Z147" s="4">
        <f>IFERROR(VALUE(_xll.BDH(Z$4,"PX_LAST",$Q147,$Q147)),Z148)</f>
        <v>37.43</v>
      </c>
      <c r="AA147" s="4">
        <f>IFERROR(VALUE(_xll.BDH(AA$4,"PX_LAST",$Q147,$Q147)),AA148)</f>
        <v>28.28</v>
      </c>
      <c r="AB147" s="4">
        <f>IFERROR(VALUE(_xll.BDH(AB$4,"PX_LAST",$Q147,$Q147)),AB148)</f>
        <v>59.56</v>
      </c>
      <c r="AC147" s="4">
        <f>IFERROR(VALUE(_xll.BDH(AC$4,"PX_LAST",$Q147,$Q147)),AC148)</f>
        <v>8.5</v>
      </c>
      <c r="AD147" s="4">
        <f>IFERROR(VALUE(_xll.BDH(AD$4,"PX_LAST",$Q147,$Q147)),AD148)</f>
        <v>33.21</v>
      </c>
      <c r="AF147" s="4">
        <f t="shared" si="41"/>
        <v>0.83406113537117899</v>
      </c>
      <c r="AG147" s="4">
        <f t="shared" si="42"/>
        <v>1.2675245513037587</v>
      </c>
      <c r="AH147" s="4">
        <f t="shared" si="43"/>
        <v>0.99507389162561577</v>
      </c>
      <c r="AI147" s="4">
        <f t="shared" si="44"/>
        <v>0.638507718696398</v>
      </c>
      <c r="AJ147" s="4">
        <f t="shared" si="45"/>
        <v>1.0585305105853051</v>
      </c>
      <c r="AK147" s="4">
        <f t="shared" si="46"/>
        <v>1.1369394043135912</v>
      </c>
      <c r="AM147" s="528">
        <v>45765</v>
      </c>
      <c r="AN147" s="529">
        <v>8.3000000000000007</v>
      </c>
      <c r="AO147" s="529">
        <v>-479174</v>
      </c>
      <c r="AP147" s="529">
        <v>-24.226700000000001</v>
      </c>
      <c r="AQ147" s="529">
        <v>-402.16322000000002</v>
      </c>
      <c r="AR147" s="529">
        <v>-0.3266</v>
      </c>
    </row>
    <row r="148" spans="2:44">
      <c r="B148" s="530">
        <f t="shared" ca="1" si="47"/>
        <v>44950</v>
      </c>
      <c r="C148" s="526">
        <f ca="1">(IFERROR(IFERROR(VALUE(_xll.BDH(C$4,"CURRENT_EV_TO_T12M_EBITDA",$B148,$B148)),VALUE(_xll.BDH(C$4,"CURRENT_EV_TO_T12M_EBITDA",$B148+1,$B148+1))),C149))</f>
        <v>0</v>
      </c>
      <c r="D148" s="526">
        <f ca="1">(IFERROR(IFERROR(VALUE(_xll.BDH(D$4,"CURRENT_EV_TO_T12M_EBITDA",$B148,$B148)),VALUE(_xll.BDH(D$4,"CURRENT_EV_TO_T12M_EBITDA",$B148+1,$B148+1))),D149))</f>
        <v>0</v>
      </c>
      <c r="E148" s="526">
        <f ca="1">(IFERROR(IFERROR(VALUE(_xll.BDH(E$4,"CURRENT_EV_TO_T12M_EBITDA",$B148,$B148)),VALUE(_xll.BDH(E$4,"CURRENT_EV_TO_T12M_EBITDA",$B148+1,$B148+1))),E149))</f>
        <v>0</v>
      </c>
      <c r="F148" s="526">
        <f ca="1">(IFERROR(IFERROR(VALUE(_xll.BDH(F$4,"CURRENT_EV_TO_T12M_EBITDA",$B148,$B148)),VALUE(_xll.BDH(F$4,"CURRENT_EV_TO_T12M_EBITDA",$B148+1,$B148+1))),F149))</f>
        <v>0</v>
      </c>
      <c r="G148" s="526">
        <f ca="1">(IFERROR(IFERROR(VALUE(_xll.BDH(G$4,"CURRENT_EV_TO_T12M_EBITDA",$B148,$B148)),VALUE(_xll.BDH(G$4,"CURRENT_EV_TO_T12M_EBITDA",$B148+1,$B148+1))),G149))</f>
        <v>0</v>
      </c>
      <c r="H148" s="526">
        <f ca="1">(IFERROR(IFERROR(VALUE(_xll.BDH(H$4,"CURRENT_EV_TO_T12M_EBITDA",$B148,$B148)),VALUE(_xll.BDH(H$4,"CURRENT_EV_TO_T12M_EBITDA",$B148+1,$B148+1))),H149))</f>
        <v>0</v>
      </c>
      <c r="I148" s="530">
        <f t="shared" ca="1" si="39"/>
        <v>44950</v>
      </c>
      <c r="J148" s="526">
        <f ca="1">(IFERROR(IFERROR(VALUE(_xll.BDH(J$4,"PE_RATIO",$B148,$B148)),VALUE(_xll.BDH(J$4,"PE_RATIO",$B148+1,$B148+1))),J149))</f>
        <v>0</v>
      </c>
      <c r="K148" s="526">
        <f ca="1">(IFERROR(IFERROR(VALUE(_xll.BDH(K$4,"PE_RATIO",$B148,$B148)),VALUE(_xll.BDH(K$4,"PE_RATIO",$B148+1,$B148+1))),K149))</f>
        <v>0</v>
      </c>
      <c r="L148" s="526">
        <f ca="1">(IFERROR(IFERROR(VALUE(_xll.BDH(L$4,"PE_RATIO",$B148,$B148)),VALUE(_xll.BDH(L$4,"PE_RATIO",$B148+1,$B148+1))),L149))</f>
        <v>0</v>
      </c>
      <c r="M148" s="526">
        <f ca="1">(IFERROR(IFERROR(VALUE(_xll.BDH(M$4,"PE_RATIO",$B148,$B148)),VALUE(_xll.BDH(M$4,"PE_RATIO",$B148+1,$B148+1))),M149))</f>
        <v>0</v>
      </c>
      <c r="N148" s="526">
        <f ca="1">(IFERROR(IFERROR(VALUE(_xll.BDH(N$4,"PE_RATIO",$B148,$B148)),VALUE(_xll.BDH(N$4,"PE_RATIO",$B148+1,$B148+1))),N149))</f>
        <v>0</v>
      </c>
      <c r="O148" s="526">
        <f ca="1">(IFERROR(IFERROR(VALUE(_xll.BDH(O$4,"PE_RATIO",$B148,$B148)),VALUE(_xll.BDH(O$4,"PE_RATIO",$B148+1,$B148+1))),O149))</f>
        <v>0</v>
      </c>
      <c r="P148" s="526"/>
      <c r="Q148" s="530">
        <v>44907</v>
      </c>
      <c r="R148" s="4">
        <v>2.3199999999999998</v>
      </c>
      <c r="S148" s="4">
        <v>11706.44</v>
      </c>
      <c r="T148" s="4">
        <v>4081.04</v>
      </c>
      <c r="U148" s="4">
        <v>1.0131004366812226</v>
      </c>
      <c r="V148" s="4">
        <v>1.040192427477606</v>
      </c>
      <c r="W148" s="4">
        <v>1.073299792495654</v>
      </c>
      <c r="Y148" s="526">
        <f t="shared" si="40"/>
        <v>2.3199999999999998</v>
      </c>
      <c r="Z148" s="4">
        <f>IFERROR(VALUE(_xll.BDH(Z$4,"PX_LAST",$Q148,$Q148)),Z149)</f>
        <v>39.479999999999997</v>
      </c>
      <c r="AA148" s="4">
        <f>IFERROR(VALUE(_xll.BDH(AA$4,"PX_LAST",$Q148,$Q148)),AA149)</f>
        <v>29.36</v>
      </c>
      <c r="AB148" s="4">
        <f>IFERROR(VALUE(_xll.BDH(AB$4,"PX_LAST",$Q148,$Q148)),AB149)</f>
        <v>71.08</v>
      </c>
      <c r="AC148" s="4">
        <f>IFERROR(VALUE(_xll.BDH(AC$4,"PX_LAST",$Q148,$Q148)),AC149)</f>
        <v>8.3699999999999992</v>
      </c>
      <c r="AD148" s="4">
        <f>IFERROR(VALUE(_xll.BDH(AD$4,"PX_LAST",$Q148,$Q148)),AD149)</f>
        <v>36.93</v>
      </c>
      <c r="AF148" s="4">
        <f t="shared" si="41"/>
        <v>1.0131004366812226</v>
      </c>
      <c r="AG148" s="4">
        <f t="shared" si="42"/>
        <v>1.3369454791737214</v>
      </c>
      <c r="AH148" s="4">
        <f t="shared" si="43"/>
        <v>1.0330752990851513</v>
      </c>
      <c r="AI148" s="4">
        <f t="shared" si="44"/>
        <v>0.76200686106346482</v>
      </c>
      <c r="AJ148" s="4">
        <f t="shared" si="45"/>
        <v>1.0423412204234122</v>
      </c>
      <c r="AK148" s="4">
        <f t="shared" si="46"/>
        <v>1.264293050325231</v>
      </c>
      <c r="AM148" s="528">
        <v>45764</v>
      </c>
      <c r="AN148" s="529">
        <v>8.3000000000000007</v>
      </c>
      <c r="AO148" s="529">
        <v>0</v>
      </c>
      <c r="AP148" s="529">
        <v>0</v>
      </c>
      <c r="AQ148" s="529">
        <v>-201.08161000000001</v>
      </c>
      <c r="AR148" s="529">
        <v>0</v>
      </c>
    </row>
    <row r="149" spans="2:44">
      <c r="B149" s="530">
        <f t="shared" ca="1" si="47"/>
        <v>44943</v>
      </c>
      <c r="C149" s="526">
        <f ca="1">(IFERROR(IFERROR(VALUE(_xll.BDH(C$4,"CURRENT_EV_TO_T12M_EBITDA",$B149,$B149)),VALUE(_xll.BDH(C$4,"CURRENT_EV_TO_T12M_EBITDA",$B149+1,$B149+1))),C150))</f>
        <v>0</v>
      </c>
      <c r="D149" s="526">
        <f ca="1">(IFERROR(IFERROR(VALUE(_xll.BDH(D$4,"CURRENT_EV_TO_T12M_EBITDA",$B149,$B149)),VALUE(_xll.BDH(D$4,"CURRENT_EV_TO_T12M_EBITDA",$B149+1,$B149+1))),D150))</f>
        <v>0</v>
      </c>
      <c r="E149" s="526">
        <f ca="1">(IFERROR(IFERROR(VALUE(_xll.BDH(E$4,"CURRENT_EV_TO_T12M_EBITDA",$B149,$B149)),VALUE(_xll.BDH(E$4,"CURRENT_EV_TO_T12M_EBITDA",$B149+1,$B149+1))),E150))</f>
        <v>0</v>
      </c>
      <c r="F149" s="526">
        <f ca="1">(IFERROR(IFERROR(VALUE(_xll.BDH(F$4,"CURRENT_EV_TO_T12M_EBITDA",$B149,$B149)),VALUE(_xll.BDH(F$4,"CURRENT_EV_TO_T12M_EBITDA",$B149+1,$B149+1))),F150))</f>
        <v>0</v>
      </c>
      <c r="G149" s="526">
        <f ca="1">(IFERROR(IFERROR(VALUE(_xll.BDH(G$4,"CURRENT_EV_TO_T12M_EBITDA",$B149,$B149)),VALUE(_xll.BDH(G$4,"CURRENT_EV_TO_T12M_EBITDA",$B149+1,$B149+1))),G150))</f>
        <v>0</v>
      </c>
      <c r="H149" s="526">
        <f ca="1">(IFERROR(IFERROR(VALUE(_xll.BDH(H$4,"CURRENT_EV_TO_T12M_EBITDA",$B149,$B149)),VALUE(_xll.BDH(H$4,"CURRENT_EV_TO_T12M_EBITDA",$B149+1,$B149+1))),H150))</f>
        <v>0</v>
      </c>
      <c r="I149" s="530">
        <f t="shared" ca="1" si="39"/>
        <v>44943</v>
      </c>
      <c r="J149" s="526">
        <f ca="1">(IFERROR(IFERROR(VALUE(_xll.BDH(J$4,"PE_RATIO",$B149,$B149)),VALUE(_xll.BDH(J$4,"PE_RATIO",$B149+1,$B149+1))),J150))</f>
        <v>0</v>
      </c>
      <c r="K149" s="526">
        <f ca="1">(IFERROR(IFERROR(VALUE(_xll.BDH(K$4,"PE_RATIO",$B149,$B149)),VALUE(_xll.BDH(K$4,"PE_RATIO",$B149+1,$B149+1))),K150))</f>
        <v>0</v>
      </c>
      <c r="L149" s="526">
        <f ca="1">(IFERROR(IFERROR(VALUE(_xll.BDH(L$4,"PE_RATIO",$B149,$B149)),VALUE(_xll.BDH(L$4,"PE_RATIO",$B149+1,$B149+1))),L150))</f>
        <v>0</v>
      </c>
      <c r="M149" s="526">
        <f ca="1">(IFERROR(IFERROR(VALUE(_xll.BDH(M$4,"PE_RATIO",$B149,$B149)),VALUE(_xll.BDH(M$4,"PE_RATIO",$B149+1,$B149+1))),M150))</f>
        <v>0</v>
      </c>
      <c r="N149" s="526">
        <f ca="1">(IFERROR(IFERROR(VALUE(_xll.BDH(N$4,"PE_RATIO",$B149,$B149)),VALUE(_xll.BDH(N$4,"PE_RATIO",$B149+1,$B149+1))),N150))</f>
        <v>0</v>
      </c>
      <c r="O149" s="526">
        <f ca="1">(IFERROR(IFERROR(VALUE(_xll.BDH(O$4,"PE_RATIO",$B149,$B149)),VALUE(_xll.BDH(O$4,"PE_RATIO",$B149+1,$B149+1))),O150))</f>
        <v>0</v>
      </c>
      <c r="P149" s="526"/>
      <c r="Q149" s="530">
        <v>44900</v>
      </c>
      <c r="R149" s="4">
        <v>2.4300000000000002</v>
      </c>
      <c r="S149" s="4">
        <v>11786.8</v>
      </c>
      <c r="T149" s="4">
        <v>4037.11</v>
      </c>
      <c r="U149" s="4">
        <v>1.0611353711790394</v>
      </c>
      <c r="V149" s="4">
        <v>1.0473329299251561</v>
      </c>
      <c r="W149" s="4">
        <v>1.0617463502641802</v>
      </c>
      <c r="Y149" s="526">
        <f t="shared" si="40"/>
        <v>2.4300000000000002</v>
      </c>
      <c r="Z149" s="4">
        <f>IFERROR(VALUE(_xll.BDH(Z$4,"PX_LAST",$Q149,$Q149)),Z150)</f>
        <v>39.630000000000003</v>
      </c>
      <c r="AA149" s="4">
        <f>IFERROR(VALUE(_xll.BDH(AA$4,"PX_LAST",$Q149,$Q149)),AA150)</f>
        <v>29.86</v>
      </c>
      <c r="AB149" s="4">
        <f>IFERROR(VALUE(_xll.BDH(AB$4,"PX_LAST",$Q149,$Q149)),AB150)</f>
        <v>70.989999999999995</v>
      </c>
      <c r="AC149" s="4">
        <f>IFERROR(VALUE(_xll.BDH(AC$4,"PX_LAST",$Q149,$Q149)),AC150)</f>
        <v>10.35</v>
      </c>
      <c r="AD149" s="4">
        <f>IFERROR(VALUE(_xll.BDH(AD$4,"PX_LAST",$Q149,$Q149)),AD150)</f>
        <v>38.369999999999997</v>
      </c>
      <c r="AF149" s="4">
        <f t="shared" si="41"/>
        <v>1.0611353711790394</v>
      </c>
      <c r="AG149" s="4">
        <f t="shared" si="42"/>
        <v>1.3420250592617677</v>
      </c>
      <c r="AH149" s="4">
        <f t="shared" si="43"/>
        <v>1.0506685432793805</v>
      </c>
      <c r="AI149" s="4">
        <f t="shared" si="44"/>
        <v>0.76104202401372212</v>
      </c>
      <c r="AJ149" s="4">
        <f t="shared" si="45"/>
        <v>1.2889165628891657</v>
      </c>
      <c r="AK149" s="4">
        <f t="shared" si="46"/>
        <v>1.3135912358781239</v>
      </c>
      <c r="AM149" s="528">
        <v>45763</v>
      </c>
      <c r="AN149" s="529">
        <v>8.35</v>
      </c>
      <c r="AO149" s="529">
        <v>0</v>
      </c>
      <c r="AP149" s="529">
        <v>0</v>
      </c>
      <c r="AQ149" s="529">
        <v>-202.292945</v>
      </c>
      <c r="AR149" s="529">
        <v>0</v>
      </c>
    </row>
    <row r="150" spans="2:44">
      <c r="B150" s="530">
        <f t="shared" ca="1" si="47"/>
        <v>44936</v>
      </c>
      <c r="C150" s="526">
        <f ca="1">(IFERROR(IFERROR(VALUE(_xll.BDH(C$4,"CURRENT_EV_TO_T12M_EBITDA",$B150,$B150)),VALUE(_xll.BDH(C$4,"CURRENT_EV_TO_T12M_EBITDA",$B150+1,$B150+1))),C151))</f>
        <v>0</v>
      </c>
      <c r="D150" s="526">
        <f ca="1">(IFERROR(IFERROR(VALUE(_xll.BDH(D$4,"CURRENT_EV_TO_T12M_EBITDA",$B150,$B150)),VALUE(_xll.BDH(D$4,"CURRENT_EV_TO_T12M_EBITDA",$B150+1,$B150+1))),D151))</f>
        <v>0</v>
      </c>
      <c r="E150" s="526">
        <f ca="1">(IFERROR(IFERROR(VALUE(_xll.BDH(E$4,"CURRENT_EV_TO_T12M_EBITDA",$B150,$B150)),VALUE(_xll.BDH(E$4,"CURRENT_EV_TO_T12M_EBITDA",$B150+1,$B150+1))),E151))</f>
        <v>0</v>
      </c>
      <c r="F150" s="526">
        <f ca="1">(IFERROR(IFERROR(VALUE(_xll.BDH(F$4,"CURRENT_EV_TO_T12M_EBITDA",$B150,$B150)),VALUE(_xll.BDH(F$4,"CURRENT_EV_TO_T12M_EBITDA",$B150+1,$B150+1))),F151))</f>
        <v>0</v>
      </c>
      <c r="G150" s="526">
        <f ca="1">(IFERROR(IFERROR(VALUE(_xll.BDH(G$4,"CURRENT_EV_TO_T12M_EBITDA",$B150,$B150)),VALUE(_xll.BDH(G$4,"CURRENT_EV_TO_T12M_EBITDA",$B150+1,$B150+1))),G151))</f>
        <v>0</v>
      </c>
      <c r="H150" s="526">
        <f ca="1">(IFERROR(IFERROR(VALUE(_xll.BDH(H$4,"CURRENT_EV_TO_T12M_EBITDA",$B150,$B150)),VALUE(_xll.BDH(H$4,"CURRENT_EV_TO_T12M_EBITDA",$B150+1,$B150+1))),H151))</f>
        <v>0</v>
      </c>
      <c r="I150" s="530">
        <f t="shared" ca="1" si="39"/>
        <v>44936</v>
      </c>
      <c r="J150" s="526">
        <f ca="1">(IFERROR(IFERROR(VALUE(_xll.BDH(J$4,"PE_RATIO",$B150,$B150)),VALUE(_xll.BDH(J$4,"PE_RATIO",$B150+1,$B150+1))),J151))</f>
        <v>0</v>
      </c>
      <c r="K150" s="526">
        <f ca="1">(IFERROR(IFERROR(VALUE(_xll.BDH(K$4,"PE_RATIO",$B150,$B150)),VALUE(_xll.BDH(K$4,"PE_RATIO",$B150+1,$B150+1))),K151))</f>
        <v>0</v>
      </c>
      <c r="L150" s="526">
        <f ca="1">(IFERROR(IFERROR(VALUE(_xll.BDH(L$4,"PE_RATIO",$B150,$B150)),VALUE(_xll.BDH(L$4,"PE_RATIO",$B150+1,$B150+1))),L151))</f>
        <v>0</v>
      </c>
      <c r="M150" s="526">
        <f ca="1">(IFERROR(IFERROR(VALUE(_xll.BDH(M$4,"PE_RATIO",$B150,$B150)),VALUE(_xll.BDH(M$4,"PE_RATIO",$B150+1,$B150+1))),M151))</f>
        <v>0</v>
      </c>
      <c r="N150" s="526">
        <f ca="1">(IFERROR(IFERROR(VALUE(_xll.BDH(N$4,"PE_RATIO",$B150,$B150)),VALUE(_xll.BDH(N$4,"PE_RATIO",$B150+1,$B150+1))),N151))</f>
        <v>0</v>
      </c>
      <c r="O150" s="526">
        <f ca="1">(IFERROR(IFERROR(VALUE(_xll.BDH(O$4,"PE_RATIO",$B150,$B150)),VALUE(_xll.BDH(O$4,"PE_RATIO",$B150+1,$B150+1))),O151))</f>
        <v>0</v>
      </c>
      <c r="P150" s="526"/>
      <c r="Q150" s="530">
        <v>44893</v>
      </c>
      <c r="R150" s="4">
        <v>2.48</v>
      </c>
      <c r="S150" s="4">
        <v>11587.75</v>
      </c>
      <c r="T150" s="4">
        <v>3969.68</v>
      </c>
      <c r="U150" s="4">
        <v>1.0829694323144106</v>
      </c>
      <c r="V150" s="4">
        <v>1.0296460581956279</v>
      </c>
      <c r="W150" s="4">
        <v>1.0440124870802903</v>
      </c>
      <c r="Y150" s="526">
        <f t="shared" si="40"/>
        <v>2.48</v>
      </c>
      <c r="Z150" s="4">
        <f>IFERROR(VALUE(_xll.BDH(Z$4,"PX_LAST",$Q150,$Q150)),Z151)</f>
        <v>39.35</v>
      </c>
      <c r="AA150" s="4">
        <f>IFERROR(VALUE(_xll.BDH(AA$4,"PX_LAST",$Q150,$Q150)),AA151)</f>
        <v>29.23</v>
      </c>
      <c r="AB150" s="4">
        <f>IFERROR(VALUE(_xll.BDH(AB$4,"PX_LAST",$Q150,$Q150)),AB151)</f>
        <v>68.53</v>
      </c>
      <c r="AC150" s="4">
        <f>IFERROR(VALUE(_xll.BDH(AC$4,"PX_LAST",$Q150,$Q150)),AC151)</f>
        <v>10.039999999999999</v>
      </c>
      <c r="AD150" s="4">
        <f>IFERROR(VALUE(_xll.BDH(AD$4,"PX_LAST",$Q150,$Q150)),AD151)</f>
        <v>37.79</v>
      </c>
      <c r="AF150" s="4">
        <f t="shared" si="41"/>
        <v>1.0829694323144106</v>
      </c>
      <c r="AG150" s="4">
        <f t="shared" si="42"/>
        <v>1.3325431764307485</v>
      </c>
      <c r="AH150" s="4">
        <f t="shared" si="43"/>
        <v>1.0285010555946517</v>
      </c>
      <c r="AI150" s="4">
        <f t="shared" si="44"/>
        <v>0.73466981132075471</v>
      </c>
      <c r="AJ150" s="4">
        <f t="shared" si="45"/>
        <v>1.2503113325031132</v>
      </c>
      <c r="AK150" s="4">
        <f t="shared" si="46"/>
        <v>1.2937350222526531</v>
      </c>
      <c r="AM150" s="528">
        <v>45762</v>
      </c>
      <c r="AN150" s="529">
        <v>8.49</v>
      </c>
      <c r="AO150" s="529">
        <v>0</v>
      </c>
      <c r="AP150" s="529">
        <v>0</v>
      </c>
      <c r="AQ150" s="529">
        <v>-205.68468300000001</v>
      </c>
      <c r="AR150" s="529">
        <v>0</v>
      </c>
    </row>
    <row r="151" spans="2:44">
      <c r="B151" s="530">
        <f t="shared" ca="1" si="47"/>
        <v>44929</v>
      </c>
      <c r="C151" s="526">
        <f ca="1">(IFERROR(IFERROR(VALUE(_xll.BDH(C$4,"CURRENT_EV_TO_T12M_EBITDA",$B151,$B151)),VALUE(_xll.BDH(C$4,"CURRENT_EV_TO_T12M_EBITDA",$B151+1,$B151+1))),C152))</f>
        <v>0</v>
      </c>
      <c r="D151" s="526">
        <f ca="1">(IFERROR(IFERROR(VALUE(_xll.BDH(D$4,"CURRENT_EV_TO_T12M_EBITDA",$B151,$B151)),VALUE(_xll.BDH(D$4,"CURRENT_EV_TO_T12M_EBITDA",$B151+1,$B151+1))),D152))</f>
        <v>0</v>
      </c>
      <c r="E151" s="526">
        <f ca="1">(IFERROR(IFERROR(VALUE(_xll.BDH(E$4,"CURRENT_EV_TO_T12M_EBITDA",$B151,$B151)),VALUE(_xll.BDH(E$4,"CURRENT_EV_TO_T12M_EBITDA",$B151+1,$B151+1))),E152))</f>
        <v>0</v>
      </c>
      <c r="F151" s="526">
        <f ca="1">(IFERROR(IFERROR(VALUE(_xll.BDH(F$4,"CURRENT_EV_TO_T12M_EBITDA",$B151,$B151)),VALUE(_xll.BDH(F$4,"CURRENT_EV_TO_T12M_EBITDA",$B151+1,$B151+1))),F152))</f>
        <v>0</v>
      </c>
      <c r="G151" s="526">
        <f ca="1">(IFERROR(IFERROR(VALUE(_xll.BDH(G$4,"CURRENT_EV_TO_T12M_EBITDA",$B151,$B151)),VALUE(_xll.BDH(G$4,"CURRENT_EV_TO_T12M_EBITDA",$B151+1,$B151+1))),G152))</f>
        <v>0</v>
      </c>
      <c r="H151" s="526">
        <f ca="1">(IFERROR(IFERROR(VALUE(_xll.BDH(H$4,"CURRENT_EV_TO_T12M_EBITDA",$B151,$B151)),VALUE(_xll.BDH(H$4,"CURRENT_EV_TO_T12M_EBITDA",$B151+1,$B151+1))),H152))</f>
        <v>0</v>
      </c>
      <c r="I151" s="530">
        <f t="shared" ca="1" si="39"/>
        <v>44929</v>
      </c>
      <c r="J151" s="526">
        <f ca="1">(IFERROR(IFERROR(VALUE(_xll.BDH(J$4,"PE_RATIO",$B151,$B151)),VALUE(_xll.BDH(J$4,"PE_RATIO",$B151+1,$B151+1))),J152))</f>
        <v>0</v>
      </c>
      <c r="K151" s="526">
        <f ca="1">(IFERROR(IFERROR(VALUE(_xll.BDH(K$4,"PE_RATIO",$B151,$B151)),VALUE(_xll.BDH(K$4,"PE_RATIO",$B151+1,$B151+1))),K152))</f>
        <v>0</v>
      </c>
      <c r="L151" s="526">
        <f ca="1">(IFERROR(IFERROR(VALUE(_xll.BDH(L$4,"PE_RATIO",$B151,$B151)),VALUE(_xll.BDH(L$4,"PE_RATIO",$B151+1,$B151+1))),L152))</f>
        <v>0</v>
      </c>
      <c r="M151" s="526">
        <f ca="1">(IFERROR(IFERROR(VALUE(_xll.BDH(M$4,"PE_RATIO",$B151,$B151)),VALUE(_xll.BDH(M$4,"PE_RATIO",$B151+1,$B151+1))),M152))</f>
        <v>0</v>
      </c>
      <c r="N151" s="526">
        <f ca="1">(IFERROR(IFERROR(VALUE(_xll.BDH(N$4,"PE_RATIO",$B151,$B151)),VALUE(_xll.BDH(N$4,"PE_RATIO",$B151+1,$B151+1))),N152))</f>
        <v>0</v>
      </c>
      <c r="O151" s="526">
        <f ca="1">(IFERROR(IFERROR(VALUE(_xll.BDH(O$4,"PE_RATIO",$B151,$B151)),VALUE(_xll.BDH(O$4,"PE_RATIO",$B151+1,$B151+1))),O152))</f>
        <v>0</v>
      </c>
      <c r="P151" s="526"/>
      <c r="Q151" s="530">
        <v>44886</v>
      </c>
      <c r="R151" s="4">
        <v>2.37</v>
      </c>
      <c r="S151" s="4">
        <v>11553.45</v>
      </c>
      <c r="T151" s="4">
        <v>3944.82</v>
      </c>
      <c r="U151" s="4">
        <v>1.034934497816594</v>
      </c>
      <c r="V151" s="4">
        <v>1.0265982827606981</v>
      </c>
      <c r="W151" s="4">
        <v>1.037474390702543</v>
      </c>
      <c r="Y151" s="526">
        <f t="shared" si="40"/>
        <v>2.37</v>
      </c>
      <c r="Z151" s="4">
        <f>IFERROR(VALUE(_xll.BDH(Z$4,"PX_LAST",$Q151,$Q151)),Z152)</f>
        <v>38.81</v>
      </c>
      <c r="AA151" s="4">
        <f>IFERROR(VALUE(_xll.BDH(AA$4,"PX_LAST",$Q151,$Q151)),AA152)</f>
        <v>29.28</v>
      </c>
      <c r="AB151" s="4">
        <f>IFERROR(VALUE(_xll.BDH(AB$4,"PX_LAST",$Q151,$Q151)),AB152)</f>
        <v>69.33</v>
      </c>
      <c r="AC151" s="4">
        <f>IFERROR(VALUE(_xll.BDH(AC$4,"PX_LAST",$Q151,$Q151)),AC152)</f>
        <v>9.92</v>
      </c>
      <c r="AD151" s="4">
        <f>IFERROR(VALUE(_xll.BDH(AD$4,"PX_LAST",$Q151,$Q151)),AD152)</f>
        <v>37.47</v>
      </c>
      <c r="AF151" s="4">
        <f t="shared" si="41"/>
        <v>1.034934497816594</v>
      </c>
      <c r="AG151" s="4">
        <f t="shared" si="42"/>
        <v>1.3142566881137827</v>
      </c>
      <c r="AH151" s="4">
        <f t="shared" si="43"/>
        <v>1.0302603800140746</v>
      </c>
      <c r="AI151" s="4">
        <f t="shared" si="44"/>
        <v>0.74324614065180106</v>
      </c>
      <c r="AJ151" s="4">
        <f t="shared" si="45"/>
        <v>1.2353673723536738</v>
      </c>
      <c r="AK151" s="4">
        <f t="shared" si="46"/>
        <v>1.2827798699075659</v>
      </c>
      <c r="AM151" s="528">
        <v>45761</v>
      </c>
      <c r="AN151" s="529">
        <v>8.27</v>
      </c>
      <c r="AO151" s="529">
        <v>0</v>
      </c>
      <c r="AP151" s="529">
        <v>0</v>
      </c>
      <c r="AQ151" s="529">
        <v>-200.35480899999999</v>
      </c>
      <c r="AR151" s="529">
        <v>0</v>
      </c>
    </row>
    <row r="152" spans="2:44">
      <c r="B152" s="530">
        <f t="shared" ca="1" si="47"/>
        <v>44922</v>
      </c>
      <c r="C152" s="526">
        <f ca="1">(IFERROR(IFERROR(VALUE(_xll.BDH(C$4,"CURRENT_EV_TO_T12M_EBITDA",$B152,$B152)),VALUE(_xll.BDH(C$4,"CURRENT_EV_TO_T12M_EBITDA",$B152+1,$B152+1))),C153))</f>
        <v>0</v>
      </c>
      <c r="D152" s="526">
        <f ca="1">(IFERROR(IFERROR(VALUE(_xll.BDH(D$4,"CURRENT_EV_TO_T12M_EBITDA",$B152,$B152)),VALUE(_xll.BDH(D$4,"CURRENT_EV_TO_T12M_EBITDA",$B152+1,$B152+1))),D153))</f>
        <v>0</v>
      </c>
      <c r="E152" s="526">
        <f ca="1">(IFERROR(IFERROR(VALUE(_xll.BDH(E$4,"CURRENT_EV_TO_T12M_EBITDA",$B152,$B152)),VALUE(_xll.BDH(E$4,"CURRENT_EV_TO_T12M_EBITDA",$B152+1,$B152+1))),E153))</f>
        <v>0</v>
      </c>
      <c r="F152" s="526">
        <f ca="1">(IFERROR(IFERROR(VALUE(_xll.BDH(F$4,"CURRENT_EV_TO_T12M_EBITDA",$B152,$B152)),VALUE(_xll.BDH(F$4,"CURRENT_EV_TO_T12M_EBITDA",$B152+1,$B152+1))),F153))</f>
        <v>0</v>
      </c>
      <c r="G152" s="526">
        <f ca="1">(IFERROR(IFERROR(VALUE(_xll.BDH(G$4,"CURRENT_EV_TO_T12M_EBITDA",$B152,$B152)),VALUE(_xll.BDH(G$4,"CURRENT_EV_TO_T12M_EBITDA",$B152+1,$B152+1))),G153))</f>
        <v>0</v>
      </c>
      <c r="H152" s="526">
        <f ca="1">(IFERROR(IFERROR(VALUE(_xll.BDH(H$4,"CURRENT_EV_TO_T12M_EBITDA",$B152,$B152)),VALUE(_xll.BDH(H$4,"CURRENT_EV_TO_T12M_EBITDA",$B152+1,$B152+1))),H153))</f>
        <v>0</v>
      </c>
      <c r="I152" s="530">
        <f t="shared" ca="1" si="39"/>
        <v>44922</v>
      </c>
      <c r="J152" s="526">
        <f ca="1">(IFERROR(IFERROR(VALUE(_xll.BDH(J$4,"PE_RATIO",$B152,$B152)),VALUE(_xll.BDH(J$4,"PE_RATIO",$B152+1,$B152+1))),J153))</f>
        <v>0</v>
      </c>
      <c r="K152" s="526">
        <f ca="1">(IFERROR(IFERROR(VALUE(_xll.BDH(K$4,"PE_RATIO",$B152,$B152)),VALUE(_xll.BDH(K$4,"PE_RATIO",$B152+1,$B152+1))),K153))</f>
        <v>0</v>
      </c>
      <c r="L152" s="526">
        <f ca="1">(IFERROR(IFERROR(VALUE(_xll.BDH(L$4,"PE_RATIO",$B152,$B152)),VALUE(_xll.BDH(L$4,"PE_RATIO",$B152+1,$B152+1))),L153))</f>
        <v>0</v>
      </c>
      <c r="M152" s="526">
        <f ca="1">(IFERROR(IFERROR(VALUE(_xll.BDH(M$4,"PE_RATIO",$B152,$B152)),VALUE(_xll.BDH(M$4,"PE_RATIO",$B152+1,$B152+1))),M153))</f>
        <v>0</v>
      </c>
      <c r="N152" s="526">
        <f ca="1">(IFERROR(IFERROR(VALUE(_xll.BDH(N$4,"PE_RATIO",$B152,$B152)),VALUE(_xll.BDH(N$4,"PE_RATIO",$B152+1,$B152+1))),N153))</f>
        <v>0</v>
      </c>
      <c r="O152" s="526">
        <f ca="1">(IFERROR(IFERROR(VALUE(_xll.BDH(O$4,"PE_RATIO",$B152,$B152)),VALUE(_xll.BDH(O$4,"PE_RATIO",$B152+1,$B152+1))),O153))</f>
        <v>0</v>
      </c>
      <c r="P152" s="526"/>
      <c r="Q152" s="530">
        <v>44879</v>
      </c>
      <c r="R152" s="4">
        <v>2.25</v>
      </c>
      <c r="S152" s="4">
        <v>11700.94</v>
      </c>
      <c r="T152" s="4">
        <v>3998.11</v>
      </c>
      <c r="U152" s="4">
        <v>0.98253275109170302</v>
      </c>
      <c r="V152" s="4">
        <v>1.0397037171308972</v>
      </c>
      <c r="W152" s="4">
        <v>1.0514894814495324</v>
      </c>
      <c r="Y152" s="526">
        <f t="shared" si="40"/>
        <v>2.25</v>
      </c>
      <c r="Z152" s="4">
        <f>IFERROR(VALUE(_xll.BDH(Z$4,"PX_LAST",$Q152,$Q152)),Z153)</f>
        <v>38.51</v>
      </c>
      <c r="AA152" s="4">
        <f>IFERROR(VALUE(_xll.BDH(AA$4,"PX_LAST",$Q152,$Q152)),AA153)</f>
        <v>29.44</v>
      </c>
      <c r="AB152" s="4">
        <f>IFERROR(VALUE(_xll.BDH(AB$4,"PX_LAST",$Q152,$Q152)),AB153)</f>
        <v>76.13</v>
      </c>
      <c r="AC152" s="4">
        <f>IFERROR(VALUE(_xll.BDH(AC$4,"PX_LAST",$Q152,$Q152)),AC153)</f>
        <v>9.8000000000000007</v>
      </c>
      <c r="AD152" s="4">
        <f>IFERROR(VALUE(_xll.BDH(AD$4,"PX_LAST",$Q152,$Q152)),AD153)</f>
        <v>38.17</v>
      </c>
      <c r="AF152" s="4">
        <f t="shared" si="41"/>
        <v>0.98253275109170302</v>
      </c>
      <c r="AG152" s="4">
        <f t="shared" si="42"/>
        <v>1.3040975279376903</v>
      </c>
      <c r="AH152" s="4">
        <f t="shared" si="43"/>
        <v>1.0358902181562279</v>
      </c>
      <c r="AI152" s="4">
        <f t="shared" si="44"/>
        <v>0.81614493996569459</v>
      </c>
      <c r="AJ152" s="4">
        <f t="shared" si="45"/>
        <v>1.2204234122042343</v>
      </c>
      <c r="AK152" s="4">
        <f t="shared" si="46"/>
        <v>1.3067442656624444</v>
      </c>
      <c r="AM152" s="528">
        <v>45760</v>
      </c>
      <c r="AN152" s="529">
        <v>8.4700000000000006</v>
      </c>
      <c r="AO152" s="529">
        <v>-1506004</v>
      </c>
      <c r="AP152" s="529">
        <v>-48.453400000000002</v>
      </c>
      <c r="AQ152" s="529">
        <v>-615.60044700000003</v>
      </c>
      <c r="AR152" s="529">
        <v>-0.66659999999999997</v>
      </c>
    </row>
    <row r="153" spans="2:44">
      <c r="B153" s="530">
        <f t="shared" ca="1" si="47"/>
        <v>44915</v>
      </c>
      <c r="C153" s="526">
        <f ca="1">(IFERROR(IFERROR(VALUE(_xll.BDH(C$4,"CURRENT_EV_TO_T12M_EBITDA",$B153,$B153)),VALUE(_xll.BDH(C$4,"CURRENT_EV_TO_T12M_EBITDA",$B153+1,$B153+1))),C154))</f>
        <v>0</v>
      </c>
      <c r="D153" s="526">
        <f ca="1">(IFERROR(IFERROR(VALUE(_xll.BDH(D$4,"CURRENT_EV_TO_T12M_EBITDA",$B153,$B153)),VALUE(_xll.BDH(D$4,"CURRENT_EV_TO_T12M_EBITDA",$B153+1,$B153+1))),D154))</f>
        <v>0</v>
      </c>
      <c r="E153" s="526">
        <f ca="1">(IFERROR(IFERROR(VALUE(_xll.BDH(E$4,"CURRENT_EV_TO_T12M_EBITDA",$B153,$B153)),VALUE(_xll.BDH(E$4,"CURRENT_EV_TO_T12M_EBITDA",$B153+1,$B153+1))),E154))</f>
        <v>0</v>
      </c>
      <c r="F153" s="526">
        <f ca="1">(IFERROR(IFERROR(VALUE(_xll.BDH(F$4,"CURRENT_EV_TO_T12M_EBITDA",$B153,$B153)),VALUE(_xll.BDH(F$4,"CURRENT_EV_TO_T12M_EBITDA",$B153+1,$B153+1))),F154))</f>
        <v>0</v>
      </c>
      <c r="G153" s="526">
        <f ca="1">(IFERROR(IFERROR(VALUE(_xll.BDH(G$4,"CURRENT_EV_TO_T12M_EBITDA",$B153,$B153)),VALUE(_xll.BDH(G$4,"CURRENT_EV_TO_T12M_EBITDA",$B153+1,$B153+1))),G154))</f>
        <v>0</v>
      </c>
      <c r="H153" s="526">
        <f ca="1">(IFERROR(IFERROR(VALUE(_xll.BDH(H$4,"CURRENT_EV_TO_T12M_EBITDA",$B153,$B153)),VALUE(_xll.BDH(H$4,"CURRENT_EV_TO_T12M_EBITDA",$B153+1,$B153+1))),H154))</f>
        <v>0</v>
      </c>
      <c r="I153" s="530">
        <f t="shared" ca="1" si="39"/>
        <v>44915</v>
      </c>
      <c r="J153" s="526">
        <f ca="1">(IFERROR(IFERROR(VALUE(_xll.BDH(J$4,"PE_RATIO",$B153,$B153)),VALUE(_xll.BDH(J$4,"PE_RATIO",$B153+1,$B153+1))),J154))</f>
        <v>0</v>
      </c>
      <c r="K153" s="526">
        <f ca="1">(IFERROR(IFERROR(VALUE(_xll.BDH(K$4,"PE_RATIO",$B153,$B153)),VALUE(_xll.BDH(K$4,"PE_RATIO",$B153+1,$B153+1))),K154))</f>
        <v>0</v>
      </c>
      <c r="L153" s="526">
        <f ca="1">(IFERROR(IFERROR(VALUE(_xll.BDH(L$4,"PE_RATIO",$B153,$B153)),VALUE(_xll.BDH(L$4,"PE_RATIO",$B153+1,$B153+1))),L154))</f>
        <v>0</v>
      </c>
      <c r="M153" s="526">
        <f ca="1">(IFERROR(IFERROR(VALUE(_xll.BDH(M$4,"PE_RATIO",$B153,$B153)),VALUE(_xll.BDH(M$4,"PE_RATIO",$B153+1,$B153+1))),M154))</f>
        <v>0</v>
      </c>
      <c r="N153" s="526">
        <f ca="1">(IFERROR(IFERROR(VALUE(_xll.BDH(N$4,"PE_RATIO",$B153,$B153)),VALUE(_xll.BDH(N$4,"PE_RATIO",$B153+1,$B153+1))),N154))</f>
        <v>0</v>
      </c>
      <c r="O153" s="526">
        <f ca="1">(IFERROR(IFERROR(VALUE(_xll.BDH(O$4,"PE_RATIO",$B153,$B153)),VALUE(_xll.BDH(O$4,"PE_RATIO",$B153+1,$B153+1))),O154))</f>
        <v>0</v>
      </c>
      <c r="P153" s="526"/>
      <c r="Q153" s="530">
        <v>44872</v>
      </c>
      <c r="R153" s="4">
        <v>2.15</v>
      </c>
      <c r="S153" s="4">
        <v>10977</v>
      </c>
      <c r="T153" s="4">
        <v>3724.02</v>
      </c>
      <c r="U153" s="4">
        <v>0.93886462882096067</v>
      </c>
      <c r="V153" s="4">
        <v>0.97537699560427249</v>
      </c>
      <c r="W153" s="4">
        <v>0.97940473341345968</v>
      </c>
      <c r="Y153" s="526">
        <f t="shared" si="40"/>
        <v>2.15</v>
      </c>
      <c r="Z153" s="4">
        <f>IFERROR(VALUE(_xll.BDH(Z$4,"PX_LAST",$Q153,$Q153)),Z154)</f>
        <v>37.409999999999997</v>
      </c>
      <c r="AA153" s="4">
        <f>IFERROR(VALUE(_xll.BDH(AA$4,"PX_LAST",$Q153,$Q153)),AA154)</f>
        <v>28.84</v>
      </c>
      <c r="AB153" s="4">
        <f>IFERROR(VALUE(_xll.BDH(AB$4,"PX_LAST",$Q153,$Q153)),AB154)</f>
        <v>70.760000000000005</v>
      </c>
      <c r="AC153" s="4">
        <f>IFERROR(VALUE(_xll.BDH(AC$4,"PX_LAST",$Q153,$Q153)),AC154)</f>
        <v>9.3000000000000007</v>
      </c>
      <c r="AD153" s="4">
        <f>IFERROR(VALUE(_xll.BDH(AD$4,"PX_LAST",$Q153,$Q153)),AD154)</f>
        <v>38.43</v>
      </c>
      <c r="AF153" s="4">
        <f t="shared" si="41"/>
        <v>0.93886462882096067</v>
      </c>
      <c r="AG153" s="4">
        <f t="shared" si="42"/>
        <v>1.266847273958686</v>
      </c>
      <c r="AH153" s="4">
        <f t="shared" si="43"/>
        <v>1.0147783251231526</v>
      </c>
      <c r="AI153" s="4">
        <f t="shared" si="44"/>
        <v>0.75857632933104635</v>
      </c>
      <c r="AJ153" s="4">
        <f t="shared" si="45"/>
        <v>1.1581569115815693</v>
      </c>
      <c r="AK153" s="4">
        <f t="shared" si="46"/>
        <v>1.3156453269428277</v>
      </c>
      <c r="AM153" s="528">
        <v>45759</v>
      </c>
      <c r="AN153" s="529">
        <v>8.4700000000000006</v>
      </c>
      <c r="AO153" s="529">
        <v>-753002</v>
      </c>
      <c r="AP153" s="529">
        <v>-24.226700000000001</v>
      </c>
      <c r="AQ153" s="529">
        <v>-410.40029800000002</v>
      </c>
      <c r="AR153" s="529">
        <v>-0.33329999999999999</v>
      </c>
    </row>
    <row r="154" spans="2:44">
      <c r="B154" s="530">
        <f t="shared" ca="1" si="47"/>
        <v>44908</v>
      </c>
      <c r="C154" s="526">
        <f ca="1">(IFERROR(IFERROR(VALUE(_xll.BDH(C$4,"CURRENT_EV_TO_T12M_EBITDA",$B154,$B154)),VALUE(_xll.BDH(C$4,"CURRENT_EV_TO_T12M_EBITDA",$B154+1,$B154+1))),C155))</f>
        <v>0</v>
      </c>
      <c r="D154" s="526">
        <f ca="1">(IFERROR(IFERROR(VALUE(_xll.BDH(D$4,"CURRENT_EV_TO_T12M_EBITDA",$B154,$B154)),VALUE(_xll.BDH(D$4,"CURRENT_EV_TO_T12M_EBITDA",$B154+1,$B154+1))),D155))</f>
        <v>0</v>
      </c>
      <c r="E154" s="526">
        <f ca="1">(IFERROR(IFERROR(VALUE(_xll.BDH(E$4,"CURRENT_EV_TO_T12M_EBITDA",$B154,$B154)),VALUE(_xll.BDH(E$4,"CURRENT_EV_TO_T12M_EBITDA",$B154+1,$B154+1))),E155))</f>
        <v>0</v>
      </c>
      <c r="F154" s="526">
        <f ca="1">(IFERROR(IFERROR(VALUE(_xll.BDH(F$4,"CURRENT_EV_TO_T12M_EBITDA",$B154,$B154)),VALUE(_xll.BDH(F$4,"CURRENT_EV_TO_T12M_EBITDA",$B154+1,$B154+1))),F155))</f>
        <v>0</v>
      </c>
      <c r="G154" s="526">
        <f ca="1">(IFERROR(IFERROR(VALUE(_xll.BDH(G$4,"CURRENT_EV_TO_T12M_EBITDA",$B154,$B154)),VALUE(_xll.BDH(G$4,"CURRENT_EV_TO_T12M_EBITDA",$B154+1,$B154+1))),G155))</f>
        <v>0</v>
      </c>
      <c r="H154" s="526">
        <f ca="1">(IFERROR(IFERROR(VALUE(_xll.BDH(H$4,"CURRENT_EV_TO_T12M_EBITDA",$B154,$B154)),VALUE(_xll.BDH(H$4,"CURRENT_EV_TO_T12M_EBITDA",$B154+1,$B154+1))),H155))</f>
        <v>0</v>
      </c>
      <c r="I154" s="530">
        <f t="shared" ca="1" si="39"/>
        <v>44908</v>
      </c>
      <c r="J154" s="526">
        <f ca="1">(IFERROR(IFERROR(VALUE(_xll.BDH(J$4,"PE_RATIO",$B154,$B154)),VALUE(_xll.BDH(J$4,"PE_RATIO",$B154+1,$B154+1))),J155))</f>
        <v>0</v>
      </c>
      <c r="K154" s="526">
        <f ca="1">(IFERROR(IFERROR(VALUE(_xll.BDH(K$4,"PE_RATIO",$B154,$B154)),VALUE(_xll.BDH(K$4,"PE_RATIO",$B154+1,$B154+1))),K155))</f>
        <v>0</v>
      </c>
      <c r="L154" s="526">
        <f ca="1">(IFERROR(IFERROR(VALUE(_xll.BDH(L$4,"PE_RATIO",$B154,$B154)),VALUE(_xll.BDH(L$4,"PE_RATIO",$B154+1,$B154+1))),L155))</f>
        <v>0</v>
      </c>
      <c r="M154" s="526">
        <f ca="1">(IFERROR(IFERROR(VALUE(_xll.BDH(M$4,"PE_RATIO",$B154,$B154)),VALUE(_xll.BDH(M$4,"PE_RATIO",$B154+1,$B154+1))),M155))</f>
        <v>0</v>
      </c>
      <c r="N154" s="526">
        <f ca="1">(IFERROR(IFERROR(VALUE(_xll.BDH(N$4,"PE_RATIO",$B154,$B154)),VALUE(_xll.BDH(N$4,"PE_RATIO",$B154+1,$B154+1))),N155))</f>
        <v>0</v>
      </c>
      <c r="O154" s="526">
        <f ca="1">(IFERROR(IFERROR(VALUE(_xll.BDH(O$4,"PE_RATIO",$B154,$B154)),VALUE(_xll.BDH(O$4,"PE_RATIO",$B154+1,$B154+1))),O155))</f>
        <v>0</v>
      </c>
      <c r="P154" s="526"/>
      <c r="Q154" s="530">
        <v>44865</v>
      </c>
      <c r="R154" s="4">
        <v>2.27</v>
      </c>
      <c r="S154" s="4">
        <v>11405.57</v>
      </c>
      <c r="T154" s="4">
        <v>3879.89</v>
      </c>
      <c r="U154" s="4">
        <v>0.99126637554585151</v>
      </c>
      <c r="V154" s="4">
        <v>1.0134581943840961</v>
      </c>
      <c r="W154" s="4">
        <v>1.0203980191093356</v>
      </c>
      <c r="Y154" s="526">
        <f t="shared" si="40"/>
        <v>2.27</v>
      </c>
      <c r="Z154" s="4">
        <f>IFERROR(VALUE(_xll.BDH(Z$4,"PX_LAST",$Q154,$Q154)),Z155)</f>
        <v>37.49</v>
      </c>
      <c r="AA154" s="4">
        <f>IFERROR(VALUE(_xll.BDH(AA$4,"PX_LAST",$Q154,$Q154)),AA155)</f>
        <v>33.96</v>
      </c>
      <c r="AB154" s="4">
        <f>IFERROR(VALUE(_xll.BDH(AB$4,"PX_LAST",$Q154,$Q154)),AB155)</f>
        <v>81.22</v>
      </c>
      <c r="AC154" s="4">
        <f>IFERROR(VALUE(_xll.BDH(AC$4,"PX_LAST",$Q154,$Q154)),AC155)</f>
        <v>9.66</v>
      </c>
      <c r="AD154" s="4">
        <f>IFERROR(VALUE(_xll.BDH(AD$4,"PX_LAST",$Q154,$Q154)),AD155)</f>
        <v>38.56</v>
      </c>
      <c r="AF154" s="4">
        <f t="shared" si="41"/>
        <v>0.99126637554585151</v>
      </c>
      <c r="AG154" s="4">
        <f t="shared" si="42"/>
        <v>1.2695563833389774</v>
      </c>
      <c r="AH154" s="4">
        <f t="shared" si="43"/>
        <v>1.194933145672062</v>
      </c>
      <c r="AI154" s="4">
        <f t="shared" si="44"/>
        <v>0.87071183533447682</v>
      </c>
      <c r="AJ154" s="4">
        <f t="shared" si="45"/>
        <v>1.2029887920298881</v>
      </c>
      <c r="AK154" s="4">
        <f t="shared" si="46"/>
        <v>1.3200958575830195</v>
      </c>
      <c r="AM154" s="528">
        <v>45758</v>
      </c>
      <c r="AN154" s="529">
        <v>8.4700000000000006</v>
      </c>
      <c r="AO154" s="529">
        <v>0</v>
      </c>
      <c r="AP154" s="529">
        <v>0</v>
      </c>
      <c r="AQ154" s="529">
        <v>-205.20014900000001</v>
      </c>
      <c r="AR154" s="529">
        <v>0</v>
      </c>
    </row>
    <row r="155" spans="2:44">
      <c r="B155" s="530">
        <f t="shared" ca="1" si="47"/>
        <v>44901</v>
      </c>
      <c r="C155" s="526">
        <f ca="1">(IFERROR(IFERROR(VALUE(_xll.BDH(C$4,"CURRENT_EV_TO_T12M_EBITDA",$B155,$B155)),VALUE(_xll.BDH(C$4,"CURRENT_EV_TO_T12M_EBITDA",$B155+1,$B155+1))),C156))</f>
        <v>0</v>
      </c>
      <c r="D155" s="526">
        <f ca="1">(IFERROR(IFERROR(VALUE(_xll.BDH(D$4,"CURRENT_EV_TO_T12M_EBITDA",$B155,$B155)),VALUE(_xll.BDH(D$4,"CURRENT_EV_TO_T12M_EBITDA",$B155+1,$B155+1))),D156))</f>
        <v>0</v>
      </c>
      <c r="E155" s="526">
        <f ca="1">(IFERROR(IFERROR(VALUE(_xll.BDH(E$4,"CURRENT_EV_TO_T12M_EBITDA",$B155,$B155)),VALUE(_xll.BDH(E$4,"CURRENT_EV_TO_T12M_EBITDA",$B155+1,$B155+1))),E156))</f>
        <v>0</v>
      </c>
      <c r="F155" s="526">
        <f ca="1">(IFERROR(IFERROR(VALUE(_xll.BDH(F$4,"CURRENT_EV_TO_T12M_EBITDA",$B155,$B155)),VALUE(_xll.BDH(F$4,"CURRENT_EV_TO_T12M_EBITDA",$B155+1,$B155+1))),F156))</f>
        <v>0</v>
      </c>
      <c r="G155" s="526">
        <f ca="1">(IFERROR(IFERROR(VALUE(_xll.BDH(G$4,"CURRENT_EV_TO_T12M_EBITDA",$B155,$B155)),VALUE(_xll.BDH(G$4,"CURRENT_EV_TO_T12M_EBITDA",$B155+1,$B155+1))),G156))</f>
        <v>0</v>
      </c>
      <c r="H155" s="526">
        <f ca="1">(IFERROR(IFERROR(VALUE(_xll.BDH(H$4,"CURRENT_EV_TO_T12M_EBITDA",$B155,$B155)),VALUE(_xll.BDH(H$4,"CURRENT_EV_TO_T12M_EBITDA",$B155+1,$B155+1))),H156))</f>
        <v>0</v>
      </c>
      <c r="I155" s="530">
        <f t="shared" ca="1" si="39"/>
        <v>44901</v>
      </c>
      <c r="J155" s="526">
        <f ca="1">(IFERROR(IFERROR(VALUE(_xll.BDH(J$4,"PE_RATIO",$B155,$B155)),VALUE(_xll.BDH(J$4,"PE_RATIO",$B155+1,$B155+1))),J156))</f>
        <v>0</v>
      </c>
      <c r="K155" s="526">
        <f ca="1">(IFERROR(IFERROR(VALUE(_xll.BDH(K$4,"PE_RATIO",$B155,$B155)),VALUE(_xll.BDH(K$4,"PE_RATIO",$B155+1,$B155+1))),K156))</f>
        <v>0</v>
      </c>
      <c r="L155" s="526">
        <f ca="1">(IFERROR(IFERROR(VALUE(_xll.BDH(L$4,"PE_RATIO",$B155,$B155)),VALUE(_xll.BDH(L$4,"PE_RATIO",$B155+1,$B155+1))),L156))</f>
        <v>0</v>
      </c>
      <c r="M155" s="526">
        <f ca="1">(IFERROR(IFERROR(VALUE(_xll.BDH(M$4,"PE_RATIO",$B155,$B155)),VALUE(_xll.BDH(M$4,"PE_RATIO",$B155+1,$B155+1))),M156))</f>
        <v>0</v>
      </c>
      <c r="N155" s="526">
        <f ca="1">(IFERROR(IFERROR(VALUE(_xll.BDH(N$4,"PE_RATIO",$B155,$B155)),VALUE(_xll.BDH(N$4,"PE_RATIO",$B155+1,$B155+1))),N156))</f>
        <v>0</v>
      </c>
      <c r="O155" s="526">
        <f ca="1">(IFERROR(IFERROR(VALUE(_xll.BDH(O$4,"PE_RATIO",$B155,$B155)),VALUE(_xll.BDH(O$4,"PE_RATIO",$B155+1,$B155+1))),O156))</f>
        <v>0</v>
      </c>
      <c r="P155" s="526"/>
      <c r="Q155" s="530">
        <v>44858</v>
      </c>
      <c r="R155" s="4">
        <v>2.23</v>
      </c>
      <c r="S155" s="4">
        <v>11430.26</v>
      </c>
      <c r="T155" s="4">
        <v>3998.98</v>
      </c>
      <c r="U155" s="4">
        <v>0.97379912663755452</v>
      </c>
      <c r="V155" s="4">
        <v>1.0156520595586855</v>
      </c>
      <c r="W155" s="4">
        <v>1.0517182885230898</v>
      </c>
      <c r="Y155" s="526">
        <f t="shared" si="40"/>
        <v>2.23</v>
      </c>
      <c r="Z155" s="4">
        <f>IFERROR(VALUE(_xll.BDH(Z$4,"PX_LAST",$Q155,$Q155)),Z156)</f>
        <v>31.14</v>
      </c>
      <c r="AA155" s="4">
        <f>IFERROR(VALUE(_xll.BDH(AA$4,"PX_LAST",$Q155,$Q155)),AA156)</f>
        <v>29.84</v>
      </c>
      <c r="AB155" s="4">
        <f>IFERROR(VALUE(_xll.BDH(AB$4,"PX_LAST",$Q155,$Q155)),AB156)</f>
        <v>101.66</v>
      </c>
      <c r="AC155" s="4">
        <f>IFERROR(VALUE(_xll.BDH(AC$4,"PX_LAST",$Q155,$Q155)),AC156)</f>
        <v>8.59</v>
      </c>
      <c r="AD155" s="4">
        <f>IFERROR(VALUE(_xll.BDH(AD$4,"PX_LAST",$Q155,$Q155)),AD156)</f>
        <v>30.88</v>
      </c>
      <c r="AF155" s="4">
        <f t="shared" si="41"/>
        <v>0.97379912663755452</v>
      </c>
      <c r="AG155" s="4">
        <f t="shared" si="42"/>
        <v>1.054520826278361</v>
      </c>
      <c r="AH155" s="4">
        <f t="shared" si="43"/>
        <v>1.0499648135116115</v>
      </c>
      <c r="AI155" s="4">
        <f t="shared" si="44"/>
        <v>1.0898370497427101</v>
      </c>
      <c r="AJ155" s="4">
        <f t="shared" si="45"/>
        <v>1.0697384806973849</v>
      </c>
      <c r="AK155" s="4">
        <f t="shared" si="46"/>
        <v>1.0571722013009244</v>
      </c>
      <c r="AM155" s="528">
        <v>45757</v>
      </c>
      <c r="AN155" s="529">
        <v>8.33</v>
      </c>
      <c r="AO155" s="529">
        <v>0</v>
      </c>
      <c r="AP155" s="529">
        <v>0</v>
      </c>
      <c r="AQ155" s="529">
        <v>-201.80841100000001</v>
      </c>
      <c r="AR155" s="529">
        <v>0</v>
      </c>
    </row>
    <row r="156" spans="2:44">
      <c r="B156" s="530">
        <f t="shared" ca="1" si="47"/>
        <v>44894</v>
      </c>
      <c r="C156" s="526">
        <f ca="1">(IFERROR(IFERROR(VALUE(_xll.BDH(C$4,"CURRENT_EV_TO_T12M_EBITDA",$B156,$B156)),VALUE(_xll.BDH(C$4,"CURRENT_EV_TO_T12M_EBITDA",$B156+1,$B156+1))),C157))</f>
        <v>0</v>
      </c>
      <c r="D156" s="526">
        <f ca="1">(IFERROR(IFERROR(VALUE(_xll.BDH(D$4,"CURRENT_EV_TO_T12M_EBITDA",$B156,$B156)),VALUE(_xll.BDH(D$4,"CURRENT_EV_TO_T12M_EBITDA",$B156+1,$B156+1))),D157))</f>
        <v>0</v>
      </c>
      <c r="E156" s="526">
        <f ca="1">(IFERROR(IFERROR(VALUE(_xll.BDH(E$4,"CURRENT_EV_TO_T12M_EBITDA",$B156,$B156)),VALUE(_xll.BDH(E$4,"CURRENT_EV_TO_T12M_EBITDA",$B156+1,$B156+1))),E157))</f>
        <v>0</v>
      </c>
      <c r="F156" s="526">
        <f ca="1">(IFERROR(IFERROR(VALUE(_xll.BDH(F$4,"CURRENT_EV_TO_T12M_EBITDA",$B156,$B156)),VALUE(_xll.BDH(F$4,"CURRENT_EV_TO_T12M_EBITDA",$B156+1,$B156+1))),F157))</f>
        <v>0</v>
      </c>
      <c r="G156" s="526">
        <f ca="1">(IFERROR(IFERROR(VALUE(_xll.BDH(G$4,"CURRENT_EV_TO_T12M_EBITDA",$B156,$B156)),VALUE(_xll.BDH(G$4,"CURRENT_EV_TO_T12M_EBITDA",$B156+1,$B156+1))),G157))</f>
        <v>0</v>
      </c>
      <c r="H156" s="526">
        <f ca="1">(IFERROR(IFERROR(VALUE(_xll.BDH(H$4,"CURRENT_EV_TO_T12M_EBITDA",$B156,$B156)),VALUE(_xll.BDH(H$4,"CURRENT_EV_TO_T12M_EBITDA",$B156+1,$B156+1))),H157))</f>
        <v>0</v>
      </c>
      <c r="I156" s="530">
        <f t="shared" ca="1" si="39"/>
        <v>44894</v>
      </c>
      <c r="J156" s="526">
        <f ca="1">(IFERROR(IFERROR(VALUE(_xll.BDH(J$4,"PE_RATIO",$B156,$B156)),VALUE(_xll.BDH(J$4,"PE_RATIO",$B156+1,$B156+1))),J157))</f>
        <v>0</v>
      </c>
      <c r="K156" s="526">
        <f ca="1">(IFERROR(IFERROR(VALUE(_xll.BDH(K$4,"PE_RATIO",$B156,$B156)),VALUE(_xll.BDH(K$4,"PE_RATIO",$B156+1,$B156+1))),K157))</f>
        <v>0</v>
      </c>
      <c r="L156" s="526">
        <f ca="1">(IFERROR(IFERROR(VALUE(_xll.BDH(L$4,"PE_RATIO",$B156,$B156)),VALUE(_xll.BDH(L$4,"PE_RATIO",$B156+1,$B156+1))),L157))</f>
        <v>0</v>
      </c>
      <c r="M156" s="526">
        <f ca="1">(IFERROR(IFERROR(VALUE(_xll.BDH(M$4,"PE_RATIO",$B156,$B156)),VALUE(_xll.BDH(M$4,"PE_RATIO",$B156+1,$B156+1))),M157))</f>
        <v>0</v>
      </c>
      <c r="N156" s="526">
        <f ca="1">(IFERROR(IFERROR(VALUE(_xll.BDH(N$4,"PE_RATIO",$B156,$B156)),VALUE(_xll.BDH(N$4,"PE_RATIO",$B156+1,$B156+1))),N157))</f>
        <v>0</v>
      </c>
      <c r="O156" s="526">
        <f ca="1">(IFERROR(IFERROR(VALUE(_xll.BDH(O$4,"PE_RATIO",$B156,$B156)),VALUE(_xll.BDH(O$4,"PE_RATIO",$B156+1,$B156+1))),O157))</f>
        <v>0</v>
      </c>
      <c r="P156" s="526"/>
      <c r="Q156" s="530">
        <v>44851</v>
      </c>
      <c r="R156" s="4">
        <v>2.12</v>
      </c>
      <c r="S156" s="4">
        <v>11062.53</v>
      </c>
      <c r="T156" s="4">
        <v>3818.04</v>
      </c>
      <c r="U156" s="4">
        <v>0.92576419213973804</v>
      </c>
      <c r="V156" s="4">
        <v>0.98297688577772924</v>
      </c>
      <c r="W156" s="4">
        <v>1.0041316771558493</v>
      </c>
      <c r="Y156" s="526">
        <f t="shared" si="40"/>
        <v>2.12</v>
      </c>
      <c r="Z156" s="4">
        <f>IFERROR(VALUE(_xll.BDH(Z$4,"PX_LAST",$Q156,$Q156)),Z157)</f>
        <v>31.98</v>
      </c>
      <c r="AA156" s="4">
        <f>IFERROR(VALUE(_xll.BDH(AA$4,"PX_LAST",$Q156,$Q156)),AA157)</f>
        <v>29.15</v>
      </c>
      <c r="AB156" s="4">
        <f>IFERROR(VALUE(_xll.BDH(AB$4,"PX_LAST",$Q156,$Q156)),AB157)</f>
        <v>102.47</v>
      </c>
      <c r="AC156" s="4">
        <f>IFERROR(VALUE(_xll.BDH(AC$4,"PX_LAST",$Q156,$Q156)),AC157)</f>
        <v>8.16</v>
      </c>
      <c r="AD156" s="4">
        <f>IFERROR(VALUE(_xll.BDH(AD$4,"PX_LAST",$Q156,$Q156)),AD157)</f>
        <v>33.24</v>
      </c>
      <c r="AF156" s="4">
        <f t="shared" si="41"/>
        <v>0.92576419213973804</v>
      </c>
      <c r="AG156" s="4">
        <f t="shared" si="42"/>
        <v>1.0829664747714189</v>
      </c>
      <c r="AH156" s="4">
        <f t="shared" si="43"/>
        <v>1.0256861365235748</v>
      </c>
      <c r="AI156" s="4">
        <f t="shared" si="44"/>
        <v>1.0985205831903946</v>
      </c>
      <c r="AJ156" s="4">
        <f t="shared" si="45"/>
        <v>1.016189290161893</v>
      </c>
      <c r="AK156" s="4">
        <f t="shared" si="46"/>
        <v>1.1379664498459432</v>
      </c>
      <c r="AM156" s="528">
        <v>45756</v>
      </c>
      <c r="AN156" s="529">
        <v>8.66</v>
      </c>
      <c r="AO156" s="529">
        <v>0</v>
      </c>
      <c r="AP156" s="529">
        <v>0</v>
      </c>
      <c r="AQ156" s="529">
        <v>-209.80322200000001</v>
      </c>
      <c r="AR156" s="529">
        <v>0</v>
      </c>
    </row>
    <row r="157" spans="2:44">
      <c r="B157" s="530">
        <f t="shared" ca="1" si="47"/>
        <v>44887</v>
      </c>
      <c r="C157" s="526">
        <f ca="1">(IFERROR(IFERROR(VALUE(_xll.BDH(C$4,"CURRENT_EV_TO_T12M_EBITDA",$B157,$B157)),VALUE(_xll.BDH(C$4,"CURRENT_EV_TO_T12M_EBITDA",$B157+1,$B157+1))),C158))</f>
        <v>0</v>
      </c>
      <c r="D157" s="526">
        <f ca="1">(IFERROR(IFERROR(VALUE(_xll.BDH(D$4,"CURRENT_EV_TO_T12M_EBITDA",$B157,$B157)),VALUE(_xll.BDH(D$4,"CURRENT_EV_TO_T12M_EBITDA",$B157+1,$B157+1))),D158))</f>
        <v>0</v>
      </c>
      <c r="E157" s="526">
        <f ca="1">(IFERROR(IFERROR(VALUE(_xll.BDH(E$4,"CURRENT_EV_TO_T12M_EBITDA",$B157,$B157)),VALUE(_xll.BDH(E$4,"CURRENT_EV_TO_T12M_EBITDA",$B157+1,$B157+1))),E158))</f>
        <v>0</v>
      </c>
      <c r="F157" s="526">
        <f ca="1">(IFERROR(IFERROR(VALUE(_xll.BDH(F$4,"CURRENT_EV_TO_T12M_EBITDA",$B157,$B157)),VALUE(_xll.BDH(F$4,"CURRENT_EV_TO_T12M_EBITDA",$B157+1,$B157+1))),F158))</f>
        <v>0</v>
      </c>
      <c r="G157" s="526">
        <f ca="1">(IFERROR(IFERROR(VALUE(_xll.BDH(G$4,"CURRENT_EV_TO_T12M_EBITDA",$B157,$B157)),VALUE(_xll.BDH(G$4,"CURRENT_EV_TO_T12M_EBITDA",$B157+1,$B157+1))),G158))</f>
        <v>0</v>
      </c>
      <c r="H157" s="526">
        <f ca="1">(IFERROR(IFERROR(VALUE(_xll.BDH(H$4,"CURRENT_EV_TO_T12M_EBITDA",$B157,$B157)),VALUE(_xll.BDH(H$4,"CURRENT_EV_TO_T12M_EBITDA",$B157+1,$B157+1))),H158))</f>
        <v>0</v>
      </c>
      <c r="I157" s="530">
        <f t="shared" ca="1" si="39"/>
        <v>44887</v>
      </c>
      <c r="J157" s="526">
        <f ca="1">(IFERROR(IFERROR(VALUE(_xll.BDH(J$4,"PE_RATIO",$B157,$B157)),VALUE(_xll.BDH(J$4,"PE_RATIO",$B157+1,$B157+1))),J158))</f>
        <v>0</v>
      </c>
      <c r="K157" s="526">
        <f ca="1">(IFERROR(IFERROR(VALUE(_xll.BDH(K$4,"PE_RATIO",$B157,$B157)),VALUE(_xll.BDH(K$4,"PE_RATIO",$B157+1,$B157+1))),K158))</f>
        <v>0</v>
      </c>
      <c r="L157" s="526">
        <f ca="1">(IFERROR(IFERROR(VALUE(_xll.BDH(L$4,"PE_RATIO",$B157,$B157)),VALUE(_xll.BDH(L$4,"PE_RATIO",$B157+1,$B157+1))),L158))</f>
        <v>0</v>
      </c>
      <c r="M157" s="526">
        <f ca="1">(IFERROR(IFERROR(VALUE(_xll.BDH(M$4,"PE_RATIO",$B157,$B157)),VALUE(_xll.BDH(M$4,"PE_RATIO",$B157+1,$B157+1))),M158))</f>
        <v>0</v>
      </c>
      <c r="N157" s="526">
        <f ca="1">(IFERROR(IFERROR(VALUE(_xll.BDH(N$4,"PE_RATIO",$B157,$B157)),VALUE(_xll.BDH(N$4,"PE_RATIO",$B157+1,$B157+1))),N158))</f>
        <v>0</v>
      </c>
      <c r="O157" s="526">
        <f ca="1">(IFERROR(IFERROR(VALUE(_xll.BDH(O$4,"PE_RATIO",$B157,$B157)),VALUE(_xll.BDH(O$4,"PE_RATIO",$B157+1,$B157+1))),O158))</f>
        <v>0</v>
      </c>
      <c r="P157" s="526"/>
      <c r="Q157" s="530">
        <v>44844</v>
      </c>
      <c r="R157" s="4">
        <v>2.17</v>
      </c>
      <c r="S157" s="4">
        <v>10926.97</v>
      </c>
      <c r="T157" s="4">
        <v>3713.5</v>
      </c>
      <c r="U157" s="4">
        <v>0.94759825327510916</v>
      </c>
      <c r="V157" s="4">
        <v>0.97093150857775501</v>
      </c>
      <c r="W157" s="4">
        <v>0.97663800879986751</v>
      </c>
      <c r="Y157" s="526">
        <f t="shared" si="40"/>
        <v>2.17</v>
      </c>
      <c r="Z157" s="4">
        <f>IFERROR(VALUE(_xll.BDH(Z$4,"PX_LAST",$Q157,$Q157)),Z158)</f>
        <v>30.38</v>
      </c>
      <c r="AA157" s="4">
        <f>IFERROR(VALUE(_xll.BDH(AA$4,"PX_LAST",$Q157,$Q157)),AA158)</f>
        <v>28.18</v>
      </c>
      <c r="AB157" s="4">
        <f>IFERROR(VALUE(_xll.BDH(AB$4,"PX_LAST",$Q157,$Q157)),AB158)</f>
        <v>98.49</v>
      </c>
      <c r="AC157" s="4">
        <f>IFERROR(VALUE(_xll.BDH(AC$4,"PX_LAST",$Q157,$Q157)),AC158)</f>
        <v>7.79</v>
      </c>
      <c r="AD157" s="4">
        <f>IFERROR(VALUE(_xll.BDH(AD$4,"PX_LAST",$Q157,$Q157)),AD158)</f>
        <v>31.33</v>
      </c>
      <c r="AF157" s="4">
        <f t="shared" si="41"/>
        <v>0.94759825327510916</v>
      </c>
      <c r="AG157" s="4">
        <f t="shared" si="42"/>
        <v>1.0287842871655943</v>
      </c>
      <c r="AH157" s="4">
        <f t="shared" si="43"/>
        <v>0.99155524278676976</v>
      </c>
      <c r="AI157" s="4">
        <f t="shared" si="44"/>
        <v>1.0558533447684391</v>
      </c>
      <c r="AJ157" s="4">
        <f t="shared" si="45"/>
        <v>0.9701120797011209</v>
      </c>
      <c r="AK157" s="4">
        <f t="shared" si="46"/>
        <v>1.0725778842862033</v>
      </c>
      <c r="AM157" s="528">
        <v>45755</v>
      </c>
      <c r="AN157" s="529">
        <v>7.92</v>
      </c>
      <c r="AO157" s="529">
        <v>0</v>
      </c>
      <c r="AP157" s="529">
        <v>0</v>
      </c>
      <c r="AQ157" s="529">
        <v>-191.87546399999999</v>
      </c>
      <c r="AR157" s="529">
        <v>0</v>
      </c>
    </row>
    <row r="158" spans="2:44">
      <c r="B158" s="530">
        <f t="shared" ca="1" si="47"/>
        <v>44880</v>
      </c>
      <c r="C158" s="526">
        <f ca="1">(IFERROR(IFERROR(VALUE(_xll.BDH(C$4,"CURRENT_EV_TO_T12M_EBITDA",$B158,$B158)),VALUE(_xll.BDH(C$4,"CURRENT_EV_TO_T12M_EBITDA",$B158+1,$B158+1))),C159))</f>
        <v>0</v>
      </c>
      <c r="D158" s="526">
        <f ca="1">(IFERROR(IFERROR(VALUE(_xll.BDH(D$4,"CURRENT_EV_TO_T12M_EBITDA",$B158,$B158)),VALUE(_xll.BDH(D$4,"CURRENT_EV_TO_T12M_EBITDA",$B158+1,$B158+1))),D159))</f>
        <v>0</v>
      </c>
      <c r="E158" s="526">
        <f ca="1">(IFERROR(IFERROR(VALUE(_xll.BDH(E$4,"CURRENT_EV_TO_T12M_EBITDA",$B158,$B158)),VALUE(_xll.BDH(E$4,"CURRENT_EV_TO_T12M_EBITDA",$B158+1,$B158+1))),E159))</f>
        <v>0</v>
      </c>
      <c r="F158" s="526">
        <f ca="1">(IFERROR(IFERROR(VALUE(_xll.BDH(F$4,"CURRENT_EV_TO_T12M_EBITDA",$B158,$B158)),VALUE(_xll.BDH(F$4,"CURRENT_EV_TO_T12M_EBITDA",$B158+1,$B158+1))),F159))</f>
        <v>0</v>
      </c>
      <c r="G158" s="526">
        <f ca="1">(IFERROR(IFERROR(VALUE(_xll.BDH(G$4,"CURRENT_EV_TO_T12M_EBITDA",$B158,$B158)),VALUE(_xll.BDH(G$4,"CURRENT_EV_TO_T12M_EBITDA",$B158+1,$B158+1))),G159))</f>
        <v>0</v>
      </c>
      <c r="H158" s="526">
        <f ca="1">(IFERROR(IFERROR(VALUE(_xll.BDH(H$4,"CURRENT_EV_TO_T12M_EBITDA",$B158,$B158)),VALUE(_xll.BDH(H$4,"CURRENT_EV_TO_T12M_EBITDA",$B158+1,$B158+1))),H159))</f>
        <v>0</v>
      </c>
      <c r="I158" s="530">
        <f t="shared" ca="1" si="39"/>
        <v>44880</v>
      </c>
      <c r="J158" s="526">
        <f ca="1">(IFERROR(IFERROR(VALUE(_xll.BDH(J$4,"PE_RATIO",$B158,$B158)),VALUE(_xll.BDH(J$4,"PE_RATIO",$B158+1,$B158+1))),J159))</f>
        <v>0</v>
      </c>
      <c r="K158" s="526">
        <f ca="1">(IFERROR(IFERROR(VALUE(_xll.BDH(K$4,"PE_RATIO",$B158,$B158)),VALUE(_xll.BDH(K$4,"PE_RATIO",$B158+1,$B158+1))),K159))</f>
        <v>0</v>
      </c>
      <c r="L158" s="526">
        <f ca="1">(IFERROR(IFERROR(VALUE(_xll.BDH(L$4,"PE_RATIO",$B158,$B158)),VALUE(_xll.BDH(L$4,"PE_RATIO",$B158+1,$B158+1))),L159))</f>
        <v>0</v>
      </c>
      <c r="M158" s="526">
        <f ca="1">(IFERROR(IFERROR(VALUE(_xll.BDH(M$4,"PE_RATIO",$B158,$B158)),VALUE(_xll.BDH(M$4,"PE_RATIO",$B158+1,$B158+1))),M159))</f>
        <v>0</v>
      </c>
      <c r="N158" s="526">
        <f ca="1">(IFERROR(IFERROR(VALUE(_xll.BDH(N$4,"PE_RATIO",$B158,$B158)),VALUE(_xll.BDH(N$4,"PE_RATIO",$B158+1,$B158+1))),N159))</f>
        <v>0</v>
      </c>
      <c r="O158" s="526">
        <f ca="1">(IFERROR(IFERROR(VALUE(_xll.BDH(O$4,"PE_RATIO",$B158,$B158)),VALUE(_xll.BDH(O$4,"PE_RATIO",$B158+1,$B158+1))),O159))</f>
        <v>0</v>
      </c>
      <c r="P158" s="526"/>
      <c r="Q158" s="530">
        <v>44837</v>
      </c>
      <c r="R158" s="4">
        <v>2.29</v>
      </c>
      <c r="S158" s="4">
        <v>11229.73</v>
      </c>
      <c r="T158" s="4">
        <v>3865.22</v>
      </c>
      <c r="U158" s="4">
        <v>1</v>
      </c>
      <c r="V158" s="4">
        <v>0.99783368031767938</v>
      </c>
      <c r="W158" s="4">
        <v>1.0165398584552103</v>
      </c>
      <c r="Y158" s="526">
        <f t="shared" si="40"/>
        <v>2.29</v>
      </c>
      <c r="Z158" s="4">
        <f>IFERROR(VALUE(_xll.BDH(Z$4,"PX_LAST",$Q158,$Q158)),Z159)</f>
        <v>29.97</v>
      </c>
      <c r="AA158" s="4">
        <f>IFERROR(VALUE(_xll.BDH(AA$4,"PX_LAST",$Q158,$Q158)),AA159)</f>
        <v>28.61</v>
      </c>
      <c r="AB158" s="4">
        <f>IFERROR(VALUE(_xll.BDH(AB$4,"PX_LAST",$Q158,$Q158)),AB159)</f>
        <v>97.07</v>
      </c>
      <c r="AC158" s="4">
        <f>IFERROR(VALUE(_xll.BDH(AC$4,"PX_LAST",$Q158,$Q158)),AC159)</f>
        <v>7.91</v>
      </c>
      <c r="AD158" s="4">
        <f>IFERROR(VALUE(_xll.BDH(AD$4,"PX_LAST",$Q158,$Q158)),AD159)</f>
        <v>31.08</v>
      </c>
      <c r="AF158" s="4">
        <f t="shared" si="41"/>
        <v>1</v>
      </c>
      <c r="AG158" s="4">
        <f t="shared" si="42"/>
        <v>1.0149001015916017</v>
      </c>
      <c r="AH158" s="4">
        <f t="shared" si="43"/>
        <v>1.0066854327938071</v>
      </c>
      <c r="AI158" s="4">
        <f t="shared" si="44"/>
        <v>1.0406303602058318</v>
      </c>
      <c r="AJ158" s="4">
        <f t="shared" si="45"/>
        <v>0.98505603985056045</v>
      </c>
      <c r="AK158" s="4">
        <f t="shared" si="46"/>
        <v>1.0640191715166039</v>
      </c>
      <c r="AM158" s="528">
        <v>45754</v>
      </c>
      <c r="AN158" s="529">
        <v>8.16</v>
      </c>
      <c r="AO158" s="529">
        <v>0</v>
      </c>
      <c r="AP158" s="529">
        <v>0</v>
      </c>
      <c r="AQ158" s="529">
        <v>-197.68987200000001</v>
      </c>
      <c r="AR158" s="529">
        <v>0</v>
      </c>
    </row>
    <row r="159" spans="2:44">
      <c r="B159" s="530">
        <f t="shared" ca="1" si="47"/>
        <v>44873</v>
      </c>
      <c r="C159" s="526">
        <f ca="1">(IFERROR(IFERROR(VALUE(_xll.BDH(C$4,"CURRENT_EV_TO_T12M_EBITDA",$B159,$B159)),VALUE(_xll.BDH(C$4,"CURRENT_EV_TO_T12M_EBITDA",$B159+1,$B159+1))),C160))</f>
        <v>0</v>
      </c>
      <c r="D159" s="526">
        <f ca="1">(IFERROR(IFERROR(VALUE(_xll.BDH(D$4,"CURRENT_EV_TO_T12M_EBITDA",$B159,$B159)),VALUE(_xll.BDH(D$4,"CURRENT_EV_TO_T12M_EBITDA",$B159+1,$B159+1))),D160))</f>
        <v>0</v>
      </c>
      <c r="E159" s="526">
        <f ca="1">(IFERROR(IFERROR(VALUE(_xll.BDH(E$4,"CURRENT_EV_TO_T12M_EBITDA",$B159,$B159)),VALUE(_xll.BDH(E$4,"CURRENT_EV_TO_T12M_EBITDA",$B159+1,$B159+1))),E160))</f>
        <v>0</v>
      </c>
      <c r="F159" s="526">
        <f ca="1">(IFERROR(IFERROR(VALUE(_xll.BDH(F$4,"CURRENT_EV_TO_T12M_EBITDA",$B159,$B159)),VALUE(_xll.BDH(F$4,"CURRENT_EV_TO_T12M_EBITDA",$B159+1,$B159+1))),F160))</f>
        <v>0</v>
      </c>
      <c r="G159" s="526">
        <f ca="1">(IFERROR(IFERROR(VALUE(_xll.BDH(G$4,"CURRENT_EV_TO_T12M_EBITDA",$B159,$B159)),VALUE(_xll.BDH(G$4,"CURRENT_EV_TO_T12M_EBITDA",$B159+1,$B159+1))),G160))</f>
        <v>0</v>
      </c>
      <c r="H159" s="526">
        <f ca="1">(IFERROR(IFERROR(VALUE(_xll.BDH(H$4,"CURRENT_EV_TO_T12M_EBITDA",$B159,$B159)),VALUE(_xll.BDH(H$4,"CURRENT_EV_TO_T12M_EBITDA",$B159+1,$B159+1))),H160))</f>
        <v>0</v>
      </c>
      <c r="I159" s="530">
        <f t="shared" ca="1" si="39"/>
        <v>44873</v>
      </c>
      <c r="J159" s="526">
        <f ca="1">(IFERROR(IFERROR(VALUE(_xll.BDH(J$4,"PE_RATIO",$B159,$B159)),VALUE(_xll.BDH(J$4,"PE_RATIO",$B159+1,$B159+1))),J160))</f>
        <v>0</v>
      </c>
      <c r="K159" s="526">
        <f ca="1">(IFERROR(IFERROR(VALUE(_xll.BDH(K$4,"PE_RATIO",$B159,$B159)),VALUE(_xll.BDH(K$4,"PE_RATIO",$B159+1,$B159+1))),K160))</f>
        <v>0</v>
      </c>
      <c r="L159" s="526">
        <f ca="1">(IFERROR(IFERROR(VALUE(_xll.BDH(L$4,"PE_RATIO",$B159,$B159)),VALUE(_xll.BDH(L$4,"PE_RATIO",$B159+1,$B159+1))),L160))</f>
        <v>0</v>
      </c>
      <c r="M159" s="526">
        <f ca="1">(IFERROR(IFERROR(VALUE(_xll.BDH(M$4,"PE_RATIO",$B159,$B159)),VALUE(_xll.BDH(M$4,"PE_RATIO",$B159+1,$B159+1))),M160))</f>
        <v>0</v>
      </c>
      <c r="N159" s="526">
        <f ca="1">(IFERROR(IFERROR(VALUE(_xll.BDH(N$4,"PE_RATIO",$B159,$B159)),VALUE(_xll.BDH(N$4,"PE_RATIO",$B159+1,$B159+1))),N160))</f>
        <v>0</v>
      </c>
      <c r="O159" s="526">
        <f ca="1">(IFERROR(IFERROR(VALUE(_xll.BDH(O$4,"PE_RATIO",$B159,$B159)),VALUE(_xll.BDH(O$4,"PE_RATIO",$B159+1,$B159+1))),O160))</f>
        <v>0</v>
      </c>
      <c r="P159" s="526"/>
      <c r="Q159" s="530">
        <v>44830</v>
      </c>
      <c r="R159" s="4">
        <v>2.29</v>
      </c>
      <c r="S159" s="4">
        <v>11254.11</v>
      </c>
      <c r="T159" s="4">
        <v>3802.33</v>
      </c>
      <c r="U159" s="4">
        <v>1</v>
      </c>
      <c r="V159" s="4">
        <v>1</v>
      </c>
      <c r="W159" s="4">
        <v>1</v>
      </c>
      <c r="Y159" s="526">
        <f t="shared" si="40"/>
        <v>2.29</v>
      </c>
      <c r="Z159" s="4">
        <f>IFERROR(VALUE(_xll.BDH(Z$4,"PX_LAST",$Q159,$Q159)),Z160)</f>
        <v>29.53</v>
      </c>
      <c r="AA159" s="4">
        <f>IFERROR(VALUE(_xll.BDH(AA$4,"PX_LAST",$Q159,$Q159)),AA160)</f>
        <v>28.42</v>
      </c>
      <c r="AB159" s="4">
        <f>IFERROR(VALUE(_xll.BDH(AB$4,"PX_LAST",$Q159,$Q159)),AB160)</f>
        <v>93.28</v>
      </c>
      <c r="AC159" s="4">
        <f>IFERROR(VALUE(_xll.BDH(AC$4,"PX_LAST",$Q159,$Q159)),AC160)</f>
        <v>8.0299999999999994</v>
      </c>
      <c r="AD159" s="4">
        <f>IFERROR(VALUE(_xll.BDH(AD$4,"PX_LAST",$Q159,$Q159)),AD160)</f>
        <v>29.21</v>
      </c>
      <c r="AF159" s="4">
        <f t="shared" si="41"/>
        <v>1</v>
      </c>
      <c r="AG159" s="4">
        <f t="shared" si="42"/>
        <v>1</v>
      </c>
      <c r="AH159" s="4">
        <f t="shared" si="43"/>
        <v>1</v>
      </c>
      <c r="AI159" s="4">
        <f t="shared" si="44"/>
        <v>1</v>
      </c>
      <c r="AJ159" s="4">
        <f t="shared" si="45"/>
        <v>1</v>
      </c>
      <c r="AK159" s="4">
        <f t="shared" si="46"/>
        <v>1</v>
      </c>
      <c r="AM159" s="528">
        <v>45753</v>
      </c>
      <c r="AN159" s="529">
        <v>8.27</v>
      </c>
      <c r="AO159" s="529">
        <v>-3501188</v>
      </c>
      <c r="AP159" s="529">
        <v>-48.453400000000002</v>
      </c>
      <c r="AQ159" s="529">
        <v>-601.06442700000002</v>
      </c>
      <c r="AR159" s="529">
        <v>-0.65080000000000005</v>
      </c>
    </row>
    <row r="160" spans="2:44">
      <c r="B160" s="530">
        <f t="shared" ca="1" si="47"/>
        <v>44866</v>
      </c>
      <c r="I160" s="530">
        <f t="shared" ca="1" si="39"/>
        <v>44866</v>
      </c>
      <c r="Q160" s="530">
        <v>44823</v>
      </c>
      <c r="R160" s="4">
        <v>2.48</v>
      </c>
      <c r="S160" s="4">
        <v>11953.27</v>
      </c>
      <c r="T160" s="4">
        <v>3961.07</v>
      </c>
      <c r="AM160" s="528">
        <v>45752</v>
      </c>
      <c r="AN160" s="529">
        <v>8.27</v>
      </c>
      <c r="AO160" s="529">
        <v>-1750594</v>
      </c>
      <c r="AP160" s="529">
        <v>-24.226700000000001</v>
      </c>
      <c r="AQ160" s="529">
        <v>-400.70961799999998</v>
      </c>
      <c r="AR160" s="529">
        <v>-0.32540000000000002</v>
      </c>
    </row>
    <row r="161" spans="2:44">
      <c r="B161" s="530">
        <f t="shared" ca="1" si="47"/>
        <v>44859</v>
      </c>
      <c r="I161" s="530">
        <f t="shared" ca="1" si="39"/>
        <v>44859</v>
      </c>
      <c r="Q161" s="530">
        <v>44816</v>
      </c>
      <c r="R161" s="4">
        <v>2.71</v>
      </c>
      <c r="S161" s="4">
        <v>12739.72</v>
      </c>
      <c r="T161" s="4">
        <v>4364.1000000000004</v>
      </c>
      <c r="AM161" s="528">
        <v>45751</v>
      </c>
      <c r="AN161" s="529">
        <v>8.27</v>
      </c>
      <c r="AO161" s="529">
        <v>0</v>
      </c>
      <c r="AP161" s="529">
        <v>0</v>
      </c>
      <c r="AQ161" s="529">
        <v>-200.35480899999999</v>
      </c>
      <c r="AR161" s="529">
        <v>0</v>
      </c>
    </row>
    <row r="162" spans="2:44">
      <c r="B162" s="530">
        <f t="shared" ca="1" si="47"/>
        <v>44852</v>
      </c>
      <c r="I162" s="530">
        <f t="shared" ca="1" si="39"/>
        <v>44852</v>
      </c>
      <c r="Q162" s="530">
        <v>44809</v>
      </c>
      <c r="R162" s="4">
        <v>0</v>
      </c>
      <c r="S162" s="4">
        <v>0</v>
      </c>
      <c r="T162" s="4">
        <v>0</v>
      </c>
      <c r="AM162" s="528">
        <v>45750</v>
      </c>
      <c r="AN162" s="529">
        <v>8.9600000000000009</v>
      </c>
      <c r="AO162" s="529">
        <v>0</v>
      </c>
      <c r="AP162" s="529">
        <v>0</v>
      </c>
      <c r="AQ162" s="529">
        <v>-217.07123200000004</v>
      </c>
      <c r="AR162" s="529">
        <v>0</v>
      </c>
    </row>
    <row r="163" spans="2:44">
      <c r="AM163" s="528">
        <v>45749</v>
      </c>
      <c r="AN163" s="529">
        <v>9.7799999999999994</v>
      </c>
      <c r="AO163" s="529">
        <v>0</v>
      </c>
      <c r="AP163" s="529">
        <v>0</v>
      </c>
      <c r="AQ163" s="529">
        <v>-236.93712600000001</v>
      </c>
      <c r="AR163" s="529">
        <v>0</v>
      </c>
    </row>
    <row r="164" spans="2:44" ht="15">
      <c r="B164" s="357" t="s">
        <v>23</v>
      </c>
      <c r="C164" s="519"/>
      <c r="D164" s="23"/>
      <c r="E164" s="4" t="e" cm="1">
        <f t="array" aca="1" ref="E164" ca="1">_xll.BDP(Inputs!$D$15,F164)</f>
        <v>#NAME?</v>
      </c>
      <c r="F164" s="4" t="s">
        <v>728</v>
      </c>
      <c r="AM164" s="528">
        <v>45748</v>
      </c>
      <c r="AN164" s="529">
        <v>9.33</v>
      </c>
      <c r="AO164" s="529">
        <v>0</v>
      </c>
      <c r="AP164" s="529">
        <v>0</v>
      </c>
      <c r="AQ164" s="529">
        <v>-226.035111</v>
      </c>
      <c r="AR164" s="529">
        <v>0</v>
      </c>
    </row>
    <row r="165" spans="2:44" ht="15">
      <c r="B165" s="357" t="s">
        <v>24</v>
      </c>
      <c r="C165" s="23"/>
      <c r="D165" s="23"/>
      <c r="E165" s="4" t="e" cm="1">
        <f t="array" aca="1" ref="E165" ca="1">_xll.BDP(Inputs!$D$15,F165)/100</f>
        <v>#NAME?</v>
      </c>
      <c r="F165" s="4" t="s">
        <v>729</v>
      </c>
      <c r="AM165" s="528">
        <v>45747</v>
      </c>
      <c r="AN165" s="529">
        <v>9.3000000000000007</v>
      </c>
      <c r="AO165" s="529">
        <v>0</v>
      </c>
      <c r="AP165" s="529">
        <v>0</v>
      </c>
      <c r="AQ165" s="529">
        <v>-225.30831000000003</v>
      </c>
      <c r="AR165" s="529">
        <v>0</v>
      </c>
    </row>
    <row r="166" spans="2:44" ht="15">
      <c r="B166" s="357" t="s">
        <v>25</v>
      </c>
      <c r="C166" s="23"/>
      <c r="D166" s="23"/>
      <c r="E166" s="4" t="e" cm="1">
        <f t="array" aca="1" ref="E166" ca="1">_xll.BDP(Inputs!$D$15,F166)</f>
        <v>#NAME?</v>
      </c>
      <c r="F166" s="4" t="s">
        <v>730</v>
      </c>
      <c r="AM166" s="528">
        <v>45746</v>
      </c>
      <c r="AN166" s="529">
        <v>9.51</v>
      </c>
      <c r="AO166" s="529">
        <v>-1752418</v>
      </c>
      <c r="AP166" s="529">
        <v>-48.453400000000002</v>
      </c>
      <c r="AQ166" s="529">
        <v>-691.18775099999993</v>
      </c>
      <c r="AR166" s="529">
        <v>-0.72799999999999998</v>
      </c>
    </row>
    <row r="167" spans="2:44" ht="15">
      <c r="B167" s="357"/>
      <c r="C167" s="23"/>
      <c r="D167" s="23"/>
      <c r="AM167" s="528">
        <v>45745</v>
      </c>
      <c r="AN167" s="529">
        <v>9.51</v>
      </c>
      <c r="AO167" s="529">
        <v>-876209</v>
      </c>
      <c r="AP167" s="529">
        <v>-24.226700000000001</v>
      </c>
      <c r="AQ167" s="529">
        <v>-460.79183399999999</v>
      </c>
      <c r="AR167" s="529">
        <v>-0.36399999999999999</v>
      </c>
    </row>
    <row r="168" spans="2:44" ht="15">
      <c r="B168" s="357" t="s">
        <v>27</v>
      </c>
      <c r="C168" s="23"/>
      <c r="D168" s="23"/>
      <c r="E168" s="4" t="e" cm="1">
        <f t="array" aca="1" ref="E168" ca="1">_xll.BDP(Inputs!$D$15,F168)</f>
        <v>#NAME?</v>
      </c>
      <c r="F168" s="4" t="s">
        <v>731</v>
      </c>
      <c r="AM168" s="528">
        <v>45744</v>
      </c>
      <c r="AN168" s="529">
        <v>9.51</v>
      </c>
      <c r="AO168" s="529">
        <v>0</v>
      </c>
      <c r="AP168" s="529">
        <v>0</v>
      </c>
      <c r="AQ168" s="529">
        <v>-230.395917</v>
      </c>
      <c r="AR168" s="529">
        <v>0</v>
      </c>
    </row>
    <row r="169" spans="2:44" ht="15">
      <c r="B169" s="357" t="s">
        <v>464</v>
      </c>
      <c r="C169" s="23"/>
      <c r="D169" s="23"/>
      <c r="E169" s="4" t="e" cm="1">
        <f t="array" aca="1" ref="E169" ca="1">_xll.BDP(Inputs!$D$15,F169)</f>
        <v>#NAME?</v>
      </c>
      <c r="F169" s="4" t="s">
        <v>732</v>
      </c>
      <c r="AM169" s="528">
        <v>45743</v>
      </c>
      <c r="AN169" s="529">
        <v>9.32</v>
      </c>
      <c r="AO169" s="529">
        <v>0</v>
      </c>
      <c r="AP169" s="529">
        <v>0</v>
      </c>
      <c r="AQ169" s="529">
        <v>-225.792844</v>
      </c>
      <c r="AR169" s="529">
        <v>0</v>
      </c>
    </row>
    <row r="170" spans="2:44" ht="15">
      <c r="B170" s="357" t="s">
        <v>30</v>
      </c>
      <c r="C170" s="23"/>
      <c r="D170" s="23"/>
      <c r="E170" s="549" t="e" cm="1">
        <f t="array" aca="1" ref="E170" ca="1">_xll.BDP(Inputs!$D$15,F170)/100</f>
        <v>#NAME?</v>
      </c>
      <c r="F170" s="4" t="s">
        <v>733</v>
      </c>
      <c r="AM170" s="528">
        <v>45742</v>
      </c>
      <c r="AN170" s="529">
        <v>9.9499999999999993</v>
      </c>
      <c r="AO170" s="529">
        <v>0</v>
      </c>
      <c r="AP170" s="529">
        <v>0</v>
      </c>
      <c r="AQ170" s="529">
        <v>-241.055665</v>
      </c>
      <c r="AR170" s="529">
        <v>0</v>
      </c>
    </row>
    <row r="171" spans="2:44" ht="15">
      <c r="B171" s="357" t="s">
        <v>31</v>
      </c>
      <c r="C171" s="23"/>
      <c r="D171" s="23"/>
      <c r="E171" s="549" t="e" cm="1">
        <f t="array" aca="1" ref="E171" ca="1">_xll.BDP(Inputs!$D$15,F171)/100</f>
        <v>#NAME?</v>
      </c>
      <c r="F171" s="4" t="s">
        <v>734</v>
      </c>
      <c r="AM171" s="528">
        <v>45741</v>
      </c>
      <c r="AN171" s="529">
        <v>10.74</v>
      </c>
      <c r="AO171" s="529">
        <v>0</v>
      </c>
      <c r="AP171" s="529">
        <v>0</v>
      </c>
      <c r="AQ171" s="529">
        <v>-260.19475800000004</v>
      </c>
      <c r="AR171" s="529">
        <v>0</v>
      </c>
    </row>
    <row r="172" spans="2:44" ht="15">
      <c r="B172" s="357"/>
      <c r="C172" s="23"/>
      <c r="D172" s="23"/>
      <c r="AM172" s="528">
        <v>45740</v>
      </c>
      <c r="AN172" s="529">
        <v>10.93</v>
      </c>
      <c r="AO172" s="529">
        <v>0</v>
      </c>
      <c r="AP172" s="529">
        <v>0</v>
      </c>
      <c r="AQ172" s="529">
        <v>-264.79783100000003</v>
      </c>
      <c r="AR172" s="529">
        <v>0</v>
      </c>
    </row>
    <row r="173" spans="2:44" ht="15">
      <c r="B173" s="357" t="s">
        <v>735</v>
      </c>
      <c r="C173" s="23"/>
      <c r="D173" s="23"/>
      <c r="E173" s="549" t="e" cm="1">
        <f t="array" aca="1" ref="E173" ca="1">_xll.BDP(Inputs!$D$15,F173)/100</f>
        <v>#NAME?</v>
      </c>
      <c r="F173" s="4" t="s">
        <v>736</v>
      </c>
      <c r="AM173" s="528">
        <v>45739</v>
      </c>
      <c r="AN173" s="529">
        <v>9.76</v>
      </c>
      <c r="AO173" s="529">
        <v>-1977490</v>
      </c>
      <c r="AP173" s="529">
        <v>-48.453400000000002</v>
      </c>
      <c r="AQ173" s="529">
        <v>-709.35777600000006</v>
      </c>
      <c r="AR173" s="529">
        <v>-0.74719999999999998</v>
      </c>
    </row>
    <row r="174" spans="2:44" ht="15">
      <c r="B174" s="357" t="s">
        <v>35</v>
      </c>
      <c r="C174" s="23"/>
      <c r="D174" s="23"/>
      <c r="E174" s="549" t="e" cm="1">
        <f t="array" aca="1" ref="E174" ca="1">_xll.BDP(Inputs!$D$15,F174)/100</f>
        <v>#NAME?</v>
      </c>
      <c r="F174" s="4" t="s">
        <v>737</v>
      </c>
      <c r="AM174" s="528">
        <v>45738</v>
      </c>
      <c r="AN174" s="529">
        <v>9.76</v>
      </c>
      <c r="AO174" s="529">
        <v>-988745</v>
      </c>
      <c r="AP174" s="529">
        <v>-24.226700000000001</v>
      </c>
      <c r="AQ174" s="529">
        <v>-472.90518400000002</v>
      </c>
      <c r="AR174" s="529">
        <v>-0.37359999999999999</v>
      </c>
    </row>
    <row r="175" spans="2:44">
      <c r="AM175" s="528">
        <v>45737</v>
      </c>
      <c r="AN175" s="529">
        <v>9.76</v>
      </c>
      <c r="AO175" s="529">
        <v>0</v>
      </c>
      <c r="AP175" s="529">
        <v>0</v>
      </c>
      <c r="AQ175" s="529">
        <v>-236.45259200000001</v>
      </c>
      <c r="AR175" s="529">
        <v>0</v>
      </c>
    </row>
    <row r="176" spans="2:44" ht="15">
      <c r="B176" s="357"/>
      <c r="C176" s="23"/>
      <c r="D176" s="23"/>
      <c r="AM176" s="528">
        <v>45736</v>
      </c>
      <c r="AN176" s="529">
        <v>9.91</v>
      </c>
      <c r="AO176" s="529">
        <v>0</v>
      </c>
      <c r="AP176" s="529">
        <v>0</v>
      </c>
      <c r="AQ176" s="529">
        <v>-240.08659700000001</v>
      </c>
      <c r="AR176" s="529">
        <v>0</v>
      </c>
    </row>
    <row r="177" spans="2:44" ht="15">
      <c r="B177" s="357"/>
      <c r="C177" s="23"/>
      <c r="D177" s="23"/>
      <c r="E177" s="549"/>
      <c r="AM177" s="528">
        <v>45735</v>
      </c>
      <c r="AN177" s="529">
        <v>9.68</v>
      </c>
      <c r="AO177" s="529">
        <v>0</v>
      </c>
      <c r="AP177" s="529">
        <v>0</v>
      </c>
      <c r="AQ177" s="529">
        <v>-234.514456</v>
      </c>
      <c r="AR177" s="529">
        <v>0</v>
      </c>
    </row>
    <row r="178" spans="2:44" ht="15">
      <c r="B178" s="357"/>
      <c r="C178" s="23"/>
      <c r="D178" s="23"/>
      <c r="E178" s="549"/>
      <c r="AM178" s="528">
        <v>45734</v>
      </c>
      <c r="AN178" s="529">
        <v>9.14</v>
      </c>
      <c r="AO178" s="529">
        <v>0</v>
      </c>
      <c r="AP178" s="529">
        <v>0</v>
      </c>
      <c r="AQ178" s="529">
        <v>-221.43203800000003</v>
      </c>
      <c r="AR178" s="529">
        <v>0</v>
      </c>
    </row>
    <row r="179" spans="2:44" ht="15">
      <c r="B179" s="357"/>
      <c r="C179" s="23"/>
      <c r="D179" s="23"/>
      <c r="E179" s="549"/>
      <c r="AM179" s="528">
        <v>45733</v>
      </c>
      <c r="AN179" s="529">
        <v>9.25</v>
      </c>
      <c r="AO179" s="529">
        <v>0</v>
      </c>
      <c r="AP179" s="529">
        <v>0</v>
      </c>
      <c r="AQ179" s="529">
        <v>-224.09697500000001</v>
      </c>
      <c r="AR179" s="529">
        <v>0</v>
      </c>
    </row>
    <row r="180" spans="2:44">
      <c r="AM180" s="528">
        <v>45732</v>
      </c>
      <c r="AN180" s="529">
        <v>9.25</v>
      </c>
      <c r="AO180" s="529">
        <v>-1961566</v>
      </c>
      <c r="AP180" s="529">
        <v>-48.453400000000002</v>
      </c>
      <c r="AQ180" s="529">
        <v>-672.29092500000002</v>
      </c>
      <c r="AR180" s="529">
        <v>-0.70820000000000005</v>
      </c>
    </row>
    <row r="181" spans="2:44">
      <c r="AM181" s="528">
        <v>45731</v>
      </c>
      <c r="AN181" s="529">
        <v>9.25</v>
      </c>
      <c r="AO181" s="529">
        <v>-980783</v>
      </c>
      <c r="AP181" s="529">
        <v>-24.226700000000001</v>
      </c>
      <c r="AQ181" s="529">
        <v>-448.19395000000003</v>
      </c>
      <c r="AR181" s="529">
        <v>-0.35410000000000003</v>
      </c>
    </row>
    <row r="182" spans="2:44">
      <c r="AM182" s="528">
        <v>45730</v>
      </c>
      <c r="AN182" s="529">
        <v>9.25</v>
      </c>
      <c r="AO182" s="529">
        <v>0</v>
      </c>
      <c r="AP182" s="529">
        <v>0</v>
      </c>
      <c r="AQ182" s="529">
        <v>-224.09697500000001</v>
      </c>
      <c r="AR182" s="529">
        <v>0</v>
      </c>
    </row>
    <row r="183" spans="2:44">
      <c r="AM183" s="528">
        <v>45729</v>
      </c>
      <c r="AN183" s="529">
        <v>8.8800000000000008</v>
      </c>
      <c r="AO183" s="529">
        <v>0</v>
      </c>
      <c r="AP183" s="529">
        <v>0</v>
      </c>
      <c r="AQ183" s="529">
        <v>-215.13309600000002</v>
      </c>
      <c r="AR183" s="529">
        <v>0</v>
      </c>
    </row>
    <row r="184" spans="2:44">
      <c r="AM184" s="528">
        <v>45728</v>
      </c>
      <c r="AN184" s="529">
        <v>9.35</v>
      </c>
      <c r="AO184" s="529">
        <v>0</v>
      </c>
      <c r="AP184" s="529">
        <v>0</v>
      </c>
      <c r="AQ184" s="529">
        <v>-226.519645</v>
      </c>
      <c r="AR184" s="529">
        <v>0</v>
      </c>
    </row>
    <row r="185" spans="2:44">
      <c r="AM185" s="528">
        <v>45727</v>
      </c>
      <c r="AN185" s="529">
        <v>9.2100000000000009</v>
      </c>
      <c r="AO185" s="529">
        <v>0</v>
      </c>
      <c r="AP185" s="529">
        <v>0</v>
      </c>
      <c r="AQ185" s="529">
        <v>-195.41879310000002</v>
      </c>
      <c r="AR185" s="529">
        <v>0</v>
      </c>
    </row>
    <row r="186" spans="2:44">
      <c r="AM186" s="528">
        <v>45726</v>
      </c>
      <c r="AN186" s="529">
        <v>9.0500000000000007</v>
      </c>
      <c r="AO186" s="529">
        <v>0</v>
      </c>
      <c r="AP186" s="529">
        <v>0</v>
      </c>
      <c r="AQ186" s="529">
        <v>-192.02389550000001</v>
      </c>
      <c r="AR186" s="529">
        <v>0</v>
      </c>
    </row>
    <row r="187" spans="2:44">
      <c r="AM187" s="528">
        <v>45725</v>
      </c>
      <c r="AN187" s="529">
        <v>9.65</v>
      </c>
      <c r="AO187" s="529">
        <v>-3233928</v>
      </c>
      <c r="AP187" s="529">
        <v>-42.436219999999999</v>
      </c>
      <c r="AQ187" s="529">
        <v>-614.26428450000003</v>
      </c>
      <c r="AR187" s="529">
        <v>-0.73880000000000001</v>
      </c>
    </row>
    <row r="188" spans="2:44">
      <c r="AM188" s="528">
        <v>45724</v>
      </c>
      <c r="AN188" s="529">
        <v>9.65</v>
      </c>
      <c r="AO188" s="529">
        <v>-1616964</v>
      </c>
      <c r="AP188" s="529">
        <v>-21.218109999999999</v>
      </c>
      <c r="AQ188" s="529">
        <v>-409.509523</v>
      </c>
      <c r="AR188" s="529">
        <v>-0.36940000000000001</v>
      </c>
    </row>
    <row r="189" spans="2:44">
      <c r="AM189" s="528">
        <v>45723</v>
      </c>
      <c r="AN189" s="529">
        <v>9.65</v>
      </c>
      <c r="AO189" s="529">
        <v>0</v>
      </c>
      <c r="AP189" s="529">
        <v>0</v>
      </c>
      <c r="AQ189" s="529">
        <v>-204.7547615</v>
      </c>
      <c r="AR189" s="529">
        <v>0</v>
      </c>
    </row>
    <row r="190" spans="2:44">
      <c r="AM190" s="528">
        <v>45722</v>
      </c>
      <c r="AN190" s="529">
        <v>9.69</v>
      </c>
      <c r="AO190" s="529">
        <v>0</v>
      </c>
      <c r="AP190" s="529">
        <v>0</v>
      </c>
      <c r="AQ190" s="529">
        <v>-205.60348589999998</v>
      </c>
      <c r="AR190" s="529">
        <v>0</v>
      </c>
    </row>
    <row r="191" spans="2:44">
      <c r="AM191" s="528">
        <v>45721</v>
      </c>
      <c r="AN191" s="529">
        <v>10.36</v>
      </c>
      <c r="AO191" s="529">
        <v>0</v>
      </c>
      <c r="AP191" s="529">
        <v>0</v>
      </c>
      <c r="AQ191" s="529">
        <v>-219.81961959999998</v>
      </c>
      <c r="AR191" s="529">
        <v>0</v>
      </c>
    </row>
    <row r="192" spans="2:44">
      <c r="AM192" s="528">
        <v>45720</v>
      </c>
      <c r="AN192" s="529">
        <v>9.35</v>
      </c>
      <c r="AO192" s="529">
        <v>0</v>
      </c>
      <c r="AP192" s="529">
        <v>0</v>
      </c>
      <c r="AQ192" s="529">
        <v>-198.38932849999998</v>
      </c>
      <c r="AR192" s="529">
        <v>0</v>
      </c>
    </row>
    <row r="193" spans="39:44">
      <c r="AM193" s="528">
        <v>45719</v>
      </c>
      <c r="AN193" s="529">
        <v>9.59</v>
      </c>
      <c r="AO193" s="529">
        <v>0</v>
      </c>
      <c r="AP193" s="529">
        <v>0</v>
      </c>
      <c r="AQ193" s="529">
        <v>-203.4816749</v>
      </c>
      <c r="AR193" s="529">
        <v>0</v>
      </c>
    </row>
    <row r="194" spans="39:44">
      <c r="AM194" s="528">
        <v>45718</v>
      </c>
      <c r="AN194" s="529">
        <v>9.86</v>
      </c>
      <c r="AO194" s="529">
        <v>-4207184</v>
      </c>
      <c r="AP194" s="529">
        <v>-42.436219999999999</v>
      </c>
      <c r="AQ194" s="529">
        <v>-627.63169379999988</v>
      </c>
      <c r="AR194" s="529">
        <v>-0.75480000000000003</v>
      </c>
    </row>
    <row r="195" spans="39:44">
      <c r="AM195" s="528">
        <v>45717</v>
      </c>
      <c r="AN195" s="529">
        <v>9.86</v>
      </c>
      <c r="AO195" s="529">
        <v>-2103592</v>
      </c>
      <c r="AP195" s="529">
        <v>-21.218109999999999</v>
      </c>
      <c r="AQ195" s="529">
        <v>-418.42112919999994</v>
      </c>
      <c r="AR195" s="529">
        <v>-0.37740000000000001</v>
      </c>
    </row>
    <row r="196" spans="39:44">
      <c r="AM196" s="528">
        <v>45716</v>
      </c>
      <c r="AN196" s="529">
        <v>9.86</v>
      </c>
      <c r="AO196" s="529">
        <v>0</v>
      </c>
      <c r="AP196" s="529">
        <v>0</v>
      </c>
      <c r="AQ196" s="529">
        <v>-209.21056459999997</v>
      </c>
      <c r="AR196" s="529">
        <v>0</v>
      </c>
    </row>
    <row r="197" spans="39:44">
      <c r="AM197" s="528">
        <v>45715</v>
      </c>
      <c r="AN197" s="529">
        <v>10.130000000000001</v>
      </c>
      <c r="AO197" s="529">
        <v>0</v>
      </c>
      <c r="AP197" s="529">
        <v>0</v>
      </c>
      <c r="AQ197" s="529">
        <v>-214.93945430000002</v>
      </c>
      <c r="AR197" s="529">
        <v>0</v>
      </c>
    </row>
    <row r="198" spans="39:44">
      <c r="AM198" s="528">
        <v>45714</v>
      </c>
      <c r="AN198" s="529">
        <v>10.51</v>
      </c>
      <c r="AO198" s="529">
        <v>0</v>
      </c>
      <c r="AP198" s="529">
        <v>0</v>
      </c>
      <c r="AQ198" s="529">
        <v>-223.00233609999998</v>
      </c>
      <c r="AR198" s="529">
        <v>0</v>
      </c>
    </row>
    <row r="199" spans="39:44">
      <c r="AM199" s="528">
        <v>45713</v>
      </c>
      <c r="AN199" s="529">
        <v>10.7</v>
      </c>
      <c r="AO199" s="529">
        <v>0</v>
      </c>
      <c r="AP199" s="529">
        <v>0</v>
      </c>
      <c r="AQ199" s="529">
        <v>-227.03377699999999</v>
      </c>
      <c r="AR199" s="529">
        <v>0</v>
      </c>
    </row>
    <row r="200" spans="39:44">
      <c r="AM200" s="528">
        <v>45712</v>
      </c>
      <c r="AN200" s="529">
        <v>10.93</v>
      </c>
      <c r="AO200" s="529">
        <v>0</v>
      </c>
      <c r="AP200" s="529">
        <v>0</v>
      </c>
      <c r="AQ200" s="529">
        <v>-231.91394229999997</v>
      </c>
      <c r="AR200" s="529">
        <v>0</v>
      </c>
    </row>
    <row r="201" spans="39:44">
      <c r="AM201" s="528">
        <v>45711</v>
      </c>
      <c r="AN201" s="529">
        <v>11.29</v>
      </c>
      <c r="AO201" s="529">
        <v>-3737934</v>
      </c>
      <c r="AP201" s="529">
        <v>-42.436219999999999</v>
      </c>
      <c r="AQ201" s="529">
        <v>-718.65738569999985</v>
      </c>
      <c r="AR201" s="529">
        <v>-0.86419999999999997</v>
      </c>
    </row>
    <row r="202" spans="39:44">
      <c r="AM202" s="528">
        <v>45710</v>
      </c>
      <c r="AN202" s="529">
        <v>11.29</v>
      </c>
      <c r="AO202" s="529">
        <v>-1868967</v>
      </c>
      <c r="AP202" s="529">
        <v>-21.218109999999999</v>
      </c>
      <c r="AQ202" s="529">
        <v>-479.10492379999994</v>
      </c>
      <c r="AR202" s="529">
        <v>-0.43209999999999998</v>
      </c>
    </row>
    <row r="203" spans="39:44">
      <c r="AM203" s="528">
        <v>45709</v>
      </c>
      <c r="AN203" s="529">
        <v>11.29</v>
      </c>
      <c r="AO203" s="529">
        <v>0</v>
      </c>
      <c r="AP203" s="529">
        <v>0</v>
      </c>
      <c r="AQ203" s="529">
        <v>-239.55246189999997</v>
      </c>
      <c r="AR203" s="529">
        <v>0</v>
      </c>
    </row>
    <row r="204" spans="39:44">
      <c r="AM204" s="528">
        <v>45708</v>
      </c>
      <c r="AN204" s="529">
        <v>11.32</v>
      </c>
      <c r="AO204" s="529">
        <v>0</v>
      </c>
      <c r="AP204" s="529">
        <v>0</v>
      </c>
      <c r="AQ204" s="529">
        <v>-240.1890052</v>
      </c>
      <c r="AR204" s="529">
        <v>0</v>
      </c>
    </row>
    <row r="205" spans="39:44">
      <c r="AM205" s="528">
        <v>45707</v>
      </c>
      <c r="AN205" s="529">
        <v>11.62</v>
      </c>
      <c r="AO205" s="529">
        <v>0</v>
      </c>
      <c r="AP205" s="529">
        <v>0</v>
      </c>
      <c r="AQ205" s="529">
        <v>-246.55443819999996</v>
      </c>
      <c r="AR205" s="529">
        <v>0</v>
      </c>
    </row>
    <row r="206" spans="39:44">
      <c r="AM206" s="528">
        <v>45706</v>
      </c>
      <c r="AN206" s="529">
        <v>12</v>
      </c>
      <c r="AO206" s="529">
        <v>0</v>
      </c>
      <c r="AP206" s="529">
        <v>0</v>
      </c>
      <c r="AQ206" s="529">
        <v>-254.61732000000001</v>
      </c>
      <c r="AR206" s="529">
        <v>0</v>
      </c>
    </row>
    <row r="207" spans="39:44">
      <c r="AM207" s="528">
        <v>45705</v>
      </c>
      <c r="AN207" s="529">
        <v>13.11</v>
      </c>
      <c r="AO207" s="529">
        <v>-5008734</v>
      </c>
      <c r="AP207" s="529">
        <v>-63.654330000000002</v>
      </c>
      <c r="AQ207" s="529">
        <v>-1112.6776883999999</v>
      </c>
      <c r="AR207" s="529">
        <v>-1.5054000000000001</v>
      </c>
    </row>
    <row r="208" spans="39:44">
      <c r="AM208" s="528">
        <v>45704</v>
      </c>
      <c r="AN208" s="529">
        <v>13.11</v>
      </c>
      <c r="AO208" s="529">
        <v>-3339156</v>
      </c>
      <c r="AP208" s="529">
        <v>-42.436219999999999</v>
      </c>
      <c r="AQ208" s="529">
        <v>-834.50826629999983</v>
      </c>
      <c r="AR208" s="529">
        <v>-1.0036</v>
      </c>
    </row>
    <row r="209" spans="39:44">
      <c r="AM209" s="528">
        <v>45703</v>
      </c>
      <c r="AN209" s="529">
        <v>13.11</v>
      </c>
      <c r="AO209" s="529">
        <v>-1669578</v>
      </c>
      <c r="AP209" s="529">
        <v>-21.218109999999999</v>
      </c>
      <c r="AQ209" s="529">
        <v>-556.33884419999993</v>
      </c>
      <c r="AR209" s="529">
        <v>-0.50180000000000002</v>
      </c>
    </row>
    <row r="210" spans="39:44">
      <c r="AM210" s="528">
        <v>45702</v>
      </c>
      <c r="AN210" s="529">
        <v>13.11</v>
      </c>
      <c r="AO210" s="529">
        <v>0</v>
      </c>
      <c r="AP210" s="529">
        <v>0</v>
      </c>
      <c r="AQ210" s="529">
        <v>-278.16942209999996</v>
      </c>
      <c r="AR210" s="529">
        <v>0</v>
      </c>
    </row>
    <row r="211" spans="39:44">
      <c r="AM211" s="528">
        <v>45701</v>
      </c>
      <c r="AN211" s="529">
        <v>13.03</v>
      </c>
      <c r="AO211" s="529">
        <v>0</v>
      </c>
      <c r="AP211" s="529">
        <v>0</v>
      </c>
      <c r="AQ211" s="529">
        <v>-276.4719733</v>
      </c>
      <c r="AR211" s="529">
        <v>0</v>
      </c>
    </row>
    <row r="212" spans="39:44">
      <c r="AM212" s="528">
        <v>45700</v>
      </c>
      <c r="AN212" s="529">
        <v>14.3</v>
      </c>
      <c r="AO212" s="529">
        <v>0</v>
      </c>
      <c r="AP212" s="529">
        <v>0</v>
      </c>
      <c r="AQ212" s="529">
        <v>-303.41897299999999</v>
      </c>
      <c r="AR212" s="529">
        <v>0</v>
      </c>
    </row>
    <row r="213" spans="39:44">
      <c r="AM213" s="528">
        <v>45699</v>
      </c>
      <c r="AN213" s="529">
        <v>15</v>
      </c>
      <c r="AO213" s="529">
        <v>0</v>
      </c>
      <c r="AP213" s="529">
        <v>0</v>
      </c>
      <c r="AQ213" s="529">
        <v>-318.27164999999997</v>
      </c>
      <c r="AR213" s="529">
        <v>0</v>
      </c>
    </row>
    <row r="214" spans="39:44">
      <c r="AM214" s="528">
        <v>45698</v>
      </c>
      <c r="AN214" s="529">
        <v>15.42</v>
      </c>
      <c r="AO214" s="529">
        <v>0</v>
      </c>
      <c r="AP214" s="529">
        <v>0</v>
      </c>
      <c r="AQ214" s="529">
        <v>-327.18325620000002</v>
      </c>
      <c r="AR214" s="529">
        <v>0</v>
      </c>
    </row>
    <row r="215" spans="39:44">
      <c r="AM215" s="528">
        <v>45697</v>
      </c>
      <c r="AN215" s="529">
        <v>16.940000000000001</v>
      </c>
      <c r="AO215" s="529">
        <v>-6324846</v>
      </c>
      <c r="AP215" s="529">
        <v>-42.436219999999999</v>
      </c>
      <c r="AQ215" s="529">
        <v>-1078.3043502</v>
      </c>
      <c r="AR215" s="529">
        <v>-1.2968</v>
      </c>
    </row>
    <row r="216" spans="39:44">
      <c r="AM216" s="528">
        <v>45696</v>
      </c>
      <c r="AN216" s="529">
        <v>16.940000000000001</v>
      </c>
      <c r="AO216" s="529">
        <v>-3162423</v>
      </c>
      <c r="AP216" s="529">
        <v>-21.218109999999999</v>
      </c>
      <c r="AQ216" s="529">
        <v>-718.86956680000003</v>
      </c>
      <c r="AR216" s="529">
        <v>-0.64839999999999998</v>
      </c>
    </row>
    <row r="217" spans="39:44">
      <c r="AM217" s="528">
        <v>45695</v>
      </c>
      <c r="AN217" s="529">
        <v>16.940000000000001</v>
      </c>
      <c r="AO217" s="529">
        <v>0</v>
      </c>
      <c r="AP217" s="529">
        <v>0</v>
      </c>
      <c r="AQ217" s="529">
        <v>-359.43478340000001</v>
      </c>
      <c r="AR217" s="529">
        <v>0</v>
      </c>
    </row>
    <row r="218" spans="39:44">
      <c r="AM218" s="528">
        <v>45694</v>
      </c>
      <c r="AN218" s="529">
        <v>16.36</v>
      </c>
      <c r="AO218" s="529">
        <v>0</v>
      </c>
      <c r="AP218" s="529">
        <v>0</v>
      </c>
      <c r="AQ218" s="529">
        <v>-347.12827959999998</v>
      </c>
      <c r="AR218" s="529">
        <v>0</v>
      </c>
    </row>
    <row r="219" spans="39:44">
      <c r="AM219" s="528">
        <v>45693</v>
      </c>
      <c r="AN219" s="529">
        <v>15.57</v>
      </c>
      <c r="AO219" s="529">
        <v>0</v>
      </c>
      <c r="AP219" s="529">
        <v>0</v>
      </c>
      <c r="AQ219" s="529">
        <v>-330.36597269999999</v>
      </c>
      <c r="AR219" s="529">
        <v>0</v>
      </c>
    </row>
    <row r="220" spans="39:44">
      <c r="AM220" s="528">
        <v>45692</v>
      </c>
      <c r="AN220" s="529">
        <v>15</v>
      </c>
      <c r="AO220" s="529">
        <v>0</v>
      </c>
      <c r="AP220" s="529">
        <v>0</v>
      </c>
      <c r="AQ220" s="529">
        <v>-318.27164999999997</v>
      </c>
      <c r="AR220" s="529">
        <v>0</v>
      </c>
    </row>
    <row r="221" spans="39:44">
      <c r="AM221" s="528">
        <v>45691</v>
      </c>
      <c r="AN221" s="529">
        <v>13.77</v>
      </c>
      <c r="AO221" s="529">
        <v>0</v>
      </c>
      <c r="AP221" s="529">
        <v>0</v>
      </c>
      <c r="AQ221" s="529">
        <v>-292.17337469999995</v>
      </c>
      <c r="AR221" s="529">
        <v>0</v>
      </c>
    </row>
    <row r="222" spans="39:44">
      <c r="AM222" s="528">
        <v>45690</v>
      </c>
      <c r="AN222" s="529">
        <v>13.71</v>
      </c>
      <c r="AO222" s="529">
        <v>-3310446</v>
      </c>
      <c r="AP222" s="529">
        <v>-42.436219999999999</v>
      </c>
      <c r="AQ222" s="529">
        <v>-872.70086430000003</v>
      </c>
      <c r="AR222" s="529">
        <v>-1.0496000000000001</v>
      </c>
    </row>
    <row r="223" spans="39:44">
      <c r="AM223" s="528">
        <v>45689</v>
      </c>
      <c r="AN223" s="529">
        <v>13.71</v>
      </c>
      <c r="AO223" s="529">
        <v>-1655223</v>
      </c>
      <c r="AP223" s="529">
        <v>-21.218109999999999</v>
      </c>
      <c r="AQ223" s="529">
        <v>-581.80057620000002</v>
      </c>
      <c r="AR223" s="529">
        <v>-0.52480000000000004</v>
      </c>
    </row>
    <row r="224" spans="39:44">
      <c r="AM224" s="528">
        <v>45688</v>
      </c>
      <c r="AN224" s="529">
        <v>13.71</v>
      </c>
      <c r="AO224" s="529">
        <v>0</v>
      </c>
      <c r="AP224" s="529">
        <v>0</v>
      </c>
      <c r="AQ224" s="529">
        <v>-290.90028810000001</v>
      </c>
      <c r="AR224" s="529">
        <v>0</v>
      </c>
    </row>
    <row r="225" spans="39:44">
      <c r="AM225" s="528">
        <v>45687</v>
      </c>
      <c r="AN225" s="529">
        <v>13.81</v>
      </c>
      <c r="AO225" s="529">
        <v>0</v>
      </c>
      <c r="AP225" s="529">
        <v>0</v>
      </c>
      <c r="AQ225" s="529">
        <v>-293.02209909999999</v>
      </c>
      <c r="AR225" s="529">
        <v>0</v>
      </c>
    </row>
    <row r="226" spans="39:44">
      <c r="AM226" s="528">
        <v>45686</v>
      </c>
      <c r="AN226" s="529">
        <v>13.85</v>
      </c>
      <c r="AO226" s="529">
        <v>0</v>
      </c>
      <c r="AP226" s="529">
        <v>0</v>
      </c>
      <c r="AQ226" s="529">
        <v>-293.87082349999997</v>
      </c>
      <c r="AR226" s="529">
        <v>0</v>
      </c>
    </row>
    <row r="227" spans="39:44">
      <c r="AM227" s="528">
        <v>45685</v>
      </c>
      <c r="AN227" s="529">
        <v>13.88</v>
      </c>
      <c r="AO227" s="529">
        <v>0</v>
      </c>
      <c r="AP227" s="529">
        <v>0</v>
      </c>
      <c r="AQ227" s="529">
        <v>-294.5073668</v>
      </c>
      <c r="AR227" s="529">
        <v>0</v>
      </c>
    </row>
    <row r="228" spans="39:44">
      <c r="AM228" s="528">
        <v>45684</v>
      </c>
      <c r="AN228" s="529">
        <v>12.49</v>
      </c>
      <c r="AO228" s="529">
        <v>0</v>
      </c>
      <c r="AP228" s="529">
        <v>0</v>
      </c>
      <c r="AQ228" s="529">
        <v>-265.01419390000001</v>
      </c>
      <c r="AR228" s="529">
        <v>0</v>
      </c>
    </row>
    <row r="229" spans="39:44">
      <c r="AM229" s="528">
        <v>45683</v>
      </c>
      <c r="AN229" s="529">
        <v>12.64</v>
      </c>
      <c r="AO229" s="529">
        <v>-2894382</v>
      </c>
      <c r="AP229" s="529">
        <v>-42.436219999999999</v>
      </c>
      <c r="AQ229" s="529">
        <v>-804.59073119999994</v>
      </c>
      <c r="AR229" s="529">
        <v>-0.96760000000000002</v>
      </c>
    </row>
    <row r="230" spans="39:44">
      <c r="AM230" s="528">
        <v>45682</v>
      </c>
      <c r="AN230" s="529">
        <v>12.64</v>
      </c>
      <c r="AO230" s="529">
        <v>-1447191</v>
      </c>
      <c r="AP230" s="529">
        <v>-21.218109999999999</v>
      </c>
      <c r="AQ230" s="529">
        <v>-536.39382079999996</v>
      </c>
      <c r="AR230" s="529">
        <v>-0.48380000000000001</v>
      </c>
    </row>
    <row r="231" spans="39:44">
      <c r="AM231" s="528">
        <v>45681</v>
      </c>
      <c r="AN231" s="529">
        <v>12.64</v>
      </c>
      <c r="AO231" s="529">
        <v>0</v>
      </c>
      <c r="AP231" s="529">
        <v>0</v>
      </c>
      <c r="AQ231" s="529">
        <v>-268.19691039999998</v>
      </c>
      <c r="AR231" s="529">
        <v>0</v>
      </c>
    </row>
    <row r="232" spans="39:44">
      <c r="AM232" s="528">
        <v>45680</v>
      </c>
      <c r="AN232" s="529">
        <v>12.04</v>
      </c>
      <c r="AO232" s="529">
        <v>0</v>
      </c>
      <c r="AP232" s="529">
        <v>0</v>
      </c>
      <c r="AQ232" s="529">
        <v>-255.46604439999999</v>
      </c>
      <c r="AR232" s="529">
        <v>0</v>
      </c>
    </row>
    <row r="233" spans="39:44">
      <c r="AM233" s="528">
        <v>45679</v>
      </c>
      <c r="AN233" s="529">
        <v>11.84</v>
      </c>
      <c r="AO233" s="529">
        <v>0</v>
      </c>
      <c r="AP233" s="529">
        <v>0</v>
      </c>
      <c r="AQ233" s="529">
        <v>-251.2224224</v>
      </c>
      <c r="AR233" s="529">
        <v>0</v>
      </c>
    </row>
    <row r="234" spans="39:44">
      <c r="AM234" s="528">
        <v>45678</v>
      </c>
      <c r="AN234" s="529">
        <v>11.92</v>
      </c>
      <c r="AO234" s="529">
        <v>0</v>
      </c>
      <c r="AP234" s="529">
        <v>0</v>
      </c>
      <c r="AQ234" s="529">
        <v>-252.91987119999999</v>
      </c>
      <c r="AR234" s="529">
        <v>0</v>
      </c>
    </row>
    <row r="235" spans="39:44">
      <c r="AM235" s="528">
        <v>45677</v>
      </c>
      <c r="AN235" s="529">
        <v>11.02</v>
      </c>
      <c r="AO235" s="529">
        <v>-7437399</v>
      </c>
      <c r="AP235" s="529">
        <v>-63.654330000000002</v>
      </c>
      <c r="AQ235" s="529">
        <v>-935.29428879999989</v>
      </c>
      <c r="AR235" s="529">
        <v>-1.2654000000000001</v>
      </c>
    </row>
    <row r="236" spans="39:44">
      <c r="AM236" s="528">
        <v>45676</v>
      </c>
      <c r="AN236" s="529">
        <v>11.02</v>
      </c>
      <c r="AO236" s="529">
        <v>-4958266</v>
      </c>
      <c r="AP236" s="529">
        <v>-42.436219999999999</v>
      </c>
      <c r="AQ236" s="529">
        <v>-701.47071659999995</v>
      </c>
      <c r="AR236" s="529">
        <v>-0.84360000000000002</v>
      </c>
    </row>
    <row r="237" spans="39:44">
      <c r="AM237" s="528">
        <v>45675</v>
      </c>
      <c r="AN237" s="529">
        <v>11.02</v>
      </c>
      <c r="AO237" s="529">
        <v>-2479133</v>
      </c>
      <c r="AP237" s="529">
        <v>-21.218109999999999</v>
      </c>
      <c r="AQ237" s="529">
        <v>-467.64714439999995</v>
      </c>
      <c r="AR237" s="529">
        <v>-0.42180000000000001</v>
      </c>
    </row>
    <row r="238" spans="39:44">
      <c r="AM238" s="528">
        <v>45674</v>
      </c>
      <c r="AN238" s="529">
        <v>11.02</v>
      </c>
      <c r="AO238" s="529">
        <v>0</v>
      </c>
      <c r="AP238" s="529">
        <v>0</v>
      </c>
      <c r="AQ238" s="529">
        <v>-233.82357219999997</v>
      </c>
      <c r="AR238" s="529">
        <v>0</v>
      </c>
    </row>
    <row r="239" spans="39:44">
      <c r="AM239" s="528">
        <v>45673</v>
      </c>
      <c r="AN239" s="529">
        <v>11.26</v>
      </c>
      <c r="AO239" s="529">
        <v>0</v>
      </c>
      <c r="AP239" s="529">
        <v>0</v>
      </c>
      <c r="AQ239" s="529">
        <v>-238.9159186</v>
      </c>
      <c r="AR239" s="529">
        <v>0</v>
      </c>
    </row>
    <row r="240" spans="39:44">
      <c r="AM240" s="528">
        <v>45672</v>
      </c>
      <c r="AN240" s="529">
        <v>11.91</v>
      </c>
      <c r="AO240" s="529">
        <v>0</v>
      </c>
      <c r="AP240" s="529">
        <v>0</v>
      </c>
      <c r="AQ240" s="529">
        <v>-252.70769010000001</v>
      </c>
      <c r="AR240" s="529">
        <v>0</v>
      </c>
    </row>
    <row r="241" spans="39:44">
      <c r="AM241" s="528">
        <v>45671</v>
      </c>
      <c r="AN241" s="529">
        <v>10.61</v>
      </c>
      <c r="AO241" s="529">
        <v>0</v>
      </c>
      <c r="AP241" s="529">
        <v>0</v>
      </c>
      <c r="AQ241" s="529">
        <v>-225.12414709999999</v>
      </c>
      <c r="AR241" s="529">
        <v>0</v>
      </c>
    </row>
    <row r="242" spans="39:44">
      <c r="AM242" s="528">
        <v>45670</v>
      </c>
      <c r="AN242" s="529">
        <v>9.74</v>
      </c>
      <c r="AO242" s="529">
        <v>0</v>
      </c>
      <c r="AP242" s="529">
        <v>0</v>
      </c>
      <c r="AQ242" s="529">
        <v>-206.6643914</v>
      </c>
      <c r="AR242" s="529">
        <v>0</v>
      </c>
    </row>
    <row r="243" spans="39:44">
      <c r="AM243" s="528">
        <v>45669</v>
      </c>
      <c r="AN243" s="529">
        <v>9.2899999999999991</v>
      </c>
      <c r="AO243" s="529">
        <v>-9918662</v>
      </c>
      <c r="AP243" s="529">
        <v>-42.436219999999999</v>
      </c>
      <c r="AQ243" s="529">
        <v>-591.34872569999993</v>
      </c>
      <c r="AR243" s="529">
        <v>-0.71120000000000005</v>
      </c>
    </row>
    <row r="244" spans="39:44">
      <c r="AM244" s="528">
        <v>45668</v>
      </c>
      <c r="AN244" s="529">
        <v>9.2899999999999991</v>
      </c>
      <c r="AO244" s="529">
        <v>-4959331</v>
      </c>
      <c r="AP244" s="529">
        <v>-21.218109999999999</v>
      </c>
      <c r="AQ244" s="529">
        <v>-394.23248379999995</v>
      </c>
      <c r="AR244" s="529">
        <v>-0.35560000000000003</v>
      </c>
    </row>
    <row r="245" spans="39:44">
      <c r="AM245" s="528">
        <v>45667</v>
      </c>
      <c r="AN245" s="529">
        <v>9.2899999999999991</v>
      </c>
      <c r="AO245" s="529">
        <v>0</v>
      </c>
      <c r="AP245" s="529">
        <v>0</v>
      </c>
      <c r="AQ245" s="529">
        <v>-197.11624189999998</v>
      </c>
      <c r="AR245" s="529">
        <v>0</v>
      </c>
    </row>
    <row r="246" spans="39:44">
      <c r="AM246" s="528">
        <v>45666</v>
      </c>
      <c r="AN246" s="529">
        <v>8.2200000000000006</v>
      </c>
      <c r="AO246" s="529">
        <v>-3145878</v>
      </c>
      <c r="AP246" s="529">
        <v>-21.218109999999999</v>
      </c>
      <c r="AQ246" s="529">
        <v>-348.8257284</v>
      </c>
      <c r="AR246" s="529">
        <v>-0.31459999999999999</v>
      </c>
    </row>
    <row r="247" spans="39:44">
      <c r="AM247" s="528">
        <v>45665</v>
      </c>
      <c r="AN247" s="529">
        <v>8.2200000000000006</v>
      </c>
      <c r="AO247" s="529">
        <v>0</v>
      </c>
      <c r="AP247" s="529">
        <v>0</v>
      </c>
      <c r="AQ247" s="529">
        <v>-174.4128642</v>
      </c>
      <c r="AR247" s="529">
        <v>0</v>
      </c>
    </row>
    <row r="248" spans="39:44">
      <c r="AM248" s="528">
        <v>45664</v>
      </c>
      <c r="AN248" s="529">
        <v>7.22</v>
      </c>
      <c r="AO248" s="529">
        <v>0</v>
      </c>
      <c r="AP248" s="529">
        <v>0</v>
      </c>
      <c r="AQ248" s="529">
        <v>-153.19475419999998</v>
      </c>
      <c r="AR248" s="529">
        <v>0</v>
      </c>
    </row>
    <row r="249" spans="39:44">
      <c r="AM249" s="528">
        <v>45663</v>
      </c>
      <c r="AN249" s="529">
        <v>7.56</v>
      </c>
      <c r="AO249" s="529">
        <v>0</v>
      </c>
      <c r="AP249" s="529">
        <v>0</v>
      </c>
      <c r="AQ249" s="529">
        <v>-160.40891159999998</v>
      </c>
      <c r="AR249" s="529">
        <v>0</v>
      </c>
    </row>
    <row r="250" spans="39:44">
      <c r="AM250" s="528">
        <v>45662</v>
      </c>
      <c r="AN250" s="529">
        <v>8.58</v>
      </c>
      <c r="AO250" s="529">
        <v>-2931108</v>
      </c>
      <c r="AP250" s="529">
        <v>-42.436219999999999</v>
      </c>
      <c r="AQ250" s="529">
        <v>-546.15415140000005</v>
      </c>
      <c r="AR250" s="529">
        <v>-0.65680000000000005</v>
      </c>
    </row>
    <row r="251" spans="39:44">
      <c r="AM251" s="528">
        <v>45661</v>
      </c>
      <c r="AN251" s="529">
        <v>8.58</v>
      </c>
      <c r="AO251" s="529">
        <v>-1465554</v>
      </c>
      <c r="AP251" s="529">
        <v>-21.218109999999999</v>
      </c>
      <c r="AQ251" s="529">
        <v>-364.10276759999999</v>
      </c>
      <c r="AR251" s="529">
        <v>-0.32840000000000003</v>
      </c>
    </row>
    <row r="252" spans="39:44">
      <c r="AM252" s="528">
        <v>45660</v>
      </c>
      <c r="AN252" s="529">
        <v>8.58</v>
      </c>
      <c r="AO252" s="529">
        <v>0</v>
      </c>
      <c r="AP252" s="529">
        <v>0</v>
      </c>
      <c r="AQ252" s="529">
        <v>-182.0513838</v>
      </c>
      <c r="AR252" s="529">
        <v>0</v>
      </c>
    </row>
    <row r="253" spans="39:44">
      <c r="AM253" s="528">
        <v>45659</v>
      </c>
      <c r="AN253" s="529">
        <v>8.08</v>
      </c>
      <c r="AO253" s="529">
        <v>0</v>
      </c>
      <c r="AP253" s="529">
        <v>0</v>
      </c>
      <c r="AQ253" s="529">
        <v>-171.44232879999998</v>
      </c>
      <c r="AR253" s="529">
        <v>0</v>
      </c>
    </row>
    <row r="254" spans="39:44">
      <c r="AM254" s="528">
        <v>45658</v>
      </c>
      <c r="AN254" s="529">
        <v>7.66</v>
      </c>
      <c r="AO254" s="529">
        <v>-297809</v>
      </c>
      <c r="AP254" s="529">
        <v>-21.218109999999999</v>
      </c>
      <c r="AQ254" s="529">
        <v>-325.06144519999998</v>
      </c>
      <c r="AR254" s="529">
        <v>-0.29320000000000002</v>
      </c>
    </row>
    <row r="255" spans="39:44">
      <c r="AM255" s="528">
        <v>45657</v>
      </c>
      <c r="AN255" s="529">
        <v>7.66</v>
      </c>
      <c r="AO255" s="529">
        <v>0</v>
      </c>
      <c r="AP255" s="529">
        <v>0</v>
      </c>
      <c r="AQ255" s="529">
        <v>-162.53072259999999</v>
      </c>
      <c r="AR255" s="529">
        <v>0</v>
      </c>
    </row>
    <row r="256" spans="39:44">
      <c r="AM256" s="528">
        <v>45656</v>
      </c>
      <c r="AN256" s="529">
        <v>7.56</v>
      </c>
      <c r="AO256" s="529">
        <v>0</v>
      </c>
      <c r="AP256" s="529">
        <v>0</v>
      </c>
      <c r="AQ256" s="529">
        <v>-160.40891159999998</v>
      </c>
      <c r="AR256" s="529">
        <v>0</v>
      </c>
    </row>
    <row r="257" spans="39:44">
      <c r="AM257" s="528">
        <v>45655</v>
      </c>
      <c r="AN257" s="529">
        <v>7.65</v>
      </c>
      <c r="AO257" s="529">
        <v>-1134202</v>
      </c>
      <c r="AP257" s="529">
        <v>-42.436219999999999</v>
      </c>
      <c r="AQ257" s="529">
        <v>-486.9556245</v>
      </c>
      <c r="AR257" s="529">
        <v>-0.56359999999999999</v>
      </c>
    </row>
    <row r="258" spans="39:44">
      <c r="AM258" s="528">
        <v>45654</v>
      </c>
      <c r="AN258" s="529">
        <v>7.65</v>
      </c>
      <c r="AO258" s="529">
        <v>-567101</v>
      </c>
      <c r="AP258" s="529">
        <v>-21.218109999999999</v>
      </c>
      <c r="AQ258" s="529">
        <v>-324.63708300000002</v>
      </c>
      <c r="AR258" s="529">
        <v>-0.28179999999999999</v>
      </c>
    </row>
    <row r="259" spans="39:44">
      <c r="AM259" s="528">
        <v>45653</v>
      </c>
      <c r="AN259" s="529">
        <v>7.65</v>
      </c>
      <c r="AO259" s="529">
        <v>0</v>
      </c>
      <c r="AP259" s="529">
        <v>0</v>
      </c>
      <c r="AQ259" s="529">
        <v>-162.31854150000001</v>
      </c>
      <c r="AR259" s="529">
        <v>0</v>
      </c>
    </row>
    <row r="260" spans="39:44">
      <c r="AM260" s="528">
        <v>45652</v>
      </c>
      <c r="AN260" s="529">
        <v>7.9</v>
      </c>
      <c r="AO260" s="529">
        <v>0</v>
      </c>
      <c r="AP260" s="529">
        <v>0</v>
      </c>
      <c r="AQ260" s="529">
        <v>-167.62306900000002</v>
      </c>
      <c r="AR260" s="529">
        <v>0</v>
      </c>
    </row>
    <row r="261" spans="39:44">
      <c r="AM261" s="528">
        <v>45651</v>
      </c>
      <c r="AN261" s="529">
        <v>7.36</v>
      </c>
      <c r="AO261" s="529">
        <v>-259671</v>
      </c>
      <c r="AP261" s="529">
        <v>-21.218109999999999</v>
      </c>
      <c r="AQ261" s="529">
        <v>-312.33057919999999</v>
      </c>
      <c r="AR261" s="529">
        <v>-0.27110000000000001</v>
      </c>
    </row>
    <row r="262" spans="39:44">
      <c r="AM262" s="528">
        <v>45650</v>
      </c>
      <c r="AN262" s="529">
        <v>7.36</v>
      </c>
      <c r="AO262" s="529">
        <v>0</v>
      </c>
      <c r="AP262" s="529">
        <v>0</v>
      </c>
      <c r="AQ262" s="529">
        <v>-156.16528959999999</v>
      </c>
      <c r="AR262" s="529">
        <v>0</v>
      </c>
    </row>
    <row r="263" spans="39:44">
      <c r="AM263" s="528">
        <v>45649</v>
      </c>
      <c r="AN263" s="529">
        <v>7.16</v>
      </c>
      <c r="AO263" s="529">
        <v>0</v>
      </c>
      <c r="AP263" s="529">
        <v>0</v>
      </c>
      <c r="AQ263" s="529">
        <v>-151.92166760000001</v>
      </c>
      <c r="AR263" s="529">
        <v>0</v>
      </c>
    </row>
    <row r="264" spans="39:44">
      <c r="AM264" s="528">
        <v>45648</v>
      </c>
      <c r="AN264" s="529">
        <v>7.23</v>
      </c>
      <c r="AO264" s="529">
        <v>-1140486</v>
      </c>
      <c r="AP264" s="529">
        <v>-42.436219999999999</v>
      </c>
      <c r="AQ264" s="529">
        <v>-460.22080590000007</v>
      </c>
      <c r="AR264" s="529">
        <v>-0.53280000000000005</v>
      </c>
    </row>
    <row r="265" spans="39:44">
      <c r="AM265" s="528">
        <v>45647</v>
      </c>
      <c r="AN265" s="529">
        <v>7.23</v>
      </c>
      <c r="AO265" s="529">
        <v>-570243</v>
      </c>
      <c r="AP265" s="529">
        <v>-21.218109999999999</v>
      </c>
      <c r="AQ265" s="529">
        <v>-306.81387060000003</v>
      </c>
      <c r="AR265" s="529">
        <v>-0.26640000000000003</v>
      </c>
    </row>
    <row r="266" spans="39:44">
      <c r="AM266" s="528">
        <v>45646</v>
      </c>
      <c r="AN266" s="529">
        <v>7.23</v>
      </c>
      <c r="AO266" s="529">
        <v>0</v>
      </c>
      <c r="AP266" s="529">
        <v>0</v>
      </c>
      <c r="AQ266" s="529">
        <v>-153.40693530000001</v>
      </c>
      <c r="AR266" s="529">
        <v>0</v>
      </c>
    </row>
    <row r="267" spans="39:44">
      <c r="AM267" s="528">
        <v>45645</v>
      </c>
      <c r="AN267" s="529">
        <v>7.22</v>
      </c>
      <c r="AO267" s="529">
        <v>0</v>
      </c>
      <c r="AP267" s="529">
        <v>0</v>
      </c>
      <c r="AQ267" s="529">
        <v>-153.19475419999998</v>
      </c>
      <c r="AR267" s="529">
        <v>0</v>
      </c>
    </row>
    <row r="268" spans="39:44">
      <c r="AM268" s="528">
        <v>45644</v>
      </c>
      <c r="AN268" s="529">
        <v>7.31</v>
      </c>
      <c r="AO268" s="529">
        <v>0</v>
      </c>
      <c r="AP268" s="529">
        <v>0</v>
      </c>
      <c r="AQ268" s="529">
        <v>-155.10438409999998</v>
      </c>
      <c r="AR268" s="529">
        <v>0</v>
      </c>
    </row>
    <row r="269" spans="39:44">
      <c r="AM269" s="528">
        <v>45643</v>
      </c>
      <c r="AN269" s="529">
        <v>7.71</v>
      </c>
      <c r="AO269" s="529">
        <v>0</v>
      </c>
      <c r="AP269" s="529">
        <v>0</v>
      </c>
      <c r="AQ269" s="529">
        <v>-163.59162810000001</v>
      </c>
      <c r="AR269" s="529">
        <v>0</v>
      </c>
    </row>
    <row r="270" spans="39:44">
      <c r="AM270" s="528">
        <v>45642</v>
      </c>
      <c r="AN270" s="529">
        <v>7.58</v>
      </c>
      <c r="AO270" s="529">
        <v>0</v>
      </c>
      <c r="AP270" s="529">
        <v>0</v>
      </c>
      <c r="AQ270" s="529">
        <v>-160.8332738</v>
      </c>
      <c r="AR270" s="529">
        <v>0</v>
      </c>
    </row>
    <row r="271" spans="39:44">
      <c r="AM271" s="528">
        <v>45641</v>
      </c>
      <c r="AN271" s="529">
        <v>7.34</v>
      </c>
      <c r="AO271" s="529">
        <v>-1250960</v>
      </c>
      <c r="AP271" s="529">
        <v>-42.436219999999999</v>
      </c>
      <c r="AQ271" s="529">
        <v>-467.22278219999998</v>
      </c>
      <c r="AR271" s="529">
        <v>-0.54079999999999995</v>
      </c>
    </row>
    <row r="272" spans="39:44">
      <c r="AM272" s="528">
        <v>45640</v>
      </c>
      <c r="AN272" s="529">
        <v>7.34</v>
      </c>
      <c r="AO272" s="529">
        <v>-625480</v>
      </c>
      <c r="AP272" s="529">
        <v>-21.218109999999999</v>
      </c>
      <c r="AQ272" s="529">
        <v>-311.48185480000001</v>
      </c>
      <c r="AR272" s="529">
        <v>-0.27039999999999997</v>
      </c>
    </row>
    <row r="273" spans="39:44">
      <c r="AM273" s="528">
        <v>45639</v>
      </c>
      <c r="AN273" s="529">
        <v>7.34</v>
      </c>
      <c r="AO273" s="529">
        <v>0</v>
      </c>
      <c r="AP273" s="529">
        <v>0</v>
      </c>
      <c r="AQ273" s="529">
        <v>-155.7409274</v>
      </c>
      <c r="AR273" s="529">
        <v>0</v>
      </c>
    </row>
    <row r="274" spans="39:44">
      <c r="AM274" s="528">
        <v>45638</v>
      </c>
      <c r="AN274" s="529">
        <v>6.66</v>
      </c>
      <c r="AO274" s="529">
        <v>0</v>
      </c>
      <c r="AP274" s="529">
        <v>0</v>
      </c>
      <c r="AQ274" s="529">
        <v>-141.31261259999999</v>
      </c>
      <c r="AR274" s="529">
        <v>0</v>
      </c>
    </row>
    <row r="275" spans="39:44">
      <c r="AM275" s="528">
        <v>45637</v>
      </c>
      <c r="AN275" s="529">
        <v>6.84</v>
      </c>
      <c r="AO275" s="529">
        <v>0</v>
      </c>
      <c r="AP275" s="529">
        <v>0</v>
      </c>
      <c r="AQ275" s="529">
        <v>-145.13187239999999</v>
      </c>
      <c r="AR275" s="529">
        <v>0</v>
      </c>
    </row>
    <row r="276" spans="39:44">
      <c r="AM276" s="528">
        <v>45636</v>
      </c>
      <c r="AN276" s="529">
        <v>6.85</v>
      </c>
      <c r="AO276" s="529">
        <v>0</v>
      </c>
      <c r="AP276" s="529">
        <v>0</v>
      </c>
      <c r="AQ276" s="529">
        <v>-145.3440535</v>
      </c>
      <c r="AR276" s="529">
        <v>0</v>
      </c>
    </row>
    <row r="277" spans="39:44">
      <c r="AM277" s="528">
        <v>45635</v>
      </c>
      <c r="AN277" s="529">
        <v>6.84</v>
      </c>
      <c r="AO277" s="529">
        <v>0</v>
      </c>
      <c r="AP277" s="529">
        <v>0</v>
      </c>
      <c r="AQ277" s="529">
        <v>-145.13187239999999</v>
      </c>
      <c r="AR277" s="529">
        <v>0</v>
      </c>
    </row>
    <row r="278" spans="39:44">
      <c r="AM278" s="528">
        <v>45634</v>
      </c>
      <c r="AN278" s="529">
        <v>7.29</v>
      </c>
      <c r="AO278" s="529">
        <v>-1049214</v>
      </c>
      <c r="AP278" s="529">
        <v>-42.436219999999999</v>
      </c>
      <c r="AQ278" s="529">
        <v>-464.04006569999996</v>
      </c>
      <c r="AR278" s="529">
        <v>-0.53720000000000001</v>
      </c>
    </row>
    <row r="279" spans="39:44">
      <c r="AM279" s="528">
        <v>45633</v>
      </c>
      <c r="AN279" s="529">
        <v>7.29</v>
      </c>
      <c r="AO279" s="529">
        <v>-524607</v>
      </c>
      <c r="AP279" s="529">
        <v>-21.218109999999999</v>
      </c>
      <c r="AQ279" s="529">
        <v>-309.36004379999997</v>
      </c>
      <c r="AR279" s="529">
        <v>-0.26860000000000001</v>
      </c>
    </row>
    <row r="280" spans="39:44">
      <c r="AM280" s="528">
        <v>45632</v>
      </c>
      <c r="AN280" s="529">
        <v>7.29</v>
      </c>
      <c r="AO280" s="529">
        <v>0</v>
      </c>
      <c r="AP280" s="529">
        <v>0</v>
      </c>
      <c r="AQ280" s="529">
        <v>-154.68002189999999</v>
      </c>
      <c r="AR280" s="529">
        <v>0</v>
      </c>
    </row>
    <row r="281" spans="39:44">
      <c r="AM281" s="528">
        <v>45631</v>
      </c>
      <c r="AN281" s="529">
        <v>7.35</v>
      </c>
      <c r="AO281" s="529">
        <v>0</v>
      </c>
      <c r="AP281" s="529">
        <v>0</v>
      </c>
      <c r="AQ281" s="529">
        <v>-155.95310849999998</v>
      </c>
      <c r="AR281" s="529">
        <v>0</v>
      </c>
    </row>
    <row r="282" spans="39:44">
      <c r="AM282" s="528">
        <v>45630</v>
      </c>
      <c r="AN282" s="529">
        <v>7.73</v>
      </c>
      <c r="AO282" s="529">
        <v>0</v>
      </c>
      <c r="AP282" s="529">
        <v>0</v>
      </c>
      <c r="AQ282" s="529">
        <v>-164.0159903</v>
      </c>
      <c r="AR282" s="529">
        <v>0</v>
      </c>
    </row>
    <row r="283" spans="39:44">
      <c r="AM283" s="528">
        <v>45629</v>
      </c>
      <c r="AN283" s="529">
        <v>7.68</v>
      </c>
      <c r="AO283" s="529">
        <v>0</v>
      </c>
      <c r="AP283" s="529">
        <v>0</v>
      </c>
      <c r="AQ283" s="529">
        <v>-162.95508479999998</v>
      </c>
      <c r="AR283" s="529">
        <v>0</v>
      </c>
    </row>
    <row r="284" spans="39:44">
      <c r="AM284" s="528">
        <v>45628</v>
      </c>
      <c r="AN284" s="529">
        <v>7.7</v>
      </c>
      <c r="AO284" s="529">
        <v>0</v>
      </c>
      <c r="AP284" s="529">
        <v>0</v>
      </c>
      <c r="AQ284" s="529">
        <v>-163.379447</v>
      </c>
      <c r="AR284" s="529">
        <v>0</v>
      </c>
    </row>
    <row r="285" spans="39:44">
      <c r="AM285" s="528">
        <v>45627</v>
      </c>
      <c r="AN285" s="529">
        <v>8.16</v>
      </c>
      <c r="AO285" s="529">
        <v>-980024</v>
      </c>
      <c r="AP285" s="529">
        <v>-42.436219999999999</v>
      </c>
      <c r="AQ285" s="529">
        <v>-519.41933280000001</v>
      </c>
      <c r="AR285" s="529">
        <v>-0.60119999999999996</v>
      </c>
    </row>
    <row r="286" spans="39:44">
      <c r="AM286" s="528">
        <v>45626</v>
      </c>
      <c r="AN286" s="529">
        <v>8.16</v>
      </c>
      <c r="AO286" s="529">
        <v>-490012</v>
      </c>
      <c r="AP286" s="529">
        <v>-21.218109999999999</v>
      </c>
      <c r="AQ286" s="529">
        <v>-346.2795552</v>
      </c>
      <c r="AR286" s="529">
        <v>-0.30059999999999998</v>
      </c>
    </row>
    <row r="287" spans="39:44">
      <c r="AM287" s="528">
        <v>45625</v>
      </c>
      <c r="AN287" s="529">
        <v>8.16</v>
      </c>
      <c r="AO287" s="529">
        <v>0</v>
      </c>
      <c r="AP287" s="529">
        <v>0</v>
      </c>
      <c r="AQ287" s="529">
        <v>-173.1397776</v>
      </c>
      <c r="AR287" s="529">
        <v>0</v>
      </c>
    </row>
    <row r="288" spans="39:44">
      <c r="AM288" s="528">
        <v>45624</v>
      </c>
      <c r="AN288" s="529">
        <v>7.98</v>
      </c>
      <c r="AO288" s="529">
        <v>-495954</v>
      </c>
      <c r="AP288" s="529">
        <v>-21.218109999999999</v>
      </c>
      <c r="AQ288" s="529">
        <v>-338.64103560000001</v>
      </c>
      <c r="AR288" s="529">
        <v>-0.29399999999999998</v>
      </c>
    </row>
    <row r="289" spans="39:44">
      <c r="AM289" s="528">
        <v>45623</v>
      </c>
      <c r="AN289" s="529">
        <v>7.98</v>
      </c>
      <c r="AO289" s="529">
        <v>0</v>
      </c>
      <c r="AP289" s="529">
        <v>0</v>
      </c>
      <c r="AQ289" s="529">
        <v>-169.3205178</v>
      </c>
      <c r="AR289" s="529">
        <v>0</v>
      </c>
    </row>
    <row r="290" spans="39:44">
      <c r="AM290" s="528">
        <v>45622</v>
      </c>
      <c r="AN290" s="529">
        <v>8</v>
      </c>
      <c r="AO290" s="529">
        <v>0</v>
      </c>
      <c r="AP290" s="529">
        <v>0</v>
      </c>
      <c r="AQ290" s="529">
        <v>-169.74487999999999</v>
      </c>
      <c r="AR290" s="529">
        <v>0</v>
      </c>
    </row>
    <row r="291" spans="39:44">
      <c r="AM291" s="528">
        <v>45621</v>
      </c>
      <c r="AN291" s="529">
        <v>7.85</v>
      </c>
      <c r="AO291" s="529">
        <v>0</v>
      </c>
      <c r="AP291" s="529">
        <v>0</v>
      </c>
      <c r="AQ291" s="529">
        <v>-166.5621635</v>
      </c>
      <c r="AR291" s="529">
        <v>0</v>
      </c>
    </row>
    <row r="292" spans="39:44">
      <c r="AM292" s="528">
        <v>45620</v>
      </c>
      <c r="AN292" s="529">
        <v>7.61</v>
      </c>
      <c r="AO292" s="529">
        <v>-942176</v>
      </c>
      <c r="AP292" s="529">
        <v>-42.436219999999999</v>
      </c>
      <c r="AQ292" s="529">
        <v>-484.4094513</v>
      </c>
      <c r="AR292" s="529">
        <v>-0.56059999999999999</v>
      </c>
    </row>
    <row r="293" spans="39:44">
      <c r="AM293" s="528">
        <v>45619</v>
      </c>
      <c r="AN293" s="529">
        <v>7.61</v>
      </c>
      <c r="AO293" s="529">
        <v>-471088</v>
      </c>
      <c r="AP293" s="529">
        <v>-21.218109999999999</v>
      </c>
      <c r="AQ293" s="529">
        <v>-322.9396342</v>
      </c>
      <c r="AR293" s="529">
        <v>-0.28029999999999999</v>
      </c>
    </row>
    <row r="294" spans="39:44">
      <c r="AM294" s="528">
        <v>45618</v>
      </c>
      <c r="AN294" s="529">
        <v>7.61</v>
      </c>
      <c r="AO294" s="529">
        <v>0</v>
      </c>
      <c r="AP294" s="529">
        <v>0</v>
      </c>
      <c r="AQ294" s="529">
        <v>-161.4698171</v>
      </c>
      <c r="AR294" s="529">
        <v>0</v>
      </c>
    </row>
    <row r="295" spans="39:44">
      <c r="AM295" s="528">
        <v>45617</v>
      </c>
      <c r="AN295" s="529">
        <v>7.22</v>
      </c>
      <c r="AO295" s="529">
        <v>0</v>
      </c>
      <c r="AP295" s="529">
        <v>0</v>
      </c>
      <c r="AQ295" s="529">
        <v>-153.19475419999998</v>
      </c>
      <c r="AR295" s="529">
        <v>0</v>
      </c>
    </row>
    <row r="296" spans="39:44">
      <c r="AM296" s="528">
        <v>45616</v>
      </c>
      <c r="AN296" s="529">
        <v>7.1</v>
      </c>
      <c r="AO296" s="529">
        <v>0</v>
      </c>
      <c r="AP296" s="529">
        <v>0</v>
      </c>
      <c r="AQ296" s="529">
        <v>-150.64858099999998</v>
      </c>
      <c r="AR296" s="529">
        <v>0</v>
      </c>
    </row>
    <row r="297" spans="39:44">
      <c r="AM297" s="528">
        <v>45615</v>
      </c>
      <c r="AN297" s="529">
        <v>7.13</v>
      </c>
      <c r="AO297" s="529">
        <v>0</v>
      </c>
      <c r="AP297" s="529">
        <v>0</v>
      </c>
      <c r="AQ297" s="529">
        <v>-151.28512430000001</v>
      </c>
      <c r="AR297" s="529">
        <v>0</v>
      </c>
    </row>
    <row r="298" spans="39:44">
      <c r="AM298" s="528">
        <v>45614</v>
      </c>
      <c r="AN298" s="529">
        <v>6.91</v>
      </c>
      <c r="AO298" s="529">
        <v>0</v>
      </c>
      <c r="AP298" s="529">
        <v>0</v>
      </c>
      <c r="AQ298" s="529">
        <v>-146.6171401</v>
      </c>
      <c r="AR298" s="529">
        <v>0</v>
      </c>
    </row>
    <row r="299" spans="39:44">
      <c r="AM299" s="528">
        <v>45613</v>
      </c>
      <c r="AN299" s="529">
        <v>6.53</v>
      </c>
      <c r="AO299" s="529">
        <v>-822496</v>
      </c>
      <c r="AP299" s="529">
        <v>-42.436219999999999</v>
      </c>
      <c r="AQ299" s="529">
        <v>-415.66277490000004</v>
      </c>
      <c r="AR299" s="529">
        <v>-0.48120000000000002</v>
      </c>
    </row>
    <row r="300" spans="39:44">
      <c r="AM300" s="528">
        <v>45612</v>
      </c>
      <c r="AN300" s="529">
        <v>6.53</v>
      </c>
      <c r="AO300" s="529">
        <v>-411248</v>
      </c>
      <c r="AP300" s="529">
        <v>-21.218109999999999</v>
      </c>
      <c r="AQ300" s="529">
        <v>-277.10851660000003</v>
      </c>
      <c r="AR300" s="529">
        <v>-0.24060000000000001</v>
      </c>
    </row>
    <row r="301" spans="39:44">
      <c r="AM301" s="528">
        <v>45611</v>
      </c>
      <c r="AN301" s="529">
        <v>6.53</v>
      </c>
      <c r="AO301" s="529">
        <v>0</v>
      </c>
      <c r="AP301" s="529">
        <v>0</v>
      </c>
      <c r="AQ301" s="529">
        <v>-138.55425830000001</v>
      </c>
      <c r="AR301" s="529">
        <v>0</v>
      </c>
    </row>
    <row r="302" spans="39:44">
      <c r="AM302" s="528">
        <v>45610</v>
      </c>
      <c r="AN302" s="529">
        <v>6.57</v>
      </c>
      <c r="AO302" s="529">
        <v>0</v>
      </c>
      <c r="AP302" s="529">
        <v>0</v>
      </c>
      <c r="AQ302" s="529">
        <v>-139.4029827</v>
      </c>
      <c r="AR302" s="529">
        <v>0</v>
      </c>
    </row>
    <row r="303" spans="39:44">
      <c r="AM303" s="528">
        <v>45609</v>
      </c>
      <c r="AN303" s="529">
        <v>6.75</v>
      </c>
      <c r="AO303" s="529">
        <v>0</v>
      </c>
      <c r="AP303" s="529">
        <v>0</v>
      </c>
      <c r="AQ303" s="529">
        <v>-143.22224249999999</v>
      </c>
      <c r="AR303" s="529">
        <v>0</v>
      </c>
    </row>
    <row r="304" spans="39:44">
      <c r="AM304" s="528">
        <v>45608</v>
      </c>
      <c r="AN304" s="529">
        <v>7.14</v>
      </c>
      <c r="AO304" s="529">
        <v>0</v>
      </c>
      <c r="AP304" s="529">
        <v>0</v>
      </c>
      <c r="AQ304" s="529">
        <v>-151.49730539999999</v>
      </c>
      <c r="AR304" s="529">
        <v>0</v>
      </c>
    </row>
    <row r="305" spans="39:44">
      <c r="AM305" s="528">
        <v>45607</v>
      </c>
      <c r="AN305" s="529">
        <v>6.83</v>
      </c>
      <c r="AO305" s="529">
        <v>0</v>
      </c>
      <c r="AP305" s="529">
        <v>0</v>
      </c>
      <c r="AQ305" s="529">
        <v>-144.91969130000001</v>
      </c>
      <c r="AR305" s="529">
        <v>0</v>
      </c>
    </row>
    <row r="306" spans="39:44">
      <c r="AM306" s="528">
        <v>45606</v>
      </c>
      <c r="AN306" s="529">
        <v>6.5</v>
      </c>
      <c r="AO306" s="529">
        <v>-1417220</v>
      </c>
      <c r="AP306" s="529">
        <v>-42.436219999999999</v>
      </c>
      <c r="AQ306" s="529">
        <v>-413.75314499999996</v>
      </c>
      <c r="AR306" s="529">
        <v>-0.47899999999999998</v>
      </c>
    </row>
    <row r="307" spans="39:44">
      <c r="AM307" s="528">
        <v>45605</v>
      </c>
      <c r="AN307" s="529">
        <v>6.5</v>
      </c>
      <c r="AO307" s="529">
        <v>-708610</v>
      </c>
      <c r="AP307" s="529">
        <v>-21.218109999999999</v>
      </c>
      <c r="AQ307" s="529">
        <v>-275.83542999999997</v>
      </c>
      <c r="AR307" s="529">
        <v>-0.23949999999999999</v>
      </c>
    </row>
    <row r="308" spans="39:44">
      <c r="AM308" s="528">
        <v>45604</v>
      </c>
      <c r="AN308" s="529">
        <v>6.5</v>
      </c>
      <c r="AO308" s="529">
        <v>0</v>
      </c>
      <c r="AP308" s="529">
        <v>0</v>
      </c>
      <c r="AQ308" s="529">
        <v>-137.91771499999999</v>
      </c>
      <c r="AR308" s="529">
        <v>0</v>
      </c>
    </row>
    <row r="309" spans="39:44">
      <c r="AM309" s="528">
        <v>45603</v>
      </c>
      <c r="AN309" s="529">
        <v>6.62</v>
      </c>
      <c r="AO309" s="529">
        <v>0</v>
      </c>
      <c r="AP309" s="529">
        <v>0</v>
      </c>
      <c r="AQ309" s="529">
        <v>-134.06162</v>
      </c>
      <c r="AR309" s="529">
        <v>0</v>
      </c>
    </row>
    <row r="310" spans="39:44">
      <c r="AM310" s="528">
        <v>45602</v>
      </c>
      <c r="AN310" s="529">
        <v>5.41</v>
      </c>
      <c r="AO310" s="529">
        <v>0</v>
      </c>
      <c r="AP310" s="529">
        <v>0</v>
      </c>
      <c r="AQ310" s="529">
        <v>-109.55791000000001</v>
      </c>
      <c r="AR310" s="529">
        <v>0</v>
      </c>
    </row>
    <row r="311" spans="39:44">
      <c r="AM311" s="528">
        <v>45601</v>
      </c>
      <c r="AN311" s="529">
        <v>4.9400000000000004</v>
      </c>
      <c r="AO311" s="529">
        <v>0</v>
      </c>
      <c r="AP311" s="529">
        <v>0</v>
      </c>
      <c r="AQ311" s="529">
        <v>-100.03994000000002</v>
      </c>
      <c r="AR311" s="529">
        <v>0</v>
      </c>
    </row>
    <row r="312" spans="39:44">
      <c r="AM312" s="528">
        <v>45600</v>
      </c>
      <c r="AN312" s="529">
        <v>4.8499999999999996</v>
      </c>
      <c r="AO312" s="529">
        <v>0</v>
      </c>
      <c r="AP312" s="529">
        <v>0</v>
      </c>
      <c r="AQ312" s="529">
        <v>-98.217349999999996</v>
      </c>
      <c r="AR312" s="529">
        <v>0</v>
      </c>
    </row>
    <row r="313" spans="39:44">
      <c r="AM313" s="528">
        <v>45599</v>
      </c>
      <c r="AN313" s="529">
        <v>5.05</v>
      </c>
      <c r="AO313" s="529">
        <v>-491964</v>
      </c>
      <c r="AP313" s="529">
        <v>-40.502000000000002</v>
      </c>
      <c r="AQ313" s="529">
        <v>-306.80264999999997</v>
      </c>
      <c r="AR313" s="529">
        <v>-0.372</v>
      </c>
    </row>
    <row r="314" spans="39:44">
      <c r="AM314" s="528">
        <v>45598</v>
      </c>
      <c r="AN314" s="529">
        <v>5.05</v>
      </c>
      <c r="AO314" s="529">
        <v>-245982</v>
      </c>
      <c r="AP314" s="529">
        <v>-20.251000000000001</v>
      </c>
      <c r="AQ314" s="529">
        <v>-204.5351</v>
      </c>
      <c r="AR314" s="529">
        <v>-0.186</v>
      </c>
    </row>
    <row r="315" spans="39:44">
      <c r="AM315" s="528">
        <v>45597</v>
      </c>
      <c r="AN315" s="529">
        <v>5.05</v>
      </c>
      <c r="AO315" s="529">
        <v>0</v>
      </c>
      <c r="AP315" s="529">
        <v>0</v>
      </c>
      <c r="AQ315" s="529">
        <v>-102.26755</v>
      </c>
      <c r="AR315" s="529">
        <v>0</v>
      </c>
    </row>
    <row r="316" spans="39:44">
      <c r="AM316" s="528">
        <v>45596</v>
      </c>
      <c r="AN316" s="529">
        <v>5.12</v>
      </c>
      <c r="AO316" s="529">
        <v>0</v>
      </c>
      <c r="AP316" s="529">
        <v>0</v>
      </c>
      <c r="AQ316" s="529">
        <v>-103.68512000000001</v>
      </c>
      <c r="AR316" s="529">
        <v>0</v>
      </c>
    </row>
    <row r="317" spans="39:44">
      <c r="AM317" s="528">
        <v>45595</v>
      </c>
      <c r="AN317" s="529">
        <v>5.24</v>
      </c>
      <c r="AO317" s="529">
        <v>0</v>
      </c>
      <c r="AP317" s="529">
        <v>0</v>
      </c>
      <c r="AQ317" s="529">
        <v>-106.11524000000001</v>
      </c>
      <c r="AR317" s="529">
        <v>0</v>
      </c>
    </row>
    <row r="318" spans="39:44">
      <c r="AM318" s="528">
        <v>45594</v>
      </c>
      <c r="AN318" s="529">
        <v>5.25</v>
      </c>
      <c r="AO318" s="529">
        <v>0</v>
      </c>
      <c r="AP318" s="529">
        <v>0</v>
      </c>
      <c r="AQ318" s="529">
        <v>-106.31775</v>
      </c>
      <c r="AR318" s="529">
        <v>0</v>
      </c>
    </row>
    <row r="319" spans="39:44">
      <c r="AM319" s="528">
        <v>45593</v>
      </c>
      <c r="AN319" s="529">
        <v>5.39</v>
      </c>
      <c r="AO319" s="529">
        <v>0</v>
      </c>
      <c r="AP319" s="529">
        <v>0</v>
      </c>
      <c r="AQ319" s="529">
        <v>-109.15289</v>
      </c>
      <c r="AR319" s="529">
        <v>0</v>
      </c>
    </row>
    <row r="320" spans="39:44">
      <c r="AM320" s="528">
        <v>45592</v>
      </c>
      <c r="AN320" s="529">
        <v>5.05</v>
      </c>
      <c r="AO320" s="529">
        <v>-432314</v>
      </c>
      <c r="AP320" s="529">
        <v>-40.502000000000002</v>
      </c>
      <c r="AQ320" s="529">
        <v>-306.80264999999997</v>
      </c>
      <c r="AR320" s="529">
        <v>-0.372</v>
      </c>
    </row>
    <row r="321" spans="39:44">
      <c r="AM321" s="528">
        <v>45591</v>
      </c>
      <c r="AN321" s="529">
        <v>5.05</v>
      </c>
      <c r="AO321" s="529">
        <v>-216157</v>
      </c>
      <c r="AP321" s="529">
        <v>-20.251000000000001</v>
      </c>
      <c r="AQ321" s="529">
        <v>-204.5351</v>
      </c>
      <c r="AR321" s="529">
        <v>-0.186</v>
      </c>
    </row>
    <row r="322" spans="39:44">
      <c r="AM322" s="528">
        <v>45590</v>
      </c>
      <c r="AN322" s="529">
        <v>5.05</v>
      </c>
      <c r="AO322" s="529">
        <v>0</v>
      </c>
      <c r="AP322" s="529">
        <v>0</v>
      </c>
      <c r="AQ322" s="529">
        <v>-102.26755</v>
      </c>
      <c r="AR322" s="529">
        <v>0</v>
      </c>
    </row>
    <row r="323" spans="39:44">
      <c r="AM323" s="528">
        <v>45589</v>
      </c>
      <c r="AN323" s="529">
        <v>5.12</v>
      </c>
      <c r="AO323" s="529">
        <v>0</v>
      </c>
      <c r="AP323" s="529">
        <v>0</v>
      </c>
      <c r="AQ323" s="529">
        <v>-103.68512000000001</v>
      </c>
      <c r="AR323" s="529">
        <v>0</v>
      </c>
    </row>
    <row r="324" spans="39:44">
      <c r="AM324" s="528">
        <v>45588</v>
      </c>
      <c r="AN324" s="529">
        <v>5.15</v>
      </c>
      <c r="AO324" s="529">
        <v>0</v>
      </c>
      <c r="AP324" s="529">
        <v>0</v>
      </c>
      <c r="AQ324" s="529">
        <v>-104.29265000000001</v>
      </c>
      <c r="AR324" s="529">
        <v>0</v>
      </c>
    </row>
    <row r="325" spans="39:44">
      <c r="AM325" s="528">
        <v>45587</v>
      </c>
      <c r="AN325" s="529">
        <v>5.55</v>
      </c>
      <c r="AO325" s="529">
        <v>0</v>
      </c>
      <c r="AP325" s="529">
        <v>0</v>
      </c>
      <c r="AQ325" s="529">
        <v>-112.39305</v>
      </c>
      <c r="AR325" s="529">
        <v>0</v>
      </c>
    </row>
    <row r="326" spans="39:44">
      <c r="AM326" s="528">
        <v>45586</v>
      </c>
      <c r="AN326" s="529">
        <v>5.36</v>
      </c>
      <c r="AO326" s="529">
        <v>0</v>
      </c>
      <c r="AP326" s="529">
        <v>0</v>
      </c>
      <c r="AQ326" s="529">
        <v>-108.54536000000002</v>
      </c>
      <c r="AR326" s="529">
        <v>0</v>
      </c>
    </row>
    <row r="327" spans="39:44">
      <c r="AM327" s="528">
        <v>45585</v>
      </c>
      <c r="AN327" s="529">
        <v>5.19</v>
      </c>
      <c r="AO327" s="529">
        <v>-1335208</v>
      </c>
      <c r="AP327" s="529">
        <v>-40.502000000000002</v>
      </c>
      <c r="AQ327" s="529">
        <v>-315.30807000000004</v>
      </c>
      <c r="AR327" s="529">
        <v>-0.38240000000000002</v>
      </c>
    </row>
    <row r="328" spans="39:44">
      <c r="AM328" s="528">
        <v>45584</v>
      </c>
      <c r="AN328" s="529">
        <v>5.19</v>
      </c>
      <c r="AO328" s="529">
        <v>-667604</v>
      </c>
      <c r="AP328" s="529">
        <v>-20.251000000000001</v>
      </c>
      <c r="AQ328" s="529">
        <v>-210.20538000000002</v>
      </c>
      <c r="AR328" s="529">
        <v>-0.19120000000000001</v>
      </c>
    </row>
    <row r="329" spans="39:44">
      <c r="AM329" s="528">
        <v>45583</v>
      </c>
      <c r="AN329" s="529">
        <v>5.19</v>
      </c>
      <c r="AO329" s="529">
        <v>0</v>
      </c>
      <c r="AP329" s="529">
        <v>0</v>
      </c>
      <c r="AQ329" s="529">
        <v>-105.10269000000001</v>
      </c>
      <c r="AR329" s="529">
        <v>0</v>
      </c>
    </row>
    <row r="330" spans="39:44">
      <c r="AM330" s="528">
        <v>45582</v>
      </c>
      <c r="AN330" s="529">
        <v>4.82</v>
      </c>
      <c r="AO330" s="529">
        <v>0</v>
      </c>
      <c r="AP330" s="529">
        <v>0</v>
      </c>
      <c r="AQ330" s="529">
        <v>-97.609820000000013</v>
      </c>
      <c r="AR330" s="529">
        <v>0</v>
      </c>
    </row>
    <row r="331" spans="39:44">
      <c r="AM331" s="528">
        <v>45581</v>
      </c>
      <c r="AN331" s="529">
        <v>4.87</v>
      </c>
      <c r="AO331" s="529">
        <v>0</v>
      </c>
      <c r="AP331" s="529">
        <v>0</v>
      </c>
      <c r="AQ331" s="529">
        <v>-98.622370000000004</v>
      </c>
      <c r="AR331" s="529">
        <v>0</v>
      </c>
    </row>
    <row r="332" spans="39:44">
      <c r="AM332" s="528">
        <v>45580</v>
      </c>
      <c r="AN332" s="529">
        <v>4.88</v>
      </c>
      <c r="AO332" s="529">
        <v>0</v>
      </c>
      <c r="AP332" s="529">
        <v>0</v>
      </c>
      <c r="AQ332" s="529">
        <v>-98.824880000000007</v>
      </c>
      <c r="AR332" s="529">
        <v>0</v>
      </c>
    </row>
    <row r="333" spans="39:44">
      <c r="AM333" s="528">
        <v>45579</v>
      </c>
      <c r="AN333" s="529">
        <v>4.92</v>
      </c>
      <c r="AO333" s="529">
        <v>0</v>
      </c>
      <c r="AP333" s="529">
        <v>0</v>
      </c>
      <c r="AQ333" s="529">
        <v>-99.634920000000008</v>
      </c>
      <c r="AR333" s="529">
        <v>0</v>
      </c>
    </row>
    <row r="334" spans="39:44">
      <c r="AM334" s="528">
        <v>45578</v>
      </c>
      <c r="AN334" s="529">
        <v>4.7</v>
      </c>
      <c r="AO334" s="529">
        <v>-362024</v>
      </c>
      <c r="AP334" s="529">
        <v>-40.502000000000002</v>
      </c>
      <c r="AQ334" s="529">
        <v>-285.53910000000002</v>
      </c>
      <c r="AR334" s="529">
        <v>-0.34620000000000001</v>
      </c>
    </row>
    <row r="335" spans="39:44">
      <c r="AM335" s="528">
        <v>45577</v>
      </c>
      <c r="AN335" s="529">
        <v>4.7</v>
      </c>
      <c r="AO335" s="529">
        <v>-181012</v>
      </c>
      <c r="AP335" s="529">
        <v>-20.251000000000001</v>
      </c>
      <c r="AQ335" s="529">
        <v>-190.35940000000002</v>
      </c>
      <c r="AR335" s="529">
        <v>-0.1731</v>
      </c>
    </row>
    <row r="336" spans="39:44">
      <c r="AM336" s="528">
        <v>45576</v>
      </c>
      <c r="AN336" s="529">
        <v>4.7</v>
      </c>
      <c r="AO336" s="529">
        <v>0</v>
      </c>
      <c r="AP336" s="529">
        <v>0</v>
      </c>
      <c r="AQ336" s="529">
        <v>-95.179700000000011</v>
      </c>
      <c r="AR336" s="529">
        <v>0</v>
      </c>
    </row>
    <row r="337" spans="39:44">
      <c r="AM337" s="528">
        <v>45575</v>
      </c>
      <c r="AN337" s="529">
        <v>4.83</v>
      </c>
      <c r="AO337" s="529">
        <v>0</v>
      </c>
      <c r="AP337" s="529">
        <v>0</v>
      </c>
      <c r="AQ337" s="529">
        <v>-97.812330000000003</v>
      </c>
      <c r="AR337" s="529">
        <v>0</v>
      </c>
    </row>
    <row r="338" spans="39:44">
      <c r="AM338" s="528">
        <v>45574</v>
      </c>
      <c r="AN338" s="529">
        <v>4.96</v>
      </c>
      <c r="AO338" s="529">
        <v>0</v>
      </c>
      <c r="AP338" s="529">
        <v>0</v>
      </c>
      <c r="AQ338" s="529">
        <v>-100.44496000000001</v>
      </c>
      <c r="AR338" s="529">
        <v>0</v>
      </c>
    </row>
    <row r="339" spans="39:44">
      <c r="AM339" s="528">
        <v>45573</v>
      </c>
      <c r="AN339" s="529">
        <v>4.75</v>
      </c>
      <c r="AO339" s="529">
        <v>0</v>
      </c>
      <c r="AP339" s="529">
        <v>0</v>
      </c>
      <c r="AQ339" s="529">
        <v>-96.192250000000001</v>
      </c>
      <c r="AR339" s="529">
        <v>0</v>
      </c>
    </row>
    <row r="340" spans="39:44">
      <c r="AM340" s="528">
        <v>45572</v>
      </c>
      <c r="AN340" s="529">
        <v>4.57</v>
      </c>
      <c r="AO340" s="529">
        <v>0</v>
      </c>
      <c r="AP340" s="529">
        <v>0</v>
      </c>
      <c r="AQ340" s="529">
        <v>-92.547070000000005</v>
      </c>
      <c r="AR340" s="529">
        <v>0</v>
      </c>
    </row>
    <row r="341" spans="39:44">
      <c r="AM341" s="528">
        <v>45571</v>
      </c>
      <c r="AN341" s="529">
        <v>4.47</v>
      </c>
      <c r="AO341" s="529">
        <v>-291828</v>
      </c>
      <c r="AP341" s="529">
        <v>-40.502000000000002</v>
      </c>
      <c r="AQ341" s="529">
        <v>-271.56590999999997</v>
      </c>
      <c r="AR341" s="529">
        <v>-0.32940000000000003</v>
      </c>
    </row>
    <row r="342" spans="39:44">
      <c r="AM342" s="528">
        <v>45570</v>
      </c>
      <c r="AN342" s="529">
        <v>4.47</v>
      </c>
      <c r="AO342" s="529">
        <v>-145914</v>
      </c>
      <c r="AP342" s="529">
        <v>-20.251000000000001</v>
      </c>
      <c r="AQ342" s="529">
        <v>-181.04393999999999</v>
      </c>
      <c r="AR342" s="529">
        <v>-0.16470000000000001</v>
      </c>
    </row>
    <row r="343" spans="39:44">
      <c r="AM343" s="528">
        <v>45569</v>
      </c>
      <c r="AN343" s="529">
        <v>4.47</v>
      </c>
      <c r="AO343" s="529">
        <v>0</v>
      </c>
      <c r="AP343" s="529">
        <v>0</v>
      </c>
      <c r="AQ343" s="529">
        <v>-90.521969999999996</v>
      </c>
      <c r="AR343" s="529">
        <v>0</v>
      </c>
    </row>
    <row r="344" spans="39:44">
      <c r="AM344" s="528">
        <v>45568</v>
      </c>
      <c r="AN344" s="529">
        <v>4.5199999999999996</v>
      </c>
      <c r="AO344" s="529">
        <v>0</v>
      </c>
      <c r="AP344" s="529">
        <v>0</v>
      </c>
      <c r="AQ344" s="529">
        <v>-91.534520000000001</v>
      </c>
      <c r="AR344" s="529">
        <v>0</v>
      </c>
    </row>
    <row r="345" spans="39:44">
      <c r="AM345" s="528">
        <v>45567</v>
      </c>
      <c r="AN345" s="529">
        <v>4.6900000000000004</v>
      </c>
      <c r="AO345" s="529">
        <v>0</v>
      </c>
      <c r="AP345" s="529">
        <v>0</v>
      </c>
      <c r="AQ345" s="529">
        <v>-94.977190000000007</v>
      </c>
      <c r="AR345" s="529">
        <v>0</v>
      </c>
    </row>
    <row r="346" spans="39:44">
      <c r="AM346" s="528">
        <v>45566</v>
      </c>
      <c r="AN346" s="529">
        <v>4.9400000000000004</v>
      </c>
      <c r="AO346" s="529">
        <v>0</v>
      </c>
      <c r="AP346" s="529">
        <v>0</v>
      </c>
      <c r="AQ346" s="529">
        <v>-100.03994000000002</v>
      </c>
      <c r="AR346" s="529">
        <v>0</v>
      </c>
    </row>
    <row r="347" spans="39:44">
      <c r="AM347" s="528">
        <v>45565</v>
      </c>
      <c r="AN347" s="529">
        <v>4.7300000000000004</v>
      </c>
      <c r="AO347" s="529">
        <v>0</v>
      </c>
      <c r="AP347" s="529">
        <v>0</v>
      </c>
      <c r="AQ347" s="529">
        <v>-95.787230000000008</v>
      </c>
      <c r="AR347" s="529">
        <v>0</v>
      </c>
    </row>
    <row r="348" spans="39:44">
      <c r="AM348" s="528">
        <v>45564</v>
      </c>
      <c r="AN348" s="529">
        <v>4.88</v>
      </c>
      <c r="AO348" s="529">
        <v>-638116</v>
      </c>
      <c r="AP348" s="529">
        <v>-40.502000000000002</v>
      </c>
      <c r="AQ348" s="529">
        <v>-296.47464000000002</v>
      </c>
      <c r="AR348" s="529">
        <v>-0.34439999999999998</v>
      </c>
    </row>
    <row r="349" spans="39:44">
      <c r="AM349" s="528">
        <v>45563</v>
      </c>
      <c r="AN349" s="529">
        <v>4.88</v>
      </c>
      <c r="AO349" s="529">
        <v>-319058</v>
      </c>
      <c r="AP349" s="529">
        <v>-20.251000000000001</v>
      </c>
      <c r="AQ349" s="529">
        <v>-197.64976000000001</v>
      </c>
      <c r="AR349" s="529">
        <v>-0.17219999999999999</v>
      </c>
    </row>
    <row r="350" spans="39:44">
      <c r="AM350" s="528">
        <v>45562</v>
      </c>
      <c r="AN350" s="529">
        <v>4.88</v>
      </c>
      <c r="AO350" s="529">
        <v>0</v>
      </c>
      <c r="AP350" s="529">
        <v>0</v>
      </c>
      <c r="AQ350" s="529">
        <v>-98.824880000000007</v>
      </c>
      <c r="AR350" s="529">
        <v>0</v>
      </c>
    </row>
    <row r="351" spans="39:44">
      <c r="AM351" s="528">
        <v>45561</v>
      </c>
      <c r="AN351" s="529">
        <v>4.76</v>
      </c>
      <c r="AO351" s="529">
        <v>0</v>
      </c>
      <c r="AP351" s="529">
        <v>0</v>
      </c>
      <c r="AQ351" s="529">
        <v>-96.394760000000005</v>
      </c>
      <c r="AR351" s="529">
        <v>0</v>
      </c>
    </row>
    <row r="352" spans="39:44">
      <c r="AM352" s="528">
        <v>45560</v>
      </c>
      <c r="AN352" s="529">
        <v>4.57</v>
      </c>
      <c r="AO352" s="529">
        <v>0</v>
      </c>
      <c r="AP352" s="529">
        <v>0</v>
      </c>
      <c r="AQ352" s="529">
        <v>-92.547070000000005</v>
      </c>
      <c r="AR352" s="529">
        <v>0</v>
      </c>
    </row>
    <row r="353" spans="39:44">
      <c r="AM353" s="528">
        <v>45559</v>
      </c>
      <c r="AN353" s="529">
        <v>4.5</v>
      </c>
      <c r="AO353" s="529">
        <v>0</v>
      </c>
      <c r="AP353" s="529">
        <v>0</v>
      </c>
      <c r="AQ353" s="529">
        <v>-91.129500000000007</v>
      </c>
      <c r="AR353" s="529">
        <v>0</v>
      </c>
    </row>
    <row r="354" spans="39:44">
      <c r="AM354" s="528">
        <v>45558</v>
      </c>
      <c r="AN354" s="529">
        <v>4.46</v>
      </c>
      <c r="AO354" s="529">
        <v>0</v>
      </c>
      <c r="AP354" s="529">
        <v>0</v>
      </c>
      <c r="AQ354" s="529">
        <v>-90.319460000000007</v>
      </c>
      <c r="AR354" s="529">
        <v>0</v>
      </c>
    </row>
    <row r="355" spans="39:44">
      <c r="AM355" s="528">
        <v>45557</v>
      </c>
      <c r="AN355" s="529">
        <v>4.38</v>
      </c>
      <c r="AO355" s="529">
        <v>-364658</v>
      </c>
      <c r="AP355" s="529">
        <v>-40.502000000000002</v>
      </c>
      <c r="AQ355" s="529">
        <v>-266.09814</v>
      </c>
      <c r="AR355" s="529">
        <v>-0.30919999999999997</v>
      </c>
    </row>
    <row r="356" spans="39:44">
      <c r="AM356" s="528">
        <v>45556</v>
      </c>
      <c r="AN356" s="529">
        <v>4.38</v>
      </c>
      <c r="AO356" s="529">
        <v>-182329</v>
      </c>
      <c r="AP356" s="529">
        <v>-20.251000000000001</v>
      </c>
      <c r="AQ356" s="529">
        <v>-177.39876000000001</v>
      </c>
      <c r="AR356" s="529">
        <v>-0.15459999999999999</v>
      </c>
    </row>
    <row r="357" spans="39:44">
      <c r="AM357" s="528">
        <v>45555</v>
      </c>
      <c r="AN357" s="529">
        <v>4.38</v>
      </c>
      <c r="AO357" s="529">
        <v>0</v>
      </c>
      <c r="AP357" s="529">
        <v>0</v>
      </c>
      <c r="AQ357" s="529">
        <v>-88.699380000000005</v>
      </c>
      <c r="AR357" s="529">
        <v>0</v>
      </c>
    </row>
    <row r="358" spans="39:44">
      <c r="AM358" s="528">
        <v>45554</v>
      </c>
      <c r="AN358" s="529">
        <v>4.32</v>
      </c>
      <c r="AO358" s="529">
        <v>0</v>
      </c>
      <c r="AP358" s="529">
        <v>0</v>
      </c>
      <c r="AQ358" s="529">
        <v>-87.484320000000011</v>
      </c>
      <c r="AR358" s="529">
        <v>0</v>
      </c>
    </row>
    <row r="359" spans="39:44">
      <c r="AM359" s="528">
        <v>45553</v>
      </c>
      <c r="AN359" s="529">
        <v>4.3600000000000003</v>
      </c>
      <c r="AO359" s="529">
        <v>0</v>
      </c>
      <c r="AP359" s="529">
        <v>0</v>
      </c>
      <c r="AQ359" s="529">
        <v>-88.294360000000012</v>
      </c>
      <c r="AR359" s="529">
        <v>0</v>
      </c>
    </row>
    <row r="360" spans="39:44">
      <c r="AM360" s="528">
        <v>45552</v>
      </c>
      <c r="AN360" s="529">
        <v>4.46</v>
      </c>
      <c r="AO360" s="529">
        <v>0</v>
      </c>
      <c r="AP360" s="529">
        <v>0</v>
      </c>
      <c r="AQ360" s="529">
        <v>-90.319460000000007</v>
      </c>
      <c r="AR360" s="529">
        <v>0</v>
      </c>
    </row>
    <row r="361" spans="39:44">
      <c r="AM361" s="528">
        <v>45551</v>
      </c>
      <c r="AN361" s="529">
        <v>4.3</v>
      </c>
      <c r="AO361" s="529">
        <v>0</v>
      </c>
      <c r="AP361" s="529">
        <v>0</v>
      </c>
      <c r="AQ361" s="529">
        <v>-87.079300000000003</v>
      </c>
      <c r="AR361" s="529">
        <v>0</v>
      </c>
    </row>
    <row r="362" spans="39:44">
      <c r="AM362" s="528">
        <v>45550</v>
      </c>
      <c r="AN362" s="529">
        <v>4.33</v>
      </c>
      <c r="AO362" s="529">
        <v>-213812</v>
      </c>
      <c r="AP362" s="529">
        <v>-40.502000000000002</v>
      </c>
      <c r="AQ362" s="529">
        <v>-263.06049000000002</v>
      </c>
      <c r="AR362" s="529">
        <v>-0.30559999999999998</v>
      </c>
    </row>
    <row r="363" spans="39:44">
      <c r="AM363" s="528">
        <v>45549</v>
      </c>
      <c r="AN363" s="529">
        <v>4.33</v>
      </c>
      <c r="AO363" s="529">
        <v>-106906</v>
      </c>
      <c r="AP363" s="529">
        <v>-20.251000000000001</v>
      </c>
      <c r="AQ363" s="529">
        <v>-175.37366</v>
      </c>
      <c r="AR363" s="529">
        <v>-0.15279999999999999</v>
      </c>
    </row>
    <row r="364" spans="39:44">
      <c r="AM364" s="528">
        <v>45548</v>
      </c>
      <c r="AN364" s="529">
        <v>4.33</v>
      </c>
      <c r="AO364" s="529">
        <v>0</v>
      </c>
      <c r="AP364" s="529">
        <v>0</v>
      </c>
      <c r="AQ364" s="529">
        <v>-87.68683</v>
      </c>
      <c r="AR364" s="529">
        <v>0</v>
      </c>
    </row>
    <row r="365" spans="39:44">
      <c r="AM365" s="528">
        <v>45547</v>
      </c>
      <c r="AN365" s="529">
        <v>4.26</v>
      </c>
      <c r="AO365" s="529">
        <v>0</v>
      </c>
      <c r="AP365" s="529">
        <v>0</v>
      </c>
      <c r="AQ365" s="529">
        <v>-86.269260000000003</v>
      </c>
      <c r="AR365" s="529">
        <v>0</v>
      </c>
    </row>
    <row r="366" spans="39:44">
      <c r="AM366" s="528">
        <v>45546</v>
      </c>
      <c r="AN366" s="529">
        <v>4.18</v>
      </c>
      <c r="AO366" s="529">
        <v>0</v>
      </c>
      <c r="AP366" s="529">
        <v>0</v>
      </c>
      <c r="AQ366" s="529">
        <v>-84.649180000000001</v>
      </c>
      <c r="AR366" s="529">
        <v>0</v>
      </c>
    </row>
    <row r="367" spans="39:44">
      <c r="AM367" s="528">
        <v>45545</v>
      </c>
      <c r="AN367" s="529">
        <v>4.0599999999999996</v>
      </c>
      <c r="AO367" s="529">
        <v>0</v>
      </c>
      <c r="AP367" s="529">
        <v>0</v>
      </c>
      <c r="AQ367" s="529">
        <v>-82.219059999999999</v>
      </c>
      <c r="AR367" s="529">
        <v>0</v>
      </c>
    </row>
    <row r="368" spans="39:44">
      <c r="AM368" s="528">
        <v>45544</v>
      </c>
      <c r="AN368" s="529">
        <v>4.2699999999999996</v>
      </c>
      <c r="AO368" s="529">
        <v>0</v>
      </c>
      <c r="AP368" s="529">
        <v>0</v>
      </c>
      <c r="AQ368" s="529">
        <v>-86.471769999999992</v>
      </c>
      <c r="AR368" s="529">
        <v>0</v>
      </c>
    </row>
    <row r="369" spans="39:44">
      <c r="AM369" s="528">
        <v>45543</v>
      </c>
      <c r="AN369" s="529">
        <v>4.07</v>
      </c>
      <c r="AO369" s="529">
        <v>-403234</v>
      </c>
      <c r="AP369" s="529">
        <v>-40.502000000000002</v>
      </c>
      <c r="AQ369" s="529">
        <v>-247.26471000000004</v>
      </c>
      <c r="AR369" s="529">
        <v>-0.28720000000000001</v>
      </c>
    </row>
    <row r="370" spans="39:44">
      <c r="AM370" s="528">
        <v>45542</v>
      </c>
      <c r="AN370" s="529">
        <v>4.07</v>
      </c>
      <c r="AO370" s="529">
        <v>-201617</v>
      </c>
      <c r="AP370" s="529">
        <v>-20.251000000000001</v>
      </c>
      <c r="AQ370" s="529">
        <v>-164.84314000000003</v>
      </c>
      <c r="AR370" s="529">
        <v>-0.14360000000000001</v>
      </c>
    </row>
    <row r="371" spans="39:44">
      <c r="AM371" s="528">
        <v>45541</v>
      </c>
      <c r="AN371" s="529">
        <v>4.07</v>
      </c>
      <c r="AO371" s="529">
        <v>0</v>
      </c>
      <c r="AP371" s="529">
        <v>0</v>
      </c>
      <c r="AQ371" s="529">
        <v>-82.421570000000017</v>
      </c>
      <c r="AR371" s="529">
        <v>0</v>
      </c>
    </row>
    <row r="372" spans="39:44">
      <c r="AM372" s="528">
        <v>45540</v>
      </c>
      <c r="AN372" s="529">
        <v>4.22</v>
      </c>
      <c r="AO372" s="529">
        <v>0</v>
      </c>
      <c r="AP372" s="529">
        <v>0</v>
      </c>
      <c r="AQ372" s="529">
        <v>-85.459220000000002</v>
      </c>
      <c r="AR372" s="529">
        <v>0</v>
      </c>
    </row>
    <row r="373" spans="39:44">
      <c r="AM373" s="528">
        <v>45539</v>
      </c>
      <c r="AN373" s="529">
        <v>4.34</v>
      </c>
      <c r="AO373" s="529">
        <v>0</v>
      </c>
      <c r="AP373" s="529">
        <v>0</v>
      </c>
      <c r="AQ373" s="529">
        <v>-87.889340000000004</v>
      </c>
      <c r="AR373" s="529">
        <v>0</v>
      </c>
    </row>
    <row r="374" spans="39:44">
      <c r="AM374" s="528">
        <v>45538</v>
      </c>
      <c r="AN374" s="529">
        <v>4.7300000000000004</v>
      </c>
      <c r="AO374" s="529">
        <v>0</v>
      </c>
      <c r="AP374" s="529">
        <v>0</v>
      </c>
      <c r="AQ374" s="529">
        <v>-95.787230000000008</v>
      </c>
      <c r="AR374" s="529">
        <v>0</v>
      </c>
    </row>
    <row r="375" spans="39:44">
      <c r="AM375" s="528">
        <v>45537</v>
      </c>
      <c r="AN375" s="529">
        <v>4.7699999999999996</v>
      </c>
      <c r="AO375" s="529">
        <v>-364554</v>
      </c>
      <c r="AP375" s="529">
        <v>-60.753</v>
      </c>
      <c r="AQ375" s="529">
        <v>-386.38907999999998</v>
      </c>
      <c r="AR375" s="529">
        <v>-0.50490000000000002</v>
      </c>
    </row>
    <row r="376" spans="39:44">
      <c r="AM376" s="528">
        <v>45536</v>
      </c>
      <c r="AN376" s="529">
        <v>4.7699999999999996</v>
      </c>
      <c r="AO376" s="529">
        <v>-243036</v>
      </c>
      <c r="AP376" s="529">
        <v>-40.502000000000002</v>
      </c>
      <c r="AQ376" s="529">
        <v>-289.79181</v>
      </c>
      <c r="AR376" s="529">
        <v>-0.33660000000000001</v>
      </c>
    </row>
    <row r="377" spans="39:44">
      <c r="AM377" s="528">
        <v>45535</v>
      </c>
      <c r="AN377" s="529">
        <v>4.7699999999999996</v>
      </c>
      <c r="AO377" s="529">
        <v>-121518</v>
      </c>
      <c r="AP377" s="529">
        <v>-20.251000000000001</v>
      </c>
      <c r="AQ377" s="529">
        <v>-193.19453999999999</v>
      </c>
      <c r="AR377" s="529">
        <v>-0.16830000000000001</v>
      </c>
    </row>
    <row r="378" spans="39:44">
      <c r="AM378" s="528">
        <v>45534</v>
      </c>
      <c r="AN378" s="529">
        <v>4.7699999999999996</v>
      </c>
      <c r="AO378" s="529">
        <v>0</v>
      </c>
      <c r="AP378" s="529">
        <v>0</v>
      </c>
      <c r="AQ378" s="529">
        <v>-96.597269999999995</v>
      </c>
      <c r="AR378" s="529">
        <v>0</v>
      </c>
    </row>
    <row r="379" spans="39:44">
      <c r="AM379" s="528">
        <v>45533</v>
      </c>
      <c r="AN379" s="529">
        <v>4.6100000000000003</v>
      </c>
      <c r="AO379" s="529">
        <v>0</v>
      </c>
      <c r="AP379" s="529">
        <v>0</v>
      </c>
      <c r="AQ379" s="529">
        <v>-93.357110000000006</v>
      </c>
      <c r="AR379" s="529">
        <v>0</v>
      </c>
    </row>
    <row r="380" spans="39:44">
      <c r="AM380" s="528">
        <v>45532</v>
      </c>
      <c r="AN380" s="529">
        <v>4.54</v>
      </c>
      <c r="AO380" s="529">
        <v>0</v>
      </c>
      <c r="AP380" s="529">
        <v>0</v>
      </c>
      <c r="AQ380" s="529">
        <v>-91.939540000000008</v>
      </c>
      <c r="AR380" s="529">
        <v>0</v>
      </c>
    </row>
    <row r="381" spans="39:44">
      <c r="AM381" s="528">
        <v>45531</v>
      </c>
      <c r="AN381" s="529">
        <v>4.63</v>
      </c>
      <c r="AO381" s="529">
        <v>0</v>
      </c>
      <c r="AP381" s="529">
        <v>0</v>
      </c>
      <c r="AQ381" s="529">
        <v>-93.762129999999999</v>
      </c>
      <c r="AR381" s="529">
        <v>0</v>
      </c>
    </row>
    <row r="382" spans="39:44">
      <c r="AM382" s="528">
        <v>45530</v>
      </c>
      <c r="AN382" s="529">
        <v>4.75</v>
      </c>
      <c r="AO382" s="529">
        <v>0</v>
      </c>
      <c r="AP382" s="529">
        <v>0</v>
      </c>
      <c r="AQ382" s="529">
        <v>-96.192250000000001</v>
      </c>
      <c r="AR382" s="529">
        <v>0</v>
      </c>
    </row>
    <row r="383" spans="39:44">
      <c r="AM383" s="528">
        <v>45529</v>
      </c>
      <c r="AN383" s="529">
        <v>4.53</v>
      </c>
      <c r="AO383" s="529">
        <v>-291828</v>
      </c>
      <c r="AP383" s="529">
        <v>-40.502000000000002</v>
      </c>
      <c r="AQ383" s="529">
        <v>-275.21109000000001</v>
      </c>
      <c r="AR383" s="529">
        <v>-0.31979999999999997</v>
      </c>
    </row>
    <row r="384" spans="39:44">
      <c r="AM384" s="528">
        <v>45528</v>
      </c>
      <c r="AN384" s="529">
        <v>4.53</v>
      </c>
      <c r="AO384" s="529">
        <v>-145914</v>
      </c>
      <c r="AP384" s="529">
        <v>-20.251000000000001</v>
      </c>
      <c r="AQ384" s="529">
        <v>-183.47406000000001</v>
      </c>
      <c r="AR384" s="529">
        <v>-0.15989999999999999</v>
      </c>
    </row>
    <row r="385" spans="39:44">
      <c r="AM385" s="528">
        <v>45527</v>
      </c>
      <c r="AN385" s="529">
        <v>4.53</v>
      </c>
      <c r="AO385" s="529">
        <v>0</v>
      </c>
      <c r="AP385" s="529">
        <v>0</v>
      </c>
      <c r="AQ385" s="529">
        <v>-91.737030000000004</v>
      </c>
      <c r="AR385" s="529">
        <v>0</v>
      </c>
    </row>
    <row r="386" spans="39:44">
      <c r="AM386" s="528">
        <v>45526</v>
      </c>
      <c r="AN386" s="529">
        <v>4.43</v>
      </c>
      <c r="AO386" s="529">
        <v>0</v>
      </c>
      <c r="AP386" s="529">
        <v>0</v>
      </c>
      <c r="AQ386" s="529">
        <v>-89.711929999999995</v>
      </c>
      <c r="AR386" s="529">
        <v>0</v>
      </c>
    </row>
    <row r="387" spans="39:44">
      <c r="AM387" s="528">
        <v>45525</v>
      </c>
      <c r="AN387" s="529">
        <v>4.54</v>
      </c>
      <c r="AO387" s="529">
        <v>0</v>
      </c>
      <c r="AP387" s="529">
        <v>0</v>
      </c>
      <c r="AQ387" s="529">
        <v>-91.939540000000008</v>
      </c>
      <c r="AR387" s="529">
        <v>0</v>
      </c>
    </row>
    <row r="388" spans="39:44">
      <c r="AM388" s="528">
        <v>45524</v>
      </c>
      <c r="AN388" s="529">
        <v>4.6900000000000004</v>
      </c>
      <c r="AO388" s="529">
        <v>0</v>
      </c>
      <c r="AP388" s="529">
        <v>0</v>
      </c>
      <c r="AQ388" s="529">
        <v>-94.977190000000007</v>
      </c>
      <c r="AR388" s="529">
        <v>0</v>
      </c>
    </row>
    <row r="389" spans="39:44">
      <c r="AM389" s="528">
        <v>45523</v>
      </c>
      <c r="AN389" s="529">
        <v>4.45</v>
      </c>
      <c r="AO389" s="529">
        <v>0</v>
      </c>
      <c r="AP389" s="529">
        <v>0</v>
      </c>
      <c r="AQ389" s="529">
        <v>-90.116950000000003</v>
      </c>
      <c r="AR389" s="529">
        <v>0</v>
      </c>
    </row>
    <row r="390" spans="39:44">
      <c r="AM390" s="528">
        <v>45522</v>
      </c>
      <c r="AN390" s="529">
        <v>4.47</v>
      </c>
      <c r="AO390" s="529">
        <v>-391398</v>
      </c>
      <c r="AP390" s="529">
        <v>-39.774760000000001</v>
      </c>
      <c r="AQ390" s="529">
        <v>-266.68976580000003</v>
      </c>
      <c r="AR390" s="529">
        <v>-0.31540000000000001</v>
      </c>
    </row>
    <row r="391" spans="39:44">
      <c r="AM391" s="528">
        <v>45521</v>
      </c>
      <c r="AN391" s="529">
        <v>4.47</v>
      </c>
      <c r="AO391" s="529">
        <v>-195699</v>
      </c>
      <c r="AP391" s="529">
        <v>-19.88738</v>
      </c>
      <c r="AQ391" s="529">
        <v>-177.7931772</v>
      </c>
      <c r="AR391" s="529">
        <v>-0.15770000000000001</v>
      </c>
    </row>
    <row r="392" spans="39:44">
      <c r="AM392" s="528">
        <v>45520</v>
      </c>
      <c r="AN392" s="529">
        <v>4.47</v>
      </c>
      <c r="AO392" s="529">
        <v>0</v>
      </c>
      <c r="AP392" s="529">
        <v>0</v>
      </c>
      <c r="AQ392" s="529">
        <v>-88.896588600000001</v>
      </c>
      <c r="AR392" s="529">
        <v>0</v>
      </c>
    </row>
    <row r="393" spans="39:44">
      <c r="AM393" s="528">
        <v>45519</v>
      </c>
      <c r="AN393" s="529">
        <v>4.34</v>
      </c>
      <c r="AO393" s="529">
        <v>0</v>
      </c>
      <c r="AP393" s="529">
        <v>0</v>
      </c>
      <c r="AQ393" s="529">
        <v>-86.3112292</v>
      </c>
      <c r="AR393" s="529">
        <v>0</v>
      </c>
    </row>
    <row r="394" spans="39:44">
      <c r="AM394" s="528">
        <v>45518</v>
      </c>
      <c r="AN394" s="529">
        <v>4.46</v>
      </c>
      <c r="AO394" s="529">
        <v>0</v>
      </c>
      <c r="AP394" s="529">
        <v>0</v>
      </c>
      <c r="AQ394" s="529">
        <v>-88.6977148</v>
      </c>
      <c r="AR394" s="529">
        <v>0</v>
      </c>
    </row>
    <row r="395" spans="39:44">
      <c r="AM395" s="528">
        <v>45517</v>
      </c>
      <c r="AN395" s="529">
        <v>4.7</v>
      </c>
      <c r="AO395" s="529">
        <v>0</v>
      </c>
      <c r="AP395" s="529">
        <v>0</v>
      </c>
      <c r="AQ395" s="529">
        <v>-93.470686000000001</v>
      </c>
      <c r="AR395" s="529">
        <v>0</v>
      </c>
    </row>
    <row r="396" spans="39:44">
      <c r="AM396" s="528">
        <v>45516</v>
      </c>
      <c r="AN396" s="529">
        <v>4.6100000000000003</v>
      </c>
      <c r="AO396" s="529">
        <v>0</v>
      </c>
      <c r="AP396" s="529">
        <v>0</v>
      </c>
      <c r="AQ396" s="529">
        <v>-91.680821800000004</v>
      </c>
      <c r="AR396" s="529">
        <v>0</v>
      </c>
    </row>
    <row r="397" spans="39:44">
      <c r="AM397" s="528">
        <v>45515</v>
      </c>
      <c r="AN397" s="529">
        <v>4.5199999999999996</v>
      </c>
      <c r="AO397" s="529">
        <v>-1868222</v>
      </c>
      <c r="AP397" s="529">
        <v>-39.774760000000001</v>
      </c>
      <c r="AQ397" s="529">
        <v>-269.67287279999999</v>
      </c>
      <c r="AR397" s="529">
        <v>-0.31900000000000001</v>
      </c>
    </row>
    <row r="398" spans="39:44">
      <c r="AM398" s="528">
        <v>45514</v>
      </c>
      <c r="AN398" s="529">
        <v>4.5199999999999996</v>
      </c>
      <c r="AO398" s="529">
        <v>-934111</v>
      </c>
      <c r="AP398" s="529">
        <v>-19.88738</v>
      </c>
      <c r="AQ398" s="529">
        <v>-179.78191519999999</v>
      </c>
      <c r="AR398" s="529">
        <v>-0.1595</v>
      </c>
    </row>
    <row r="399" spans="39:44">
      <c r="AM399" s="528">
        <v>45513</v>
      </c>
      <c r="AN399" s="529">
        <v>4.5199999999999996</v>
      </c>
      <c r="AO399" s="529">
        <v>0</v>
      </c>
      <c r="AP399" s="529">
        <v>0</v>
      </c>
      <c r="AQ399" s="529">
        <v>-89.890957599999993</v>
      </c>
      <c r="AR399" s="529">
        <v>0</v>
      </c>
    </row>
    <row r="400" spans="39:44">
      <c r="AM400" s="528">
        <v>45512</v>
      </c>
      <c r="AN400" s="529">
        <v>3.93</v>
      </c>
      <c r="AO400" s="529">
        <v>0</v>
      </c>
      <c r="AP400" s="529">
        <v>0</v>
      </c>
      <c r="AQ400" s="529">
        <v>-78.157403400000007</v>
      </c>
      <c r="AR400" s="529">
        <v>0</v>
      </c>
    </row>
    <row r="401" spans="39:44">
      <c r="AM401" s="528">
        <v>45511</v>
      </c>
      <c r="AN401" s="529">
        <v>3.84</v>
      </c>
      <c r="AO401" s="529">
        <v>0</v>
      </c>
      <c r="AP401" s="529">
        <v>0</v>
      </c>
      <c r="AQ401" s="529">
        <v>-76.367539199999996</v>
      </c>
      <c r="AR401" s="529">
        <v>0</v>
      </c>
    </row>
    <row r="402" spans="39:44">
      <c r="AM402" s="528">
        <v>45510</v>
      </c>
      <c r="AN402" s="529">
        <v>3.39</v>
      </c>
      <c r="AO402" s="529">
        <v>0</v>
      </c>
      <c r="AP402" s="529">
        <v>0</v>
      </c>
      <c r="AQ402" s="529">
        <v>-67.418218199999998</v>
      </c>
      <c r="AR402" s="529">
        <v>0</v>
      </c>
    </row>
    <row r="403" spans="39:44">
      <c r="AM403" s="528">
        <v>45509</v>
      </c>
      <c r="AN403" s="529">
        <v>3.13</v>
      </c>
      <c r="AO403" s="529">
        <v>0</v>
      </c>
      <c r="AP403" s="529">
        <v>0</v>
      </c>
      <c r="AQ403" s="529">
        <v>-62.247499399999995</v>
      </c>
      <c r="AR403" s="529">
        <v>0</v>
      </c>
    </row>
    <row r="404" spans="39:44">
      <c r="AM404" s="528">
        <v>45508</v>
      </c>
      <c r="AN404" s="529">
        <v>3.51</v>
      </c>
      <c r="AO404" s="529">
        <v>-241484</v>
      </c>
      <c r="AP404" s="529">
        <v>-39.774760000000001</v>
      </c>
      <c r="AQ404" s="529">
        <v>-209.4141114</v>
      </c>
      <c r="AR404" s="529">
        <v>-0.24779999999999999</v>
      </c>
    </row>
    <row r="405" spans="39:44">
      <c r="AM405" s="528">
        <v>45507</v>
      </c>
      <c r="AN405" s="529">
        <v>3.51</v>
      </c>
      <c r="AO405" s="529">
        <v>-120742</v>
      </c>
      <c r="AP405" s="529">
        <v>-19.88738</v>
      </c>
      <c r="AQ405" s="529">
        <v>-139.6094076</v>
      </c>
      <c r="AR405" s="529">
        <v>-0.1239</v>
      </c>
    </row>
    <row r="406" spans="39:44">
      <c r="AM406" s="528">
        <v>45506</v>
      </c>
      <c r="AN406" s="529">
        <v>3.51</v>
      </c>
      <c r="AO406" s="529">
        <v>0</v>
      </c>
      <c r="AP406" s="529">
        <v>0</v>
      </c>
      <c r="AQ406" s="529">
        <v>-69.804703799999999</v>
      </c>
      <c r="AR406" s="529">
        <v>0</v>
      </c>
    </row>
    <row r="407" spans="39:44">
      <c r="AM407" s="528">
        <v>45505</v>
      </c>
      <c r="AN407" s="529">
        <v>3.67</v>
      </c>
      <c r="AO407" s="529">
        <v>0</v>
      </c>
      <c r="AP407" s="529">
        <v>0</v>
      </c>
      <c r="AQ407" s="529">
        <v>-72.986684600000004</v>
      </c>
      <c r="AR407" s="529">
        <v>0</v>
      </c>
    </row>
    <row r="408" spans="39:44">
      <c r="AM408" s="528">
        <v>45504</v>
      </c>
      <c r="AN408" s="529">
        <v>3.86</v>
      </c>
      <c r="AO408" s="529">
        <v>0</v>
      </c>
      <c r="AP408" s="529">
        <v>0</v>
      </c>
      <c r="AQ408" s="529">
        <v>-76.765286799999998</v>
      </c>
      <c r="AR408" s="529">
        <v>0</v>
      </c>
    </row>
    <row r="409" spans="39:44">
      <c r="AM409" s="528">
        <v>45503</v>
      </c>
      <c r="AN409" s="529">
        <v>3.68</v>
      </c>
      <c r="AO409" s="529">
        <v>0</v>
      </c>
      <c r="AP409" s="529">
        <v>0</v>
      </c>
      <c r="AQ409" s="529">
        <v>-73.185558400000005</v>
      </c>
      <c r="AR409" s="529">
        <v>0</v>
      </c>
    </row>
    <row r="410" spans="39:44">
      <c r="AM410" s="528">
        <v>45502</v>
      </c>
      <c r="AN410" s="529">
        <v>3.84</v>
      </c>
      <c r="AO410" s="529">
        <v>0</v>
      </c>
      <c r="AP410" s="529">
        <v>0</v>
      </c>
      <c r="AQ410" s="529">
        <v>-76.367539199999996</v>
      </c>
      <c r="AR410" s="529">
        <v>0</v>
      </c>
    </row>
    <row r="411" spans="39:44">
      <c r="AM411" s="528">
        <v>45501</v>
      </c>
      <c r="AN411" s="529">
        <v>4.17</v>
      </c>
      <c r="AO411" s="529">
        <v>-281636</v>
      </c>
      <c r="AP411" s="529">
        <v>-39.774760000000001</v>
      </c>
      <c r="AQ411" s="529">
        <v>-248.79112379999998</v>
      </c>
      <c r="AR411" s="529">
        <v>-0.2944</v>
      </c>
    </row>
    <row r="412" spans="39:44">
      <c r="AM412" s="528">
        <v>45500</v>
      </c>
      <c r="AN412" s="529">
        <v>4.17</v>
      </c>
      <c r="AO412" s="529">
        <v>-140818</v>
      </c>
      <c r="AP412" s="529">
        <v>-19.88738</v>
      </c>
      <c r="AQ412" s="529">
        <v>-165.86074919999999</v>
      </c>
      <c r="AR412" s="529">
        <v>-0.1472</v>
      </c>
    </row>
    <row r="413" spans="39:44">
      <c r="AM413" s="528">
        <v>45499</v>
      </c>
      <c r="AN413" s="529">
        <v>4.17</v>
      </c>
      <c r="AO413" s="529">
        <v>0</v>
      </c>
      <c r="AP413" s="529">
        <v>0</v>
      </c>
      <c r="AQ413" s="529">
        <v>-82.930374599999993</v>
      </c>
      <c r="AR413" s="529">
        <v>0</v>
      </c>
    </row>
    <row r="414" spans="39:44">
      <c r="AM414" s="528">
        <v>45498</v>
      </c>
      <c r="AN414" s="529">
        <v>3.99</v>
      </c>
      <c r="AO414" s="529">
        <v>0</v>
      </c>
      <c r="AP414" s="529">
        <v>0</v>
      </c>
      <c r="AQ414" s="529">
        <v>-79.3506462</v>
      </c>
      <c r="AR414" s="529">
        <v>0</v>
      </c>
    </row>
    <row r="415" spans="39:44">
      <c r="AM415" s="528">
        <v>45497</v>
      </c>
      <c r="AN415" s="529">
        <v>3.93</v>
      </c>
      <c r="AO415" s="529">
        <v>0</v>
      </c>
      <c r="AP415" s="529">
        <v>0</v>
      </c>
      <c r="AQ415" s="529">
        <v>-78.157403400000007</v>
      </c>
      <c r="AR415" s="529">
        <v>0</v>
      </c>
    </row>
    <row r="416" spans="39:44">
      <c r="AM416" s="528">
        <v>45496</v>
      </c>
      <c r="AN416" s="529">
        <v>4.08</v>
      </c>
      <c r="AO416" s="529">
        <v>0</v>
      </c>
      <c r="AP416" s="529">
        <v>0</v>
      </c>
      <c r="AQ416" s="529">
        <v>-81.140510399999997</v>
      </c>
      <c r="AR416" s="529">
        <v>0</v>
      </c>
    </row>
    <row r="417" spans="39:44">
      <c r="AM417" s="528">
        <v>45495</v>
      </c>
      <c r="AN417" s="529">
        <v>3.91</v>
      </c>
      <c r="AO417" s="529">
        <v>0</v>
      </c>
      <c r="AP417" s="529">
        <v>0</v>
      </c>
      <c r="AQ417" s="529">
        <v>-77.759655800000004</v>
      </c>
      <c r="AR417" s="529">
        <v>0</v>
      </c>
    </row>
    <row r="418" spans="39:44">
      <c r="AM418" s="528">
        <v>45494</v>
      </c>
      <c r="AN418" s="529">
        <v>3.82</v>
      </c>
      <c r="AO418" s="529">
        <v>-453350</v>
      </c>
      <c r="AP418" s="529">
        <v>-39.774760000000001</v>
      </c>
      <c r="AQ418" s="529">
        <v>-227.90937479999997</v>
      </c>
      <c r="AR418" s="529">
        <v>-0.26960000000000001</v>
      </c>
    </row>
    <row r="419" spans="39:44">
      <c r="AM419" s="528">
        <v>45493</v>
      </c>
      <c r="AN419" s="529">
        <v>3.82</v>
      </c>
      <c r="AO419" s="529">
        <v>-226675</v>
      </c>
      <c r="AP419" s="529">
        <v>-19.88738</v>
      </c>
      <c r="AQ419" s="529">
        <v>-151.93958319999999</v>
      </c>
      <c r="AR419" s="529">
        <v>-0.1348</v>
      </c>
    </row>
    <row r="420" spans="39:44">
      <c r="AM420" s="528">
        <v>45492</v>
      </c>
      <c r="AN420" s="529">
        <v>3.82</v>
      </c>
      <c r="AO420" s="529">
        <v>0</v>
      </c>
      <c r="AP420" s="529">
        <v>0</v>
      </c>
      <c r="AQ420" s="529">
        <v>-75.969791599999994</v>
      </c>
      <c r="AR420" s="529">
        <v>0</v>
      </c>
    </row>
    <row r="421" spans="39:44">
      <c r="AM421" s="528">
        <v>45491</v>
      </c>
      <c r="AN421" s="529">
        <v>4.08</v>
      </c>
      <c r="AO421" s="529">
        <v>0</v>
      </c>
      <c r="AP421" s="529">
        <v>0</v>
      </c>
      <c r="AQ421" s="529">
        <v>-81.140510399999997</v>
      </c>
      <c r="AR421" s="529">
        <v>0</v>
      </c>
    </row>
    <row r="422" spans="39:44">
      <c r="AM422" s="528">
        <v>45490</v>
      </c>
      <c r="AN422" s="529">
        <v>4.04</v>
      </c>
      <c r="AO422" s="529">
        <v>0</v>
      </c>
      <c r="AP422" s="529">
        <v>0</v>
      </c>
      <c r="AQ422" s="529">
        <v>-80.345015200000006</v>
      </c>
      <c r="AR422" s="529">
        <v>0</v>
      </c>
    </row>
    <row r="423" spans="39:44">
      <c r="AM423" s="528">
        <v>45489</v>
      </c>
      <c r="AN423" s="529">
        <v>4.04</v>
      </c>
      <c r="AO423" s="529">
        <v>0</v>
      </c>
      <c r="AP423" s="529">
        <v>0</v>
      </c>
      <c r="AQ423" s="529">
        <v>-80.345015200000006</v>
      </c>
      <c r="AR423" s="529">
        <v>0</v>
      </c>
    </row>
    <row r="424" spans="39:44">
      <c r="AM424" s="528">
        <v>45488</v>
      </c>
      <c r="AN424" s="529">
        <v>3.81</v>
      </c>
      <c r="AO424" s="529">
        <v>0</v>
      </c>
      <c r="AP424" s="529">
        <v>0</v>
      </c>
      <c r="AQ424" s="529">
        <v>-75.770917800000007</v>
      </c>
      <c r="AR424" s="529">
        <v>0</v>
      </c>
    </row>
    <row r="425" spans="39:44">
      <c r="AM425" s="528">
        <v>45487</v>
      </c>
      <c r="AN425" s="529">
        <v>3.62</v>
      </c>
      <c r="AO425" s="529">
        <v>-218390</v>
      </c>
      <c r="AP425" s="529">
        <v>-39.774760000000001</v>
      </c>
      <c r="AQ425" s="529">
        <v>-215.97694680000001</v>
      </c>
      <c r="AR425" s="529">
        <v>-0.25540000000000002</v>
      </c>
    </row>
    <row r="426" spans="39:44">
      <c r="AM426" s="528">
        <v>45486</v>
      </c>
      <c r="AN426" s="529">
        <v>3.62</v>
      </c>
      <c r="AO426" s="529">
        <v>-109195</v>
      </c>
      <c r="AP426" s="529">
        <v>-19.88738</v>
      </c>
      <c r="AQ426" s="529">
        <v>-143.9846312</v>
      </c>
      <c r="AR426" s="529">
        <v>-0.12770000000000001</v>
      </c>
    </row>
    <row r="427" spans="39:44">
      <c r="AM427" s="528">
        <v>45485</v>
      </c>
      <c r="AN427" s="529">
        <v>3.62</v>
      </c>
      <c r="AO427" s="529">
        <v>0</v>
      </c>
      <c r="AP427" s="529">
        <v>0</v>
      </c>
      <c r="AQ427" s="529">
        <v>-71.992315599999998</v>
      </c>
      <c r="AR427" s="529">
        <v>0</v>
      </c>
    </row>
    <row r="428" spans="39:44">
      <c r="AM428" s="528">
        <v>45484</v>
      </c>
      <c r="AN428" s="529">
        <v>3.59</v>
      </c>
      <c r="AO428" s="529">
        <v>0</v>
      </c>
      <c r="AP428" s="529">
        <v>0</v>
      </c>
      <c r="AQ428" s="529">
        <v>-71.395694199999994</v>
      </c>
      <c r="AR428" s="529">
        <v>0</v>
      </c>
    </row>
    <row r="429" spans="39:44">
      <c r="AM429" s="528">
        <v>45483</v>
      </c>
      <c r="AN429" s="529">
        <v>3.47</v>
      </c>
      <c r="AO429" s="529">
        <v>0</v>
      </c>
      <c r="AP429" s="529">
        <v>0</v>
      </c>
      <c r="AQ429" s="529">
        <v>-69.009208600000008</v>
      </c>
      <c r="AR429" s="529">
        <v>0</v>
      </c>
    </row>
    <row r="430" spans="39:44">
      <c r="AM430" s="528">
        <v>45482</v>
      </c>
      <c r="AN430" s="529">
        <v>3.48</v>
      </c>
      <c r="AO430" s="529">
        <v>0</v>
      </c>
      <c r="AP430" s="529">
        <v>0</v>
      </c>
      <c r="AQ430" s="529">
        <v>-69.208082399999995</v>
      </c>
      <c r="AR430" s="529">
        <v>0</v>
      </c>
    </row>
    <row r="431" spans="39:44">
      <c r="AM431" s="528">
        <v>45481</v>
      </c>
      <c r="AN431" s="529">
        <v>3.52</v>
      </c>
      <c r="AO431" s="529">
        <v>0</v>
      </c>
      <c r="AP431" s="529">
        <v>0</v>
      </c>
      <c r="AQ431" s="529">
        <v>-70.0035776</v>
      </c>
      <c r="AR431" s="529">
        <v>0</v>
      </c>
    </row>
    <row r="432" spans="39:44">
      <c r="AM432" s="528">
        <v>45480</v>
      </c>
      <c r="AN432" s="529">
        <v>3.45</v>
      </c>
      <c r="AO432" s="529">
        <v>-508268</v>
      </c>
      <c r="AP432" s="529">
        <v>-39.774760000000001</v>
      </c>
      <c r="AQ432" s="529">
        <v>-205.834383</v>
      </c>
      <c r="AR432" s="529">
        <v>-0.24340000000000001</v>
      </c>
    </row>
    <row r="433" spans="39:44">
      <c r="AM433" s="528">
        <v>45479</v>
      </c>
      <c r="AN433" s="529">
        <v>3.45</v>
      </c>
      <c r="AO433" s="529">
        <v>-254134</v>
      </c>
      <c r="AP433" s="529">
        <v>-19.88738</v>
      </c>
      <c r="AQ433" s="529">
        <v>-137.22292200000001</v>
      </c>
      <c r="AR433" s="529">
        <v>-0.1217</v>
      </c>
    </row>
    <row r="434" spans="39:44">
      <c r="AM434" s="528">
        <v>45478</v>
      </c>
      <c r="AN434" s="529">
        <v>3.45</v>
      </c>
      <c r="AO434" s="529">
        <v>0</v>
      </c>
      <c r="AP434" s="529">
        <v>0</v>
      </c>
      <c r="AQ434" s="529">
        <v>-68.611461000000006</v>
      </c>
      <c r="AR434" s="529">
        <v>0</v>
      </c>
    </row>
    <row r="435" spans="39:44">
      <c r="AM435" s="528">
        <v>45477</v>
      </c>
      <c r="AN435" s="529">
        <v>3.54</v>
      </c>
      <c r="AO435" s="529">
        <v>-81507</v>
      </c>
      <c r="AP435" s="529">
        <v>-19.88738</v>
      </c>
      <c r="AQ435" s="529">
        <v>-140.8026504</v>
      </c>
      <c r="AR435" s="529">
        <v>-0.1249</v>
      </c>
    </row>
    <row r="436" spans="39:44">
      <c r="AM436" s="528">
        <v>45476</v>
      </c>
      <c r="AN436" s="529">
        <v>3.54</v>
      </c>
      <c r="AO436" s="529">
        <v>0</v>
      </c>
      <c r="AP436" s="529">
        <v>0</v>
      </c>
      <c r="AQ436" s="529">
        <v>-70.401325200000002</v>
      </c>
      <c r="AR436" s="529">
        <v>0</v>
      </c>
    </row>
    <row r="437" spans="39:44">
      <c r="AM437" s="528">
        <v>45475</v>
      </c>
      <c r="AN437" s="529">
        <v>3.52</v>
      </c>
      <c r="AO437" s="529">
        <v>0</v>
      </c>
      <c r="AP437" s="529">
        <v>0</v>
      </c>
      <c r="AQ437" s="529">
        <v>-70.0035776</v>
      </c>
      <c r="AR437" s="529">
        <v>0</v>
      </c>
    </row>
    <row r="438" spans="39:44">
      <c r="AM438" s="528">
        <v>45474</v>
      </c>
      <c r="AN438" s="529">
        <v>3.52</v>
      </c>
      <c r="AO438" s="529">
        <v>0</v>
      </c>
      <c r="AP438" s="529">
        <v>0</v>
      </c>
      <c r="AQ438" s="529">
        <v>-70.0035776</v>
      </c>
      <c r="AR438" s="529">
        <v>0</v>
      </c>
    </row>
    <row r="439" spans="39:44">
      <c r="AM439" s="528">
        <v>45473</v>
      </c>
      <c r="AN439" s="529">
        <v>3.39</v>
      </c>
      <c r="AO439" s="529">
        <v>-2639700</v>
      </c>
      <c r="AP439" s="529">
        <v>-39.774760000000001</v>
      </c>
      <c r="AQ439" s="529">
        <v>-202.25465459999998</v>
      </c>
      <c r="AR439" s="529">
        <v>-0.2278</v>
      </c>
    </row>
    <row r="440" spans="39:44">
      <c r="AM440" s="528">
        <v>45472</v>
      </c>
      <c r="AN440" s="529">
        <v>3.39</v>
      </c>
      <c r="AO440" s="529">
        <v>-1319850</v>
      </c>
      <c r="AP440" s="529">
        <v>-19.88738</v>
      </c>
      <c r="AQ440" s="529">
        <v>-134.8364364</v>
      </c>
      <c r="AR440" s="529">
        <v>-0.1139</v>
      </c>
    </row>
    <row r="441" spans="39:44">
      <c r="AM441" s="528">
        <v>45471</v>
      </c>
      <c r="AN441" s="529">
        <v>3.39</v>
      </c>
      <c r="AO441" s="529">
        <v>0</v>
      </c>
      <c r="AP441" s="529">
        <v>0</v>
      </c>
      <c r="AQ441" s="529">
        <v>-67.418218199999998</v>
      </c>
      <c r="AR441" s="529">
        <v>0</v>
      </c>
    </row>
    <row r="442" spans="39:44">
      <c r="AM442" s="528">
        <v>45470</v>
      </c>
      <c r="AN442" s="529">
        <v>3.39</v>
      </c>
      <c r="AO442" s="529">
        <v>0</v>
      </c>
      <c r="AP442" s="529">
        <v>0</v>
      </c>
      <c r="AQ442" s="529">
        <v>-67.418218199999998</v>
      </c>
      <c r="AR442" s="529">
        <v>0</v>
      </c>
    </row>
    <row r="443" spans="39:44">
      <c r="AM443" s="528">
        <v>45469</v>
      </c>
      <c r="AN443" s="529">
        <v>3.39</v>
      </c>
      <c r="AO443" s="529">
        <v>0</v>
      </c>
      <c r="AP443" s="529">
        <v>0</v>
      </c>
      <c r="AQ443" s="529">
        <v>-67.418218199999998</v>
      </c>
      <c r="AR443" s="529">
        <v>0</v>
      </c>
    </row>
    <row r="444" spans="39:44">
      <c r="AM444" s="528">
        <v>45468</v>
      </c>
      <c r="AN444" s="529">
        <v>3.37</v>
      </c>
      <c r="AO444" s="529">
        <v>0</v>
      </c>
      <c r="AP444" s="529">
        <v>0</v>
      </c>
      <c r="AQ444" s="529">
        <v>-67.02047060000001</v>
      </c>
      <c r="AR444" s="529">
        <v>0</v>
      </c>
    </row>
    <row r="445" spans="39:44">
      <c r="AM445" s="528">
        <v>45467</v>
      </c>
      <c r="AN445" s="529">
        <v>3.36</v>
      </c>
      <c r="AO445" s="529">
        <v>0</v>
      </c>
      <c r="AP445" s="529">
        <v>0</v>
      </c>
      <c r="AQ445" s="529">
        <v>-66.821596799999995</v>
      </c>
      <c r="AR445" s="529">
        <v>0</v>
      </c>
    </row>
    <row r="446" spans="39:44">
      <c r="AM446" s="528">
        <v>45466</v>
      </c>
      <c r="AN446" s="529">
        <v>3.35</v>
      </c>
      <c r="AO446" s="529">
        <v>-509600</v>
      </c>
      <c r="AP446" s="529">
        <v>-39.774760000000001</v>
      </c>
      <c r="AQ446" s="529">
        <v>-199.86816900000002</v>
      </c>
      <c r="AR446" s="529">
        <v>-0.22520000000000001</v>
      </c>
    </row>
    <row r="447" spans="39:44">
      <c r="AM447" s="528">
        <v>45465</v>
      </c>
      <c r="AN447" s="529">
        <v>3.35</v>
      </c>
      <c r="AO447" s="529">
        <v>-254800</v>
      </c>
      <c r="AP447" s="529">
        <v>-19.88738</v>
      </c>
      <c r="AQ447" s="529">
        <v>-133.24544600000002</v>
      </c>
      <c r="AR447" s="529">
        <v>-0.11260000000000001</v>
      </c>
    </row>
    <row r="448" spans="39:44">
      <c r="AM448" s="528">
        <v>45464</v>
      </c>
      <c r="AN448" s="529">
        <v>3.35</v>
      </c>
      <c r="AO448" s="529">
        <v>0</v>
      </c>
      <c r="AP448" s="529">
        <v>0</v>
      </c>
      <c r="AQ448" s="529">
        <v>-66.622723000000008</v>
      </c>
      <c r="AR448" s="529">
        <v>0</v>
      </c>
    </row>
    <row r="449" spans="39:44">
      <c r="AM449" s="528">
        <v>45463</v>
      </c>
      <c r="AN449" s="529">
        <v>3.24</v>
      </c>
      <c r="AO449" s="529">
        <v>0</v>
      </c>
      <c r="AP449" s="529">
        <v>0</v>
      </c>
      <c r="AQ449" s="529">
        <v>-64.435111200000009</v>
      </c>
      <c r="AR449" s="529">
        <v>0</v>
      </c>
    </row>
    <row r="450" spans="39:44">
      <c r="AM450" s="528">
        <v>45462</v>
      </c>
      <c r="AN450" s="529">
        <v>3.4</v>
      </c>
      <c r="AO450" s="529">
        <v>-126422</v>
      </c>
      <c r="AP450" s="529">
        <v>-19.88738</v>
      </c>
      <c r="AQ450" s="529">
        <v>-135.234184</v>
      </c>
      <c r="AR450" s="529">
        <v>-0.1143</v>
      </c>
    </row>
    <row r="451" spans="39:44">
      <c r="AM451" s="528">
        <v>45461</v>
      </c>
      <c r="AN451" s="529">
        <v>3.4</v>
      </c>
      <c r="AO451" s="529">
        <v>0</v>
      </c>
      <c r="AP451" s="529">
        <v>0</v>
      </c>
      <c r="AQ451" s="529">
        <v>-67.617092</v>
      </c>
      <c r="AR451" s="529">
        <v>0</v>
      </c>
    </row>
    <row r="452" spans="39:44">
      <c r="AM452" s="528">
        <v>45460</v>
      </c>
      <c r="AN452" s="529">
        <v>3.46</v>
      </c>
      <c r="AO452" s="529">
        <v>0</v>
      </c>
      <c r="AP452" s="529">
        <v>0</v>
      </c>
      <c r="AQ452" s="529">
        <v>-68.810334800000007</v>
      </c>
      <c r="AR452" s="529">
        <v>0</v>
      </c>
    </row>
    <row r="453" spans="39:44">
      <c r="AM453" s="528">
        <v>45459</v>
      </c>
      <c r="AN453" s="529">
        <v>3.26</v>
      </c>
      <c r="AO453" s="529">
        <v>-192024</v>
      </c>
      <c r="AP453" s="529">
        <v>-39.774760000000001</v>
      </c>
      <c r="AQ453" s="529">
        <v>-194.49857639999999</v>
      </c>
      <c r="AR453" s="529">
        <v>-0.21920000000000001</v>
      </c>
    </row>
    <row r="454" spans="39:44">
      <c r="AM454" s="528">
        <v>45458</v>
      </c>
      <c r="AN454" s="529">
        <v>3.26</v>
      </c>
      <c r="AO454" s="529">
        <v>-96012</v>
      </c>
      <c r="AP454" s="529">
        <v>-19.88738</v>
      </c>
      <c r="AQ454" s="529">
        <v>-129.66571759999999</v>
      </c>
      <c r="AR454" s="529">
        <v>-0.1096</v>
      </c>
    </row>
    <row r="455" spans="39:44">
      <c r="AM455" s="528">
        <v>45457</v>
      </c>
      <c r="AN455" s="529">
        <v>3.26</v>
      </c>
      <c r="AO455" s="529">
        <v>0</v>
      </c>
      <c r="AP455" s="529">
        <v>0</v>
      </c>
      <c r="AQ455" s="529">
        <v>-64.832858799999997</v>
      </c>
      <c r="AR455" s="529">
        <v>0</v>
      </c>
    </row>
    <row r="456" spans="39:44">
      <c r="AM456" s="528">
        <v>45456</v>
      </c>
      <c r="AN456" s="529">
        <v>3.26</v>
      </c>
      <c r="AO456" s="529">
        <v>0</v>
      </c>
      <c r="AP456" s="529">
        <v>0</v>
      </c>
      <c r="AQ456" s="529">
        <v>-64.832858799999997</v>
      </c>
      <c r="AR456" s="529">
        <v>0</v>
      </c>
    </row>
    <row r="457" spans="39:44">
      <c r="AM457" s="528">
        <v>45455</v>
      </c>
      <c r="AN457" s="529">
        <v>3.27</v>
      </c>
      <c r="AO457" s="529">
        <v>0</v>
      </c>
      <c r="AP457" s="529">
        <v>0</v>
      </c>
      <c r="AQ457" s="529">
        <v>-65.031732599999998</v>
      </c>
      <c r="AR457" s="529">
        <v>0</v>
      </c>
    </row>
    <row r="458" spans="39:44">
      <c r="AM458" s="528">
        <v>45454</v>
      </c>
      <c r="AN458" s="529">
        <v>3.27</v>
      </c>
      <c r="AO458" s="529">
        <v>0</v>
      </c>
      <c r="AP458" s="529">
        <v>0</v>
      </c>
      <c r="AQ458" s="529">
        <v>-65.031732599999998</v>
      </c>
      <c r="AR458" s="529">
        <v>0</v>
      </c>
    </row>
    <row r="459" spans="39:44">
      <c r="AM459" s="528">
        <v>45453</v>
      </c>
      <c r="AN459" s="529">
        <v>3.08</v>
      </c>
      <c r="AO459" s="529">
        <v>0</v>
      </c>
      <c r="AP459" s="529">
        <v>0</v>
      </c>
      <c r="AQ459" s="529">
        <v>-61.253130400000003</v>
      </c>
      <c r="AR459" s="529">
        <v>0</v>
      </c>
    </row>
    <row r="460" spans="39:44">
      <c r="AM460" s="528">
        <v>45452</v>
      </c>
      <c r="AN460" s="529">
        <v>3.22</v>
      </c>
      <c r="AO460" s="529">
        <v>-366884</v>
      </c>
      <c r="AP460" s="529">
        <v>-39.774760000000001</v>
      </c>
      <c r="AQ460" s="529">
        <v>-192.11209080000003</v>
      </c>
      <c r="AR460" s="529">
        <v>-0.21640000000000001</v>
      </c>
    </row>
    <row r="461" spans="39:44">
      <c r="AM461" s="528">
        <v>45451</v>
      </c>
      <c r="AN461" s="529">
        <v>3.22</v>
      </c>
      <c r="AO461" s="529">
        <v>-183442</v>
      </c>
      <c r="AP461" s="529">
        <v>-19.88738</v>
      </c>
      <c r="AQ461" s="529">
        <v>-128.07472720000001</v>
      </c>
      <c r="AR461" s="529">
        <v>-0.1082</v>
      </c>
    </row>
    <row r="462" spans="39:44">
      <c r="AM462" s="528">
        <v>45450</v>
      </c>
      <c r="AN462" s="529">
        <v>3.22</v>
      </c>
      <c r="AO462" s="529">
        <v>0</v>
      </c>
      <c r="AP462" s="529">
        <v>0</v>
      </c>
      <c r="AQ462" s="529">
        <v>-64.037363600000006</v>
      </c>
      <c r="AR462" s="529">
        <v>0</v>
      </c>
    </row>
    <row r="463" spans="39:44">
      <c r="AM463" s="528">
        <v>45449</v>
      </c>
      <c r="AN463" s="529">
        <v>3.17</v>
      </c>
      <c r="AO463" s="529">
        <v>0</v>
      </c>
      <c r="AP463" s="529">
        <v>0</v>
      </c>
      <c r="AQ463" s="529">
        <v>-63.0429946</v>
      </c>
      <c r="AR463" s="529">
        <v>0</v>
      </c>
    </row>
    <row r="464" spans="39:44">
      <c r="AM464" s="528">
        <v>45448</v>
      </c>
      <c r="AN464" s="529">
        <v>3.23</v>
      </c>
      <c r="AO464" s="529">
        <v>0</v>
      </c>
      <c r="AP464" s="529">
        <v>0</v>
      </c>
      <c r="AQ464" s="529">
        <v>-64.236237400000007</v>
      </c>
      <c r="AR464" s="529">
        <v>0</v>
      </c>
    </row>
    <row r="465" spans="39:44">
      <c r="AM465" s="528">
        <v>45447</v>
      </c>
      <c r="AN465" s="529">
        <v>3.26</v>
      </c>
      <c r="AO465" s="529">
        <v>0</v>
      </c>
      <c r="AP465" s="529">
        <v>0</v>
      </c>
      <c r="AQ465" s="529">
        <v>-64.832858799999997</v>
      </c>
      <c r="AR465" s="529">
        <v>0</v>
      </c>
    </row>
    <row r="466" spans="39:44">
      <c r="AM466" s="528">
        <v>45446</v>
      </c>
      <c r="AN466" s="529">
        <v>3.24</v>
      </c>
      <c r="AO466" s="529">
        <v>0</v>
      </c>
      <c r="AP466" s="529">
        <v>0</v>
      </c>
      <c r="AQ466" s="529">
        <v>-64.435111200000009</v>
      </c>
      <c r="AR466" s="529">
        <v>0</v>
      </c>
    </row>
    <row r="467" spans="39:44">
      <c r="AM467" s="528">
        <v>45445</v>
      </c>
      <c r="AN467" s="529">
        <v>3.23</v>
      </c>
      <c r="AO467" s="529">
        <v>-383382</v>
      </c>
      <c r="AP467" s="529">
        <v>-39.774760000000001</v>
      </c>
      <c r="AQ467" s="529">
        <v>-192.70871220000004</v>
      </c>
      <c r="AR467" s="529">
        <v>-0.2172</v>
      </c>
    </row>
    <row r="468" spans="39:44">
      <c r="AM468" s="528">
        <v>45444</v>
      </c>
      <c r="AN468" s="529">
        <v>3.23</v>
      </c>
      <c r="AO468" s="529">
        <v>-191691</v>
      </c>
      <c r="AP468" s="529">
        <v>-19.88738</v>
      </c>
      <c r="AQ468" s="529">
        <v>-128.47247480000001</v>
      </c>
      <c r="AR468" s="529">
        <v>-0.1086</v>
      </c>
    </row>
    <row r="469" spans="39:44">
      <c r="AM469" s="528">
        <v>45443</v>
      </c>
      <c r="AN469" s="529">
        <v>3.23</v>
      </c>
      <c r="AO469" s="529">
        <v>0</v>
      </c>
      <c r="AP469" s="529">
        <v>0</v>
      </c>
      <c r="AQ469" s="529">
        <v>-64.236237400000007</v>
      </c>
      <c r="AR469" s="529">
        <v>0</v>
      </c>
    </row>
    <row r="470" spans="39:44">
      <c r="AM470" s="528">
        <v>45442</v>
      </c>
      <c r="AN470" s="529">
        <v>3.37</v>
      </c>
      <c r="AO470" s="529">
        <v>0</v>
      </c>
      <c r="AP470" s="529">
        <v>0</v>
      </c>
      <c r="AQ470" s="529">
        <v>-67.02047060000001</v>
      </c>
      <c r="AR470" s="529">
        <v>0</v>
      </c>
    </row>
    <row r="471" spans="39:44">
      <c r="AM471" s="528">
        <v>45441</v>
      </c>
      <c r="AN471" s="529">
        <v>3.35</v>
      </c>
      <c r="AO471" s="529">
        <v>0</v>
      </c>
      <c r="AP471" s="529">
        <v>0</v>
      </c>
      <c r="AQ471" s="529">
        <v>-66.622723000000008</v>
      </c>
      <c r="AR471" s="529">
        <v>0</v>
      </c>
    </row>
    <row r="472" spans="39:44">
      <c r="AM472" s="528">
        <v>45440</v>
      </c>
      <c r="AN472" s="529">
        <v>3.36</v>
      </c>
      <c r="AO472" s="529">
        <v>0</v>
      </c>
      <c r="AP472" s="529">
        <v>0</v>
      </c>
      <c r="AQ472" s="529">
        <v>-66.821596799999995</v>
      </c>
      <c r="AR472" s="529">
        <v>0</v>
      </c>
    </row>
    <row r="473" spans="39:44">
      <c r="AM473" s="528">
        <v>45439</v>
      </c>
      <c r="AN473" s="529">
        <v>3.33</v>
      </c>
      <c r="AO473" s="529">
        <v>-613947</v>
      </c>
      <c r="AP473" s="529">
        <v>-59.662140000000001</v>
      </c>
      <c r="AQ473" s="529">
        <v>-264.89990160000002</v>
      </c>
      <c r="AR473" s="529">
        <v>-0.3357</v>
      </c>
    </row>
    <row r="474" spans="39:44">
      <c r="AM474" s="528">
        <v>45438</v>
      </c>
      <c r="AN474" s="529">
        <v>3.33</v>
      </c>
      <c r="AO474" s="529">
        <v>-409298</v>
      </c>
      <c r="AP474" s="529">
        <v>-39.774760000000001</v>
      </c>
      <c r="AQ474" s="529">
        <v>-198.67492620000002</v>
      </c>
      <c r="AR474" s="529">
        <v>-0.2238</v>
      </c>
    </row>
    <row r="475" spans="39:44">
      <c r="AM475" s="528">
        <v>45437</v>
      </c>
      <c r="AN475" s="529">
        <v>3.33</v>
      </c>
      <c r="AO475" s="529">
        <v>-204649</v>
      </c>
      <c r="AP475" s="529">
        <v>-19.88738</v>
      </c>
      <c r="AQ475" s="529">
        <v>-132.44995080000001</v>
      </c>
      <c r="AR475" s="529">
        <v>-0.1119</v>
      </c>
    </row>
    <row r="476" spans="39:44">
      <c r="AM476" s="528">
        <v>45436</v>
      </c>
      <c r="AN476" s="529">
        <v>3.33</v>
      </c>
      <c r="AO476" s="529">
        <v>0</v>
      </c>
      <c r="AP476" s="529">
        <v>0</v>
      </c>
      <c r="AQ476" s="529">
        <v>-66.224975400000005</v>
      </c>
      <c r="AR476" s="529">
        <v>0</v>
      </c>
    </row>
    <row r="477" spans="39:44">
      <c r="AM477" s="528">
        <v>45435</v>
      </c>
      <c r="AN477" s="529">
        <v>3.12</v>
      </c>
      <c r="AO477" s="529">
        <v>0</v>
      </c>
      <c r="AP477" s="529">
        <v>0</v>
      </c>
      <c r="AQ477" s="529">
        <v>-62.048625600000001</v>
      </c>
      <c r="AR477" s="529">
        <v>0</v>
      </c>
    </row>
    <row r="478" spans="39:44">
      <c r="AM478" s="528">
        <v>45434</v>
      </c>
      <c r="AN478" s="529">
        <v>3.22</v>
      </c>
      <c r="AO478" s="529">
        <v>0</v>
      </c>
      <c r="AP478" s="529">
        <v>0</v>
      </c>
      <c r="AQ478" s="529">
        <v>-64.037363600000006</v>
      </c>
      <c r="AR478" s="529">
        <v>0</v>
      </c>
    </row>
    <row r="479" spans="39:44">
      <c r="AM479" s="528">
        <v>45433</v>
      </c>
      <c r="AN479" s="529">
        <v>3.28</v>
      </c>
      <c r="AO479" s="529">
        <v>0</v>
      </c>
      <c r="AP479" s="529">
        <v>0</v>
      </c>
      <c r="AQ479" s="529">
        <v>-65.230606399999999</v>
      </c>
      <c r="AR479" s="529">
        <v>0</v>
      </c>
    </row>
    <row r="480" spans="39:44">
      <c r="AM480" s="528">
        <v>45432</v>
      </c>
      <c r="AN480" s="529">
        <v>3.23</v>
      </c>
      <c r="AO480" s="529">
        <v>0</v>
      </c>
      <c r="AP480" s="529">
        <v>0</v>
      </c>
      <c r="AQ480" s="529">
        <v>-64.236237400000007</v>
      </c>
      <c r="AR480" s="529">
        <v>0</v>
      </c>
    </row>
    <row r="481" spans="39:44">
      <c r="AM481" s="528">
        <v>45431</v>
      </c>
      <c r="AN481" s="529">
        <v>2.91</v>
      </c>
      <c r="AO481" s="529">
        <v>-180806</v>
      </c>
      <c r="AP481" s="529">
        <v>-39.774760000000001</v>
      </c>
      <c r="AQ481" s="529">
        <v>-173.61682740000001</v>
      </c>
      <c r="AR481" s="529">
        <v>-0.1956</v>
      </c>
    </row>
    <row r="482" spans="39:44">
      <c r="AM482" s="528">
        <v>45430</v>
      </c>
      <c r="AN482" s="529">
        <v>2.91</v>
      </c>
      <c r="AO482" s="529">
        <v>-90403</v>
      </c>
      <c r="AP482" s="529">
        <v>-19.88738</v>
      </c>
      <c r="AQ482" s="529">
        <v>-115.74455160000001</v>
      </c>
      <c r="AR482" s="529">
        <v>-9.7799999999999998E-2</v>
      </c>
    </row>
    <row r="483" spans="39:44">
      <c r="AM483" s="528">
        <v>45429</v>
      </c>
      <c r="AN483" s="529">
        <v>2.91</v>
      </c>
      <c r="AO483" s="529">
        <v>0</v>
      </c>
      <c r="AP483" s="529">
        <v>0</v>
      </c>
      <c r="AQ483" s="529">
        <v>-57.872275800000004</v>
      </c>
      <c r="AR483" s="529">
        <v>0</v>
      </c>
    </row>
    <row r="484" spans="39:44">
      <c r="AM484" s="528">
        <v>45428</v>
      </c>
      <c r="AN484" s="529">
        <v>2.84</v>
      </c>
      <c r="AO484" s="529">
        <v>0</v>
      </c>
      <c r="AP484" s="529">
        <v>0</v>
      </c>
      <c r="AQ484" s="529">
        <v>-56.480159199999996</v>
      </c>
      <c r="AR484" s="529">
        <v>0</v>
      </c>
    </row>
    <row r="485" spans="39:44">
      <c r="AM485" s="528">
        <v>45427</v>
      </c>
      <c r="AN485" s="529">
        <v>2.88</v>
      </c>
      <c r="AO485" s="529">
        <v>0</v>
      </c>
      <c r="AP485" s="529">
        <v>0</v>
      </c>
      <c r="AQ485" s="529">
        <v>-57.275654400000001</v>
      </c>
      <c r="AR485" s="529">
        <v>0</v>
      </c>
    </row>
    <row r="486" spans="39:44">
      <c r="AM486" s="528">
        <v>45426</v>
      </c>
      <c r="AN486" s="529">
        <v>2.96</v>
      </c>
      <c r="AO486" s="529">
        <v>0</v>
      </c>
      <c r="AP486" s="529">
        <v>0</v>
      </c>
      <c r="AQ486" s="529">
        <v>-58.866644800000003</v>
      </c>
      <c r="AR486" s="529">
        <v>0</v>
      </c>
    </row>
    <row r="487" spans="39:44">
      <c r="AM487" s="528">
        <v>45425</v>
      </c>
      <c r="AN487" s="529">
        <v>3.06</v>
      </c>
      <c r="AO487" s="529">
        <v>0</v>
      </c>
      <c r="AP487" s="529">
        <v>0</v>
      </c>
      <c r="AQ487" s="529">
        <v>-60.855382800000001</v>
      </c>
      <c r="AR487" s="529">
        <v>0</v>
      </c>
    </row>
    <row r="488" spans="39:44">
      <c r="AM488" s="528">
        <v>45424</v>
      </c>
      <c r="AN488" s="529">
        <v>3.01</v>
      </c>
      <c r="AO488" s="529">
        <v>-458806</v>
      </c>
      <c r="AP488" s="529">
        <v>-39.774760000000001</v>
      </c>
      <c r="AQ488" s="529">
        <v>-179.58304139999998</v>
      </c>
      <c r="AR488" s="529">
        <v>-0.2024</v>
      </c>
    </row>
    <row r="489" spans="39:44">
      <c r="AM489" s="528">
        <v>45423</v>
      </c>
      <c r="AN489" s="529">
        <v>3.01</v>
      </c>
      <c r="AO489" s="529">
        <v>-229403</v>
      </c>
      <c r="AP489" s="529">
        <v>-19.88738</v>
      </c>
      <c r="AQ489" s="529">
        <v>-119.72202759999999</v>
      </c>
      <c r="AR489" s="529">
        <v>-0.1012</v>
      </c>
    </row>
    <row r="490" spans="39:44">
      <c r="AM490" s="528">
        <v>45422</v>
      </c>
      <c r="AN490" s="529">
        <v>3.01</v>
      </c>
      <c r="AO490" s="529">
        <v>0</v>
      </c>
      <c r="AP490" s="529">
        <v>0</v>
      </c>
      <c r="AQ490" s="529">
        <v>-59.861013799999995</v>
      </c>
      <c r="AR490" s="529">
        <v>0</v>
      </c>
    </row>
    <row r="491" spans="39:44">
      <c r="AM491" s="528">
        <v>45421</v>
      </c>
      <c r="AN491" s="529">
        <v>3.1</v>
      </c>
      <c r="AO491" s="529">
        <v>0</v>
      </c>
      <c r="AP491" s="529">
        <v>0</v>
      </c>
      <c r="AQ491" s="529">
        <v>-59.866022000000008</v>
      </c>
      <c r="AR491" s="529">
        <v>0</v>
      </c>
    </row>
    <row r="492" spans="39:44">
      <c r="AM492" s="528">
        <v>45420</v>
      </c>
      <c r="AN492" s="529">
        <v>3.02</v>
      </c>
      <c r="AO492" s="529">
        <v>0</v>
      </c>
      <c r="AP492" s="529">
        <v>0</v>
      </c>
      <c r="AQ492" s="529">
        <v>-58.321092400000005</v>
      </c>
      <c r="AR492" s="529">
        <v>0</v>
      </c>
    </row>
    <row r="493" spans="39:44">
      <c r="AM493" s="528">
        <v>45419</v>
      </c>
      <c r="AN493" s="529">
        <v>2.7</v>
      </c>
      <c r="AO493" s="529">
        <v>0</v>
      </c>
      <c r="AP493" s="529">
        <v>0</v>
      </c>
      <c r="AQ493" s="529">
        <v>-52.141374000000006</v>
      </c>
      <c r="AR493" s="529">
        <v>0</v>
      </c>
    </row>
    <row r="494" spans="39:44">
      <c r="AM494" s="528">
        <v>45418</v>
      </c>
      <c r="AN494" s="529">
        <v>2.68</v>
      </c>
      <c r="AO494" s="529">
        <v>0</v>
      </c>
      <c r="AP494" s="529">
        <v>0</v>
      </c>
      <c r="AQ494" s="529">
        <v>-51.755141600000009</v>
      </c>
      <c r="AR494" s="529">
        <v>0</v>
      </c>
    </row>
    <row r="495" spans="39:44">
      <c r="AM495" s="528">
        <v>45417</v>
      </c>
      <c r="AN495" s="529">
        <v>2.76</v>
      </c>
      <c r="AO495" s="529">
        <v>-97794</v>
      </c>
      <c r="AP495" s="529">
        <v>-38.623240000000003</v>
      </c>
      <c r="AQ495" s="529">
        <v>-159.9002136</v>
      </c>
      <c r="AR495" s="529">
        <v>-0.18559999999999999</v>
      </c>
    </row>
    <row r="496" spans="39:44">
      <c r="AM496" s="528">
        <v>45416</v>
      </c>
      <c r="AN496" s="529">
        <v>2.76</v>
      </c>
      <c r="AO496" s="529">
        <v>-48897</v>
      </c>
      <c r="AP496" s="529">
        <v>-19.311620000000001</v>
      </c>
      <c r="AQ496" s="529">
        <v>-106.6001424</v>
      </c>
      <c r="AR496" s="529">
        <v>-9.2799999999999994E-2</v>
      </c>
    </row>
    <row r="497" spans="39:44">
      <c r="AM497" s="528">
        <v>45415</v>
      </c>
      <c r="AN497" s="529">
        <v>2.76</v>
      </c>
      <c r="AO497" s="529">
        <v>0</v>
      </c>
      <c r="AP497" s="529">
        <v>0</v>
      </c>
      <c r="AQ497" s="529">
        <v>-53.300071199999998</v>
      </c>
      <c r="AR497" s="529">
        <v>0</v>
      </c>
    </row>
    <row r="498" spans="39:44">
      <c r="AM498" s="528">
        <v>45414</v>
      </c>
      <c r="AN498" s="529">
        <v>2.78</v>
      </c>
      <c r="AO498" s="529">
        <v>0</v>
      </c>
      <c r="AP498" s="529">
        <v>0</v>
      </c>
      <c r="AQ498" s="529">
        <v>-53.686303600000002</v>
      </c>
      <c r="AR498" s="529">
        <v>0</v>
      </c>
    </row>
    <row r="499" spans="39:44">
      <c r="AM499" s="528">
        <v>45413</v>
      </c>
      <c r="AN499" s="529">
        <v>2.71</v>
      </c>
      <c r="AO499" s="529">
        <v>0</v>
      </c>
      <c r="AP499" s="529">
        <v>0</v>
      </c>
      <c r="AQ499" s="529">
        <v>-52.334490200000005</v>
      </c>
      <c r="AR499" s="529">
        <v>0</v>
      </c>
    </row>
    <row r="500" spans="39:44">
      <c r="AM500" s="528">
        <v>45412</v>
      </c>
      <c r="AN500" s="529">
        <v>2.67</v>
      </c>
      <c r="AO500" s="529">
        <v>0</v>
      </c>
      <c r="AP500" s="529">
        <v>0</v>
      </c>
      <c r="AQ500" s="529">
        <v>-51.562025400000003</v>
      </c>
      <c r="AR500" s="529">
        <v>0</v>
      </c>
    </row>
    <row r="501" spans="39:44">
      <c r="AM501" s="528">
        <v>45411</v>
      </c>
      <c r="AN501" s="529">
        <v>2.73</v>
      </c>
      <c r="AO501" s="529">
        <v>0</v>
      </c>
      <c r="AP501" s="529">
        <v>0</v>
      </c>
      <c r="AQ501" s="529">
        <v>-52.720722600000002</v>
      </c>
      <c r="AR501" s="529">
        <v>0</v>
      </c>
    </row>
    <row r="502" spans="39:44">
      <c r="AM502" s="528">
        <v>45410</v>
      </c>
      <c r="AN502" s="529">
        <v>2.66</v>
      </c>
      <c r="AO502" s="529">
        <v>-425836</v>
      </c>
      <c r="AP502" s="529">
        <v>-38.623240000000003</v>
      </c>
      <c r="AQ502" s="529">
        <v>-154.1067276</v>
      </c>
      <c r="AR502" s="529">
        <v>-0.17879999999999999</v>
      </c>
    </row>
    <row r="503" spans="39:44">
      <c r="AM503" s="528">
        <v>45409</v>
      </c>
      <c r="AN503" s="529">
        <v>2.66</v>
      </c>
      <c r="AO503" s="529">
        <v>-212918</v>
      </c>
      <c r="AP503" s="529">
        <v>-19.311620000000001</v>
      </c>
      <c r="AQ503" s="529">
        <v>-102.73781840000001</v>
      </c>
      <c r="AR503" s="529">
        <v>-8.9399999999999993E-2</v>
      </c>
    </row>
    <row r="504" spans="39:44">
      <c r="AM504" s="528">
        <v>45408</v>
      </c>
      <c r="AN504" s="529">
        <v>2.66</v>
      </c>
      <c r="AO504" s="529">
        <v>0</v>
      </c>
      <c r="AP504" s="529">
        <v>0</v>
      </c>
      <c r="AQ504" s="529">
        <v>-51.368909200000004</v>
      </c>
      <c r="AR504" s="529">
        <v>0</v>
      </c>
    </row>
    <row r="505" spans="39:44">
      <c r="AM505" s="528">
        <v>45407</v>
      </c>
      <c r="AN505" s="529">
        <v>2.64</v>
      </c>
      <c r="AO505" s="529">
        <v>0</v>
      </c>
      <c r="AP505" s="529">
        <v>0</v>
      </c>
      <c r="AQ505" s="529">
        <v>-50.982676800000007</v>
      </c>
      <c r="AR505" s="529">
        <v>0</v>
      </c>
    </row>
    <row r="506" spans="39:44">
      <c r="AM506" s="528">
        <v>45406</v>
      </c>
      <c r="AN506" s="529">
        <v>2.87</v>
      </c>
      <c r="AO506" s="529">
        <v>0</v>
      </c>
      <c r="AP506" s="529">
        <v>0</v>
      </c>
      <c r="AQ506" s="529">
        <v>-55.424349400000004</v>
      </c>
      <c r="AR506" s="529">
        <v>0</v>
      </c>
    </row>
    <row r="507" spans="39:44">
      <c r="AM507" s="528">
        <v>45405</v>
      </c>
      <c r="AN507" s="529">
        <v>3.04</v>
      </c>
      <c r="AO507" s="529">
        <v>0</v>
      </c>
      <c r="AP507" s="529">
        <v>0</v>
      </c>
      <c r="AQ507" s="529">
        <v>-58.707324800000002</v>
      </c>
      <c r="AR507" s="529">
        <v>0</v>
      </c>
    </row>
    <row r="508" spans="39:44">
      <c r="AM508" s="528">
        <v>45404</v>
      </c>
      <c r="AN508" s="529">
        <v>2.98</v>
      </c>
      <c r="AO508" s="529">
        <v>0</v>
      </c>
      <c r="AP508" s="529">
        <v>0</v>
      </c>
      <c r="AQ508" s="529">
        <v>-57.548627600000003</v>
      </c>
      <c r="AR508" s="529">
        <v>0</v>
      </c>
    </row>
    <row r="509" spans="39:44">
      <c r="AM509" s="528">
        <v>45403</v>
      </c>
      <c r="AN509" s="529">
        <v>2.99</v>
      </c>
      <c r="AO509" s="529">
        <v>-490300</v>
      </c>
      <c r="AP509" s="529">
        <v>-38.623240000000003</v>
      </c>
      <c r="AQ509" s="529">
        <v>-173.22523140000004</v>
      </c>
      <c r="AR509" s="529">
        <v>-0.20100000000000001</v>
      </c>
    </row>
    <row r="510" spans="39:44">
      <c r="AM510" s="528">
        <v>45402</v>
      </c>
      <c r="AN510" s="529">
        <v>2.99</v>
      </c>
      <c r="AO510" s="529">
        <v>-245150</v>
      </c>
      <c r="AP510" s="529">
        <v>-19.311620000000001</v>
      </c>
      <c r="AQ510" s="529">
        <v>-115.48348760000002</v>
      </c>
      <c r="AR510" s="529">
        <v>-0.10050000000000001</v>
      </c>
    </row>
    <row r="511" spans="39:44">
      <c r="AM511" s="528">
        <v>45401</v>
      </c>
      <c r="AN511" s="529">
        <v>2.99</v>
      </c>
      <c r="AO511" s="529">
        <v>0</v>
      </c>
      <c r="AP511" s="529">
        <v>0</v>
      </c>
      <c r="AQ511" s="529">
        <v>-57.741743800000009</v>
      </c>
      <c r="AR511" s="529">
        <v>0</v>
      </c>
    </row>
    <row r="512" spans="39:44">
      <c r="AM512" s="528">
        <v>45400</v>
      </c>
      <c r="AN512" s="529">
        <v>2.88</v>
      </c>
      <c r="AO512" s="529">
        <v>0</v>
      </c>
      <c r="AP512" s="529">
        <v>0</v>
      </c>
      <c r="AQ512" s="529">
        <v>-55.617465600000003</v>
      </c>
      <c r="AR512" s="529">
        <v>0</v>
      </c>
    </row>
    <row r="513" spans="39:44">
      <c r="AM513" s="528">
        <v>45399</v>
      </c>
      <c r="AN513" s="529">
        <v>2.92</v>
      </c>
      <c r="AO513" s="529">
        <v>0</v>
      </c>
      <c r="AP513" s="529">
        <v>0</v>
      </c>
      <c r="AQ513" s="529">
        <v>-56.389930400000004</v>
      </c>
      <c r="AR513" s="529">
        <v>0</v>
      </c>
    </row>
    <row r="514" spans="39:44">
      <c r="AM514" s="528">
        <v>45398</v>
      </c>
      <c r="AN514" s="529">
        <v>2.93</v>
      </c>
      <c r="AO514" s="529">
        <v>0</v>
      </c>
      <c r="AP514" s="529">
        <v>0</v>
      </c>
      <c r="AQ514" s="529">
        <v>-56.58304660000001</v>
      </c>
      <c r="AR514" s="529">
        <v>0</v>
      </c>
    </row>
    <row r="515" spans="39:44">
      <c r="AM515" s="528">
        <v>45397</v>
      </c>
      <c r="AN515" s="529">
        <v>3.04</v>
      </c>
      <c r="AO515" s="529">
        <v>0</v>
      </c>
      <c r="AP515" s="529">
        <v>0</v>
      </c>
      <c r="AQ515" s="529">
        <v>-58.707324800000002</v>
      </c>
      <c r="AR515" s="529">
        <v>0</v>
      </c>
    </row>
    <row r="516" spans="39:44">
      <c r="AM516" s="528">
        <v>45396</v>
      </c>
      <c r="AN516" s="529">
        <v>3.2</v>
      </c>
      <c r="AO516" s="529">
        <v>-477646</v>
      </c>
      <c r="AP516" s="529">
        <v>-38.623240000000003</v>
      </c>
      <c r="AQ516" s="529">
        <v>-185.39155200000002</v>
      </c>
      <c r="AR516" s="529">
        <v>-0.215</v>
      </c>
    </row>
    <row r="517" spans="39:44">
      <c r="AM517" s="528">
        <v>45395</v>
      </c>
      <c r="AN517" s="529">
        <v>3.2</v>
      </c>
      <c r="AO517" s="529">
        <v>-238823</v>
      </c>
      <c r="AP517" s="529">
        <v>-19.311620000000001</v>
      </c>
      <c r="AQ517" s="529">
        <v>-123.59436800000002</v>
      </c>
      <c r="AR517" s="529">
        <v>-0.1075</v>
      </c>
    </row>
    <row r="518" spans="39:44">
      <c r="AM518" s="528">
        <v>45394</v>
      </c>
      <c r="AN518" s="529">
        <v>3.2</v>
      </c>
      <c r="AO518" s="529">
        <v>0</v>
      </c>
      <c r="AP518" s="529">
        <v>0</v>
      </c>
      <c r="AQ518" s="529">
        <v>-61.797184000000009</v>
      </c>
      <c r="AR518" s="529">
        <v>0</v>
      </c>
    </row>
    <row r="519" spans="39:44">
      <c r="AM519" s="528">
        <v>45393</v>
      </c>
      <c r="AN519" s="529">
        <v>3.29</v>
      </c>
      <c r="AO519" s="529">
        <v>0</v>
      </c>
      <c r="AP519" s="529">
        <v>0</v>
      </c>
      <c r="AQ519" s="529">
        <v>-63.535229800000003</v>
      </c>
      <c r="AR519" s="529">
        <v>0</v>
      </c>
    </row>
    <row r="520" spans="39:44">
      <c r="AM520" s="528">
        <v>45392</v>
      </c>
      <c r="AN520" s="529">
        <v>3.19</v>
      </c>
      <c r="AO520" s="529">
        <v>0</v>
      </c>
      <c r="AP520" s="529">
        <v>0</v>
      </c>
      <c r="AQ520" s="529">
        <v>-61.604067800000003</v>
      </c>
      <c r="AR520" s="529">
        <v>0</v>
      </c>
    </row>
    <row r="521" spans="39:44">
      <c r="AM521" s="528">
        <v>45391</v>
      </c>
      <c r="AN521" s="529">
        <v>3.21</v>
      </c>
      <c r="AO521" s="529">
        <v>0</v>
      </c>
      <c r="AP521" s="529">
        <v>0</v>
      </c>
      <c r="AQ521" s="529">
        <v>-61.9903002</v>
      </c>
      <c r="AR521" s="529">
        <v>0</v>
      </c>
    </row>
    <row r="522" spans="39:44">
      <c r="AM522" s="528">
        <v>45390</v>
      </c>
      <c r="AN522" s="529">
        <v>2.56</v>
      </c>
      <c r="AO522" s="529">
        <v>0</v>
      </c>
      <c r="AP522" s="529">
        <v>0</v>
      </c>
      <c r="AQ522" s="529">
        <v>-49.437747200000004</v>
      </c>
      <c r="AR522" s="529">
        <v>0</v>
      </c>
    </row>
    <row r="523" spans="39:44">
      <c r="AM523" s="528">
        <v>45389</v>
      </c>
      <c r="AN523" s="529">
        <v>2.41</v>
      </c>
      <c r="AO523" s="529">
        <v>-290974</v>
      </c>
      <c r="AP523" s="529">
        <v>-38.623240000000003</v>
      </c>
      <c r="AQ523" s="529">
        <v>-139.62301260000001</v>
      </c>
      <c r="AR523" s="529">
        <v>-0.16200000000000001</v>
      </c>
    </row>
    <row r="524" spans="39:44">
      <c r="AM524" s="528">
        <v>45388</v>
      </c>
      <c r="AN524" s="529">
        <v>2.41</v>
      </c>
      <c r="AO524" s="529">
        <v>-145487</v>
      </c>
      <c r="AP524" s="529">
        <v>-19.311620000000001</v>
      </c>
      <c r="AQ524" s="529">
        <v>-93.082008400000007</v>
      </c>
      <c r="AR524" s="529">
        <v>-8.1000000000000003E-2</v>
      </c>
    </row>
    <row r="525" spans="39:44">
      <c r="AM525" s="528">
        <v>45387</v>
      </c>
      <c r="AN525" s="529">
        <v>2.41</v>
      </c>
      <c r="AO525" s="529">
        <v>0</v>
      </c>
      <c r="AP525" s="529">
        <v>0</v>
      </c>
      <c r="AQ525" s="529">
        <v>-46.541004200000003</v>
      </c>
      <c r="AR525" s="529">
        <v>0</v>
      </c>
    </row>
    <row r="526" spans="39:44">
      <c r="AM526" s="528">
        <v>45386</v>
      </c>
      <c r="AN526" s="529">
        <v>2.41</v>
      </c>
      <c r="AO526" s="529">
        <v>0</v>
      </c>
      <c r="AP526" s="529">
        <v>0</v>
      </c>
      <c r="AQ526" s="529">
        <v>-46.541004200000003</v>
      </c>
      <c r="AR526" s="529">
        <v>0</v>
      </c>
    </row>
    <row r="527" spans="39:44">
      <c r="AM527" s="528">
        <v>45385</v>
      </c>
      <c r="AN527" s="529">
        <v>2.4900000000000002</v>
      </c>
      <c r="AO527" s="529">
        <v>0</v>
      </c>
      <c r="AP527" s="529">
        <v>0</v>
      </c>
      <c r="AQ527" s="529">
        <v>-48.085933800000006</v>
      </c>
      <c r="AR527" s="529">
        <v>0</v>
      </c>
    </row>
    <row r="528" spans="39:44">
      <c r="AM528" s="528">
        <v>45384</v>
      </c>
      <c r="AN528" s="529">
        <v>2.5</v>
      </c>
      <c r="AO528" s="529">
        <v>0</v>
      </c>
      <c r="AP528" s="529">
        <v>0</v>
      </c>
      <c r="AQ528" s="529">
        <v>-48.279050000000005</v>
      </c>
      <c r="AR528" s="529">
        <v>0</v>
      </c>
    </row>
    <row r="529" spans="39:44">
      <c r="AM529" s="528">
        <v>45383</v>
      </c>
      <c r="AN529" s="529">
        <v>2.5</v>
      </c>
      <c r="AO529" s="529">
        <v>0</v>
      </c>
      <c r="AP529" s="529">
        <v>0</v>
      </c>
      <c r="AQ529" s="529">
        <v>-48.279050000000005</v>
      </c>
      <c r="AR529" s="529">
        <v>0</v>
      </c>
    </row>
    <row r="530" spans="39:44">
      <c r="AM530" s="528">
        <v>45382</v>
      </c>
      <c r="AN530" s="529">
        <v>2.5</v>
      </c>
      <c r="AO530" s="529">
        <v>-416202</v>
      </c>
      <c r="AP530" s="529">
        <v>-57.93486</v>
      </c>
      <c r="AQ530" s="529">
        <v>-193.11620000000002</v>
      </c>
      <c r="AR530" s="529">
        <v>-0.2409</v>
      </c>
    </row>
    <row r="531" spans="39:44">
      <c r="AM531" s="528">
        <v>45381</v>
      </c>
      <c r="AN531" s="529">
        <v>2.5</v>
      </c>
      <c r="AO531" s="529">
        <v>-277468</v>
      </c>
      <c r="AP531" s="529">
        <v>-38.623240000000003</v>
      </c>
      <c r="AQ531" s="529">
        <v>-144.83715000000001</v>
      </c>
      <c r="AR531" s="529">
        <v>-0.16059999999999999</v>
      </c>
    </row>
    <row r="532" spans="39:44">
      <c r="AM532" s="528">
        <v>45380</v>
      </c>
      <c r="AN532" s="529">
        <v>2.5</v>
      </c>
      <c r="AO532" s="529">
        <v>-138734</v>
      </c>
      <c r="AP532" s="529">
        <v>-19.311620000000001</v>
      </c>
      <c r="AQ532" s="529">
        <v>-96.55810000000001</v>
      </c>
      <c r="AR532" s="529">
        <v>-8.0299999999999996E-2</v>
      </c>
    </row>
    <row r="533" spans="39:44">
      <c r="AM533" s="528">
        <v>45379</v>
      </c>
      <c r="AN533" s="529">
        <v>2.5</v>
      </c>
      <c r="AO533" s="529">
        <v>0</v>
      </c>
      <c r="AP533" s="529">
        <v>0</v>
      </c>
      <c r="AQ533" s="529">
        <v>-48.279050000000005</v>
      </c>
      <c r="AR533" s="529">
        <v>0</v>
      </c>
    </row>
    <row r="534" spans="39:44">
      <c r="AM534" s="528">
        <v>45378</v>
      </c>
      <c r="AN534" s="529">
        <v>2.4900000000000002</v>
      </c>
      <c r="AO534" s="529">
        <v>0</v>
      </c>
      <c r="AP534" s="529">
        <v>0</v>
      </c>
      <c r="AQ534" s="529">
        <v>-44.13761550000001</v>
      </c>
      <c r="AR534" s="529">
        <v>0</v>
      </c>
    </row>
    <row r="535" spans="39:44">
      <c r="AM535" s="528">
        <v>45377</v>
      </c>
      <c r="AN535" s="529">
        <v>2.4300000000000002</v>
      </c>
      <c r="AO535" s="529">
        <v>0</v>
      </c>
      <c r="AP535" s="529">
        <v>0</v>
      </c>
      <c r="AQ535" s="529">
        <v>-43.074058500000007</v>
      </c>
      <c r="AR535" s="529">
        <v>0</v>
      </c>
    </row>
    <row r="536" spans="39:44">
      <c r="AM536" s="528">
        <v>45376</v>
      </c>
      <c r="AN536" s="529">
        <v>2.38</v>
      </c>
      <c r="AO536" s="529">
        <v>0</v>
      </c>
      <c r="AP536" s="529">
        <v>0</v>
      </c>
      <c r="AQ536" s="529">
        <v>-42.187761000000002</v>
      </c>
      <c r="AR536" s="529">
        <v>0</v>
      </c>
    </row>
    <row r="537" spans="39:44">
      <c r="AM537" s="528">
        <v>45375</v>
      </c>
      <c r="AN537" s="529">
        <v>2.58</v>
      </c>
      <c r="AO537" s="529">
        <v>-369428</v>
      </c>
      <c r="AP537" s="529">
        <v>-35.451900000000002</v>
      </c>
      <c r="AQ537" s="529">
        <v>-137.19885300000001</v>
      </c>
      <c r="AR537" s="529">
        <v>-0.1658</v>
      </c>
    </row>
    <row r="538" spans="39:44">
      <c r="AM538" s="528">
        <v>45374</v>
      </c>
      <c r="AN538" s="529">
        <v>2.58</v>
      </c>
      <c r="AO538" s="529">
        <v>-184714</v>
      </c>
      <c r="AP538" s="529">
        <v>-17.725950000000001</v>
      </c>
      <c r="AQ538" s="529">
        <v>-91.465902000000014</v>
      </c>
      <c r="AR538" s="529">
        <v>-8.2900000000000001E-2</v>
      </c>
    </row>
    <row r="539" spans="39:44">
      <c r="AM539" s="528">
        <v>45373</v>
      </c>
      <c r="AN539" s="529">
        <v>2.58</v>
      </c>
      <c r="AO539" s="529">
        <v>0</v>
      </c>
      <c r="AP539" s="529">
        <v>0</v>
      </c>
      <c r="AQ539" s="529">
        <v>-45.732951000000007</v>
      </c>
      <c r="AR539" s="529">
        <v>0</v>
      </c>
    </row>
    <row r="540" spans="39:44">
      <c r="AM540" s="528">
        <v>45372</v>
      </c>
      <c r="AN540" s="529">
        <v>2.5</v>
      </c>
      <c r="AO540" s="529">
        <v>0</v>
      </c>
      <c r="AP540" s="529">
        <v>0</v>
      </c>
      <c r="AQ540" s="529">
        <v>-44.314875000000001</v>
      </c>
      <c r="AR540" s="529">
        <v>0</v>
      </c>
    </row>
    <row r="541" spans="39:44">
      <c r="AM541" s="528">
        <v>45371</v>
      </c>
      <c r="AN541" s="529">
        <v>2.52</v>
      </c>
      <c r="AO541" s="529">
        <v>0</v>
      </c>
      <c r="AP541" s="529">
        <v>0</v>
      </c>
      <c r="AQ541" s="529">
        <v>-44.669394000000004</v>
      </c>
      <c r="AR541" s="529">
        <v>0</v>
      </c>
    </row>
    <row r="542" spans="39:44">
      <c r="AM542" s="528">
        <v>45370</v>
      </c>
      <c r="AN542" s="529">
        <v>2.42</v>
      </c>
      <c r="AO542" s="529">
        <v>0</v>
      </c>
      <c r="AP542" s="529">
        <v>0</v>
      </c>
      <c r="AQ542" s="529">
        <v>-42.896799000000001</v>
      </c>
      <c r="AR542" s="529">
        <v>0</v>
      </c>
    </row>
    <row r="543" spans="39:44">
      <c r="AM543" s="528">
        <v>45369</v>
      </c>
      <c r="AN543" s="529">
        <v>2.41</v>
      </c>
      <c r="AO543" s="529">
        <v>0</v>
      </c>
      <c r="AP543" s="529">
        <v>0</v>
      </c>
      <c r="AQ543" s="529">
        <v>-42.719539500000003</v>
      </c>
      <c r="AR543" s="529">
        <v>0</v>
      </c>
    </row>
    <row r="544" spans="39:44">
      <c r="AM544" s="528">
        <v>45368</v>
      </c>
      <c r="AN544" s="529">
        <v>2.52</v>
      </c>
      <c r="AO544" s="529">
        <v>-500016</v>
      </c>
      <c r="AP544" s="529">
        <v>-35.451900000000002</v>
      </c>
      <c r="AQ544" s="529">
        <v>-134.00818200000001</v>
      </c>
      <c r="AR544" s="529">
        <v>-0.16200000000000001</v>
      </c>
    </row>
    <row r="545" spans="39:44">
      <c r="AM545" s="528">
        <v>45367</v>
      </c>
      <c r="AN545" s="529">
        <v>2.52</v>
      </c>
      <c r="AO545" s="529">
        <v>-250008</v>
      </c>
      <c r="AP545" s="529">
        <v>-17.725950000000001</v>
      </c>
      <c r="AQ545" s="529">
        <v>-89.338788000000008</v>
      </c>
      <c r="AR545" s="529">
        <v>-8.1000000000000003E-2</v>
      </c>
    </row>
    <row r="546" spans="39:44">
      <c r="AM546" s="528">
        <v>45366</v>
      </c>
      <c r="AN546" s="529">
        <v>2.52</v>
      </c>
      <c r="AO546" s="529">
        <v>0</v>
      </c>
      <c r="AP546" s="529">
        <v>0</v>
      </c>
      <c r="AQ546" s="529">
        <v>-44.669394000000004</v>
      </c>
      <c r="AR546" s="529">
        <v>0</v>
      </c>
    </row>
    <row r="547" spans="39:44">
      <c r="AM547" s="528">
        <v>45365</v>
      </c>
      <c r="AN547" s="529">
        <v>2.52</v>
      </c>
      <c r="AO547" s="529">
        <v>0</v>
      </c>
      <c r="AP547" s="529">
        <v>0</v>
      </c>
      <c r="AQ547" s="529">
        <v>-44.669394000000004</v>
      </c>
      <c r="AR547" s="529">
        <v>0</v>
      </c>
    </row>
    <row r="548" spans="39:44">
      <c r="AM548" s="528">
        <v>45364</v>
      </c>
      <c r="AN548" s="529">
        <v>2.64</v>
      </c>
      <c r="AO548" s="529">
        <v>0</v>
      </c>
      <c r="AP548" s="529">
        <v>0</v>
      </c>
      <c r="AQ548" s="529">
        <v>-46.796508000000003</v>
      </c>
      <c r="AR548" s="529">
        <v>0</v>
      </c>
    </row>
    <row r="549" spans="39:44">
      <c r="AM549" s="528">
        <v>45363</v>
      </c>
      <c r="AN549" s="529">
        <v>2.5499999999999998</v>
      </c>
      <c r="AO549" s="529">
        <v>0</v>
      </c>
      <c r="AP549" s="529">
        <v>0</v>
      </c>
      <c r="AQ549" s="529">
        <v>-45.201172499999998</v>
      </c>
      <c r="AR549" s="529">
        <v>0</v>
      </c>
    </row>
    <row r="550" spans="39:44">
      <c r="AM550" s="528">
        <v>45362</v>
      </c>
      <c r="AN550" s="529">
        <v>2.56</v>
      </c>
      <c r="AO550" s="529">
        <v>0</v>
      </c>
      <c r="AP550" s="529">
        <v>0</v>
      </c>
      <c r="AQ550" s="529">
        <v>-45.378432000000004</v>
      </c>
      <c r="AR550" s="529">
        <v>0</v>
      </c>
    </row>
    <row r="551" spans="39:44">
      <c r="AM551" s="528">
        <v>45361</v>
      </c>
      <c r="AN551" s="529">
        <v>2.9</v>
      </c>
      <c r="AO551" s="529">
        <v>-3445888</v>
      </c>
      <c r="AP551" s="529">
        <v>-35.451900000000002</v>
      </c>
      <c r="AQ551" s="529">
        <v>-154.215765</v>
      </c>
      <c r="AR551" s="529">
        <v>-0.18640000000000001</v>
      </c>
    </row>
    <row r="552" spans="39:44">
      <c r="AM552" s="528">
        <v>45360</v>
      </c>
      <c r="AN552" s="529">
        <v>2.9</v>
      </c>
      <c r="AO552" s="529">
        <v>-1722944</v>
      </c>
      <c r="AP552" s="529">
        <v>-17.725950000000001</v>
      </c>
      <c r="AQ552" s="529">
        <v>-102.81051000000001</v>
      </c>
      <c r="AR552" s="529">
        <v>-9.3200000000000005E-2</v>
      </c>
    </row>
    <row r="553" spans="39:44">
      <c r="AM553" s="528">
        <v>45359</v>
      </c>
      <c r="AN553" s="529">
        <v>2.9</v>
      </c>
      <c r="AO553" s="529">
        <v>0</v>
      </c>
      <c r="AP553" s="529">
        <v>0</v>
      </c>
      <c r="AQ553" s="529">
        <v>-51.405255000000004</v>
      </c>
      <c r="AR553" s="529">
        <v>0</v>
      </c>
    </row>
    <row r="554" spans="39:44">
      <c r="AM554" s="528">
        <v>45358</v>
      </c>
      <c r="AN554" s="529">
        <v>3.79</v>
      </c>
      <c r="AO554" s="529">
        <v>0</v>
      </c>
      <c r="AP554" s="529">
        <v>0</v>
      </c>
      <c r="AQ554" s="529">
        <v>-67.181350500000008</v>
      </c>
      <c r="AR554" s="529">
        <v>0</v>
      </c>
    </row>
    <row r="555" spans="39:44">
      <c r="AM555" s="528">
        <v>45357</v>
      </c>
      <c r="AN555" s="529">
        <v>3.62</v>
      </c>
      <c r="AO555" s="529">
        <v>0</v>
      </c>
      <c r="AP555" s="529">
        <v>0</v>
      </c>
      <c r="AQ555" s="529">
        <v>-64.167939000000004</v>
      </c>
      <c r="AR555" s="529">
        <v>0</v>
      </c>
    </row>
    <row r="556" spans="39:44">
      <c r="AM556" s="528">
        <v>45356</v>
      </c>
      <c r="AN556" s="529">
        <v>3.37</v>
      </c>
      <c r="AO556" s="529">
        <v>0</v>
      </c>
      <c r="AP556" s="529">
        <v>0</v>
      </c>
      <c r="AQ556" s="529">
        <v>-59.736451500000008</v>
      </c>
      <c r="AR556" s="529">
        <v>0</v>
      </c>
    </row>
    <row r="557" spans="39:44">
      <c r="AM557" s="528">
        <v>45355</v>
      </c>
      <c r="AN557" s="529">
        <v>3.44</v>
      </c>
      <c r="AO557" s="529">
        <v>0</v>
      </c>
      <c r="AP557" s="529">
        <v>0</v>
      </c>
      <c r="AQ557" s="529">
        <v>-60.977268000000002</v>
      </c>
      <c r="AR557" s="529">
        <v>0</v>
      </c>
    </row>
    <row r="558" spans="39:44">
      <c r="AM558" s="528">
        <v>45354</v>
      </c>
      <c r="AN558" s="529">
        <v>3.47</v>
      </c>
      <c r="AO558" s="529">
        <v>-310830</v>
      </c>
      <c r="AP558" s="529">
        <v>-35.451900000000002</v>
      </c>
      <c r="AQ558" s="529">
        <v>-184.5271395</v>
      </c>
      <c r="AR558" s="529">
        <v>-0.223</v>
      </c>
    </row>
    <row r="559" spans="39:44">
      <c r="AM559" s="528">
        <v>45353</v>
      </c>
      <c r="AN559" s="529">
        <v>3.47</v>
      </c>
      <c r="AO559" s="529">
        <v>-155415</v>
      </c>
      <c r="AP559" s="529">
        <v>-17.725950000000001</v>
      </c>
      <c r="AQ559" s="529">
        <v>-123.01809300000001</v>
      </c>
      <c r="AR559" s="529">
        <v>-0.1115</v>
      </c>
    </row>
    <row r="560" spans="39:44">
      <c r="AM560" s="528">
        <v>45352</v>
      </c>
      <c r="AN560" s="529">
        <v>3.47</v>
      </c>
      <c r="AO560" s="529">
        <v>0</v>
      </c>
      <c r="AP560" s="529">
        <v>0</v>
      </c>
      <c r="AQ560" s="529">
        <v>-61.509046500000004</v>
      </c>
      <c r="AR560" s="529">
        <v>0</v>
      </c>
    </row>
    <row r="561" spans="39:44">
      <c r="AM561" s="528">
        <v>45351</v>
      </c>
      <c r="AN561" s="529">
        <v>3.52</v>
      </c>
      <c r="AO561" s="529">
        <v>0</v>
      </c>
      <c r="AP561" s="529">
        <v>0</v>
      </c>
      <c r="AQ561" s="529">
        <v>-62.395344000000001</v>
      </c>
      <c r="AR561" s="529">
        <v>0</v>
      </c>
    </row>
    <row r="562" spans="39:44">
      <c r="AM562" s="528">
        <v>45350</v>
      </c>
      <c r="AN562" s="529">
        <v>3.33</v>
      </c>
      <c r="AO562" s="529">
        <v>0</v>
      </c>
      <c r="AP562" s="529">
        <v>0</v>
      </c>
      <c r="AQ562" s="529">
        <v>-59.027413500000002</v>
      </c>
      <c r="AR562" s="529">
        <v>0</v>
      </c>
    </row>
    <row r="563" spans="39:44">
      <c r="AM563" s="528">
        <v>45349</v>
      </c>
      <c r="AN563" s="529">
        <v>3.53</v>
      </c>
      <c r="AO563" s="529">
        <v>0</v>
      </c>
      <c r="AP563" s="529">
        <v>0</v>
      </c>
      <c r="AQ563" s="529">
        <v>-62.5726035</v>
      </c>
      <c r="AR563" s="529">
        <v>0</v>
      </c>
    </row>
    <row r="564" spans="39:44">
      <c r="AM564" s="528">
        <v>45348</v>
      </c>
      <c r="AN564" s="529">
        <v>3.51</v>
      </c>
      <c r="AO564" s="529">
        <v>0</v>
      </c>
      <c r="AP564" s="529">
        <v>0</v>
      </c>
      <c r="AQ564" s="529">
        <v>-62.218084499999996</v>
      </c>
      <c r="AR564" s="529">
        <v>0</v>
      </c>
    </row>
    <row r="565" spans="39:44">
      <c r="AM565" s="528">
        <v>45347</v>
      </c>
      <c r="AN565" s="529">
        <v>3.3</v>
      </c>
      <c r="AO565" s="529">
        <v>-343786</v>
      </c>
      <c r="AP565" s="529">
        <v>-35.451900000000002</v>
      </c>
      <c r="AQ565" s="529">
        <v>-175.48690500000001</v>
      </c>
      <c r="AR565" s="529">
        <v>-0.21199999999999999</v>
      </c>
    </row>
    <row r="566" spans="39:44">
      <c r="AM566" s="528">
        <v>45346</v>
      </c>
      <c r="AN566" s="529">
        <v>3.3</v>
      </c>
      <c r="AO566" s="529">
        <v>-171893</v>
      </c>
      <c r="AP566" s="529">
        <v>-17.725950000000001</v>
      </c>
      <c r="AQ566" s="529">
        <v>-116.99127</v>
      </c>
      <c r="AR566" s="529">
        <v>-0.106</v>
      </c>
    </row>
    <row r="567" spans="39:44">
      <c r="AM567" s="528">
        <v>45345</v>
      </c>
      <c r="AN567" s="529">
        <v>3.3</v>
      </c>
      <c r="AO567" s="529">
        <v>0</v>
      </c>
      <c r="AP567" s="529">
        <v>0</v>
      </c>
      <c r="AQ567" s="529">
        <v>-58.495635</v>
      </c>
      <c r="AR567" s="529">
        <v>0</v>
      </c>
    </row>
    <row r="568" spans="39:44">
      <c r="AM568" s="528">
        <v>45344</v>
      </c>
      <c r="AN568" s="529">
        <v>3.41</v>
      </c>
      <c r="AO568" s="529">
        <v>0</v>
      </c>
      <c r="AP568" s="529">
        <v>0</v>
      </c>
      <c r="AQ568" s="529">
        <v>-60.445489500000008</v>
      </c>
      <c r="AR568" s="529">
        <v>0</v>
      </c>
    </row>
    <row r="569" spans="39:44">
      <c r="AM569" s="528">
        <v>45343</v>
      </c>
      <c r="AN569" s="529">
        <v>3.46</v>
      </c>
      <c r="AO569" s="529">
        <v>0</v>
      </c>
      <c r="AP569" s="529">
        <v>0</v>
      </c>
      <c r="AQ569" s="529">
        <v>-61.331787000000006</v>
      </c>
      <c r="AR569" s="529">
        <v>0</v>
      </c>
    </row>
    <row r="570" spans="39:44">
      <c r="AM570" s="528">
        <v>45342</v>
      </c>
      <c r="AN570" s="529">
        <v>3.67</v>
      </c>
      <c r="AO570" s="529">
        <v>0</v>
      </c>
      <c r="AP570" s="529">
        <v>0</v>
      </c>
      <c r="AQ570" s="529">
        <v>-65.054236500000002</v>
      </c>
      <c r="AR570" s="529">
        <v>0</v>
      </c>
    </row>
    <row r="571" spans="39:44">
      <c r="AM571" s="528">
        <v>45341</v>
      </c>
      <c r="AN571" s="529">
        <v>3.73</v>
      </c>
      <c r="AO571" s="529">
        <v>-698760</v>
      </c>
      <c r="AP571" s="529">
        <v>-53.177850000000007</v>
      </c>
      <c r="AQ571" s="529">
        <v>-264.47117400000002</v>
      </c>
      <c r="AR571" s="529">
        <v>-0.3594</v>
      </c>
    </row>
    <row r="572" spans="39:44">
      <c r="AM572" s="528">
        <v>45340</v>
      </c>
      <c r="AN572" s="529">
        <v>3.73</v>
      </c>
      <c r="AO572" s="529">
        <v>-465840</v>
      </c>
      <c r="AP572" s="529">
        <v>-35.451900000000002</v>
      </c>
      <c r="AQ572" s="529">
        <v>-198.35338050000001</v>
      </c>
      <c r="AR572" s="529">
        <v>-0.23960000000000001</v>
      </c>
    </row>
    <row r="573" spans="39:44">
      <c r="AM573" s="528">
        <v>45339</v>
      </c>
      <c r="AN573" s="529">
        <v>3.73</v>
      </c>
      <c r="AO573" s="529">
        <v>-232920</v>
      </c>
      <c r="AP573" s="529">
        <v>-17.725950000000001</v>
      </c>
      <c r="AQ573" s="529">
        <v>-132.23558700000001</v>
      </c>
      <c r="AR573" s="529">
        <v>-0.1198</v>
      </c>
    </row>
    <row r="574" spans="39:44">
      <c r="AM574" s="528">
        <v>45338</v>
      </c>
      <c r="AN574" s="529">
        <v>3.73</v>
      </c>
      <c r="AO574" s="529">
        <v>0</v>
      </c>
      <c r="AP574" s="529">
        <v>0</v>
      </c>
      <c r="AQ574" s="529">
        <v>-66.117793500000005</v>
      </c>
      <c r="AR574" s="529">
        <v>0</v>
      </c>
    </row>
    <row r="575" spans="39:44">
      <c r="AM575" s="528">
        <v>45337</v>
      </c>
      <c r="AN575" s="529">
        <v>3.73</v>
      </c>
      <c r="AO575" s="529">
        <v>0</v>
      </c>
      <c r="AP575" s="529">
        <v>0</v>
      </c>
      <c r="AQ575" s="529">
        <v>-66.117793500000005</v>
      </c>
      <c r="AR575" s="529">
        <v>0</v>
      </c>
    </row>
    <row r="576" spans="39:44">
      <c r="AM576" s="528">
        <v>45336</v>
      </c>
      <c r="AN576" s="529">
        <v>3.79</v>
      </c>
      <c r="AO576" s="529">
        <v>0</v>
      </c>
      <c r="AP576" s="529">
        <v>0</v>
      </c>
      <c r="AQ576" s="529">
        <v>-67.181350500000008</v>
      </c>
      <c r="AR576" s="529">
        <v>0</v>
      </c>
    </row>
    <row r="577" spans="39:44">
      <c r="AM577" s="528">
        <v>45335</v>
      </c>
      <c r="AN577" s="529">
        <v>3.48</v>
      </c>
      <c r="AO577" s="529">
        <v>0</v>
      </c>
      <c r="AP577" s="529">
        <v>0</v>
      </c>
      <c r="AQ577" s="529">
        <v>-61.686306000000002</v>
      </c>
      <c r="AR577" s="529">
        <v>0</v>
      </c>
    </row>
    <row r="578" spans="39:44">
      <c r="AM578" s="528">
        <v>45334</v>
      </c>
      <c r="AN578" s="529">
        <v>3.53</v>
      </c>
      <c r="AO578" s="529">
        <v>0</v>
      </c>
      <c r="AP578" s="529">
        <v>0</v>
      </c>
      <c r="AQ578" s="529">
        <v>-62.5726035</v>
      </c>
      <c r="AR578" s="529">
        <v>0</v>
      </c>
    </row>
    <row r="579" spans="39:44">
      <c r="AM579" s="528">
        <v>45333</v>
      </c>
      <c r="AN579" s="529">
        <v>3.24</v>
      </c>
      <c r="AO579" s="529">
        <v>-438994</v>
      </c>
      <c r="AP579" s="529">
        <v>-35.451900000000002</v>
      </c>
      <c r="AQ579" s="529">
        <v>-172.29623400000003</v>
      </c>
      <c r="AR579" s="529">
        <v>-0.2082</v>
      </c>
    </row>
    <row r="580" spans="39:44">
      <c r="AM580" s="528">
        <v>45332</v>
      </c>
      <c r="AN580" s="529">
        <v>3.24</v>
      </c>
      <c r="AO580" s="529">
        <v>-219497</v>
      </c>
      <c r="AP580" s="529">
        <v>-17.725950000000001</v>
      </c>
      <c r="AQ580" s="529">
        <v>-114.86415600000001</v>
      </c>
      <c r="AR580" s="529">
        <v>-0.1041</v>
      </c>
    </row>
    <row r="581" spans="39:44">
      <c r="AM581" s="528">
        <v>45331</v>
      </c>
      <c r="AN581" s="529">
        <v>3.24</v>
      </c>
      <c r="AO581" s="529">
        <v>0</v>
      </c>
      <c r="AP581" s="529">
        <v>0</v>
      </c>
      <c r="AQ581" s="529">
        <v>-57.432078000000004</v>
      </c>
      <c r="AR581" s="529">
        <v>0</v>
      </c>
    </row>
    <row r="582" spans="39:44">
      <c r="AM582" s="528">
        <v>45330</v>
      </c>
      <c r="AN582" s="529">
        <v>3.24</v>
      </c>
      <c r="AO582" s="529">
        <v>0</v>
      </c>
      <c r="AP582" s="529">
        <v>0</v>
      </c>
      <c r="AQ582" s="529">
        <v>-57.432078000000004</v>
      </c>
      <c r="AR582" s="529">
        <v>0</v>
      </c>
    </row>
    <row r="583" spans="39:44">
      <c r="AM583" s="528">
        <v>45329</v>
      </c>
      <c r="AN583" s="529">
        <v>3.04</v>
      </c>
      <c r="AO583" s="529">
        <v>0</v>
      </c>
      <c r="AP583" s="529">
        <v>0</v>
      </c>
      <c r="AQ583" s="529">
        <v>-53.886888000000006</v>
      </c>
      <c r="AR583" s="529">
        <v>0</v>
      </c>
    </row>
    <row r="584" spans="39:44">
      <c r="AM584" s="528">
        <v>45328</v>
      </c>
      <c r="AN584" s="529">
        <v>3.13</v>
      </c>
      <c r="AO584" s="529">
        <v>0</v>
      </c>
      <c r="AP584" s="529">
        <v>0</v>
      </c>
      <c r="AQ584" s="529">
        <v>-55.482223500000003</v>
      </c>
      <c r="AR584" s="529">
        <v>0</v>
      </c>
    </row>
    <row r="585" spans="39:44">
      <c r="AM585" s="528">
        <v>45327</v>
      </c>
      <c r="AN585" s="529">
        <v>3.1</v>
      </c>
      <c r="AO585" s="529">
        <v>0</v>
      </c>
      <c r="AP585" s="529">
        <v>0</v>
      </c>
      <c r="AQ585" s="529">
        <v>-54.950445000000002</v>
      </c>
      <c r="AR585" s="529">
        <v>0</v>
      </c>
    </row>
    <row r="586" spans="39:44">
      <c r="AM586" s="528">
        <v>45326</v>
      </c>
      <c r="AN586" s="529">
        <v>3.28</v>
      </c>
      <c r="AO586" s="529">
        <v>-367258</v>
      </c>
      <c r="AP586" s="529">
        <v>-35.451900000000002</v>
      </c>
      <c r="AQ586" s="529">
        <v>-174.42334799999998</v>
      </c>
      <c r="AR586" s="529">
        <v>-0.21079999999999999</v>
      </c>
    </row>
    <row r="587" spans="39:44">
      <c r="AM587" s="528">
        <v>45325</v>
      </c>
      <c r="AN587" s="529">
        <v>3.28</v>
      </c>
      <c r="AO587" s="529">
        <v>-183629</v>
      </c>
      <c r="AP587" s="529">
        <v>-17.725950000000001</v>
      </c>
      <c r="AQ587" s="529">
        <v>-116.28223199999999</v>
      </c>
      <c r="AR587" s="529">
        <v>-0.10539999999999999</v>
      </c>
    </row>
    <row r="588" spans="39:44">
      <c r="AM588" s="528">
        <v>45324</v>
      </c>
      <c r="AN588" s="529">
        <v>3.28</v>
      </c>
      <c r="AO588" s="529">
        <v>0</v>
      </c>
      <c r="AP588" s="529">
        <v>0</v>
      </c>
      <c r="AQ588" s="529">
        <v>-58.141115999999997</v>
      </c>
      <c r="AR588" s="529">
        <v>0</v>
      </c>
    </row>
    <row r="589" spans="39:44">
      <c r="AM589" s="528">
        <v>45323</v>
      </c>
      <c r="AN589" s="529">
        <v>3.38</v>
      </c>
      <c r="AO589" s="529">
        <v>0</v>
      </c>
      <c r="AP589" s="529">
        <v>0</v>
      </c>
      <c r="AQ589" s="529">
        <v>-59.913710999999999</v>
      </c>
      <c r="AR589" s="529">
        <v>0</v>
      </c>
    </row>
    <row r="590" spans="39:44">
      <c r="AM590" s="528">
        <v>45322</v>
      </c>
      <c r="AN590" s="529">
        <v>3.21</v>
      </c>
      <c r="AO590" s="529">
        <v>0</v>
      </c>
      <c r="AP590" s="529">
        <v>0</v>
      </c>
      <c r="AQ590" s="529">
        <v>-56.900299500000003</v>
      </c>
      <c r="AR590" s="529">
        <v>0</v>
      </c>
    </row>
    <row r="591" spans="39:44">
      <c r="AM591" s="528">
        <v>45321</v>
      </c>
      <c r="AN591" s="529">
        <v>3.37</v>
      </c>
      <c r="AO591" s="529">
        <v>0</v>
      </c>
      <c r="AP591" s="529">
        <v>0</v>
      </c>
      <c r="AQ591" s="529">
        <v>-59.736451500000008</v>
      </c>
      <c r="AR591" s="529">
        <v>0</v>
      </c>
    </row>
    <row r="592" spans="39:44">
      <c r="AM592" s="528">
        <v>45320</v>
      </c>
      <c r="AN592" s="529">
        <v>3.5</v>
      </c>
      <c r="AO592" s="529">
        <v>0</v>
      </c>
      <c r="AP592" s="529">
        <v>0</v>
      </c>
      <c r="AQ592" s="529">
        <v>-62.040825000000005</v>
      </c>
      <c r="AR592" s="529">
        <v>0</v>
      </c>
    </row>
    <row r="593" spans="39:44">
      <c r="AM593" s="528">
        <v>45319</v>
      </c>
      <c r="AN593" s="529">
        <v>3.42</v>
      </c>
      <c r="AO593" s="529">
        <v>-241548</v>
      </c>
      <c r="AP593" s="529">
        <v>-35.451900000000002</v>
      </c>
      <c r="AQ593" s="529">
        <v>-181.868247</v>
      </c>
      <c r="AR593" s="529">
        <v>-0.2198</v>
      </c>
    </row>
    <row r="594" spans="39:44">
      <c r="AM594" s="528">
        <v>45318</v>
      </c>
      <c r="AN594" s="529">
        <v>3.42</v>
      </c>
      <c r="AO594" s="529">
        <v>-120774</v>
      </c>
      <c r="AP594" s="529">
        <v>-17.725950000000001</v>
      </c>
      <c r="AQ594" s="529">
        <v>-121.245498</v>
      </c>
      <c r="AR594" s="529">
        <v>-0.1099</v>
      </c>
    </row>
    <row r="595" spans="39:44">
      <c r="AM595" s="528">
        <v>45317</v>
      </c>
      <c r="AN595" s="529">
        <v>3.42</v>
      </c>
      <c r="AO595" s="529">
        <v>0</v>
      </c>
      <c r="AP595" s="529">
        <v>0</v>
      </c>
      <c r="AQ595" s="529">
        <v>-60.622748999999999</v>
      </c>
      <c r="AR595" s="529">
        <v>0</v>
      </c>
    </row>
    <row r="596" spans="39:44">
      <c r="AM596" s="528">
        <v>45316</v>
      </c>
      <c r="AN596" s="529">
        <v>3.55</v>
      </c>
      <c r="AO596" s="529">
        <v>0</v>
      </c>
      <c r="AP596" s="529">
        <v>0</v>
      </c>
      <c r="AQ596" s="529">
        <v>-62.927122500000003</v>
      </c>
      <c r="AR596" s="529">
        <v>0</v>
      </c>
    </row>
    <row r="597" spans="39:44">
      <c r="AM597" s="528">
        <v>45315</v>
      </c>
      <c r="AN597" s="529">
        <v>3.44</v>
      </c>
      <c r="AO597" s="529">
        <v>0</v>
      </c>
      <c r="AP597" s="529">
        <v>0</v>
      </c>
      <c r="AQ597" s="529">
        <v>-60.977268000000002</v>
      </c>
      <c r="AR597" s="529">
        <v>0</v>
      </c>
    </row>
    <row r="598" spans="39:44">
      <c r="AM598" s="528">
        <v>45314</v>
      </c>
      <c r="AN598" s="529">
        <v>3.65</v>
      </c>
      <c r="AO598" s="529">
        <v>0</v>
      </c>
      <c r="AP598" s="529">
        <v>0</v>
      </c>
      <c r="AQ598" s="529">
        <v>-64.699717500000006</v>
      </c>
      <c r="AR598" s="529">
        <v>0</v>
      </c>
    </row>
    <row r="599" spans="39:44">
      <c r="AM599" s="528">
        <v>45313</v>
      </c>
      <c r="AN599" s="529">
        <v>3.68</v>
      </c>
      <c r="AO599" s="529">
        <v>0</v>
      </c>
      <c r="AP599" s="529">
        <v>0</v>
      </c>
      <c r="AQ599" s="529">
        <v>-65.231496000000007</v>
      </c>
      <c r="AR599" s="529">
        <v>0</v>
      </c>
    </row>
    <row r="600" spans="39:44">
      <c r="AM600" s="528">
        <v>45312</v>
      </c>
      <c r="AN600" s="529">
        <v>3.62</v>
      </c>
      <c r="AO600" s="529">
        <v>-1032654</v>
      </c>
      <c r="AP600" s="529">
        <v>-35.451900000000002</v>
      </c>
      <c r="AQ600" s="529">
        <v>-192.50381700000003</v>
      </c>
      <c r="AR600" s="529">
        <v>-0.2326</v>
      </c>
    </row>
    <row r="601" spans="39:44">
      <c r="AM601" s="528">
        <v>45311</v>
      </c>
      <c r="AN601" s="529">
        <v>3.62</v>
      </c>
      <c r="AO601" s="529">
        <v>-516327</v>
      </c>
      <c r="AP601" s="529">
        <v>-17.725950000000001</v>
      </c>
      <c r="AQ601" s="529">
        <v>-128.33587800000001</v>
      </c>
      <c r="AR601" s="529">
        <v>-0.1163</v>
      </c>
    </row>
    <row r="602" spans="39:44">
      <c r="AM602" s="528">
        <v>45310</v>
      </c>
      <c r="AN602" s="529">
        <v>3.62</v>
      </c>
      <c r="AO602" s="529">
        <v>0</v>
      </c>
      <c r="AP602" s="529">
        <v>0</v>
      </c>
      <c r="AQ602" s="529">
        <v>-64.167939000000004</v>
      </c>
      <c r="AR602" s="529">
        <v>0</v>
      </c>
    </row>
    <row r="603" spans="39:44">
      <c r="AM603" s="528">
        <v>45309</v>
      </c>
      <c r="AN603" s="529">
        <v>3.82</v>
      </c>
      <c r="AO603" s="529">
        <v>0</v>
      </c>
      <c r="AP603" s="529">
        <v>0</v>
      </c>
      <c r="AQ603" s="529">
        <v>-67.713128999999995</v>
      </c>
      <c r="AR603" s="529">
        <v>0</v>
      </c>
    </row>
    <row r="604" spans="39:44">
      <c r="AM604" s="528">
        <v>45308</v>
      </c>
      <c r="AN604" s="529">
        <v>3.65</v>
      </c>
      <c r="AO604" s="529">
        <v>0</v>
      </c>
      <c r="AP604" s="529">
        <v>0</v>
      </c>
      <c r="AQ604" s="529">
        <v>-64.699717500000006</v>
      </c>
      <c r="AR604" s="529">
        <v>0</v>
      </c>
    </row>
    <row r="605" spans="39:44">
      <c r="AM605" s="528">
        <v>45307</v>
      </c>
      <c r="AN605" s="529">
        <v>3.76</v>
      </c>
      <c r="AO605" s="529">
        <v>0</v>
      </c>
      <c r="AP605" s="529">
        <v>0</v>
      </c>
      <c r="AQ605" s="529">
        <v>-66.649572000000006</v>
      </c>
      <c r="AR605" s="529">
        <v>0</v>
      </c>
    </row>
    <row r="606" spans="39:44">
      <c r="AM606" s="528">
        <v>45306</v>
      </c>
      <c r="AN606" s="529">
        <v>4.5199999999999996</v>
      </c>
      <c r="AO606" s="529">
        <v>-506787</v>
      </c>
      <c r="AP606" s="529">
        <v>-53.177850000000007</v>
      </c>
      <c r="AQ606" s="529">
        <v>-320.48517600000002</v>
      </c>
      <c r="AR606" s="529">
        <v>-0.43559999999999999</v>
      </c>
    </row>
    <row r="607" spans="39:44">
      <c r="AM607" s="528">
        <v>45305</v>
      </c>
      <c r="AN607" s="529">
        <v>4.5199999999999996</v>
      </c>
      <c r="AO607" s="529">
        <v>-337858</v>
      </c>
      <c r="AP607" s="529">
        <v>-35.451900000000002</v>
      </c>
      <c r="AQ607" s="529">
        <v>-240.36388199999999</v>
      </c>
      <c r="AR607" s="529">
        <v>-0.29039999999999999</v>
      </c>
    </row>
    <row r="608" spans="39:44">
      <c r="AM608" s="528">
        <v>45304</v>
      </c>
      <c r="AN608" s="529">
        <v>4.5199999999999996</v>
      </c>
      <c r="AO608" s="529">
        <v>-168929</v>
      </c>
      <c r="AP608" s="529">
        <v>-17.725950000000001</v>
      </c>
      <c r="AQ608" s="529">
        <v>-160.24258799999998</v>
      </c>
      <c r="AR608" s="529">
        <v>-0.1452</v>
      </c>
    </row>
    <row r="609" spans="39:44">
      <c r="AM609" s="528">
        <v>45303</v>
      </c>
      <c r="AN609" s="529">
        <v>4.5199999999999996</v>
      </c>
      <c r="AO609" s="529">
        <v>0</v>
      </c>
      <c r="AP609" s="529">
        <v>0</v>
      </c>
      <c r="AQ609" s="529">
        <v>-80.121293999999992</v>
      </c>
      <c r="AR609" s="529">
        <v>0</v>
      </c>
    </row>
    <row r="610" spans="39:44">
      <c r="AM610" s="528">
        <v>45302</v>
      </c>
      <c r="AN610" s="529">
        <v>4.37</v>
      </c>
      <c r="AO610" s="529">
        <v>0</v>
      </c>
      <c r="AP610" s="529">
        <v>0</v>
      </c>
      <c r="AQ610" s="529">
        <v>-77.462401500000013</v>
      </c>
      <c r="AR610" s="529">
        <v>0</v>
      </c>
    </row>
    <row r="611" spans="39:44">
      <c r="AM611" s="528">
        <v>45301</v>
      </c>
      <c r="AN611" s="529">
        <v>4.49</v>
      </c>
      <c r="AO611" s="529">
        <v>0</v>
      </c>
      <c r="AP611" s="529">
        <v>0</v>
      </c>
      <c r="AQ611" s="529">
        <v>-79.589515500000005</v>
      </c>
      <c r="AR611" s="529">
        <v>0</v>
      </c>
    </row>
    <row r="612" spans="39:44">
      <c r="AM612" s="528">
        <v>45300</v>
      </c>
      <c r="AN612" s="529">
        <v>4.57</v>
      </c>
      <c r="AO612" s="529">
        <v>0</v>
      </c>
      <c r="AP612" s="529">
        <v>0</v>
      </c>
      <c r="AQ612" s="529">
        <v>-81.007591500000004</v>
      </c>
      <c r="AR612" s="529">
        <v>0</v>
      </c>
    </row>
    <row r="613" spans="39:44">
      <c r="AM613" s="528">
        <v>45299</v>
      </c>
      <c r="AN613" s="529">
        <v>4.71</v>
      </c>
      <c r="AO613" s="529">
        <v>0</v>
      </c>
      <c r="AP613" s="529">
        <v>0</v>
      </c>
      <c r="AQ613" s="529">
        <v>-83.489224500000006</v>
      </c>
      <c r="AR613" s="529">
        <v>0</v>
      </c>
    </row>
    <row r="614" spans="39:44">
      <c r="AM614" s="528">
        <v>45298</v>
      </c>
      <c r="AN614" s="529">
        <v>4.3099999999999996</v>
      </c>
      <c r="AO614" s="529">
        <v>-815446</v>
      </c>
      <c r="AP614" s="529">
        <v>-35.451900000000002</v>
      </c>
      <c r="AQ614" s="529">
        <v>-229.19653349999999</v>
      </c>
      <c r="AR614" s="529">
        <v>-0.27700000000000002</v>
      </c>
    </row>
    <row r="615" spans="39:44">
      <c r="AM615" s="528">
        <v>45297</v>
      </c>
      <c r="AN615" s="529">
        <v>4.3099999999999996</v>
      </c>
      <c r="AO615" s="529">
        <v>-407723</v>
      </c>
      <c r="AP615" s="529">
        <v>-17.725950000000001</v>
      </c>
      <c r="AQ615" s="529">
        <v>-152.79768899999999</v>
      </c>
      <c r="AR615" s="529">
        <v>-0.13850000000000001</v>
      </c>
    </row>
    <row r="616" spans="39:44">
      <c r="AM616" s="528">
        <v>45296</v>
      </c>
      <c r="AN616" s="529">
        <v>4.3099999999999996</v>
      </c>
      <c r="AO616" s="529">
        <v>0</v>
      </c>
      <c r="AP616" s="529">
        <v>0</v>
      </c>
      <c r="AQ616" s="529">
        <v>-76.398844499999996</v>
      </c>
      <c r="AR616" s="529">
        <v>0</v>
      </c>
    </row>
    <row r="617" spans="39:44">
      <c r="AM617" s="528">
        <v>45295</v>
      </c>
      <c r="AN617" s="529">
        <v>4.3</v>
      </c>
      <c r="AO617" s="529">
        <v>0</v>
      </c>
      <c r="AP617" s="529">
        <v>0</v>
      </c>
      <c r="AQ617" s="529">
        <v>-76.221585000000005</v>
      </c>
      <c r="AR617" s="529">
        <v>0</v>
      </c>
    </row>
    <row r="618" spans="39:44">
      <c r="AM618" s="528">
        <v>45294</v>
      </c>
      <c r="AN618" s="529">
        <v>4.5999999999999996</v>
      </c>
      <c r="AO618" s="529">
        <v>0</v>
      </c>
      <c r="AP618" s="529">
        <v>0</v>
      </c>
      <c r="AQ618" s="529">
        <v>-81.539370000000005</v>
      </c>
      <c r="AR618" s="529">
        <v>0</v>
      </c>
    </row>
    <row r="619" spans="39:44">
      <c r="AM619" s="528">
        <v>45293</v>
      </c>
      <c r="AN619" s="529">
        <v>4.72</v>
      </c>
      <c r="AO619" s="529">
        <v>0</v>
      </c>
      <c r="AP619" s="529">
        <v>0</v>
      </c>
      <c r="AQ619" s="529">
        <v>-83.666483999999997</v>
      </c>
      <c r="AR619" s="529">
        <v>0</v>
      </c>
    </row>
    <row r="620" spans="39:44">
      <c r="AM620" s="528">
        <v>45292</v>
      </c>
      <c r="AN620" s="529">
        <v>5.12</v>
      </c>
      <c r="AO620" s="529">
        <v>-1347042</v>
      </c>
      <c r="AP620" s="529">
        <v>-53.177850000000007</v>
      </c>
      <c r="AQ620" s="529">
        <v>-363.02745600000003</v>
      </c>
      <c r="AR620" s="529">
        <v>-0.47969999999999996</v>
      </c>
    </row>
    <row r="621" spans="39:44">
      <c r="AM621" s="528">
        <v>45291</v>
      </c>
      <c r="AN621" s="529">
        <v>5.12</v>
      </c>
      <c r="AO621" s="529">
        <v>-898028</v>
      </c>
      <c r="AP621" s="529">
        <v>-35.451900000000002</v>
      </c>
      <c r="AQ621" s="529">
        <v>-272.27059200000002</v>
      </c>
      <c r="AR621" s="529">
        <v>-0.31979999999999997</v>
      </c>
    </row>
    <row r="622" spans="39:44">
      <c r="AM622" s="528">
        <v>45290</v>
      </c>
      <c r="AN622" s="529">
        <v>5.12</v>
      </c>
      <c r="AO622" s="529">
        <v>-449014</v>
      </c>
      <c r="AP622" s="529">
        <v>-17.725950000000001</v>
      </c>
      <c r="AQ622" s="529">
        <v>-181.51372800000001</v>
      </c>
      <c r="AR622" s="529">
        <v>-0.15989999999999999</v>
      </c>
    </row>
    <row r="623" spans="39:44">
      <c r="AM623" s="528">
        <v>45289</v>
      </c>
      <c r="AN623" s="529">
        <v>5.12</v>
      </c>
      <c r="AO623" s="529">
        <v>0</v>
      </c>
      <c r="AP623" s="529">
        <v>0</v>
      </c>
      <c r="AQ623" s="529">
        <v>-90.756864000000007</v>
      </c>
      <c r="AR623" s="529">
        <v>0</v>
      </c>
    </row>
    <row r="624" spans="39:44">
      <c r="AM624" s="528">
        <v>45288</v>
      </c>
      <c r="AN624" s="529">
        <v>5.1100000000000003</v>
      </c>
      <c r="AO624" s="529">
        <v>0</v>
      </c>
      <c r="AP624" s="529">
        <v>0</v>
      </c>
      <c r="AQ624" s="529">
        <v>-90.579604500000016</v>
      </c>
      <c r="AR624" s="529">
        <v>0</v>
      </c>
    </row>
    <row r="625" spans="39:44">
      <c r="AM625" s="528">
        <v>45287</v>
      </c>
      <c r="AN625" s="529">
        <v>5.17</v>
      </c>
      <c r="AO625" s="529">
        <v>0</v>
      </c>
      <c r="AP625" s="529">
        <v>0</v>
      </c>
      <c r="AQ625" s="529">
        <v>-91.643161500000005</v>
      </c>
      <c r="AR625" s="529">
        <v>0</v>
      </c>
    </row>
    <row r="626" spans="39:44">
      <c r="AM626" s="528">
        <v>45286</v>
      </c>
      <c r="AN626" s="529">
        <v>4.97</v>
      </c>
      <c r="AO626" s="529">
        <v>0</v>
      </c>
      <c r="AP626" s="529">
        <v>0</v>
      </c>
      <c r="AQ626" s="529">
        <v>-88.0979715</v>
      </c>
      <c r="AR626" s="529">
        <v>0</v>
      </c>
    </row>
    <row r="627" spans="39:44">
      <c r="AM627" s="528">
        <v>45285</v>
      </c>
      <c r="AN627" s="529">
        <v>4.6500000000000004</v>
      </c>
      <c r="AO627" s="529">
        <v>-1020117</v>
      </c>
      <c r="AP627" s="529">
        <v>-53.177850000000007</v>
      </c>
      <c r="AQ627" s="529">
        <v>-329.70267000000007</v>
      </c>
      <c r="AR627" s="529">
        <v>-0.43559999999999999</v>
      </c>
    </row>
    <row r="628" spans="39:44">
      <c r="AM628" s="528">
        <v>45284</v>
      </c>
      <c r="AN628" s="529">
        <v>4.6500000000000004</v>
      </c>
      <c r="AO628" s="529">
        <v>-680078</v>
      </c>
      <c r="AP628" s="529">
        <v>-35.451900000000002</v>
      </c>
      <c r="AQ628" s="529">
        <v>-247.27700250000004</v>
      </c>
      <c r="AR628" s="529">
        <v>-0.29039999999999999</v>
      </c>
    </row>
    <row r="629" spans="39:44">
      <c r="AM629" s="528">
        <v>45283</v>
      </c>
      <c r="AN629" s="529">
        <v>4.6500000000000004</v>
      </c>
      <c r="AO629" s="529">
        <v>-340039</v>
      </c>
      <c r="AP629" s="529">
        <v>-17.725950000000001</v>
      </c>
      <c r="AQ629" s="529">
        <v>-164.85133500000003</v>
      </c>
      <c r="AR629" s="529">
        <v>-0.1452</v>
      </c>
    </row>
    <row r="630" spans="39:44">
      <c r="AM630" s="528">
        <v>45282</v>
      </c>
      <c r="AN630" s="529">
        <v>4.6500000000000004</v>
      </c>
      <c r="AO630" s="529">
        <v>0</v>
      </c>
      <c r="AP630" s="529">
        <v>0</v>
      </c>
      <c r="AQ630" s="529">
        <v>-82.425667500000017</v>
      </c>
      <c r="AR630" s="529">
        <v>0</v>
      </c>
    </row>
    <row r="631" spans="39:44">
      <c r="AM631" s="528">
        <v>45281</v>
      </c>
      <c r="AN631" s="529">
        <v>4.3600000000000003</v>
      </c>
      <c r="AO631" s="529">
        <v>0</v>
      </c>
      <c r="AP631" s="529">
        <v>0</v>
      </c>
      <c r="AQ631" s="529">
        <v>-77.285142000000008</v>
      </c>
      <c r="AR631" s="529">
        <v>0</v>
      </c>
    </row>
    <row r="632" spans="39:44">
      <c r="AM632" s="528">
        <v>45280</v>
      </c>
      <c r="AN632" s="529">
        <v>4.3899999999999997</v>
      </c>
      <c r="AO632" s="529">
        <v>0</v>
      </c>
      <c r="AP632" s="529">
        <v>0</v>
      </c>
      <c r="AQ632" s="529">
        <v>-77.816920499999995</v>
      </c>
      <c r="AR632" s="529">
        <v>0</v>
      </c>
    </row>
    <row r="633" spans="39:44">
      <c r="AM633" s="528">
        <v>45279</v>
      </c>
      <c r="AN633" s="529">
        <v>4.4400000000000004</v>
      </c>
      <c r="AO633" s="529">
        <v>0</v>
      </c>
      <c r="AP633" s="529">
        <v>0</v>
      </c>
      <c r="AQ633" s="529">
        <v>-78.703218000000007</v>
      </c>
      <c r="AR633" s="529">
        <v>0</v>
      </c>
    </row>
    <row r="634" spans="39:44">
      <c r="AM634" s="528">
        <v>45278</v>
      </c>
      <c r="AN634" s="529">
        <v>4.2300000000000004</v>
      </c>
      <c r="AO634" s="529">
        <v>0</v>
      </c>
      <c r="AP634" s="529">
        <v>0</v>
      </c>
      <c r="AQ634" s="529">
        <v>-74.980768500000011</v>
      </c>
      <c r="AR634" s="529">
        <v>0</v>
      </c>
    </row>
    <row r="635" spans="39:44">
      <c r="AM635" s="528">
        <v>45277</v>
      </c>
      <c r="AN635" s="529">
        <v>4.47</v>
      </c>
      <c r="AO635" s="529">
        <v>-915452</v>
      </c>
      <c r="AP635" s="529">
        <v>-35.451900000000002</v>
      </c>
      <c r="AQ635" s="529">
        <v>-237.70498949999998</v>
      </c>
      <c r="AR635" s="529">
        <v>-0.2792</v>
      </c>
    </row>
    <row r="636" spans="39:44">
      <c r="AM636" s="528">
        <v>45276</v>
      </c>
      <c r="AN636" s="529">
        <v>4.47</v>
      </c>
      <c r="AO636" s="529">
        <v>-457726</v>
      </c>
      <c r="AP636" s="529">
        <v>-17.725950000000001</v>
      </c>
      <c r="AQ636" s="529">
        <v>-158.46999299999999</v>
      </c>
      <c r="AR636" s="529">
        <v>-0.1396</v>
      </c>
    </row>
    <row r="637" spans="39:44">
      <c r="AM637" s="528">
        <v>45275</v>
      </c>
      <c r="AN637" s="529">
        <v>4.47</v>
      </c>
      <c r="AO637" s="529">
        <v>0</v>
      </c>
      <c r="AP637" s="529">
        <v>0</v>
      </c>
      <c r="AQ637" s="529">
        <v>-79.234996499999994</v>
      </c>
      <c r="AR637" s="529">
        <v>0</v>
      </c>
    </row>
    <row r="638" spans="39:44">
      <c r="AM638" s="528">
        <v>45274</v>
      </c>
      <c r="AN638" s="529">
        <v>4.42</v>
      </c>
      <c r="AO638" s="529">
        <v>0</v>
      </c>
      <c r="AP638" s="529">
        <v>0</v>
      </c>
      <c r="AQ638" s="529">
        <v>-78.348698999999996</v>
      </c>
      <c r="AR638" s="529">
        <v>0</v>
      </c>
    </row>
    <row r="639" spans="39:44">
      <c r="AM639" s="528">
        <v>45273</v>
      </c>
      <c r="AN639" s="529">
        <v>4.34</v>
      </c>
      <c r="AO639" s="529">
        <v>0</v>
      </c>
      <c r="AP639" s="529">
        <v>0</v>
      </c>
      <c r="AQ639" s="529">
        <v>-76.930622999999997</v>
      </c>
      <c r="AR639" s="529">
        <v>0</v>
      </c>
    </row>
    <row r="640" spans="39:44">
      <c r="AM640" s="528">
        <v>45272</v>
      </c>
      <c r="AN640" s="529">
        <v>4.4000000000000004</v>
      </c>
      <c r="AO640" s="529">
        <v>0</v>
      </c>
      <c r="AP640" s="529">
        <v>0</v>
      </c>
      <c r="AQ640" s="529">
        <v>-77.994180000000014</v>
      </c>
      <c r="AR640" s="529">
        <v>0</v>
      </c>
    </row>
    <row r="641" spans="39:44">
      <c r="AM641" s="528">
        <v>45271</v>
      </c>
      <c r="AN641" s="529">
        <v>4.29</v>
      </c>
      <c r="AO641" s="529">
        <v>0</v>
      </c>
      <c r="AP641" s="529">
        <v>0</v>
      </c>
      <c r="AQ641" s="529">
        <v>-76.044325499999999</v>
      </c>
      <c r="AR641" s="529">
        <v>0</v>
      </c>
    </row>
    <row r="642" spans="39:44">
      <c r="AM642" s="528">
        <v>45270</v>
      </c>
      <c r="AN642" s="529">
        <v>3.89</v>
      </c>
      <c r="AO642" s="529">
        <v>-522290</v>
      </c>
      <c r="AP642" s="529">
        <v>-35.451900000000002</v>
      </c>
      <c r="AQ642" s="529">
        <v>-206.86183650000001</v>
      </c>
      <c r="AR642" s="529">
        <v>-0.24299999999999999</v>
      </c>
    </row>
    <row r="643" spans="39:44">
      <c r="AM643" s="528">
        <v>45269</v>
      </c>
      <c r="AN643" s="529">
        <v>3.89</v>
      </c>
      <c r="AO643" s="529">
        <v>-261145</v>
      </c>
      <c r="AP643" s="529">
        <v>-17.725950000000001</v>
      </c>
      <c r="AQ643" s="529">
        <v>-137.90789100000001</v>
      </c>
      <c r="AR643" s="529">
        <v>-0.1215</v>
      </c>
    </row>
    <row r="644" spans="39:44">
      <c r="AM644" s="528">
        <v>45268</v>
      </c>
      <c r="AN644" s="529">
        <v>3.89</v>
      </c>
      <c r="AO644" s="529">
        <v>0</v>
      </c>
      <c r="AP644" s="529">
        <v>0</v>
      </c>
      <c r="AQ644" s="529">
        <v>-68.953945500000003</v>
      </c>
      <c r="AR644" s="529">
        <v>0</v>
      </c>
    </row>
    <row r="645" spans="39:44">
      <c r="AM645" s="528">
        <v>45267</v>
      </c>
      <c r="AN645" s="529">
        <v>3.85</v>
      </c>
      <c r="AO645" s="529">
        <v>0</v>
      </c>
      <c r="AP645" s="529">
        <v>0</v>
      </c>
      <c r="AQ645" s="529">
        <v>-68.244907500000011</v>
      </c>
      <c r="AR645" s="529">
        <v>0</v>
      </c>
    </row>
    <row r="646" spans="39:44">
      <c r="AM646" s="528">
        <v>45266</v>
      </c>
      <c r="AN646" s="529">
        <v>3.87</v>
      </c>
      <c r="AO646" s="529">
        <v>0</v>
      </c>
      <c r="AP646" s="529">
        <v>0</v>
      </c>
      <c r="AQ646" s="529">
        <v>-68.599426500000007</v>
      </c>
      <c r="AR646" s="529">
        <v>0</v>
      </c>
    </row>
    <row r="647" spans="39:44">
      <c r="AM647" s="528">
        <v>45265</v>
      </c>
      <c r="AN647" s="529">
        <v>3.91</v>
      </c>
      <c r="AO647" s="529">
        <v>0</v>
      </c>
      <c r="AP647" s="529">
        <v>0</v>
      </c>
      <c r="AQ647" s="529">
        <v>-69.308464499999999</v>
      </c>
      <c r="AR647" s="529">
        <v>0</v>
      </c>
    </row>
    <row r="648" spans="39:44">
      <c r="AM648" s="528">
        <v>45264</v>
      </c>
      <c r="AN648" s="529">
        <v>3.94</v>
      </c>
      <c r="AO648" s="529">
        <v>0</v>
      </c>
      <c r="AP648" s="529">
        <v>0</v>
      </c>
      <c r="AQ648" s="529">
        <v>-69.840243000000001</v>
      </c>
      <c r="AR648" s="529">
        <v>0</v>
      </c>
    </row>
    <row r="649" spans="39:44">
      <c r="AM649" s="528">
        <v>45263</v>
      </c>
      <c r="AN649" s="529">
        <v>3.67</v>
      </c>
      <c r="AO649" s="529">
        <v>-625574</v>
      </c>
      <c r="AP649" s="529">
        <v>-35.451900000000002</v>
      </c>
      <c r="AQ649" s="529">
        <v>-195.16270950000001</v>
      </c>
      <c r="AR649" s="529">
        <v>-0.22919999999999999</v>
      </c>
    </row>
    <row r="650" spans="39:44">
      <c r="AM650" s="528">
        <v>45262</v>
      </c>
      <c r="AN650" s="529">
        <v>3.67</v>
      </c>
      <c r="AO650" s="529">
        <v>-312787</v>
      </c>
      <c r="AP650" s="529">
        <v>-17.725950000000001</v>
      </c>
      <c r="AQ650" s="529">
        <v>-130.108473</v>
      </c>
      <c r="AR650" s="529">
        <v>-0.11459999999999999</v>
      </c>
    </row>
    <row r="651" spans="39:44">
      <c r="AM651" s="528">
        <v>45261</v>
      </c>
      <c r="AN651" s="529">
        <v>3.67</v>
      </c>
      <c r="AO651" s="529">
        <v>0</v>
      </c>
      <c r="AP651" s="529">
        <v>0</v>
      </c>
      <c r="AQ651" s="529">
        <v>-65.054236500000002</v>
      </c>
      <c r="AR651" s="529">
        <v>0</v>
      </c>
    </row>
    <row r="652" spans="39:44">
      <c r="AM652" s="528">
        <v>45260</v>
      </c>
      <c r="AN652" s="529">
        <v>3.54</v>
      </c>
      <c r="AO652" s="529">
        <v>0</v>
      </c>
      <c r="AP652" s="529">
        <v>0</v>
      </c>
      <c r="AQ652" s="529">
        <v>-62.749863000000005</v>
      </c>
      <c r="AR652" s="529">
        <v>0</v>
      </c>
    </row>
    <row r="653" spans="39:44">
      <c r="AM653" s="528">
        <v>45259</v>
      </c>
      <c r="AN653" s="529">
        <v>3.68</v>
      </c>
      <c r="AO653" s="529">
        <v>0</v>
      </c>
      <c r="AP653" s="529">
        <v>0</v>
      </c>
      <c r="AQ653" s="529">
        <v>-65.231496000000007</v>
      </c>
      <c r="AR653" s="529">
        <v>0</v>
      </c>
    </row>
    <row r="654" spans="39:44">
      <c r="AM654" s="528">
        <v>45258</v>
      </c>
      <c r="AN654" s="529">
        <v>3.72</v>
      </c>
      <c r="AO654" s="529">
        <v>0</v>
      </c>
      <c r="AP654" s="529">
        <v>0</v>
      </c>
      <c r="AQ654" s="529">
        <v>-65.940534000000014</v>
      </c>
      <c r="AR654" s="529">
        <v>0</v>
      </c>
    </row>
    <row r="655" spans="39:44">
      <c r="AM655" s="528">
        <v>45257</v>
      </c>
      <c r="AN655" s="529">
        <v>3.85</v>
      </c>
      <c r="AO655" s="529">
        <v>0</v>
      </c>
      <c r="AP655" s="529">
        <v>0</v>
      </c>
      <c r="AQ655" s="529">
        <v>-68.244907500000011</v>
      </c>
      <c r="AR655" s="529">
        <v>0</v>
      </c>
    </row>
    <row r="656" spans="39:44">
      <c r="AM656" s="528">
        <v>45256</v>
      </c>
      <c r="AN656" s="529">
        <v>3.61</v>
      </c>
      <c r="AO656" s="529">
        <v>-647154</v>
      </c>
      <c r="AP656" s="529">
        <v>-35.451900000000002</v>
      </c>
      <c r="AQ656" s="529">
        <v>-191.9720385</v>
      </c>
      <c r="AR656" s="529">
        <v>-0.22539999999999999</v>
      </c>
    </row>
    <row r="657" spans="39:44">
      <c r="AM657" s="528">
        <v>45255</v>
      </c>
      <c r="AN657" s="529">
        <v>3.61</v>
      </c>
      <c r="AO657" s="529">
        <v>-323577</v>
      </c>
      <c r="AP657" s="529">
        <v>-17.725950000000001</v>
      </c>
      <c r="AQ657" s="529">
        <v>-127.981359</v>
      </c>
      <c r="AR657" s="529">
        <v>-0.11269999999999999</v>
      </c>
    </row>
    <row r="658" spans="39:44">
      <c r="AM658" s="528">
        <v>45254</v>
      </c>
      <c r="AN658" s="529">
        <v>3.61</v>
      </c>
      <c r="AO658" s="529">
        <v>0</v>
      </c>
      <c r="AP658" s="529">
        <v>0</v>
      </c>
      <c r="AQ658" s="529">
        <v>-63.990679499999999</v>
      </c>
      <c r="AR658" s="529">
        <v>0</v>
      </c>
    </row>
    <row r="659" spans="39:44">
      <c r="AM659" s="528">
        <v>45253</v>
      </c>
      <c r="AN659" s="529">
        <v>3.54</v>
      </c>
      <c r="AO659" s="529">
        <v>-574551</v>
      </c>
      <c r="AP659" s="529">
        <v>-17.725950000000001</v>
      </c>
      <c r="AQ659" s="529">
        <v>-125.49972600000001</v>
      </c>
      <c r="AR659" s="529">
        <v>-0.1105</v>
      </c>
    </row>
    <row r="660" spans="39:44">
      <c r="AM660" s="528">
        <v>45252</v>
      </c>
      <c r="AN660" s="529">
        <v>3.54</v>
      </c>
      <c r="AO660" s="529">
        <v>0</v>
      </c>
      <c r="AP660" s="529">
        <v>0</v>
      </c>
      <c r="AQ660" s="529">
        <v>-62.749863000000005</v>
      </c>
      <c r="AR660" s="529">
        <v>0</v>
      </c>
    </row>
    <row r="661" spans="39:44">
      <c r="AM661" s="528">
        <v>45251</v>
      </c>
      <c r="AN661" s="529">
        <v>3.74</v>
      </c>
      <c r="AO661" s="529">
        <v>0</v>
      </c>
      <c r="AP661" s="529">
        <v>0</v>
      </c>
      <c r="AQ661" s="529">
        <v>-66.29505300000001</v>
      </c>
      <c r="AR661" s="529">
        <v>0</v>
      </c>
    </row>
    <row r="662" spans="39:44">
      <c r="AM662" s="528">
        <v>45250</v>
      </c>
      <c r="AN662" s="529">
        <v>3.6</v>
      </c>
      <c r="AO662" s="529">
        <v>0</v>
      </c>
      <c r="AP662" s="529">
        <v>0</v>
      </c>
      <c r="AQ662" s="529">
        <v>-63.813420000000008</v>
      </c>
      <c r="AR662" s="529">
        <v>0</v>
      </c>
    </row>
    <row r="663" spans="39:44">
      <c r="AM663" s="528">
        <v>45249</v>
      </c>
      <c r="AN663" s="529">
        <v>3.24</v>
      </c>
      <c r="AO663" s="529">
        <v>-736292</v>
      </c>
      <c r="AP663" s="529">
        <v>-35.451900000000002</v>
      </c>
      <c r="AQ663" s="529">
        <v>-172.29623400000003</v>
      </c>
      <c r="AR663" s="529">
        <v>-0.2024</v>
      </c>
    </row>
    <row r="664" spans="39:44">
      <c r="AM664" s="528">
        <v>45248</v>
      </c>
      <c r="AN664" s="529">
        <v>3.24</v>
      </c>
      <c r="AO664" s="529">
        <v>-368146</v>
      </c>
      <c r="AP664" s="529">
        <v>-17.725950000000001</v>
      </c>
      <c r="AQ664" s="529">
        <v>-114.86415600000001</v>
      </c>
      <c r="AR664" s="529">
        <v>-0.1012</v>
      </c>
    </row>
    <row r="665" spans="39:44">
      <c r="AM665" s="528">
        <v>45247</v>
      </c>
      <c r="AN665" s="529">
        <v>3.24</v>
      </c>
      <c r="AO665" s="529">
        <v>0</v>
      </c>
      <c r="AP665" s="529">
        <v>0</v>
      </c>
      <c r="AQ665" s="529">
        <v>-57.432078000000004</v>
      </c>
      <c r="AR665" s="529">
        <v>0</v>
      </c>
    </row>
    <row r="666" spans="39:44">
      <c r="AM666" s="528">
        <v>45246</v>
      </c>
      <c r="AN666" s="529">
        <v>3.06</v>
      </c>
      <c r="AO666" s="529">
        <v>0</v>
      </c>
      <c r="AP666" s="529">
        <v>0</v>
      </c>
      <c r="AQ666" s="529">
        <v>-54.241407000000002</v>
      </c>
      <c r="AR666" s="529">
        <v>0</v>
      </c>
    </row>
    <row r="667" spans="39:44">
      <c r="AM667" s="528">
        <v>45245</v>
      </c>
      <c r="AN667" s="529">
        <v>2.79</v>
      </c>
      <c r="AO667" s="529">
        <v>0</v>
      </c>
      <c r="AP667" s="529">
        <v>0</v>
      </c>
      <c r="AQ667" s="529">
        <v>-49.455400500000003</v>
      </c>
      <c r="AR667" s="529">
        <v>0</v>
      </c>
    </row>
    <row r="668" spans="39:44">
      <c r="AM668" s="528">
        <v>45244</v>
      </c>
      <c r="AN668" s="529">
        <v>2.6</v>
      </c>
      <c r="AO668" s="529">
        <v>0</v>
      </c>
      <c r="AP668" s="529">
        <v>0</v>
      </c>
      <c r="AQ668" s="529">
        <v>-46.087470000000003</v>
      </c>
      <c r="AR668" s="529">
        <v>0</v>
      </c>
    </row>
    <row r="669" spans="39:44">
      <c r="AM669" s="528">
        <v>45243</v>
      </c>
      <c r="AN669" s="529">
        <v>2.4500000000000002</v>
      </c>
      <c r="AO669" s="529">
        <v>0</v>
      </c>
      <c r="AP669" s="529">
        <v>0</v>
      </c>
      <c r="AQ669" s="529">
        <v>-43.428577500000003</v>
      </c>
      <c r="AR669" s="529">
        <v>0</v>
      </c>
    </row>
    <row r="670" spans="39:44">
      <c r="AM670" s="528">
        <v>45242</v>
      </c>
      <c r="AN670" s="529">
        <v>2.4700000000000002</v>
      </c>
      <c r="AO670" s="529">
        <v>-305576</v>
      </c>
      <c r="AP670" s="529">
        <v>-35.451900000000002</v>
      </c>
      <c r="AQ670" s="529">
        <v>-131.34928950000003</v>
      </c>
      <c r="AR670" s="529">
        <v>-0.1542</v>
      </c>
    </row>
    <row r="671" spans="39:44">
      <c r="AM671" s="528">
        <v>45241</v>
      </c>
      <c r="AN671" s="529">
        <v>2.4700000000000002</v>
      </c>
      <c r="AO671" s="529">
        <v>-152788</v>
      </c>
      <c r="AP671" s="529">
        <v>-17.725950000000001</v>
      </c>
      <c r="AQ671" s="529">
        <v>-87.566193000000013</v>
      </c>
      <c r="AR671" s="529">
        <v>-7.7100000000000002E-2</v>
      </c>
    </row>
    <row r="672" spans="39:44">
      <c r="AM672" s="528">
        <v>45240</v>
      </c>
      <c r="AN672" s="529">
        <v>2.4700000000000002</v>
      </c>
      <c r="AO672" s="529">
        <v>0</v>
      </c>
      <c r="AP672" s="529">
        <v>0</v>
      </c>
      <c r="AQ672" s="529">
        <v>-43.783096500000006</v>
      </c>
      <c r="AR672" s="529">
        <v>0</v>
      </c>
    </row>
    <row r="673" spans="39:44">
      <c r="AM673" s="528">
        <v>45239</v>
      </c>
      <c r="AN673" s="529">
        <v>2.38</v>
      </c>
      <c r="AO673" s="529">
        <v>0</v>
      </c>
      <c r="AP673" s="529">
        <v>0</v>
      </c>
      <c r="AQ673" s="529">
        <v>-39.3586788</v>
      </c>
      <c r="AR673" s="529">
        <v>0</v>
      </c>
    </row>
    <row r="674" spans="39:44">
      <c r="AM674" s="528">
        <v>45238</v>
      </c>
      <c r="AN674" s="529">
        <v>2.46</v>
      </c>
      <c r="AO674" s="529">
        <v>0</v>
      </c>
      <c r="AP674" s="529">
        <v>0</v>
      </c>
      <c r="AQ674" s="529">
        <v>-40.681659599999996</v>
      </c>
      <c r="AR674" s="529">
        <v>0</v>
      </c>
    </row>
    <row r="675" spans="39:44">
      <c r="AM675" s="528">
        <v>45237</v>
      </c>
      <c r="AN675" s="529">
        <v>2.46</v>
      </c>
      <c r="AO675" s="529">
        <v>0</v>
      </c>
      <c r="AP675" s="529">
        <v>0</v>
      </c>
      <c r="AQ675" s="529">
        <v>-40.681659599999996</v>
      </c>
      <c r="AR675" s="529">
        <v>0</v>
      </c>
    </row>
    <row r="676" spans="39:44">
      <c r="AM676" s="528">
        <v>45236</v>
      </c>
      <c r="AN676" s="529">
        <v>2.4</v>
      </c>
      <c r="AO676" s="529">
        <v>0</v>
      </c>
      <c r="AP676" s="529">
        <v>0</v>
      </c>
      <c r="AQ676" s="529">
        <v>-39.689423999999995</v>
      </c>
      <c r="AR676" s="529">
        <v>0</v>
      </c>
    </row>
    <row r="677" spans="39:44">
      <c r="AM677" s="528">
        <v>45235</v>
      </c>
      <c r="AN677" s="529">
        <v>2.33</v>
      </c>
      <c r="AO677" s="529">
        <v>-214620</v>
      </c>
      <c r="AP677" s="529">
        <v>-33.07452</v>
      </c>
      <c r="AQ677" s="529">
        <v>-115.59544740000001</v>
      </c>
      <c r="AR677" s="529">
        <v>-0.14560000000000001</v>
      </c>
    </row>
    <row r="678" spans="39:44">
      <c r="AM678" s="528">
        <v>45234</v>
      </c>
      <c r="AN678" s="529">
        <v>2.33</v>
      </c>
      <c r="AO678" s="529">
        <v>-107310</v>
      </c>
      <c r="AP678" s="529">
        <v>-16.53726</v>
      </c>
      <c r="AQ678" s="529">
        <v>-77.063631600000008</v>
      </c>
      <c r="AR678" s="529">
        <v>-7.2800000000000004E-2</v>
      </c>
    </row>
    <row r="679" spans="39:44">
      <c r="AM679" s="528">
        <v>45233</v>
      </c>
      <c r="AN679" s="529">
        <v>2.33</v>
      </c>
      <c r="AO679" s="529">
        <v>0</v>
      </c>
      <c r="AP679" s="529">
        <v>0</v>
      </c>
      <c r="AQ679" s="529">
        <v>-38.531815800000004</v>
      </c>
      <c r="AR679" s="529">
        <v>0</v>
      </c>
    </row>
    <row r="680" spans="39:44">
      <c r="AM680" s="528">
        <v>45232</v>
      </c>
      <c r="AN680" s="529">
        <v>2.29</v>
      </c>
      <c r="AO680" s="529">
        <v>0</v>
      </c>
      <c r="AP680" s="529">
        <v>0</v>
      </c>
      <c r="AQ680" s="529">
        <v>-37.870325399999999</v>
      </c>
      <c r="AR680" s="529">
        <v>0</v>
      </c>
    </row>
    <row r="681" spans="39:44">
      <c r="AM681" s="528">
        <v>45231</v>
      </c>
      <c r="AN681" s="529">
        <v>2.2599999999999998</v>
      </c>
      <c r="AO681" s="529">
        <v>0</v>
      </c>
      <c r="AP681" s="529">
        <v>0</v>
      </c>
      <c r="AQ681" s="529">
        <v>-37.374207599999998</v>
      </c>
      <c r="AR681" s="529">
        <v>0</v>
      </c>
    </row>
    <row r="682" spans="39:44">
      <c r="AM682" s="528">
        <v>45230</v>
      </c>
      <c r="AN682" s="529">
        <v>2.23</v>
      </c>
      <c r="AO682" s="529">
        <v>0</v>
      </c>
      <c r="AP682" s="529">
        <v>0</v>
      </c>
      <c r="AQ682" s="529">
        <v>-36.878089799999998</v>
      </c>
      <c r="AR682" s="529">
        <v>0</v>
      </c>
    </row>
    <row r="683" spans="39:44">
      <c r="AM683" s="528">
        <v>45229</v>
      </c>
      <c r="AN683" s="529">
        <v>2.25</v>
      </c>
      <c r="AO683" s="529">
        <v>0</v>
      </c>
      <c r="AP683" s="529">
        <v>0</v>
      </c>
      <c r="AQ683" s="529">
        <v>-37.208835000000001</v>
      </c>
      <c r="AR683" s="529">
        <v>0</v>
      </c>
    </row>
    <row r="684" spans="39:44">
      <c r="AM684" s="528">
        <v>45228</v>
      </c>
      <c r="AN684" s="529">
        <v>2.2400000000000002</v>
      </c>
      <c r="AO684" s="529">
        <v>-85626</v>
      </c>
      <c r="AP684" s="529">
        <v>-33.07452</v>
      </c>
      <c r="AQ684" s="529">
        <v>-111.1303872</v>
      </c>
      <c r="AR684" s="529">
        <v>-0.14000000000000001</v>
      </c>
    </row>
    <row r="685" spans="39:44">
      <c r="AM685" s="528">
        <v>45227</v>
      </c>
      <c r="AN685" s="529">
        <v>2.2400000000000002</v>
      </c>
      <c r="AO685" s="529">
        <v>-42813</v>
      </c>
      <c r="AP685" s="529">
        <v>-16.53726</v>
      </c>
      <c r="AQ685" s="529">
        <v>-74.086924800000006</v>
      </c>
      <c r="AR685" s="529">
        <v>-7.0000000000000007E-2</v>
      </c>
    </row>
    <row r="686" spans="39:44">
      <c r="AM686" s="528">
        <v>45226</v>
      </c>
      <c r="AN686" s="529">
        <v>2.2400000000000002</v>
      </c>
      <c r="AO686" s="529">
        <v>0</v>
      </c>
      <c r="AP686" s="529">
        <v>0</v>
      </c>
      <c r="AQ686" s="529">
        <v>-37.043462400000003</v>
      </c>
      <c r="AR686" s="529">
        <v>0</v>
      </c>
    </row>
    <row r="687" spans="39:44">
      <c r="AM687" s="528">
        <v>45225</v>
      </c>
      <c r="AN687" s="529">
        <v>2.25</v>
      </c>
      <c r="AO687" s="529">
        <v>0</v>
      </c>
      <c r="AP687" s="529">
        <v>0</v>
      </c>
      <c r="AQ687" s="529">
        <v>-37.208835000000001</v>
      </c>
      <c r="AR687" s="529">
        <v>0</v>
      </c>
    </row>
    <row r="688" spans="39:44">
      <c r="AM688" s="528">
        <v>45224</v>
      </c>
      <c r="AN688" s="529">
        <v>2.2200000000000002</v>
      </c>
      <c r="AO688" s="529">
        <v>0</v>
      </c>
      <c r="AP688" s="529">
        <v>0</v>
      </c>
      <c r="AQ688" s="529">
        <v>-36.7127172</v>
      </c>
      <c r="AR688" s="529">
        <v>0</v>
      </c>
    </row>
    <row r="689" spans="39:44">
      <c r="AM689" s="528">
        <v>45223</v>
      </c>
      <c r="AN689" s="529">
        <v>2.31</v>
      </c>
      <c r="AO689" s="529">
        <v>0</v>
      </c>
      <c r="AP689" s="529">
        <v>0</v>
      </c>
      <c r="AQ689" s="529">
        <v>-38.201070600000001</v>
      </c>
      <c r="AR689" s="529">
        <v>0</v>
      </c>
    </row>
    <row r="690" spans="39:44">
      <c r="AM690" s="528">
        <v>45222</v>
      </c>
      <c r="AN690" s="529">
        <v>2.34</v>
      </c>
      <c r="AO690" s="529">
        <v>0</v>
      </c>
      <c r="AP690" s="529">
        <v>0</v>
      </c>
      <c r="AQ690" s="529">
        <v>-38.697188399999995</v>
      </c>
      <c r="AR690" s="529">
        <v>0</v>
      </c>
    </row>
    <row r="691" spans="39:44">
      <c r="AM691" s="528">
        <v>45221</v>
      </c>
      <c r="AN691" s="529">
        <v>2.34</v>
      </c>
      <c r="AO691" s="529">
        <v>-116884</v>
      </c>
      <c r="AP691" s="529">
        <v>-33.07452</v>
      </c>
      <c r="AQ691" s="529">
        <v>-116.09156519999999</v>
      </c>
      <c r="AR691" s="529">
        <v>-0.1462</v>
      </c>
    </row>
    <row r="692" spans="39:44">
      <c r="AM692" s="528">
        <v>45220</v>
      </c>
      <c r="AN692" s="529">
        <v>2.34</v>
      </c>
      <c r="AO692" s="529">
        <v>-58442</v>
      </c>
      <c r="AP692" s="529">
        <v>-16.53726</v>
      </c>
      <c r="AQ692" s="529">
        <v>-77.394376799999989</v>
      </c>
      <c r="AR692" s="529">
        <v>-7.3099999999999998E-2</v>
      </c>
    </row>
    <row r="693" spans="39:44">
      <c r="AM693" s="528">
        <v>45219</v>
      </c>
      <c r="AN693" s="529">
        <v>2.34</v>
      </c>
      <c r="AO693" s="529">
        <v>0</v>
      </c>
      <c r="AP693" s="529">
        <v>0</v>
      </c>
      <c r="AQ693" s="529">
        <v>-38.697188399999995</v>
      </c>
      <c r="AR693" s="529">
        <v>0</v>
      </c>
    </row>
    <row r="694" spans="39:44">
      <c r="AM694" s="528">
        <v>45218</v>
      </c>
      <c r="AN694" s="529">
        <v>2.25</v>
      </c>
      <c r="AO694" s="529">
        <v>0</v>
      </c>
      <c r="AP694" s="529">
        <v>0</v>
      </c>
      <c r="AQ694" s="529">
        <v>-37.208835000000001</v>
      </c>
      <c r="AR694" s="529">
        <v>0</v>
      </c>
    </row>
    <row r="695" spans="39:44">
      <c r="AM695" s="528">
        <v>45217</v>
      </c>
      <c r="AN695" s="529">
        <v>2.09</v>
      </c>
      <c r="AO695" s="529">
        <v>0</v>
      </c>
      <c r="AP695" s="529">
        <v>0</v>
      </c>
      <c r="AQ695" s="529">
        <v>-34.562873400000001</v>
      </c>
      <c r="AR695" s="529">
        <v>0</v>
      </c>
    </row>
    <row r="696" spans="39:44">
      <c r="AM696" s="528">
        <v>45216</v>
      </c>
      <c r="AN696" s="529">
        <v>2.23</v>
      </c>
      <c r="AO696" s="529">
        <v>0</v>
      </c>
      <c r="AP696" s="529">
        <v>0</v>
      </c>
      <c r="AQ696" s="529">
        <v>-36.878089799999998</v>
      </c>
      <c r="AR696" s="529">
        <v>0</v>
      </c>
    </row>
    <row r="697" spans="39:44">
      <c r="AM697" s="528">
        <v>45215</v>
      </c>
      <c r="AN697" s="529">
        <v>2.2400000000000002</v>
      </c>
      <c r="AO697" s="529">
        <v>0</v>
      </c>
      <c r="AP697" s="529">
        <v>0</v>
      </c>
      <c r="AQ697" s="529">
        <v>-37.043462400000003</v>
      </c>
      <c r="AR697" s="529">
        <v>0</v>
      </c>
    </row>
    <row r="698" spans="39:44">
      <c r="AM698" s="528">
        <v>45214</v>
      </c>
      <c r="AN698" s="529">
        <v>2.21</v>
      </c>
      <c r="AO698" s="529">
        <v>-244836</v>
      </c>
      <c r="AP698" s="529">
        <v>-33.07452</v>
      </c>
      <c r="AQ698" s="529">
        <v>-109.64203380000001</v>
      </c>
      <c r="AR698" s="529">
        <v>-0.13800000000000001</v>
      </c>
    </row>
    <row r="699" spans="39:44">
      <c r="AM699" s="528">
        <v>45213</v>
      </c>
      <c r="AN699" s="529">
        <v>2.21</v>
      </c>
      <c r="AO699" s="529">
        <v>-122418</v>
      </c>
      <c r="AP699" s="529">
        <v>-16.53726</v>
      </c>
      <c r="AQ699" s="529">
        <v>-73.094689200000005</v>
      </c>
      <c r="AR699" s="529">
        <v>-6.9000000000000006E-2</v>
      </c>
    </row>
    <row r="700" spans="39:44">
      <c r="AM700" s="528">
        <v>45212</v>
      </c>
      <c r="AN700" s="529">
        <v>2.21</v>
      </c>
      <c r="AO700" s="529">
        <v>0</v>
      </c>
      <c r="AP700" s="529">
        <v>0</v>
      </c>
      <c r="AQ700" s="529">
        <v>-36.547344600000002</v>
      </c>
      <c r="AR700" s="529">
        <v>0</v>
      </c>
    </row>
    <row r="701" spans="39:44">
      <c r="AM701" s="528">
        <v>45211</v>
      </c>
      <c r="AN701" s="529">
        <v>2.23</v>
      </c>
      <c r="AO701" s="529">
        <v>0</v>
      </c>
      <c r="AP701" s="529">
        <v>0</v>
      </c>
      <c r="AQ701" s="529">
        <v>-36.878089799999998</v>
      </c>
      <c r="AR701" s="529">
        <v>0</v>
      </c>
    </row>
    <row r="702" spans="39:44">
      <c r="AM702" s="528">
        <v>45210</v>
      </c>
      <c r="AN702" s="529">
        <v>2.33</v>
      </c>
      <c r="AO702" s="529">
        <v>0</v>
      </c>
      <c r="AP702" s="529">
        <v>0</v>
      </c>
      <c r="AQ702" s="529">
        <v>-38.531815800000004</v>
      </c>
      <c r="AR702" s="529">
        <v>0</v>
      </c>
    </row>
    <row r="703" spans="39:44">
      <c r="AM703" s="528">
        <v>45209</v>
      </c>
      <c r="AN703" s="529">
        <v>2.4</v>
      </c>
      <c r="AO703" s="529">
        <v>0</v>
      </c>
      <c r="AP703" s="529">
        <v>0</v>
      </c>
      <c r="AQ703" s="529">
        <v>-39.689423999999995</v>
      </c>
      <c r="AR703" s="529">
        <v>0</v>
      </c>
    </row>
    <row r="704" spans="39:44">
      <c r="AM704" s="528">
        <v>45208</v>
      </c>
      <c r="AN704" s="529">
        <v>2.5299999999999998</v>
      </c>
      <c r="AO704" s="529">
        <v>0</v>
      </c>
      <c r="AP704" s="529">
        <v>0</v>
      </c>
      <c r="AQ704" s="529">
        <v>-41.839267799999995</v>
      </c>
      <c r="AR704" s="529">
        <v>0</v>
      </c>
    </row>
    <row r="705" spans="39:44">
      <c r="AM705" s="528">
        <v>45207</v>
      </c>
      <c r="AN705" s="529">
        <v>2.33</v>
      </c>
      <c r="AO705" s="529">
        <v>-135070</v>
      </c>
      <c r="AP705" s="529">
        <v>-33.07452</v>
      </c>
      <c r="AQ705" s="529">
        <v>-115.59544740000001</v>
      </c>
      <c r="AR705" s="529">
        <v>-0.14560000000000001</v>
      </c>
    </row>
    <row r="706" spans="39:44">
      <c r="AM706" s="528">
        <v>45206</v>
      </c>
      <c r="AN706" s="529">
        <v>2.33</v>
      </c>
      <c r="AO706" s="529">
        <v>-67535</v>
      </c>
      <c r="AP706" s="529">
        <v>-16.53726</v>
      </c>
      <c r="AQ706" s="529">
        <v>-77.063631600000008</v>
      </c>
      <c r="AR706" s="529">
        <v>-7.2800000000000004E-2</v>
      </c>
    </row>
    <row r="707" spans="39:44">
      <c r="AM707" s="528">
        <v>45205</v>
      </c>
      <c r="AN707" s="529">
        <v>2.33</v>
      </c>
      <c r="AO707" s="529">
        <v>0</v>
      </c>
      <c r="AP707" s="529">
        <v>0</v>
      </c>
      <c r="AQ707" s="529">
        <v>-38.531815800000004</v>
      </c>
      <c r="AR707" s="529">
        <v>0</v>
      </c>
    </row>
    <row r="708" spans="39:44">
      <c r="AM708" s="528">
        <v>45204</v>
      </c>
      <c r="AN708" s="529">
        <v>2.38</v>
      </c>
      <c r="AO708" s="529">
        <v>0</v>
      </c>
      <c r="AP708" s="529">
        <v>0</v>
      </c>
      <c r="AQ708" s="529">
        <v>-39.3586788</v>
      </c>
      <c r="AR708" s="529">
        <v>0</v>
      </c>
    </row>
    <row r="709" spans="39:44">
      <c r="AM709" s="528">
        <v>45203</v>
      </c>
      <c r="AN709" s="529">
        <v>2.3199999999999998</v>
      </c>
      <c r="AO709" s="529">
        <v>0</v>
      </c>
      <c r="AP709" s="529">
        <v>0</v>
      </c>
      <c r="AQ709" s="529">
        <v>-38.366443199999999</v>
      </c>
      <c r="AR709" s="529">
        <v>0</v>
      </c>
    </row>
    <row r="710" spans="39:44">
      <c r="AM710" s="528">
        <v>45202</v>
      </c>
      <c r="AN710" s="529">
        <v>2.46</v>
      </c>
      <c r="AO710" s="529">
        <v>0</v>
      </c>
      <c r="AP710" s="529">
        <v>0</v>
      </c>
      <c r="AQ710" s="529">
        <v>-40.681659599999996</v>
      </c>
      <c r="AR710" s="529">
        <v>0</v>
      </c>
    </row>
    <row r="711" spans="39:44">
      <c r="AM711" s="528">
        <v>45201</v>
      </c>
      <c r="AN711" s="529">
        <v>2.54</v>
      </c>
      <c r="AO711" s="529">
        <v>0</v>
      </c>
      <c r="AP711" s="529">
        <v>0</v>
      </c>
      <c r="AQ711" s="529">
        <v>-42.0046404</v>
      </c>
      <c r="AR711" s="529">
        <v>0</v>
      </c>
    </row>
    <row r="712" spans="39:44">
      <c r="AM712" s="528">
        <v>45200</v>
      </c>
      <c r="AN712" s="529">
        <v>2.52</v>
      </c>
      <c r="AO712" s="529">
        <v>-71456</v>
      </c>
      <c r="AP712" s="529">
        <v>-33.07452</v>
      </c>
      <c r="AQ712" s="529">
        <v>-125.02168559999998</v>
      </c>
      <c r="AR712" s="529">
        <v>-0.153</v>
      </c>
    </row>
    <row r="713" spans="39:44">
      <c r="AM713" s="528">
        <v>45199</v>
      </c>
      <c r="AN713" s="529">
        <v>2.52</v>
      </c>
      <c r="AO713" s="529">
        <v>-35728</v>
      </c>
      <c r="AP713" s="529">
        <v>-16.53726</v>
      </c>
      <c r="AQ713" s="529">
        <v>-83.347790399999994</v>
      </c>
      <c r="AR713" s="529">
        <v>-7.6499999999999999E-2</v>
      </c>
    </row>
    <row r="714" spans="39:44">
      <c r="AM714" s="528">
        <v>45198</v>
      </c>
      <c r="AN714" s="529">
        <v>2.52</v>
      </c>
      <c r="AO714" s="529">
        <v>0</v>
      </c>
      <c r="AP714" s="529">
        <v>0</v>
      </c>
      <c r="AQ714" s="529">
        <v>-41.673895199999997</v>
      </c>
      <c r="AR714" s="529">
        <v>0</v>
      </c>
    </row>
    <row r="715" spans="39:44">
      <c r="AM715" s="528">
        <v>45197</v>
      </c>
      <c r="AN715" s="529">
        <v>2.54</v>
      </c>
      <c r="AO715" s="529">
        <v>0</v>
      </c>
      <c r="AP715" s="529">
        <v>0</v>
      </c>
      <c r="AQ715" s="529">
        <v>-42.0046404</v>
      </c>
      <c r="AR715" s="529">
        <v>0</v>
      </c>
    </row>
    <row r="716" spans="39:44">
      <c r="AM716" s="528">
        <v>45196</v>
      </c>
      <c r="AN716" s="529">
        <v>2.56</v>
      </c>
      <c r="AO716" s="529">
        <v>0</v>
      </c>
      <c r="AP716" s="529">
        <v>0</v>
      </c>
      <c r="AQ716" s="529">
        <v>-42.335385600000002</v>
      </c>
      <c r="AR716" s="529">
        <v>0</v>
      </c>
    </row>
    <row r="717" spans="39:44">
      <c r="AM717" s="528">
        <v>45195</v>
      </c>
      <c r="AN717" s="529">
        <v>2.52</v>
      </c>
      <c r="AO717" s="529">
        <v>0</v>
      </c>
      <c r="AP717" s="529">
        <v>0</v>
      </c>
      <c r="AQ717" s="529">
        <v>-41.673895199999997</v>
      </c>
      <c r="AR717" s="529">
        <v>0</v>
      </c>
    </row>
    <row r="718" spans="39:44">
      <c r="AM718" s="528">
        <v>45194</v>
      </c>
      <c r="AN718" s="529">
        <v>2.56</v>
      </c>
      <c r="AO718" s="529">
        <v>0</v>
      </c>
      <c r="AP718" s="529">
        <v>0</v>
      </c>
      <c r="AQ718" s="529">
        <v>-42.335385600000002</v>
      </c>
      <c r="AR718" s="529">
        <v>0</v>
      </c>
    </row>
    <row r="719" spans="39:44">
      <c r="AM719" s="528">
        <v>45193</v>
      </c>
      <c r="AN719" s="529">
        <v>2.5299999999999998</v>
      </c>
      <c r="AO719" s="529">
        <v>-239678</v>
      </c>
      <c r="AP719" s="529">
        <v>-33.07452</v>
      </c>
      <c r="AQ719" s="529">
        <v>-125.51780339999999</v>
      </c>
      <c r="AR719" s="529">
        <v>-0.15359999999999999</v>
      </c>
    </row>
    <row r="720" spans="39:44">
      <c r="AM720" s="528">
        <v>45192</v>
      </c>
      <c r="AN720" s="529">
        <v>2.5299999999999998</v>
      </c>
      <c r="AO720" s="529">
        <v>-119839</v>
      </c>
      <c r="AP720" s="529">
        <v>-16.53726</v>
      </c>
      <c r="AQ720" s="529">
        <v>-83.678535599999989</v>
      </c>
      <c r="AR720" s="529">
        <v>-7.6799999999999993E-2</v>
      </c>
    </row>
    <row r="721" spans="39:44">
      <c r="AM721" s="528">
        <v>45191</v>
      </c>
      <c r="AN721" s="529">
        <v>2.5299999999999998</v>
      </c>
      <c r="AO721" s="529">
        <v>0</v>
      </c>
      <c r="AP721" s="529">
        <v>0</v>
      </c>
      <c r="AQ721" s="529">
        <v>-41.839267799999995</v>
      </c>
      <c r="AR721" s="529">
        <v>0</v>
      </c>
    </row>
    <row r="722" spans="39:44">
      <c r="AM722" s="528">
        <v>45190</v>
      </c>
      <c r="AN722" s="529">
        <v>2.56</v>
      </c>
      <c r="AO722" s="529">
        <v>0</v>
      </c>
      <c r="AP722" s="529">
        <v>0</v>
      </c>
      <c r="AQ722" s="529">
        <v>-42.335385600000002</v>
      </c>
      <c r="AR722" s="529">
        <v>0</v>
      </c>
    </row>
    <row r="723" spans="39:44">
      <c r="AM723" s="528">
        <v>45189</v>
      </c>
      <c r="AN723" s="529">
        <v>2.61</v>
      </c>
      <c r="AO723" s="529">
        <v>0</v>
      </c>
      <c r="AP723" s="529">
        <v>0</v>
      </c>
      <c r="AQ723" s="529">
        <v>-43.162248599999998</v>
      </c>
      <c r="AR723" s="529">
        <v>0</v>
      </c>
    </row>
    <row r="724" spans="39:44">
      <c r="AM724" s="528">
        <v>45188</v>
      </c>
      <c r="AN724" s="529">
        <v>2.62</v>
      </c>
      <c r="AO724" s="529">
        <v>0</v>
      </c>
      <c r="AP724" s="529">
        <v>0</v>
      </c>
      <c r="AQ724" s="529">
        <v>-43.327621200000003</v>
      </c>
      <c r="AR724" s="529">
        <v>0</v>
      </c>
    </row>
    <row r="725" spans="39:44">
      <c r="AM725" s="528">
        <v>45187</v>
      </c>
      <c r="AN725" s="529">
        <v>2.4900000000000002</v>
      </c>
      <c r="AO725" s="529">
        <v>0</v>
      </c>
      <c r="AP725" s="529">
        <v>0</v>
      </c>
      <c r="AQ725" s="529">
        <v>-41.177777400000004</v>
      </c>
      <c r="AR725" s="529">
        <v>0</v>
      </c>
    </row>
    <row r="726" spans="39:44">
      <c r="AM726" s="528">
        <v>45186</v>
      </c>
      <c r="AN726" s="529">
        <v>2.2799999999999998</v>
      </c>
      <c r="AO726" s="529">
        <v>-601608</v>
      </c>
      <c r="AP726" s="529">
        <v>-33.07452</v>
      </c>
      <c r="AQ726" s="529">
        <v>-113.11485839999997</v>
      </c>
      <c r="AR726" s="529">
        <v>-0.1384</v>
      </c>
    </row>
    <row r="727" spans="39:44">
      <c r="AM727" s="528">
        <v>45185</v>
      </c>
      <c r="AN727" s="529">
        <v>2.2799999999999998</v>
      </c>
      <c r="AO727" s="529">
        <v>-300804</v>
      </c>
      <c r="AP727" s="529">
        <v>-16.53726</v>
      </c>
      <c r="AQ727" s="529">
        <v>-75.409905599999988</v>
      </c>
      <c r="AR727" s="529">
        <v>-6.9199999999999998E-2</v>
      </c>
    </row>
    <row r="728" spans="39:44">
      <c r="AM728" s="528">
        <v>45184</v>
      </c>
      <c r="AN728" s="529">
        <v>2.2799999999999998</v>
      </c>
      <c r="AO728" s="529">
        <v>0</v>
      </c>
      <c r="AP728" s="529">
        <v>0</v>
      </c>
      <c r="AQ728" s="529">
        <v>-37.704952799999994</v>
      </c>
      <c r="AR728" s="529">
        <v>0</v>
      </c>
    </row>
    <row r="729" spans="39:44">
      <c r="AM729" s="528">
        <v>45183</v>
      </c>
      <c r="AN729" s="529">
        <v>2.4</v>
      </c>
      <c r="AO729" s="529">
        <v>0</v>
      </c>
      <c r="AP729" s="529">
        <v>0</v>
      </c>
      <c r="AQ729" s="529">
        <v>-39.689423999999995</v>
      </c>
      <c r="AR729" s="529">
        <v>0</v>
      </c>
    </row>
    <row r="730" spans="39:44">
      <c r="AM730" s="528">
        <v>45182</v>
      </c>
      <c r="AN730" s="529">
        <v>2.61</v>
      </c>
      <c r="AO730" s="529">
        <v>0</v>
      </c>
      <c r="AP730" s="529">
        <v>0</v>
      </c>
      <c r="AQ730" s="529">
        <v>-43.162248599999998</v>
      </c>
      <c r="AR730" s="529">
        <v>0</v>
      </c>
    </row>
    <row r="731" spans="39:44">
      <c r="AM731" s="528">
        <v>45181</v>
      </c>
      <c r="AN731" s="529">
        <v>2.7</v>
      </c>
      <c r="AO731" s="529">
        <v>0</v>
      </c>
      <c r="AP731" s="529">
        <v>0</v>
      </c>
      <c r="AQ731" s="529">
        <v>-44.650601999999999</v>
      </c>
      <c r="AR731" s="529">
        <v>0</v>
      </c>
    </row>
    <row r="732" spans="39:44">
      <c r="AM732" s="528">
        <v>45180</v>
      </c>
      <c r="AN732" s="529">
        <v>2.7</v>
      </c>
      <c r="AO732" s="529">
        <v>0</v>
      </c>
      <c r="AP732" s="529">
        <v>0</v>
      </c>
      <c r="AQ732" s="529">
        <v>-44.650601999999999</v>
      </c>
      <c r="AR732" s="529">
        <v>0</v>
      </c>
    </row>
    <row r="733" spans="39:44">
      <c r="AM733" s="528">
        <v>45179</v>
      </c>
      <c r="AN733" s="529">
        <v>2.65</v>
      </c>
      <c r="AO733" s="529">
        <v>-173410</v>
      </c>
      <c r="AP733" s="529">
        <v>-33.07452</v>
      </c>
      <c r="AQ733" s="529">
        <v>-131.471217</v>
      </c>
      <c r="AR733" s="529">
        <v>-0.161</v>
      </c>
    </row>
    <row r="734" spans="39:44">
      <c r="AM734" s="528">
        <v>45178</v>
      </c>
      <c r="AN734" s="529">
        <v>2.65</v>
      </c>
      <c r="AO734" s="529">
        <v>-86705</v>
      </c>
      <c r="AP734" s="529">
        <v>-16.53726</v>
      </c>
      <c r="AQ734" s="529">
        <v>-87.647477999999992</v>
      </c>
      <c r="AR734" s="529">
        <v>-8.0500000000000002E-2</v>
      </c>
    </row>
    <row r="735" spans="39:44">
      <c r="AM735" s="528">
        <v>45177</v>
      </c>
      <c r="AN735" s="529">
        <v>2.65</v>
      </c>
      <c r="AO735" s="529">
        <v>0</v>
      </c>
      <c r="AP735" s="529">
        <v>0</v>
      </c>
      <c r="AQ735" s="529">
        <v>-43.823738999999996</v>
      </c>
      <c r="AR735" s="529">
        <v>0</v>
      </c>
    </row>
    <row r="736" spans="39:44">
      <c r="AM736" s="528">
        <v>45176</v>
      </c>
      <c r="AN736" s="529">
        <v>2.65</v>
      </c>
      <c r="AO736" s="529">
        <v>0</v>
      </c>
      <c r="AP736" s="529">
        <v>0</v>
      </c>
      <c r="AQ736" s="529">
        <v>-43.823738999999996</v>
      </c>
      <c r="AR736" s="529">
        <v>0</v>
      </c>
    </row>
    <row r="737" spans="39:44">
      <c r="AM737" s="528">
        <v>45175</v>
      </c>
      <c r="AN737" s="529">
        <v>2.66</v>
      </c>
      <c r="AO737" s="529">
        <v>0</v>
      </c>
      <c r="AP737" s="529">
        <v>0</v>
      </c>
      <c r="AQ737" s="529">
        <v>-43.989111600000001</v>
      </c>
      <c r="AR737" s="529">
        <v>0</v>
      </c>
    </row>
    <row r="738" spans="39:44">
      <c r="AM738" s="528">
        <v>45174</v>
      </c>
      <c r="AN738" s="529">
        <v>2.57</v>
      </c>
      <c r="AO738" s="529">
        <v>0</v>
      </c>
      <c r="AP738" s="529">
        <v>0</v>
      </c>
      <c r="AQ738" s="529">
        <v>-42.5007582</v>
      </c>
      <c r="AR738" s="529">
        <v>0</v>
      </c>
    </row>
    <row r="739" spans="39:44">
      <c r="AM739" s="528">
        <v>45173</v>
      </c>
      <c r="AN739" s="529">
        <v>2.59</v>
      </c>
      <c r="AO739" s="529">
        <v>-128856</v>
      </c>
      <c r="AP739" s="529">
        <v>-49.611779999999996</v>
      </c>
      <c r="AQ739" s="529">
        <v>-171.32601359999998</v>
      </c>
      <c r="AR739" s="529">
        <v>-0.23610000000000003</v>
      </c>
    </row>
    <row r="740" spans="39:44">
      <c r="AM740" s="528">
        <v>45172</v>
      </c>
      <c r="AN740" s="529">
        <v>2.59</v>
      </c>
      <c r="AO740" s="529">
        <v>-85904</v>
      </c>
      <c r="AP740" s="529">
        <v>-33.07452</v>
      </c>
      <c r="AQ740" s="529">
        <v>-128.49451019999998</v>
      </c>
      <c r="AR740" s="529">
        <v>-0.15740000000000001</v>
      </c>
    </row>
    <row r="741" spans="39:44">
      <c r="AM741" s="528">
        <v>45171</v>
      </c>
      <c r="AN741" s="529">
        <v>2.59</v>
      </c>
      <c r="AO741" s="529">
        <v>-42952</v>
      </c>
      <c r="AP741" s="529">
        <v>-16.53726</v>
      </c>
      <c r="AQ741" s="529">
        <v>-85.663006799999991</v>
      </c>
      <c r="AR741" s="529">
        <v>-7.8700000000000006E-2</v>
      </c>
    </row>
    <row r="742" spans="39:44">
      <c r="AM742" s="528">
        <v>45170</v>
      </c>
      <c r="AN742" s="529">
        <v>2.59</v>
      </c>
      <c r="AO742" s="529">
        <v>0</v>
      </c>
      <c r="AP742" s="529">
        <v>0</v>
      </c>
      <c r="AQ742" s="529">
        <v>-42.831503399999995</v>
      </c>
      <c r="AR742" s="529">
        <v>0</v>
      </c>
    </row>
    <row r="743" spans="39:44">
      <c r="AM743" s="528">
        <v>45169</v>
      </c>
      <c r="AN743" s="529">
        <v>2.58</v>
      </c>
      <c r="AO743" s="529">
        <v>0</v>
      </c>
      <c r="AP743" s="529">
        <v>0</v>
      </c>
      <c r="AQ743" s="529">
        <v>-42.666130799999998</v>
      </c>
      <c r="AR743" s="529">
        <v>0</v>
      </c>
    </row>
    <row r="744" spans="39:44">
      <c r="AM744" s="528">
        <v>45168</v>
      </c>
      <c r="AN744" s="529">
        <v>2.63</v>
      </c>
      <c r="AO744" s="529">
        <v>0</v>
      </c>
      <c r="AP744" s="529">
        <v>0</v>
      </c>
      <c r="AQ744" s="529">
        <v>-43.492993800000001</v>
      </c>
      <c r="AR744" s="529">
        <v>0</v>
      </c>
    </row>
    <row r="745" spans="39:44">
      <c r="AM745" s="528">
        <v>45167</v>
      </c>
      <c r="AN745" s="529">
        <v>2.65</v>
      </c>
      <c r="AO745" s="529">
        <v>0</v>
      </c>
      <c r="AP745" s="529">
        <v>0</v>
      </c>
      <c r="AQ745" s="529">
        <v>-43.823738999999996</v>
      </c>
      <c r="AR745" s="529">
        <v>0</v>
      </c>
    </row>
    <row r="746" spans="39:44">
      <c r="AM746" s="528">
        <v>45166</v>
      </c>
      <c r="AN746" s="529">
        <v>2.61</v>
      </c>
      <c r="AO746" s="529">
        <v>0</v>
      </c>
      <c r="AP746" s="529">
        <v>0</v>
      </c>
      <c r="AQ746" s="529">
        <v>-43.162248599999998</v>
      </c>
      <c r="AR746" s="529">
        <v>0</v>
      </c>
    </row>
    <row r="747" spans="39:44">
      <c r="AM747" s="528">
        <v>45165</v>
      </c>
      <c r="AN747" s="529">
        <v>2.52</v>
      </c>
      <c r="AO747" s="529">
        <v>-169420</v>
      </c>
      <c r="AP747" s="529">
        <v>-33.07452</v>
      </c>
      <c r="AQ747" s="529">
        <v>-125.02168559999998</v>
      </c>
      <c r="AR747" s="529">
        <v>-0.153</v>
      </c>
    </row>
    <row r="748" spans="39:44">
      <c r="AM748" s="528">
        <v>45164</v>
      </c>
      <c r="AN748" s="529">
        <v>2.52</v>
      </c>
      <c r="AO748" s="529">
        <v>-84710</v>
      </c>
      <c r="AP748" s="529">
        <v>-16.53726</v>
      </c>
      <c r="AQ748" s="529">
        <v>-83.347790399999994</v>
      </c>
      <c r="AR748" s="529">
        <v>-7.6499999999999999E-2</v>
      </c>
    </row>
    <row r="749" spans="39:44">
      <c r="AM749" s="528">
        <v>45163</v>
      </c>
      <c r="AN749" s="529">
        <v>2.52</v>
      </c>
      <c r="AO749" s="529">
        <v>0</v>
      </c>
      <c r="AP749" s="529">
        <v>0</v>
      </c>
      <c r="AQ749" s="529">
        <v>-41.673895199999997</v>
      </c>
      <c r="AR749" s="529">
        <v>0</v>
      </c>
    </row>
    <row r="750" spans="39:44">
      <c r="AM750" s="528">
        <v>45162</v>
      </c>
      <c r="AN750" s="529">
        <v>2.5</v>
      </c>
      <c r="AO750" s="529">
        <v>0</v>
      </c>
      <c r="AP750" s="529">
        <v>0</v>
      </c>
      <c r="AQ750" s="529">
        <v>-41.343150000000001</v>
      </c>
      <c r="AR750" s="529">
        <v>0</v>
      </c>
    </row>
    <row r="751" spans="39:44">
      <c r="AM751" s="528">
        <v>45161</v>
      </c>
      <c r="AN751" s="529">
        <v>2.48</v>
      </c>
      <c r="AO751" s="529">
        <v>0</v>
      </c>
      <c r="AP751" s="529">
        <v>0</v>
      </c>
      <c r="AQ751" s="529">
        <v>-41.012404799999999</v>
      </c>
      <c r="AR751" s="529">
        <v>0</v>
      </c>
    </row>
    <row r="752" spans="39:44">
      <c r="AM752" s="528">
        <v>45160</v>
      </c>
      <c r="AN752" s="529">
        <v>2.4500000000000002</v>
      </c>
      <c r="AO752" s="529">
        <v>0</v>
      </c>
      <c r="AP752" s="529">
        <v>0</v>
      </c>
      <c r="AQ752" s="529">
        <v>-40.516287000000005</v>
      </c>
      <c r="AR752" s="529">
        <v>0</v>
      </c>
    </row>
    <row r="753" spans="39:44">
      <c r="AM753" s="528">
        <v>45159</v>
      </c>
      <c r="AN753" s="529">
        <v>2.4300000000000002</v>
      </c>
      <c r="AO753" s="529">
        <v>0</v>
      </c>
      <c r="AP753" s="529">
        <v>0</v>
      </c>
      <c r="AQ753" s="529">
        <v>-40.185541800000003</v>
      </c>
      <c r="AR753" s="529">
        <v>0</v>
      </c>
    </row>
    <row r="754" spans="39:44">
      <c r="AM754" s="528">
        <v>45158</v>
      </c>
      <c r="AN754" s="529">
        <v>2.46</v>
      </c>
      <c r="AO754" s="529">
        <v>-104910</v>
      </c>
      <c r="AP754" s="529">
        <v>-33.07452</v>
      </c>
      <c r="AQ754" s="529">
        <v>-122.0449788</v>
      </c>
      <c r="AR754" s="529">
        <v>-0.14940000000000001</v>
      </c>
    </row>
    <row r="755" spans="39:44">
      <c r="AM755" s="528">
        <v>45157</v>
      </c>
      <c r="AN755" s="529">
        <v>2.46</v>
      </c>
      <c r="AO755" s="529">
        <v>-52455</v>
      </c>
      <c r="AP755" s="529">
        <v>-16.53726</v>
      </c>
      <c r="AQ755" s="529">
        <v>-81.363319199999992</v>
      </c>
      <c r="AR755" s="529">
        <v>-7.4700000000000003E-2</v>
      </c>
    </row>
    <row r="756" spans="39:44">
      <c r="AM756" s="528">
        <v>45156</v>
      </c>
      <c r="AN756" s="529">
        <v>2.46</v>
      </c>
      <c r="AO756" s="529">
        <v>0</v>
      </c>
      <c r="AP756" s="529">
        <v>0</v>
      </c>
      <c r="AQ756" s="529">
        <v>-40.681659599999996</v>
      </c>
      <c r="AR756" s="529">
        <v>0</v>
      </c>
    </row>
    <row r="757" spans="39:44">
      <c r="AM757" s="528">
        <v>45155</v>
      </c>
      <c r="AN757" s="529">
        <v>2.42</v>
      </c>
      <c r="AO757" s="529">
        <v>0</v>
      </c>
      <c r="AP757" s="529">
        <v>0</v>
      </c>
      <c r="AQ757" s="529">
        <v>-40.020169199999998</v>
      </c>
      <c r="AR757" s="529">
        <v>0</v>
      </c>
    </row>
    <row r="758" spans="39:44">
      <c r="AM758" s="528">
        <v>45154</v>
      </c>
      <c r="AN758" s="529">
        <v>2.52</v>
      </c>
      <c r="AO758" s="529">
        <v>0</v>
      </c>
      <c r="AP758" s="529">
        <v>0</v>
      </c>
      <c r="AQ758" s="529">
        <v>-41.673895199999997</v>
      </c>
      <c r="AR758" s="529">
        <v>0</v>
      </c>
    </row>
    <row r="759" spans="39:44">
      <c r="AM759" s="528">
        <v>45153</v>
      </c>
      <c r="AN759" s="529">
        <v>2.59</v>
      </c>
      <c r="AO759" s="529">
        <v>0</v>
      </c>
      <c r="AP759" s="529">
        <v>0</v>
      </c>
      <c r="AQ759" s="529">
        <v>-42.831503399999995</v>
      </c>
      <c r="AR759" s="529">
        <v>0</v>
      </c>
    </row>
    <row r="760" spans="39:44">
      <c r="AM760" s="528">
        <v>45152</v>
      </c>
      <c r="AN760" s="529">
        <v>2.56</v>
      </c>
      <c r="AO760" s="529">
        <v>0</v>
      </c>
      <c r="AP760" s="529">
        <v>0</v>
      </c>
      <c r="AQ760" s="529">
        <v>-42.335385600000002</v>
      </c>
      <c r="AR760" s="529">
        <v>0</v>
      </c>
    </row>
    <row r="761" spans="39:44">
      <c r="AM761" s="528">
        <v>45151</v>
      </c>
      <c r="AN761" s="529">
        <v>2.4</v>
      </c>
      <c r="AO761" s="529">
        <v>-276260</v>
      </c>
      <c r="AP761" s="529">
        <v>-33.07452</v>
      </c>
      <c r="AQ761" s="529">
        <v>-119.06827199999998</v>
      </c>
      <c r="AR761" s="529">
        <v>-0.14580000000000001</v>
      </c>
    </row>
    <row r="762" spans="39:44">
      <c r="AM762" s="528">
        <v>45150</v>
      </c>
      <c r="AN762" s="529">
        <v>2.4</v>
      </c>
      <c r="AO762" s="529">
        <v>-138130</v>
      </c>
      <c r="AP762" s="529">
        <v>-16.53726</v>
      </c>
      <c r="AQ762" s="529">
        <v>-79.378847999999991</v>
      </c>
      <c r="AR762" s="529">
        <v>-7.2900000000000006E-2</v>
      </c>
    </row>
    <row r="763" spans="39:44">
      <c r="AM763" s="528">
        <v>45149</v>
      </c>
      <c r="AN763" s="529">
        <v>2.4</v>
      </c>
      <c r="AO763" s="529">
        <v>0</v>
      </c>
      <c r="AP763" s="529">
        <v>0</v>
      </c>
      <c r="AQ763" s="529">
        <v>-39.689423999999995</v>
      </c>
      <c r="AR763" s="529">
        <v>0</v>
      </c>
    </row>
    <row r="764" spans="39:44">
      <c r="AM764" s="528">
        <v>45148</v>
      </c>
      <c r="AN764" s="529">
        <v>2.31</v>
      </c>
      <c r="AO764" s="529">
        <v>0</v>
      </c>
      <c r="AP764" s="529">
        <v>0</v>
      </c>
      <c r="AQ764" s="529">
        <v>-38.201070600000001</v>
      </c>
      <c r="AR764" s="529">
        <v>0</v>
      </c>
    </row>
    <row r="765" spans="39:44">
      <c r="AM765" s="528">
        <v>45147</v>
      </c>
      <c r="AN765" s="529">
        <v>2.2400000000000002</v>
      </c>
      <c r="AO765" s="529">
        <v>0</v>
      </c>
      <c r="AP765" s="529">
        <v>0</v>
      </c>
      <c r="AQ765" s="529">
        <v>-34.162867200000001</v>
      </c>
      <c r="AR765" s="529">
        <v>0</v>
      </c>
    </row>
    <row r="766" spans="39:44">
      <c r="AM766" s="528">
        <v>45146</v>
      </c>
      <c r="AN766" s="529">
        <v>2.1800000000000002</v>
      </c>
      <c r="AO766" s="529">
        <v>0</v>
      </c>
      <c r="AP766" s="529">
        <v>0</v>
      </c>
      <c r="AQ766" s="529">
        <v>-33.2477904</v>
      </c>
      <c r="AR766" s="529">
        <v>0</v>
      </c>
    </row>
    <row r="767" spans="39:44">
      <c r="AM767" s="528">
        <v>45145</v>
      </c>
      <c r="AN767" s="529">
        <v>2.15</v>
      </c>
      <c r="AO767" s="529">
        <v>0</v>
      </c>
      <c r="AP767" s="529">
        <v>0</v>
      </c>
      <c r="AQ767" s="529">
        <v>-32.790251999999995</v>
      </c>
      <c r="AR767" s="529">
        <v>0</v>
      </c>
    </row>
    <row r="768" spans="39:44">
      <c r="AM768" s="528">
        <v>45144</v>
      </c>
      <c r="AN768" s="529">
        <v>2.13</v>
      </c>
      <c r="AO768" s="529">
        <v>-151762</v>
      </c>
      <c r="AP768" s="529">
        <v>-30.502559999999999</v>
      </c>
      <c r="AQ768" s="529">
        <v>-97.455679199999992</v>
      </c>
      <c r="AR768" s="529">
        <v>-0.12939999999999999</v>
      </c>
    </row>
    <row r="769" spans="39:44">
      <c r="AM769" s="528">
        <v>45143</v>
      </c>
      <c r="AN769" s="529">
        <v>2.13</v>
      </c>
      <c r="AO769" s="529">
        <v>-75881</v>
      </c>
      <c r="AP769" s="529">
        <v>-15.25128</v>
      </c>
      <c r="AQ769" s="529">
        <v>-64.97045279999999</v>
      </c>
      <c r="AR769" s="529">
        <v>-6.4699999999999994E-2</v>
      </c>
    </row>
    <row r="770" spans="39:44">
      <c r="AM770" s="528">
        <v>45142</v>
      </c>
      <c r="AN770" s="529">
        <v>2.13</v>
      </c>
      <c r="AO770" s="529">
        <v>0</v>
      </c>
      <c r="AP770" s="529">
        <v>0</v>
      </c>
      <c r="AQ770" s="529">
        <v>-32.485226399999995</v>
      </c>
      <c r="AR770" s="529">
        <v>0</v>
      </c>
    </row>
    <row r="771" spans="39:44">
      <c r="AM771" s="528">
        <v>45141</v>
      </c>
      <c r="AN771" s="529">
        <v>2.17</v>
      </c>
      <c r="AO771" s="529">
        <v>0</v>
      </c>
      <c r="AP771" s="529">
        <v>0</v>
      </c>
      <c r="AQ771" s="529">
        <v>-33.095277599999996</v>
      </c>
      <c r="AR771" s="529">
        <v>0</v>
      </c>
    </row>
    <row r="772" spans="39:44">
      <c r="AM772" s="528">
        <v>45140</v>
      </c>
      <c r="AN772" s="529">
        <v>2.0499999999999998</v>
      </c>
      <c r="AO772" s="529">
        <v>0</v>
      </c>
      <c r="AP772" s="529">
        <v>0</v>
      </c>
      <c r="AQ772" s="529">
        <v>-31.265123999999997</v>
      </c>
      <c r="AR772" s="529">
        <v>0</v>
      </c>
    </row>
    <row r="773" spans="39:44">
      <c r="AM773" s="528">
        <v>45139</v>
      </c>
      <c r="AN773" s="529">
        <v>2.04</v>
      </c>
      <c r="AO773" s="529">
        <v>0</v>
      </c>
      <c r="AP773" s="529">
        <v>0</v>
      </c>
      <c r="AQ773" s="529">
        <v>-31.1126112</v>
      </c>
      <c r="AR773" s="529">
        <v>0</v>
      </c>
    </row>
    <row r="774" spans="39:44">
      <c r="AM774" s="528">
        <v>45138</v>
      </c>
      <c r="AN774" s="529">
        <v>2.08</v>
      </c>
      <c r="AO774" s="529">
        <v>0</v>
      </c>
      <c r="AP774" s="529">
        <v>0</v>
      </c>
      <c r="AQ774" s="529">
        <v>-31.722662400000001</v>
      </c>
      <c r="AR774" s="529">
        <v>0</v>
      </c>
    </row>
    <row r="775" spans="39:44">
      <c r="AM775" s="528">
        <v>45137</v>
      </c>
      <c r="AN775" s="529">
        <v>2.09</v>
      </c>
      <c r="AO775" s="529">
        <v>-109344</v>
      </c>
      <c r="AP775" s="529">
        <v>-30.502559999999999</v>
      </c>
      <c r="AQ775" s="529">
        <v>-95.625525599999989</v>
      </c>
      <c r="AR775" s="529">
        <v>-0.127</v>
      </c>
    </row>
    <row r="776" spans="39:44">
      <c r="AM776" s="528">
        <v>45136</v>
      </c>
      <c r="AN776" s="529">
        <v>2.09</v>
      </c>
      <c r="AO776" s="529">
        <v>-54672</v>
      </c>
      <c r="AP776" s="529">
        <v>-15.25128</v>
      </c>
      <c r="AQ776" s="529">
        <v>-63.750350399999995</v>
      </c>
      <c r="AR776" s="529">
        <v>-6.3500000000000001E-2</v>
      </c>
    </row>
    <row r="777" spans="39:44">
      <c r="AM777" s="528">
        <v>45135</v>
      </c>
      <c r="AN777" s="529">
        <v>2.09</v>
      </c>
      <c r="AO777" s="529">
        <v>0</v>
      </c>
      <c r="AP777" s="529">
        <v>0</v>
      </c>
      <c r="AQ777" s="529">
        <v>-31.875175199999997</v>
      </c>
      <c r="AR777" s="529">
        <v>0</v>
      </c>
    </row>
    <row r="778" spans="39:44">
      <c r="AM778" s="528">
        <v>45134</v>
      </c>
      <c r="AN778" s="529">
        <v>2.02</v>
      </c>
      <c r="AO778" s="529">
        <v>0</v>
      </c>
      <c r="AP778" s="529">
        <v>0</v>
      </c>
      <c r="AQ778" s="529">
        <v>-30.807585599999999</v>
      </c>
      <c r="AR778" s="529">
        <v>0</v>
      </c>
    </row>
    <row r="779" spans="39:44">
      <c r="AM779" s="528">
        <v>45133</v>
      </c>
      <c r="AN779" s="529">
        <v>2.0099999999999998</v>
      </c>
      <c r="AO779" s="529">
        <v>0</v>
      </c>
      <c r="AP779" s="529">
        <v>0</v>
      </c>
      <c r="AQ779" s="529">
        <v>-30.655072799999996</v>
      </c>
      <c r="AR779" s="529">
        <v>0</v>
      </c>
    </row>
    <row r="780" spans="39:44">
      <c r="AM780" s="528">
        <v>45132</v>
      </c>
      <c r="AN780" s="529">
        <v>2.0099999999999998</v>
      </c>
      <c r="AO780" s="529">
        <v>0</v>
      </c>
      <c r="AP780" s="529">
        <v>0</v>
      </c>
      <c r="AQ780" s="529">
        <v>-30.655072799999996</v>
      </c>
      <c r="AR780" s="529">
        <v>0</v>
      </c>
    </row>
    <row r="781" spans="39:44">
      <c r="AM781" s="528">
        <v>45131</v>
      </c>
      <c r="AN781" s="529">
        <v>2.0099999999999998</v>
      </c>
      <c r="AO781" s="529">
        <v>0</v>
      </c>
      <c r="AP781" s="529">
        <v>0</v>
      </c>
      <c r="AQ781" s="529">
        <v>-30.655072799999996</v>
      </c>
      <c r="AR781" s="529">
        <v>0</v>
      </c>
    </row>
    <row r="782" spans="39:44">
      <c r="AM782" s="528">
        <v>45130</v>
      </c>
      <c r="AN782" s="529">
        <v>2</v>
      </c>
      <c r="AO782" s="529">
        <v>-40758</v>
      </c>
      <c r="AP782" s="529">
        <v>-30.502559999999999</v>
      </c>
      <c r="AQ782" s="529">
        <v>-91.507679999999993</v>
      </c>
      <c r="AR782" s="529">
        <v>-0.12139999999999999</v>
      </c>
    </row>
    <row r="783" spans="39:44">
      <c r="AM783" s="528">
        <v>45129</v>
      </c>
      <c r="AN783" s="529">
        <v>2</v>
      </c>
      <c r="AO783" s="529">
        <v>-20379</v>
      </c>
      <c r="AP783" s="529">
        <v>-15.25128</v>
      </c>
      <c r="AQ783" s="529">
        <v>-61.005119999999998</v>
      </c>
      <c r="AR783" s="529">
        <v>-6.0699999999999997E-2</v>
      </c>
    </row>
    <row r="784" spans="39:44">
      <c r="AM784" s="528">
        <v>45128</v>
      </c>
      <c r="AN784" s="529">
        <v>2</v>
      </c>
      <c r="AO784" s="529">
        <v>0</v>
      </c>
      <c r="AP784" s="529">
        <v>0</v>
      </c>
      <c r="AQ784" s="529">
        <v>-30.502559999999999</v>
      </c>
      <c r="AR784" s="529">
        <v>0</v>
      </c>
    </row>
    <row r="785" spans="39:44">
      <c r="AM785" s="528">
        <v>45127</v>
      </c>
      <c r="AN785" s="529">
        <v>1.98</v>
      </c>
      <c r="AO785" s="529">
        <v>0</v>
      </c>
      <c r="AP785" s="529">
        <v>0</v>
      </c>
      <c r="AQ785" s="529">
        <v>-30.197534399999999</v>
      </c>
      <c r="AR785" s="529">
        <v>0</v>
      </c>
    </row>
    <row r="786" spans="39:44">
      <c r="AM786" s="528">
        <v>45126</v>
      </c>
      <c r="AN786" s="529">
        <v>1.99</v>
      </c>
      <c r="AO786" s="529">
        <v>0</v>
      </c>
      <c r="AP786" s="529">
        <v>0</v>
      </c>
      <c r="AQ786" s="529">
        <v>-30.350047199999999</v>
      </c>
      <c r="AR786" s="529">
        <v>0</v>
      </c>
    </row>
    <row r="787" spans="39:44">
      <c r="AM787" s="528">
        <v>45125</v>
      </c>
      <c r="AN787" s="529">
        <v>2</v>
      </c>
      <c r="AO787" s="529">
        <v>0</v>
      </c>
      <c r="AP787" s="529">
        <v>0</v>
      </c>
      <c r="AQ787" s="529">
        <v>-30.502559999999999</v>
      </c>
      <c r="AR787" s="529">
        <v>0</v>
      </c>
    </row>
    <row r="788" spans="39:44">
      <c r="AM788" s="528">
        <v>45124</v>
      </c>
      <c r="AN788" s="529">
        <v>1.94</v>
      </c>
      <c r="AO788" s="529">
        <v>0</v>
      </c>
      <c r="AP788" s="529">
        <v>0</v>
      </c>
      <c r="AQ788" s="529">
        <v>-29.587483199999998</v>
      </c>
      <c r="AR788" s="529">
        <v>0</v>
      </c>
    </row>
    <row r="789" spans="39:44">
      <c r="AM789" s="528">
        <v>45123</v>
      </c>
      <c r="AN789" s="529">
        <v>1.97</v>
      </c>
      <c r="AO789" s="529">
        <v>-59168</v>
      </c>
      <c r="AP789" s="529">
        <v>-30.502559999999999</v>
      </c>
      <c r="AQ789" s="529">
        <v>-90.135064799999995</v>
      </c>
      <c r="AR789" s="529">
        <v>-0.1196</v>
      </c>
    </row>
    <row r="790" spans="39:44">
      <c r="AM790" s="528">
        <v>45122</v>
      </c>
      <c r="AN790" s="529">
        <v>1.97</v>
      </c>
      <c r="AO790" s="529">
        <v>-29584</v>
      </c>
      <c r="AP790" s="529">
        <v>-15.25128</v>
      </c>
      <c r="AQ790" s="529">
        <v>-60.090043199999997</v>
      </c>
      <c r="AR790" s="529">
        <v>-5.9799999999999999E-2</v>
      </c>
    </row>
    <row r="791" spans="39:44">
      <c r="AM791" s="528">
        <v>45121</v>
      </c>
      <c r="AN791" s="529">
        <v>1.97</v>
      </c>
      <c r="AO791" s="529">
        <v>0</v>
      </c>
      <c r="AP791" s="529">
        <v>0</v>
      </c>
      <c r="AQ791" s="529">
        <v>-30.045021599999998</v>
      </c>
      <c r="AR791" s="529">
        <v>0</v>
      </c>
    </row>
    <row r="792" spans="39:44">
      <c r="AM792" s="528">
        <v>45120</v>
      </c>
      <c r="AN792" s="529">
        <v>1.99</v>
      </c>
      <c r="AO792" s="529">
        <v>0</v>
      </c>
      <c r="AP792" s="529">
        <v>0</v>
      </c>
      <c r="AQ792" s="529">
        <v>-30.350047199999999</v>
      </c>
      <c r="AR792" s="529">
        <v>0</v>
      </c>
    </row>
    <row r="793" spans="39:44">
      <c r="AM793" s="528">
        <v>45119</v>
      </c>
      <c r="AN793" s="529">
        <v>1.99</v>
      </c>
      <c r="AO793" s="529">
        <v>0</v>
      </c>
      <c r="AP793" s="529">
        <v>0</v>
      </c>
      <c r="AQ793" s="529">
        <v>-30.350047199999999</v>
      </c>
      <c r="AR793" s="529">
        <v>0</v>
      </c>
    </row>
    <row r="794" spans="39:44">
      <c r="AM794" s="528">
        <v>45118</v>
      </c>
      <c r="AN794" s="529">
        <v>1.99</v>
      </c>
      <c r="AO794" s="529">
        <v>0</v>
      </c>
      <c r="AP794" s="529">
        <v>0</v>
      </c>
      <c r="AQ794" s="529">
        <v>-30.350047199999999</v>
      </c>
      <c r="AR794" s="529">
        <v>0</v>
      </c>
    </row>
    <row r="795" spans="39:44">
      <c r="AM795" s="528">
        <v>45117</v>
      </c>
      <c r="AN795" s="529">
        <v>2.0099999999999998</v>
      </c>
      <c r="AO795" s="529">
        <v>0</v>
      </c>
      <c r="AP795" s="529">
        <v>0</v>
      </c>
      <c r="AQ795" s="529">
        <v>-30.655072799999996</v>
      </c>
      <c r="AR795" s="529">
        <v>0</v>
      </c>
    </row>
    <row r="796" spans="39:44">
      <c r="AM796" s="528">
        <v>45116</v>
      </c>
      <c r="AN796" s="529">
        <v>1.99</v>
      </c>
      <c r="AO796" s="529">
        <v>-48926</v>
      </c>
      <c r="AP796" s="529">
        <v>-30.502559999999999</v>
      </c>
      <c r="AQ796" s="529">
        <v>-91.050141599999989</v>
      </c>
      <c r="AR796" s="529">
        <v>-0.1208</v>
      </c>
    </row>
    <row r="797" spans="39:44">
      <c r="AM797" s="528">
        <v>45115</v>
      </c>
      <c r="AN797" s="529">
        <v>1.99</v>
      </c>
      <c r="AO797" s="529">
        <v>-24463</v>
      </c>
      <c r="AP797" s="529">
        <v>-15.25128</v>
      </c>
      <c r="AQ797" s="529">
        <v>-60.700094399999998</v>
      </c>
      <c r="AR797" s="529">
        <v>-6.0400000000000002E-2</v>
      </c>
    </row>
    <row r="798" spans="39:44">
      <c r="AM798" s="528">
        <v>45114</v>
      </c>
      <c r="AN798" s="529">
        <v>1.99</v>
      </c>
      <c r="AO798" s="529">
        <v>0</v>
      </c>
      <c r="AP798" s="529">
        <v>0</v>
      </c>
      <c r="AQ798" s="529">
        <v>-30.350047199999999</v>
      </c>
      <c r="AR798" s="529">
        <v>0</v>
      </c>
    </row>
    <row r="799" spans="39:44">
      <c r="AM799" s="528">
        <v>45113</v>
      </c>
      <c r="AN799" s="529">
        <v>1.99</v>
      </c>
      <c r="AO799" s="529">
        <v>0</v>
      </c>
      <c r="AP799" s="529">
        <v>0</v>
      </c>
      <c r="AQ799" s="529">
        <v>-30.350047199999999</v>
      </c>
      <c r="AR799" s="529">
        <v>0</v>
      </c>
    </row>
    <row r="800" spans="39:44">
      <c r="AM800" s="528">
        <v>45112</v>
      </c>
      <c r="AN800" s="529">
        <v>2.0699999999999998</v>
      </c>
      <c r="AO800" s="529">
        <v>0</v>
      </c>
      <c r="AP800" s="529">
        <v>0</v>
      </c>
      <c r="AQ800" s="529">
        <v>-31.570149599999997</v>
      </c>
      <c r="AR800" s="529">
        <v>0</v>
      </c>
    </row>
    <row r="801" spans="39:44">
      <c r="AM801" s="528">
        <v>45111</v>
      </c>
      <c r="AN801" s="529">
        <v>2.12</v>
      </c>
      <c r="AO801" s="529">
        <v>-21450</v>
      </c>
      <c r="AP801" s="529">
        <v>-15.25128</v>
      </c>
      <c r="AQ801" s="529">
        <v>-64.665427199999996</v>
      </c>
      <c r="AR801" s="529">
        <v>-6.4399999999999999E-2</v>
      </c>
    </row>
    <row r="802" spans="39:44">
      <c r="AM802" s="528">
        <v>45110</v>
      </c>
      <c r="AN802" s="529">
        <v>2.12</v>
      </c>
      <c r="AO802" s="529">
        <v>0</v>
      </c>
      <c r="AP802" s="529">
        <v>0</v>
      </c>
      <c r="AQ802" s="529">
        <v>-32.332713599999998</v>
      </c>
      <c r="AR802" s="529">
        <v>0</v>
      </c>
    </row>
    <row r="803" spans="39:44">
      <c r="AM803" s="528">
        <v>45109</v>
      </c>
      <c r="AN803" s="529">
        <v>2.04</v>
      </c>
      <c r="AO803" s="529">
        <v>-95400</v>
      </c>
      <c r="AP803" s="529">
        <v>-30.502559999999999</v>
      </c>
      <c r="AQ803" s="529">
        <v>-93.337833599999996</v>
      </c>
      <c r="AR803" s="529">
        <v>-0.124</v>
      </c>
    </row>
    <row r="804" spans="39:44">
      <c r="AM804" s="528">
        <v>45108</v>
      </c>
      <c r="AN804" s="529">
        <v>2.04</v>
      </c>
      <c r="AO804" s="529">
        <v>-47700</v>
      </c>
      <c r="AP804" s="529">
        <v>-15.25128</v>
      </c>
      <c r="AQ804" s="529">
        <v>-62.2252224</v>
      </c>
      <c r="AR804" s="529">
        <v>-6.2E-2</v>
      </c>
    </row>
    <row r="805" spans="39:44">
      <c r="AM805" s="528">
        <v>45107</v>
      </c>
      <c r="AN805" s="529">
        <v>2.04</v>
      </c>
      <c r="AO805" s="529">
        <v>0</v>
      </c>
      <c r="AP805" s="529">
        <v>0</v>
      </c>
      <c r="AQ805" s="529">
        <v>-31.1126112</v>
      </c>
      <c r="AR805" s="529">
        <v>0</v>
      </c>
    </row>
    <row r="806" spans="39:44">
      <c r="AM806" s="528">
        <v>45106</v>
      </c>
      <c r="AN806" s="529">
        <v>2.0499999999999998</v>
      </c>
      <c r="AO806" s="529">
        <v>0</v>
      </c>
      <c r="AP806" s="529">
        <v>0</v>
      </c>
      <c r="AQ806" s="529">
        <v>-31.265123999999997</v>
      </c>
      <c r="AR806" s="529">
        <v>0</v>
      </c>
    </row>
    <row r="807" spans="39:44">
      <c r="AM807" s="528">
        <v>45105</v>
      </c>
      <c r="AN807" s="529">
        <v>2.0699999999999998</v>
      </c>
      <c r="AO807" s="529">
        <v>0</v>
      </c>
      <c r="AP807" s="529">
        <v>0</v>
      </c>
      <c r="AQ807" s="529">
        <v>-31.570149599999997</v>
      </c>
      <c r="AR807" s="529">
        <v>0</v>
      </c>
    </row>
    <row r="808" spans="39:44">
      <c r="AM808" s="528">
        <v>45104</v>
      </c>
      <c r="AN808" s="529">
        <v>2.15</v>
      </c>
      <c r="AO808" s="529">
        <v>0</v>
      </c>
      <c r="AP808" s="529">
        <v>0</v>
      </c>
      <c r="AQ808" s="529">
        <v>-32.790251999999995</v>
      </c>
      <c r="AR808" s="529">
        <v>0</v>
      </c>
    </row>
    <row r="809" spans="39:44">
      <c r="AM809" s="528">
        <v>45103</v>
      </c>
      <c r="AN809" s="529">
        <v>2.13</v>
      </c>
      <c r="AO809" s="529">
        <v>0</v>
      </c>
      <c r="AP809" s="529">
        <v>0</v>
      </c>
      <c r="AQ809" s="529">
        <v>-32.485226399999995</v>
      </c>
      <c r="AR809" s="529">
        <v>0</v>
      </c>
    </row>
    <row r="810" spans="39:44">
      <c r="AM810" s="528">
        <v>45102</v>
      </c>
      <c r="AN810" s="529">
        <v>2.1800000000000002</v>
      </c>
      <c r="AO810" s="529">
        <v>-488650</v>
      </c>
      <c r="AP810" s="529">
        <v>-30.502559999999999</v>
      </c>
      <c r="AQ810" s="529">
        <v>-99.743371199999999</v>
      </c>
      <c r="AR810" s="529">
        <v>-0.1318</v>
      </c>
    </row>
    <row r="811" spans="39:44">
      <c r="AM811" s="528">
        <v>45101</v>
      </c>
      <c r="AN811" s="529">
        <v>2.1800000000000002</v>
      </c>
      <c r="AO811" s="529">
        <v>-244325</v>
      </c>
      <c r="AP811" s="529">
        <v>-15.25128</v>
      </c>
      <c r="AQ811" s="529">
        <v>-66.495580799999999</v>
      </c>
      <c r="AR811" s="529">
        <v>-6.59E-2</v>
      </c>
    </row>
    <row r="812" spans="39:44">
      <c r="AM812" s="528">
        <v>45100</v>
      </c>
      <c r="AN812" s="529">
        <v>2.1800000000000002</v>
      </c>
      <c r="AO812" s="529">
        <v>0</v>
      </c>
      <c r="AP812" s="529">
        <v>0</v>
      </c>
      <c r="AQ812" s="529">
        <v>-33.2477904</v>
      </c>
      <c r="AR812" s="529">
        <v>0</v>
      </c>
    </row>
    <row r="813" spans="39:44">
      <c r="AM813" s="528">
        <v>45099</v>
      </c>
      <c r="AN813" s="529">
        <v>2.02</v>
      </c>
      <c r="AO813" s="529">
        <v>0</v>
      </c>
      <c r="AP813" s="529">
        <v>0</v>
      </c>
      <c r="AQ813" s="529">
        <v>-30.807585599999999</v>
      </c>
      <c r="AR813" s="529">
        <v>0</v>
      </c>
    </row>
    <row r="814" spans="39:44">
      <c r="AM814" s="528">
        <v>45098</v>
      </c>
      <c r="AN814" s="529">
        <v>2.06</v>
      </c>
      <c r="AO814" s="529">
        <v>0</v>
      </c>
      <c r="AP814" s="529">
        <v>0</v>
      </c>
      <c r="AQ814" s="529">
        <v>-31.4176368</v>
      </c>
      <c r="AR814" s="529">
        <v>0</v>
      </c>
    </row>
    <row r="815" spans="39:44">
      <c r="AM815" s="528">
        <v>45097</v>
      </c>
      <c r="AN815" s="529">
        <v>2.14</v>
      </c>
      <c r="AO815" s="529">
        <v>0</v>
      </c>
      <c r="AP815" s="529">
        <v>0</v>
      </c>
      <c r="AQ815" s="529">
        <v>-32.637739199999999</v>
      </c>
      <c r="AR815" s="529">
        <v>0</v>
      </c>
    </row>
    <row r="816" spans="39:44">
      <c r="AM816" s="528">
        <v>45096</v>
      </c>
      <c r="AN816" s="529">
        <v>2.15</v>
      </c>
      <c r="AO816" s="529">
        <v>-147627</v>
      </c>
      <c r="AP816" s="529">
        <v>-45.753839999999997</v>
      </c>
      <c r="AQ816" s="529">
        <v>-131.16100799999998</v>
      </c>
      <c r="AR816" s="529">
        <v>-0.19500000000000001</v>
      </c>
    </row>
    <row r="817" spans="39:44">
      <c r="AM817" s="528">
        <v>45095</v>
      </c>
      <c r="AN817" s="529">
        <v>2.15</v>
      </c>
      <c r="AO817" s="529">
        <v>-98418</v>
      </c>
      <c r="AP817" s="529">
        <v>-30.502559999999999</v>
      </c>
      <c r="AQ817" s="529">
        <v>-98.370755999999986</v>
      </c>
      <c r="AR817" s="529">
        <v>-0.13</v>
      </c>
    </row>
    <row r="818" spans="39:44">
      <c r="AM818" s="528">
        <v>45094</v>
      </c>
      <c r="AN818" s="529">
        <v>2.15</v>
      </c>
      <c r="AO818" s="529">
        <v>-49209</v>
      </c>
      <c r="AP818" s="529">
        <v>-15.25128</v>
      </c>
      <c r="AQ818" s="529">
        <v>-65.580503999999991</v>
      </c>
      <c r="AR818" s="529">
        <v>-6.5000000000000002E-2</v>
      </c>
    </row>
    <row r="819" spans="39:44">
      <c r="AM819" s="528">
        <v>45093</v>
      </c>
      <c r="AN819" s="529">
        <v>2.15</v>
      </c>
      <c r="AO819" s="529">
        <v>0</v>
      </c>
      <c r="AP819" s="529">
        <v>0</v>
      </c>
      <c r="AQ819" s="529">
        <v>-32.790251999999995</v>
      </c>
      <c r="AR819" s="529">
        <v>0</v>
      </c>
    </row>
    <row r="820" spans="39:44">
      <c r="AM820" s="528">
        <v>45092</v>
      </c>
      <c r="AN820" s="529">
        <v>2.25</v>
      </c>
      <c r="AO820" s="529">
        <v>0</v>
      </c>
      <c r="AP820" s="529">
        <v>0</v>
      </c>
      <c r="AQ820" s="529">
        <v>-34.315379999999998</v>
      </c>
      <c r="AR820" s="529">
        <v>0</v>
      </c>
    </row>
    <row r="821" spans="39:44">
      <c r="AM821" s="528">
        <v>45091</v>
      </c>
      <c r="AN821" s="529">
        <v>2.25</v>
      </c>
      <c r="AO821" s="529">
        <v>0</v>
      </c>
      <c r="AP821" s="529">
        <v>0</v>
      </c>
      <c r="AQ821" s="529">
        <v>-34.315379999999998</v>
      </c>
      <c r="AR821" s="529">
        <v>0</v>
      </c>
    </row>
    <row r="822" spans="39:44">
      <c r="AM822" s="528">
        <v>45090</v>
      </c>
      <c r="AN822" s="529">
        <v>2.29</v>
      </c>
      <c r="AO822" s="529">
        <v>0</v>
      </c>
      <c r="AP822" s="529">
        <v>0</v>
      </c>
      <c r="AQ822" s="529">
        <v>-34.925431199999998</v>
      </c>
      <c r="AR822" s="529">
        <v>0</v>
      </c>
    </row>
    <row r="823" spans="39:44">
      <c r="AM823" s="528">
        <v>45089</v>
      </c>
      <c r="AN823" s="529">
        <v>2.25</v>
      </c>
      <c r="AO823" s="529">
        <v>0</v>
      </c>
      <c r="AP823" s="529">
        <v>0</v>
      </c>
      <c r="AQ823" s="529">
        <v>-34.315379999999998</v>
      </c>
      <c r="AR823" s="529">
        <v>0</v>
      </c>
    </row>
    <row r="824" spans="39:44">
      <c r="AM824" s="528">
        <v>45088</v>
      </c>
      <c r="AN824" s="529">
        <v>2.29</v>
      </c>
      <c r="AO824" s="529">
        <v>-182884</v>
      </c>
      <c r="AP824" s="529">
        <v>-30.502559999999999</v>
      </c>
      <c r="AQ824" s="529">
        <v>-104.7762936</v>
      </c>
      <c r="AR824" s="529">
        <v>-0.1384</v>
      </c>
    </row>
    <row r="825" spans="39:44">
      <c r="AM825" s="528">
        <v>45087</v>
      </c>
      <c r="AN825" s="529">
        <v>2.29</v>
      </c>
      <c r="AO825" s="529">
        <v>-91442</v>
      </c>
      <c r="AP825" s="529">
        <v>-15.25128</v>
      </c>
      <c r="AQ825" s="529">
        <v>-69.850862399999997</v>
      </c>
      <c r="AR825" s="529">
        <v>-6.9199999999999998E-2</v>
      </c>
    </row>
    <row r="826" spans="39:44">
      <c r="AM826" s="528">
        <v>45086</v>
      </c>
      <c r="AN826" s="529">
        <v>2.29</v>
      </c>
      <c r="AO826" s="529">
        <v>0</v>
      </c>
      <c r="AP826" s="529">
        <v>0</v>
      </c>
      <c r="AQ826" s="529">
        <v>-34.925431199999998</v>
      </c>
      <c r="AR826" s="529">
        <v>0</v>
      </c>
    </row>
    <row r="827" spans="39:44">
      <c r="AM827" s="528">
        <v>45085</v>
      </c>
      <c r="AN827" s="529">
        <v>2.19</v>
      </c>
      <c r="AO827" s="529">
        <v>0</v>
      </c>
      <c r="AP827" s="529">
        <v>0</v>
      </c>
      <c r="AQ827" s="529">
        <v>-33.400303199999996</v>
      </c>
      <c r="AR827" s="529">
        <v>0</v>
      </c>
    </row>
    <row r="828" spans="39:44">
      <c r="AM828" s="528">
        <v>45084</v>
      </c>
      <c r="AN828" s="529">
        <v>2.19</v>
      </c>
      <c r="AO828" s="529">
        <v>0</v>
      </c>
      <c r="AP828" s="529">
        <v>0</v>
      </c>
      <c r="AQ828" s="529">
        <v>-33.400303199999996</v>
      </c>
      <c r="AR828" s="529">
        <v>0</v>
      </c>
    </row>
    <row r="829" spans="39:44">
      <c r="AM829" s="528">
        <v>45083</v>
      </c>
      <c r="AN829" s="529">
        <v>2.1</v>
      </c>
      <c r="AO829" s="529">
        <v>0</v>
      </c>
      <c r="AP829" s="529">
        <v>0</v>
      </c>
      <c r="AQ829" s="529">
        <v>-32.027687999999998</v>
      </c>
      <c r="AR829" s="529">
        <v>0</v>
      </c>
    </row>
    <row r="830" spans="39:44">
      <c r="AM830" s="528">
        <v>45082</v>
      </c>
      <c r="AN830" s="529">
        <v>2.04</v>
      </c>
      <c r="AO830" s="529">
        <v>0</v>
      </c>
      <c r="AP830" s="529">
        <v>0</v>
      </c>
      <c r="AQ830" s="529">
        <v>-31.1126112</v>
      </c>
      <c r="AR830" s="529">
        <v>0</v>
      </c>
    </row>
    <row r="831" spans="39:44">
      <c r="AM831" s="528">
        <v>45081</v>
      </c>
      <c r="AN831" s="529">
        <v>2.09</v>
      </c>
      <c r="AO831" s="529">
        <v>-96498</v>
      </c>
      <c r="AP831" s="529">
        <v>-30.502559999999999</v>
      </c>
      <c r="AQ831" s="529">
        <v>-95.625525599999989</v>
      </c>
      <c r="AR831" s="529">
        <v>-0.12640000000000001</v>
      </c>
    </row>
    <row r="832" spans="39:44">
      <c r="AM832" s="528">
        <v>45080</v>
      </c>
      <c r="AN832" s="529">
        <v>2.09</v>
      </c>
      <c r="AO832" s="529">
        <v>-48249</v>
      </c>
      <c r="AP832" s="529">
        <v>-15.25128</v>
      </c>
      <c r="AQ832" s="529">
        <v>-63.750350399999995</v>
      </c>
      <c r="AR832" s="529">
        <v>-6.3200000000000006E-2</v>
      </c>
    </row>
    <row r="833" spans="39:44">
      <c r="AM833" s="528">
        <v>45079</v>
      </c>
      <c r="AN833" s="529">
        <v>2.09</v>
      </c>
      <c r="AO833" s="529">
        <v>0</v>
      </c>
      <c r="AP833" s="529">
        <v>0</v>
      </c>
      <c r="AQ833" s="529">
        <v>-31.875175199999997</v>
      </c>
      <c r="AR833" s="529">
        <v>0</v>
      </c>
    </row>
    <row r="834" spans="39:44">
      <c r="AM834" s="528">
        <v>45078</v>
      </c>
      <c r="AN834" s="529">
        <v>2.08</v>
      </c>
      <c r="AO834" s="529">
        <v>0</v>
      </c>
      <c r="AP834" s="529">
        <v>0</v>
      </c>
      <c r="AQ834" s="529">
        <v>-31.722662400000001</v>
      </c>
      <c r="AR834" s="529">
        <v>0</v>
      </c>
    </row>
    <row r="835" spans="39:44">
      <c r="AM835" s="528">
        <v>45077</v>
      </c>
      <c r="AN835" s="529">
        <v>2.04</v>
      </c>
      <c r="AO835" s="529">
        <v>0</v>
      </c>
      <c r="AP835" s="529">
        <v>0</v>
      </c>
      <c r="AQ835" s="529">
        <v>-31.1126112</v>
      </c>
      <c r="AR835" s="529">
        <v>0</v>
      </c>
    </row>
    <row r="836" spans="39:44">
      <c r="AM836" s="528">
        <v>45076</v>
      </c>
      <c r="AN836" s="529">
        <v>2.04</v>
      </c>
      <c r="AO836" s="529">
        <v>0</v>
      </c>
      <c r="AP836" s="529">
        <v>0</v>
      </c>
      <c r="AQ836" s="529">
        <v>-31.1126112</v>
      </c>
      <c r="AR836" s="529">
        <v>0</v>
      </c>
    </row>
    <row r="837" spans="39:44">
      <c r="AM837" s="528">
        <v>45075</v>
      </c>
      <c r="AN837" s="529">
        <v>2.2000000000000002</v>
      </c>
      <c r="AO837" s="529">
        <v>-39783</v>
      </c>
      <c r="AP837" s="529">
        <v>-45.753839999999997</v>
      </c>
      <c r="AQ837" s="529">
        <v>-134.211264</v>
      </c>
      <c r="AR837" s="529">
        <v>-0.19950000000000001</v>
      </c>
    </row>
    <row r="838" spans="39:44">
      <c r="AM838" s="528">
        <v>45074</v>
      </c>
      <c r="AN838" s="529">
        <v>2.2000000000000002</v>
      </c>
      <c r="AO838" s="529">
        <v>-26522</v>
      </c>
      <c r="AP838" s="529">
        <v>-30.502559999999999</v>
      </c>
      <c r="AQ838" s="529">
        <v>-100.65844799999999</v>
      </c>
      <c r="AR838" s="529">
        <v>-0.13300000000000001</v>
      </c>
    </row>
    <row r="839" spans="39:44">
      <c r="AM839" s="528">
        <v>45073</v>
      </c>
      <c r="AN839" s="529">
        <v>2.2000000000000002</v>
      </c>
      <c r="AO839" s="529">
        <v>-13261</v>
      </c>
      <c r="AP839" s="529">
        <v>-15.25128</v>
      </c>
      <c r="AQ839" s="529">
        <v>-67.105632</v>
      </c>
      <c r="AR839" s="529">
        <v>-6.6500000000000004E-2</v>
      </c>
    </row>
    <row r="840" spans="39:44">
      <c r="AM840" s="528">
        <v>45072</v>
      </c>
      <c r="AN840" s="529">
        <v>2.2000000000000002</v>
      </c>
      <c r="AO840" s="529">
        <v>0</v>
      </c>
      <c r="AP840" s="529">
        <v>0</v>
      </c>
      <c r="AQ840" s="529">
        <v>-33.552816</v>
      </c>
      <c r="AR840" s="529">
        <v>0</v>
      </c>
    </row>
    <row r="841" spans="39:44">
      <c r="AM841" s="528">
        <v>45071</v>
      </c>
      <c r="AN841" s="529">
        <v>2.2000000000000002</v>
      </c>
      <c r="AO841" s="529">
        <v>0</v>
      </c>
      <c r="AP841" s="529">
        <v>0</v>
      </c>
      <c r="AQ841" s="529">
        <v>-33.552816</v>
      </c>
      <c r="AR841" s="529">
        <v>0</v>
      </c>
    </row>
    <row r="842" spans="39:44">
      <c r="AM842" s="528">
        <v>45070</v>
      </c>
      <c r="AN842" s="529">
        <v>2.2400000000000002</v>
      </c>
      <c r="AO842" s="529">
        <v>0</v>
      </c>
      <c r="AP842" s="529">
        <v>0</v>
      </c>
      <c r="AQ842" s="529">
        <v>-34.162867200000001</v>
      </c>
      <c r="AR842" s="529">
        <v>0</v>
      </c>
    </row>
    <row r="843" spans="39:44">
      <c r="AM843" s="528">
        <v>45069</v>
      </c>
      <c r="AN843" s="529">
        <v>2.14</v>
      </c>
      <c r="AO843" s="529">
        <v>0</v>
      </c>
      <c r="AP843" s="529">
        <v>0</v>
      </c>
      <c r="AQ843" s="529">
        <v>-32.637739199999999</v>
      </c>
      <c r="AR843" s="529">
        <v>0</v>
      </c>
    </row>
    <row r="844" spans="39:44">
      <c r="AM844" s="528">
        <v>45068</v>
      </c>
      <c r="AN844" s="529">
        <v>2.2000000000000002</v>
      </c>
      <c r="AO844" s="529">
        <v>0</v>
      </c>
      <c r="AP844" s="529">
        <v>0</v>
      </c>
      <c r="AQ844" s="529">
        <v>-33.552816</v>
      </c>
      <c r="AR844" s="529">
        <v>0</v>
      </c>
    </row>
    <row r="845" spans="39:44">
      <c r="AM845" s="528">
        <v>45067</v>
      </c>
      <c r="AN845" s="529">
        <v>2.21</v>
      </c>
      <c r="AO845" s="529">
        <v>-70318</v>
      </c>
      <c r="AP845" s="529">
        <v>-30.502559999999999</v>
      </c>
      <c r="AQ845" s="529">
        <v>-101.1159864</v>
      </c>
      <c r="AR845" s="529">
        <v>-0.1336</v>
      </c>
    </row>
    <row r="846" spans="39:44">
      <c r="AM846" s="528">
        <v>45066</v>
      </c>
      <c r="AN846" s="529">
        <v>2.21</v>
      </c>
      <c r="AO846" s="529">
        <v>-35159</v>
      </c>
      <c r="AP846" s="529">
        <v>-15.25128</v>
      </c>
      <c r="AQ846" s="529">
        <v>-67.410657599999993</v>
      </c>
      <c r="AR846" s="529">
        <v>-6.6799999999999998E-2</v>
      </c>
    </row>
    <row r="847" spans="39:44">
      <c r="AM847" s="528">
        <v>45065</v>
      </c>
      <c r="AN847" s="529">
        <v>2.21</v>
      </c>
      <c r="AO847" s="529">
        <v>0</v>
      </c>
      <c r="AP847" s="529">
        <v>0</v>
      </c>
      <c r="AQ847" s="529">
        <v>-33.705328799999997</v>
      </c>
      <c r="AR847" s="529">
        <v>0</v>
      </c>
    </row>
    <row r="848" spans="39:44">
      <c r="AM848" s="528">
        <v>45064</v>
      </c>
      <c r="AN848" s="529">
        <v>2.27</v>
      </c>
      <c r="AO848" s="529">
        <v>0</v>
      </c>
      <c r="AP848" s="529">
        <v>0</v>
      </c>
      <c r="AQ848" s="529">
        <v>-34.620405599999998</v>
      </c>
      <c r="AR848" s="529">
        <v>0</v>
      </c>
    </row>
    <row r="849" spans="39:44">
      <c r="AM849" s="528">
        <v>45063</v>
      </c>
      <c r="AN849" s="529">
        <v>2.14</v>
      </c>
      <c r="AO849" s="529">
        <v>0</v>
      </c>
      <c r="AP849" s="529">
        <v>0</v>
      </c>
      <c r="AQ849" s="529">
        <v>-32.637739199999999</v>
      </c>
      <c r="AR849" s="529">
        <v>0</v>
      </c>
    </row>
    <row r="850" spans="39:44">
      <c r="AM850" s="528">
        <v>45062</v>
      </c>
      <c r="AN850" s="529">
        <v>2.0699999999999998</v>
      </c>
      <c r="AO850" s="529">
        <v>0</v>
      </c>
      <c r="AP850" s="529">
        <v>0</v>
      </c>
      <c r="AQ850" s="529">
        <v>-31.570149599999997</v>
      </c>
      <c r="AR850" s="529">
        <v>0</v>
      </c>
    </row>
    <row r="851" spans="39:44">
      <c r="AM851" s="528">
        <v>45061</v>
      </c>
      <c r="AN851" s="529">
        <v>2.0699999999999998</v>
      </c>
      <c r="AO851" s="529">
        <v>0</v>
      </c>
      <c r="AP851" s="529">
        <v>0</v>
      </c>
      <c r="AQ851" s="529">
        <v>-31.570149599999997</v>
      </c>
      <c r="AR851" s="529">
        <v>0</v>
      </c>
    </row>
    <row r="852" spans="39:44">
      <c r="AM852" s="528">
        <v>45060</v>
      </c>
      <c r="AN852" s="529">
        <v>2.12</v>
      </c>
      <c r="AO852" s="529">
        <v>-545638</v>
      </c>
      <c r="AP852" s="529">
        <v>-30.502559999999999</v>
      </c>
      <c r="AQ852" s="529">
        <v>-96.998140799999987</v>
      </c>
      <c r="AR852" s="529">
        <v>-0.12820000000000001</v>
      </c>
    </row>
    <row r="853" spans="39:44">
      <c r="AM853" s="528">
        <v>45059</v>
      </c>
      <c r="AN853" s="529">
        <v>2.12</v>
      </c>
      <c r="AO853" s="529">
        <v>-272819</v>
      </c>
      <c r="AP853" s="529">
        <v>-15.25128</v>
      </c>
      <c r="AQ853" s="529">
        <v>-64.665427199999996</v>
      </c>
      <c r="AR853" s="529">
        <v>-6.4100000000000004E-2</v>
      </c>
    </row>
    <row r="854" spans="39:44">
      <c r="AM854" s="528">
        <v>45058</v>
      </c>
      <c r="AN854" s="529">
        <v>2.12</v>
      </c>
      <c r="AO854" s="529">
        <v>0</v>
      </c>
      <c r="AP854" s="529">
        <v>0</v>
      </c>
      <c r="AQ854" s="529">
        <v>-32.332713599999998</v>
      </c>
      <c r="AR854" s="529">
        <v>0</v>
      </c>
    </row>
    <row r="855" spans="39:44">
      <c r="AM855" s="528">
        <v>45057</v>
      </c>
      <c r="AN855" s="529">
        <v>2.0499999999999998</v>
      </c>
      <c r="AO855" s="529">
        <v>0</v>
      </c>
      <c r="AP855" s="529">
        <v>0</v>
      </c>
      <c r="AQ855" s="529">
        <v>-31.203623999999998</v>
      </c>
      <c r="AR855" s="529">
        <v>0</v>
      </c>
    </row>
    <row r="856" spans="39:44">
      <c r="AM856" s="528">
        <v>45056</v>
      </c>
      <c r="AN856" s="529">
        <v>2.02</v>
      </c>
      <c r="AO856" s="529">
        <v>0</v>
      </c>
      <c r="AP856" s="529">
        <v>0</v>
      </c>
      <c r="AQ856" s="529">
        <v>-30.746985600000002</v>
      </c>
      <c r="AR856" s="529">
        <v>0</v>
      </c>
    </row>
    <row r="857" spans="39:44">
      <c r="AM857" s="528">
        <v>45055</v>
      </c>
      <c r="AN857" s="529">
        <v>2.0099999999999998</v>
      </c>
      <c r="AO857" s="529">
        <v>0</v>
      </c>
      <c r="AP857" s="529">
        <v>0</v>
      </c>
      <c r="AQ857" s="529">
        <v>-30.594772799999998</v>
      </c>
      <c r="AR857" s="529">
        <v>0</v>
      </c>
    </row>
    <row r="858" spans="39:44">
      <c r="AM858" s="528">
        <v>45054</v>
      </c>
      <c r="AN858" s="529">
        <v>2.0299999999999998</v>
      </c>
      <c r="AO858" s="529">
        <v>0</v>
      </c>
      <c r="AP858" s="529">
        <v>0</v>
      </c>
      <c r="AQ858" s="529">
        <v>-30.899198399999996</v>
      </c>
      <c r="AR858" s="529">
        <v>0</v>
      </c>
    </row>
    <row r="859" spans="39:44">
      <c r="AM859" s="528">
        <v>45053</v>
      </c>
      <c r="AN859" s="529">
        <v>2.06</v>
      </c>
      <c r="AO859" s="529">
        <v>-112088</v>
      </c>
      <c r="AP859" s="529">
        <v>-30.44256</v>
      </c>
      <c r="AQ859" s="529">
        <v>-94.067510400000003</v>
      </c>
      <c r="AR859" s="529">
        <v>-0.1246</v>
      </c>
    </row>
    <row r="860" spans="39:44">
      <c r="AM860" s="528">
        <v>45052</v>
      </c>
      <c r="AN860" s="529">
        <v>2.06</v>
      </c>
      <c r="AO860" s="529">
        <v>-56044</v>
      </c>
      <c r="AP860" s="529">
        <v>-15.22128</v>
      </c>
      <c r="AQ860" s="529">
        <v>-62.711673600000005</v>
      </c>
      <c r="AR860" s="529">
        <v>-6.2300000000000001E-2</v>
      </c>
    </row>
    <row r="861" spans="39:44">
      <c r="AM861" s="528">
        <v>45051</v>
      </c>
      <c r="AN861" s="529">
        <v>2.06</v>
      </c>
      <c r="AO861" s="529">
        <v>0</v>
      </c>
      <c r="AP861" s="529">
        <v>0</v>
      </c>
      <c r="AQ861" s="529">
        <v>-31.355836800000002</v>
      </c>
      <c r="AR861" s="529">
        <v>0</v>
      </c>
    </row>
    <row r="862" spans="39:44">
      <c r="AM862" s="528">
        <v>45050</v>
      </c>
      <c r="AN862" s="529">
        <v>1.92</v>
      </c>
      <c r="AO862" s="529">
        <v>0</v>
      </c>
      <c r="AP862" s="529">
        <v>0</v>
      </c>
      <c r="AQ862" s="529">
        <v>-29.2248576</v>
      </c>
      <c r="AR862" s="529">
        <v>0</v>
      </c>
    </row>
    <row r="863" spans="39:44">
      <c r="AM863" s="528">
        <v>45049</v>
      </c>
      <c r="AN863" s="529">
        <v>1.9</v>
      </c>
      <c r="AO863" s="529">
        <v>0</v>
      </c>
      <c r="AP863" s="529">
        <v>0</v>
      </c>
      <c r="AQ863" s="529">
        <v>-28.920431999999998</v>
      </c>
      <c r="AR863" s="529">
        <v>0</v>
      </c>
    </row>
    <row r="864" spans="39:44">
      <c r="AM864" s="528">
        <v>45048</v>
      </c>
      <c r="AN864" s="529">
        <v>1.9</v>
      </c>
      <c r="AO864" s="529">
        <v>0</v>
      </c>
      <c r="AP864" s="529">
        <v>0</v>
      </c>
      <c r="AQ864" s="529">
        <v>-28.920431999999998</v>
      </c>
      <c r="AR864" s="529">
        <v>0</v>
      </c>
    </row>
    <row r="865" spans="39:44">
      <c r="AM865" s="528">
        <v>45047</v>
      </c>
      <c r="AN865" s="529">
        <v>1.88</v>
      </c>
      <c r="AO865" s="529">
        <v>0</v>
      </c>
      <c r="AP865" s="529">
        <v>0</v>
      </c>
      <c r="AQ865" s="529">
        <v>-28.6160064</v>
      </c>
      <c r="AR865" s="529">
        <v>0</v>
      </c>
    </row>
    <row r="866" spans="39:44">
      <c r="AM866" s="528">
        <v>45046</v>
      </c>
      <c r="AN866" s="529">
        <v>1.9</v>
      </c>
      <c r="AO866" s="529">
        <v>-43364</v>
      </c>
      <c r="AP866" s="529">
        <v>-30.44256</v>
      </c>
      <c r="AQ866" s="529">
        <v>-86.761295999999987</v>
      </c>
      <c r="AR866" s="529">
        <v>-0.115</v>
      </c>
    </row>
    <row r="867" spans="39:44">
      <c r="AM867" s="528">
        <v>45045</v>
      </c>
      <c r="AN867" s="529">
        <v>1.9</v>
      </c>
      <c r="AO867" s="529">
        <v>-21682</v>
      </c>
      <c r="AP867" s="529">
        <v>-15.22128</v>
      </c>
      <c r="AQ867" s="529">
        <v>-57.840863999999996</v>
      </c>
      <c r="AR867" s="529">
        <v>-5.7500000000000002E-2</v>
      </c>
    </row>
    <row r="868" spans="39:44">
      <c r="AM868" s="528">
        <v>45044</v>
      </c>
      <c r="AN868" s="529">
        <v>1.9</v>
      </c>
      <c r="AO868" s="529">
        <v>0</v>
      </c>
      <c r="AP868" s="529">
        <v>0</v>
      </c>
      <c r="AQ868" s="529">
        <v>-28.920431999999998</v>
      </c>
      <c r="AR868" s="529">
        <v>0</v>
      </c>
    </row>
    <row r="869" spans="39:44">
      <c r="AM869" s="528">
        <v>45043</v>
      </c>
      <c r="AN869" s="529">
        <v>1.92</v>
      </c>
      <c r="AO869" s="529">
        <v>0</v>
      </c>
      <c r="AP869" s="529">
        <v>0</v>
      </c>
      <c r="AQ869" s="529">
        <v>-29.2248576</v>
      </c>
      <c r="AR869" s="529">
        <v>0</v>
      </c>
    </row>
    <row r="870" spans="39:44">
      <c r="AM870" s="528">
        <v>45042</v>
      </c>
      <c r="AN870" s="529">
        <v>1.92</v>
      </c>
      <c r="AO870" s="529">
        <v>0</v>
      </c>
      <c r="AP870" s="529">
        <v>0</v>
      </c>
      <c r="AQ870" s="529">
        <v>-29.2248576</v>
      </c>
      <c r="AR870" s="529">
        <v>0</v>
      </c>
    </row>
    <row r="871" spans="39:44">
      <c r="AM871" s="528">
        <v>45041</v>
      </c>
      <c r="AN871" s="529">
        <v>1.91</v>
      </c>
      <c r="AO871" s="529">
        <v>0</v>
      </c>
      <c r="AP871" s="529">
        <v>0</v>
      </c>
      <c r="AQ871" s="529">
        <v>-29.072644799999999</v>
      </c>
      <c r="AR871" s="529">
        <v>0</v>
      </c>
    </row>
    <row r="872" spans="39:44">
      <c r="AM872" s="528">
        <v>45040</v>
      </c>
      <c r="AN872" s="529">
        <v>1.92</v>
      </c>
      <c r="AO872" s="529">
        <v>0</v>
      </c>
      <c r="AP872" s="529">
        <v>0</v>
      </c>
      <c r="AQ872" s="529">
        <v>-29.2248576</v>
      </c>
      <c r="AR872" s="529">
        <v>0</v>
      </c>
    </row>
    <row r="873" spans="39:44">
      <c r="AM873" s="528">
        <v>45039</v>
      </c>
      <c r="AN873" s="529">
        <v>1.98</v>
      </c>
      <c r="AO873" s="529">
        <v>-135338</v>
      </c>
      <c r="AP873" s="529">
        <v>-30.44256</v>
      </c>
      <c r="AQ873" s="529">
        <v>-90.414403199999995</v>
      </c>
      <c r="AR873" s="529">
        <v>-0.1198</v>
      </c>
    </row>
    <row r="874" spans="39:44">
      <c r="AM874" s="528">
        <v>45038</v>
      </c>
      <c r="AN874" s="529">
        <v>1.98</v>
      </c>
      <c r="AO874" s="529">
        <v>-67669</v>
      </c>
      <c r="AP874" s="529">
        <v>-15.22128</v>
      </c>
      <c r="AQ874" s="529">
        <v>-60.276268799999997</v>
      </c>
      <c r="AR874" s="529">
        <v>-5.9900000000000002E-2</v>
      </c>
    </row>
    <row r="875" spans="39:44">
      <c r="AM875" s="528">
        <v>45037</v>
      </c>
      <c r="AN875" s="529">
        <v>1.98</v>
      </c>
      <c r="AO875" s="529">
        <v>0</v>
      </c>
      <c r="AP875" s="529">
        <v>0</v>
      </c>
      <c r="AQ875" s="529">
        <v>-30.138134399999998</v>
      </c>
      <c r="AR875" s="529">
        <v>0</v>
      </c>
    </row>
    <row r="876" spans="39:44">
      <c r="AM876" s="528">
        <v>45036</v>
      </c>
      <c r="AN876" s="529">
        <v>2.02</v>
      </c>
      <c r="AO876" s="529">
        <v>0</v>
      </c>
      <c r="AP876" s="529">
        <v>0</v>
      </c>
      <c r="AQ876" s="529">
        <v>-30.746985600000002</v>
      </c>
      <c r="AR876" s="529">
        <v>0</v>
      </c>
    </row>
    <row r="877" spans="39:44">
      <c r="AM877" s="528">
        <v>45035</v>
      </c>
      <c r="AN877" s="529">
        <v>2</v>
      </c>
      <c r="AO877" s="529">
        <v>0</v>
      </c>
      <c r="AP877" s="529">
        <v>0</v>
      </c>
      <c r="AQ877" s="529">
        <v>-30.44256</v>
      </c>
      <c r="AR877" s="529">
        <v>0</v>
      </c>
    </row>
    <row r="878" spans="39:44">
      <c r="AM878" s="528">
        <v>45034</v>
      </c>
      <c r="AN878" s="529">
        <v>2.0299999999999998</v>
      </c>
      <c r="AO878" s="529">
        <v>0</v>
      </c>
      <c r="AP878" s="529">
        <v>0</v>
      </c>
      <c r="AQ878" s="529">
        <v>-30.899198399999996</v>
      </c>
      <c r="AR878" s="529">
        <v>0</v>
      </c>
    </row>
    <row r="879" spans="39:44">
      <c r="AM879" s="528">
        <v>45033</v>
      </c>
      <c r="AN879" s="529">
        <v>2.0499999999999998</v>
      </c>
      <c r="AO879" s="529">
        <v>0</v>
      </c>
      <c r="AP879" s="529">
        <v>0</v>
      </c>
      <c r="AQ879" s="529">
        <v>-31.203623999999998</v>
      </c>
      <c r="AR879" s="529">
        <v>0</v>
      </c>
    </row>
    <row r="880" spans="39:44">
      <c r="AM880" s="528">
        <v>45032</v>
      </c>
      <c r="AN880" s="529">
        <v>2.0699999999999998</v>
      </c>
      <c r="AO880" s="529">
        <v>-161644</v>
      </c>
      <c r="AP880" s="529">
        <v>-30.44256</v>
      </c>
      <c r="AQ880" s="529">
        <v>-94.524148799999992</v>
      </c>
      <c r="AR880" s="529">
        <v>-0.12520000000000001</v>
      </c>
    </row>
    <row r="881" spans="39:44">
      <c r="AM881" s="528">
        <v>45031</v>
      </c>
      <c r="AN881" s="529">
        <v>2.0699999999999998</v>
      </c>
      <c r="AO881" s="529">
        <v>-80822</v>
      </c>
      <c r="AP881" s="529">
        <v>-15.22128</v>
      </c>
      <c r="AQ881" s="529">
        <v>-63.016099199999992</v>
      </c>
      <c r="AR881" s="529">
        <v>-6.2600000000000003E-2</v>
      </c>
    </row>
    <row r="882" spans="39:44">
      <c r="AM882" s="528">
        <v>45030</v>
      </c>
      <c r="AN882" s="529">
        <v>2.0699999999999998</v>
      </c>
      <c r="AO882" s="529">
        <v>0</v>
      </c>
      <c r="AP882" s="529">
        <v>0</v>
      </c>
      <c r="AQ882" s="529">
        <v>-31.508049599999996</v>
      </c>
      <c r="AR882" s="529">
        <v>0</v>
      </c>
    </row>
    <row r="883" spans="39:44">
      <c r="AM883" s="528">
        <v>45029</v>
      </c>
      <c r="AN883" s="529">
        <v>2</v>
      </c>
      <c r="AO883" s="529">
        <v>0</v>
      </c>
      <c r="AP883" s="529">
        <v>0</v>
      </c>
      <c r="AQ883" s="529">
        <v>-30.44256</v>
      </c>
      <c r="AR883" s="529">
        <v>0</v>
      </c>
    </row>
    <row r="884" spans="39:44">
      <c r="AM884" s="528">
        <v>45028</v>
      </c>
      <c r="AN884" s="529">
        <v>2.06</v>
      </c>
      <c r="AO884" s="529">
        <v>0</v>
      </c>
      <c r="AP884" s="529">
        <v>0</v>
      </c>
      <c r="AQ884" s="529">
        <v>-31.355836800000002</v>
      </c>
      <c r="AR884" s="529">
        <v>0</v>
      </c>
    </row>
    <row r="885" spans="39:44">
      <c r="AM885" s="528">
        <v>45027</v>
      </c>
      <c r="AN885" s="529">
        <v>2.15</v>
      </c>
      <c r="AO885" s="529">
        <v>0</v>
      </c>
      <c r="AP885" s="529">
        <v>0</v>
      </c>
      <c r="AQ885" s="529">
        <v>-32.725752</v>
      </c>
      <c r="AR885" s="529">
        <v>0</v>
      </c>
    </row>
    <row r="886" spans="39:44">
      <c r="AM886" s="528">
        <v>45026</v>
      </c>
      <c r="AN886" s="529">
        <v>1.99</v>
      </c>
      <c r="AO886" s="529">
        <v>0</v>
      </c>
      <c r="AP886" s="529">
        <v>0</v>
      </c>
      <c r="AQ886" s="529">
        <v>-30.290347199999999</v>
      </c>
      <c r="AR886" s="529">
        <v>0</v>
      </c>
    </row>
    <row r="887" spans="39:44">
      <c r="AM887" s="528">
        <v>45025</v>
      </c>
      <c r="AN887" s="529">
        <v>2.06</v>
      </c>
      <c r="AO887" s="529">
        <v>-29850</v>
      </c>
      <c r="AP887" s="529">
        <v>-45.66384</v>
      </c>
      <c r="AQ887" s="529">
        <v>-125.42334720000001</v>
      </c>
      <c r="AR887" s="529">
        <v>-0.18690000000000001</v>
      </c>
    </row>
    <row r="888" spans="39:44">
      <c r="AM888" s="528">
        <v>45024</v>
      </c>
      <c r="AN888" s="529">
        <v>2.06</v>
      </c>
      <c r="AO888" s="529">
        <v>-19900</v>
      </c>
      <c r="AP888" s="529">
        <v>-30.44256</v>
      </c>
      <c r="AQ888" s="529">
        <v>-94.067510400000003</v>
      </c>
      <c r="AR888" s="529">
        <v>-0.1246</v>
      </c>
    </row>
    <row r="889" spans="39:44">
      <c r="AM889" s="528">
        <v>45023</v>
      </c>
      <c r="AN889" s="529">
        <v>2.06</v>
      </c>
      <c r="AO889" s="529">
        <v>-9950</v>
      </c>
      <c r="AP889" s="529">
        <v>-15.22128</v>
      </c>
      <c r="AQ889" s="529">
        <v>-62.711673600000005</v>
      </c>
      <c r="AR889" s="529">
        <v>-6.2300000000000001E-2</v>
      </c>
    </row>
    <row r="890" spans="39:44">
      <c r="AM890" s="528">
        <v>45022</v>
      </c>
      <c r="AN890" s="529">
        <v>2.06</v>
      </c>
      <c r="AO890" s="529">
        <v>0</v>
      </c>
      <c r="AP890" s="529">
        <v>0</v>
      </c>
      <c r="AQ890" s="529">
        <v>-31.355836800000002</v>
      </c>
      <c r="AR890" s="529">
        <v>0</v>
      </c>
    </row>
    <row r="891" spans="39:44">
      <c r="AM891" s="528">
        <v>45021</v>
      </c>
      <c r="AN891" s="529">
        <v>2.02</v>
      </c>
      <c r="AO891" s="529">
        <v>0</v>
      </c>
      <c r="AP891" s="529">
        <v>0</v>
      </c>
      <c r="AQ891" s="529">
        <v>-30.746985600000002</v>
      </c>
      <c r="AR891" s="529">
        <v>0</v>
      </c>
    </row>
    <row r="892" spans="39:44">
      <c r="AM892" s="528">
        <v>45020</v>
      </c>
      <c r="AN892" s="529">
        <v>2.02</v>
      </c>
      <c r="AO892" s="529">
        <v>0</v>
      </c>
      <c r="AP892" s="529">
        <v>0</v>
      </c>
      <c r="AQ892" s="529">
        <v>-30.746985600000002</v>
      </c>
      <c r="AR892" s="529">
        <v>0</v>
      </c>
    </row>
    <row r="893" spans="39:44">
      <c r="AM893" s="528">
        <v>45019</v>
      </c>
      <c r="AN893" s="529">
        <v>2.13</v>
      </c>
      <c r="AO893" s="529">
        <v>0</v>
      </c>
      <c r="AP893" s="529">
        <v>0</v>
      </c>
      <c r="AQ893" s="529">
        <v>-32.421326399999998</v>
      </c>
      <c r="AR893" s="529">
        <v>0</v>
      </c>
    </row>
    <row r="894" spans="39:44">
      <c r="AM894" s="528">
        <v>45018</v>
      </c>
      <c r="AN894" s="529">
        <v>2.0499999999999998</v>
      </c>
      <c r="AO894" s="529">
        <v>-48048</v>
      </c>
      <c r="AP894" s="529">
        <v>-30.44256</v>
      </c>
      <c r="AQ894" s="529">
        <v>-93.610872000000001</v>
      </c>
      <c r="AR894" s="529">
        <v>-0.124</v>
      </c>
    </row>
    <row r="895" spans="39:44">
      <c r="AM895" s="528">
        <v>45017</v>
      </c>
      <c r="AN895" s="529">
        <v>2.0499999999999998</v>
      </c>
      <c r="AO895" s="529">
        <v>-24024</v>
      </c>
      <c r="AP895" s="529">
        <v>-15.22128</v>
      </c>
      <c r="AQ895" s="529">
        <v>-62.407247999999996</v>
      </c>
      <c r="AR895" s="529">
        <v>-6.2E-2</v>
      </c>
    </row>
    <row r="896" spans="39:44">
      <c r="AM896" s="528">
        <v>45016</v>
      </c>
      <c r="AN896" s="529">
        <v>2.0499999999999998</v>
      </c>
      <c r="AO896" s="529">
        <v>0</v>
      </c>
      <c r="AP896" s="529">
        <v>0</v>
      </c>
      <c r="AQ896" s="529">
        <v>-31.203623999999998</v>
      </c>
      <c r="AR896" s="529">
        <v>0</v>
      </c>
    </row>
    <row r="897" spans="39:44">
      <c r="AM897" s="528">
        <v>45015</v>
      </c>
      <c r="AN897" s="529">
        <v>2.06</v>
      </c>
      <c r="AO897" s="529">
        <v>0</v>
      </c>
      <c r="AP897" s="529">
        <v>0</v>
      </c>
      <c r="AQ897" s="529">
        <v>-31.355836800000002</v>
      </c>
      <c r="AR897" s="529">
        <v>0</v>
      </c>
    </row>
    <row r="898" spans="39:44">
      <c r="AM898" s="528">
        <v>45014</v>
      </c>
      <c r="AN898" s="529">
        <v>1.99</v>
      </c>
      <c r="AO898" s="529">
        <v>0</v>
      </c>
      <c r="AP898" s="529">
        <v>0</v>
      </c>
      <c r="AQ898" s="529">
        <v>-30.290347199999999</v>
      </c>
      <c r="AR898" s="529">
        <v>0</v>
      </c>
    </row>
    <row r="899" spans="39:44">
      <c r="AM899" s="528">
        <v>45013</v>
      </c>
      <c r="AN899" s="529">
        <v>1.97</v>
      </c>
      <c r="AO899" s="529">
        <v>0</v>
      </c>
      <c r="AP899" s="529">
        <v>0</v>
      </c>
      <c r="AQ899" s="529">
        <v>-28.5763669</v>
      </c>
      <c r="AR899" s="529">
        <v>0</v>
      </c>
    </row>
    <row r="900" spans="39:44">
      <c r="AM900" s="528">
        <v>45012</v>
      </c>
      <c r="AN900" s="529">
        <v>1.97</v>
      </c>
      <c r="AO900" s="529">
        <v>0</v>
      </c>
      <c r="AP900" s="529">
        <v>0</v>
      </c>
      <c r="AQ900" s="529">
        <v>-28.5763669</v>
      </c>
      <c r="AR900" s="529">
        <v>0</v>
      </c>
    </row>
    <row r="901" spans="39:44">
      <c r="AM901" s="528">
        <v>45011</v>
      </c>
      <c r="AN901" s="529">
        <v>1.93</v>
      </c>
      <c r="AO901" s="529">
        <v>-189898</v>
      </c>
      <c r="AP901" s="529">
        <v>-29.01154</v>
      </c>
      <c r="AQ901" s="529">
        <v>-83.988408299999989</v>
      </c>
      <c r="AR901" s="529">
        <v>-0.11899999999999999</v>
      </c>
    </row>
    <row r="902" spans="39:44">
      <c r="AM902" s="528">
        <v>45010</v>
      </c>
      <c r="AN902" s="529">
        <v>1.93</v>
      </c>
      <c r="AO902" s="529">
        <v>-94949</v>
      </c>
      <c r="AP902" s="529">
        <v>-14.50577</v>
      </c>
      <c r="AQ902" s="529">
        <v>-55.992272199999995</v>
      </c>
      <c r="AR902" s="529">
        <v>-5.9499999999999997E-2</v>
      </c>
    </row>
    <row r="903" spans="39:44">
      <c r="AM903" s="528">
        <v>45009</v>
      </c>
      <c r="AN903" s="529">
        <v>1.93</v>
      </c>
      <c r="AO903" s="529">
        <v>0</v>
      </c>
      <c r="AP903" s="529">
        <v>0</v>
      </c>
      <c r="AQ903" s="529">
        <v>-27.996136099999998</v>
      </c>
      <c r="AR903" s="529">
        <v>0</v>
      </c>
    </row>
    <row r="904" spans="39:44">
      <c r="AM904" s="528">
        <v>45008</v>
      </c>
      <c r="AN904" s="529">
        <v>1.89</v>
      </c>
      <c r="AO904" s="529">
        <v>0</v>
      </c>
      <c r="AP904" s="529">
        <v>0</v>
      </c>
      <c r="AQ904" s="529">
        <v>-27.415905299999999</v>
      </c>
      <c r="AR904" s="529">
        <v>0</v>
      </c>
    </row>
    <row r="905" spans="39:44">
      <c r="AM905" s="528">
        <v>45007</v>
      </c>
      <c r="AN905" s="529">
        <v>1.74</v>
      </c>
      <c r="AO905" s="529">
        <v>0</v>
      </c>
      <c r="AP905" s="529">
        <v>0</v>
      </c>
      <c r="AQ905" s="529">
        <v>-25.240039800000002</v>
      </c>
      <c r="AR905" s="529">
        <v>0</v>
      </c>
    </row>
    <row r="906" spans="39:44">
      <c r="AM906" s="528">
        <v>45006</v>
      </c>
      <c r="AN906" s="529">
        <v>1.76</v>
      </c>
      <c r="AO906" s="529">
        <v>0</v>
      </c>
      <c r="AP906" s="529">
        <v>0</v>
      </c>
      <c r="AQ906" s="529">
        <v>-25.530155199999999</v>
      </c>
      <c r="AR906" s="529">
        <v>0</v>
      </c>
    </row>
    <row r="907" spans="39:44">
      <c r="AM907" s="528">
        <v>45005</v>
      </c>
      <c r="AN907" s="529">
        <v>1.83</v>
      </c>
      <c r="AO907" s="529">
        <v>0</v>
      </c>
      <c r="AP907" s="529">
        <v>0</v>
      </c>
      <c r="AQ907" s="529">
        <v>-26.545559100000002</v>
      </c>
      <c r="AR907" s="529">
        <v>0</v>
      </c>
    </row>
    <row r="908" spans="39:44">
      <c r="AM908" s="528">
        <v>45004</v>
      </c>
      <c r="AN908" s="529">
        <v>1.85</v>
      </c>
      <c r="AO908" s="529">
        <v>-451104</v>
      </c>
      <c r="AP908" s="529">
        <v>-29.01154</v>
      </c>
      <c r="AQ908" s="529">
        <v>-80.507023500000003</v>
      </c>
      <c r="AR908" s="529">
        <v>-0.114</v>
      </c>
    </row>
    <row r="909" spans="39:44">
      <c r="AM909" s="528">
        <v>45003</v>
      </c>
      <c r="AN909" s="529">
        <v>1.85</v>
      </c>
      <c r="AO909" s="529">
        <v>-225552</v>
      </c>
      <c r="AP909" s="529">
        <v>-14.50577</v>
      </c>
      <c r="AQ909" s="529">
        <v>-53.671348999999999</v>
      </c>
      <c r="AR909" s="529">
        <v>-5.7000000000000002E-2</v>
      </c>
    </row>
    <row r="910" spans="39:44">
      <c r="AM910" s="528">
        <v>45002</v>
      </c>
      <c r="AN910" s="529">
        <v>1.85</v>
      </c>
      <c r="AO910" s="529">
        <v>0</v>
      </c>
      <c r="AP910" s="529">
        <v>0</v>
      </c>
      <c r="AQ910" s="529">
        <v>-26.8356745</v>
      </c>
      <c r="AR910" s="529">
        <v>0</v>
      </c>
    </row>
    <row r="911" spans="39:44">
      <c r="AM911" s="528">
        <v>45001</v>
      </c>
      <c r="AN911" s="529">
        <v>1.89</v>
      </c>
      <c r="AO911" s="529">
        <v>0</v>
      </c>
      <c r="AP911" s="529">
        <v>0</v>
      </c>
      <c r="AQ911" s="529">
        <v>-27.415905299999999</v>
      </c>
      <c r="AR911" s="529">
        <v>0</v>
      </c>
    </row>
    <row r="912" spans="39:44">
      <c r="AM912" s="528">
        <v>45000</v>
      </c>
      <c r="AN912" s="529">
        <v>1.76</v>
      </c>
      <c r="AO912" s="529">
        <v>0</v>
      </c>
      <c r="AP912" s="529">
        <v>0</v>
      </c>
      <c r="AQ912" s="529">
        <v>-25.530155199999999</v>
      </c>
      <c r="AR912" s="529">
        <v>0</v>
      </c>
    </row>
    <row r="913" spans="39:44">
      <c r="AM913" s="528">
        <v>44999</v>
      </c>
      <c r="AN913" s="529">
        <v>1.76</v>
      </c>
      <c r="AO913" s="529">
        <v>0</v>
      </c>
      <c r="AP913" s="529">
        <v>0</v>
      </c>
      <c r="AQ913" s="529">
        <v>-25.530155199999999</v>
      </c>
      <c r="AR913" s="529">
        <v>0</v>
      </c>
    </row>
    <row r="914" spans="39:44">
      <c r="AM914" s="528">
        <v>44998</v>
      </c>
      <c r="AN914" s="529">
        <v>1.76</v>
      </c>
      <c r="AO914" s="529">
        <v>0</v>
      </c>
      <c r="AP914" s="529">
        <v>0</v>
      </c>
      <c r="AQ914" s="529">
        <v>-25.530155199999999</v>
      </c>
      <c r="AR914" s="529">
        <v>0</v>
      </c>
    </row>
    <row r="915" spans="39:44">
      <c r="AM915" s="528">
        <v>44997</v>
      </c>
      <c r="AN915" s="529">
        <v>1.87</v>
      </c>
      <c r="AO915" s="529">
        <v>-214558</v>
      </c>
      <c r="AP915" s="529">
        <v>-29.01154</v>
      </c>
      <c r="AQ915" s="529">
        <v>-81.377369700000003</v>
      </c>
      <c r="AR915" s="529">
        <v>-0.1152</v>
      </c>
    </row>
    <row r="916" spans="39:44">
      <c r="AM916" s="528">
        <v>44996</v>
      </c>
      <c r="AN916" s="529">
        <v>1.87</v>
      </c>
      <c r="AO916" s="529">
        <v>-107279</v>
      </c>
      <c r="AP916" s="529">
        <v>-14.50577</v>
      </c>
      <c r="AQ916" s="529">
        <v>-54.251579800000002</v>
      </c>
      <c r="AR916" s="529">
        <v>-5.7599999999999998E-2</v>
      </c>
    </row>
    <row r="917" spans="39:44">
      <c r="AM917" s="528">
        <v>44995</v>
      </c>
      <c r="AN917" s="529">
        <v>1.87</v>
      </c>
      <c r="AO917" s="529">
        <v>0</v>
      </c>
      <c r="AP917" s="529">
        <v>0</v>
      </c>
      <c r="AQ917" s="529">
        <v>-27.125789900000001</v>
      </c>
      <c r="AR917" s="529">
        <v>0</v>
      </c>
    </row>
    <row r="918" spans="39:44">
      <c r="AM918" s="528">
        <v>44994</v>
      </c>
      <c r="AN918" s="529">
        <v>1.95</v>
      </c>
      <c r="AO918" s="529">
        <v>0</v>
      </c>
      <c r="AP918" s="529">
        <v>0</v>
      </c>
      <c r="AQ918" s="529">
        <v>-28.286251499999999</v>
      </c>
      <c r="AR918" s="529">
        <v>0</v>
      </c>
    </row>
    <row r="919" spans="39:44">
      <c r="AM919" s="528">
        <v>44993</v>
      </c>
      <c r="AN919" s="529">
        <v>2.0299999999999998</v>
      </c>
      <c r="AO919" s="529">
        <v>0</v>
      </c>
      <c r="AP919" s="529">
        <v>0</v>
      </c>
      <c r="AQ919" s="529">
        <v>-29.446713099999997</v>
      </c>
      <c r="AR919" s="529">
        <v>0</v>
      </c>
    </row>
    <row r="920" spans="39:44">
      <c r="AM920" s="528">
        <v>44992</v>
      </c>
      <c r="AN920" s="529">
        <v>2.0299999999999998</v>
      </c>
      <c r="AO920" s="529">
        <v>0</v>
      </c>
      <c r="AP920" s="529">
        <v>0</v>
      </c>
      <c r="AQ920" s="529">
        <v>-29.446713099999997</v>
      </c>
      <c r="AR920" s="529">
        <v>0</v>
      </c>
    </row>
    <row r="921" spans="39:44">
      <c r="AM921" s="528">
        <v>44991</v>
      </c>
      <c r="AN921" s="529">
        <v>2.0699999999999998</v>
      </c>
      <c r="AO921" s="529">
        <v>0</v>
      </c>
      <c r="AP921" s="529">
        <v>0</v>
      </c>
      <c r="AQ921" s="529">
        <v>-30.026943899999999</v>
      </c>
      <c r="AR921" s="529">
        <v>0</v>
      </c>
    </row>
    <row r="922" spans="39:44">
      <c r="AM922" s="528">
        <v>44990</v>
      </c>
      <c r="AN922" s="529">
        <v>2.11</v>
      </c>
      <c r="AO922" s="529">
        <v>-75706</v>
      </c>
      <c r="AP922" s="529">
        <v>-29.01154</v>
      </c>
      <c r="AQ922" s="529">
        <v>-91.821524099999991</v>
      </c>
      <c r="AR922" s="529">
        <v>-0.13</v>
      </c>
    </row>
    <row r="923" spans="39:44">
      <c r="AM923" s="528">
        <v>44989</v>
      </c>
      <c r="AN923" s="529">
        <v>2.11</v>
      </c>
      <c r="AO923" s="529">
        <v>-37853</v>
      </c>
      <c r="AP923" s="529">
        <v>-14.50577</v>
      </c>
      <c r="AQ923" s="529">
        <v>-61.214349399999996</v>
      </c>
      <c r="AR923" s="529">
        <v>-6.5000000000000002E-2</v>
      </c>
    </row>
    <row r="924" spans="39:44">
      <c r="AM924" s="528">
        <v>44988</v>
      </c>
      <c r="AN924" s="529">
        <v>2.11</v>
      </c>
      <c r="AO924" s="529">
        <v>0</v>
      </c>
      <c r="AP924" s="529">
        <v>0</v>
      </c>
      <c r="AQ924" s="529">
        <v>-30.607174699999998</v>
      </c>
      <c r="AR924" s="529">
        <v>0</v>
      </c>
    </row>
    <row r="925" spans="39:44">
      <c r="AM925" s="528">
        <v>44987</v>
      </c>
      <c r="AN925" s="529">
        <v>2.08</v>
      </c>
      <c r="AO925" s="529">
        <v>0</v>
      </c>
      <c r="AP925" s="529">
        <v>0</v>
      </c>
      <c r="AQ925" s="529">
        <v>-30.172001600000002</v>
      </c>
      <c r="AR925" s="529">
        <v>0</v>
      </c>
    </row>
    <row r="926" spans="39:44">
      <c r="AM926" s="528">
        <v>44986</v>
      </c>
      <c r="AN926" s="529">
        <v>2.09</v>
      </c>
      <c r="AO926" s="529">
        <v>0</v>
      </c>
      <c r="AP926" s="529">
        <v>0</v>
      </c>
      <c r="AQ926" s="529">
        <v>-30.317059299999997</v>
      </c>
      <c r="AR926" s="529">
        <v>0</v>
      </c>
    </row>
    <row r="927" spans="39:44">
      <c r="AM927" s="528">
        <v>44985</v>
      </c>
      <c r="AN927" s="529">
        <v>2.11</v>
      </c>
      <c r="AO927" s="529">
        <v>0</v>
      </c>
      <c r="AP927" s="529">
        <v>0</v>
      </c>
      <c r="AQ927" s="529">
        <v>-30.607174699999998</v>
      </c>
      <c r="AR927" s="529">
        <v>0</v>
      </c>
    </row>
    <row r="928" spans="39:44">
      <c r="AM928" s="528">
        <v>44984</v>
      </c>
      <c r="AN928" s="529">
        <v>2.1800000000000002</v>
      </c>
      <c r="AO928" s="529">
        <v>0</v>
      </c>
      <c r="AP928" s="529">
        <v>0</v>
      </c>
      <c r="AQ928" s="529">
        <v>-31.622578600000004</v>
      </c>
      <c r="AR928" s="529">
        <v>0</v>
      </c>
    </row>
    <row r="929" spans="39:44">
      <c r="AM929" s="528">
        <v>44983</v>
      </c>
      <c r="AN929" s="529">
        <v>2.2400000000000002</v>
      </c>
      <c r="AO929" s="529">
        <v>-94928</v>
      </c>
      <c r="AP929" s="529">
        <v>-29.01154</v>
      </c>
      <c r="AQ929" s="529">
        <v>-97.47877440000002</v>
      </c>
      <c r="AR929" s="529">
        <v>-0.13800000000000001</v>
      </c>
    </row>
    <row r="930" spans="39:44">
      <c r="AM930" s="528">
        <v>44982</v>
      </c>
      <c r="AN930" s="529">
        <v>2.2400000000000002</v>
      </c>
      <c r="AO930" s="529">
        <v>-47464</v>
      </c>
      <c r="AP930" s="529">
        <v>-14.50577</v>
      </c>
      <c r="AQ930" s="529">
        <v>-64.985849600000009</v>
      </c>
      <c r="AR930" s="529">
        <v>-6.9000000000000006E-2</v>
      </c>
    </row>
    <row r="931" spans="39:44">
      <c r="AM931" s="528">
        <v>44981</v>
      </c>
      <c r="AN931" s="529">
        <v>2.2400000000000002</v>
      </c>
      <c r="AO931" s="529">
        <v>0</v>
      </c>
      <c r="AP931" s="529">
        <v>0</v>
      </c>
      <c r="AQ931" s="529">
        <v>-32.492924800000004</v>
      </c>
      <c r="AR931" s="529">
        <v>0</v>
      </c>
    </row>
    <row r="932" spans="39:44">
      <c r="AM932" s="528">
        <v>44980</v>
      </c>
      <c r="AN932" s="529">
        <v>2.2200000000000002</v>
      </c>
      <c r="AO932" s="529">
        <v>0</v>
      </c>
      <c r="AP932" s="529">
        <v>0</v>
      </c>
      <c r="AQ932" s="529">
        <v>-32.2028094</v>
      </c>
      <c r="AR932" s="529">
        <v>0</v>
      </c>
    </row>
    <row r="933" spans="39:44">
      <c r="AM933" s="528">
        <v>44979</v>
      </c>
      <c r="AN933" s="529">
        <v>2.1800000000000002</v>
      </c>
      <c r="AO933" s="529">
        <v>0</v>
      </c>
      <c r="AP933" s="529">
        <v>0</v>
      </c>
      <c r="AQ933" s="529">
        <v>-31.622578600000004</v>
      </c>
      <c r="AR933" s="529">
        <v>0</v>
      </c>
    </row>
    <row r="934" spans="39:44">
      <c r="AM934" s="528">
        <v>44978</v>
      </c>
      <c r="AN934" s="529">
        <v>2.15</v>
      </c>
      <c r="AO934" s="529">
        <v>0</v>
      </c>
      <c r="AP934" s="529">
        <v>0</v>
      </c>
      <c r="AQ934" s="529">
        <v>-31.187405500000001</v>
      </c>
      <c r="AR934" s="529">
        <v>0</v>
      </c>
    </row>
    <row r="935" spans="39:44">
      <c r="AM935" s="528">
        <v>44977</v>
      </c>
      <c r="AN935" s="529">
        <v>2.2999999999999998</v>
      </c>
      <c r="AO935" s="529">
        <v>-159156</v>
      </c>
      <c r="AP935" s="529">
        <v>-43.517310000000002</v>
      </c>
      <c r="AQ935" s="529">
        <v>-133.45308399999999</v>
      </c>
      <c r="AR935" s="529">
        <v>-0.2127</v>
      </c>
    </row>
    <row r="936" spans="39:44">
      <c r="AM936" s="528">
        <v>44976</v>
      </c>
      <c r="AN936" s="529">
        <v>2.2999999999999998</v>
      </c>
      <c r="AO936" s="529">
        <v>-106104</v>
      </c>
      <c r="AP936" s="529">
        <v>-29.01154</v>
      </c>
      <c r="AQ936" s="529">
        <v>-100.08981299999999</v>
      </c>
      <c r="AR936" s="529">
        <v>-0.14180000000000001</v>
      </c>
    </row>
    <row r="937" spans="39:44">
      <c r="AM937" s="528">
        <v>44975</v>
      </c>
      <c r="AN937" s="529">
        <v>2.2999999999999998</v>
      </c>
      <c r="AO937" s="529">
        <v>-53052</v>
      </c>
      <c r="AP937" s="529">
        <v>-14.50577</v>
      </c>
      <c r="AQ937" s="529">
        <v>-66.726541999999995</v>
      </c>
      <c r="AR937" s="529">
        <v>-7.0900000000000005E-2</v>
      </c>
    </row>
    <row r="938" spans="39:44">
      <c r="AM938" s="528">
        <v>44974</v>
      </c>
      <c r="AN938" s="529">
        <v>2.2999999999999998</v>
      </c>
      <c r="AO938" s="529">
        <v>0</v>
      </c>
      <c r="AP938" s="529">
        <v>0</v>
      </c>
      <c r="AQ938" s="529">
        <v>-33.363270999999997</v>
      </c>
      <c r="AR938" s="529">
        <v>0</v>
      </c>
    </row>
    <row r="939" spans="39:44">
      <c r="AM939" s="528">
        <v>44973</v>
      </c>
      <c r="AN939" s="529">
        <v>2.14</v>
      </c>
      <c r="AO939" s="529">
        <v>0</v>
      </c>
      <c r="AP939" s="529">
        <v>0</v>
      </c>
      <c r="AQ939" s="529">
        <v>-31.042347800000002</v>
      </c>
      <c r="AR939" s="529">
        <v>0</v>
      </c>
    </row>
    <row r="940" spans="39:44">
      <c r="AM940" s="528">
        <v>44972</v>
      </c>
      <c r="AN940" s="529">
        <v>2.2400000000000002</v>
      </c>
      <c r="AO940" s="529">
        <v>0</v>
      </c>
      <c r="AP940" s="529">
        <v>0</v>
      </c>
      <c r="AQ940" s="529">
        <v>-32.492924800000004</v>
      </c>
      <c r="AR940" s="529">
        <v>0</v>
      </c>
    </row>
    <row r="941" spans="39:44">
      <c r="AM941" s="528">
        <v>44971</v>
      </c>
      <c r="AN941" s="529">
        <v>2.2599999999999998</v>
      </c>
      <c r="AO941" s="529">
        <v>0</v>
      </c>
      <c r="AP941" s="529">
        <v>0</v>
      </c>
      <c r="AQ941" s="529">
        <v>-32.783040199999995</v>
      </c>
      <c r="AR941" s="529">
        <v>0</v>
      </c>
    </row>
    <row r="942" spans="39:44">
      <c r="AM942" s="528">
        <v>44970</v>
      </c>
      <c r="AN942" s="529">
        <v>2.2400000000000002</v>
      </c>
      <c r="AO942" s="529">
        <v>0</v>
      </c>
      <c r="AP942" s="529">
        <v>0</v>
      </c>
      <c r="AQ942" s="529">
        <v>-32.492924800000004</v>
      </c>
      <c r="AR942" s="529">
        <v>0</v>
      </c>
    </row>
    <row r="943" spans="39:44">
      <c r="AM943" s="528">
        <v>44969</v>
      </c>
      <c r="AN943" s="529">
        <v>2.25</v>
      </c>
      <c r="AO943" s="529">
        <v>-86304</v>
      </c>
      <c r="AP943" s="529">
        <v>-29.01154</v>
      </c>
      <c r="AQ943" s="529">
        <v>-97.913947500000006</v>
      </c>
      <c r="AR943" s="529">
        <v>-0.1386</v>
      </c>
    </row>
    <row r="944" spans="39:44">
      <c r="AM944" s="528">
        <v>44968</v>
      </c>
      <c r="AN944" s="529">
        <v>2.25</v>
      </c>
      <c r="AO944" s="529">
        <v>-43152</v>
      </c>
      <c r="AP944" s="529">
        <v>-14.50577</v>
      </c>
      <c r="AQ944" s="529">
        <v>-65.275964999999999</v>
      </c>
      <c r="AR944" s="529">
        <v>-6.93E-2</v>
      </c>
    </row>
    <row r="945" spans="39:44">
      <c r="AM945" s="528">
        <v>44967</v>
      </c>
      <c r="AN945" s="529">
        <v>2.25</v>
      </c>
      <c r="AO945" s="529">
        <v>0</v>
      </c>
      <c r="AP945" s="529">
        <v>0</v>
      </c>
      <c r="AQ945" s="529">
        <v>-32.6379825</v>
      </c>
      <c r="AR945" s="529">
        <v>0</v>
      </c>
    </row>
    <row r="946" spans="39:44">
      <c r="AM946" s="528">
        <v>44966</v>
      </c>
      <c r="AN946" s="529">
        <v>2.23</v>
      </c>
      <c r="AO946" s="529">
        <v>0</v>
      </c>
      <c r="AP946" s="529">
        <v>0</v>
      </c>
      <c r="AQ946" s="529">
        <v>-32.347867100000002</v>
      </c>
      <c r="AR946" s="529">
        <v>0</v>
      </c>
    </row>
    <row r="947" spans="39:44">
      <c r="AM947" s="528">
        <v>44965</v>
      </c>
      <c r="AN947" s="529">
        <v>2.33</v>
      </c>
      <c r="AO947" s="529">
        <v>0</v>
      </c>
      <c r="AP947" s="529">
        <v>0</v>
      </c>
      <c r="AQ947" s="529">
        <v>-33.798444100000005</v>
      </c>
      <c r="AR947" s="529">
        <v>0</v>
      </c>
    </row>
    <row r="948" spans="39:44">
      <c r="AM948" s="528">
        <v>44964</v>
      </c>
      <c r="AN948" s="529">
        <v>2.4300000000000002</v>
      </c>
      <c r="AO948" s="529">
        <v>0</v>
      </c>
      <c r="AP948" s="529">
        <v>0</v>
      </c>
      <c r="AQ948" s="529">
        <v>-35.2490211</v>
      </c>
      <c r="AR948" s="529">
        <v>0</v>
      </c>
    </row>
    <row r="949" spans="39:44">
      <c r="AM949" s="528">
        <v>44963</v>
      </c>
      <c r="AN949" s="529">
        <v>2.41</v>
      </c>
      <c r="AO949" s="529">
        <v>0</v>
      </c>
      <c r="AP949" s="529">
        <v>0</v>
      </c>
      <c r="AQ949" s="529">
        <v>-34.958905700000003</v>
      </c>
      <c r="AR949" s="529">
        <v>0</v>
      </c>
    </row>
    <row r="950" spans="39:44">
      <c r="AM950" s="528">
        <v>44962</v>
      </c>
      <c r="AN950" s="529">
        <v>2.36</v>
      </c>
      <c r="AO950" s="529">
        <v>-107340</v>
      </c>
      <c r="AP950" s="529">
        <v>-29.01154</v>
      </c>
      <c r="AQ950" s="529">
        <v>-102.70085159999999</v>
      </c>
      <c r="AR950" s="529">
        <v>-0.1454</v>
      </c>
    </row>
    <row r="951" spans="39:44">
      <c r="AM951" s="528">
        <v>44961</v>
      </c>
      <c r="AN951" s="529">
        <v>2.36</v>
      </c>
      <c r="AO951" s="529">
        <v>-53670</v>
      </c>
      <c r="AP951" s="529">
        <v>-14.50577</v>
      </c>
      <c r="AQ951" s="529">
        <v>-68.467234399999995</v>
      </c>
      <c r="AR951" s="529">
        <v>-7.2700000000000001E-2</v>
      </c>
    </row>
    <row r="952" spans="39:44">
      <c r="AM952" s="528">
        <v>44960</v>
      </c>
      <c r="AN952" s="529">
        <v>2.36</v>
      </c>
      <c r="AO952" s="529">
        <v>0</v>
      </c>
      <c r="AP952" s="529">
        <v>0</v>
      </c>
      <c r="AQ952" s="529">
        <v>-34.233617199999998</v>
      </c>
      <c r="AR952" s="529">
        <v>0</v>
      </c>
    </row>
    <row r="953" spans="39:44">
      <c r="AM953" s="528">
        <v>44959</v>
      </c>
      <c r="AN953" s="529">
        <v>2.33</v>
      </c>
      <c r="AO953" s="529">
        <v>0</v>
      </c>
      <c r="AP953" s="529">
        <v>0</v>
      </c>
      <c r="AQ953" s="529">
        <v>-33.798444100000005</v>
      </c>
      <c r="AR953" s="529">
        <v>0</v>
      </c>
    </row>
    <row r="954" spans="39:44">
      <c r="AM954" s="528">
        <v>44958</v>
      </c>
      <c r="AN954" s="529">
        <v>2.29</v>
      </c>
      <c r="AO954" s="529">
        <v>0</v>
      </c>
      <c r="AP954" s="529">
        <v>0</v>
      </c>
      <c r="AQ954" s="529">
        <v>-33.218213300000002</v>
      </c>
      <c r="AR954" s="529">
        <v>0</v>
      </c>
    </row>
    <row r="955" spans="39:44">
      <c r="AM955" s="528">
        <v>44957</v>
      </c>
      <c r="AN955" s="529">
        <v>2.2999999999999998</v>
      </c>
      <c r="AO955" s="529">
        <v>0</v>
      </c>
      <c r="AP955" s="529">
        <v>0</v>
      </c>
      <c r="AQ955" s="529">
        <v>-33.363270999999997</v>
      </c>
      <c r="AR955" s="529">
        <v>0</v>
      </c>
    </row>
    <row r="956" spans="39:44">
      <c r="AM956" s="528">
        <v>44956</v>
      </c>
      <c r="AN956" s="529">
        <v>2.2799999999999998</v>
      </c>
      <c r="AO956" s="529">
        <v>0</v>
      </c>
      <c r="AP956" s="529">
        <v>0</v>
      </c>
      <c r="AQ956" s="529">
        <v>-33.0731556</v>
      </c>
      <c r="AR956" s="529">
        <v>0</v>
      </c>
    </row>
    <row r="957" spans="39:44">
      <c r="AM957" s="528">
        <v>44955</v>
      </c>
      <c r="AN957" s="529">
        <v>2.29</v>
      </c>
      <c r="AO957" s="529">
        <v>-80142</v>
      </c>
      <c r="AP957" s="529">
        <v>-29.01154</v>
      </c>
      <c r="AQ957" s="529">
        <v>-99.654639900000006</v>
      </c>
      <c r="AR957" s="529">
        <v>-0.14119999999999999</v>
      </c>
    </row>
    <row r="958" spans="39:44">
      <c r="AM958" s="528">
        <v>44954</v>
      </c>
      <c r="AN958" s="529">
        <v>2.29</v>
      </c>
      <c r="AO958" s="529">
        <v>-40071</v>
      </c>
      <c r="AP958" s="529">
        <v>-14.50577</v>
      </c>
      <c r="AQ958" s="529">
        <v>-66.436426600000004</v>
      </c>
      <c r="AR958" s="529">
        <v>-7.0599999999999996E-2</v>
      </c>
    </row>
    <row r="959" spans="39:44">
      <c r="AM959" s="528">
        <v>44953</v>
      </c>
      <c r="AN959" s="529">
        <v>2.29</v>
      </c>
      <c r="AO959" s="529">
        <v>0</v>
      </c>
      <c r="AP959" s="529">
        <v>0</v>
      </c>
      <c r="AQ959" s="529">
        <v>-33.218213300000002</v>
      </c>
      <c r="AR959" s="529">
        <v>0</v>
      </c>
    </row>
    <row r="960" spans="39:44">
      <c r="AM960" s="528">
        <v>44952</v>
      </c>
      <c r="AN960" s="529">
        <v>2.2999999999999998</v>
      </c>
      <c r="AO960" s="529">
        <v>0</v>
      </c>
      <c r="AP960" s="529">
        <v>0</v>
      </c>
      <c r="AQ960" s="529">
        <v>-33.363270999999997</v>
      </c>
      <c r="AR960" s="529">
        <v>0</v>
      </c>
    </row>
    <row r="961" spans="39:44">
      <c r="AM961" s="528">
        <v>44951</v>
      </c>
      <c r="AN961" s="529">
        <v>2.27</v>
      </c>
      <c r="AO961" s="529">
        <v>0</v>
      </c>
      <c r="AP961" s="529">
        <v>0</v>
      </c>
      <c r="AQ961" s="529">
        <v>-32.928097899999997</v>
      </c>
      <c r="AR961" s="529">
        <v>0</v>
      </c>
    </row>
    <row r="962" spans="39:44">
      <c r="AM962" s="528">
        <v>44950</v>
      </c>
      <c r="AN962" s="529">
        <v>2.15</v>
      </c>
      <c r="AO962" s="529">
        <v>0</v>
      </c>
      <c r="AP962" s="529">
        <v>0</v>
      </c>
      <c r="AQ962" s="529">
        <v>-31.187405500000001</v>
      </c>
      <c r="AR962" s="529">
        <v>0</v>
      </c>
    </row>
    <row r="963" spans="39:44">
      <c r="AM963" s="528">
        <v>44949</v>
      </c>
      <c r="AN963" s="529">
        <v>2.17</v>
      </c>
      <c r="AO963" s="529">
        <v>0</v>
      </c>
      <c r="AP963" s="529">
        <v>0</v>
      </c>
      <c r="AQ963" s="529">
        <v>-31.477520899999998</v>
      </c>
      <c r="AR963" s="529">
        <v>0</v>
      </c>
    </row>
    <row r="964" spans="39:44">
      <c r="AM964" s="528">
        <v>44948</v>
      </c>
      <c r="AN964" s="529">
        <v>2.14</v>
      </c>
      <c r="AO964" s="529">
        <v>-81644</v>
      </c>
      <c r="AP964" s="529">
        <v>-29.01154</v>
      </c>
      <c r="AQ964" s="529">
        <v>-93.127043400000005</v>
      </c>
      <c r="AR964" s="529">
        <v>-0.1318</v>
      </c>
    </row>
    <row r="965" spans="39:44">
      <c r="AM965" s="528">
        <v>44947</v>
      </c>
      <c r="AN965" s="529">
        <v>2.14</v>
      </c>
      <c r="AO965" s="529">
        <v>-40822</v>
      </c>
      <c r="AP965" s="529">
        <v>-14.50577</v>
      </c>
      <c r="AQ965" s="529">
        <v>-62.084695600000003</v>
      </c>
      <c r="AR965" s="529">
        <v>-6.59E-2</v>
      </c>
    </row>
    <row r="966" spans="39:44">
      <c r="AM966" s="528">
        <v>44946</v>
      </c>
      <c r="AN966" s="529">
        <v>2.14</v>
      </c>
      <c r="AO966" s="529">
        <v>0</v>
      </c>
      <c r="AP966" s="529">
        <v>0</v>
      </c>
      <c r="AQ966" s="529">
        <v>-31.042347800000002</v>
      </c>
      <c r="AR966" s="529">
        <v>0</v>
      </c>
    </row>
    <row r="967" spans="39:44">
      <c r="AM967" s="528">
        <v>44945</v>
      </c>
      <c r="AN967" s="529">
        <v>2.1</v>
      </c>
      <c r="AO967" s="529">
        <v>0</v>
      </c>
      <c r="AP967" s="529">
        <v>0</v>
      </c>
      <c r="AQ967" s="529">
        <v>-30.462117000000003</v>
      </c>
      <c r="AR967" s="529">
        <v>0</v>
      </c>
    </row>
    <row r="968" spans="39:44">
      <c r="AM968" s="528">
        <v>44944</v>
      </c>
      <c r="AN968" s="529">
        <v>2.0499999999999998</v>
      </c>
      <c r="AO968" s="529">
        <v>0</v>
      </c>
      <c r="AP968" s="529">
        <v>0</v>
      </c>
      <c r="AQ968" s="529">
        <v>-29.736828499999998</v>
      </c>
      <c r="AR968" s="529">
        <v>0</v>
      </c>
    </row>
    <row r="969" spans="39:44">
      <c r="AM969" s="528">
        <v>44943</v>
      </c>
      <c r="AN969" s="529">
        <v>2.16</v>
      </c>
      <c r="AO969" s="529">
        <v>0</v>
      </c>
      <c r="AP969" s="529">
        <v>0</v>
      </c>
      <c r="AQ969" s="529">
        <v>-31.332463200000003</v>
      </c>
      <c r="AR969" s="529">
        <v>0</v>
      </c>
    </row>
    <row r="970" spans="39:44">
      <c r="AM970" s="528">
        <v>44942</v>
      </c>
      <c r="AN970" s="529">
        <v>2.14</v>
      </c>
      <c r="AO970" s="529">
        <v>-90465</v>
      </c>
      <c r="AP970" s="529">
        <v>-43.517310000000002</v>
      </c>
      <c r="AQ970" s="529">
        <v>-124.16939120000001</v>
      </c>
      <c r="AR970" s="529">
        <v>-0.19769999999999999</v>
      </c>
    </row>
    <row r="971" spans="39:44">
      <c r="AM971" s="528">
        <v>44941</v>
      </c>
      <c r="AN971" s="529">
        <v>2.14</v>
      </c>
      <c r="AO971" s="529">
        <v>-60310</v>
      </c>
      <c r="AP971" s="529">
        <v>-29.01154</v>
      </c>
      <c r="AQ971" s="529">
        <v>-93.127043400000005</v>
      </c>
      <c r="AR971" s="529">
        <v>-0.1318</v>
      </c>
    </row>
    <row r="972" spans="39:44">
      <c r="AM972" s="528">
        <v>44940</v>
      </c>
      <c r="AN972" s="529">
        <v>2.14</v>
      </c>
      <c r="AO972" s="529">
        <v>-30155</v>
      </c>
      <c r="AP972" s="529">
        <v>-14.50577</v>
      </c>
      <c r="AQ972" s="529">
        <v>-62.084695600000003</v>
      </c>
      <c r="AR972" s="529">
        <v>-6.59E-2</v>
      </c>
    </row>
    <row r="973" spans="39:44">
      <c r="AM973" s="528">
        <v>44939</v>
      </c>
      <c r="AN973" s="529">
        <v>2.14</v>
      </c>
      <c r="AO973" s="529">
        <v>0</v>
      </c>
      <c r="AP973" s="529">
        <v>0</v>
      </c>
      <c r="AQ973" s="529">
        <v>-31.042347800000002</v>
      </c>
      <c r="AR973" s="529">
        <v>0</v>
      </c>
    </row>
    <row r="974" spans="39:44">
      <c r="AM974" s="528">
        <v>44938</v>
      </c>
      <c r="AN974" s="529">
        <v>2.15</v>
      </c>
      <c r="AO974" s="529">
        <v>0</v>
      </c>
      <c r="AP974" s="529">
        <v>0</v>
      </c>
      <c r="AQ974" s="529">
        <v>-31.187405500000001</v>
      </c>
      <c r="AR974" s="529">
        <v>0</v>
      </c>
    </row>
    <row r="975" spans="39:44">
      <c r="AM975" s="528">
        <v>44937</v>
      </c>
      <c r="AN975" s="529">
        <v>2.09</v>
      </c>
      <c r="AO975" s="529">
        <v>0</v>
      </c>
      <c r="AP975" s="529">
        <v>0</v>
      </c>
      <c r="AQ975" s="529">
        <v>-30.317059299999997</v>
      </c>
      <c r="AR975" s="529">
        <v>0</v>
      </c>
    </row>
    <row r="976" spans="39:44">
      <c r="AM976" s="528">
        <v>44936</v>
      </c>
      <c r="AN976" s="529">
        <v>2.14</v>
      </c>
      <c r="AO976" s="529">
        <v>0</v>
      </c>
      <c r="AP976" s="529">
        <v>0</v>
      </c>
      <c r="AQ976" s="529">
        <v>-31.042347800000002</v>
      </c>
      <c r="AR976" s="529">
        <v>0</v>
      </c>
    </row>
    <row r="977" spans="39:44">
      <c r="AM977" s="528">
        <v>44935</v>
      </c>
      <c r="AN977" s="529">
        <v>2.0699999999999998</v>
      </c>
      <c r="AO977" s="529">
        <v>0</v>
      </c>
      <c r="AP977" s="529">
        <v>0</v>
      </c>
      <c r="AQ977" s="529">
        <v>-30.026943899999999</v>
      </c>
      <c r="AR977" s="529">
        <v>0</v>
      </c>
    </row>
    <row r="978" spans="39:44">
      <c r="AM978" s="528">
        <v>44934</v>
      </c>
      <c r="AN978" s="529">
        <v>2.09</v>
      </c>
      <c r="AO978" s="529">
        <v>-172770</v>
      </c>
      <c r="AP978" s="529">
        <v>-29.01154</v>
      </c>
      <c r="AQ978" s="529">
        <v>-90.95117789999999</v>
      </c>
      <c r="AR978" s="529">
        <v>-0.1288</v>
      </c>
    </row>
    <row r="979" spans="39:44">
      <c r="AM979" s="528">
        <v>44933</v>
      </c>
      <c r="AN979" s="529">
        <v>2.09</v>
      </c>
      <c r="AO979" s="529">
        <v>-86385</v>
      </c>
      <c r="AP979" s="529">
        <v>-14.50577</v>
      </c>
      <c r="AQ979" s="529">
        <v>-60.634118599999994</v>
      </c>
      <c r="AR979" s="529">
        <v>-6.4399999999999999E-2</v>
      </c>
    </row>
    <row r="980" spans="39:44">
      <c r="AM980" s="528">
        <v>44932</v>
      </c>
      <c r="AN980" s="529">
        <v>2.09</v>
      </c>
      <c r="AO980" s="529">
        <v>0</v>
      </c>
      <c r="AP980" s="529">
        <v>0</v>
      </c>
      <c r="AQ980" s="529">
        <v>-30.317059299999997</v>
      </c>
      <c r="AR980" s="529">
        <v>0</v>
      </c>
    </row>
    <row r="981" spans="39:44">
      <c r="AM981" s="528">
        <v>44931</v>
      </c>
      <c r="AN981" s="529">
        <v>2.04</v>
      </c>
      <c r="AO981" s="529">
        <v>0</v>
      </c>
      <c r="AP981" s="529">
        <v>0</v>
      </c>
      <c r="AQ981" s="529">
        <v>-29.591770799999999</v>
      </c>
      <c r="AR981" s="529">
        <v>0</v>
      </c>
    </row>
    <row r="982" spans="39:44">
      <c r="AM982" s="528">
        <v>44930</v>
      </c>
      <c r="AN982" s="529">
        <v>2.0299999999999998</v>
      </c>
      <c r="AO982" s="529">
        <v>0</v>
      </c>
      <c r="AP982" s="529">
        <v>0</v>
      </c>
      <c r="AQ982" s="529">
        <v>-29.446713099999997</v>
      </c>
      <c r="AR982" s="529">
        <v>0</v>
      </c>
    </row>
    <row r="983" spans="39:44">
      <c r="AM983" s="528">
        <v>44929</v>
      </c>
      <c r="AN983" s="529">
        <v>2.02</v>
      </c>
      <c r="AO983" s="529">
        <v>0</v>
      </c>
      <c r="AP983" s="529">
        <v>0</v>
      </c>
      <c r="AQ983" s="529">
        <v>-29.301655400000001</v>
      </c>
      <c r="AR983" s="529">
        <v>0</v>
      </c>
    </row>
    <row r="984" spans="39:44">
      <c r="AM984" s="528">
        <v>44928</v>
      </c>
      <c r="AN984" s="529">
        <v>2.0499999999999998</v>
      </c>
      <c r="AO984" s="529">
        <v>-338070</v>
      </c>
      <c r="AP984" s="529">
        <v>-43.517310000000002</v>
      </c>
      <c r="AQ984" s="529">
        <v>-118.94731399999999</v>
      </c>
      <c r="AR984" s="529">
        <v>-0.19650000000000001</v>
      </c>
    </row>
    <row r="985" spans="39:44">
      <c r="AM985" s="528">
        <v>44927</v>
      </c>
      <c r="AN985" s="529">
        <v>2.0499999999999998</v>
      </c>
      <c r="AO985" s="529">
        <v>-225380</v>
      </c>
      <c r="AP985" s="529">
        <v>-29.01154</v>
      </c>
      <c r="AQ985" s="529">
        <v>-89.21048549999999</v>
      </c>
      <c r="AR985" s="529">
        <v>-0.13100000000000001</v>
      </c>
    </row>
    <row r="986" spans="39:44">
      <c r="AM986" s="528">
        <v>44926</v>
      </c>
      <c r="AN986" s="529">
        <v>2.0499999999999998</v>
      </c>
      <c r="AO986" s="529">
        <v>-112690</v>
      </c>
      <c r="AP986" s="529">
        <v>-14.50577</v>
      </c>
      <c r="AQ986" s="529">
        <v>-59.473656999999996</v>
      </c>
      <c r="AR986" s="529">
        <v>-6.5500000000000003E-2</v>
      </c>
    </row>
    <row r="987" spans="39:44">
      <c r="AM987" s="528">
        <v>44925</v>
      </c>
      <c r="AN987" s="529">
        <v>2.0499999999999998</v>
      </c>
      <c r="AO987" s="529">
        <v>0</v>
      </c>
      <c r="AP987" s="529">
        <v>0</v>
      </c>
      <c r="AQ987" s="529">
        <v>-29.736828499999998</v>
      </c>
      <c r="AR987" s="529">
        <v>0</v>
      </c>
    </row>
    <row r="988" spans="39:44">
      <c r="AM988" s="528">
        <v>44924</v>
      </c>
      <c r="AN988" s="529">
        <v>2.06</v>
      </c>
      <c r="AO988" s="529">
        <v>0</v>
      </c>
      <c r="AP988" s="529">
        <v>0</v>
      </c>
      <c r="AQ988" s="529">
        <v>-29.8818862</v>
      </c>
      <c r="AR988" s="529">
        <v>0</v>
      </c>
    </row>
    <row r="989" spans="39:44">
      <c r="AM989" s="528">
        <v>44923</v>
      </c>
      <c r="AN989" s="529">
        <v>2.04</v>
      </c>
      <c r="AO989" s="529">
        <v>0</v>
      </c>
      <c r="AP989" s="529">
        <v>0</v>
      </c>
      <c r="AQ989" s="529">
        <v>-29.591770799999999</v>
      </c>
      <c r="AR989" s="529">
        <v>0</v>
      </c>
    </row>
    <row r="990" spans="39:44">
      <c r="AM990" s="528">
        <v>44922</v>
      </c>
      <c r="AN990" s="529">
        <v>2.04</v>
      </c>
      <c r="AO990" s="529">
        <v>0</v>
      </c>
      <c r="AP990" s="529">
        <v>0</v>
      </c>
      <c r="AQ990" s="529">
        <v>-29.591770799999999</v>
      </c>
      <c r="AR990" s="529">
        <v>0</v>
      </c>
    </row>
    <row r="991" spans="39:44">
      <c r="AM991" s="528">
        <v>44921</v>
      </c>
      <c r="AN991" s="529">
        <v>2.13</v>
      </c>
      <c r="AO991" s="529">
        <v>-173823</v>
      </c>
      <c r="AP991" s="529">
        <v>-43.517310000000002</v>
      </c>
      <c r="AQ991" s="529">
        <v>-123.5891604</v>
      </c>
      <c r="AR991" s="529">
        <v>-0.20429999999999998</v>
      </c>
    </row>
    <row r="992" spans="39:44">
      <c r="AM992" s="528">
        <v>44920</v>
      </c>
      <c r="AN992" s="529">
        <v>2.13</v>
      </c>
      <c r="AO992" s="529">
        <v>-115882</v>
      </c>
      <c r="AP992" s="529">
        <v>-29.01154</v>
      </c>
      <c r="AQ992" s="529">
        <v>-92.691870300000005</v>
      </c>
      <c r="AR992" s="529">
        <v>-0.13619999999999999</v>
      </c>
    </row>
    <row r="993" spans="39:44">
      <c r="AM993" s="528">
        <v>44919</v>
      </c>
      <c r="AN993" s="529">
        <v>2.13</v>
      </c>
      <c r="AO993" s="529">
        <v>-57941</v>
      </c>
      <c r="AP993" s="529">
        <v>-14.50577</v>
      </c>
      <c r="AQ993" s="529">
        <v>-61.794580199999999</v>
      </c>
      <c r="AR993" s="529">
        <v>-6.8099999999999994E-2</v>
      </c>
    </row>
    <row r="994" spans="39:44">
      <c r="AM994" s="528">
        <v>44918</v>
      </c>
      <c r="AN994" s="529">
        <v>2.13</v>
      </c>
      <c r="AO994" s="529">
        <v>0</v>
      </c>
      <c r="AP994" s="529">
        <v>0</v>
      </c>
      <c r="AQ994" s="529">
        <v>-30.897290099999999</v>
      </c>
      <c r="AR994" s="529">
        <v>0</v>
      </c>
    </row>
    <row r="995" spans="39:44">
      <c r="AM995" s="528">
        <v>44917</v>
      </c>
      <c r="AN995" s="529">
        <v>2.13</v>
      </c>
      <c r="AO995" s="529">
        <v>0</v>
      </c>
      <c r="AP995" s="529">
        <v>0</v>
      </c>
      <c r="AQ995" s="529">
        <v>-30.897290099999999</v>
      </c>
      <c r="AR995" s="529">
        <v>0</v>
      </c>
    </row>
    <row r="996" spans="39:44">
      <c r="AM996" s="528">
        <v>44916</v>
      </c>
      <c r="AN996" s="529">
        <v>2.13</v>
      </c>
      <c r="AO996" s="529">
        <v>0</v>
      </c>
      <c r="AP996" s="529">
        <v>0</v>
      </c>
      <c r="AQ996" s="529">
        <v>-30.897290099999999</v>
      </c>
      <c r="AR996" s="529">
        <v>0</v>
      </c>
    </row>
    <row r="997" spans="39:44">
      <c r="AM997" s="528">
        <v>44915</v>
      </c>
      <c r="AN997" s="529">
        <v>2.0299999999999998</v>
      </c>
      <c r="AO997" s="529">
        <v>0</v>
      </c>
      <c r="AP997" s="529">
        <v>0</v>
      </c>
      <c r="AQ997" s="529">
        <v>-29.446713099999997</v>
      </c>
      <c r="AR997" s="529">
        <v>0</v>
      </c>
    </row>
    <row r="998" spans="39:44">
      <c r="AM998" s="528">
        <v>44914</v>
      </c>
      <c r="AN998" s="529">
        <v>1.91</v>
      </c>
      <c r="AO998" s="529">
        <v>0</v>
      </c>
      <c r="AP998" s="529">
        <v>0</v>
      </c>
      <c r="AQ998" s="529">
        <v>-27.7060207</v>
      </c>
      <c r="AR998" s="529">
        <v>0</v>
      </c>
    </row>
    <row r="999" spans="39:44">
      <c r="AM999" s="528">
        <v>44913</v>
      </c>
      <c r="AN999" s="529">
        <v>2.11</v>
      </c>
      <c r="AO999" s="529">
        <v>-247854</v>
      </c>
      <c r="AP999" s="529">
        <v>-29.01154</v>
      </c>
      <c r="AQ999" s="529">
        <v>-91.821524099999991</v>
      </c>
      <c r="AR999" s="529">
        <v>-0.1348</v>
      </c>
    </row>
    <row r="1000" spans="39:44">
      <c r="AM1000" s="528">
        <v>44912</v>
      </c>
      <c r="AN1000" s="529">
        <v>2.11</v>
      </c>
      <c r="AO1000" s="529">
        <v>-123927</v>
      </c>
      <c r="AP1000" s="529">
        <v>-14.50577</v>
      </c>
      <c r="AQ1000" s="529">
        <v>-61.214349399999996</v>
      </c>
      <c r="AR1000" s="529">
        <v>-6.7400000000000002E-2</v>
      </c>
    </row>
    <row r="1001" spans="39:44">
      <c r="AM1001" s="528">
        <v>44911</v>
      </c>
      <c r="AN1001" s="529">
        <v>2.11</v>
      </c>
      <c r="AO1001" s="529">
        <v>0</v>
      </c>
      <c r="AP1001" s="529">
        <v>0</v>
      </c>
      <c r="AQ1001" s="529">
        <v>-30.607174699999998</v>
      </c>
      <c r="AR1001" s="529">
        <v>0</v>
      </c>
    </row>
    <row r="1002" spans="39:44">
      <c r="AM1002" s="528">
        <v>44910</v>
      </c>
      <c r="AN1002" s="529">
        <v>2.2999999999999998</v>
      </c>
      <c r="AO1002" s="529">
        <v>0</v>
      </c>
      <c r="AP1002" s="529">
        <v>0</v>
      </c>
      <c r="AQ1002" s="529">
        <v>-33.363270999999997</v>
      </c>
      <c r="AR1002" s="529">
        <v>0</v>
      </c>
    </row>
    <row r="1003" spans="39:44">
      <c r="AM1003" s="528">
        <v>44909</v>
      </c>
      <c r="AN1003" s="529">
        <v>2.3199999999999998</v>
      </c>
      <c r="AO1003" s="529">
        <v>0</v>
      </c>
      <c r="AP1003" s="529">
        <v>0</v>
      </c>
      <c r="AQ1003" s="529">
        <v>-33.653386399999995</v>
      </c>
      <c r="AR1003" s="529">
        <v>0</v>
      </c>
    </row>
    <row r="1004" spans="39:44">
      <c r="AM1004" s="528">
        <v>44908</v>
      </c>
      <c r="AN1004" s="529">
        <v>2.35</v>
      </c>
      <c r="AO1004" s="529">
        <v>0</v>
      </c>
      <c r="AP1004" s="529">
        <v>0</v>
      </c>
      <c r="AQ1004" s="529">
        <v>-34.088559500000002</v>
      </c>
      <c r="AR1004" s="529">
        <v>0</v>
      </c>
    </row>
    <row r="1005" spans="39:44">
      <c r="AM1005" s="528">
        <v>44907</v>
      </c>
      <c r="AN1005" s="529">
        <v>2.3199999999999998</v>
      </c>
      <c r="AO1005" s="529">
        <v>0</v>
      </c>
      <c r="AP1005" s="529">
        <v>0</v>
      </c>
      <c r="AQ1005" s="529">
        <v>-33.653386399999995</v>
      </c>
      <c r="AR1005" s="529">
        <v>0</v>
      </c>
    </row>
    <row r="1006" spans="39:44">
      <c r="AM1006" s="528">
        <v>44906</v>
      </c>
      <c r="AN1006" s="529">
        <v>2.44</v>
      </c>
      <c r="AO1006" s="529">
        <v>-154760</v>
      </c>
      <c r="AP1006" s="529">
        <v>-29.01154</v>
      </c>
      <c r="AQ1006" s="529">
        <v>-106.18223640000001</v>
      </c>
      <c r="AR1006" s="529">
        <v>-0.156</v>
      </c>
    </row>
    <row r="1007" spans="39:44">
      <c r="AM1007" s="528">
        <v>44905</v>
      </c>
      <c r="AN1007" s="529">
        <v>2.44</v>
      </c>
      <c r="AO1007" s="529">
        <v>-77380</v>
      </c>
      <c r="AP1007" s="529">
        <v>-14.50577</v>
      </c>
      <c r="AQ1007" s="529">
        <v>-70.788157600000005</v>
      </c>
      <c r="AR1007" s="529">
        <v>-7.8E-2</v>
      </c>
    </row>
    <row r="1008" spans="39:44">
      <c r="AM1008" s="528">
        <v>44904</v>
      </c>
      <c r="AN1008" s="529">
        <v>2.44</v>
      </c>
      <c r="AO1008" s="529">
        <v>0</v>
      </c>
      <c r="AP1008" s="529">
        <v>0</v>
      </c>
      <c r="AQ1008" s="529">
        <v>-35.394078800000003</v>
      </c>
      <c r="AR1008" s="529">
        <v>0</v>
      </c>
    </row>
    <row r="1009" spans="39:44">
      <c r="AM1009" s="528">
        <v>44903</v>
      </c>
      <c r="AN1009" s="529">
        <v>2.5</v>
      </c>
      <c r="AO1009" s="529">
        <v>0</v>
      </c>
      <c r="AP1009" s="529">
        <v>0</v>
      </c>
      <c r="AQ1009" s="529">
        <v>-36.264425000000003</v>
      </c>
      <c r="AR1009" s="529">
        <v>0</v>
      </c>
    </row>
    <row r="1010" spans="39:44">
      <c r="AM1010" s="528">
        <v>44902</v>
      </c>
      <c r="AN1010" s="529">
        <v>2.38</v>
      </c>
      <c r="AO1010" s="529">
        <v>0</v>
      </c>
      <c r="AP1010" s="529">
        <v>0</v>
      </c>
      <c r="AQ1010" s="529">
        <v>-34.523732599999995</v>
      </c>
      <c r="AR1010" s="529">
        <v>0</v>
      </c>
    </row>
    <row r="1011" spans="39:44">
      <c r="AM1011" s="528">
        <v>44901</v>
      </c>
      <c r="AN1011" s="529">
        <v>2.44</v>
      </c>
      <c r="AO1011" s="529">
        <v>0</v>
      </c>
      <c r="AP1011" s="529">
        <v>0</v>
      </c>
      <c r="AQ1011" s="529">
        <v>-35.394078800000003</v>
      </c>
      <c r="AR1011" s="529">
        <v>0</v>
      </c>
    </row>
    <row r="1012" spans="39:44">
      <c r="AM1012" s="528">
        <v>44900</v>
      </c>
      <c r="AN1012" s="529">
        <v>2.4300000000000002</v>
      </c>
      <c r="AO1012" s="529">
        <v>0</v>
      </c>
      <c r="AP1012" s="529">
        <v>0</v>
      </c>
      <c r="AQ1012" s="529">
        <v>-35.2490211</v>
      </c>
      <c r="AR1012" s="529">
        <v>0</v>
      </c>
    </row>
    <row r="1013" spans="39:44">
      <c r="AM1013" s="528">
        <v>44899</v>
      </c>
      <c r="AN1013" s="529">
        <v>2.5499999999999998</v>
      </c>
      <c r="AO1013" s="529">
        <v>-185646</v>
      </c>
      <c r="AP1013" s="529">
        <v>-29.01154</v>
      </c>
      <c r="AQ1013" s="529">
        <v>-110.96914050000001</v>
      </c>
      <c r="AR1013" s="529">
        <v>-0.16300000000000001</v>
      </c>
    </row>
    <row r="1014" spans="39:44">
      <c r="AM1014" s="528">
        <v>44898</v>
      </c>
      <c r="AN1014" s="529">
        <v>2.5499999999999998</v>
      </c>
      <c r="AO1014" s="529">
        <v>-92823</v>
      </c>
      <c r="AP1014" s="529">
        <v>-14.50577</v>
      </c>
      <c r="AQ1014" s="529">
        <v>-73.979427000000001</v>
      </c>
      <c r="AR1014" s="529">
        <v>-8.1500000000000003E-2</v>
      </c>
    </row>
    <row r="1015" spans="39:44">
      <c r="AM1015" s="528">
        <v>44897</v>
      </c>
      <c r="AN1015" s="529">
        <v>2.5499999999999998</v>
      </c>
      <c r="AO1015" s="529">
        <v>0</v>
      </c>
      <c r="AP1015" s="529">
        <v>0</v>
      </c>
      <c r="AQ1015" s="529">
        <v>-36.989713500000001</v>
      </c>
      <c r="AR1015" s="529">
        <v>0</v>
      </c>
    </row>
    <row r="1016" spans="39:44">
      <c r="AM1016" s="528">
        <v>44896</v>
      </c>
      <c r="AN1016" s="529">
        <v>2.5</v>
      </c>
      <c r="AO1016" s="529">
        <v>0</v>
      </c>
      <c r="AP1016" s="529">
        <v>0</v>
      </c>
      <c r="AQ1016" s="529">
        <v>-36.264425000000003</v>
      </c>
      <c r="AR1016" s="529">
        <v>0</v>
      </c>
    </row>
    <row r="1017" spans="39:44">
      <c r="AM1017" s="528">
        <v>44895</v>
      </c>
      <c r="AN1017" s="529">
        <v>2.4900000000000002</v>
      </c>
      <c r="AO1017" s="529">
        <v>0</v>
      </c>
      <c r="AP1017" s="529">
        <v>0</v>
      </c>
      <c r="AQ1017" s="529">
        <v>-36.1193673</v>
      </c>
      <c r="AR1017" s="529">
        <v>0</v>
      </c>
    </row>
    <row r="1018" spans="39:44">
      <c r="AM1018" s="528">
        <v>44894</v>
      </c>
      <c r="AN1018" s="529">
        <v>2.4700000000000002</v>
      </c>
      <c r="AO1018" s="529">
        <v>0</v>
      </c>
      <c r="AP1018" s="529">
        <v>0</v>
      </c>
      <c r="AQ1018" s="529">
        <v>-35.829251900000003</v>
      </c>
      <c r="AR1018" s="529">
        <v>0</v>
      </c>
    </row>
    <row r="1019" spans="39:44">
      <c r="AM1019" s="528">
        <v>44893</v>
      </c>
      <c r="AN1019" s="529">
        <v>2.48</v>
      </c>
      <c r="AO1019" s="529">
        <v>0</v>
      </c>
      <c r="AP1019" s="529">
        <v>0</v>
      </c>
      <c r="AQ1019" s="529">
        <v>-35.974309599999998</v>
      </c>
      <c r="AR1019" s="529">
        <v>0</v>
      </c>
    </row>
    <row r="1020" spans="39:44">
      <c r="AM1020" s="528">
        <v>44892</v>
      </c>
      <c r="AN1020" s="529">
        <v>2.42</v>
      </c>
      <c r="AO1020" s="529">
        <v>-63298</v>
      </c>
      <c r="AP1020" s="529">
        <v>-29.01154</v>
      </c>
      <c r="AQ1020" s="529">
        <v>-105.31189019999999</v>
      </c>
      <c r="AR1020" s="529">
        <v>-0.15459999999999999</v>
      </c>
    </row>
    <row r="1021" spans="39:44">
      <c r="AM1021" s="528">
        <v>44891</v>
      </c>
      <c r="AN1021" s="529">
        <v>2.42</v>
      </c>
      <c r="AO1021" s="529">
        <v>-31649</v>
      </c>
      <c r="AP1021" s="529">
        <v>-14.50577</v>
      </c>
      <c r="AQ1021" s="529">
        <v>-70.207926799999996</v>
      </c>
      <c r="AR1021" s="529">
        <v>-7.7299999999999994E-2</v>
      </c>
    </row>
    <row r="1022" spans="39:44">
      <c r="AM1022" s="528">
        <v>44890</v>
      </c>
      <c r="AN1022" s="529">
        <v>2.42</v>
      </c>
      <c r="AO1022" s="529">
        <v>0</v>
      </c>
      <c r="AP1022" s="529">
        <v>0</v>
      </c>
      <c r="AQ1022" s="529">
        <v>-35.103963399999998</v>
      </c>
      <c r="AR1022" s="529">
        <v>0</v>
      </c>
    </row>
    <row r="1023" spans="39:44">
      <c r="AM1023" s="528">
        <v>44889</v>
      </c>
      <c r="AN1023" s="529">
        <v>2.4900000000000002</v>
      </c>
      <c r="AO1023" s="529">
        <v>-74721</v>
      </c>
      <c r="AP1023" s="529">
        <v>-14.50577</v>
      </c>
      <c r="AQ1023" s="529">
        <v>-72.238734600000001</v>
      </c>
      <c r="AR1023" s="529">
        <v>-7.9600000000000004E-2</v>
      </c>
    </row>
    <row r="1024" spans="39:44">
      <c r="AM1024" s="528">
        <v>44888</v>
      </c>
      <c r="AN1024" s="529">
        <v>2.4900000000000002</v>
      </c>
      <c r="AO1024" s="529">
        <v>0</v>
      </c>
      <c r="AP1024" s="529">
        <v>0</v>
      </c>
      <c r="AQ1024" s="529">
        <v>-36.1193673</v>
      </c>
      <c r="AR1024" s="529">
        <v>0</v>
      </c>
    </row>
    <row r="1025" spans="39:44">
      <c r="AM1025" s="528">
        <v>44887</v>
      </c>
      <c r="AN1025" s="529">
        <v>2.48</v>
      </c>
      <c r="AO1025" s="529">
        <v>0</v>
      </c>
      <c r="AP1025" s="529">
        <v>0</v>
      </c>
      <c r="AQ1025" s="529">
        <v>-35.974309599999998</v>
      </c>
      <c r="AR1025" s="529">
        <v>0</v>
      </c>
    </row>
    <row r="1026" spans="39:44">
      <c r="AM1026" s="528">
        <v>44886</v>
      </c>
      <c r="AN1026" s="529">
        <v>2.37</v>
      </c>
      <c r="AO1026" s="529">
        <v>0</v>
      </c>
      <c r="AP1026" s="529">
        <v>0</v>
      </c>
      <c r="AQ1026" s="529">
        <v>-34.3786749</v>
      </c>
      <c r="AR1026" s="529">
        <v>0</v>
      </c>
    </row>
    <row r="1027" spans="39:44">
      <c r="AM1027" s="528">
        <v>44885</v>
      </c>
      <c r="AN1027" s="529">
        <v>2.41</v>
      </c>
      <c r="AO1027" s="529">
        <v>-155096</v>
      </c>
      <c r="AP1027" s="529">
        <v>-29.01154</v>
      </c>
      <c r="AQ1027" s="529">
        <v>-104.87671710000001</v>
      </c>
      <c r="AR1027" s="529">
        <v>-0.154</v>
      </c>
    </row>
    <row r="1028" spans="39:44">
      <c r="AM1028" s="528">
        <v>44884</v>
      </c>
      <c r="AN1028" s="529">
        <v>2.41</v>
      </c>
      <c r="AO1028" s="529">
        <v>-77548</v>
      </c>
      <c r="AP1028" s="529">
        <v>-14.50577</v>
      </c>
      <c r="AQ1028" s="529">
        <v>-69.917811400000005</v>
      </c>
      <c r="AR1028" s="529">
        <v>-7.6999999999999999E-2</v>
      </c>
    </row>
    <row r="1029" spans="39:44">
      <c r="AM1029" s="528">
        <v>44883</v>
      </c>
      <c r="AN1029" s="529">
        <v>2.41</v>
      </c>
      <c r="AO1029" s="529">
        <v>0</v>
      </c>
      <c r="AP1029" s="529">
        <v>0</v>
      </c>
      <c r="AQ1029" s="529">
        <v>-34.958905700000003</v>
      </c>
      <c r="AR1029" s="529">
        <v>0</v>
      </c>
    </row>
    <row r="1030" spans="39:44">
      <c r="AM1030" s="528">
        <v>44882</v>
      </c>
      <c r="AN1030" s="529">
        <v>2.37</v>
      </c>
      <c r="AO1030" s="529">
        <v>0</v>
      </c>
      <c r="AP1030" s="529">
        <v>0</v>
      </c>
      <c r="AQ1030" s="529">
        <v>-34.3786749</v>
      </c>
      <c r="AR1030" s="529">
        <v>0</v>
      </c>
    </row>
    <row r="1031" spans="39:44">
      <c r="AM1031" s="528">
        <v>44881</v>
      </c>
      <c r="AN1031" s="529">
        <v>2.35</v>
      </c>
      <c r="AO1031" s="529">
        <v>0</v>
      </c>
      <c r="AP1031" s="529">
        <v>0</v>
      </c>
      <c r="AQ1031" s="529">
        <v>-34.088559500000002</v>
      </c>
      <c r="AR1031" s="529">
        <v>0</v>
      </c>
    </row>
    <row r="1032" spans="39:44">
      <c r="AM1032" s="528">
        <v>44880</v>
      </c>
      <c r="AN1032" s="529">
        <v>2.2999999999999998</v>
      </c>
      <c r="AO1032" s="529">
        <v>0</v>
      </c>
      <c r="AP1032" s="529">
        <v>0</v>
      </c>
      <c r="AQ1032" s="529">
        <v>-33.363270999999997</v>
      </c>
      <c r="AR1032" s="529">
        <v>0</v>
      </c>
    </row>
    <row r="1033" spans="39:44">
      <c r="AM1033" s="528">
        <v>44879</v>
      </c>
      <c r="AN1033" s="529">
        <v>2.25</v>
      </c>
      <c r="AO1033" s="529">
        <v>0</v>
      </c>
      <c r="AP1033" s="529">
        <v>0</v>
      </c>
      <c r="AQ1033" s="529">
        <v>-32.6379825</v>
      </c>
      <c r="AR1033" s="529">
        <v>0</v>
      </c>
    </row>
    <row r="1034" spans="39:44">
      <c r="AM1034" s="528">
        <v>44878</v>
      </c>
      <c r="AN1034" s="529">
        <v>2.1</v>
      </c>
      <c r="AO1034" s="529">
        <v>-174036</v>
      </c>
      <c r="AP1034" s="529">
        <v>-29.01154</v>
      </c>
      <c r="AQ1034" s="529">
        <v>-91.386351000000005</v>
      </c>
      <c r="AR1034" s="529">
        <v>-0.13420000000000001</v>
      </c>
    </row>
    <row r="1035" spans="39:44">
      <c r="AM1035" s="528">
        <v>44877</v>
      </c>
      <c r="AN1035" s="529">
        <v>2.1</v>
      </c>
      <c r="AO1035" s="529">
        <v>-87018</v>
      </c>
      <c r="AP1035" s="529">
        <v>-14.50577</v>
      </c>
      <c r="AQ1035" s="529">
        <v>-60.924234000000006</v>
      </c>
      <c r="AR1035" s="529">
        <v>-6.7100000000000007E-2</v>
      </c>
    </row>
    <row r="1036" spans="39:44">
      <c r="AM1036" s="528">
        <v>44876</v>
      </c>
      <c r="AN1036" s="529">
        <v>2.1</v>
      </c>
      <c r="AO1036" s="529">
        <v>0</v>
      </c>
      <c r="AP1036" s="529">
        <v>0</v>
      </c>
      <c r="AQ1036" s="529">
        <v>-30.462117000000003</v>
      </c>
      <c r="AR1036" s="529">
        <v>0</v>
      </c>
    </row>
    <row r="1037" spans="39:44">
      <c r="AM1037" s="528">
        <v>44875</v>
      </c>
      <c r="AN1037" s="529">
        <v>2.04</v>
      </c>
      <c r="AO1037" s="529">
        <v>0</v>
      </c>
      <c r="AP1037" s="529">
        <v>0</v>
      </c>
      <c r="AQ1037" s="529">
        <v>-29.591770799999999</v>
      </c>
      <c r="AR1037" s="529">
        <v>0</v>
      </c>
    </row>
    <row r="1038" spans="39:44">
      <c r="AM1038" s="528">
        <v>44874</v>
      </c>
      <c r="AN1038" s="529">
        <v>1.93</v>
      </c>
      <c r="AO1038" s="529">
        <v>0</v>
      </c>
      <c r="AP1038" s="529">
        <v>0</v>
      </c>
      <c r="AQ1038" s="529">
        <v>-26.372099000000002</v>
      </c>
      <c r="AR1038" s="529">
        <v>0</v>
      </c>
    </row>
    <row r="1039" spans="39:44">
      <c r="AM1039" s="528">
        <v>44873</v>
      </c>
      <c r="AN1039" s="529">
        <v>2.14</v>
      </c>
      <c r="AO1039" s="529">
        <v>0</v>
      </c>
      <c r="AP1039" s="529">
        <v>0</v>
      </c>
      <c r="AQ1039" s="529">
        <v>-29.241602000000004</v>
      </c>
      <c r="AR1039" s="529">
        <v>0</v>
      </c>
    </row>
    <row r="1040" spans="39:44">
      <c r="AM1040" s="528">
        <v>44872</v>
      </c>
      <c r="AN1040" s="529">
        <v>2.15</v>
      </c>
      <c r="AO1040" s="529">
        <v>0</v>
      </c>
      <c r="AP1040" s="529">
        <v>0</v>
      </c>
      <c r="AQ1040" s="529">
        <v>-29.378245</v>
      </c>
      <c r="AR1040" s="529">
        <v>0</v>
      </c>
    </row>
    <row r="1041" spans="39:44">
      <c r="AM1041" s="528">
        <v>44871</v>
      </c>
      <c r="AN1041" s="529">
        <v>2.2000000000000002</v>
      </c>
      <c r="AO1041" s="529">
        <v>-65190</v>
      </c>
      <c r="AP1041" s="529">
        <v>-27.328600000000002</v>
      </c>
      <c r="AQ1041" s="529">
        <v>-90.184380000000004</v>
      </c>
      <c r="AR1041" s="529">
        <v>-0.1406</v>
      </c>
    </row>
    <row r="1042" spans="39:44">
      <c r="AM1042" s="528">
        <v>44870</v>
      </c>
      <c r="AN1042" s="529">
        <v>2.2000000000000002</v>
      </c>
      <c r="AO1042" s="529">
        <v>-32595</v>
      </c>
      <c r="AP1042" s="529">
        <v>-13.664300000000001</v>
      </c>
      <c r="AQ1042" s="529">
        <v>-60.122920000000008</v>
      </c>
      <c r="AR1042" s="529">
        <v>-7.0300000000000001E-2</v>
      </c>
    </row>
    <row r="1043" spans="39:44">
      <c r="AM1043" s="528">
        <v>44869</v>
      </c>
      <c r="AN1043" s="529">
        <v>2.2000000000000002</v>
      </c>
      <c r="AO1043" s="529">
        <v>0</v>
      </c>
      <c r="AP1043" s="529">
        <v>0</v>
      </c>
      <c r="AQ1043" s="529">
        <v>-30.061460000000004</v>
      </c>
      <c r="AR1043" s="529">
        <v>0</v>
      </c>
    </row>
    <row r="1044" spans="39:44">
      <c r="AM1044" s="528">
        <v>44868</v>
      </c>
      <c r="AN1044" s="529">
        <v>2.23</v>
      </c>
      <c r="AO1044" s="529">
        <v>0</v>
      </c>
      <c r="AP1044" s="529">
        <v>0</v>
      </c>
      <c r="AQ1044" s="529">
        <v>-30.471389000000002</v>
      </c>
      <c r="AR1044" s="529">
        <v>0</v>
      </c>
    </row>
    <row r="1045" spans="39:44">
      <c r="AM1045" s="528">
        <v>44867</v>
      </c>
      <c r="AN1045" s="529">
        <v>2.2200000000000002</v>
      </c>
      <c r="AO1045" s="529">
        <v>0</v>
      </c>
      <c r="AP1045" s="529">
        <v>0</v>
      </c>
      <c r="AQ1045" s="529">
        <v>-30.334746000000003</v>
      </c>
      <c r="AR1045" s="529">
        <v>0</v>
      </c>
    </row>
    <row r="1046" spans="39:44">
      <c r="AM1046" s="528">
        <v>44866</v>
      </c>
      <c r="AN1046" s="529">
        <v>2.31</v>
      </c>
      <c r="AO1046" s="529">
        <v>0</v>
      </c>
      <c r="AP1046" s="529">
        <v>0</v>
      </c>
      <c r="AQ1046" s="529">
        <v>-31.564533000000001</v>
      </c>
      <c r="AR1046" s="529">
        <v>0</v>
      </c>
    </row>
    <row r="1047" spans="39:44">
      <c r="AM1047" s="528">
        <v>44865</v>
      </c>
      <c r="AN1047" s="529">
        <v>2.27</v>
      </c>
      <c r="AO1047" s="529">
        <v>0</v>
      </c>
      <c r="AP1047" s="529">
        <v>0</v>
      </c>
      <c r="AQ1047" s="529">
        <v>-31.017961000000003</v>
      </c>
      <c r="AR1047" s="529">
        <v>0</v>
      </c>
    </row>
    <row r="1048" spans="39:44">
      <c r="AM1048" s="528">
        <v>44864</v>
      </c>
      <c r="AN1048" s="529">
        <v>2.2799999999999998</v>
      </c>
      <c r="AO1048" s="529">
        <v>-148182</v>
      </c>
      <c r="AP1048" s="529">
        <v>-27.328600000000002</v>
      </c>
      <c r="AQ1048" s="529">
        <v>-93.46381199999999</v>
      </c>
      <c r="AR1048" s="529">
        <v>-0.14580000000000001</v>
      </c>
    </row>
    <row r="1049" spans="39:44">
      <c r="AM1049" s="528">
        <v>44863</v>
      </c>
      <c r="AN1049" s="529">
        <v>2.2799999999999998</v>
      </c>
      <c r="AO1049" s="529">
        <v>-74091</v>
      </c>
      <c r="AP1049" s="529">
        <v>-13.664300000000001</v>
      </c>
      <c r="AQ1049" s="529">
        <v>-62.309207999999998</v>
      </c>
      <c r="AR1049" s="529">
        <v>-7.2900000000000006E-2</v>
      </c>
    </row>
    <row r="1050" spans="39:44">
      <c r="AM1050" s="528">
        <v>44862</v>
      </c>
      <c r="AN1050" s="529">
        <v>2.2799999999999998</v>
      </c>
      <c r="AO1050" s="529">
        <v>0</v>
      </c>
      <c r="AP1050" s="529">
        <v>0</v>
      </c>
      <c r="AQ1050" s="529">
        <v>-31.154603999999999</v>
      </c>
      <c r="AR1050" s="529">
        <v>0</v>
      </c>
    </row>
    <row r="1051" spans="39:44">
      <c r="AM1051" s="528">
        <v>44861</v>
      </c>
      <c r="AN1051" s="529">
        <v>2.15</v>
      </c>
      <c r="AO1051" s="529">
        <v>0</v>
      </c>
      <c r="AP1051" s="529">
        <v>0</v>
      </c>
      <c r="AQ1051" s="529">
        <v>-29.378245</v>
      </c>
      <c r="AR1051" s="529">
        <v>0</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ds:schemaRefs>
    <ds:schemaRef ds:uri="http://schemas.microsoft.com/office/2006/documentManagement/types"/>
    <ds:schemaRef ds:uri="http://schemas.microsoft.com/office/2006/metadata/properties"/>
    <ds:schemaRef ds:uri="8c89d0e4-a8d9-42ba-a773-c59a56f7723e"/>
    <ds:schemaRef ds:uri="http://www.w3.org/XML/1998/namespace"/>
    <ds:schemaRef ds:uri="http://purl.org/dc/terms/"/>
    <ds:schemaRef ds:uri="6ba73c8a-1af7-4183-b158-1cd1291da2b6"/>
    <ds:schemaRef ds:uri="http://purl.org/dc/dcmitype/"/>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CAB28330-9532-47FE-85E3-EF609F3215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BB988D-8D01-4A93-B497-E21446BB3F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Dashboard</vt:lpstr>
      <vt:lpstr>Key Info</vt:lpstr>
      <vt:lpstr>Industry</vt:lpstr>
      <vt:lpstr>ESG</vt:lpstr>
      <vt:lpstr>Segments</vt:lpstr>
      <vt:lpstr>Peers</vt:lpstr>
      <vt:lpstr>Trading Comps</vt:lpstr>
      <vt:lpstr>WACC</vt:lpstr>
      <vt:lpstr>FCFF</vt:lpstr>
      <vt:lpstr>LBO</vt:lpstr>
      <vt:lpstr>Sensitivity</vt:lpstr>
      <vt:lpstr>IS</vt:lpstr>
      <vt:lpstr>BS</vt:lpstr>
      <vt:lpstr>CF</vt:lpstr>
      <vt:lpstr>Error Check</vt:lpstr>
      <vt:lpstr>Inputs</vt:lpstr>
      <vt:lpstr>Sheet1</vt:lpstr>
      <vt:lpstr>Stock Data</vt:lpstr>
    </vt:vector>
  </TitlesOfParts>
  <Manager/>
  <Company>Bloomberg LP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MARIANA LIU E ZHU</cp:lastModifiedBy>
  <cp:revision/>
  <dcterms:created xsi:type="dcterms:W3CDTF">2025-02-25T16:23:47Z</dcterms:created>
  <dcterms:modified xsi:type="dcterms:W3CDTF">2025-10-21T21:51:20Z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