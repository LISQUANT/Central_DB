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0"/>
  <workbookPr codeName="ThisWorkbook"/>
  <xr:revisionPtr revIDLastSave="0" documentId="11_DA66F8E4986C9293D2703927A1CFC9E14FCF12C1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ummary" sheetId="2" r:id="rId1"/>
    <sheet name="Loans" sheetId="3" r:id="rId2"/>
    <sheet name="Inactive Bonds" sheetId="4" r:id="rId3"/>
  </sheets>
  <definedNames>
    <definedName name="aggregationTableFooter_data_loans">Loans!$B$15:$D$15</definedName>
    <definedName name="aggregationTableFooter_loans">Loans!$A$15:$D$15</definedName>
    <definedName name="detailsAggregationBody_inactiveBonds">'Inactive Bonds'!$A$3:$B$3</definedName>
    <definedName name="detailsAggregationHeader_inactiveBonds">'Inactive Bonds'!$A$2:$B$2</definedName>
    <definedName name="detailsTableHeader_loans">Loans!$A$1:$AD$1</definedName>
    <definedName name="detailTableName_inactiveBonds">'Inactive Bonds'!$A$1:$AD$1</definedName>
    <definedName name="FaceIssuedTotal_inactiveBonds_0">'Inactive Bonds'!$D$5:$D$5</definedName>
    <definedName name="IssueDate_inactiveBonds_0">'Inactive Bonds'!$K$5:$K$5</definedName>
    <definedName name="issuerDescriptionHeader">Summary!$A$6:$B$6</definedName>
    <definedName name="MaturityCorpModDuration_inactiveBonds_0">'Inactive Bonds'!$P$5:$P$5</definedName>
    <definedName name="MaturityDate_inactiveBonds_0">'Inactive Bonds'!$C$5:$C$5</definedName>
    <definedName name="OptionAdjustedSpreadDuration_inactiveBonds_0">'Inactive Bonds'!$Q$5:$Q$5</definedName>
    <definedName name="PricingClosingPrice_loans_0">Loans!$I$5:$I$5</definedName>
    <definedName name="PricingClosingPrice_loans_1">Loans!$I$8:$I$8</definedName>
    <definedName name="PricingClosingPrice_loans_2">Loans!$I$11:$I$11</definedName>
    <definedName name="PricingClosingPrice_loans_3">Loans!$I$14:$I$14</definedName>
    <definedName name="PricingDiscountSpread_loans_0">Loans!$L$5:$L$5</definedName>
    <definedName name="PricingDiscountSpread_loans_1">Loans!$L$8:$L$8</definedName>
    <definedName name="PricingDiscountSpread_loans_2">Loans!$L$11:$L$11</definedName>
    <definedName name="PricingDiscountSpread_loans_3">Loans!$L$14:$L$14</definedName>
    <definedName name="PricingMeanPrice_loans_0">Loans!$K$5:$K$5</definedName>
    <definedName name="PricingMeanPrice_loans_1">Loans!$K$8:$K$8</definedName>
    <definedName name="PricingMeanPrice_loans_2">Loans!$K$11:$K$11</definedName>
    <definedName name="PricingMeanPrice_loans_3">Loans!$K$14:$K$14</definedName>
    <definedName name="PricingOfferPrice_loans_0">Loans!$J$5:$J$5</definedName>
    <definedName name="PricingOfferPrice_loans_1">Loans!$J$8:$J$8</definedName>
    <definedName name="PricingOfferPrice_loans_2">Loans!$J$11:$J$11</definedName>
    <definedName name="PricingOfferPrice_loans_3">Loans!$J$14:$J$14</definedName>
    <definedName name="PricingYield_loans_0">Loans!$M$5:$M$5</definedName>
    <definedName name="PricingYield_loans_1">Loans!$M$8:$M$8</definedName>
    <definedName name="PricingYield_loans_2">Loans!$M$11:$M$11</definedName>
    <definedName name="PricingYield_loans_3">Loans!$M$14:$M$14</definedName>
    <definedName name="summaryBody">Summary!$B$13:$D$19</definedName>
    <definedName name="summaryBodySubheader">Summary!$B$12:$D$19</definedName>
    <definedName name="summaryFooter">Summary!$A$18:$D$18</definedName>
    <definedName name="summaryHeader">Summary!$A$11:$D$11</definedName>
    <definedName name="summarySubHeader">Summary!$A$12:$D$12</definedName>
    <definedName name="worksheetHeader">Summary!$A$1:$AD$1</definedName>
  </definedNames>
  <calcPr calcId="0" fullCalcOnLoad="1" calcCompleted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2" l="1"/>
  <c r="C19" i="2"/>
</calcChain>
</file>

<file path=xl/sharedStrings.xml><?xml version="1.0" encoding="utf-8"?>
<sst xmlns="http://schemas.openxmlformats.org/spreadsheetml/2006/main" count="160" uniqueCount="83">
  <si>
    <t>PILBARA MINERALS LTD
			                    22-Feb-2024 17:13</t>
  </si>
  <si>
    <t>Debt Structure</t>
  </si>
  <si>
    <t>Include Subsidiaries: YES, Include Depositary Receipts: NO, Currency: U.S. Dollar</t>
  </si>
  <si>
    <t>Issuer Description</t>
  </si>
  <si>
    <t>PILBARA MINERALS LTD</t>
  </si>
  <si>
    <t>Immediate Parent</t>
  </si>
  <si>
    <t>--</t>
  </si>
  <si>
    <t>Ultimate Parent</t>
  </si>
  <si>
    <t>Name</t>
  </si>
  <si>
    <t>Issues</t>
  </si>
  <si>
    <t>Outstanding</t>
  </si>
  <si>
    <t>Issued</t>
  </si>
  <si>
    <t>Bonds</t>
  </si>
  <si>
    <t>Bonds to Be Issued</t>
  </si>
  <si>
    <t>Bonds (as Borrower)</t>
  </si>
  <si>
    <t>Bonds (as Borrower) - to Be Issued</t>
  </si>
  <si>
    <t>Loans</t>
  </si>
  <si>
    <t>Total</t>
  </si>
  <si>
    <t>Inactive Bonds</t>
  </si>
  <si>
    <t>Issue Date</t>
  </si>
  <si>
    <t>Purpose</t>
  </si>
  <si>
    <t>Amount Issued</t>
  </si>
  <si>
    <t>Facilities</t>
  </si>
  <si>
    <t>16-Dec-2021 Pilgangoora Operations Pty Ltd</t>
  </si>
  <si>
    <t>General Purpose</t>
  </si>
  <si>
    <t>Facility Type</t>
  </si>
  <si>
    <t>Maturity Date</t>
  </si>
  <si>
    <t>Facility Amount</t>
  </si>
  <si>
    <t>Country</t>
  </si>
  <si>
    <t>Currency</t>
  </si>
  <si>
    <t>RIC</t>
  </si>
  <si>
    <t>Base Rate/Spd</t>
  </si>
  <si>
    <t>Bid Price (%)</t>
  </si>
  <si>
    <t>Ask Price (%)</t>
  </si>
  <si>
    <t>Mid Price (%)</t>
  </si>
  <si>
    <t>Discounted Spread (bps)</t>
  </si>
  <si>
    <t>Yield (%)</t>
  </si>
  <si>
    <t>Revolver/Term Loan</t>
  </si>
  <si>
    <t>Australia</t>
  </si>
  <si>
    <t>USD</t>
  </si>
  <si>
    <t>21-Feb-2023 Pilgangoora Operations Pty Ltd</t>
  </si>
  <si>
    <t>Capital expenditure</t>
  </si>
  <si>
    <t>Term Loan</t>
  </si>
  <si>
    <t>AUD</t>
  </si>
  <si>
    <t>24-Feb-2023 Pilgangoora Operations Pty Ltd</t>
  </si>
  <si>
    <t>Project Finance</t>
  </si>
  <si>
    <t>Total records</t>
  </si>
  <si>
    <t>Total Amount Issued (USD)</t>
  </si>
  <si>
    <t>Description</t>
  </si>
  <si>
    <t>Asset Duplicated</t>
  </si>
  <si>
    <t>Issued Amount</t>
  </si>
  <si>
    <t>Coupon Class</t>
  </si>
  <si>
    <t>Country of Issue</t>
  </si>
  <si>
    <t>ISIN</t>
  </si>
  <si>
    <t>Cusip</t>
  </si>
  <si>
    <t>Rank (Seniority)</t>
  </si>
  <si>
    <t>Seniority (Legacy)</t>
  </si>
  <si>
    <t>Instrument Type</t>
  </si>
  <si>
    <t>Principal Index Link Flag</t>
  </si>
  <si>
    <t>Modified Duration</t>
  </si>
  <si>
    <t>Option Adjusted Duration</t>
  </si>
  <si>
    <t>Capital Tier</t>
  </si>
  <si>
    <t>Government Bond Type</t>
  </si>
  <si>
    <t>Offering Type</t>
  </si>
  <si>
    <t>Program Type</t>
  </si>
  <si>
    <t>Domicile</t>
  </si>
  <si>
    <t>Asset Status</t>
  </si>
  <si>
    <t>Green Bonds</t>
  </si>
  <si>
    <t>Issuer</t>
  </si>
  <si>
    <t>Collateral</t>
  </si>
  <si>
    <t>PLSPO / PLS 12.000  21-Jun-2022  CALd</t>
  </si>
  <si>
    <t>Fixed Coupon</t>
  </si>
  <si>
    <t>Norway</t>
  </si>
  <si>
    <t>US Dollar</t>
  </si>
  <si>
    <t>NO0010797608</t>
  </si>
  <si>
    <t>PLSPO</t>
  </si>
  <si>
    <t>Senior Secured</t>
  </si>
  <si>
    <t>Bond</t>
  </si>
  <si>
    <t>N</t>
  </si>
  <si>
    <t>Underwritten</t>
  </si>
  <si>
    <t>Called</t>
  </si>
  <si>
    <t>PILGANGOORA OPERATIONS PTY LTD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</si>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</sst>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-#,##0;#,##0;&quot;--&quot;"/>
    <numFmt numFmtId="165" formatCode="dd\-mmm\-yyyy"/>
    <numFmt numFmtId="166" formatCode="##0.0####;\-##0.0####;&quot;--&quot;;&quot;--&quot;"/>
    <numFmt numFmtId="167" formatCode="#,##0.0##;\-#,##0.0##;&quot;--&quot;;&quot;--&quot;"/>
  </numFmts>
  <fonts count="2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A6A6A6"/>
        <bgColor rgb="FFA6A6A6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/>
      <right/>
      <top/>
      <bottom style="thick">
        <color rgb="FF808080"/>
      </bottom>
      <diagonal/>
    </border>
  </borders>
  <cellStyleXfs count="1">
    <xf numFmtId="0" fontId="0" fillId="0" borderId="0" applyNumberFormat="0" applyBorder="0" applyAlignment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1" xfId="0" applyBorder="1"/>
    <xf numFmtId="164" fontId="0" fillId="0" borderId="1" xfId="0" applyNumberFormat="1" applyBorder="1" applyAlignment="1">
      <alignment horizontal="right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0" fontId="1" fillId="3" borderId="0" xfId="0" applyFont="1" applyFill="1"/>
    <xf numFmtId="164" fontId="1" fillId="3" borderId="0" xfId="0" applyNumberFormat="1" applyFont="1" applyFill="1" applyAlignment="1">
      <alignment horizontal="right"/>
    </xf>
    <xf numFmtId="0" fontId="1" fillId="4" borderId="0" xfId="0" applyFont="1" applyFill="1" applyAlignment="1">
      <alignment horizontal="left"/>
    </xf>
    <xf numFmtId="0" fontId="1" fillId="4" borderId="0" xfId="0" applyFont="1" applyFill="1" applyAlignment="1">
      <alignment horizontal="right"/>
    </xf>
    <xf numFmtId="165" fontId="0" fillId="0" borderId="0" xfId="0" applyNumberFormat="1" applyAlignment="1">
      <alignment horizontal="left"/>
    </xf>
    <xf numFmtId="164" fontId="0" fillId="0" borderId="0" xfId="0" applyNumberFormat="1"/>
    <xf numFmtId="166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 applyAlignment="1">
      <alignment horizontal="right"/>
    </xf>
    <xf numFmtId="167" fontId="0" fillId="0" borderId="0" xfId="0" applyNumberFormat="1" applyAlignment="1">
      <alignment horizontal="right"/>
    </xf>
    <xf numFmtId="0" fontId="1" fillId="0" borderId="0" xfId="0" applyFont="1" applyAlignment="1"/>
    <xf numFmtId="0" fontId="1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19"/>
  <sheetViews>
    <sheetView tabSelected="1" workbookViewId="0"/>
  </sheetViews>
  <sheetFormatPr defaultRowHeight="15"/>
  <cols>
    <col min="1" max="1" width="69.7109375" customWidth="1"/>
    <col min="2" max="2" width="22" customWidth="1"/>
    <col min="3" max="3" width="12.5703125" customWidth="1"/>
    <col min="4" max="4" width="12.42578125" customWidth="1"/>
    <col min="5" max="30" width="9.140625" customWidth="1"/>
  </cols>
  <sheetData>
    <row r="1" spans="1:30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</row>
    <row r="3" spans="1:30">
      <c r="A3" t="s">
        <v>1</v>
      </c>
    </row>
    <row r="4" spans="1:30">
      <c r="A4" t="s">
        <v>2</v>
      </c>
    </row>
    <row r="6" spans="1:30">
      <c r="A6" s="19" t="s">
        <v>3</v>
      </c>
      <c r="B6" s="19"/>
    </row>
    <row r="7" spans="1:30">
      <c r="A7" t="s">
        <v>3</v>
      </c>
      <c r="B7" t="s">
        <v>4</v>
      </c>
    </row>
    <row r="8" spans="1:30">
      <c r="A8" t="s">
        <v>5</v>
      </c>
      <c r="B8" t="s">
        <v>6</v>
      </c>
    </row>
    <row r="9" spans="1:30">
      <c r="A9" t="s">
        <v>7</v>
      </c>
      <c r="B9" t="s">
        <v>6</v>
      </c>
    </row>
    <row r="11" spans="1:30">
      <c r="A11" s="19" t="s">
        <v>1</v>
      </c>
      <c r="B11" s="19"/>
      <c r="C11" s="19"/>
      <c r="D11" s="19"/>
    </row>
    <row r="12" spans="1:30">
      <c r="A12" s="1" t="s">
        <v>8</v>
      </c>
      <c r="B12" s="2" t="s">
        <v>9</v>
      </c>
      <c r="C12" s="2" t="s">
        <v>10</v>
      </c>
      <c r="D12" s="2" t="s">
        <v>11</v>
      </c>
    </row>
    <row r="13" spans="1:30">
      <c r="A13" t="s">
        <v>12</v>
      </c>
      <c r="B13" s="3">
        <v>0</v>
      </c>
      <c r="C13" s="3">
        <v>0</v>
      </c>
      <c r="D13" s="3">
        <v>0</v>
      </c>
    </row>
    <row r="14" spans="1:30">
      <c r="A14" t="s">
        <v>13</v>
      </c>
      <c r="B14" s="3">
        <v>0</v>
      </c>
      <c r="C14" s="3">
        <v>0</v>
      </c>
      <c r="D14" s="3">
        <v>0</v>
      </c>
    </row>
    <row r="15" spans="1:30">
      <c r="A15" t="s">
        <v>14</v>
      </c>
      <c r="B15" s="3">
        <v>0</v>
      </c>
      <c r="C15" s="3">
        <v>0</v>
      </c>
      <c r="D15" s="3">
        <v>0</v>
      </c>
    </row>
    <row r="16" spans="1:30">
      <c r="A16" t="s">
        <v>15</v>
      </c>
      <c r="B16" s="3">
        <v>0</v>
      </c>
      <c r="C16" s="3">
        <v>0</v>
      </c>
      <c r="D16" s="3">
        <v>0</v>
      </c>
    </row>
    <row r="17" spans="1:4">
      <c r="A17" t="s">
        <v>16</v>
      </c>
      <c r="B17" s="3">
        <v>4</v>
      </c>
      <c r="C17" s="3" t="str">
        <f ca="1">"0"</f>
        <v/>
      </c>
      <c r="D17" s="3">
        <v>433650000</v>
      </c>
    </row>
    <row r="18" spans="1:4">
      <c r="A18" s="4" t="s">
        <v>17</v>
      </c>
      <c r="B18" s="5">
        <v>4</v>
      </c>
      <c r="C18" s="5">
        <v>0</v>
      </c>
      <c r="D18" s="5">
        <v>433650000</v>
      </c>
    </row>
    <row r="19" spans="1:4">
      <c r="A19" t="s">
        <v>18</v>
      </c>
      <c r="B19" s="3">
        <v>1</v>
      </c>
      <c r="C19" s="3" t="str">
        <f ca="1">"0"</f>
        <v/>
      </c>
      <c r="D19" s="3">
        <v>100000000</v>
      </c>
    </row>
  </sheetData>
  <mergeCells count="3">
    <mergeCell ref="A1:AD1"/>
    <mergeCell ref="A6:B6"/>
    <mergeCell ref="A11:D11"/>
  </mergeCells>
  <pageMargins left="0.5" right="0.5" top="1" bottom="1" header="0.5" footer="0.7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5"/>
  <sheetViews>
    <sheetView workbookViewId="0"/>
  </sheetViews>
  <sheetFormatPr defaultRowHeight="15"/>
  <cols>
    <col min="1" max="1" width="40.28515625" customWidth="1"/>
    <col min="2" max="2" width="19" customWidth="1"/>
    <col min="3" max="3" width="14.85546875" customWidth="1"/>
    <col min="4" max="4" width="9.42578125" customWidth="1"/>
    <col min="5" max="5" width="9.5703125" customWidth="1"/>
    <col min="6" max="6" width="12.7109375" customWidth="1"/>
    <col min="7" max="7" width="4.7109375" customWidth="1"/>
    <col min="8" max="8" width="14.5703125" customWidth="1"/>
    <col min="9" max="9" width="12.7109375" customWidth="1"/>
    <col min="10" max="10" width="13" customWidth="1"/>
    <col min="11" max="11" width="13.42578125" customWidth="1"/>
    <col min="12" max="12" width="23.140625" customWidth="1"/>
    <col min="13" max="13" width="9.42578125" customWidth="1"/>
    <col min="14" max="30" width="9.140625" customWidth="1"/>
  </cols>
  <sheetData>
    <row r="1" spans="1:30">
      <c r="A1" s="18" t="s">
        <v>16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</row>
    <row r="2" spans="1:30">
      <c r="A2" s="6" t="s">
        <v>19</v>
      </c>
      <c r="B2" s="6" t="s">
        <v>20</v>
      </c>
      <c r="C2" s="7" t="s">
        <v>21</v>
      </c>
      <c r="D2" s="7" t="s">
        <v>22</v>
      </c>
    </row>
    <row r="3" spans="1:30">
      <c r="A3" s="8" t="s">
        <v>23</v>
      </c>
      <c r="B3" s="8" t="s">
        <v>24</v>
      </c>
      <c r="C3" s="9">
        <v>155000000</v>
      </c>
      <c r="D3" s="8">
        <v>1</v>
      </c>
    </row>
    <row r="4" spans="1:30">
      <c r="A4" s="10" t="s">
        <v>25</v>
      </c>
      <c r="B4" s="10" t="s">
        <v>26</v>
      </c>
      <c r="C4" s="11" t="s">
        <v>27</v>
      </c>
      <c r="D4" s="10" t="s">
        <v>28</v>
      </c>
      <c r="E4" s="10" t="s">
        <v>29</v>
      </c>
      <c r="F4" s="10" t="s">
        <v>19</v>
      </c>
      <c r="G4" s="10" t="s">
        <v>30</v>
      </c>
      <c r="H4" s="10" t="s">
        <v>31</v>
      </c>
      <c r="I4" s="11" t="s">
        <v>32</v>
      </c>
      <c r="J4" s="11" t="s">
        <v>33</v>
      </c>
      <c r="K4" s="11" t="s">
        <v>34</v>
      </c>
      <c r="L4" s="11" t="s">
        <v>35</v>
      </c>
      <c r="M4" s="11" t="s">
        <v>36</v>
      </c>
    </row>
    <row r="5" spans="1:30">
      <c r="A5" t="s">
        <v>37</v>
      </c>
      <c r="B5" s="12">
        <v>45838</v>
      </c>
      <c r="C5" s="13">
        <v>155000000</v>
      </c>
      <c r="D5" t="s">
        <v>38</v>
      </c>
      <c r="E5" t="s">
        <v>39</v>
      </c>
      <c r="F5" s="12">
        <v>44546</v>
      </c>
      <c r="G5" t="s">
        <v>6</v>
      </c>
      <c r="H5" t="s">
        <v>6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</row>
    <row r="6" spans="1:30">
      <c r="A6" s="8" t="s">
        <v>40</v>
      </c>
      <c r="B6" s="8" t="s">
        <v>41</v>
      </c>
      <c r="C6" s="9">
        <v>83775000</v>
      </c>
      <c r="D6" s="8">
        <v>1</v>
      </c>
    </row>
    <row r="7" spans="1:30">
      <c r="A7" s="10" t="s">
        <v>25</v>
      </c>
      <c r="B7" s="10" t="s">
        <v>26</v>
      </c>
      <c r="C7" s="11" t="s">
        <v>27</v>
      </c>
      <c r="D7" s="10" t="s">
        <v>28</v>
      </c>
      <c r="E7" s="10" t="s">
        <v>29</v>
      </c>
      <c r="F7" s="10" t="s">
        <v>19</v>
      </c>
      <c r="G7" s="10" t="s">
        <v>30</v>
      </c>
      <c r="H7" s="10" t="s">
        <v>31</v>
      </c>
      <c r="I7" s="11" t="s">
        <v>32</v>
      </c>
      <c r="J7" s="11" t="s">
        <v>33</v>
      </c>
      <c r="K7" s="11" t="s">
        <v>34</v>
      </c>
      <c r="L7" s="11" t="s">
        <v>35</v>
      </c>
      <c r="M7" s="11" t="s">
        <v>36</v>
      </c>
    </row>
    <row r="8" spans="1:30">
      <c r="A8" t="s">
        <v>42</v>
      </c>
      <c r="B8" s="12">
        <v>48579</v>
      </c>
      <c r="C8" s="13">
        <v>83775000</v>
      </c>
      <c r="D8" t="s">
        <v>38</v>
      </c>
      <c r="E8" t="s">
        <v>39</v>
      </c>
      <c r="F8" s="12">
        <v>44978</v>
      </c>
      <c r="G8" t="s">
        <v>6</v>
      </c>
      <c r="H8" t="s">
        <v>6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</row>
    <row r="9" spans="1:30">
      <c r="A9" s="8" t="s">
        <v>40</v>
      </c>
      <c r="B9" s="8" t="s">
        <v>41</v>
      </c>
      <c r="C9" s="9">
        <v>81875000</v>
      </c>
      <c r="D9" s="8">
        <v>1</v>
      </c>
    </row>
    <row r="10" spans="1:30">
      <c r="A10" s="10" t="s">
        <v>25</v>
      </c>
      <c r="B10" s="10" t="s">
        <v>26</v>
      </c>
      <c r="C10" s="11" t="s">
        <v>27</v>
      </c>
      <c r="D10" s="10" t="s">
        <v>28</v>
      </c>
      <c r="E10" s="10" t="s">
        <v>29</v>
      </c>
      <c r="F10" s="10" t="s">
        <v>19</v>
      </c>
      <c r="G10" s="10" t="s">
        <v>30</v>
      </c>
      <c r="H10" s="10" t="s">
        <v>31</v>
      </c>
      <c r="I10" s="11" t="s">
        <v>32</v>
      </c>
      <c r="J10" s="11" t="s">
        <v>33</v>
      </c>
      <c r="K10" s="11" t="s">
        <v>34</v>
      </c>
      <c r="L10" s="11" t="s">
        <v>35</v>
      </c>
      <c r="M10" s="11" t="s">
        <v>36</v>
      </c>
    </row>
    <row r="11" spans="1:30">
      <c r="A11" t="s">
        <v>42</v>
      </c>
      <c r="B11" s="12">
        <v>48579</v>
      </c>
      <c r="C11" s="13">
        <v>81875000</v>
      </c>
      <c r="D11" t="s">
        <v>38</v>
      </c>
      <c r="E11" t="s">
        <v>43</v>
      </c>
      <c r="F11" s="12">
        <v>44978</v>
      </c>
      <c r="G11" t="s">
        <v>6</v>
      </c>
      <c r="H11" t="s">
        <v>6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</row>
    <row r="12" spans="1:30">
      <c r="A12" s="8" t="s">
        <v>44</v>
      </c>
      <c r="B12" s="8" t="s">
        <v>45</v>
      </c>
      <c r="C12" s="9">
        <v>113000000</v>
      </c>
      <c r="D12" s="8">
        <v>1</v>
      </c>
    </row>
    <row r="13" spans="1:30">
      <c r="A13" s="10" t="s">
        <v>25</v>
      </c>
      <c r="B13" s="10" t="s">
        <v>26</v>
      </c>
      <c r="C13" s="11" t="s">
        <v>27</v>
      </c>
      <c r="D13" s="10" t="s">
        <v>28</v>
      </c>
      <c r="E13" s="10" t="s">
        <v>29</v>
      </c>
      <c r="F13" s="10" t="s">
        <v>19</v>
      </c>
      <c r="G13" s="10" t="s">
        <v>30</v>
      </c>
      <c r="H13" s="10" t="s">
        <v>31</v>
      </c>
      <c r="I13" s="11" t="s">
        <v>32</v>
      </c>
      <c r="J13" s="11" t="s">
        <v>33</v>
      </c>
      <c r="K13" s="11" t="s">
        <v>34</v>
      </c>
      <c r="L13" s="11" t="s">
        <v>35</v>
      </c>
      <c r="M13" s="11" t="s">
        <v>36</v>
      </c>
    </row>
    <row r="14" spans="1:30">
      <c r="A14" t="s">
        <v>42</v>
      </c>
      <c r="B14" s="12">
        <v>46752</v>
      </c>
      <c r="C14" s="13">
        <v>113000000</v>
      </c>
      <c r="D14" t="s">
        <v>38</v>
      </c>
      <c r="E14" t="s">
        <v>39</v>
      </c>
      <c r="F14" s="12">
        <v>44981</v>
      </c>
      <c r="G14" t="s">
        <v>6</v>
      </c>
      <c r="H14" t="s">
        <v>6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</row>
    <row r="15" spans="1:30">
      <c r="A15" s="15" t="s">
        <v>17</v>
      </c>
      <c r="B15" s="16"/>
      <c r="C15" s="16">
        <v>433650000</v>
      </c>
      <c r="D15" s="16">
        <v>4</v>
      </c>
    </row>
  </sheetData>
  <mergeCells count="1">
    <mergeCell ref="A1:AD1"/>
  </mergeCells>
  <pageMargins left="0.5" right="0.5" top="1" bottom="1" header="0.5" footer="0.7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D5"/>
  <sheetViews>
    <sheetView workbookViewId="0"/>
  </sheetViews>
  <sheetFormatPr defaultRowHeight="15"/>
  <cols>
    <col min="1" max="1" width="35" customWidth="1"/>
    <col min="2" max="2" width="25.28515625" customWidth="1"/>
    <col min="3" max="3" width="14.140625" customWidth="1"/>
    <col min="4" max="4" width="14.85546875" customWidth="1"/>
    <col min="5" max="5" width="13.42578125" customWidth="1"/>
    <col min="6" max="6" width="16" customWidth="1"/>
    <col min="7" max="7" width="9.5703125" customWidth="1"/>
    <col min="8" max="8" width="15.140625" customWidth="1"/>
    <col min="9" max="9" width="7.28515625" customWidth="1"/>
    <col min="10" max="10" width="6.5703125" customWidth="1"/>
    <col min="11" max="11" width="12.42578125" customWidth="1"/>
    <col min="12" max="12" width="15.7109375" customWidth="1"/>
    <col min="13" max="13" width="17.28515625" customWidth="1"/>
    <col min="14" max="14" width="16.28515625" customWidth="1"/>
    <col min="15" max="15" width="22.7109375" customWidth="1"/>
    <col min="16" max="16" width="18" customWidth="1"/>
    <col min="17" max="17" width="24.28515625" customWidth="1"/>
    <col min="18" max="18" width="11.7109375" customWidth="1"/>
    <col min="19" max="19" width="22.5703125" customWidth="1"/>
    <col min="20" max="20" width="13.7109375" customWidth="1"/>
    <col min="21" max="21" width="14" customWidth="1"/>
    <col min="22" max="22" width="9.42578125" customWidth="1"/>
    <col min="23" max="23" width="12.42578125" customWidth="1"/>
    <col min="24" max="24" width="13" customWidth="1"/>
    <col min="25" max="25" width="33.42578125" customWidth="1"/>
    <col min="26" max="26" width="10.140625" customWidth="1"/>
    <col min="27" max="30" width="9.140625" customWidth="1"/>
  </cols>
  <sheetData>
    <row r="1" spans="1:30">
      <c r="A1" s="18" t="s">
        <v>18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</row>
    <row r="2" spans="1:30">
      <c r="A2" s="7" t="s">
        <v>46</v>
      </c>
      <c r="B2" s="7" t="s">
        <v>47</v>
      </c>
    </row>
    <row r="3" spans="1:30">
      <c r="A3" s="9">
        <v>1</v>
      </c>
      <c r="B3" s="9">
        <v>100000000</v>
      </c>
    </row>
    <row r="4" spans="1:30">
      <c r="A4" s="10" t="s">
        <v>48</v>
      </c>
      <c r="B4" s="10" t="s">
        <v>49</v>
      </c>
      <c r="C4" s="10" t="s">
        <v>26</v>
      </c>
      <c r="D4" s="11" t="s">
        <v>50</v>
      </c>
      <c r="E4" s="10" t="s">
        <v>51</v>
      </c>
      <c r="F4" s="10" t="s">
        <v>52</v>
      </c>
      <c r="G4" s="10" t="s">
        <v>29</v>
      </c>
      <c r="H4" s="10" t="s">
        <v>53</v>
      </c>
      <c r="I4" s="10" t="s">
        <v>30</v>
      </c>
      <c r="J4" s="10" t="s">
        <v>54</v>
      </c>
      <c r="K4" s="10" t="s">
        <v>19</v>
      </c>
      <c r="L4" s="10" t="s">
        <v>55</v>
      </c>
      <c r="M4" s="10" t="s">
        <v>56</v>
      </c>
      <c r="N4" s="10" t="s">
        <v>57</v>
      </c>
      <c r="O4" s="10" t="s">
        <v>58</v>
      </c>
      <c r="P4" s="11" t="s">
        <v>59</v>
      </c>
      <c r="Q4" s="11" t="s">
        <v>60</v>
      </c>
      <c r="R4" s="10" t="s">
        <v>61</v>
      </c>
      <c r="S4" s="10" t="s">
        <v>62</v>
      </c>
      <c r="T4" s="10" t="s">
        <v>63</v>
      </c>
      <c r="U4" s="10" t="s">
        <v>64</v>
      </c>
      <c r="V4" s="10" t="s">
        <v>65</v>
      </c>
      <c r="W4" s="10" t="s">
        <v>66</v>
      </c>
      <c r="X4" s="10" t="s">
        <v>67</v>
      </c>
      <c r="Y4" s="10" t="s">
        <v>68</v>
      </c>
      <c r="Z4" s="10" t="s">
        <v>69</v>
      </c>
    </row>
    <row r="5" spans="1:30">
      <c r="A5" t="s">
        <v>70</v>
      </c>
      <c r="B5" t="s">
        <v>6</v>
      </c>
      <c r="C5" s="12">
        <v>44733</v>
      </c>
      <c r="D5" s="3">
        <v>100000000</v>
      </c>
      <c r="E5" t="s">
        <v>71</v>
      </c>
      <c r="F5" t="s">
        <v>72</v>
      </c>
      <c r="G5" t="s">
        <v>73</v>
      </c>
      <c r="H5" t="s">
        <v>74</v>
      </c>
      <c r="I5" t="s">
        <v>75</v>
      </c>
      <c r="J5" t="s">
        <v>6</v>
      </c>
      <c r="K5" s="12">
        <v>42907</v>
      </c>
      <c r="L5" t="s">
        <v>76</v>
      </c>
      <c r="M5" t="s">
        <v>76</v>
      </c>
      <c r="N5" t="s">
        <v>77</v>
      </c>
      <c r="O5" t="s">
        <v>78</v>
      </c>
      <c r="P5" s="17" t="s">
        <v>6</v>
      </c>
      <c r="Q5" s="17" t="s">
        <v>6</v>
      </c>
      <c r="R5" t="s">
        <v>6</v>
      </c>
      <c r="S5" t="s">
        <v>6</v>
      </c>
      <c r="T5" t="s">
        <v>79</v>
      </c>
      <c r="U5" t="s">
        <v>6</v>
      </c>
      <c r="V5" t="s">
        <v>38</v>
      </c>
      <c r="W5" t="s">
        <v>80</v>
      </c>
      <c r="X5" t="s">
        <v>78</v>
      </c>
      <c r="Y5" t="s">
        <v>81</v>
      </c>
      <c r="Z5" t="s">
        <v>82</v>
      </c>
    </row>
  </sheetData>
  <mergeCells count="1">
    <mergeCell ref="A1:AD1"/>
  </mergeCells>
  <pageMargins left="0.5" right="0.5" top="1" bottom="1" header="0.5" footer="0.75"/>
  <pageSetup fitToHeight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a73c8a-1af7-4183-b158-1cd1291da2b6">
      <Terms xmlns="http://schemas.microsoft.com/office/infopath/2007/PartnerControls"/>
    </lcf76f155ced4ddcb4097134ff3c332f>
    <TaxCatchAll xmlns="8c89d0e4-a8d9-42ba-a773-c59a56f7723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2ABDA6886CF6498653E646AB2571ED" ma:contentTypeVersion="16" ma:contentTypeDescription="Create a new document." ma:contentTypeScope="" ma:versionID="0a55209b67e2c3a7f46b591ce13950e9">
  <xsd:schema xmlns:xsd="http://www.w3.org/2001/XMLSchema" xmlns:xs="http://www.w3.org/2001/XMLSchema" xmlns:p="http://schemas.microsoft.com/office/2006/metadata/properties" xmlns:ns2="6ba73c8a-1af7-4183-b158-1cd1291da2b6" xmlns:ns3="8c89d0e4-a8d9-42ba-a773-c59a56f7723e" targetNamespace="http://schemas.microsoft.com/office/2006/metadata/properties" ma:root="true" ma:fieldsID="c49ccb1ab76a2e6c178c18d1b3ea34b2" ns2:_="" ns3:_="">
    <xsd:import namespace="6ba73c8a-1af7-4183-b158-1cd1291da2b6"/>
    <xsd:import namespace="8c89d0e4-a8d9-42ba-a773-c59a56f772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a73c8a-1af7-4183-b158-1cd1291da2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a48f9566-069b-479b-843d-4f6c74a4a3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89d0e4-a8d9-42ba-a773-c59a56f7723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20a6b64-fbb8-4bf5-b941-ddf64427d44d}" ma:internalName="TaxCatchAll" ma:showField="CatchAllData" ma:web="8c89d0e4-a8d9-42ba-a773-c59a56f772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C3A37C-251F-4662-A7D4-1E4F45780D5C}"/>
</file>

<file path=customXml/itemProps2.xml><?xml version="1.0" encoding="utf-8"?>
<ds:datastoreItem xmlns:ds="http://schemas.openxmlformats.org/officeDocument/2006/customXml" ds:itemID="{02E136A8-4C00-468D-B4A1-E0F9B31D2370}"/>
</file>

<file path=customXml/itemProps3.xml><?xml version="1.0" encoding="utf-8"?>
<ds:datastoreItem xmlns:ds="http://schemas.openxmlformats.org/officeDocument/2006/customXml" ds:itemID="{4821E1CD-69DA-4E2B-AD75-8B895078AE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Beatriz Filipa Cardoso Lagadoiro</cp:lastModifiedBy>
  <cp:revision/>
  <dcterms:created xsi:type="dcterms:W3CDTF">2024-02-22T17:13:55Z</dcterms:created>
  <dcterms:modified xsi:type="dcterms:W3CDTF">2024-02-23T21:24:27Z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0x010100162ABDA6886CF6498653E646AB2571ED</vt:lpwstr>
  </property>
  <property fmtid="{D5CDD505-2E9C-101B-9397-08002B2CF9AE}" pid="3" name="MediaServiceImageTags">
    <vt:lpwstr/>
  </property>
</Properties>
</file>