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hdisegutl.sharepoint.com/sites/LIS-GENERAL-SecuritiesResearch/Shared Documents/Securities Research/One Pagers/Tech 2- TL Julia Karas/Adobe Inc (ADBE)/"/>
    </mc:Choice>
  </mc:AlternateContent>
  <xr:revisionPtr revIDLastSave="0" documentId="11_721ABAFA11EA43AFFC601C58AE93DBD91417515B" xr6:coauthVersionLast="47" xr6:coauthVersionMax="47" xr10:uidLastSave="{00000000-0000-0000-0000-000000000000}"/>
  <bookViews>
    <workbookView minimized="1" xWindow="7100" yWindow="500" windowWidth="28800" windowHeight="16540" activeTab="2" xr2:uid="{00000000-000D-0000-FFFF-FFFF00000000}"/>
  </bookViews>
  <sheets>
    <sheet name="Summary" sheetId="2" r:id="rId1"/>
    <sheet name="Bonds" sheetId="3" r:id="rId2"/>
    <sheet name="Loans" sheetId="4" r:id="rId3"/>
    <sheet name="Inactive Bonds" sheetId="5" r:id="rId4"/>
  </sheets>
  <definedNames>
    <definedName name="aggregationTableFooter_data_loans">Loans!$B$12:$D$12</definedName>
    <definedName name="aggregationTableFooter_loans">Loans!$A$12:$D$12</definedName>
    <definedName name="CouponRate_bonds_0">Bonds!$F$5:$F$8</definedName>
    <definedName name="detailsAggregationBody_bonds">Bonds!$A$3:$C$3</definedName>
    <definedName name="detailsAggregationBody_inactiveBonds">'Inactive Bonds'!$A$3:$B$3</definedName>
    <definedName name="detailsAggregationHeader_bonds">Bonds!$A$2:$C$2</definedName>
    <definedName name="detailsAggregationHeader_inactiveBonds">'Inactive Bonds'!$A$2:$B$2</definedName>
    <definedName name="detailsTableHeader_loans">Loans!$A$1:$AD$1</definedName>
    <definedName name="detailTableName_bonds">Bonds!$A$1:$AD$1</definedName>
    <definedName name="detailTableName_inactiveBonds">'Inactive Bonds'!$A$1:$AD$1</definedName>
    <definedName name="FaceIssuedTotal_inactiveBonds_0">'Inactive Bonds'!$D$5:$D$11</definedName>
    <definedName name="IssueDate_inactiveBonds_0">'Inactive Bonds'!$K$5:$K$11</definedName>
    <definedName name="issuerDescriptionHeader">Summary!$A$6:$B$6</definedName>
    <definedName name="MaturityCorpModDuration_bonds_0">Bonds!$R$5:$R$8</definedName>
    <definedName name="MaturityCorpModDuration_inactiveBonds_0">'Inactive Bonds'!$P$5:$P$11</definedName>
    <definedName name="MaturityDate_inactiveBonds_0">'Inactive Bonds'!$C$5:$C$11</definedName>
    <definedName name="OptionAdjustedSpread_bonds_0">Bonds!$T$5:$T$8</definedName>
    <definedName name="OptionAdjustedSpreadDuration_bonds_0">Bonds!$S$5:$S$8</definedName>
    <definedName name="OptionAdjustedSpreadDuration_inactiveBonds_0">'Inactive Bonds'!$Q$5:$Q$11</definedName>
    <definedName name="PricingClosingPrice_bonds_0">Bonds!$Y$5:$Y$8</definedName>
    <definedName name="PricingClosingPrice_loans_0">Loans!$I$5:$I$5</definedName>
    <definedName name="PricingClosingPrice_loans_1">Loans!$I$8:$I$8</definedName>
    <definedName name="PricingClosingPrice_loans_2">Loans!$I$11:$I$11</definedName>
    <definedName name="PricingClosingYield_bonds_0">Bonds!$U$5:$U$8</definedName>
    <definedName name="PricingDiscountSpread_loans_0">Loans!$L$5:$L$5</definedName>
    <definedName name="PricingDiscountSpread_loans_1">Loans!$L$8:$L$8</definedName>
    <definedName name="PricingDiscountSpread_loans_2">Loans!$L$11:$L$11</definedName>
    <definedName name="PricingMeanPrice_loans_0">Loans!$K$5:$K$5</definedName>
    <definedName name="PricingMeanPrice_loans_1">Loans!$K$8:$K$8</definedName>
    <definedName name="PricingMeanPrice_loans_2">Loans!$K$11:$K$11</definedName>
    <definedName name="PricingOfferPrice_loans_0">Loans!$J$5:$J$5</definedName>
    <definedName name="PricingOfferPrice_loans_1">Loans!$J$8:$J$8</definedName>
    <definedName name="PricingOfferPrice_loans_2">Loans!$J$11:$J$11</definedName>
    <definedName name="PricingYield_loans_0">Loans!$M$5:$M$5</definedName>
    <definedName name="PricingYield_loans_1">Loans!$M$8:$M$8</definedName>
    <definedName name="PricingYield_loans_2">Loans!$M$11:$M$11</definedName>
    <definedName name="summaryBody">Summary!$B$13:$D$19</definedName>
    <definedName name="summaryBodySubheader">Summary!$B$12:$D$19</definedName>
    <definedName name="summaryFooter">Summary!$A$18:$D$18</definedName>
    <definedName name="summaryHeader">Summary!$A$11:$D$11</definedName>
    <definedName name="summarySubHeader">Summary!$A$12:$D$12</definedName>
    <definedName name="worksheetHeader">Summary!$A$1:$AD$1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2" l="1"/>
  <c r="C19" i="2"/>
</calcChain>
</file>

<file path=xl/sharedStrings.xml><?xml version="1.0" encoding="utf-8"?>
<sst xmlns="http://schemas.openxmlformats.org/spreadsheetml/2006/main" count="413" uniqueCount="133">
  <si>
    <t>ADOBE INC
			                    18-Mar-2024 15:22</t>
  </si>
  <si>
    <t>Debt Structure</t>
  </si>
  <si>
    <t>Include Subsidiaries: YES, Include Depositary Receipts: NO, Currency: U.S. Dollar</t>
  </si>
  <si>
    <t>Issuer Description</t>
  </si>
  <si>
    <t>ADOBE INC</t>
  </si>
  <si>
    <t>Immediate Parent</t>
  </si>
  <si>
    <t>--</t>
  </si>
  <si>
    <t>Ultimate Parent</t>
  </si>
  <si>
    <t>Name</t>
  </si>
  <si>
    <t>Issues</t>
  </si>
  <si>
    <t>Outstanding</t>
  </si>
  <si>
    <t>Issued</t>
  </si>
  <si>
    <t>Bonds</t>
  </si>
  <si>
    <t>Bonds to Be Issued</t>
  </si>
  <si>
    <t>Bonds (as Borrower)</t>
  </si>
  <si>
    <t>Bonds (as Borrower) - to Be Issued</t>
  </si>
  <si>
    <t>Loans</t>
  </si>
  <si>
    <t>Total</t>
  </si>
  <si>
    <t>Inactive Bonds</t>
  </si>
  <si>
    <t>Total records</t>
  </si>
  <si>
    <t>Total Amount Outstanding (USD)</t>
  </si>
  <si>
    <t>Total Amount Issued (USD)</t>
  </si>
  <si>
    <t>Description</t>
  </si>
  <si>
    <t>Asset Duplicated</t>
  </si>
  <si>
    <t>Maturity Date</t>
  </si>
  <si>
    <t>Amount Outstanding</t>
  </si>
  <si>
    <t>Issued Amount</t>
  </si>
  <si>
    <t>Coupon</t>
  </si>
  <si>
    <t>Coupon Class</t>
  </si>
  <si>
    <t>Country of Issue</t>
  </si>
  <si>
    <t>Currency</t>
  </si>
  <si>
    <t>ISIN</t>
  </si>
  <si>
    <t>RIC</t>
  </si>
  <si>
    <t>Cusip</t>
  </si>
  <si>
    <t>Issue Date</t>
  </si>
  <si>
    <t>Rank (Seniority)</t>
  </si>
  <si>
    <t>Seniority (Legacy)</t>
  </si>
  <si>
    <t>Instrument Type</t>
  </si>
  <si>
    <t>Principal Index Link Flag</t>
  </si>
  <si>
    <t>Modified Duration</t>
  </si>
  <si>
    <t>Option Adjusted Duration</t>
  </si>
  <si>
    <t>Option Adjusted Spread</t>
  </si>
  <si>
    <t>Yield</t>
  </si>
  <si>
    <t>Yield Type</t>
  </si>
  <si>
    <t>Yield Event</t>
  </si>
  <si>
    <t>Yield Date</t>
  </si>
  <si>
    <t>Last Price</t>
  </si>
  <si>
    <t>Capital Tier</t>
  </si>
  <si>
    <t>Government Bond Type</t>
  </si>
  <si>
    <t>Is Convertible</t>
  </si>
  <si>
    <t>Offering Type</t>
  </si>
  <si>
    <t>Program Type</t>
  </si>
  <si>
    <t>Domicile</t>
  </si>
  <si>
    <t>Asset Status</t>
  </si>
  <si>
    <t>Green Bonds</t>
  </si>
  <si>
    <t>Issuer</t>
  </si>
  <si>
    <t>Collateral</t>
  </si>
  <si>
    <t>ADBE 3.250  01-Feb-2025  '24</t>
  </si>
  <si>
    <t>Fixed Coupon</t>
  </si>
  <si>
    <t>United States</t>
  </si>
  <si>
    <t>US Dollar</t>
  </si>
  <si>
    <t>US00724FAC59</t>
  </si>
  <si>
    <t>00724FAC5=</t>
  </si>
  <si>
    <t>00724FAC5</t>
  </si>
  <si>
    <t>Senior Unsecured</t>
  </si>
  <si>
    <t>Note</t>
  </si>
  <si>
    <t>N</t>
  </si>
  <si>
    <t>CB</t>
  </si>
  <si>
    <t>MAT</t>
  </si>
  <si>
    <t>N/A</t>
  </si>
  <si>
    <t>Underwritten</t>
  </si>
  <si>
    <t>ADBE 1.900  01-Feb-2025  '25</t>
  </si>
  <si>
    <t>US00724PAB58</t>
  </si>
  <si>
    <t>00724PAB5=</t>
  </si>
  <si>
    <t>00724PAB5</t>
  </si>
  <si>
    <t>ADBE 2.150  01-Feb-2027  '26</t>
  </si>
  <si>
    <t>US00724PAC32</t>
  </si>
  <si>
    <t>00724PAC3=</t>
  </si>
  <si>
    <t>00724PAC3</t>
  </si>
  <si>
    <t>ADBE 2.300  01-Feb-2030  '29</t>
  </si>
  <si>
    <t>US00724PAD15</t>
  </si>
  <si>
    <t>00724PAD1=</t>
  </si>
  <si>
    <t>00724PAD1</t>
  </si>
  <si>
    <t>Purpose</t>
  </si>
  <si>
    <t>Amount Issued</t>
  </si>
  <si>
    <t>Facilities</t>
  </si>
  <si>
    <t>07-Feb-2018 Marketo Inc</t>
  </si>
  <si>
    <t>General Purpose</t>
  </si>
  <si>
    <t>Facility Type</t>
  </si>
  <si>
    <t>Facility Amount</t>
  </si>
  <si>
    <t>Country</t>
  </si>
  <si>
    <t>Base Rate/Spd</t>
  </si>
  <si>
    <t>Bid Price (%)</t>
  </si>
  <si>
    <t>Ask Price (%)</t>
  </si>
  <si>
    <t>Mid Price (%)</t>
  </si>
  <si>
    <t>Discounted Spread (bps)</t>
  </si>
  <si>
    <t>Yield (%)</t>
  </si>
  <si>
    <t>Term Loan B</t>
  </si>
  <si>
    <t>USD</t>
  </si>
  <si>
    <t>M007H3018TB1=R</t>
  </si>
  <si>
    <t>LIBOR+325</t>
  </si>
  <si>
    <t>30-Jun-2022 Adobe Inc [fka - Adobe Systems Inc]</t>
  </si>
  <si>
    <t>Revolver/Line &gt;= 1 Yr.</t>
  </si>
  <si>
    <t>19-Jan-2023 Adobe Inc [fka - Adobe Systems Inc]</t>
  </si>
  <si>
    <t>Takeover</t>
  </si>
  <si>
    <t>Delay Draw Term Loan</t>
  </si>
  <si>
    <t>ADBE 3.250  01-Feb-2015  MATd</t>
  </si>
  <si>
    <t>US00724FAA93</t>
  </si>
  <si>
    <t>ADBE</t>
  </si>
  <si>
    <t>00724FAA9</t>
  </si>
  <si>
    <t>Expired/Matured</t>
  </si>
  <si>
    <t>ADBE 4.750  01-Feb-2020  MATd</t>
  </si>
  <si>
    <t>US00724FAB76</t>
  </si>
  <si>
    <t>00724FAB7</t>
  </si>
  <si>
    <t>ADBE 1.700  01-Feb-2023  MATd</t>
  </si>
  <si>
    <t>US00724PAA75</t>
  </si>
  <si>
    <t>00724PAA7</t>
  </si>
  <si>
    <t>ADBE 31-Jan-2024  MATd</t>
  </si>
  <si>
    <t>Discount/Zero Coupon</t>
  </si>
  <si>
    <t>US00723XAX12</t>
  </si>
  <si>
    <t>00723XAX1</t>
  </si>
  <si>
    <t>Unsecured</t>
  </si>
  <si>
    <t>Commercial Paper</t>
  </si>
  <si>
    <t>Section 4 (a) (2) US Securities Act of 1933</t>
  </si>
  <si>
    <t>ADBE 01-Feb-2024  MATd</t>
  </si>
  <si>
    <t>US00723XB106</t>
  </si>
  <si>
    <t>00723XB10</t>
  </si>
  <si>
    <t>ADBE 21-Feb-2024  MATd</t>
  </si>
  <si>
    <t>US00723XBM48</t>
  </si>
  <si>
    <t>00723XBM4</t>
  </si>
  <si>
    <t>ADBE 22-Feb-2024  MATd</t>
  </si>
  <si>
    <t>US00723XBN21</t>
  </si>
  <si>
    <t>00723XBN2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</si>
</sst>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5" formatCode="dd\-mmm\-yyyy"/>
    <numFmt numFmtId="166" formatCode="#,##0.0##;\-#,##0.0##;0;&quot;--&quot;"/>
    <numFmt numFmtId="167" formatCode="#,##0.0##;\-#,##0.0##;&quot;--&quot;;&quot;--&quot;"/>
    <numFmt numFmtId="168" formatCode="##0.0####;\-##0.0####;&quot;--&quot;;&quot;--&quot;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A6A6A6"/>
        <bgColor rgb="FFA6A6A6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/>
      <right/>
      <top/>
      <bottom style="thick">
        <color rgb="FF808080"/>
      </bottom>
      <diagonal/>
    </border>
  </borders>
  <cellStyleXfs count="1">
    <xf numFmtId="0" fontId="0" fillId="0" borderId="0" applyNumberFormat="0" applyBorder="0" applyAlignment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1" fillId="2" borderId="0" xfId="0" applyFont="1" applyFill="1" applyAlignment="1">
      <alignment horizontal="right"/>
    </xf>
    <xf numFmtId="164" fontId="1" fillId="3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left"/>
    </xf>
    <xf numFmtId="0" fontId="1" fillId="4" borderId="0" xfId="0" applyFont="1" applyFill="1" applyAlignment="1">
      <alignment horizontal="right"/>
    </xf>
    <xf numFmtId="165" fontId="0" fillId="0" borderId="0" xfId="0" applyNumberFormat="1" applyAlignment="1">
      <alignment horizontal="left"/>
    </xf>
    <xf numFmtId="164" fontId="0" fillId="0" borderId="0" xfId="0" applyNumberFormat="1"/>
    <xf numFmtId="166" fontId="0" fillId="0" borderId="0" xfId="0" applyNumberFormat="1" applyAlignment="1">
      <alignment horizontal="right"/>
    </xf>
    <xf numFmtId="167" fontId="0" fillId="0" borderId="0" xfId="0" applyNumberFormat="1"/>
    <xf numFmtId="0" fontId="1" fillId="2" borderId="0" xfId="0" applyFont="1" applyFill="1" applyAlignment="1">
      <alignment horizontal="left"/>
    </xf>
    <xf numFmtId="0" fontId="1" fillId="3" borderId="0" xfId="0" applyFont="1" applyFill="1"/>
    <xf numFmtId="168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167" fontId="0" fillId="0" borderId="0" xfId="0" applyNumberFormat="1" applyAlignment="1">
      <alignment horizontal="right"/>
    </xf>
    <xf numFmtId="0" fontId="1" fillId="0" borderId="0" xfId="0" applyFont="1" applyAlignment="1"/>
    <xf numFmtId="0" fontId="1" fillId="0" borderId="1" xfId="0" applyFont="1" applyBorder="1" applyAlignme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19"/>
  <sheetViews>
    <sheetView zoomScale="134" workbookViewId="0">
      <selection sqref="A1:AD1"/>
    </sheetView>
  </sheetViews>
  <sheetFormatPr baseColWidth="10" defaultColWidth="8.83203125" defaultRowHeight="15" x14ac:dyDescent="0.2"/>
  <cols>
    <col min="1" max="1" width="69.6640625" customWidth="1"/>
    <col min="2" max="2" width="11.5" customWidth="1"/>
    <col min="3" max="4" width="14" customWidth="1"/>
    <col min="5" max="30" width="9.1640625" customWidth="1"/>
  </cols>
  <sheetData>
    <row r="1" spans="1:30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3" spans="1:30" x14ac:dyDescent="0.2">
      <c r="A3" t="s">
        <v>1</v>
      </c>
    </row>
    <row r="4" spans="1:30" x14ac:dyDescent="0.2">
      <c r="A4" t="s">
        <v>2</v>
      </c>
    </row>
    <row r="6" spans="1:30" x14ac:dyDescent="0.2">
      <c r="A6" s="21" t="s">
        <v>3</v>
      </c>
      <c r="B6" s="21"/>
    </row>
    <row r="7" spans="1:30" x14ac:dyDescent="0.2">
      <c r="A7" t="s">
        <v>3</v>
      </c>
      <c r="B7" t="s">
        <v>4</v>
      </c>
    </row>
    <row r="8" spans="1:30" x14ac:dyDescent="0.2">
      <c r="A8" t="s">
        <v>5</v>
      </c>
      <c r="B8" t="s">
        <v>6</v>
      </c>
    </row>
    <row r="9" spans="1:30" x14ac:dyDescent="0.2">
      <c r="A9" t="s">
        <v>7</v>
      </c>
      <c r="B9" t="s">
        <v>6</v>
      </c>
    </row>
    <row r="11" spans="1:30" x14ac:dyDescent="0.2">
      <c r="A11" s="21" t="s">
        <v>1</v>
      </c>
      <c r="B11" s="21"/>
      <c r="C11" s="21"/>
      <c r="D11" s="21"/>
    </row>
    <row r="12" spans="1:30" x14ac:dyDescent="0.2">
      <c r="A12" s="1" t="s">
        <v>8</v>
      </c>
      <c r="B12" s="2" t="s">
        <v>9</v>
      </c>
      <c r="C12" s="2" t="s">
        <v>10</v>
      </c>
      <c r="D12" s="2" t="s">
        <v>11</v>
      </c>
    </row>
    <row r="13" spans="1:30" x14ac:dyDescent="0.2">
      <c r="A13" t="s">
        <v>12</v>
      </c>
      <c r="B13" s="3">
        <v>4</v>
      </c>
      <c r="C13" s="3">
        <v>3650000000</v>
      </c>
      <c r="D13" s="3">
        <v>3650000000</v>
      </c>
    </row>
    <row r="14" spans="1:30" x14ac:dyDescent="0.2">
      <c r="A14" t="s">
        <v>13</v>
      </c>
      <c r="B14" s="3">
        <v>0</v>
      </c>
      <c r="C14" s="3">
        <v>0</v>
      </c>
      <c r="D14" s="3">
        <v>0</v>
      </c>
    </row>
    <row r="15" spans="1:30" x14ac:dyDescent="0.2">
      <c r="A15" t="s">
        <v>14</v>
      </c>
      <c r="B15" s="3">
        <v>0</v>
      </c>
      <c r="C15" s="3">
        <v>0</v>
      </c>
      <c r="D15" s="3">
        <v>0</v>
      </c>
    </row>
    <row r="16" spans="1:30" x14ac:dyDescent="0.2">
      <c r="A16" t="s">
        <v>15</v>
      </c>
      <c r="B16" s="3">
        <v>0</v>
      </c>
      <c r="C16" s="3">
        <v>0</v>
      </c>
      <c r="D16" s="3">
        <v>0</v>
      </c>
    </row>
    <row r="17" spans="1:4" x14ac:dyDescent="0.2">
      <c r="A17" t="s">
        <v>16</v>
      </c>
      <c r="B17" s="3">
        <v>3</v>
      </c>
      <c r="C17" s="3" t="str">
        <f>"0"</f>
        <v>0</v>
      </c>
      <c r="D17" s="3">
        <v>5460000000</v>
      </c>
    </row>
    <row r="18" spans="1:4" x14ac:dyDescent="0.2">
      <c r="A18" s="4" t="s">
        <v>17</v>
      </c>
      <c r="B18" s="5">
        <v>7</v>
      </c>
      <c r="C18" s="5">
        <v>3650000000</v>
      </c>
      <c r="D18" s="5">
        <v>9110000000</v>
      </c>
    </row>
    <row r="19" spans="1:4" x14ac:dyDescent="0.2">
      <c r="A19" t="s">
        <v>18</v>
      </c>
      <c r="B19" s="3">
        <v>7</v>
      </c>
      <c r="C19" s="3" t="str">
        <f>"0"</f>
        <v>0</v>
      </c>
      <c r="D19" s="3">
        <v>2000000000</v>
      </c>
    </row>
  </sheetData>
  <mergeCells count="3">
    <mergeCell ref="A1:AD1"/>
    <mergeCell ref="A6:B6"/>
    <mergeCell ref="A11:D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I8"/>
  <sheetViews>
    <sheetView zoomScale="140" workbookViewId="0">
      <selection activeCell="K12" sqref="K12"/>
    </sheetView>
  </sheetViews>
  <sheetFormatPr baseColWidth="10" defaultColWidth="8.83203125" defaultRowHeight="15" x14ac:dyDescent="0.2"/>
  <cols>
    <col min="1" max="1" width="27" customWidth="1"/>
    <col min="2" max="2" width="30.5" customWidth="1"/>
    <col min="3" max="3" width="25.33203125" customWidth="1"/>
    <col min="4" max="4" width="20.1640625" customWidth="1"/>
    <col min="5" max="5" width="14.83203125" customWidth="1"/>
    <col min="6" max="6" width="8.5" customWidth="1"/>
    <col min="7" max="7" width="13.5" customWidth="1"/>
    <col min="8" max="8" width="16" customWidth="1"/>
    <col min="9" max="9" width="9.5" customWidth="1"/>
    <col min="10" max="10" width="14.83203125" customWidth="1"/>
    <col min="11" max="11" width="12.5" customWidth="1"/>
    <col min="12" max="12" width="11.5" customWidth="1"/>
    <col min="13" max="13" width="12.33203125" customWidth="1"/>
    <col min="14" max="14" width="16.83203125" customWidth="1"/>
    <col min="15" max="15" width="17.33203125" customWidth="1"/>
    <col min="16" max="16" width="16.33203125" customWidth="1"/>
    <col min="17" max="17" width="22.6640625" customWidth="1"/>
    <col min="18" max="18" width="18" customWidth="1"/>
    <col min="19" max="19" width="24.33203125" customWidth="1"/>
    <col min="20" max="20" width="22.6640625" customWidth="1"/>
    <col min="21" max="21" width="6.1640625" customWidth="1"/>
    <col min="22" max="22" width="10.83203125" customWidth="1"/>
    <col min="23" max="23" width="11.5" customWidth="1"/>
    <col min="24" max="24" width="12.5" customWidth="1"/>
    <col min="25" max="25" width="10.1640625" customWidth="1"/>
    <col min="26" max="26" width="11.6640625" customWidth="1"/>
    <col min="27" max="27" width="22.5" customWidth="1"/>
    <col min="28" max="28" width="13.83203125" customWidth="1"/>
    <col min="29" max="29" width="13.6640625" customWidth="1"/>
    <col min="30" max="30" width="14" customWidth="1"/>
    <col min="31" max="31" width="13.33203125" customWidth="1"/>
    <col min="32" max="32" width="12.5" customWidth="1"/>
    <col min="33" max="33" width="13" customWidth="1"/>
    <col min="34" max="34" width="11.5" customWidth="1"/>
    <col min="35" max="35" width="10.1640625" customWidth="1"/>
  </cols>
  <sheetData>
    <row r="1" spans="1:35" x14ac:dyDescent="0.2">
      <c r="A1" s="20" t="s">
        <v>12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5" x14ac:dyDescent="0.2">
      <c r="A2" s="6" t="s">
        <v>19</v>
      </c>
      <c r="B2" s="6" t="s">
        <v>20</v>
      </c>
      <c r="C2" s="6" t="s">
        <v>21</v>
      </c>
    </row>
    <row r="3" spans="1:35" x14ac:dyDescent="0.2">
      <c r="A3" s="7">
        <v>4</v>
      </c>
      <c r="B3" s="7">
        <v>3650000000</v>
      </c>
      <c r="C3" s="7">
        <v>3650000000</v>
      </c>
    </row>
    <row r="4" spans="1:35" x14ac:dyDescent="0.2">
      <c r="A4" s="8" t="s">
        <v>22</v>
      </c>
      <c r="B4" s="8" t="s">
        <v>23</v>
      </c>
      <c r="C4" s="8" t="s">
        <v>24</v>
      </c>
      <c r="D4" s="9" t="s">
        <v>25</v>
      </c>
      <c r="E4" s="9" t="s">
        <v>26</v>
      </c>
      <c r="F4" s="9" t="s">
        <v>27</v>
      </c>
      <c r="G4" s="8" t="s">
        <v>28</v>
      </c>
      <c r="H4" s="8" t="s">
        <v>29</v>
      </c>
      <c r="I4" s="8" t="s">
        <v>30</v>
      </c>
      <c r="J4" s="8" t="s">
        <v>31</v>
      </c>
      <c r="K4" s="8" t="s">
        <v>32</v>
      </c>
      <c r="L4" s="8" t="s">
        <v>33</v>
      </c>
      <c r="M4" s="8" t="s">
        <v>34</v>
      </c>
      <c r="N4" s="8" t="s">
        <v>35</v>
      </c>
      <c r="O4" s="8" t="s">
        <v>36</v>
      </c>
      <c r="P4" s="8" t="s">
        <v>37</v>
      </c>
      <c r="Q4" s="8" t="s">
        <v>38</v>
      </c>
      <c r="R4" s="9" t="s">
        <v>39</v>
      </c>
      <c r="S4" s="9" t="s">
        <v>40</v>
      </c>
      <c r="T4" s="9" t="s">
        <v>41</v>
      </c>
      <c r="U4" s="9" t="s">
        <v>42</v>
      </c>
      <c r="V4" s="8" t="s">
        <v>43</v>
      </c>
      <c r="W4" s="8" t="s">
        <v>44</v>
      </c>
      <c r="X4" s="8" t="s">
        <v>45</v>
      </c>
      <c r="Y4" s="9" t="s">
        <v>46</v>
      </c>
      <c r="Z4" s="8" t="s">
        <v>47</v>
      </c>
      <c r="AA4" s="8" t="s">
        <v>48</v>
      </c>
      <c r="AB4" s="8" t="s">
        <v>49</v>
      </c>
      <c r="AC4" s="8" t="s">
        <v>50</v>
      </c>
      <c r="AD4" s="8" t="s">
        <v>51</v>
      </c>
      <c r="AE4" s="8" t="s">
        <v>52</v>
      </c>
      <c r="AF4" s="8" t="s">
        <v>53</v>
      </c>
      <c r="AG4" s="8" t="s">
        <v>54</v>
      </c>
      <c r="AH4" s="8" t="s">
        <v>55</v>
      </c>
      <c r="AI4" s="8" t="s">
        <v>56</v>
      </c>
    </row>
    <row r="5" spans="1:35" x14ac:dyDescent="0.2">
      <c r="A5" t="s">
        <v>57</v>
      </c>
      <c r="B5" t="s">
        <v>6</v>
      </c>
      <c r="C5" s="10">
        <v>45689</v>
      </c>
      <c r="D5" s="11">
        <v>1000000000</v>
      </c>
      <c r="E5" s="11">
        <v>1000000000</v>
      </c>
      <c r="F5" s="12">
        <v>3.25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s="10">
        <v>42030</v>
      </c>
      <c r="N5" t="s">
        <v>64</v>
      </c>
      <c r="O5" t="s">
        <v>64</v>
      </c>
      <c r="P5" t="s">
        <v>65</v>
      </c>
      <c r="Q5" t="s">
        <v>66</v>
      </c>
      <c r="R5" s="13">
        <v>0.83604699999999998</v>
      </c>
      <c r="S5" s="13">
        <v>0.84809100000000004</v>
      </c>
      <c r="T5" s="13">
        <v>22.319320000000001</v>
      </c>
      <c r="U5" s="13">
        <v>5.3924339999999997</v>
      </c>
      <c r="V5" t="s">
        <v>67</v>
      </c>
      <c r="W5" t="s">
        <v>68</v>
      </c>
      <c r="X5" s="10">
        <v>45691</v>
      </c>
      <c r="Y5" s="13">
        <v>98.205200000000005</v>
      </c>
      <c r="Z5" t="s">
        <v>69</v>
      </c>
      <c r="AA5" t="s">
        <v>6</v>
      </c>
      <c r="AB5" t="s">
        <v>66</v>
      </c>
      <c r="AC5" t="s">
        <v>70</v>
      </c>
      <c r="AD5" t="s">
        <v>6</v>
      </c>
      <c r="AE5" t="s">
        <v>59</v>
      </c>
      <c r="AF5" t="s">
        <v>11</v>
      </c>
      <c r="AG5" t="s">
        <v>66</v>
      </c>
      <c r="AH5" t="s">
        <v>4</v>
      </c>
      <c r="AI5" t="s">
        <v>69</v>
      </c>
    </row>
    <row r="6" spans="1:35" x14ac:dyDescent="0.2">
      <c r="A6" t="s">
        <v>71</v>
      </c>
      <c r="B6" t="s">
        <v>6</v>
      </c>
      <c r="C6" s="10">
        <v>45689</v>
      </c>
      <c r="D6" s="11">
        <v>500000000</v>
      </c>
      <c r="E6" s="11">
        <v>500000000</v>
      </c>
      <c r="F6" s="12">
        <v>1.9</v>
      </c>
      <c r="G6" t="s">
        <v>58</v>
      </c>
      <c r="H6" t="s">
        <v>59</v>
      </c>
      <c r="I6" t="s">
        <v>60</v>
      </c>
      <c r="J6" t="s">
        <v>72</v>
      </c>
      <c r="K6" t="s">
        <v>73</v>
      </c>
      <c r="L6" t="s">
        <v>74</v>
      </c>
      <c r="M6" s="10">
        <v>43864</v>
      </c>
      <c r="N6" t="s">
        <v>64</v>
      </c>
      <c r="O6" t="s">
        <v>64</v>
      </c>
      <c r="P6" t="s">
        <v>65</v>
      </c>
      <c r="Q6" t="s">
        <v>66</v>
      </c>
      <c r="R6" s="13">
        <v>0.84020700000000004</v>
      </c>
      <c r="S6" s="13">
        <v>0.85230899999999998</v>
      </c>
      <c r="T6" s="13">
        <v>-0.48233399999999998</v>
      </c>
      <c r="U6" s="13">
        <v>5.1605160000000003</v>
      </c>
      <c r="V6" t="s">
        <v>67</v>
      </c>
      <c r="W6" t="s">
        <v>68</v>
      </c>
      <c r="X6" s="10">
        <v>45691</v>
      </c>
      <c r="Y6" s="13">
        <v>97.2684</v>
      </c>
      <c r="Z6" t="s">
        <v>69</v>
      </c>
      <c r="AA6" t="s">
        <v>6</v>
      </c>
      <c r="AB6" t="s">
        <v>66</v>
      </c>
      <c r="AC6" t="s">
        <v>70</v>
      </c>
      <c r="AD6" t="s">
        <v>6</v>
      </c>
      <c r="AE6" t="s">
        <v>59</v>
      </c>
      <c r="AF6" t="s">
        <v>11</v>
      </c>
      <c r="AG6" t="s">
        <v>66</v>
      </c>
      <c r="AH6" t="s">
        <v>4</v>
      </c>
      <c r="AI6" t="s">
        <v>69</v>
      </c>
    </row>
    <row r="7" spans="1:35" x14ac:dyDescent="0.2">
      <c r="A7" t="s">
        <v>75</v>
      </c>
      <c r="B7" t="s">
        <v>6</v>
      </c>
      <c r="C7" s="10">
        <v>46419</v>
      </c>
      <c r="D7" s="11">
        <v>850000000</v>
      </c>
      <c r="E7" s="11">
        <v>850000000</v>
      </c>
      <c r="F7" s="12">
        <v>2.15</v>
      </c>
      <c r="G7" t="s">
        <v>58</v>
      </c>
      <c r="H7" t="s">
        <v>59</v>
      </c>
      <c r="I7" t="s">
        <v>60</v>
      </c>
      <c r="J7" t="s">
        <v>76</v>
      </c>
      <c r="K7" t="s">
        <v>77</v>
      </c>
      <c r="L7" t="s">
        <v>78</v>
      </c>
      <c r="M7" s="10">
        <v>43864</v>
      </c>
      <c r="N7" t="s">
        <v>64</v>
      </c>
      <c r="O7" t="s">
        <v>64</v>
      </c>
      <c r="P7" t="s">
        <v>65</v>
      </c>
      <c r="Q7" t="s">
        <v>66</v>
      </c>
      <c r="R7" s="13">
        <v>2.7188189999999999</v>
      </c>
      <c r="S7" s="13">
        <v>2.7245499999999998</v>
      </c>
      <c r="T7" s="13">
        <v>29.023655999999999</v>
      </c>
      <c r="U7" s="13">
        <v>4.8165199999999997</v>
      </c>
      <c r="V7" t="s">
        <v>67</v>
      </c>
      <c r="W7" t="s">
        <v>68</v>
      </c>
      <c r="X7" s="10">
        <v>46419</v>
      </c>
      <c r="Y7" s="13">
        <v>92.936700000000002</v>
      </c>
      <c r="Z7" t="s">
        <v>69</v>
      </c>
      <c r="AA7" t="s">
        <v>6</v>
      </c>
      <c r="AB7" t="s">
        <v>66</v>
      </c>
      <c r="AC7" t="s">
        <v>70</v>
      </c>
      <c r="AD7" t="s">
        <v>6</v>
      </c>
      <c r="AE7" t="s">
        <v>59</v>
      </c>
      <c r="AF7" t="s">
        <v>11</v>
      </c>
      <c r="AG7" t="s">
        <v>66</v>
      </c>
      <c r="AH7" t="s">
        <v>4</v>
      </c>
      <c r="AI7" t="s">
        <v>69</v>
      </c>
    </row>
    <row r="8" spans="1:35" x14ac:dyDescent="0.2">
      <c r="A8" t="s">
        <v>79</v>
      </c>
      <c r="B8" t="s">
        <v>6</v>
      </c>
      <c r="C8" s="10">
        <v>47515</v>
      </c>
      <c r="D8" s="11">
        <v>1300000000</v>
      </c>
      <c r="E8" s="11">
        <v>1300000000</v>
      </c>
      <c r="F8" s="12">
        <v>2.2999999999999998</v>
      </c>
      <c r="G8" t="s">
        <v>58</v>
      </c>
      <c r="H8" t="s">
        <v>59</v>
      </c>
      <c r="I8" t="s">
        <v>60</v>
      </c>
      <c r="J8" t="s">
        <v>80</v>
      </c>
      <c r="K8" t="s">
        <v>81</v>
      </c>
      <c r="L8" t="s">
        <v>82</v>
      </c>
      <c r="M8" s="10">
        <v>43864</v>
      </c>
      <c r="N8" t="s">
        <v>64</v>
      </c>
      <c r="O8" t="s">
        <v>64</v>
      </c>
      <c r="P8" t="s">
        <v>65</v>
      </c>
      <c r="Q8" t="s">
        <v>66</v>
      </c>
      <c r="R8" s="13">
        <v>5.3437429999999999</v>
      </c>
      <c r="S8" s="13">
        <v>5.3513380000000002</v>
      </c>
      <c r="T8" s="13">
        <v>49.783067000000003</v>
      </c>
      <c r="U8" s="13">
        <v>4.8181640000000003</v>
      </c>
      <c r="V8" t="s">
        <v>67</v>
      </c>
      <c r="W8" t="s">
        <v>68</v>
      </c>
      <c r="X8" s="10">
        <v>47515</v>
      </c>
      <c r="Y8" s="13">
        <v>87.2607</v>
      </c>
      <c r="Z8" t="s">
        <v>69</v>
      </c>
      <c r="AA8" t="s">
        <v>6</v>
      </c>
      <c r="AB8" t="s">
        <v>66</v>
      </c>
      <c r="AC8" t="s">
        <v>70</v>
      </c>
      <c r="AD8" t="s">
        <v>6</v>
      </c>
      <c r="AE8" t="s">
        <v>59</v>
      </c>
      <c r="AF8" t="s">
        <v>11</v>
      </c>
      <c r="AG8" t="s">
        <v>66</v>
      </c>
      <c r="AH8" t="s">
        <v>4</v>
      </c>
      <c r="AI8" t="s">
        <v>69</v>
      </c>
    </row>
  </sheetData>
  <mergeCells count="1">
    <mergeCell ref="A1:AD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D12"/>
  <sheetViews>
    <sheetView tabSelected="1" zoomScale="150" workbookViewId="0">
      <selection activeCell="C18" sqref="C18"/>
    </sheetView>
  </sheetViews>
  <sheetFormatPr baseColWidth="10" defaultColWidth="8.83203125" defaultRowHeight="15" x14ac:dyDescent="0.2"/>
  <cols>
    <col min="1" max="1" width="44.1640625" customWidth="1"/>
    <col min="2" max="2" width="16.33203125" customWidth="1"/>
    <col min="3" max="3" width="14.83203125" customWidth="1"/>
    <col min="4" max="4" width="13.33203125" customWidth="1"/>
    <col min="5" max="5" width="9.5" customWidth="1"/>
    <col min="6" max="6" width="12.5" customWidth="1"/>
    <col min="7" max="7" width="17.6640625" customWidth="1"/>
    <col min="8" max="8" width="14.5" customWidth="1"/>
    <col min="9" max="9" width="12.6640625" customWidth="1"/>
    <col min="10" max="10" width="13" customWidth="1"/>
    <col min="11" max="11" width="13.5" customWidth="1"/>
    <col min="12" max="12" width="23.1640625" customWidth="1"/>
    <col min="13" max="13" width="9.5" customWidth="1"/>
    <col min="14" max="30" width="9.1640625" customWidth="1"/>
  </cols>
  <sheetData>
    <row r="1" spans="1:30" x14ac:dyDescent="0.2">
      <c r="A1" s="20" t="s">
        <v>16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 x14ac:dyDescent="0.2">
      <c r="A2" s="14" t="s">
        <v>34</v>
      </c>
      <c r="B2" s="14" t="s">
        <v>83</v>
      </c>
      <c r="C2" s="6" t="s">
        <v>84</v>
      </c>
      <c r="D2" s="6" t="s">
        <v>85</v>
      </c>
    </row>
    <row r="3" spans="1:30" x14ac:dyDescent="0.2">
      <c r="A3" s="15" t="s">
        <v>86</v>
      </c>
      <c r="B3" s="15" t="s">
        <v>87</v>
      </c>
      <c r="C3" s="7">
        <v>460000000</v>
      </c>
      <c r="D3" s="15">
        <v>1</v>
      </c>
    </row>
    <row r="4" spans="1:30" x14ac:dyDescent="0.2">
      <c r="A4" s="8" t="s">
        <v>88</v>
      </c>
      <c r="B4" s="8" t="s">
        <v>24</v>
      </c>
      <c r="C4" s="9" t="s">
        <v>89</v>
      </c>
      <c r="D4" s="8" t="s">
        <v>90</v>
      </c>
      <c r="E4" s="8" t="s">
        <v>30</v>
      </c>
      <c r="F4" s="8" t="s">
        <v>34</v>
      </c>
      <c r="G4" s="8" t="s">
        <v>32</v>
      </c>
      <c r="H4" s="8" t="s">
        <v>91</v>
      </c>
      <c r="I4" s="9" t="s">
        <v>92</v>
      </c>
      <c r="J4" s="9" t="s">
        <v>93</v>
      </c>
      <c r="K4" s="9" t="s">
        <v>94</v>
      </c>
      <c r="L4" s="9" t="s">
        <v>95</v>
      </c>
      <c r="M4" s="9" t="s">
        <v>96</v>
      </c>
    </row>
    <row r="5" spans="1:30" x14ac:dyDescent="0.2">
      <c r="A5" t="s">
        <v>97</v>
      </c>
      <c r="B5" s="10">
        <v>45695</v>
      </c>
      <c r="C5" s="11">
        <v>460000000</v>
      </c>
      <c r="D5" t="s">
        <v>59</v>
      </c>
      <c r="E5" t="s">
        <v>98</v>
      </c>
      <c r="F5" s="10">
        <v>43138</v>
      </c>
      <c r="G5" t="s">
        <v>99</v>
      </c>
      <c r="H5" t="s">
        <v>100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</row>
    <row r="6" spans="1:30" x14ac:dyDescent="0.2">
      <c r="A6" s="15" t="s">
        <v>101</v>
      </c>
      <c r="B6" s="15" t="s">
        <v>87</v>
      </c>
      <c r="C6" s="7">
        <v>1500000000</v>
      </c>
      <c r="D6" s="15">
        <v>1</v>
      </c>
    </row>
    <row r="7" spans="1:30" x14ac:dyDescent="0.2">
      <c r="A7" s="8" t="s">
        <v>88</v>
      </c>
      <c r="B7" s="8" t="s">
        <v>24</v>
      </c>
      <c r="C7" s="9" t="s">
        <v>89</v>
      </c>
      <c r="D7" s="8" t="s">
        <v>90</v>
      </c>
      <c r="E7" s="8" t="s">
        <v>30</v>
      </c>
      <c r="F7" s="8" t="s">
        <v>34</v>
      </c>
      <c r="G7" s="8" t="s">
        <v>32</v>
      </c>
      <c r="H7" s="8" t="s">
        <v>91</v>
      </c>
      <c r="I7" s="9" t="s">
        <v>92</v>
      </c>
      <c r="J7" s="9" t="s">
        <v>93</v>
      </c>
      <c r="K7" s="9" t="s">
        <v>94</v>
      </c>
      <c r="L7" s="9" t="s">
        <v>95</v>
      </c>
      <c r="M7" s="9" t="s">
        <v>96</v>
      </c>
    </row>
    <row r="8" spans="1:30" x14ac:dyDescent="0.2">
      <c r="A8" t="s">
        <v>102</v>
      </c>
      <c r="B8" s="10">
        <v>46568</v>
      </c>
      <c r="C8" s="11">
        <v>1500000000</v>
      </c>
      <c r="D8" t="s">
        <v>59</v>
      </c>
      <c r="E8" t="s">
        <v>98</v>
      </c>
      <c r="F8" s="10">
        <v>44742</v>
      </c>
      <c r="G8" t="s">
        <v>6</v>
      </c>
      <c r="H8" t="s">
        <v>6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</row>
    <row r="9" spans="1:30" x14ac:dyDescent="0.2">
      <c r="A9" s="15" t="s">
        <v>103</v>
      </c>
      <c r="B9" s="15" t="s">
        <v>104</v>
      </c>
      <c r="C9" s="7">
        <v>3500000000</v>
      </c>
      <c r="D9" s="15">
        <v>1</v>
      </c>
    </row>
    <row r="10" spans="1:30" x14ac:dyDescent="0.2">
      <c r="A10" s="8" t="s">
        <v>88</v>
      </c>
      <c r="B10" s="8" t="s">
        <v>24</v>
      </c>
      <c r="C10" s="9" t="s">
        <v>89</v>
      </c>
      <c r="D10" s="8" t="s">
        <v>90</v>
      </c>
      <c r="E10" s="8" t="s">
        <v>30</v>
      </c>
      <c r="F10" s="8" t="s">
        <v>34</v>
      </c>
      <c r="G10" s="8" t="s">
        <v>32</v>
      </c>
      <c r="H10" s="8" t="s">
        <v>91</v>
      </c>
      <c r="I10" s="9" t="s">
        <v>92</v>
      </c>
      <c r="J10" s="9" t="s">
        <v>93</v>
      </c>
      <c r="K10" s="9" t="s">
        <v>94</v>
      </c>
      <c r="L10" s="9" t="s">
        <v>95</v>
      </c>
      <c r="M10" s="9" t="s">
        <v>96</v>
      </c>
    </row>
    <row r="11" spans="1:30" x14ac:dyDescent="0.2">
      <c r="A11" t="s">
        <v>105</v>
      </c>
      <c r="B11" s="10">
        <v>45676</v>
      </c>
      <c r="C11" s="11">
        <v>3500000000</v>
      </c>
      <c r="D11" t="s">
        <v>59</v>
      </c>
      <c r="E11" t="s">
        <v>98</v>
      </c>
      <c r="F11" s="10">
        <v>44945</v>
      </c>
      <c r="G11" t="s">
        <v>6</v>
      </c>
      <c r="H11" t="s">
        <v>6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</row>
    <row r="12" spans="1:30" x14ac:dyDescent="0.2">
      <c r="A12" s="17" t="s">
        <v>17</v>
      </c>
      <c r="B12" s="18"/>
      <c r="C12" s="18">
        <v>5460000000</v>
      </c>
      <c r="D12" s="18">
        <v>3</v>
      </c>
    </row>
  </sheetData>
  <mergeCells count="1">
    <mergeCell ref="A1:AD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D11"/>
  <sheetViews>
    <sheetView zoomScale="135" workbookViewId="0">
      <selection sqref="A1:AD1"/>
    </sheetView>
  </sheetViews>
  <sheetFormatPr baseColWidth="10" defaultColWidth="8.83203125" defaultRowHeight="15" x14ac:dyDescent="0.2"/>
  <cols>
    <col min="1" max="1" width="29.5" customWidth="1"/>
    <col min="2" max="2" width="25.33203125" customWidth="1"/>
    <col min="3" max="3" width="14.1640625" customWidth="1"/>
    <col min="4" max="4" width="14.83203125" customWidth="1"/>
    <col min="5" max="5" width="21.1640625" customWidth="1"/>
    <col min="6" max="6" width="16" customWidth="1"/>
    <col min="7" max="7" width="9.5" customWidth="1"/>
    <col min="8" max="8" width="15" customWidth="1"/>
    <col min="9" max="9" width="6.5" customWidth="1"/>
    <col min="10" max="10" width="11.5" customWidth="1"/>
    <col min="11" max="11" width="12.5" customWidth="1"/>
    <col min="12" max="12" width="16.83203125" customWidth="1"/>
    <col min="13" max="13" width="17.33203125" customWidth="1"/>
    <col min="14" max="14" width="17.5" customWidth="1"/>
    <col min="15" max="15" width="22.6640625" customWidth="1"/>
    <col min="16" max="16" width="18" customWidth="1"/>
    <col min="17" max="17" width="24.33203125" customWidth="1"/>
    <col min="18" max="18" width="11.6640625" customWidth="1"/>
    <col min="19" max="19" width="22.5" customWidth="1"/>
    <col min="20" max="20" width="36.83203125" customWidth="1"/>
    <col min="21" max="21" width="14" customWidth="1"/>
    <col min="22" max="22" width="13.33203125" customWidth="1"/>
    <col min="23" max="23" width="16.5" customWidth="1"/>
    <col min="24" max="24" width="13" customWidth="1"/>
    <col min="25" max="25" width="11.5" customWidth="1"/>
    <col min="26" max="26" width="10.1640625" customWidth="1"/>
    <col min="27" max="30" width="9.1640625" customWidth="1"/>
  </cols>
  <sheetData>
    <row r="1" spans="1:30" x14ac:dyDescent="0.2">
      <c r="A1" s="20" t="s">
        <v>18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 x14ac:dyDescent="0.2">
      <c r="A2" s="6" t="s">
        <v>19</v>
      </c>
      <c r="B2" s="6" t="s">
        <v>21</v>
      </c>
    </row>
    <row r="3" spans="1:30" x14ac:dyDescent="0.2">
      <c r="A3" s="7">
        <v>7</v>
      </c>
      <c r="B3" s="7">
        <v>2000000000</v>
      </c>
    </row>
    <row r="4" spans="1:30" x14ac:dyDescent="0.2">
      <c r="A4" s="8" t="s">
        <v>22</v>
      </c>
      <c r="B4" s="8" t="s">
        <v>23</v>
      </c>
      <c r="C4" s="8" t="s">
        <v>24</v>
      </c>
      <c r="D4" s="9" t="s">
        <v>26</v>
      </c>
      <c r="E4" s="8" t="s">
        <v>28</v>
      </c>
      <c r="F4" s="8" t="s">
        <v>29</v>
      </c>
      <c r="G4" s="8" t="s">
        <v>30</v>
      </c>
      <c r="H4" s="8" t="s">
        <v>31</v>
      </c>
      <c r="I4" s="8" t="s">
        <v>32</v>
      </c>
      <c r="J4" s="8" t="s">
        <v>33</v>
      </c>
      <c r="K4" s="8" t="s">
        <v>34</v>
      </c>
      <c r="L4" s="8" t="s">
        <v>35</v>
      </c>
      <c r="M4" s="8" t="s">
        <v>36</v>
      </c>
      <c r="N4" s="8" t="s">
        <v>37</v>
      </c>
      <c r="O4" s="8" t="s">
        <v>38</v>
      </c>
      <c r="P4" s="9" t="s">
        <v>39</v>
      </c>
      <c r="Q4" s="9" t="s">
        <v>40</v>
      </c>
      <c r="R4" s="8" t="s">
        <v>47</v>
      </c>
      <c r="S4" s="8" t="s">
        <v>48</v>
      </c>
      <c r="T4" s="8" t="s">
        <v>50</v>
      </c>
      <c r="U4" s="8" t="s">
        <v>51</v>
      </c>
      <c r="V4" s="8" t="s">
        <v>52</v>
      </c>
      <c r="W4" s="8" t="s">
        <v>53</v>
      </c>
      <c r="X4" s="8" t="s">
        <v>54</v>
      </c>
      <c r="Y4" s="8" t="s">
        <v>55</v>
      </c>
      <c r="Z4" s="8" t="s">
        <v>56</v>
      </c>
    </row>
    <row r="5" spans="1:30" x14ac:dyDescent="0.2">
      <c r="A5" t="s">
        <v>106</v>
      </c>
      <c r="B5" t="s">
        <v>6</v>
      </c>
      <c r="C5" s="10">
        <v>42036</v>
      </c>
      <c r="D5" s="3">
        <v>600000000</v>
      </c>
      <c r="E5" t="s">
        <v>58</v>
      </c>
      <c r="F5" t="s">
        <v>59</v>
      </c>
      <c r="G5" t="s">
        <v>60</v>
      </c>
      <c r="H5" t="s">
        <v>107</v>
      </c>
      <c r="I5" t="s">
        <v>108</v>
      </c>
      <c r="J5" t="s">
        <v>109</v>
      </c>
      <c r="K5" s="10">
        <v>40210</v>
      </c>
      <c r="L5" t="s">
        <v>64</v>
      </c>
      <c r="M5" t="s">
        <v>64</v>
      </c>
      <c r="N5" t="s">
        <v>65</v>
      </c>
      <c r="O5" t="s">
        <v>66</v>
      </c>
      <c r="P5" s="19" t="s">
        <v>6</v>
      </c>
      <c r="Q5" s="19" t="s">
        <v>6</v>
      </c>
      <c r="R5" t="s">
        <v>6</v>
      </c>
      <c r="S5" t="s">
        <v>6</v>
      </c>
      <c r="T5" t="s">
        <v>70</v>
      </c>
      <c r="U5" t="s">
        <v>6</v>
      </c>
      <c r="V5" t="s">
        <v>59</v>
      </c>
      <c r="W5" t="s">
        <v>110</v>
      </c>
      <c r="X5" t="s">
        <v>66</v>
      </c>
      <c r="Y5" t="s">
        <v>4</v>
      </c>
      <c r="Z5" t="s">
        <v>6</v>
      </c>
    </row>
    <row r="6" spans="1:30" x14ac:dyDescent="0.2">
      <c r="A6" t="s">
        <v>111</v>
      </c>
      <c r="B6" t="s">
        <v>6</v>
      </c>
      <c r="C6" s="10">
        <v>43862</v>
      </c>
      <c r="D6" s="3">
        <v>900000000</v>
      </c>
      <c r="E6" t="s">
        <v>58</v>
      </c>
      <c r="F6" t="s">
        <v>59</v>
      </c>
      <c r="G6" t="s">
        <v>60</v>
      </c>
      <c r="H6" t="s">
        <v>112</v>
      </c>
      <c r="I6" t="s">
        <v>108</v>
      </c>
      <c r="J6" t="s">
        <v>113</v>
      </c>
      <c r="K6" s="10">
        <v>40210</v>
      </c>
      <c r="L6" t="s">
        <v>64</v>
      </c>
      <c r="M6" t="s">
        <v>64</v>
      </c>
      <c r="N6" t="s">
        <v>65</v>
      </c>
      <c r="O6" t="s">
        <v>66</v>
      </c>
      <c r="P6" s="19" t="s">
        <v>6</v>
      </c>
      <c r="Q6" s="19" t="s">
        <v>6</v>
      </c>
      <c r="R6" t="s">
        <v>6</v>
      </c>
      <c r="S6" t="s">
        <v>6</v>
      </c>
      <c r="T6" t="s">
        <v>70</v>
      </c>
      <c r="U6" t="s">
        <v>6</v>
      </c>
      <c r="V6" t="s">
        <v>59</v>
      </c>
      <c r="W6" t="s">
        <v>110</v>
      </c>
      <c r="X6" t="s">
        <v>66</v>
      </c>
      <c r="Y6" t="s">
        <v>4</v>
      </c>
      <c r="Z6" t="s">
        <v>6</v>
      </c>
    </row>
    <row r="7" spans="1:30" x14ac:dyDescent="0.2">
      <c r="A7" t="s">
        <v>114</v>
      </c>
      <c r="B7" t="s">
        <v>6</v>
      </c>
      <c r="C7" s="10">
        <v>44958</v>
      </c>
      <c r="D7" s="3">
        <v>500000000</v>
      </c>
      <c r="E7" t="s">
        <v>58</v>
      </c>
      <c r="F7" t="s">
        <v>59</v>
      </c>
      <c r="G7" t="s">
        <v>60</v>
      </c>
      <c r="H7" t="s">
        <v>115</v>
      </c>
      <c r="I7" t="s">
        <v>108</v>
      </c>
      <c r="J7" t="s">
        <v>116</v>
      </c>
      <c r="K7" s="10">
        <v>43864</v>
      </c>
      <c r="L7" t="s">
        <v>64</v>
      </c>
      <c r="M7" t="s">
        <v>64</v>
      </c>
      <c r="N7" t="s">
        <v>65</v>
      </c>
      <c r="O7" t="s">
        <v>66</v>
      </c>
      <c r="P7" s="19" t="s">
        <v>6</v>
      </c>
      <c r="Q7" s="19" t="s">
        <v>6</v>
      </c>
      <c r="R7" t="s">
        <v>6</v>
      </c>
      <c r="S7" t="s">
        <v>6</v>
      </c>
      <c r="T7" t="s">
        <v>70</v>
      </c>
      <c r="U7" t="s">
        <v>6</v>
      </c>
      <c r="V7" t="s">
        <v>59</v>
      </c>
      <c r="W7" t="s">
        <v>110</v>
      </c>
      <c r="X7" t="s">
        <v>66</v>
      </c>
      <c r="Y7" t="s">
        <v>4</v>
      </c>
      <c r="Z7" t="s">
        <v>6</v>
      </c>
    </row>
    <row r="8" spans="1:30" x14ac:dyDescent="0.2">
      <c r="A8" t="s">
        <v>117</v>
      </c>
      <c r="B8" t="s">
        <v>6</v>
      </c>
      <c r="C8" s="10">
        <v>45322</v>
      </c>
      <c r="D8" s="3">
        <v>0</v>
      </c>
      <c r="E8" t="s">
        <v>118</v>
      </c>
      <c r="F8" t="s">
        <v>59</v>
      </c>
      <c r="G8" t="s">
        <v>60</v>
      </c>
      <c r="H8" t="s">
        <v>119</v>
      </c>
      <c r="I8" t="s">
        <v>108</v>
      </c>
      <c r="J8" t="s">
        <v>120</v>
      </c>
      <c r="K8" s="10">
        <v>45321</v>
      </c>
      <c r="L8" t="s">
        <v>64</v>
      </c>
      <c r="M8" t="s">
        <v>121</v>
      </c>
      <c r="N8" t="s">
        <v>122</v>
      </c>
      <c r="O8" t="s">
        <v>66</v>
      </c>
      <c r="P8" s="19" t="s">
        <v>6</v>
      </c>
      <c r="Q8" s="19" t="s">
        <v>6</v>
      </c>
      <c r="R8" t="s">
        <v>6</v>
      </c>
      <c r="S8" t="s">
        <v>6</v>
      </c>
      <c r="T8" t="s">
        <v>123</v>
      </c>
      <c r="U8" t="s">
        <v>6</v>
      </c>
      <c r="V8" t="s">
        <v>59</v>
      </c>
      <c r="W8" t="s">
        <v>110</v>
      </c>
      <c r="X8" t="s">
        <v>66</v>
      </c>
      <c r="Y8" t="s">
        <v>4</v>
      </c>
      <c r="Z8" t="s">
        <v>6</v>
      </c>
    </row>
    <row r="9" spans="1:30" x14ac:dyDescent="0.2">
      <c r="A9" t="s">
        <v>124</v>
      </c>
      <c r="B9" t="s">
        <v>6</v>
      </c>
      <c r="C9" s="10">
        <v>45323</v>
      </c>
      <c r="D9" s="3">
        <v>0</v>
      </c>
      <c r="E9" t="s">
        <v>118</v>
      </c>
      <c r="F9" t="s">
        <v>59</v>
      </c>
      <c r="G9" t="s">
        <v>60</v>
      </c>
      <c r="H9" t="s">
        <v>125</v>
      </c>
      <c r="I9" t="s">
        <v>108</v>
      </c>
      <c r="J9" t="s">
        <v>126</v>
      </c>
      <c r="K9" s="10">
        <v>45322</v>
      </c>
      <c r="L9" t="s">
        <v>64</v>
      </c>
      <c r="M9" t="s">
        <v>121</v>
      </c>
      <c r="N9" t="s">
        <v>122</v>
      </c>
      <c r="O9" t="s">
        <v>66</v>
      </c>
      <c r="P9" s="19" t="s">
        <v>6</v>
      </c>
      <c r="Q9" s="19" t="s">
        <v>6</v>
      </c>
      <c r="R9" t="s">
        <v>6</v>
      </c>
      <c r="S9" t="s">
        <v>6</v>
      </c>
      <c r="T9" t="s">
        <v>123</v>
      </c>
      <c r="U9" t="s">
        <v>6</v>
      </c>
      <c r="V9" t="s">
        <v>59</v>
      </c>
      <c r="W9" t="s">
        <v>110</v>
      </c>
      <c r="X9" t="s">
        <v>66</v>
      </c>
      <c r="Y9" t="s">
        <v>4</v>
      </c>
      <c r="Z9" t="s">
        <v>6</v>
      </c>
    </row>
    <row r="10" spans="1:30" x14ac:dyDescent="0.2">
      <c r="A10" t="s">
        <v>127</v>
      </c>
      <c r="B10" t="s">
        <v>6</v>
      </c>
      <c r="C10" s="10">
        <v>45343</v>
      </c>
      <c r="D10" s="3">
        <v>0</v>
      </c>
      <c r="E10" t="s">
        <v>118</v>
      </c>
      <c r="F10" t="s">
        <v>59</v>
      </c>
      <c r="G10" t="s">
        <v>60</v>
      </c>
      <c r="H10" t="s">
        <v>128</v>
      </c>
      <c r="I10" t="s">
        <v>108</v>
      </c>
      <c r="J10" t="s">
        <v>129</v>
      </c>
      <c r="K10" s="10">
        <v>45342</v>
      </c>
      <c r="L10" t="s">
        <v>64</v>
      </c>
      <c r="M10" t="s">
        <v>121</v>
      </c>
      <c r="N10" t="s">
        <v>122</v>
      </c>
      <c r="O10" t="s">
        <v>66</v>
      </c>
      <c r="P10" s="19" t="s">
        <v>6</v>
      </c>
      <c r="Q10" s="19" t="s">
        <v>6</v>
      </c>
      <c r="R10" t="s">
        <v>6</v>
      </c>
      <c r="S10" t="s">
        <v>6</v>
      </c>
      <c r="T10" t="s">
        <v>123</v>
      </c>
      <c r="U10" t="s">
        <v>6</v>
      </c>
      <c r="V10" t="s">
        <v>59</v>
      </c>
      <c r="W10" t="s">
        <v>110</v>
      </c>
      <c r="X10" t="s">
        <v>66</v>
      </c>
      <c r="Y10" t="s">
        <v>4</v>
      </c>
      <c r="Z10" t="s">
        <v>6</v>
      </c>
    </row>
    <row r="11" spans="1:30" x14ac:dyDescent="0.2">
      <c r="A11" t="s">
        <v>130</v>
      </c>
      <c r="B11" t="s">
        <v>6</v>
      </c>
      <c r="C11" s="10">
        <v>45344</v>
      </c>
      <c r="D11" s="3">
        <v>0</v>
      </c>
      <c r="E11" t="s">
        <v>118</v>
      </c>
      <c r="F11" t="s">
        <v>59</v>
      </c>
      <c r="G11" t="s">
        <v>60</v>
      </c>
      <c r="H11" t="s">
        <v>131</v>
      </c>
      <c r="I11" t="s">
        <v>108</v>
      </c>
      <c r="J11" t="s">
        <v>132</v>
      </c>
      <c r="K11" s="10">
        <v>45343</v>
      </c>
      <c r="L11" t="s">
        <v>64</v>
      </c>
      <c r="M11" t="s">
        <v>121</v>
      </c>
      <c r="N11" t="s">
        <v>122</v>
      </c>
      <c r="O11" t="s">
        <v>66</v>
      </c>
      <c r="P11" s="19" t="s">
        <v>6</v>
      </c>
      <c r="Q11" s="19" t="s">
        <v>6</v>
      </c>
      <c r="R11" t="s">
        <v>6</v>
      </c>
      <c r="S11" t="s">
        <v>6</v>
      </c>
      <c r="T11" t="s">
        <v>123</v>
      </c>
      <c r="U11" t="s">
        <v>6</v>
      </c>
      <c r="V11" t="s">
        <v>59</v>
      </c>
      <c r="W11" t="s">
        <v>110</v>
      </c>
      <c r="X11" t="s">
        <v>66</v>
      </c>
      <c r="Y11" t="s">
        <v>4</v>
      </c>
      <c r="Z11" t="s">
        <v>6</v>
      </c>
    </row>
  </sheetData>
  <mergeCells count="1">
    <mergeCell ref="A1:AD1"/>
  </mergeCells>
  <pageMargins left="0.5" right="0.5" top="1" bottom="1" header="0.5" footer="0.75"/>
  <pageSetup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62ABDA6886CF6498653E646AB2571ED" ma:contentTypeVersion="16" ma:contentTypeDescription="Utwórz nowy dokument." ma:contentTypeScope="" ma:versionID="c3dfb99e8c054dd3dcbea2058eeee9c5">
  <xsd:schema xmlns:xsd="http://www.w3.org/2001/XMLSchema" xmlns:xs="http://www.w3.org/2001/XMLSchema" xmlns:p="http://schemas.microsoft.com/office/2006/metadata/properties" xmlns:ns2="6ba73c8a-1af7-4183-b158-1cd1291da2b6" xmlns:ns3="8c89d0e4-a8d9-42ba-a773-c59a56f7723e" targetNamespace="http://schemas.microsoft.com/office/2006/metadata/properties" ma:root="true" ma:fieldsID="bb8ad1a1634e1d01c50c06f4b863d7b9" ns2:_="" ns3:_="">
    <xsd:import namespace="6ba73c8a-1af7-4183-b158-1cd1291da2b6"/>
    <xsd:import namespace="8c89d0e4-a8d9-42ba-a773-c59a56f772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a73c8a-1af7-4183-b158-1cd1291da2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Tagi obrazów" ma:readOnly="false" ma:fieldId="{5cf76f15-5ced-4ddc-b409-7134ff3c332f}" ma:taxonomyMulti="true" ma:sspId="a48f9566-069b-479b-843d-4f6c74a4a3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89d0e4-a8d9-42ba-a773-c59a56f7723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20a6b64-fbb8-4bf5-b941-ddf64427d44d}" ma:internalName="TaxCatchAll" ma:showField="CatchAllData" ma:web="8c89d0e4-a8d9-42ba-a773-c59a56f772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a73c8a-1af7-4183-b158-1cd1291da2b6">
      <Terms xmlns="http://schemas.microsoft.com/office/infopath/2007/PartnerControls"/>
    </lcf76f155ced4ddcb4097134ff3c332f>
    <TaxCatchAll xmlns="8c89d0e4-a8d9-42ba-a773-c59a56f7723e" xsi:nil="true"/>
  </documentManagement>
</p:properties>
</file>

<file path=customXml/itemProps1.xml><?xml version="1.0" encoding="utf-8"?>
<ds:datastoreItem xmlns:ds="http://schemas.openxmlformats.org/officeDocument/2006/customXml" ds:itemID="{C4DD17CB-9B2B-4D0D-927D-F46E039F94FD}"/>
</file>

<file path=customXml/itemProps2.xml><?xml version="1.0" encoding="utf-8"?>
<ds:datastoreItem xmlns:ds="http://schemas.openxmlformats.org/officeDocument/2006/customXml" ds:itemID="{C58F679E-9449-4285-B9D3-9C72B37CE6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0C6EC7-05B1-488F-94FE-FCED79564209}">
  <ds:schemaRefs>
    <ds:schemaRef ds:uri="http://purl.org/dc/terms/"/>
    <ds:schemaRef ds:uri="http://www.w3.org/XML/1998/namespace"/>
    <ds:schemaRef ds:uri="6ba73c8a-1af7-4183-b158-1cd1291da2b6"/>
    <ds:schemaRef ds:uri="http://purl.org/dc/dcmitype/"/>
    <ds:schemaRef ds:uri="http://schemas.microsoft.com/office/2006/documentManagement/types"/>
    <ds:schemaRef ds:uri="8c89d0e4-a8d9-42ba-a773-c59a56f7723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42</vt:i4>
      </vt:variant>
    </vt:vector>
  </HeadingPairs>
  <TitlesOfParts>
    <vt:vector size="46" baseType="lpstr">
      <vt:lpstr>Summary</vt:lpstr>
      <vt:lpstr>Bonds</vt:lpstr>
      <vt:lpstr>Loans</vt:lpstr>
      <vt:lpstr>Inactive Bonds</vt:lpstr>
      <vt:lpstr>aggregationTableFooter_data_loans</vt:lpstr>
      <vt:lpstr>aggregationTableFooter_loans</vt:lpstr>
      <vt:lpstr>CouponRate_bonds_0</vt:lpstr>
      <vt:lpstr>detailsAggregationBody_bonds</vt:lpstr>
      <vt:lpstr>detailsAggregationBody_inactiveBonds</vt:lpstr>
      <vt:lpstr>detailsAggregationHeader_bonds</vt:lpstr>
      <vt:lpstr>detailsAggregationHeader_inactiveBonds</vt:lpstr>
      <vt:lpstr>detailsTableHeader_loans</vt:lpstr>
      <vt:lpstr>detailTableName_bonds</vt:lpstr>
      <vt:lpstr>detailTableName_inactiveBonds</vt:lpstr>
      <vt:lpstr>FaceIssuedTotal_inactiveBonds_0</vt:lpstr>
      <vt:lpstr>IssueDate_inactiveBonds_0</vt:lpstr>
      <vt:lpstr>issuerDescriptionHeader</vt:lpstr>
      <vt:lpstr>MaturityCorpModDuration_bonds_0</vt:lpstr>
      <vt:lpstr>MaturityCorpModDuration_inactiveBonds_0</vt:lpstr>
      <vt:lpstr>MaturityDate_inactiveBonds_0</vt:lpstr>
      <vt:lpstr>OptionAdjustedSpread_bonds_0</vt:lpstr>
      <vt:lpstr>OptionAdjustedSpreadDuration_bonds_0</vt:lpstr>
      <vt:lpstr>OptionAdjustedSpreadDuration_inactiveBonds_0</vt:lpstr>
      <vt:lpstr>PricingClosingPrice_bonds_0</vt:lpstr>
      <vt:lpstr>PricingClosingPrice_loans_0</vt:lpstr>
      <vt:lpstr>PricingClosingPrice_loans_1</vt:lpstr>
      <vt:lpstr>PricingClosingPrice_loans_2</vt:lpstr>
      <vt:lpstr>PricingClosingYield_bonds_0</vt:lpstr>
      <vt:lpstr>PricingDiscountSpread_loans_0</vt:lpstr>
      <vt:lpstr>PricingDiscountSpread_loans_1</vt:lpstr>
      <vt:lpstr>PricingDiscountSpread_loans_2</vt:lpstr>
      <vt:lpstr>PricingMeanPrice_loans_0</vt:lpstr>
      <vt:lpstr>PricingMeanPrice_loans_1</vt:lpstr>
      <vt:lpstr>PricingMeanPrice_loans_2</vt:lpstr>
      <vt:lpstr>PricingOfferPrice_loans_0</vt:lpstr>
      <vt:lpstr>PricingOfferPrice_loans_1</vt:lpstr>
      <vt:lpstr>PricingOfferPrice_loans_2</vt:lpstr>
      <vt:lpstr>PricingYield_loans_0</vt:lpstr>
      <vt:lpstr>PricingYield_loans_1</vt:lpstr>
      <vt:lpstr>PricingYield_loans_2</vt:lpstr>
      <vt:lpstr>summaryBody</vt:lpstr>
      <vt:lpstr>summaryBodySubheader</vt:lpstr>
      <vt:lpstr>summaryFooter</vt:lpstr>
      <vt:lpstr>summaryHeader</vt:lpstr>
      <vt:lpstr>summarySubHeader</vt:lpstr>
      <vt:lpstr>worksheetHeader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JULIA ANNA KARAŚ</cp:lastModifiedBy>
  <cp:revision/>
  <dcterms:created xsi:type="dcterms:W3CDTF">2024-03-18T15:23:01Z</dcterms:created>
  <dcterms:modified xsi:type="dcterms:W3CDTF">2024-04-13T22:00:48Z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0x010100162ABDA6886CF6498653E646AB2571ED</vt:lpwstr>
  </property>
  <property fmtid="{D5CDD505-2E9C-101B-9397-08002B2CF9AE}" pid="3" name="MediaServiceImageTags">
    <vt:lpwstr/>
  </property>
</Properties>
</file>