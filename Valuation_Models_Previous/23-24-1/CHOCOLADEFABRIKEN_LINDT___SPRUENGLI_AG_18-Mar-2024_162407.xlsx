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codeName="ThisWorkbook"/>
  <xr:revisionPtr revIDLastSave="0" documentId="11_84CFBCC3AE807A238D8C4E449DF4B44A5412A52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2" r:id="rId1"/>
    <sheet name="Bonds" sheetId="3" r:id="rId2"/>
    <sheet name="Inactive Bonds" sheetId="4" r:id="rId3"/>
  </sheets>
  <definedNames>
    <definedName name="CouponRate_bonds_0">Bonds!$F$5:$F$8</definedName>
    <definedName name="detailsAggregationBody_bonds">Bonds!$A$3:$C$3</definedName>
    <definedName name="detailsAggregationBody_inactiveBonds">'Inactive Bonds'!$A$3:$B$3</definedName>
    <definedName name="detailsAggregationHeader_bonds">Bonds!$A$2:$C$2</definedName>
    <definedName name="detailsAggregationHeader_inactiveBonds">'Inactive Bonds'!$A$2:$B$2</definedName>
    <definedName name="detailTableName_bonds">Bonds!$A$1:$AD$1</definedName>
    <definedName name="detailTableName_inactiveBonds">'Inactive Bonds'!$A$1:$AD$1</definedName>
    <definedName name="FaceIssuedTotal_inactiveBonds_0">'Inactive Bonds'!$D$5:$D$7</definedName>
    <definedName name="IssueDate_inactiveBonds_0">'Inactive Bonds'!$K$5:$K$7</definedName>
    <definedName name="issuerDescriptionHeader">Summary!$A$6:$B$6</definedName>
    <definedName name="MaturityCorpModDuration_bonds_0">Bonds!$R$5:$R$8</definedName>
    <definedName name="MaturityCorpModDuration_inactiveBonds_0">'Inactive Bonds'!$P$5:$P$7</definedName>
    <definedName name="MaturityDate_inactiveBonds_0">'Inactive Bonds'!$C$5:$C$7</definedName>
    <definedName name="OptionAdjustedSpread_bonds_0">Bonds!$T$5:$T$8</definedName>
    <definedName name="OptionAdjustedSpreadDuration_bonds_0">Bonds!$S$5:$S$8</definedName>
    <definedName name="OptionAdjustedSpreadDuration_inactiveBonds_0">'Inactive Bonds'!$Q$5:$Q$7</definedName>
    <definedName name="PricingClosingPrice_bonds_0">Bonds!$Y$5:$Y$8</definedName>
    <definedName name="PricingClosingYield_bonds_0">Bonds!$U$5:$U$8</definedName>
    <definedName name="summaryBody">Summary!$B$13:$D$19</definedName>
    <definedName name="summaryBodySubheader">Summary!$B$12:$D$19</definedName>
    <definedName name="summaryFooter">Summary!$A$18:$D$18</definedName>
    <definedName name="summaryHeader">Summary!$A$11:$D$11</definedName>
    <definedName name="summarySubHeader">Summary!$A$12:$D$12</definedName>
    <definedName name="worksheetHeader">Summary!$A$1:$AD$1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9" i="2"/>
</calcChain>
</file>

<file path=xl/sharedStrings.xml><?xml version="1.0" encoding="utf-8"?>
<sst xmlns="http://schemas.openxmlformats.org/spreadsheetml/2006/main" count="255" uniqueCount="89">
  <si>
    <t>CHOCOLADEFABRIKEN LINDT &amp; SPRUENGLI AG
			                    18-Mar-2024 16:24</t>
  </si>
  <si>
    <t>Debt Structure</t>
  </si>
  <si>
    <t>Include Subsidiaries: YES, Include Depositary Receipts: NO, Currency: Swiss Franc</t>
  </si>
  <si>
    <t>Issuer Description</t>
  </si>
  <si>
    <t>CHOCOLADEFABRIKEN LINDT &amp; SPRUENGLI AG</t>
  </si>
  <si>
    <t>Immediate Parent</t>
  </si>
  <si>
    <t>--</t>
  </si>
  <si>
    <t>Ultimate Parent</t>
  </si>
  <si>
    <t>Name</t>
  </si>
  <si>
    <t>Issues</t>
  </si>
  <si>
    <t>Outstanding</t>
  </si>
  <si>
    <t>Issued</t>
  </si>
  <si>
    <t>Bonds</t>
  </si>
  <si>
    <t>Bonds to Be Issued</t>
  </si>
  <si>
    <t>Bonds (as Borrower)</t>
  </si>
  <si>
    <t>Bonds (as Borrower) - to Be Issued</t>
  </si>
  <si>
    <t>Loans</t>
  </si>
  <si>
    <t>Total</t>
  </si>
  <si>
    <t>Inactive Bonds</t>
  </si>
  <si>
    <t>Total records</t>
  </si>
  <si>
    <t>Total Amount Outstanding (CHF)</t>
  </si>
  <si>
    <t>Total Amount Issued (CHF)</t>
  </si>
  <si>
    <t>Description</t>
  </si>
  <si>
    <t>Asset Duplicated</t>
  </si>
  <si>
    <t>Maturity Date</t>
  </si>
  <si>
    <t>Amount Outstanding</t>
  </si>
  <si>
    <t>Issued Amount</t>
  </si>
  <si>
    <t>Coupon</t>
  </si>
  <si>
    <t>Coupon Class</t>
  </si>
  <si>
    <t>Country of Issue</t>
  </si>
  <si>
    <t>Currency</t>
  </si>
  <si>
    <t>ISIN</t>
  </si>
  <si>
    <t>RIC</t>
  </si>
  <si>
    <t>Cusip</t>
  </si>
  <si>
    <t>Issue Date</t>
  </si>
  <si>
    <t>Rank (Seniority)</t>
  </si>
  <si>
    <t>Seniority (Legacy)</t>
  </si>
  <si>
    <t>Instrument Type</t>
  </si>
  <si>
    <t>Principal Index Link Flag</t>
  </si>
  <si>
    <t>Modified Duration</t>
  </si>
  <si>
    <t>Option Adjusted Duration</t>
  </si>
  <si>
    <t>Option Adjusted Spread</t>
  </si>
  <si>
    <t>Yield</t>
  </si>
  <si>
    <t>Yield Type</t>
  </si>
  <si>
    <t>Yield Event</t>
  </si>
  <si>
    <t>Yield Date</t>
  </si>
  <si>
    <t>Last Price</t>
  </si>
  <si>
    <t>Capital Tier</t>
  </si>
  <si>
    <t>Government Bond Type</t>
  </si>
  <si>
    <t>Is Convertible</t>
  </si>
  <si>
    <t>Offering Type</t>
  </si>
  <si>
    <t>Program Type</t>
  </si>
  <si>
    <t>Domicile</t>
  </si>
  <si>
    <t>Asset Status</t>
  </si>
  <si>
    <t>Green Bonds</t>
  </si>
  <si>
    <t>Issuer</t>
  </si>
  <si>
    <t>Collateral</t>
  </si>
  <si>
    <t xml:space="preserve">LISN 1.000  08-Oct-2024 </t>
  </si>
  <si>
    <t>Fixed Coupon</t>
  </si>
  <si>
    <t>Switzerland</t>
  </si>
  <si>
    <t>Swiss Franc</t>
  </si>
  <si>
    <t>CH0255475292</t>
  </si>
  <si>
    <t>CH25547529=</t>
  </si>
  <si>
    <t>Senior Unsecured</t>
  </si>
  <si>
    <t>Bond</t>
  </si>
  <si>
    <t>N</t>
  </si>
  <si>
    <t>IS</t>
  </si>
  <si>
    <t>MAT</t>
  </si>
  <si>
    <t>N/A</t>
  </si>
  <si>
    <t>Underwritten</t>
  </si>
  <si>
    <t xml:space="preserve">LISN 0.300  06-Oct-2027 </t>
  </si>
  <si>
    <t>CH0379268698</t>
  </si>
  <si>
    <t>CH37926869=</t>
  </si>
  <si>
    <t xml:space="preserve">LISN 0.010  06-Oct-2028 </t>
  </si>
  <si>
    <t>CH0564642079</t>
  </si>
  <si>
    <t>CH56464207=</t>
  </si>
  <si>
    <t xml:space="preserve">LISN 0.250  06-Oct-2032 </t>
  </si>
  <si>
    <t>CH0564642087</t>
  </si>
  <si>
    <t>CH56464208=</t>
  </si>
  <si>
    <t>LISN 3.000  31-Mar-2005  MATd</t>
  </si>
  <si>
    <t>CH0008591403</t>
  </si>
  <si>
    <t>LISN</t>
  </si>
  <si>
    <t>Unsecured</t>
  </si>
  <si>
    <t>Expired/Matured</t>
  </si>
  <si>
    <t>LISN 06-Oct-2017  FRN MATd</t>
  </si>
  <si>
    <t>Floating Coupon</t>
  </si>
  <si>
    <t>CH0255475276</t>
  </si>
  <si>
    <t>LISN 0.500  08-Oct-2020  MATd</t>
  </si>
  <si>
    <t>CH0255475284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</si>
</sst>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#,##0;&quot;--&quot;"/>
    <numFmt numFmtId="165" formatCode="dd\-mmm\-yyyy"/>
    <numFmt numFmtId="166" formatCode="#,##0.0##;\-#,##0.0##;0;&quot;--&quot;"/>
    <numFmt numFmtId="167" formatCode="#,##0.0##;\-#,##0.0##;&quot;--&quot;;&quot;--&quot;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808080"/>
      </bottom>
      <diagonal/>
    </border>
  </borders>
  <cellStyleXfs count="1">
    <xf numFmtId="0" fontId="0" fillId="0" borderId="0" applyNumberFormat="0" applyBorder="0" applyAlignment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9"/>
  <sheetViews>
    <sheetView tabSelected="1" workbookViewId="0"/>
  </sheetViews>
  <sheetFormatPr defaultRowHeight="15"/>
  <cols>
    <col min="1" max="1" width="70.5703125" customWidth="1"/>
    <col min="2" max="2" width="41.5703125" customWidth="1"/>
    <col min="3" max="4" width="14" customWidth="1"/>
    <col min="5" max="30" width="9.140625" customWidth="1"/>
  </cols>
  <sheetData>
    <row r="1" spans="1:30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3" spans="1:30">
      <c r="A3" t="s">
        <v>1</v>
      </c>
    </row>
    <row r="4" spans="1:30">
      <c r="A4" t="s">
        <v>2</v>
      </c>
    </row>
    <row r="6" spans="1:30">
      <c r="A6" s="16" t="s">
        <v>3</v>
      </c>
      <c r="B6" s="16"/>
    </row>
    <row r="7" spans="1:30">
      <c r="A7" t="s">
        <v>3</v>
      </c>
      <c r="B7" t="s">
        <v>4</v>
      </c>
    </row>
    <row r="8" spans="1:30">
      <c r="A8" t="s">
        <v>5</v>
      </c>
      <c r="B8" t="s">
        <v>6</v>
      </c>
    </row>
    <row r="9" spans="1:30">
      <c r="A9" t="s">
        <v>7</v>
      </c>
      <c r="B9" t="s">
        <v>6</v>
      </c>
    </row>
    <row r="11" spans="1:30">
      <c r="A11" s="16" t="s">
        <v>1</v>
      </c>
      <c r="B11" s="16"/>
      <c r="C11" s="16"/>
      <c r="D11" s="16"/>
    </row>
    <row r="12" spans="1:30">
      <c r="A12" s="1" t="s">
        <v>8</v>
      </c>
      <c r="B12" s="2" t="s">
        <v>9</v>
      </c>
      <c r="C12" s="2" t="s">
        <v>10</v>
      </c>
      <c r="D12" s="2" t="s">
        <v>11</v>
      </c>
    </row>
    <row r="13" spans="1:30">
      <c r="A13" t="s">
        <v>12</v>
      </c>
      <c r="B13" s="3">
        <v>4</v>
      </c>
      <c r="C13" s="3">
        <v>1000000000</v>
      </c>
      <c r="D13" s="3">
        <v>1000000000</v>
      </c>
    </row>
    <row r="14" spans="1:30">
      <c r="A14" t="s">
        <v>13</v>
      </c>
      <c r="B14" s="3">
        <v>0</v>
      </c>
      <c r="C14" s="3">
        <v>0</v>
      </c>
      <c r="D14" s="3">
        <v>0</v>
      </c>
    </row>
    <row r="15" spans="1:30">
      <c r="A15" t="s">
        <v>14</v>
      </c>
      <c r="B15" s="3">
        <v>0</v>
      </c>
      <c r="C15" s="3">
        <v>0</v>
      </c>
      <c r="D15" s="3">
        <v>0</v>
      </c>
    </row>
    <row r="16" spans="1:30">
      <c r="A16" t="s">
        <v>15</v>
      </c>
      <c r="B16" s="3">
        <v>0</v>
      </c>
      <c r="C16" s="3">
        <v>0</v>
      </c>
      <c r="D16" s="3">
        <v>0</v>
      </c>
    </row>
    <row r="17" spans="1:4">
      <c r="A17" t="s">
        <v>16</v>
      </c>
      <c r="B17" s="3">
        <v>0</v>
      </c>
      <c r="C17" s="3" t="str">
        <f>"0"</f>
        <v>0</v>
      </c>
      <c r="D17" s="3">
        <v>0</v>
      </c>
    </row>
    <row r="18" spans="1:4">
      <c r="A18" s="4" t="s">
        <v>17</v>
      </c>
      <c r="B18" s="5">
        <v>4</v>
      </c>
      <c r="C18" s="5">
        <v>1000000000</v>
      </c>
      <c r="D18" s="5">
        <v>1000000000</v>
      </c>
    </row>
    <row r="19" spans="1:4">
      <c r="A19" t="s">
        <v>18</v>
      </c>
      <c r="B19" s="3">
        <v>3</v>
      </c>
      <c r="C19" s="3" t="str">
        <f>"0"</f>
        <v>0</v>
      </c>
      <c r="D19" s="3">
        <v>850000000</v>
      </c>
    </row>
  </sheetData>
  <mergeCells count="3">
    <mergeCell ref="A1:AD1"/>
    <mergeCell ref="A6:B6"/>
    <mergeCell ref="A11:D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8"/>
  <sheetViews>
    <sheetView workbookViewId="0"/>
  </sheetViews>
  <sheetFormatPr defaultRowHeight="15"/>
  <cols>
    <col min="1" max="1" width="22.85546875" customWidth="1"/>
    <col min="2" max="2" width="30.28515625" customWidth="1"/>
    <col min="3" max="3" width="25" customWidth="1"/>
    <col min="4" max="4" width="20.140625" customWidth="1"/>
    <col min="5" max="5" width="14.85546875" customWidth="1"/>
    <col min="6" max="6" width="8.5703125" customWidth="1"/>
    <col min="7" max="7" width="13.42578125" customWidth="1"/>
    <col min="8" max="8" width="16" customWidth="1"/>
    <col min="9" max="9" width="11.5703125" customWidth="1"/>
    <col min="10" max="10" width="14.85546875" customWidth="1"/>
    <col min="11" max="11" width="13.85546875" customWidth="1"/>
    <col min="12" max="12" width="6.5703125" customWidth="1"/>
    <col min="13" max="13" width="12.42578125" customWidth="1"/>
    <col min="14" max="14" width="16.85546875" customWidth="1"/>
    <col min="15" max="15" width="17.28515625" customWidth="1"/>
    <col min="16" max="16" width="16.28515625" customWidth="1"/>
    <col min="17" max="17" width="22.7109375" customWidth="1"/>
    <col min="18" max="18" width="18" customWidth="1"/>
    <col min="19" max="19" width="24.28515625" customWidth="1"/>
    <col min="20" max="20" width="22.7109375" customWidth="1"/>
    <col min="21" max="21" width="6.140625" customWidth="1"/>
    <col min="22" max="22" width="10.85546875" customWidth="1"/>
    <col min="23" max="23" width="11.5703125" customWidth="1"/>
    <col min="24" max="24" width="12.42578125" customWidth="1"/>
    <col min="25" max="25" width="10.140625" customWidth="1"/>
    <col min="26" max="26" width="11.7109375" customWidth="1"/>
    <col min="27" max="27" width="22.5703125" customWidth="1"/>
    <col min="28" max="28" width="13.85546875" customWidth="1"/>
    <col min="29" max="29" width="13.7109375" customWidth="1"/>
    <col min="30" max="30" width="14" customWidth="1"/>
    <col min="31" max="31" width="11.7109375" customWidth="1"/>
    <col min="32" max="32" width="12.42578125" customWidth="1"/>
    <col min="33" max="33" width="13" customWidth="1"/>
    <col min="34" max="34" width="41.5703125" customWidth="1"/>
    <col min="35" max="35" width="10.140625" customWidth="1"/>
  </cols>
  <sheetData>
    <row r="1" spans="1:35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5">
      <c r="A2" s="6" t="s">
        <v>19</v>
      </c>
      <c r="B2" s="6" t="s">
        <v>20</v>
      </c>
      <c r="C2" s="6" t="s">
        <v>21</v>
      </c>
    </row>
    <row r="3" spans="1:35">
      <c r="A3" s="7">
        <v>4</v>
      </c>
      <c r="B3" s="7">
        <v>1000000000</v>
      </c>
      <c r="C3" s="7">
        <v>1000000000</v>
      </c>
    </row>
    <row r="4" spans="1:35">
      <c r="A4" s="8" t="s">
        <v>22</v>
      </c>
      <c r="B4" s="8" t="s">
        <v>23</v>
      </c>
      <c r="C4" s="8" t="s">
        <v>24</v>
      </c>
      <c r="D4" s="9" t="s">
        <v>25</v>
      </c>
      <c r="E4" s="9" t="s">
        <v>26</v>
      </c>
      <c r="F4" s="9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8" t="s">
        <v>36</v>
      </c>
      <c r="P4" s="8" t="s">
        <v>37</v>
      </c>
      <c r="Q4" s="8" t="s">
        <v>38</v>
      </c>
      <c r="R4" s="9" t="s">
        <v>39</v>
      </c>
      <c r="S4" s="9" t="s">
        <v>40</v>
      </c>
      <c r="T4" s="9" t="s">
        <v>41</v>
      </c>
      <c r="U4" s="9" t="s">
        <v>42</v>
      </c>
      <c r="V4" s="8" t="s">
        <v>43</v>
      </c>
      <c r="W4" s="8" t="s">
        <v>44</v>
      </c>
      <c r="X4" s="8" t="s">
        <v>45</v>
      </c>
      <c r="Y4" s="9" t="s">
        <v>46</v>
      </c>
      <c r="Z4" s="8" t="s">
        <v>47</v>
      </c>
      <c r="AA4" s="8" t="s">
        <v>48</v>
      </c>
      <c r="AB4" s="8" t="s">
        <v>49</v>
      </c>
      <c r="AC4" s="8" t="s">
        <v>50</v>
      </c>
      <c r="AD4" s="8" t="s">
        <v>51</v>
      </c>
      <c r="AE4" s="8" t="s">
        <v>52</v>
      </c>
      <c r="AF4" s="8" t="s">
        <v>53</v>
      </c>
      <c r="AG4" s="8" t="s">
        <v>54</v>
      </c>
      <c r="AH4" s="8" t="s">
        <v>55</v>
      </c>
      <c r="AI4" s="8" t="s">
        <v>56</v>
      </c>
    </row>
    <row r="5" spans="1:35">
      <c r="A5" t="s">
        <v>57</v>
      </c>
      <c r="B5" t="s">
        <v>6</v>
      </c>
      <c r="C5" s="10">
        <v>45573</v>
      </c>
      <c r="D5" s="11">
        <v>250000000</v>
      </c>
      <c r="E5" s="11">
        <v>250000000</v>
      </c>
      <c r="F5" s="12">
        <v>1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</v>
      </c>
      <c r="M5" s="10">
        <v>41920</v>
      </c>
      <c r="N5" t="s">
        <v>63</v>
      </c>
      <c r="O5" t="s">
        <v>63</v>
      </c>
      <c r="P5" t="s">
        <v>64</v>
      </c>
      <c r="Q5" t="s">
        <v>65</v>
      </c>
      <c r="R5" s="13">
        <v>0.54715800000000003</v>
      </c>
      <c r="S5" s="13">
        <v>0.54265300000000005</v>
      </c>
      <c r="T5" s="13">
        <v>28.158733000000002</v>
      </c>
      <c r="U5" s="13">
        <v>1.865699</v>
      </c>
      <c r="V5" t="s">
        <v>66</v>
      </c>
      <c r="W5" t="s">
        <v>67</v>
      </c>
      <c r="X5" s="10">
        <v>45573</v>
      </c>
      <c r="Y5" s="13">
        <v>99.525999999999996</v>
      </c>
      <c r="Z5" t="s">
        <v>68</v>
      </c>
      <c r="AA5" t="s">
        <v>6</v>
      </c>
      <c r="AB5" t="s">
        <v>65</v>
      </c>
      <c r="AC5" t="s">
        <v>69</v>
      </c>
      <c r="AD5" t="s">
        <v>6</v>
      </c>
      <c r="AE5" t="s">
        <v>59</v>
      </c>
      <c r="AF5" t="s">
        <v>11</v>
      </c>
      <c r="AG5" t="s">
        <v>65</v>
      </c>
      <c r="AH5" t="s">
        <v>4</v>
      </c>
      <c r="AI5" t="s">
        <v>68</v>
      </c>
    </row>
    <row r="6" spans="1:35">
      <c r="A6" t="s">
        <v>70</v>
      </c>
      <c r="B6" t="s">
        <v>6</v>
      </c>
      <c r="C6" s="10">
        <v>46666</v>
      </c>
      <c r="D6" s="11">
        <v>250000000</v>
      </c>
      <c r="E6" s="11">
        <v>250000000</v>
      </c>
      <c r="F6" s="12">
        <v>0.3</v>
      </c>
      <c r="G6" t="s">
        <v>58</v>
      </c>
      <c r="H6" t="s">
        <v>59</v>
      </c>
      <c r="I6" t="s">
        <v>60</v>
      </c>
      <c r="J6" t="s">
        <v>71</v>
      </c>
      <c r="K6" t="s">
        <v>72</v>
      </c>
      <c r="L6" t="s">
        <v>6</v>
      </c>
      <c r="M6" s="10">
        <v>43014</v>
      </c>
      <c r="N6" t="s">
        <v>63</v>
      </c>
      <c r="O6" t="s">
        <v>63</v>
      </c>
      <c r="P6" t="s">
        <v>64</v>
      </c>
      <c r="Q6" t="s">
        <v>65</v>
      </c>
      <c r="R6" s="13">
        <v>3.501627</v>
      </c>
      <c r="S6" s="13">
        <v>3.4746760000000001</v>
      </c>
      <c r="T6" s="13">
        <v>52.269844999999997</v>
      </c>
      <c r="U6" s="13">
        <v>1.557294</v>
      </c>
      <c r="V6" t="s">
        <v>66</v>
      </c>
      <c r="W6" t="s">
        <v>67</v>
      </c>
      <c r="X6" s="10">
        <v>46666</v>
      </c>
      <c r="Y6" s="13">
        <v>95.692999999999998</v>
      </c>
      <c r="Z6" t="s">
        <v>68</v>
      </c>
      <c r="AA6" t="s">
        <v>6</v>
      </c>
      <c r="AB6" t="s">
        <v>65</v>
      </c>
      <c r="AC6" t="s">
        <v>69</v>
      </c>
      <c r="AD6" t="s">
        <v>6</v>
      </c>
      <c r="AE6" t="s">
        <v>59</v>
      </c>
      <c r="AF6" t="s">
        <v>11</v>
      </c>
      <c r="AG6" t="s">
        <v>65</v>
      </c>
      <c r="AH6" t="s">
        <v>4</v>
      </c>
      <c r="AI6" t="s">
        <v>68</v>
      </c>
    </row>
    <row r="7" spans="1:35">
      <c r="A7" t="s">
        <v>73</v>
      </c>
      <c r="B7" t="s">
        <v>6</v>
      </c>
      <c r="C7" s="10">
        <v>47032</v>
      </c>
      <c r="D7" s="11">
        <v>250000000</v>
      </c>
      <c r="E7" s="11">
        <v>250000000</v>
      </c>
      <c r="F7" s="12">
        <v>0.01</v>
      </c>
      <c r="G7" t="s">
        <v>58</v>
      </c>
      <c r="H7" t="s">
        <v>59</v>
      </c>
      <c r="I7" t="s">
        <v>60</v>
      </c>
      <c r="J7" t="s">
        <v>74</v>
      </c>
      <c r="K7" t="s">
        <v>75</v>
      </c>
      <c r="L7" t="s">
        <v>6</v>
      </c>
      <c r="M7" s="10">
        <v>44112</v>
      </c>
      <c r="N7" t="s">
        <v>63</v>
      </c>
      <c r="O7" t="s">
        <v>63</v>
      </c>
      <c r="P7" t="s">
        <v>64</v>
      </c>
      <c r="Q7" t="s">
        <v>65</v>
      </c>
      <c r="R7" s="13">
        <v>4.5118499999999999</v>
      </c>
      <c r="S7" s="13">
        <v>4.4777839999999998</v>
      </c>
      <c r="T7" s="13">
        <v>59.041473000000003</v>
      </c>
      <c r="U7" s="13">
        <v>1.5273680000000001</v>
      </c>
      <c r="V7" t="s">
        <v>66</v>
      </c>
      <c r="W7" t="s">
        <v>67</v>
      </c>
      <c r="X7" s="10">
        <v>47032</v>
      </c>
      <c r="Y7" s="13">
        <v>93.382999999999996</v>
      </c>
      <c r="Z7" t="s">
        <v>68</v>
      </c>
      <c r="AA7" t="s">
        <v>6</v>
      </c>
      <c r="AB7" t="s">
        <v>65</v>
      </c>
      <c r="AC7" t="s">
        <v>69</v>
      </c>
      <c r="AD7" t="s">
        <v>6</v>
      </c>
      <c r="AE7" t="s">
        <v>59</v>
      </c>
      <c r="AF7" t="s">
        <v>11</v>
      </c>
      <c r="AG7" t="s">
        <v>65</v>
      </c>
      <c r="AH7" t="s">
        <v>4</v>
      </c>
      <c r="AI7" t="s">
        <v>68</v>
      </c>
    </row>
    <row r="8" spans="1:35">
      <c r="A8" t="s">
        <v>76</v>
      </c>
      <c r="B8" t="s">
        <v>6</v>
      </c>
      <c r="C8" s="10">
        <v>48493</v>
      </c>
      <c r="D8" s="11">
        <v>250000000</v>
      </c>
      <c r="E8" s="11">
        <v>250000000</v>
      </c>
      <c r="F8" s="12">
        <v>0.25</v>
      </c>
      <c r="G8" t="s">
        <v>58</v>
      </c>
      <c r="H8" t="s">
        <v>59</v>
      </c>
      <c r="I8" t="s">
        <v>60</v>
      </c>
      <c r="J8" t="s">
        <v>77</v>
      </c>
      <c r="K8" t="s">
        <v>78</v>
      </c>
      <c r="L8" t="s">
        <v>6</v>
      </c>
      <c r="M8" s="10">
        <v>44112</v>
      </c>
      <c r="N8" t="s">
        <v>63</v>
      </c>
      <c r="O8" t="s">
        <v>63</v>
      </c>
      <c r="P8" t="s">
        <v>64</v>
      </c>
      <c r="Q8" t="s">
        <v>65</v>
      </c>
      <c r="R8" s="13">
        <v>8.3877819999999996</v>
      </c>
      <c r="S8" s="13">
        <v>8.3246210000000005</v>
      </c>
      <c r="T8" s="13">
        <v>69.848670999999996</v>
      </c>
      <c r="U8" s="13">
        <v>1.5231870000000001</v>
      </c>
      <c r="V8" t="s">
        <v>66</v>
      </c>
      <c r="W8" t="s">
        <v>67</v>
      </c>
      <c r="X8" s="10">
        <v>48493</v>
      </c>
      <c r="Y8" s="13">
        <v>89.867999999999995</v>
      </c>
      <c r="Z8" t="s">
        <v>68</v>
      </c>
      <c r="AA8" t="s">
        <v>6</v>
      </c>
      <c r="AB8" t="s">
        <v>65</v>
      </c>
      <c r="AC8" t="s">
        <v>69</v>
      </c>
      <c r="AD8" t="s">
        <v>6</v>
      </c>
      <c r="AE8" t="s">
        <v>59</v>
      </c>
      <c r="AF8" t="s">
        <v>11</v>
      </c>
      <c r="AG8" t="s">
        <v>65</v>
      </c>
      <c r="AH8" t="s">
        <v>4</v>
      </c>
      <c r="AI8" t="s">
        <v>68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7"/>
  <sheetViews>
    <sheetView workbookViewId="0"/>
  </sheetViews>
  <sheetFormatPr defaultRowHeight="15"/>
  <cols>
    <col min="1" max="1" width="29" customWidth="1"/>
    <col min="2" max="2" width="25" customWidth="1"/>
    <col min="3" max="3" width="14.140625" customWidth="1"/>
    <col min="4" max="4" width="14.85546875" customWidth="1"/>
    <col min="5" max="5" width="15.7109375" customWidth="1"/>
    <col min="6" max="6" width="16" customWidth="1"/>
    <col min="7" max="7" width="11.5703125" customWidth="1"/>
    <col min="8" max="8" width="14.85546875" customWidth="1"/>
    <col min="9" max="9" width="4.7109375" customWidth="1"/>
    <col min="10" max="10" width="6.5703125" customWidth="1"/>
    <col min="11" max="11" width="13" customWidth="1"/>
    <col min="12" max="12" width="16.85546875" customWidth="1"/>
    <col min="13" max="13" width="17.28515625" customWidth="1"/>
    <col min="14" max="14" width="16.28515625" customWidth="1"/>
    <col min="15" max="15" width="22.7109375" customWidth="1"/>
    <col min="16" max="16" width="18" customWidth="1"/>
    <col min="17" max="17" width="24.28515625" customWidth="1"/>
    <col min="18" max="18" width="11.7109375" customWidth="1"/>
    <col min="19" max="19" width="22.5703125" customWidth="1"/>
    <col min="20" max="20" width="13.7109375" customWidth="1"/>
    <col min="21" max="21" width="14" customWidth="1"/>
    <col min="22" max="22" width="11.7109375" customWidth="1"/>
    <col min="23" max="23" width="16.5703125" customWidth="1"/>
    <col min="24" max="24" width="13" customWidth="1"/>
    <col min="25" max="25" width="41.5703125" customWidth="1"/>
    <col min="26" max="26" width="10.140625" customWidth="1"/>
    <col min="27" max="30" width="9.140625" customWidth="1"/>
  </cols>
  <sheetData>
    <row r="1" spans="1:30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>
      <c r="A2" s="6" t="s">
        <v>19</v>
      </c>
      <c r="B2" s="6" t="s">
        <v>21</v>
      </c>
    </row>
    <row r="3" spans="1:30">
      <c r="A3" s="7">
        <v>3</v>
      </c>
      <c r="B3" s="7">
        <v>850000000</v>
      </c>
    </row>
    <row r="4" spans="1:30">
      <c r="A4" s="8" t="s">
        <v>22</v>
      </c>
      <c r="B4" s="8" t="s">
        <v>23</v>
      </c>
      <c r="C4" s="8" t="s">
        <v>24</v>
      </c>
      <c r="D4" s="9" t="s">
        <v>26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  <c r="P4" s="9" t="s">
        <v>39</v>
      </c>
      <c r="Q4" s="9" t="s">
        <v>40</v>
      </c>
      <c r="R4" s="8" t="s">
        <v>47</v>
      </c>
      <c r="S4" s="8" t="s">
        <v>48</v>
      </c>
      <c r="T4" s="8" t="s">
        <v>50</v>
      </c>
      <c r="U4" s="8" t="s">
        <v>51</v>
      </c>
      <c r="V4" s="8" t="s">
        <v>52</v>
      </c>
      <c r="W4" s="8" t="s">
        <v>53</v>
      </c>
      <c r="X4" s="8" t="s">
        <v>54</v>
      </c>
      <c r="Y4" s="8" t="s">
        <v>55</v>
      </c>
      <c r="Z4" s="8" t="s">
        <v>56</v>
      </c>
    </row>
    <row r="5" spans="1:30">
      <c r="A5" t="s">
        <v>79</v>
      </c>
      <c r="B5" t="s">
        <v>6</v>
      </c>
      <c r="C5" s="10">
        <v>38442</v>
      </c>
      <c r="D5" s="3">
        <v>100000000</v>
      </c>
      <c r="E5" t="s">
        <v>58</v>
      </c>
      <c r="F5" t="s">
        <v>59</v>
      </c>
      <c r="G5" t="s">
        <v>60</v>
      </c>
      <c r="H5" t="s">
        <v>80</v>
      </c>
      <c r="I5" t="s">
        <v>81</v>
      </c>
      <c r="J5" t="s">
        <v>6</v>
      </c>
      <c r="K5" s="10">
        <v>35885</v>
      </c>
      <c r="L5" t="s">
        <v>63</v>
      </c>
      <c r="M5" t="s">
        <v>82</v>
      </c>
      <c r="N5" t="s">
        <v>64</v>
      </c>
      <c r="O5" t="s">
        <v>65</v>
      </c>
      <c r="P5" s="14" t="s">
        <v>6</v>
      </c>
      <c r="Q5" s="14" t="s">
        <v>6</v>
      </c>
      <c r="R5" t="s">
        <v>6</v>
      </c>
      <c r="S5" t="s">
        <v>6</v>
      </c>
      <c r="T5" t="s">
        <v>6</v>
      </c>
      <c r="U5" t="s">
        <v>6</v>
      </c>
      <c r="V5" t="s">
        <v>59</v>
      </c>
      <c r="W5" t="s">
        <v>83</v>
      </c>
      <c r="X5" t="s">
        <v>65</v>
      </c>
      <c r="Y5" t="s">
        <v>4</v>
      </c>
      <c r="Z5" t="s">
        <v>6</v>
      </c>
    </row>
    <row r="6" spans="1:30">
      <c r="A6" t="s">
        <v>84</v>
      </c>
      <c r="B6" t="s">
        <v>6</v>
      </c>
      <c r="C6" s="10">
        <v>43014</v>
      </c>
      <c r="D6" s="3">
        <v>250000000</v>
      </c>
      <c r="E6" t="s">
        <v>85</v>
      </c>
      <c r="F6" t="s">
        <v>59</v>
      </c>
      <c r="G6" t="s">
        <v>60</v>
      </c>
      <c r="H6" t="s">
        <v>86</v>
      </c>
      <c r="I6" t="s">
        <v>81</v>
      </c>
      <c r="J6" t="s">
        <v>6</v>
      </c>
      <c r="K6" s="10">
        <v>41920</v>
      </c>
      <c r="L6" t="s">
        <v>63</v>
      </c>
      <c r="M6" t="s">
        <v>63</v>
      </c>
      <c r="N6" t="s">
        <v>64</v>
      </c>
      <c r="O6" t="s">
        <v>65</v>
      </c>
      <c r="P6" s="14" t="s">
        <v>6</v>
      </c>
      <c r="Q6" s="14" t="s">
        <v>6</v>
      </c>
      <c r="R6" t="s">
        <v>6</v>
      </c>
      <c r="S6" t="s">
        <v>6</v>
      </c>
      <c r="T6" t="s">
        <v>69</v>
      </c>
      <c r="U6" t="s">
        <v>6</v>
      </c>
      <c r="V6" t="s">
        <v>59</v>
      </c>
      <c r="W6" t="s">
        <v>83</v>
      </c>
      <c r="X6" t="s">
        <v>65</v>
      </c>
      <c r="Y6" t="s">
        <v>4</v>
      </c>
      <c r="Z6" t="s">
        <v>6</v>
      </c>
    </row>
    <row r="7" spans="1:30">
      <c r="A7" t="s">
        <v>87</v>
      </c>
      <c r="B7" t="s">
        <v>6</v>
      </c>
      <c r="C7" s="10">
        <v>44112</v>
      </c>
      <c r="D7" s="3">
        <v>500000000</v>
      </c>
      <c r="E7" t="s">
        <v>58</v>
      </c>
      <c r="F7" t="s">
        <v>59</v>
      </c>
      <c r="G7" t="s">
        <v>60</v>
      </c>
      <c r="H7" t="s">
        <v>88</v>
      </c>
      <c r="I7" t="s">
        <v>81</v>
      </c>
      <c r="J7" t="s">
        <v>6</v>
      </c>
      <c r="K7" s="10">
        <v>41920</v>
      </c>
      <c r="L7" t="s">
        <v>63</v>
      </c>
      <c r="M7" t="s">
        <v>63</v>
      </c>
      <c r="N7" t="s">
        <v>64</v>
      </c>
      <c r="O7" t="s">
        <v>65</v>
      </c>
      <c r="P7" s="14" t="s">
        <v>6</v>
      </c>
      <c r="Q7" s="14" t="s">
        <v>6</v>
      </c>
      <c r="R7" t="s">
        <v>6</v>
      </c>
      <c r="S7" t="s">
        <v>6</v>
      </c>
      <c r="T7" t="s">
        <v>69</v>
      </c>
      <c r="U7" t="s">
        <v>6</v>
      </c>
      <c r="V7" t="s">
        <v>59</v>
      </c>
      <c r="W7" t="s">
        <v>83</v>
      </c>
      <c r="X7" t="s">
        <v>65</v>
      </c>
      <c r="Y7" t="s">
        <v>4</v>
      </c>
      <c r="Z7" t="s">
        <v>6</v>
      </c>
    </row>
  </sheetData>
  <mergeCells count="1">
    <mergeCell ref="A1:AD1"/>
  </mergeCells>
  <pageMargins left="0.5" right="0.5" top="1" bottom="1" header="0.5" footer="0.7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0a55209b67e2c3a7f46b591ce13950e9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c49ccb1ab76a2e6c178c18d1b3ea34b2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991EF-FCE0-4D6D-9B10-E257A14A98A5}"/>
</file>

<file path=customXml/itemProps2.xml><?xml version="1.0" encoding="utf-8"?>
<ds:datastoreItem xmlns:ds="http://schemas.openxmlformats.org/officeDocument/2006/customXml" ds:itemID="{4636EA47-3A94-40AB-B4D5-D07B4BC61F83}"/>
</file>

<file path=customXml/itemProps3.xml><?xml version="1.0" encoding="utf-8"?>
<ds:datastoreItem xmlns:ds="http://schemas.openxmlformats.org/officeDocument/2006/customXml" ds:itemID="{E746BAF8-A15F-4D63-934F-3604029A0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Telmo Costa Santos</cp:lastModifiedBy>
  <cp:revision/>
  <dcterms:created xsi:type="dcterms:W3CDTF">2024-03-18T16:24:08Z</dcterms:created>
  <dcterms:modified xsi:type="dcterms:W3CDTF">2024-03-25T12:29:38Z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